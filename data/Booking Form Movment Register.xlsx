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R  Ledger " sheetId="1" r:id="rId5"/>
  </sheets>
  <definedNames>
    <definedName hidden="1" localSheetId="0" name="_xlnm._FilterDatabase">'MR  Ledger '!$A$7:$M$107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97">
      <text>
        <t xml:space="preserve">She received For Sending To Head Office</t>
      </text>
    </comment>
  </commentList>
</comments>
</file>

<file path=xl/sharedStrings.xml><?xml version="1.0" encoding="utf-8"?>
<sst xmlns="http://schemas.openxmlformats.org/spreadsheetml/2006/main" count="580" uniqueCount="294">
  <si>
    <t>One City Developers Ltd.</t>
  </si>
  <si>
    <t>Land Sales Office</t>
  </si>
  <si>
    <t>Commercial Cove, House: 56/C, Road: 132, Gulshan-1, Dhaka-1212.</t>
  </si>
  <si>
    <t>SL.</t>
  </si>
  <si>
    <t xml:space="preserve">Booking Form Submit (HO)  Date </t>
  </si>
  <si>
    <t>Booking Date:</t>
  </si>
  <si>
    <t>File No:</t>
  </si>
  <si>
    <t>Sales Person:</t>
  </si>
  <si>
    <t>Client Name:</t>
  </si>
  <si>
    <t>Project:</t>
  </si>
  <si>
    <t>Unit/ Plot:</t>
  </si>
  <si>
    <t>File Booking Value:</t>
  </si>
  <si>
    <t>Incentive Status:</t>
  </si>
  <si>
    <t xml:space="preserve">Deed Status: </t>
  </si>
  <si>
    <t xml:space="preserve">Reward Card Status: </t>
  </si>
  <si>
    <t>Special Recruitment/Remarks:</t>
  </si>
  <si>
    <t>01</t>
  </si>
  <si>
    <t>BS-20217666</t>
  </si>
  <si>
    <t>Md. Manir Sikder</t>
  </si>
  <si>
    <t>Syeda Jamila Mahmuda</t>
  </si>
  <si>
    <t>BS</t>
  </si>
  <si>
    <t>Sheet Not Printed</t>
  </si>
  <si>
    <t>Ready at HO</t>
  </si>
  <si>
    <t>Card at Branch</t>
  </si>
  <si>
    <t>02</t>
  </si>
  <si>
    <t>BS-20217851</t>
  </si>
  <si>
    <t>Md. Ridoy Khan</t>
  </si>
  <si>
    <t>Md. Sohel Ahmed</t>
  </si>
  <si>
    <t>No Request Found</t>
  </si>
  <si>
    <t>03</t>
  </si>
  <si>
    <t>BM-20231107</t>
  </si>
  <si>
    <t>Md. Parvez Kamal</t>
  </si>
  <si>
    <t>Lipika Tasnim</t>
  </si>
  <si>
    <t>BM</t>
  </si>
  <si>
    <t>04</t>
  </si>
  <si>
    <t>BM-20231106</t>
  </si>
  <si>
    <t>Md Mariful Islam</t>
  </si>
  <si>
    <t>05</t>
  </si>
  <si>
    <t>BS-20217849</t>
  </si>
  <si>
    <t>Minhaz Mohammed Ratul</t>
  </si>
  <si>
    <t>Mobarok Hosen Khan Kamol</t>
  </si>
  <si>
    <t>Paid</t>
  </si>
  <si>
    <t>06</t>
  </si>
  <si>
    <t>PAC-286</t>
  </si>
  <si>
    <t>Saleha Begum Lopa</t>
  </si>
  <si>
    <t>ACP</t>
  </si>
  <si>
    <t>Existing Customer</t>
  </si>
  <si>
    <t>07</t>
  </si>
  <si>
    <t>BM-20231105</t>
  </si>
  <si>
    <t>Jannatul Ferdaus</t>
  </si>
  <si>
    <t>Md. Matiur Rahman</t>
  </si>
  <si>
    <t>08</t>
  </si>
  <si>
    <t>BS-20217853</t>
  </si>
  <si>
    <t>Delivered to Sales Person</t>
  </si>
  <si>
    <t>09</t>
  </si>
  <si>
    <t>BS-20217852</t>
  </si>
  <si>
    <t>Md. Altahid Hossain Ashik</t>
  </si>
  <si>
    <t>Nahida Akter</t>
  </si>
  <si>
    <t>Office Copy Sent to HO</t>
  </si>
  <si>
    <t>10</t>
  </si>
  <si>
    <t>BS-20217850</t>
  </si>
  <si>
    <t>Md. Yeasin Rasel</t>
  </si>
  <si>
    <t>KM Monirul Bin Islam</t>
  </si>
  <si>
    <t>11</t>
  </si>
  <si>
    <t>BM-20231104</t>
  </si>
  <si>
    <t>Sourav Kundu</t>
  </si>
  <si>
    <t>Md. Jahangir Alam</t>
  </si>
  <si>
    <t>12</t>
  </si>
  <si>
    <t>BM-2023103</t>
  </si>
  <si>
    <t>Kazi Mizanur Rahman</t>
  </si>
  <si>
    <t>Md Delwar Hossain</t>
  </si>
  <si>
    <t>13</t>
  </si>
  <si>
    <t>BM-20231102</t>
  </si>
  <si>
    <t>Romana Haque</t>
  </si>
  <si>
    <t>14</t>
  </si>
  <si>
    <t>BM-20231161</t>
  </si>
  <si>
    <t>Most. Liza Akter</t>
  </si>
  <si>
    <t>Md Abdur Rashid</t>
  </si>
  <si>
    <t>Under Rate Sale</t>
  </si>
  <si>
    <t>15</t>
  </si>
  <si>
    <t>BS-20217964</t>
  </si>
  <si>
    <t>16</t>
  </si>
  <si>
    <t>BM-20231160</t>
  </si>
  <si>
    <t>Rita Khatun</t>
  </si>
  <si>
    <t>17</t>
  </si>
  <si>
    <t>BS-20217952</t>
  </si>
  <si>
    <t>Md. Estiak Mahbub</t>
  </si>
  <si>
    <t>Mst. Rupali</t>
  </si>
  <si>
    <t>18</t>
  </si>
  <si>
    <t>BM-20231159</t>
  </si>
  <si>
    <t>Sharowar Hossain</t>
  </si>
  <si>
    <t>Mohammed Khoyrul Islam</t>
  </si>
  <si>
    <t>Sheet at Branch</t>
  </si>
  <si>
    <t>Delivered to Client</t>
  </si>
  <si>
    <t>19</t>
  </si>
  <si>
    <t>BS-20217951</t>
  </si>
  <si>
    <t>Farjana Akter Purnima</t>
  </si>
  <si>
    <t>Shahnaz Begum</t>
  </si>
  <si>
    <t>20</t>
  </si>
  <si>
    <t>BS-20217950</t>
  </si>
  <si>
    <t>Mohammed Shah Alam</t>
  </si>
  <si>
    <t>21</t>
  </si>
  <si>
    <t>PAC-288</t>
  </si>
  <si>
    <t>Anowar Hossain</t>
  </si>
  <si>
    <t>Abdul Rashid</t>
  </si>
  <si>
    <t>22</t>
  </si>
  <si>
    <t>BS-20217992</t>
  </si>
  <si>
    <t>Kamrunnahar</t>
  </si>
  <si>
    <t>23</t>
  </si>
  <si>
    <t>BS-20217990</t>
  </si>
  <si>
    <t>Md. Safiqul Islam</t>
  </si>
  <si>
    <t>Md. Bellal Hossain</t>
  </si>
  <si>
    <t>24</t>
  </si>
  <si>
    <t>BS-20217989</t>
  </si>
  <si>
    <t>Md. Mehedi Hasan</t>
  </si>
  <si>
    <t>Mahabbat Ali</t>
  </si>
  <si>
    <t>25</t>
  </si>
  <si>
    <t>BS-20217991</t>
  </si>
  <si>
    <t>Md Wazedul Islam</t>
  </si>
  <si>
    <t>26</t>
  </si>
  <si>
    <t>BS-20217988</t>
  </si>
  <si>
    <t>Md Fazly Rabby</t>
  </si>
  <si>
    <t>27</t>
  </si>
  <si>
    <t>BS-20218037</t>
  </si>
  <si>
    <t>Noorjahan Lipi</t>
  </si>
  <si>
    <t>28</t>
  </si>
  <si>
    <t>BM-20231225</t>
  </si>
  <si>
    <t>Afsar Uddin</t>
  </si>
  <si>
    <t>Rokeya Begum</t>
  </si>
  <si>
    <t>29</t>
  </si>
  <si>
    <t>BS-20218035</t>
  </si>
  <si>
    <t>Sadem Hossain</t>
  </si>
  <si>
    <t>30</t>
  </si>
  <si>
    <t>BS-20218036</t>
  </si>
  <si>
    <t>Abu Sufian Shohag</t>
  </si>
  <si>
    <t>Syed Manjur Hossain &amp; Shana Akter Ruma</t>
  </si>
  <si>
    <t>31</t>
  </si>
  <si>
    <t>BM-20231276</t>
  </si>
  <si>
    <t>Priatosh Deb Nath</t>
  </si>
  <si>
    <t>32</t>
  </si>
  <si>
    <t>BS-20218152</t>
  </si>
  <si>
    <t>Abrarul Haque Emon</t>
  </si>
  <si>
    <t>Md Shahadat Husen</t>
  </si>
  <si>
    <t>33</t>
  </si>
  <si>
    <t>BS-20218154</t>
  </si>
  <si>
    <t>34</t>
  </si>
  <si>
    <t>BS-20218155</t>
  </si>
  <si>
    <t>Md. Noor Uddin Chowdhury</t>
  </si>
  <si>
    <t>35</t>
  </si>
  <si>
    <t>BS-20218171</t>
  </si>
  <si>
    <t>Md. Shahinul Islam</t>
  </si>
  <si>
    <t>Mohammad Ziaur Rahman</t>
  </si>
  <si>
    <t>36</t>
  </si>
  <si>
    <t>BB-20202618</t>
  </si>
  <si>
    <t>Md. Jahid Hasan</t>
  </si>
  <si>
    <t>Md. Helal Uddin</t>
  </si>
  <si>
    <t>BB</t>
  </si>
  <si>
    <t>37</t>
  </si>
  <si>
    <t>BM-20231360</t>
  </si>
  <si>
    <t>Dewan Mahbubur Rahman</t>
  </si>
  <si>
    <t>38</t>
  </si>
  <si>
    <t>BS-20218210</t>
  </si>
  <si>
    <t>Saiful Islam</t>
  </si>
  <si>
    <t>39</t>
  </si>
  <si>
    <t>BS-20218209</t>
  </si>
  <si>
    <t>Hafiza Khanam</t>
  </si>
  <si>
    <t>Md Mahfujur Rahman</t>
  </si>
  <si>
    <t>40</t>
  </si>
  <si>
    <t>BS-20218226</t>
  </si>
  <si>
    <t>Shahidul Islam</t>
  </si>
  <si>
    <t>41</t>
  </si>
  <si>
    <t>BM-20231407</t>
  </si>
  <si>
    <t>Jakir Ahammed Noor</t>
  </si>
  <si>
    <t>Latifur Rahman</t>
  </si>
  <si>
    <t>At Branch</t>
  </si>
  <si>
    <t>42</t>
  </si>
  <si>
    <t>BS-20218300</t>
  </si>
  <si>
    <t>Tanver Hossain</t>
  </si>
  <si>
    <t>Jakia Sultana</t>
  </si>
  <si>
    <t>Request Forwarded</t>
  </si>
  <si>
    <t>43</t>
  </si>
  <si>
    <t>BM-20231431</t>
  </si>
  <si>
    <t>Touhidul Islam</t>
  </si>
  <si>
    <t>Md Raihan Chowdhury</t>
  </si>
  <si>
    <t>44</t>
  </si>
  <si>
    <t>BS-20218334</t>
  </si>
  <si>
    <t>Mukta Dey</t>
  </si>
  <si>
    <t>45</t>
  </si>
  <si>
    <t>PAC-309</t>
  </si>
  <si>
    <t>46</t>
  </si>
  <si>
    <t>BM-20231432</t>
  </si>
  <si>
    <t>Md Ismail Hossain</t>
  </si>
  <si>
    <t>47</t>
  </si>
  <si>
    <t>BS- 20218357</t>
  </si>
  <si>
    <t>Fatema Raka</t>
  </si>
  <si>
    <t>48</t>
  </si>
  <si>
    <t>PAC-314</t>
  </si>
  <si>
    <t>Mst Dilara Afroz</t>
  </si>
  <si>
    <t>49</t>
  </si>
  <si>
    <t>PAC-313</t>
  </si>
  <si>
    <t>Sultana Begum</t>
  </si>
  <si>
    <t xml:space="preserve">We received this deed from Client signed (18-Aug-26) and  returned it to the Head Office as per procedure. </t>
  </si>
  <si>
    <t>50</t>
  </si>
  <si>
    <t>BS-20218420</t>
  </si>
  <si>
    <t>Naymul Islam</t>
  </si>
  <si>
    <t>51</t>
  </si>
  <si>
    <t>BS-20218421</t>
  </si>
  <si>
    <t>Md Wabaydul Islam</t>
  </si>
  <si>
    <t>52</t>
  </si>
  <si>
    <t>BM-20231473</t>
  </si>
  <si>
    <t>Nurul Islam Ripon</t>
  </si>
  <si>
    <t>SK. Mosaddek Hossain</t>
  </si>
  <si>
    <t>Requested Forwarded</t>
  </si>
  <si>
    <t>53</t>
  </si>
  <si>
    <t>BM-20231472</t>
  </si>
  <si>
    <t>Maria Akter Mim</t>
  </si>
  <si>
    <t>Sattyajit Saha</t>
  </si>
  <si>
    <t>54</t>
  </si>
  <si>
    <t>BS-20218448</t>
  </si>
  <si>
    <t>Mst. Sharmin Akter Nabila</t>
  </si>
  <si>
    <t>Md Selim Hossein</t>
  </si>
  <si>
    <t>55</t>
  </si>
  <si>
    <t>PAC-317</t>
  </si>
  <si>
    <t>Md Jahangir Alam &amp; Tuhin Perveen Sumi</t>
  </si>
  <si>
    <t>56</t>
  </si>
  <si>
    <t>BS-20218449</t>
  </si>
  <si>
    <t>Md. Ariful Islam</t>
  </si>
  <si>
    <t>57</t>
  </si>
  <si>
    <t>BS-20218456</t>
  </si>
  <si>
    <t>Ariful Rahman</t>
  </si>
  <si>
    <t>58</t>
  </si>
  <si>
    <t>BS-20218457</t>
  </si>
  <si>
    <t>Shahjalal</t>
  </si>
  <si>
    <t>59</t>
  </si>
  <si>
    <t>BS-20218521</t>
  </si>
  <si>
    <t xml:space="preserve">Abrarul Haque Emon </t>
  </si>
  <si>
    <t>Md Anwar Hossain</t>
  </si>
  <si>
    <t>60</t>
  </si>
  <si>
    <t>BS-20218536</t>
  </si>
  <si>
    <t>Mohammad Nuail Ahmed</t>
  </si>
  <si>
    <t>61</t>
  </si>
  <si>
    <t>BM-20231532</t>
  </si>
  <si>
    <t>62</t>
  </si>
  <si>
    <t>BM-20231575</t>
  </si>
  <si>
    <t>Zohurul Haque Babu</t>
  </si>
  <si>
    <t>63</t>
  </si>
  <si>
    <t>BS-20218402</t>
  </si>
  <si>
    <t>Amena Begum</t>
  </si>
  <si>
    <t>64</t>
  </si>
  <si>
    <t>BM-20231568</t>
  </si>
  <si>
    <t>Mumtahina Ahmed Ria</t>
  </si>
  <si>
    <t>65</t>
  </si>
  <si>
    <t>BS-20218623</t>
  </si>
  <si>
    <t>Musfiqur Rahman Mahi</t>
  </si>
  <si>
    <t>Office Copy Received</t>
  </si>
  <si>
    <t>66</t>
  </si>
  <si>
    <t>KTC-202532</t>
  </si>
  <si>
    <t>KTC</t>
  </si>
  <si>
    <t>67</t>
  </si>
  <si>
    <t>Md Saiful Islam Akhand</t>
  </si>
  <si>
    <t>68</t>
  </si>
  <si>
    <t>Rezaul Karim Ripon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</si>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</sst>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-409]d\-mmm\-yy"/>
    <numFmt numFmtId="165" formatCode="_(* #,##0_);_(* \(#,##0\);_(* &quot;-&quot;??_);_(@_)"/>
    <numFmt numFmtId="166" formatCode="dd-mmm-yy"/>
    <numFmt numFmtId="167" formatCode="d-mmm-yy"/>
    <numFmt numFmtId="168" formatCode="d\-mmmm\-yy"/>
    <numFmt numFmtId="169" formatCode="d-mmmm-yy"/>
  </numFmts>
  <fonts count="25">
    <font>
      <sz val="11.0"/>
      <color theme="1"/>
      <name val="Arial"/>
      <scheme val="minor"/>
    </font>
    <font>
      <sz val="11.0"/>
      <color theme="1"/>
      <name val="Times New Roman"/>
    </font>
    <font>
      <sz val="10.0"/>
      <color theme="1"/>
      <name val="Times New Roman"/>
    </font>
    <font>
      <sz val="11.0"/>
      <color theme="1"/>
      <name val="Arial"/>
    </font>
    <font>
      <b/>
      <u/>
      <sz val="20.0"/>
      <color theme="1"/>
      <name val="Times New Roman"/>
    </font>
    <font/>
    <font>
      <b/>
      <u/>
      <sz val="14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sz val="10.0"/>
      <color rgb="FF000000"/>
      <name val="Times New Roman"/>
    </font>
    <font>
      <b/>
      <sz val="10.0"/>
      <color rgb="FF000000"/>
      <name val="&quot;Times New Roman&quot;"/>
    </font>
    <font>
      <sz val="10.0"/>
      <color rgb="FF000000"/>
      <name val="&quot;Times New Roman&quot;"/>
    </font>
    <font>
      <b/>
      <sz val="10.0"/>
      <color theme="1"/>
      <name val="Times New Roman"/>
    </font>
    <font>
      <b/>
      <sz val="11.0"/>
      <color theme="1"/>
      <name val="Times New Roman"/>
    </font>
    <font>
      <sz val="11.0"/>
      <color rgb="FF000000"/>
      <name val="Times New Roman"/>
    </font>
    <font>
      <b/>
      <sz val="9.0"/>
      <color theme="1"/>
      <name val="Times New Roman"/>
    </font>
    <font>
      <b/>
      <sz val="10.0"/>
      <color rgb="FF000000"/>
      <name val="Times New Roman"/>
    </font>
    <font>
      <b/>
      <sz val="11.0"/>
      <color rgb="FF000000"/>
      <name val="Times New Roman"/>
    </font>
    <font>
      <b/>
      <sz val="12.0"/>
      <color rgb="FF000000"/>
      <name val="Times New Roman"/>
    </font>
    <font>
      <color theme="1"/>
      <name val="Arial"/>
      <scheme val="minor"/>
    </font>
    <font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ill="1" applyFont="1">
      <alignment horizontal="center"/>
    </xf>
    <xf borderId="1" fillId="2" fontId="1" numFmtId="0" xfId="0" applyBorder="1" applyFill="1" applyFont="1"/>
    <xf borderId="0" fillId="0" fontId="3" numFmtId="0" xfId="0" applyFont="1"/>
    <xf borderId="2" fillId="2" fontId="4" numFmtId="0" xfId="0" applyAlignment="1" applyBorder="1" applyFill="1" applyFont="1">
      <alignment horizontal="center" vertical="top"/>
    </xf>
    <xf borderId="3" fillId="0" fontId="5" numFmtId="0" xfId="0" applyBorder="1" applyFont="1"/>
    <xf borderId="4" fillId="0" fontId="5" numFmtId="0" xfId="0" applyBorder="1" applyFont="1"/>
    <xf borderId="2" fillId="2" fontId="6" numFmtId="0" xfId="0" applyAlignment="1" applyBorder="1" applyFill="1" applyFont="1">
      <alignment horizontal="center" vertical="center"/>
    </xf>
    <xf borderId="2" fillId="2" fontId="7" numFmtId="0" xfId="0" applyAlignment="1" applyBorder="1" applyFill="1" applyFont="1">
      <alignment horizontal="center"/>
    </xf>
    <xf borderId="5" fillId="3" fontId="8" numFmtId="0" xfId="0" applyAlignment="1" applyBorder="1" applyFill="1" applyFont="1">
      <alignment horizontal="center" vertical="center"/>
    </xf>
    <xf borderId="6" fillId="3" fontId="9" numFmtId="0" xfId="0" applyAlignment="1" applyBorder="1" applyFill="1" applyFont="1">
      <alignment horizontal="center" readingOrder="0" shrinkToFit="0" vertical="center" wrapText="1"/>
    </xf>
    <xf borderId="6" fillId="3" fontId="10" numFmtId="0" xfId="0" applyAlignment="1" applyBorder="1" applyFill="1" applyFont="1">
      <alignment horizontal="left" shrinkToFit="0" vertical="center" wrapText="1"/>
    </xf>
    <xf borderId="6" fillId="3" fontId="11" numFmtId="0" xfId="0" applyAlignment="1" applyBorder="1" applyFill="1" applyFont="1">
      <alignment horizontal="center" shrinkToFit="0" vertical="center" wrapText="1"/>
    </xf>
    <xf borderId="6" fillId="3" fontId="12" numFmtId="0" xfId="0" applyAlignment="1" applyBorder="1" applyFill="1" applyFont="1">
      <alignment horizontal="left" readingOrder="0" shrinkToFit="0" vertical="center" wrapText="1"/>
    </xf>
    <xf quotePrefix="1" borderId="7" fillId="4" fontId="1" numFmtId="0" xfId="0" applyAlignment="1" applyBorder="1" applyFill="1" applyFont="1">
      <alignment horizontal="center" readingOrder="0" vertical="center"/>
    </xf>
    <xf borderId="8" fillId="2" fontId="13" numFmtId="164" xfId="0" applyAlignment="1" applyBorder="1" applyFill="1" applyFont="1" applyNumberFormat="1">
      <alignment horizontal="left" readingOrder="1" shrinkToFit="0" vertical="center" wrapText="0"/>
    </xf>
    <xf borderId="8" fillId="2" fontId="13" numFmtId="164" xfId="0" applyAlignment="1" applyBorder="1" applyFill="1" applyFont="1" applyNumberFormat="1">
      <alignment horizontal="left" shrinkToFit="0" vertical="center" wrapText="0"/>
    </xf>
    <xf borderId="8" fillId="0" fontId="14" numFmtId="0" xfId="0" applyAlignment="1" applyBorder="1" applyFont="1">
      <alignment horizontal="left" readingOrder="0" shrinkToFit="0" vertical="center" wrapText="0"/>
    </xf>
    <xf borderId="8" fillId="0" fontId="2" numFmtId="0" xfId="0" applyAlignment="1" applyBorder="1" applyFont="1">
      <alignment horizontal="left" readingOrder="0" shrinkToFit="0" vertical="center" wrapText="0"/>
    </xf>
    <xf borderId="8" fillId="4" fontId="15" numFmtId="0" xfId="0" applyAlignment="1" applyBorder="1" applyFill="1" applyFont="1">
      <alignment horizontal="left" readingOrder="0" shrinkToFit="0" vertical="center" wrapText="0"/>
    </xf>
    <xf borderId="9" fillId="4" fontId="14" numFmtId="0" xfId="0" applyAlignment="1" applyBorder="1" applyFill="1" applyFont="1">
      <alignment horizontal="center" readingOrder="0" shrinkToFit="0" vertical="center" wrapText="0"/>
    </xf>
    <xf borderId="8" fillId="0" fontId="14" numFmtId="165" xfId="0" applyAlignment="1" applyBorder="1" applyFont="1" applyNumberFormat="1">
      <alignment horizontal="left" readingOrder="0" shrinkToFit="0" vertical="center" wrapText="0"/>
    </xf>
    <xf borderId="10" fillId="4" fontId="16" numFmtId="165" xfId="0" applyAlignment="1" applyBorder="1" applyFill="1" applyFont="1" applyNumberFormat="1">
      <alignment horizontal="right" readingOrder="0" shrinkToFit="0" vertical="center" wrapText="0"/>
    </xf>
    <xf borderId="11" fillId="4" fontId="2" numFmtId="165" xfId="0" applyAlignment="1" applyBorder="1" applyFill="1" applyFont="1" applyNumberFormat="1">
      <alignment horizontal="left" readingOrder="0" vertical="center"/>
    </xf>
    <xf borderId="11" fillId="4" fontId="2" numFmtId="165" xfId="0" applyAlignment="1" applyBorder="1" applyFill="1" applyFont="1" applyNumberFormat="1">
      <alignment horizontal="center" readingOrder="0" vertical="center"/>
    </xf>
    <xf borderId="12" fillId="4" fontId="17" numFmtId="165" xfId="0" applyAlignment="1" applyBorder="1" applyFill="1" applyFont="1" applyNumberFormat="1">
      <alignment horizontal="left" vertical="center"/>
    </xf>
    <xf borderId="7" fillId="4" fontId="1" numFmtId="0" xfId="0" applyAlignment="1" applyBorder="1" applyFill="1" applyFont="1">
      <alignment horizontal="center" readingOrder="0" vertical="center"/>
    </xf>
    <xf borderId="8" fillId="0" fontId="2" numFmtId="0" xfId="0" applyAlignment="1" applyBorder="1" applyFont="1">
      <alignment horizontal="left" shrinkToFit="0" vertical="center" wrapText="0"/>
    </xf>
    <xf borderId="13" fillId="4" fontId="17" numFmtId="165" xfId="0" applyAlignment="1" applyBorder="1" applyFill="1" applyFont="1" applyNumberFormat="1">
      <alignment horizontal="left" vertical="center"/>
    </xf>
    <xf borderId="8" fillId="4" fontId="15" numFmtId="166" xfId="0" applyAlignment="1" applyBorder="1" applyFill="1" applyFont="1" applyNumberFormat="1">
      <alignment horizontal="left" readingOrder="0" shrinkToFit="0" vertical="center" wrapText="0"/>
    </xf>
    <xf borderId="8" fillId="0" fontId="2" numFmtId="0" xfId="0" applyAlignment="1" applyBorder="1" applyFont="1">
      <alignment horizontal="left" readingOrder="1" shrinkToFit="0" vertical="center" wrapText="0"/>
    </xf>
    <xf borderId="8" fillId="0" fontId="16" numFmtId="165" xfId="0" applyAlignment="1" applyBorder="1" applyFont="1" applyNumberFormat="1">
      <alignment horizontal="right" shrinkToFit="0" vertical="center" wrapText="0"/>
    </xf>
    <xf borderId="8" fillId="4" fontId="2" numFmtId="165" xfId="0" applyAlignment="1" applyBorder="1" applyFill="1" applyFont="1" applyNumberFormat="1">
      <alignment horizontal="center" readingOrder="0" vertical="center"/>
    </xf>
    <xf borderId="14" fillId="4" fontId="17" numFmtId="165" xfId="0" applyAlignment="1" applyBorder="1" applyFill="1" applyFont="1" applyNumberFormat="1">
      <alignment horizontal="left" vertical="center"/>
    </xf>
    <xf borderId="8" fillId="0" fontId="15" numFmtId="166" xfId="0" applyAlignment="1" applyBorder="1" applyFont="1" applyNumberFormat="1">
      <alignment horizontal="left" readingOrder="0" shrinkToFit="0" vertical="center" wrapText="0"/>
    </xf>
    <xf borderId="8" fillId="4" fontId="16" numFmtId="165" xfId="0" applyAlignment="1" applyBorder="1" applyFill="1" applyFont="1" applyNumberFormat="1">
      <alignment horizontal="right" readingOrder="0" shrinkToFit="0" vertical="center" wrapText="0"/>
    </xf>
    <xf borderId="8" fillId="0" fontId="15" numFmtId="167" xfId="0" applyAlignment="1" applyBorder="1" applyFont="1" applyNumberFormat="1">
      <alignment horizontal="left" readingOrder="0" shrinkToFit="0" vertical="center" wrapText="0"/>
    </xf>
    <xf borderId="8" fillId="0" fontId="15" numFmtId="164" xfId="0" applyAlignment="1" applyBorder="1" applyFont="1" applyNumberFormat="1">
      <alignment horizontal="left" readingOrder="0" shrinkToFit="0" vertical="center" wrapText="0"/>
    </xf>
    <xf borderId="8" fillId="0" fontId="14" numFmtId="3" xfId="0" applyAlignment="1" applyBorder="1" applyFont="1" applyNumberFormat="1">
      <alignment horizontal="left" readingOrder="0" shrinkToFit="0" vertical="center" wrapText="0"/>
    </xf>
    <xf borderId="8" fillId="0" fontId="15" numFmtId="164" xfId="0" applyAlignment="1" applyBorder="1" applyFont="1" applyNumberFormat="1">
      <alignment horizontal="left" shrinkToFit="0" vertical="center" wrapText="0"/>
    </xf>
    <xf borderId="8" fillId="4" fontId="2" numFmtId="165" xfId="0" applyAlignment="1" applyBorder="1" applyFill="1" applyFont="1" applyNumberFormat="1">
      <alignment horizontal="center" vertical="center"/>
    </xf>
    <xf borderId="15" fillId="4" fontId="14" numFmtId="0" xfId="0" applyAlignment="1" applyBorder="1" applyFill="1" applyFont="1">
      <alignment horizontal="center" readingOrder="0" shrinkToFit="0" vertical="center" wrapText="0"/>
    </xf>
    <xf borderId="8" fillId="4" fontId="16" numFmtId="165" xfId="0" applyAlignment="1" applyBorder="1" applyFill="1" applyFont="1" applyNumberFormat="1">
      <alignment horizontal="right" shrinkToFit="0" vertical="center" wrapText="0"/>
    </xf>
    <xf borderId="8" fillId="4" fontId="2" numFmtId="0" xfId="0" applyAlignment="1" applyBorder="1" applyFill="1" applyFont="1">
      <alignment horizontal="center" readingOrder="0" vertical="center"/>
    </xf>
    <xf borderId="14" fillId="4" fontId="18" numFmtId="168" xfId="0" applyAlignment="1" applyBorder="1" applyFill="1" applyFont="1" applyNumberFormat="1">
      <alignment horizontal="left" vertical="center"/>
    </xf>
    <xf borderId="8" fillId="4" fontId="2" numFmtId="49" xfId="0" applyAlignment="1" applyBorder="1" applyFill="1" applyFont="1" applyNumberFormat="1">
      <alignment horizontal="center" readingOrder="0" vertical="center"/>
    </xf>
    <xf borderId="14" fillId="4" fontId="1" numFmtId="15" xfId="0" applyAlignment="1" applyBorder="1" applyFill="1" applyFont="1" applyNumberFormat="1">
      <alignment horizontal="left" vertical="center"/>
    </xf>
    <xf borderId="8" fillId="0" fontId="19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4" fontId="2" numFmtId="0" xfId="0" applyAlignment="1" applyBorder="1" applyFill="1" applyFont="1">
      <alignment shrinkToFit="0" vertical="center" wrapText="0"/>
    </xf>
    <xf borderId="8" fillId="0" fontId="16" numFmtId="165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left" shrinkToFit="0" vertical="center" wrapText="0"/>
    </xf>
    <xf borderId="8" fillId="0" fontId="15" numFmtId="0" xfId="0" applyAlignment="1" applyBorder="1" applyFont="1">
      <alignment horizontal="left" readingOrder="0" shrinkToFit="0" vertical="center" wrapText="0"/>
    </xf>
    <xf borderId="9" fillId="0" fontId="14" numFmtId="0" xfId="0" applyAlignment="1" applyBorder="1" applyFont="1">
      <alignment horizontal="center" readingOrder="0" shrinkToFit="0" vertical="center" wrapText="0"/>
    </xf>
    <xf borderId="8" fillId="2" fontId="16" numFmtId="165" xfId="0" applyAlignment="1" applyBorder="1" applyFill="1" applyFont="1" applyNumberFormat="1">
      <alignment horizontal="right" shrinkToFit="0" vertical="center" wrapText="0"/>
    </xf>
    <xf borderId="15" fillId="0" fontId="14" numFmtId="0" xfId="0" applyAlignment="1" applyBorder="1" applyFont="1">
      <alignment horizontal="center" readingOrder="0" shrinkToFit="0" vertical="center" wrapText="0"/>
    </xf>
    <xf borderId="14" fillId="4" fontId="1" numFmtId="164" xfId="0" applyAlignment="1" applyBorder="1" applyFill="1" applyFont="1" applyNumberFormat="1">
      <alignment horizontal="left" vertical="center"/>
    </xf>
    <xf borderId="8" fillId="0" fontId="13" numFmtId="164" xfId="0" applyAlignment="1" applyBorder="1" applyFont="1" applyNumberFormat="1">
      <alignment horizontal="left" readingOrder="1" shrinkToFit="0" vertical="center" wrapText="0"/>
    </xf>
    <xf borderId="8" fillId="2" fontId="2" numFmtId="0" xfId="0" applyAlignment="1" applyBorder="1" applyFill="1" applyFont="1">
      <alignment horizontal="left" shrinkToFit="0" vertical="center" wrapText="0"/>
    </xf>
    <xf borderId="8" fillId="4" fontId="2" numFmtId="0" xfId="0" applyAlignment="1" applyBorder="1" applyFill="1" applyFont="1">
      <alignment horizontal="center" vertical="center"/>
    </xf>
    <xf borderId="8" fillId="4" fontId="14" numFmtId="165" xfId="0" applyAlignment="1" applyBorder="1" applyFill="1" applyFont="1" applyNumberFormat="1">
      <alignment horizontal="right" readingOrder="0" shrinkToFit="0" vertical="center" wrapText="0"/>
    </xf>
    <xf borderId="8" fillId="4" fontId="14" numFmtId="165" xfId="0" applyAlignment="1" applyBorder="1" applyFill="1" applyFont="1" applyNumberFormat="1">
      <alignment readingOrder="0" shrinkToFit="0" vertical="center" wrapText="0"/>
    </xf>
    <xf borderId="8" fillId="4" fontId="14" numFmtId="3" xfId="0" applyAlignment="1" applyBorder="1" applyFill="1" applyFont="1" applyNumberFormat="1">
      <alignment horizontal="right" readingOrder="0" shrinkToFit="0" vertical="center" wrapText="0"/>
    </xf>
    <xf borderId="8" fillId="4" fontId="14" numFmtId="0" xfId="0" applyAlignment="1" applyBorder="1" applyFill="1" applyFont="1">
      <alignment horizontal="left" readingOrder="0" shrinkToFit="0" vertical="center" wrapText="0"/>
    </xf>
    <xf borderId="8" fillId="4" fontId="14" numFmtId="0" xfId="0" applyAlignment="1" applyBorder="1" applyFill="1" applyFont="1">
      <alignment horizontal="center" readingOrder="0" shrinkToFit="0" vertical="center" wrapText="0"/>
    </xf>
    <xf borderId="8" fillId="0" fontId="15" numFmtId="169" xfId="0" applyAlignment="1" applyBorder="1" applyFont="1" applyNumberFormat="1">
      <alignment horizontal="left" readingOrder="0" shrinkToFit="0" vertical="center" wrapText="0"/>
    </xf>
    <xf borderId="14" fillId="4" fontId="2" numFmtId="15" xfId="0" applyAlignment="1" applyBorder="1" applyFill="1" applyFont="1" applyNumberFormat="1">
      <alignment horizontal="left" vertical="center"/>
    </xf>
    <xf borderId="8" fillId="4" fontId="13" numFmtId="165" xfId="0" applyAlignment="1" applyBorder="1" applyFill="1" applyFont="1" applyNumberFormat="1">
      <alignment horizontal="center" vertical="center"/>
    </xf>
    <xf borderId="8" fillId="4" fontId="13" numFmtId="0" xfId="0" applyAlignment="1" applyBorder="1" applyFill="1" applyFont="1">
      <alignment horizontal="center" readingOrder="0" vertical="center"/>
    </xf>
    <xf borderId="8" fillId="4" fontId="2" numFmtId="3" xfId="0" applyAlignment="1" applyBorder="1" applyFill="1" applyFont="1" applyNumberFormat="1">
      <alignment horizontal="center" readingOrder="0"/>
    </xf>
    <xf borderId="14" fillId="4" fontId="1" numFmtId="3" xfId="0" applyAlignment="1" applyBorder="1" applyFill="1" applyFont="1" applyNumberFormat="1">
      <alignment horizontal="left"/>
    </xf>
    <xf borderId="8" fillId="4" fontId="2" numFmtId="0" xfId="0" applyAlignment="1" applyBorder="1" applyFill="1" applyFont="1">
      <alignment shrinkToFit="0" vertical="center" wrapText="0"/>
    </xf>
    <xf borderId="8" fillId="4" fontId="16" numFmtId="0" xfId="0" applyAlignment="1" applyBorder="1" applyFill="1" applyFont="1">
      <alignment horizontal="center" shrinkToFit="0" vertical="center" wrapText="0"/>
    </xf>
    <xf borderId="8" fillId="0" fontId="16" numFmtId="165" xfId="0" applyAlignment="1" applyBorder="1" applyFont="1" applyNumberFormat="1">
      <alignment horizontal="left" shrinkToFit="0" vertical="center" wrapText="0"/>
    </xf>
    <xf borderId="8" fillId="0" fontId="16" numFmtId="165" xfId="0" applyAlignment="1" applyBorder="1" applyFont="1" applyNumberFormat="1">
      <alignment horizontal="center" readingOrder="0" shrinkToFit="0" vertical="center" wrapText="0"/>
    </xf>
    <xf borderId="14" fillId="4" fontId="1" numFmtId="165" xfId="0" applyAlignment="1" applyBorder="1" applyFill="1" applyFont="1" applyNumberFormat="1">
      <alignment horizontal="left" readingOrder="0" shrinkToFit="0" vertical="center" wrapText="0"/>
    </xf>
    <xf borderId="8" fillId="4" fontId="13" numFmtId="167" xfId="0" applyAlignment="1" applyBorder="1" applyFill="1" applyFont="1" applyNumberFormat="1">
      <alignment horizontal="left" readingOrder="0" shrinkToFit="0" vertical="center" wrapText="0"/>
    </xf>
    <xf borderId="8" fillId="4" fontId="13" numFmtId="165" xfId="0" applyAlignment="1" applyBorder="1" applyFill="1" applyFont="1" applyNumberFormat="1">
      <alignment horizontal="center" readingOrder="0" vertical="center"/>
    </xf>
    <xf borderId="8" fillId="4" fontId="14" numFmtId="165" xfId="0" applyAlignment="1" applyBorder="1" applyFill="1" applyFont="1" applyNumberFormat="1">
      <alignment horizontal="left" readingOrder="0" shrinkToFit="0" vertical="center" wrapText="0"/>
    </xf>
    <xf borderId="8" fillId="0" fontId="14" numFmtId="165" xfId="0" applyAlignment="1" applyBorder="1" applyFont="1" applyNumberFormat="1">
      <alignment horizontal="right" readingOrder="0" shrinkToFit="0" vertical="center" wrapText="0"/>
    </xf>
    <xf borderId="8" fillId="4" fontId="13" numFmtId="167" xfId="0" applyAlignment="1" applyBorder="1" applyFill="1" applyFont="1" applyNumberFormat="1">
      <alignment horizontal="left" readingOrder="0" vertical="center"/>
    </xf>
    <xf borderId="8" fillId="4" fontId="20" numFmtId="0" xfId="0" applyAlignment="1" applyBorder="1" applyFill="1" applyFont="1">
      <alignment horizontal="center" readingOrder="0" vertical="center"/>
    </xf>
    <xf borderId="8" fillId="4" fontId="17" numFmtId="165" xfId="0" applyAlignment="1" applyBorder="1" applyFill="1" applyFont="1" applyNumberFormat="1">
      <alignment horizontal="left" readingOrder="0" vertical="center"/>
    </xf>
    <xf borderId="8" fillId="4" fontId="16" numFmtId="165" xfId="0" applyAlignment="1" applyBorder="1" applyFill="1" applyFont="1" applyNumberFormat="1">
      <alignment horizontal="left" readingOrder="0" vertical="center"/>
    </xf>
    <xf borderId="8" fillId="4" fontId="2" numFmtId="0" xfId="0" applyAlignment="1" applyBorder="1" applyFill="1" applyFont="1">
      <alignment shrinkToFit="0" vertical="center" wrapText="0"/>
    </xf>
    <xf borderId="8" fillId="4" fontId="13" numFmtId="164" xfId="0" applyAlignment="1" applyBorder="1" applyFill="1" applyFont="1" applyNumberFormat="1">
      <alignment horizontal="left" readingOrder="1" shrinkToFit="0" vertical="center" wrapText="0"/>
    </xf>
    <xf borderId="8" fillId="4" fontId="16" numFmtId="165" xfId="0" applyAlignment="1" applyBorder="1" applyFill="1" applyFont="1" applyNumberFormat="1">
      <alignment horizontal="left" shrinkToFit="0" vertical="center" wrapText="0"/>
    </xf>
    <xf borderId="14" fillId="4" fontId="18" numFmtId="0" xfId="0" applyAlignment="1" applyBorder="1" applyFill="1" applyFont="1">
      <alignment horizontal="left" readingOrder="0" vertical="center"/>
    </xf>
    <xf borderId="8" fillId="0" fontId="2" numFmtId="164" xfId="0" applyAlignment="1" applyBorder="1" applyFont="1" applyNumberFormat="1">
      <alignment horizontal="left" readingOrder="0" vertical="center"/>
    </xf>
    <xf borderId="8" fillId="4" fontId="13" numFmtId="0" xfId="0" applyAlignment="1" applyBorder="1" applyFill="1" applyFont="1">
      <alignment horizontal="left" readingOrder="0" vertical="center"/>
    </xf>
    <xf borderId="14" fillId="4" fontId="18" numFmtId="164" xfId="0" applyAlignment="1" applyBorder="1" applyFill="1" applyFont="1" applyNumberFormat="1">
      <alignment horizontal="left" readingOrder="1" vertical="center"/>
    </xf>
    <xf borderId="14" fillId="4" fontId="13" numFmtId="168" xfId="0" applyAlignment="1" applyBorder="1" applyFill="1" applyFont="1" applyNumberFormat="1">
      <alignment horizontal="left" vertical="center"/>
    </xf>
    <xf borderId="8" fillId="0" fontId="16" numFmtId="0" xfId="0" applyAlignment="1" applyBorder="1" applyFont="1">
      <alignment horizontal="left" vertical="center"/>
    </xf>
    <xf borderId="8" fillId="2" fontId="2" numFmtId="0" xfId="0" applyAlignment="1" applyBorder="1" applyFill="1" applyFont="1">
      <alignment shrinkToFit="0" vertical="center" wrapText="1"/>
    </xf>
    <xf borderId="14" fillId="4" fontId="16" numFmtId="165" xfId="0" applyAlignment="1" applyBorder="1" applyFill="1" applyFont="1" applyNumberFormat="1">
      <alignment horizontal="left" vertical="center"/>
    </xf>
    <xf borderId="8" fillId="4" fontId="20" numFmtId="0" xfId="0" applyAlignment="1" applyBorder="1" applyFill="1" applyFont="1">
      <alignment horizontal="left" readingOrder="0" vertical="center"/>
    </xf>
    <xf borderId="8" fillId="0" fontId="2" numFmtId="0" xfId="0" applyAlignment="1" applyBorder="1" applyFont="1">
      <alignment vertical="center"/>
    </xf>
    <xf borderId="16" fillId="4" fontId="16" numFmtId="0" xfId="0" applyAlignment="1" applyBorder="1" applyFill="1" applyFont="1">
      <alignment horizontal="center" vertical="center"/>
    </xf>
    <xf borderId="8" fillId="0" fontId="16" numFmtId="165" xfId="0" applyAlignment="1" applyBorder="1" applyFont="1" applyNumberFormat="1">
      <alignment horizontal="left" vertical="center"/>
    </xf>
    <xf borderId="8" fillId="4" fontId="2" numFmtId="0" xfId="0" applyAlignment="1" applyBorder="1" applyFill="1" applyFont="1">
      <alignment shrinkToFit="0" vertical="center" wrapText="1"/>
    </xf>
    <xf borderId="8" fillId="4" fontId="2" numFmtId="0" xfId="0" applyAlignment="1" applyBorder="1" applyFill="1" applyFont="1">
      <alignment readingOrder="0" shrinkToFit="0" vertical="center" wrapText="1"/>
    </xf>
    <xf borderId="8" fillId="0" fontId="16" numFmtId="165" xfId="0" applyAlignment="1" applyBorder="1" applyFont="1" applyNumberFormat="1">
      <alignment horizontal="right" readingOrder="0" vertical="center"/>
    </xf>
    <xf borderId="8" fillId="0" fontId="16" numFmtId="165" xfId="0" applyAlignment="1" applyBorder="1" applyFont="1" applyNumberFormat="1">
      <alignment horizontal="center" readingOrder="0" vertical="center"/>
    </xf>
    <xf borderId="14" fillId="4" fontId="13" numFmtId="164" xfId="0" applyAlignment="1" applyBorder="1" applyFill="1" applyFont="1" applyNumberFormat="1">
      <alignment horizontal="left" readingOrder="1" vertical="center"/>
    </xf>
    <xf borderId="8" fillId="0" fontId="2" numFmtId="164" xfId="0" applyAlignment="1" applyBorder="1" applyFont="1" applyNumberFormat="1">
      <alignment horizontal="left" vertical="center"/>
    </xf>
    <xf borderId="16" fillId="4" fontId="16" numFmtId="0" xfId="0" applyAlignment="1" applyBorder="1" applyFill="1" applyFont="1">
      <alignment horizontal="center" shrinkToFit="0" vertical="center" wrapText="1"/>
    </xf>
    <xf borderId="8" fillId="0" fontId="16" numFmtId="165" xfId="0" applyAlignment="1" applyBorder="1" applyFont="1" applyNumberFormat="1">
      <alignment horizontal="right" vertical="center"/>
    </xf>
    <xf borderId="8" fillId="2" fontId="16" numFmtId="165" xfId="0" applyAlignment="1" applyBorder="1" applyFill="1" applyFont="1" applyNumberFormat="1">
      <alignment horizontal="center" readingOrder="0" vertical="center"/>
    </xf>
    <xf borderId="8" fillId="4" fontId="16" numFmtId="0" xfId="0" applyAlignment="1" applyBorder="1" applyFill="1" applyFont="1">
      <alignment horizontal="left" readingOrder="0" vertical="center"/>
    </xf>
    <xf borderId="10" fillId="0" fontId="15" numFmtId="0" xfId="0" applyAlignment="1" applyBorder="1" applyFont="1">
      <alignment readingOrder="0" vertical="center"/>
    </xf>
    <xf borderId="15" fillId="0" fontId="15" numFmtId="0" xfId="0" applyAlignment="1" applyBorder="1" applyFont="1">
      <alignment readingOrder="0" vertical="center"/>
    </xf>
    <xf borderId="8" fillId="4" fontId="16" numFmtId="3" xfId="0" applyAlignment="1" applyBorder="1" applyFill="1" applyFont="1" applyNumberFormat="1">
      <alignment horizontal="right" readingOrder="0" vertical="center"/>
    </xf>
    <xf borderId="8" fillId="4" fontId="16" numFmtId="0" xfId="0" applyAlignment="1" applyBorder="1" applyFill="1" applyFont="1">
      <alignment horizontal="center" readingOrder="0" vertical="center"/>
    </xf>
    <xf borderId="8" fillId="0" fontId="16" numFmtId="165" xfId="0" applyAlignment="1" applyBorder="1" applyFont="1" applyNumberFormat="1">
      <alignment vertical="center"/>
    </xf>
    <xf borderId="8" fillId="4" fontId="2" numFmtId="167" xfId="0" applyAlignment="1" applyBorder="1" applyFill="1" applyFont="1" applyNumberFormat="1">
      <alignment horizontal="left" readingOrder="0" vertical="center"/>
    </xf>
    <xf borderId="8" fillId="4" fontId="16" numFmtId="0" xfId="0" applyAlignment="1" applyBorder="1" applyFill="1" applyFont="1">
      <alignment horizontal="left" vertical="center"/>
    </xf>
    <xf borderId="8" fillId="4" fontId="1" numFmtId="0" xfId="0" applyAlignment="1" applyBorder="1" applyFill="1" applyFont="1">
      <alignment horizontal="center" vertical="center"/>
    </xf>
    <xf borderId="8" fillId="4" fontId="17" numFmtId="0" xfId="0" applyAlignment="1" applyBorder="1" applyFill="1" applyFont="1">
      <alignment horizontal="left" vertical="center"/>
    </xf>
    <xf borderId="8" fillId="4" fontId="17" numFmtId="0" xfId="0" applyAlignment="1" applyBorder="1" applyFill="1" applyFont="1">
      <alignment vertical="center"/>
    </xf>
    <xf borderId="8" fillId="4" fontId="1" numFmtId="165" xfId="0" applyAlignment="1" applyBorder="1" applyFill="1" applyFont="1" applyNumberFormat="1">
      <alignment horizontal="left" vertical="center"/>
    </xf>
    <xf borderId="8" fillId="4" fontId="17" numFmtId="165" xfId="0" applyAlignment="1" applyBorder="1" applyFill="1" applyFont="1" applyNumberFormat="1">
      <alignment horizontal="left" vertical="center"/>
    </xf>
    <xf borderId="8" fillId="4" fontId="17" numFmtId="0" xfId="0" applyAlignment="1" applyBorder="1" applyFill="1" applyFont="1">
      <alignment shrinkToFit="0" vertical="center" wrapText="1"/>
    </xf>
    <xf borderId="8" fillId="4" fontId="1" numFmtId="0" xfId="0" applyAlignment="1" applyBorder="1" applyFill="1" applyFont="1">
      <alignment horizontal="left" shrinkToFit="0" vertical="center" wrapText="1"/>
    </xf>
    <xf borderId="8" fillId="4" fontId="17" numFmtId="0" xfId="0" applyAlignment="1" applyBorder="1" applyFill="1" applyFont="1">
      <alignment horizontal="left" shrinkToFit="0" vertical="center" wrapText="1"/>
    </xf>
    <xf borderId="8" fillId="4" fontId="2" numFmtId="0" xfId="0" applyAlignment="1" applyBorder="1" applyFill="1" applyFont="1">
      <alignment horizontal="center" shrinkToFit="0" vertical="center" wrapText="1"/>
    </xf>
    <xf borderId="8" fillId="4" fontId="21" numFmtId="0" xfId="0" applyAlignment="1" applyBorder="1" applyFill="1" applyFont="1">
      <alignment horizontal="left" vertical="center"/>
    </xf>
    <xf borderId="8" fillId="4" fontId="21" numFmtId="0" xfId="0" applyAlignment="1" applyBorder="1" applyFill="1" applyFont="1">
      <alignment vertical="center"/>
    </xf>
    <xf borderId="8" fillId="4" fontId="13" numFmtId="0" xfId="0" applyAlignment="1" applyBorder="1" applyFill="1" applyFont="1">
      <alignment horizontal="center" vertical="center"/>
    </xf>
    <xf borderId="8" fillId="4" fontId="1" numFmtId="0" xfId="0" applyAlignment="1" applyBorder="1" applyFill="1" applyFont="1">
      <alignment horizontal="left" vertical="center"/>
    </xf>
    <xf borderId="14" fillId="4" fontId="18" numFmtId="15" xfId="0" applyAlignment="1" applyBorder="1" applyFill="1" applyFont="1" applyNumberFormat="1">
      <alignment horizontal="left" vertical="center"/>
    </xf>
    <xf borderId="8" fillId="4" fontId="22" numFmtId="0" xfId="0" applyAlignment="1" applyBorder="1" applyFill="1" applyFont="1">
      <alignment vertical="center"/>
    </xf>
    <xf borderId="8" fillId="4" fontId="21" numFmtId="0" xfId="0" applyAlignment="1" applyBorder="1" applyFill="1" applyFont="1">
      <alignment horizontal="left" readingOrder="1" vertical="center"/>
    </xf>
    <xf borderId="8" fillId="4" fontId="13" numFmtId="0" xfId="0" applyAlignment="1" applyBorder="1" applyFill="1" applyFont="1">
      <alignment horizontal="center" readingOrder="1" vertical="center"/>
    </xf>
    <xf borderId="8" fillId="4" fontId="17" numFmtId="3" xfId="0" applyAlignment="1" applyBorder="1" applyFill="1" applyFont="1" applyNumberFormat="1">
      <alignment horizontal="left" vertical="center"/>
    </xf>
    <xf borderId="8" fillId="4" fontId="2" numFmtId="3" xfId="0" applyAlignment="1" applyBorder="1" applyFill="1" applyFont="1" applyNumberFormat="1">
      <alignment horizontal="center" vertical="center"/>
    </xf>
    <xf borderId="8" fillId="4" fontId="1" numFmtId="3" xfId="0" applyAlignment="1" applyBorder="1" applyFill="1" applyFont="1" applyNumberFormat="1">
      <alignment horizontal="left" vertical="center"/>
    </xf>
    <xf borderId="8" fillId="4" fontId="1" numFmtId="0" xfId="0" applyAlignment="1" applyBorder="1" applyFill="1" applyFont="1">
      <alignment horizontal="center" shrinkToFit="0" vertical="center" wrapText="1"/>
    </xf>
    <xf borderId="8" fillId="4" fontId="17" numFmtId="165" xfId="0" applyAlignment="1" applyBorder="1" applyFill="1" applyFont="1" applyNumberFormat="1">
      <alignment horizontal="center" vertical="center"/>
    </xf>
    <xf borderId="8" fillId="4" fontId="1" numFmtId="165" xfId="0" applyAlignment="1" applyBorder="1" applyFill="1" applyFont="1" applyNumberFormat="1">
      <alignment horizontal="center" vertical="center"/>
    </xf>
    <xf borderId="17" fillId="2" fontId="1" numFmtId="0" xfId="0" applyAlignment="1" applyBorder="1" applyFill="1" applyFont="1">
      <alignment vertical="center"/>
    </xf>
    <xf borderId="18" fillId="0" fontId="5" numFmtId="0" xfId="0" applyBorder="1" applyFont="1"/>
    <xf borderId="19" fillId="0" fontId="5" numFmtId="0" xfId="0" applyBorder="1" applyFont="1"/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23" fillId="0" fontId="5" numFmtId="0" xfId="0" applyBorder="1" applyFont="1"/>
    <xf borderId="24" fillId="0" fontId="5" numFmtId="0" xfId="0" applyBorder="1" applyFont="1"/>
    <xf borderId="0" fillId="0" fontId="23" numFmtId="0" xfId="0" applyAlignment="1" applyFont="1">
      <alignment horizontal="left"/>
    </xf>
    <xf borderId="0" fillId="0" fontId="24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2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5</xdr:row>
      <xdr:rowOff>19050</xdr:rowOff>
    </xdr:from>
    <xdr:ext cx="3667125" cy="333375"/>
    <xdr:sp>
      <xdr:nvSpPr>
        <xdr:cNvPr id="3" name="Shape 3"/>
        <xdr:cNvSpPr txBox="1"/>
      </xdr:nvSpPr>
      <xdr:spPr>
        <a:xfrm>
          <a:off x="3498150" y="3477950"/>
          <a:ext cx="3648000" cy="313200"/>
        </a:xfrm>
        <a:prstGeom prst="rect">
          <a:avLst/>
        </a:prstGeom>
        <a:solidFill>
          <a:srgbClr val="CCCCCC"/>
        </a:solidFill>
        <a:ln cap="flat" cmpd="sng" w="9525">
          <a:solidFill>
            <a:srgbClr val="99999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 u="sng"/>
            <a:t>Booking Form</a:t>
          </a:r>
          <a:r>
            <a:rPr b="1" i="0" lang="en-US" sz="1600" u="sng">
              <a:latin typeface="Arial"/>
              <a:ea typeface="Arial"/>
              <a:cs typeface="Arial"/>
              <a:sym typeface="Arial"/>
            </a:rPr>
            <a:t> Movment Register:</a:t>
          </a:r>
          <a:endParaRPr b="1" sz="16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11</xdr:col>
      <xdr:colOff>714375</xdr:colOff>
      <xdr:row>0</xdr:row>
      <xdr:rowOff>0</xdr:rowOff>
    </xdr:from>
    <xdr:ext cx="1857375" cy="1219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2</xdr:row>
      <xdr:rowOff>104775</xdr:rowOff>
    </xdr:from>
    <xdr:ext cx="1019175" cy="9048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3.38"/>
    <col customWidth="1" min="2" max="2" width="13.88"/>
    <col customWidth="1" min="3" max="3" width="10.38"/>
    <col customWidth="1" min="4" max="4" width="11.0"/>
    <col customWidth="1" min="5" max="5" width="17.13"/>
    <col customWidth="1" min="6" max="6" width="19.75"/>
    <col customWidth="1" min="7" max="7" width="9.5"/>
    <col customWidth="1" min="8" max="8" width="7.13"/>
    <col customWidth="1" min="9" max="9" width="12.75"/>
    <col customWidth="1" min="10" max="10" width="15.25"/>
    <col customWidth="1" min="11" max="11" width="23.5"/>
    <col customWidth="1" min="12" max="12" width="20.88"/>
    <col customWidth="1" min="13" max="13" width="41.38"/>
    <col customWidth="1" min="14" max="14" width="12.63"/>
  </cols>
  <sheetData>
    <row r="1" ht="6.75" customHeight="1">
      <c r="A1" s="1"/>
      <c r="B1" s="2"/>
      <c r="C1" s="2"/>
      <c r="D1" s="2"/>
      <c r="E1" s="1"/>
      <c r="F1" s="1"/>
      <c r="G1" s="3"/>
      <c r="H1" s="4"/>
      <c r="I1" s="4"/>
      <c r="J1" s="4"/>
      <c r="K1" s="5"/>
      <c r="L1" s="6"/>
      <c r="M1" s="4"/>
      <c r="N1" s="7"/>
    </row>
    <row r="2" ht="1.5" hidden="1" customHeight="1">
      <c r="A2" s="1"/>
      <c r="B2" s="2"/>
      <c r="C2" s="2"/>
      <c r="D2" s="2"/>
      <c r="E2" s="1"/>
      <c r="F2" s="1"/>
      <c r="G2" s="3"/>
      <c r="H2" s="4"/>
      <c r="I2" s="4"/>
      <c r="J2" s="4"/>
      <c r="K2" s="5"/>
      <c r="L2" s="6"/>
      <c r="M2" s="4"/>
      <c r="N2" s="7"/>
    </row>
    <row r="3" ht="24.0" customHeight="1">
      <c r="A3" s="8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10"/>
      <c r="N3" s="7"/>
    </row>
    <row r="4" ht="16.5" customHeight="1">
      <c r="A4" s="11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0"/>
      <c r="N4" s="7"/>
    </row>
    <row r="5" ht="16.5" customHeight="1">
      <c r="A5" s="12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7"/>
    </row>
    <row r="6" ht="42.75" customHeight="1">
      <c r="A6" s="1"/>
      <c r="B6" s="2"/>
      <c r="C6" s="2"/>
      <c r="D6" s="2"/>
      <c r="E6" s="1"/>
      <c r="F6" s="1"/>
      <c r="G6" s="3"/>
      <c r="H6" s="4"/>
      <c r="I6" s="4"/>
      <c r="J6" s="4"/>
      <c r="K6" s="5"/>
      <c r="L6" s="6"/>
      <c r="M6" s="4"/>
      <c r="N6" s="7"/>
    </row>
    <row r="7">
      <c r="A7" s="13" t="s">
        <v>3</v>
      </c>
      <c r="B7" s="14" t="s">
        <v>4</v>
      </c>
      <c r="C7" s="15" t="s">
        <v>5</v>
      </c>
      <c r="D7" s="16" t="s">
        <v>6</v>
      </c>
      <c r="E7" s="14" t="s">
        <v>7</v>
      </c>
      <c r="F7" s="16" t="s">
        <v>8</v>
      </c>
      <c r="G7" s="16" t="s">
        <v>9</v>
      </c>
      <c r="H7" s="17" t="s">
        <v>10</v>
      </c>
      <c r="I7" s="14" t="s">
        <v>11</v>
      </c>
      <c r="J7" s="14" t="s">
        <v>12</v>
      </c>
      <c r="K7" s="16" t="s">
        <v>13</v>
      </c>
      <c r="L7" s="16" t="s">
        <v>14</v>
      </c>
      <c r="M7" s="14" t="s">
        <v>15</v>
      </c>
      <c r="N7" s="7"/>
    </row>
    <row r="8" ht="21.75" customHeight="1">
      <c r="A8" s="18" t="s">
        <v>16</v>
      </c>
      <c r="B8" s="19"/>
      <c r="C8" s="20">
        <v>46050.0</v>
      </c>
      <c r="D8" s="21" t="s">
        <v>17</v>
      </c>
      <c r="E8" s="22" t="s">
        <v>18</v>
      </c>
      <c r="F8" s="23" t="s">
        <v>19</v>
      </c>
      <c r="G8" s="24" t="s">
        <v>20</v>
      </c>
      <c r="H8" s="25">
        <v>1.0</v>
      </c>
      <c r="I8" s="26">
        <v>100000.0</v>
      </c>
      <c r="J8" s="27" t="s">
        <v>21</v>
      </c>
      <c r="K8" s="28" t="s">
        <v>22</v>
      </c>
      <c r="L8" s="28" t="s">
        <v>23</v>
      </c>
      <c r="M8" s="29"/>
      <c r="N8" s="7"/>
    </row>
    <row r="9" ht="21.75" customHeight="1">
      <c r="A9" s="30" t="s">
        <v>24</v>
      </c>
      <c r="B9" s="19">
        <v>46118.0</v>
      </c>
      <c r="C9" s="19">
        <v>46099.0</v>
      </c>
      <c r="D9" s="21" t="s">
        <v>25</v>
      </c>
      <c r="E9" s="31" t="s">
        <v>26</v>
      </c>
      <c r="F9" s="23" t="s">
        <v>27</v>
      </c>
      <c r="G9" s="24" t="s">
        <v>20</v>
      </c>
      <c r="H9" s="25">
        <v>1.0</v>
      </c>
      <c r="I9" s="26">
        <v>150000.0</v>
      </c>
      <c r="J9" s="27" t="s">
        <v>21</v>
      </c>
      <c r="K9" s="28" t="s">
        <v>28</v>
      </c>
      <c r="L9" s="28" t="s">
        <v>28</v>
      </c>
      <c r="M9" s="32"/>
      <c r="N9" s="7"/>
    </row>
    <row r="10" ht="21.75" customHeight="1">
      <c r="A10" s="30" t="s">
        <v>29</v>
      </c>
      <c r="B10" s="19">
        <v>46118.0</v>
      </c>
      <c r="C10" s="33">
        <v>46100.0</v>
      </c>
      <c r="D10" s="21" t="s">
        <v>30</v>
      </c>
      <c r="E10" s="34" t="s">
        <v>31</v>
      </c>
      <c r="F10" s="23" t="s">
        <v>32</v>
      </c>
      <c r="G10" s="24" t="s">
        <v>33</v>
      </c>
      <c r="H10" s="25">
        <v>1.0</v>
      </c>
      <c r="I10" s="35">
        <v>200000.0</v>
      </c>
      <c r="J10" s="27" t="s">
        <v>21</v>
      </c>
      <c r="K10" s="36" t="s">
        <v>28</v>
      </c>
      <c r="L10" s="36" t="s">
        <v>28</v>
      </c>
      <c r="M10" s="37"/>
      <c r="N10" s="7"/>
    </row>
    <row r="11" ht="21.75" customHeight="1">
      <c r="A11" s="30" t="s">
        <v>34</v>
      </c>
      <c r="B11" s="19">
        <v>46118.0</v>
      </c>
      <c r="C11" s="38">
        <v>46069.0</v>
      </c>
      <c r="D11" s="21" t="s">
        <v>35</v>
      </c>
      <c r="E11" s="31" t="s">
        <v>31</v>
      </c>
      <c r="F11" s="23" t="s">
        <v>36</v>
      </c>
      <c r="G11" s="24" t="s">
        <v>33</v>
      </c>
      <c r="H11" s="25">
        <v>2.0</v>
      </c>
      <c r="I11" s="39">
        <v>500000.0</v>
      </c>
      <c r="J11" s="27" t="s">
        <v>21</v>
      </c>
      <c r="K11" s="36" t="s">
        <v>28</v>
      </c>
      <c r="L11" s="36" t="s">
        <v>28</v>
      </c>
      <c r="M11" s="37"/>
      <c r="N11" s="7"/>
    </row>
    <row r="12" ht="21.75" customHeight="1">
      <c r="A12" s="30" t="s">
        <v>37</v>
      </c>
      <c r="B12" s="19">
        <v>46118.0</v>
      </c>
      <c r="C12" s="40">
        <v>46114.0</v>
      </c>
      <c r="D12" s="21" t="s">
        <v>38</v>
      </c>
      <c r="E12" s="31" t="s">
        <v>39</v>
      </c>
      <c r="F12" s="23" t="s">
        <v>40</v>
      </c>
      <c r="G12" s="24" t="s">
        <v>20</v>
      </c>
      <c r="H12" s="25">
        <v>1.0</v>
      </c>
      <c r="I12" s="39">
        <v>100000.0</v>
      </c>
      <c r="J12" s="27" t="s">
        <v>41</v>
      </c>
      <c r="K12" s="36" t="s">
        <v>28</v>
      </c>
      <c r="L12" s="36" t="s">
        <v>28</v>
      </c>
      <c r="M12" s="37"/>
      <c r="N12" s="7"/>
    </row>
    <row r="13" ht="21.75" customHeight="1">
      <c r="A13" s="30" t="s">
        <v>42</v>
      </c>
      <c r="B13" s="19">
        <v>46118.0</v>
      </c>
      <c r="C13" s="41">
        <v>46097.0</v>
      </c>
      <c r="D13" s="42" t="s">
        <v>43</v>
      </c>
      <c r="E13" s="31" t="s">
        <v>18</v>
      </c>
      <c r="F13" s="23" t="s">
        <v>44</v>
      </c>
      <c r="G13" s="24" t="s">
        <v>45</v>
      </c>
      <c r="H13" s="25">
        <v>5.0</v>
      </c>
      <c r="I13" s="39">
        <v>500000.0</v>
      </c>
      <c r="J13" s="27" t="s">
        <v>21</v>
      </c>
      <c r="K13" s="36" t="s">
        <v>28</v>
      </c>
      <c r="L13" s="36" t="s">
        <v>46</v>
      </c>
      <c r="M13" s="37"/>
      <c r="N13" s="7"/>
    </row>
    <row r="14" ht="21.75" customHeight="1">
      <c r="A14" s="30" t="s">
        <v>47</v>
      </c>
      <c r="B14" s="19">
        <v>46118.0</v>
      </c>
      <c r="C14" s="43">
        <v>46093.0</v>
      </c>
      <c r="D14" s="21" t="s">
        <v>48</v>
      </c>
      <c r="E14" s="31" t="s">
        <v>49</v>
      </c>
      <c r="F14" s="23" t="s">
        <v>50</v>
      </c>
      <c r="G14" s="24" t="s">
        <v>33</v>
      </c>
      <c r="H14" s="25">
        <v>2.0</v>
      </c>
      <c r="I14" s="39">
        <v>100000.0</v>
      </c>
      <c r="J14" s="27" t="s">
        <v>21</v>
      </c>
      <c r="K14" s="44"/>
      <c r="L14" s="36" t="s">
        <v>46</v>
      </c>
      <c r="M14" s="37"/>
      <c r="N14" s="7"/>
    </row>
    <row r="15" ht="21.75" customHeight="1">
      <c r="A15" s="30" t="s">
        <v>51</v>
      </c>
      <c r="B15" s="19">
        <v>46118.0</v>
      </c>
      <c r="C15" s="43">
        <v>46071.0</v>
      </c>
      <c r="D15" s="42" t="s">
        <v>52</v>
      </c>
      <c r="E15" s="31" t="s">
        <v>49</v>
      </c>
      <c r="F15" s="23" t="s">
        <v>50</v>
      </c>
      <c r="G15" s="45" t="s">
        <v>20</v>
      </c>
      <c r="H15" s="25">
        <v>2.0</v>
      </c>
      <c r="I15" s="39">
        <v>100000.0</v>
      </c>
      <c r="J15" s="27" t="s">
        <v>21</v>
      </c>
      <c r="K15" s="44"/>
      <c r="L15" s="36" t="s">
        <v>53</v>
      </c>
      <c r="M15" s="37"/>
      <c r="N15" s="7"/>
    </row>
    <row r="16" ht="21.75" customHeight="1">
      <c r="A16" s="30" t="s">
        <v>54</v>
      </c>
      <c r="B16" s="19">
        <v>46118.0</v>
      </c>
      <c r="C16" s="41">
        <v>46099.0</v>
      </c>
      <c r="D16" s="21" t="s">
        <v>55</v>
      </c>
      <c r="E16" s="31" t="s">
        <v>56</v>
      </c>
      <c r="F16" s="23" t="s">
        <v>57</v>
      </c>
      <c r="G16" s="24" t="s">
        <v>20</v>
      </c>
      <c r="H16" s="25">
        <v>1.0</v>
      </c>
      <c r="I16" s="46">
        <f>5000+400000+40000</f>
        <v>445000</v>
      </c>
      <c r="J16" s="27" t="s">
        <v>41</v>
      </c>
      <c r="K16" s="36" t="s">
        <v>58</v>
      </c>
      <c r="L16" s="47" t="s">
        <v>23</v>
      </c>
      <c r="M16" s="48"/>
      <c r="N16" s="7"/>
    </row>
    <row r="17" ht="21.75" customHeight="1">
      <c r="A17" s="30" t="s">
        <v>59</v>
      </c>
      <c r="B17" s="19">
        <v>46118.0</v>
      </c>
      <c r="C17" s="40">
        <v>46098.0</v>
      </c>
      <c r="D17" s="21" t="s">
        <v>60</v>
      </c>
      <c r="E17" s="31" t="s">
        <v>61</v>
      </c>
      <c r="F17" s="23" t="s">
        <v>62</v>
      </c>
      <c r="G17" s="24" t="s">
        <v>20</v>
      </c>
      <c r="H17" s="25">
        <v>2.0</v>
      </c>
      <c r="I17" s="46">
        <f>100000+200000</f>
        <v>300000</v>
      </c>
      <c r="J17" s="27" t="s">
        <v>41</v>
      </c>
      <c r="K17" s="36" t="s">
        <v>58</v>
      </c>
      <c r="L17" s="49" t="s">
        <v>53</v>
      </c>
      <c r="M17" s="50"/>
      <c r="N17" s="7"/>
    </row>
    <row r="18" ht="21.75" customHeight="1">
      <c r="A18" s="30" t="s">
        <v>63</v>
      </c>
      <c r="B18" s="19">
        <v>46118.0</v>
      </c>
      <c r="C18" s="40">
        <v>46083.0</v>
      </c>
      <c r="D18" s="21" t="s">
        <v>64</v>
      </c>
      <c r="E18" s="31" t="s">
        <v>65</v>
      </c>
      <c r="F18" s="23" t="s">
        <v>66</v>
      </c>
      <c r="G18" s="24" t="s">
        <v>33</v>
      </c>
      <c r="H18" s="25">
        <v>1.0</v>
      </c>
      <c r="I18" s="46">
        <f>4000+96000</f>
        <v>100000</v>
      </c>
      <c r="J18" s="27" t="s">
        <v>41</v>
      </c>
      <c r="K18" s="44"/>
      <c r="L18" s="44"/>
      <c r="M18" s="37"/>
      <c r="N18" s="7"/>
    </row>
    <row r="19" ht="21.75" customHeight="1">
      <c r="A19" s="30" t="s">
        <v>67</v>
      </c>
      <c r="B19" s="19">
        <v>46118.0</v>
      </c>
      <c r="C19" s="40">
        <v>46110.0</v>
      </c>
      <c r="D19" s="51" t="s">
        <v>68</v>
      </c>
      <c r="E19" s="52" t="s">
        <v>69</v>
      </c>
      <c r="F19" s="53" t="s">
        <v>70</v>
      </c>
      <c r="G19" s="24" t="s">
        <v>33</v>
      </c>
      <c r="H19" s="25">
        <v>1.0</v>
      </c>
      <c r="I19" s="54">
        <v>150000.0</v>
      </c>
      <c r="J19" s="27" t="s">
        <v>41</v>
      </c>
      <c r="K19" s="36" t="s">
        <v>28</v>
      </c>
      <c r="L19" s="36" t="s">
        <v>28</v>
      </c>
      <c r="M19" s="37"/>
      <c r="N19" s="7"/>
    </row>
    <row r="20" ht="21.75" customHeight="1">
      <c r="A20" s="30" t="s">
        <v>71</v>
      </c>
      <c r="B20" s="19">
        <v>46118.0</v>
      </c>
      <c r="C20" s="40">
        <v>46110.0</v>
      </c>
      <c r="D20" s="21" t="s">
        <v>72</v>
      </c>
      <c r="E20" s="31" t="s">
        <v>69</v>
      </c>
      <c r="F20" s="23" t="s">
        <v>73</v>
      </c>
      <c r="G20" s="24" t="s">
        <v>33</v>
      </c>
      <c r="H20" s="25">
        <v>1.0</v>
      </c>
      <c r="I20" s="39">
        <v>150000.0</v>
      </c>
      <c r="J20" s="27" t="s">
        <v>41</v>
      </c>
      <c r="K20" s="44"/>
      <c r="L20" s="36" t="s">
        <v>46</v>
      </c>
      <c r="M20" s="37"/>
      <c r="N20" s="7"/>
    </row>
    <row r="21" ht="21.75" customHeight="1">
      <c r="A21" s="30" t="s">
        <v>74</v>
      </c>
      <c r="B21" s="38">
        <v>46130.0</v>
      </c>
      <c r="C21" s="38">
        <v>46054.0</v>
      </c>
      <c r="D21" s="21" t="s">
        <v>75</v>
      </c>
      <c r="E21" s="55" t="s">
        <v>76</v>
      </c>
      <c r="F21" s="56" t="s">
        <v>77</v>
      </c>
      <c r="G21" s="57" t="s">
        <v>33</v>
      </c>
      <c r="H21" s="25">
        <v>1.0</v>
      </c>
      <c r="I21" s="58">
        <f>1000+25000</f>
        <v>26000</v>
      </c>
      <c r="J21" s="27" t="s">
        <v>78</v>
      </c>
      <c r="K21" s="36" t="s">
        <v>58</v>
      </c>
      <c r="L21" s="36" t="s">
        <v>23</v>
      </c>
      <c r="M21" s="37"/>
      <c r="N21" s="7"/>
    </row>
    <row r="22" ht="21.75" customHeight="1">
      <c r="A22" s="30" t="s">
        <v>79</v>
      </c>
      <c r="B22" s="38">
        <v>46130.0</v>
      </c>
      <c r="C22" s="38">
        <v>46054.0</v>
      </c>
      <c r="D22" s="21" t="s">
        <v>80</v>
      </c>
      <c r="E22" s="55" t="s">
        <v>76</v>
      </c>
      <c r="F22" s="56" t="s">
        <v>77</v>
      </c>
      <c r="G22" s="59" t="s">
        <v>20</v>
      </c>
      <c r="H22" s="25">
        <v>1.0</v>
      </c>
      <c r="I22" s="58">
        <f>1000+100000</f>
        <v>101000</v>
      </c>
      <c r="J22" s="27" t="s">
        <v>78</v>
      </c>
      <c r="K22" s="36" t="s">
        <v>58</v>
      </c>
      <c r="L22" s="36" t="s">
        <v>46</v>
      </c>
      <c r="M22" s="37"/>
      <c r="N22" s="7"/>
    </row>
    <row r="23" ht="21.75" customHeight="1">
      <c r="A23" s="30" t="s">
        <v>81</v>
      </c>
      <c r="B23" s="38">
        <v>46130.0</v>
      </c>
      <c r="C23" s="38">
        <v>46054.0</v>
      </c>
      <c r="D23" s="21" t="s">
        <v>82</v>
      </c>
      <c r="E23" s="31" t="s">
        <v>76</v>
      </c>
      <c r="F23" s="56" t="s">
        <v>83</v>
      </c>
      <c r="G23" s="24" t="s">
        <v>33</v>
      </c>
      <c r="H23" s="25">
        <v>1.0</v>
      </c>
      <c r="I23" s="58">
        <f>1000+25000</f>
        <v>26000</v>
      </c>
      <c r="J23" s="27" t="s">
        <v>78</v>
      </c>
      <c r="K23" s="47" t="s">
        <v>58</v>
      </c>
      <c r="L23" s="36" t="s">
        <v>23</v>
      </c>
      <c r="M23" s="60"/>
      <c r="N23" s="7"/>
    </row>
    <row r="24" ht="21.75" customHeight="1">
      <c r="A24" s="30" t="s">
        <v>84</v>
      </c>
      <c r="B24" s="38">
        <v>46130.0</v>
      </c>
      <c r="C24" s="40">
        <v>46126.0</v>
      </c>
      <c r="D24" s="21" t="s">
        <v>85</v>
      </c>
      <c r="E24" s="31" t="s">
        <v>86</v>
      </c>
      <c r="F24" s="56" t="s">
        <v>87</v>
      </c>
      <c r="G24" s="24" t="s">
        <v>20</v>
      </c>
      <c r="H24" s="25">
        <v>1.0</v>
      </c>
      <c r="I24" s="39">
        <v>500000.0</v>
      </c>
      <c r="J24" s="27" t="s">
        <v>41</v>
      </c>
      <c r="K24" s="44"/>
      <c r="L24" s="36" t="s">
        <v>53</v>
      </c>
      <c r="M24" s="37"/>
      <c r="N24" s="7"/>
    </row>
    <row r="25" ht="21.75" customHeight="1">
      <c r="A25" s="30" t="s">
        <v>88</v>
      </c>
      <c r="B25" s="38">
        <v>46130.0</v>
      </c>
      <c r="C25" s="40">
        <v>46098.0</v>
      </c>
      <c r="D25" s="42" t="s">
        <v>89</v>
      </c>
      <c r="E25" s="31" t="s">
        <v>90</v>
      </c>
      <c r="F25" s="23" t="s">
        <v>91</v>
      </c>
      <c r="G25" s="24" t="s">
        <v>33</v>
      </c>
      <c r="H25" s="25">
        <v>2.0</v>
      </c>
      <c r="I25" s="39">
        <v>270000.0</v>
      </c>
      <c r="J25" s="27" t="s">
        <v>92</v>
      </c>
      <c r="K25" s="36" t="s">
        <v>93</v>
      </c>
      <c r="L25" s="47" t="s">
        <v>23</v>
      </c>
      <c r="M25" s="48"/>
      <c r="N25" s="7"/>
    </row>
    <row r="26" ht="21.75" customHeight="1">
      <c r="A26" s="30" t="s">
        <v>94</v>
      </c>
      <c r="B26" s="38">
        <v>46130.0</v>
      </c>
      <c r="C26" s="61">
        <v>46126.0</v>
      </c>
      <c r="D26" s="21" t="s">
        <v>95</v>
      </c>
      <c r="E26" s="31" t="s">
        <v>96</v>
      </c>
      <c r="F26" s="23" t="s">
        <v>97</v>
      </c>
      <c r="G26" s="24" t="s">
        <v>20</v>
      </c>
      <c r="H26" s="25">
        <v>1.0</v>
      </c>
      <c r="I26" s="39">
        <v>480000.0</v>
      </c>
      <c r="J26" s="27" t="s">
        <v>41</v>
      </c>
      <c r="K26" s="44"/>
      <c r="L26" s="36" t="s">
        <v>28</v>
      </c>
      <c r="M26" s="37"/>
      <c r="N26" s="7"/>
    </row>
    <row r="27" ht="21.75" customHeight="1">
      <c r="A27" s="30" t="s">
        <v>98</v>
      </c>
      <c r="B27" s="38">
        <v>46130.0</v>
      </c>
      <c r="C27" s="61">
        <v>46126.0</v>
      </c>
      <c r="D27" s="42" t="s">
        <v>99</v>
      </c>
      <c r="E27" s="31" t="s">
        <v>96</v>
      </c>
      <c r="F27" s="56" t="s">
        <v>100</v>
      </c>
      <c r="G27" s="24" t="s">
        <v>20</v>
      </c>
      <c r="H27" s="25">
        <v>1.0</v>
      </c>
      <c r="I27" s="39">
        <v>450000.0</v>
      </c>
      <c r="J27" s="27" t="s">
        <v>41</v>
      </c>
      <c r="K27" s="44"/>
      <c r="L27" s="36" t="s">
        <v>28</v>
      </c>
      <c r="M27" s="37"/>
      <c r="N27" s="7"/>
    </row>
    <row r="28" ht="21.75" customHeight="1">
      <c r="A28" s="30" t="s">
        <v>101</v>
      </c>
      <c r="B28" s="38">
        <v>46130.0</v>
      </c>
      <c r="C28" s="40">
        <v>46118.0</v>
      </c>
      <c r="D28" s="21" t="s">
        <v>102</v>
      </c>
      <c r="E28" s="62" t="s">
        <v>103</v>
      </c>
      <c r="F28" s="56" t="s">
        <v>104</v>
      </c>
      <c r="G28" s="24" t="s">
        <v>45</v>
      </c>
      <c r="H28" s="25">
        <v>5.0</v>
      </c>
      <c r="I28" s="39">
        <v>1500000.0</v>
      </c>
      <c r="J28" s="27" t="s">
        <v>41</v>
      </c>
      <c r="K28" s="44"/>
      <c r="L28" s="63"/>
      <c r="M28" s="48"/>
      <c r="N28" s="7"/>
    </row>
    <row r="29" ht="21.75" customHeight="1">
      <c r="A29" s="30" t="s">
        <v>105</v>
      </c>
      <c r="B29" s="38">
        <v>46139.0</v>
      </c>
      <c r="C29" s="40">
        <v>46135.0</v>
      </c>
      <c r="D29" s="21" t="s">
        <v>106</v>
      </c>
      <c r="E29" s="56" t="s">
        <v>76</v>
      </c>
      <c r="F29" s="23" t="s">
        <v>107</v>
      </c>
      <c r="G29" s="24" t="s">
        <v>20</v>
      </c>
      <c r="H29" s="25">
        <v>1.0</v>
      </c>
      <c r="I29" s="64">
        <v>120000.0</v>
      </c>
      <c r="J29" s="27" t="s">
        <v>41</v>
      </c>
      <c r="K29" s="36" t="s">
        <v>58</v>
      </c>
      <c r="L29" s="36" t="s">
        <v>46</v>
      </c>
      <c r="M29" s="37"/>
      <c r="N29" s="7"/>
    </row>
    <row r="30" ht="21.75" customHeight="1">
      <c r="A30" s="30" t="s">
        <v>108</v>
      </c>
      <c r="B30" s="38">
        <v>46139.0</v>
      </c>
      <c r="C30" s="40">
        <v>46132.0</v>
      </c>
      <c r="D30" s="21" t="s">
        <v>109</v>
      </c>
      <c r="E30" s="56" t="s">
        <v>110</v>
      </c>
      <c r="F30" s="23" t="s">
        <v>111</v>
      </c>
      <c r="G30" s="24" t="s">
        <v>20</v>
      </c>
      <c r="H30" s="25">
        <v>1.0</v>
      </c>
      <c r="I30" s="65">
        <v>50000.0</v>
      </c>
      <c r="J30" s="27" t="s">
        <v>41</v>
      </c>
      <c r="K30" s="44"/>
      <c r="L30" s="36" t="s">
        <v>28</v>
      </c>
      <c r="M30" s="37"/>
      <c r="N30" s="7"/>
    </row>
    <row r="31" ht="21.75" customHeight="1">
      <c r="A31" s="30" t="s">
        <v>112</v>
      </c>
      <c r="B31" s="38">
        <v>46139.0</v>
      </c>
      <c r="C31" s="40">
        <v>46122.0</v>
      </c>
      <c r="D31" s="21" t="s">
        <v>113</v>
      </c>
      <c r="E31" s="56" t="s">
        <v>114</v>
      </c>
      <c r="F31" s="23" t="s">
        <v>115</v>
      </c>
      <c r="G31" s="24" t="s">
        <v>20</v>
      </c>
      <c r="H31" s="25">
        <v>1.0</v>
      </c>
      <c r="I31" s="66">
        <v>300000.0</v>
      </c>
      <c r="J31" s="27" t="s">
        <v>41</v>
      </c>
      <c r="K31" s="63"/>
      <c r="L31" s="36" t="s">
        <v>28</v>
      </c>
      <c r="M31" s="60"/>
      <c r="N31" s="7"/>
    </row>
    <row r="32" ht="21.75" customHeight="1">
      <c r="A32" s="30" t="s">
        <v>116</v>
      </c>
      <c r="B32" s="38">
        <v>46139.0</v>
      </c>
      <c r="C32" s="40">
        <v>46140.0</v>
      </c>
      <c r="D32" s="21" t="s">
        <v>117</v>
      </c>
      <c r="E32" s="56" t="s">
        <v>90</v>
      </c>
      <c r="F32" s="23" t="s">
        <v>118</v>
      </c>
      <c r="G32" s="24" t="s">
        <v>20</v>
      </c>
      <c r="H32" s="25">
        <v>1.0</v>
      </c>
      <c r="I32" s="66">
        <v>300000.0</v>
      </c>
      <c r="J32" s="27" t="s">
        <v>41</v>
      </c>
      <c r="K32" s="44"/>
      <c r="L32" s="47" t="s">
        <v>28</v>
      </c>
      <c r="M32" s="60"/>
      <c r="N32" s="7"/>
    </row>
    <row r="33" ht="21.75" customHeight="1">
      <c r="A33" s="30" t="s">
        <v>119</v>
      </c>
      <c r="B33" s="38">
        <v>46139.0</v>
      </c>
      <c r="C33" s="40">
        <v>46122.0</v>
      </c>
      <c r="D33" s="21" t="s">
        <v>120</v>
      </c>
      <c r="E33" s="56" t="s">
        <v>114</v>
      </c>
      <c r="F33" s="23" t="s">
        <v>121</v>
      </c>
      <c r="G33" s="24" t="s">
        <v>20</v>
      </c>
      <c r="H33" s="25">
        <v>1.0</v>
      </c>
      <c r="I33" s="66">
        <v>300000.0</v>
      </c>
      <c r="J33" s="27" t="s">
        <v>41</v>
      </c>
      <c r="K33" s="44"/>
      <c r="L33" s="47" t="s">
        <v>28</v>
      </c>
      <c r="M33" s="48"/>
      <c r="N33" s="7"/>
    </row>
    <row r="34" ht="21.75" customHeight="1">
      <c r="A34" s="30" t="s">
        <v>122</v>
      </c>
      <c r="B34" s="38">
        <v>46139.0</v>
      </c>
      <c r="C34" s="40">
        <v>46132.0</v>
      </c>
      <c r="D34" s="21" t="s">
        <v>123</v>
      </c>
      <c r="E34" s="56" t="s">
        <v>18</v>
      </c>
      <c r="F34" s="23" t="s">
        <v>124</v>
      </c>
      <c r="G34" s="24" t="s">
        <v>20</v>
      </c>
      <c r="H34" s="25">
        <v>2.0</v>
      </c>
      <c r="I34" s="64">
        <v>100000.0</v>
      </c>
      <c r="J34" s="27" t="s">
        <v>41</v>
      </c>
      <c r="K34" s="44"/>
      <c r="L34" s="36" t="s">
        <v>28</v>
      </c>
      <c r="M34" s="37"/>
      <c r="N34" s="7"/>
    </row>
    <row r="35" ht="21.75" customHeight="1">
      <c r="A35" s="30" t="s">
        <v>125</v>
      </c>
      <c r="B35" s="38">
        <v>46139.0</v>
      </c>
      <c r="C35" s="40">
        <v>46142.0</v>
      </c>
      <c r="D35" s="67" t="s">
        <v>126</v>
      </c>
      <c r="E35" s="56" t="s">
        <v>127</v>
      </c>
      <c r="F35" s="23" t="s">
        <v>128</v>
      </c>
      <c r="G35" s="68" t="s">
        <v>33</v>
      </c>
      <c r="H35" s="25">
        <v>1.0</v>
      </c>
      <c r="I35" s="64">
        <v>100000.0</v>
      </c>
      <c r="J35" s="27" t="s">
        <v>78</v>
      </c>
      <c r="K35" s="44"/>
      <c r="L35" s="36" t="s">
        <v>53</v>
      </c>
      <c r="M35" s="37"/>
      <c r="N35" s="7"/>
    </row>
    <row r="36" ht="21.75" customHeight="1">
      <c r="A36" s="30" t="s">
        <v>129</v>
      </c>
      <c r="B36" s="38">
        <v>46139.0</v>
      </c>
      <c r="C36" s="40">
        <v>46142.0</v>
      </c>
      <c r="D36" s="21" t="s">
        <v>130</v>
      </c>
      <c r="E36" s="56" t="s">
        <v>69</v>
      </c>
      <c r="F36" s="23" t="s">
        <v>131</v>
      </c>
      <c r="G36" s="24" t="s">
        <v>20</v>
      </c>
      <c r="H36" s="25">
        <v>1.0</v>
      </c>
      <c r="I36" s="64">
        <v>100000.0</v>
      </c>
      <c r="J36" s="27" t="s">
        <v>41</v>
      </c>
      <c r="K36" s="44"/>
      <c r="L36" s="36" t="s">
        <v>28</v>
      </c>
      <c r="M36" s="37"/>
      <c r="N36" s="7"/>
    </row>
    <row r="37" ht="21.75" customHeight="1">
      <c r="A37" s="30" t="s">
        <v>132</v>
      </c>
      <c r="B37" s="38">
        <v>46139.0</v>
      </c>
      <c r="C37" s="69">
        <v>46146.0</v>
      </c>
      <c r="D37" s="21" t="s">
        <v>133</v>
      </c>
      <c r="E37" s="56" t="s">
        <v>134</v>
      </c>
      <c r="F37" s="23" t="s">
        <v>135</v>
      </c>
      <c r="G37" s="24" t="s">
        <v>20</v>
      </c>
      <c r="H37" s="25">
        <v>1.0</v>
      </c>
      <c r="I37" s="64">
        <v>200000.0</v>
      </c>
      <c r="J37" s="27" t="s">
        <v>41</v>
      </c>
      <c r="K37" s="44"/>
      <c r="L37" s="36" t="s">
        <v>28</v>
      </c>
      <c r="M37" s="37"/>
      <c r="N37" s="7"/>
    </row>
    <row r="38" ht="21.75" customHeight="1">
      <c r="A38" s="30" t="s">
        <v>136</v>
      </c>
      <c r="B38" s="38">
        <v>46162.0</v>
      </c>
      <c r="C38" s="69">
        <v>46158.0</v>
      </c>
      <c r="D38" s="21" t="s">
        <v>137</v>
      </c>
      <c r="E38" s="56" t="s">
        <v>134</v>
      </c>
      <c r="F38" s="23" t="s">
        <v>138</v>
      </c>
      <c r="G38" s="24" t="s">
        <v>33</v>
      </c>
      <c r="H38" s="25">
        <v>1.0</v>
      </c>
      <c r="I38" s="64">
        <v>100000.0</v>
      </c>
      <c r="J38" s="27" t="s">
        <v>41</v>
      </c>
      <c r="K38" s="36" t="s">
        <v>58</v>
      </c>
      <c r="L38" s="36" t="s">
        <v>93</v>
      </c>
      <c r="M38" s="37"/>
      <c r="N38" s="7"/>
    </row>
    <row r="39" ht="21.75" customHeight="1">
      <c r="A39" s="30" t="s">
        <v>139</v>
      </c>
      <c r="B39" s="38">
        <v>46178.0</v>
      </c>
      <c r="C39" s="69">
        <v>46165.0</v>
      </c>
      <c r="D39" s="21" t="s">
        <v>140</v>
      </c>
      <c r="E39" s="23" t="s">
        <v>141</v>
      </c>
      <c r="F39" s="23" t="s">
        <v>142</v>
      </c>
      <c r="G39" s="24" t="s">
        <v>20</v>
      </c>
      <c r="H39" s="25">
        <v>1.0</v>
      </c>
      <c r="I39" s="64">
        <v>55000.0</v>
      </c>
      <c r="J39" s="27" t="s">
        <v>41</v>
      </c>
      <c r="K39" s="36" t="s">
        <v>58</v>
      </c>
      <c r="L39" s="49" t="s">
        <v>53</v>
      </c>
      <c r="M39" s="70"/>
      <c r="N39" s="7"/>
    </row>
    <row r="40" ht="21.75" customHeight="1">
      <c r="A40" s="30" t="s">
        <v>143</v>
      </c>
      <c r="B40" s="38">
        <v>46180.0</v>
      </c>
      <c r="C40" s="69">
        <v>46156.0</v>
      </c>
      <c r="D40" s="21" t="s">
        <v>144</v>
      </c>
      <c r="E40" s="56" t="s">
        <v>18</v>
      </c>
      <c r="F40" s="23" t="s">
        <v>44</v>
      </c>
      <c r="G40" s="24" t="s">
        <v>20</v>
      </c>
      <c r="H40" s="25">
        <v>1.0</v>
      </c>
      <c r="I40" s="64">
        <v>100000.0</v>
      </c>
      <c r="J40" s="27" t="s">
        <v>21</v>
      </c>
      <c r="K40" s="44"/>
      <c r="L40" s="36" t="s">
        <v>28</v>
      </c>
      <c r="M40" s="37"/>
      <c r="N40" s="7"/>
    </row>
    <row r="41" ht="21.75" customHeight="1">
      <c r="A41" s="30" t="s">
        <v>145</v>
      </c>
      <c r="B41" s="38">
        <v>46180.0</v>
      </c>
      <c r="C41" s="69">
        <v>46156.0</v>
      </c>
      <c r="D41" s="21" t="s">
        <v>146</v>
      </c>
      <c r="E41" s="56" t="s">
        <v>18</v>
      </c>
      <c r="F41" s="23" t="s">
        <v>147</v>
      </c>
      <c r="G41" s="24" t="s">
        <v>20</v>
      </c>
      <c r="H41" s="25">
        <v>1.0</v>
      </c>
      <c r="I41" s="64">
        <v>100000.0</v>
      </c>
      <c r="J41" s="27" t="s">
        <v>21</v>
      </c>
      <c r="K41" s="44"/>
      <c r="L41" s="36" t="s">
        <v>28</v>
      </c>
      <c r="M41" s="37"/>
      <c r="N41" s="7"/>
    </row>
    <row r="42" ht="21.75" customHeight="1">
      <c r="A42" s="30" t="s">
        <v>148</v>
      </c>
      <c r="B42" s="38">
        <v>46182.0</v>
      </c>
      <c r="C42" s="69">
        <v>46163.0</v>
      </c>
      <c r="D42" s="21" t="s">
        <v>149</v>
      </c>
      <c r="E42" s="56" t="s">
        <v>150</v>
      </c>
      <c r="F42" s="23" t="s">
        <v>151</v>
      </c>
      <c r="G42" s="24" t="s">
        <v>20</v>
      </c>
      <c r="H42" s="25">
        <v>1.0</v>
      </c>
      <c r="I42" s="64">
        <v>60000.0</v>
      </c>
      <c r="J42" s="27" t="s">
        <v>41</v>
      </c>
      <c r="K42" s="44"/>
      <c r="L42" s="36" t="s">
        <v>28</v>
      </c>
      <c r="M42" s="37"/>
      <c r="N42" s="7"/>
    </row>
    <row r="43" ht="21.75" customHeight="1">
      <c r="A43" s="30" t="s">
        <v>152</v>
      </c>
      <c r="B43" s="38">
        <v>46184.0</v>
      </c>
      <c r="C43" s="40">
        <v>46183.0</v>
      </c>
      <c r="D43" s="21" t="s">
        <v>153</v>
      </c>
      <c r="E43" s="23" t="s">
        <v>154</v>
      </c>
      <c r="F43" s="23" t="s">
        <v>155</v>
      </c>
      <c r="G43" s="24" t="s">
        <v>156</v>
      </c>
      <c r="H43" s="25">
        <v>1.0</v>
      </c>
      <c r="I43" s="64">
        <v>100000.0</v>
      </c>
      <c r="J43" s="27" t="s">
        <v>41</v>
      </c>
      <c r="K43" s="71"/>
      <c r="L43" s="36" t="s">
        <v>53</v>
      </c>
      <c r="M43" s="37"/>
      <c r="N43" s="7"/>
    </row>
    <row r="44" ht="21.75" customHeight="1">
      <c r="A44" s="30" t="s">
        <v>157</v>
      </c>
      <c r="B44" s="38">
        <v>46190.0</v>
      </c>
      <c r="C44" s="40">
        <v>46184.0</v>
      </c>
      <c r="D44" s="21" t="s">
        <v>158</v>
      </c>
      <c r="E44" s="23" t="s">
        <v>56</v>
      </c>
      <c r="F44" s="23" t="s">
        <v>159</v>
      </c>
      <c r="G44" s="24" t="s">
        <v>33</v>
      </c>
      <c r="H44" s="25">
        <v>1.0</v>
      </c>
      <c r="I44" s="66">
        <v>103000.0</v>
      </c>
      <c r="J44" s="27" t="s">
        <v>41</v>
      </c>
      <c r="K44" s="72" t="s">
        <v>58</v>
      </c>
      <c r="L44" s="36" t="s">
        <v>46</v>
      </c>
      <c r="M44" s="60"/>
      <c r="N44" s="7"/>
    </row>
    <row r="45" ht="21.75" customHeight="1">
      <c r="A45" s="30" t="s">
        <v>160</v>
      </c>
      <c r="B45" s="38">
        <v>46191.0</v>
      </c>
      <c r="C45" s="40">
        <v>46187.0</v>
      </c>
      <c r="D45" s="21" t="s">
        <v>161</v>
      </c>
      <c r="E45" s="23" t="s">
        <v>154</v>
      </c>
      <c r="F45" s="23" t="s">
        <v>162</v>
      </c>
      <c r="G45" s="24" t="s">
        <v>20</v>
      </c>
      <c r="H45" s="25">
        <v>1.0</v>
      </c>
      <c r="I45" s="64">
        <v>100000.0</v>
      </c>
      <c r="J45" s="27" t="s">
        <v>41</v>
      </c>
      <c r="K45" s="44"/>
      <c r="L45" s="47" t="s">
        <v>53</v>
      </c>
      <c r="M45" s="48"/>
      <c r="N45" s="7"/>
    </row>
    <row r="46" ht="21.75" customHeight="1">
      <c r="A46" s="30" t="s">
        <v>163</v>
      </c>
      <c r="B46" s="38">
        <v>46191.0</v>
      </c>
      <c r="C46" s="40">
        <v>46190.0</v>
      </c>
      <c r="D46" s="21" t="s">
        <v>164</v>
      </c>
      <c r="E46" s="23" t="s">
        <v>165</v>
      </c>
      <c r="F46" s="23" t="s">
        <v>166</v>
      </c>
      <c r="G46" s="24" t="s">
        <v>20</v>
      </c>
      <c r="H46" s="25">
        <v>1.0</v>
      </c>
      <c r="I46" s="65">
        <v>60000.0</v>
      </c>
      <c r="J46" s="27" t="s">
        <v>41</v>
      </c>
      <c r="K46" s="44"/>
      <c r="L46" s="47" t="s">
        <v>23</v>
      </c>
      <c r="M46" s="60"/>
      <c r="N46" s="7"/>
    </row>
    <row r="47" ht="21.75" customHeight="1">
      <c r="A47" s="30" t="s">
        <v>167</v>
      </c>
      <c r="B47" s="38">
        <v>46196.0</v>
      </c>
      <c r="C47" s="40">
        <v>46195.0</v>
      </c>
      <c r="D47" s="21" t="s">
        <v>168</v>
      </c>
      <c r="E47" s="23" t="s">
        <v>18</v>
      </c>
      <c r="F47" s="23" t="s">
        <v>169</v>
      </c>
      <c r="G47" s="24" t="s">
        <v>20</v>
      </c>
      <c r="H47" s="25">
        <v>1.0</v>
      </c>
      <c r="I47" s="64">
        <v>150000.0</v>
      </c>
      <c r="J47" s="27" t="s">
        <v>41</v>
      </c>
      <c r="K47" s="36" t="s">
        <v>28</v>
      </c>
      <c r="L47" s="36" t="s">
        <v>23</v>
      </c>
      <c r="M47" s="37"/>
      <c r="N47" s="7"/>
    </row>
    <row r="48" ht="21.75" customHeight="1">
      <c r="A48" s="30" t="s">
        <v>170</v>
      </c>
      <c r="B48" s="38">
        <v>46208.0</v>
      </c>
      <c r="C48" s="40">
        <v>46205.0</v>
      </c>
      <c r="D48" s="21" t="s">
        <v>171</v>
      </c>
      <c r="E48" s="23" t="s">
        <v>172</v>
      </c>
      <c r="F48" s="23" t="s">
        <v>173</v>
      </c>
      <c r="G48" s="24" t="s">
        <v>33</v>
      </c>
      <c r="H48" s="25">
        <v>1.0</v>
      </c>
      <c r="I48" s="64">
        <v>80000.0</v>
      </c>
      <c r="J48" s="27" t="s">
        <v>41</v>
      </c>
      <c r="K48" s="36" t="s">
        <v>174</v>
      </c>
      <c r="L48" s="36" t="s">
        <v>23</v>
      </c>
      <c r="M48" s="37"/>
      <c r="N48" s="7"/>
    </row>
    <row r="49" ht="21.75" customHeight="1">
      <c r="A49" s="30" t="s">
        <v>175</v>
      </c>
      <c r="B49" s="38">
        <v>46208.0</v>
      </c>
      <c r="C49" s="61">
        <v>46203.0</v>
      </c>
      <c r="D49" s="21" t="s">
        <v>176</v>
      </c>
      <c r="E49" s="23" t="s">
        <v>177</v>
      </c>
      <c r="F49" s="23" t="s">
        <v>178</v>
      </c>
      <c r="G49" s="24" t="s">
        <v>20</v>
      </c>
      <c r="H49" s="25">
        <v>2.0</v>
      </c>
      <c r="I49" s="64">
        <v>100000.0</v>
      </c>
      <c r="J49" s="27" t="s">
        <v>41</v>
      </c>
      <c r="K49" s="36" t="s">
        <v>179</v>
      </c>
      <c r="L49" s="36" t="s">
        <v>23</v>
      </c>
      <c r="M49" s="37"/>
      <c r="N49" s="7"/>
    </row>
    <row r="50" ht="21.75" customHeight="1">
      <c r="A50" s="30" t="s">
        <v>180</v>
      </c>
      <c r="B50" s="38">
        <v>46223.0</v>
      </c>
      <c r="C50" s="61">
        <v>46212.0</v>
      </c>
      <c r="D50" s="21" t="s">
        <v>181</v>
      </c>
      <c r="E50" s="23" t="s">
        <v>182</v>
      </c>
      <c r="F50" s="23" t="s">
        <v>183</v>
      </c>
      <c r="G50" s="24" t="s">
        <v>33</v>
      </c>
      <c r="H50" s="25">
        <v>3.0</v>
      </c>
      <c r="I50" s="65">
        <v>50000.0</v>
      </c>
      <c r="J50" s="27" t="s">
        <v>78</v>
      </c>
      <c r="K50" s="44"/>
      <c r="L50" s="73" t="s">
        <v>23</v>
      </c>
      <c r="M50" s="74"/>
      <c r="N50" s="7"/>
    </row>
    <row r="51" ht="21.75" customHeight="1">
      <c r="A51" s="30" t="s">
        <v>184</v>
      </c>
      <c r="B51" s="38">
        <v>46223.0</v>
      </c>
      <c r="C51" s="40">
        <v>46201.0</v>
      </c>
      <c r="D51" s="21" t="s">
        <v>185</v>
      </c>
      <c r="E51" s="56" t="s">
        <v>61</v>
      </c>
      <c r="F51" s="23" t="s">
        <v>186</v>
      </c>
      <c r="G51" s="24" t="s">
        <v>20</v>
      </c>
      <c r="H51" s="25">
        <v>1.0</v>
      </c>
      <c r="I51" s="64">
        <v>100000.0</v>
      </c>
      <c r="J51" s="27" t="s">
        <v>41</v>
      </c>
      <c r="K51" s="36" t="s">
        <v>58</v>
      </c>
      <c r="L51" s="36" t="s">
        <v>53</v>
      </c>
      <c r="M51" s="37"/>
      <c r="N51" s="7"/>
    </row>
    <row r="52" ht="21.75" customHeight="1">
      <c r="A52" s="30" t="s">
        <v>187</v>
      </c>
      <c r="B52" s="38">
        <v>46224.0</v>
      </c>
      <c r="C52" s="40">
        <v>46219.0</v>
      </c>
      <c r="D52" s="21" t="s">
        <v>188</v>
      </c>
      <c r="E52" s="23" t="s">
        <v>103</v>
      </c>
      <c r="F52" s="23" t="s">
        <v>104</v>
      </c>
      <c r="G52" s="68" t="s">
        <v>45</v>
      </c>
      <c r="H52" s="25">
        <v>5.0</v>
      </c>
      <c r="I52" s="64">
        <v>500000.0</v>
      </c>
      <c r="J52" s="27" t="s">
        <v>41</v>
      </c>
      <c r="K52" s="44"/>
      <c r="L52" s="36" t="s">
        <v>46</v>
      </c>
      <c r="M52" s="37"/>
      <c r="N52" s="7"/>
    </row>
    <row r="53" ht="21.75" customHeight="1">
      <c r="A53" s="30" t="s">
        <v>189</v>
      </c>
      <c r="B53" s="38">
        <v>46225.0</v>
      </c>
      <c r="C53" s="40">
        <v>46216.0</v>
      </c>
      <c r="D53" s="21" t="s">
        <v>190</v>
      </c>
      <c r="E53" s="23" t="s">
        <v>127</v>
      </c>
      <c r="F53" s="23" t="s">
        <v>191</v>
      </c>
      <c r="G53" s="24" t="s">
        <v>33</v>
      </c>
      <c r="H53" s="25">
        <v>1.0</v>
      </c>
      <c r="I53" s="64">
        <v>100000.0</v>
      </c>
      <c r="J53" s="27" t="s">
        <v>78</v>
      </c>
      <c r="K53" s="44"/>
      <c r="L53" s="36" t="s">
        <v>23</v>
      </c>
      <c r="M53" s="37"/>
      <c r="N53" s="7"/>
    </row>
    <row r="54" ht="21.75" customHeight="1">
      <c r="A54" s="30" t="s">
        <v>192</v>
      </c>
      <c r="B54" s="38">
        <v>46229.0</v>
      </c>
      <c r="C54" s="61">
        <v>46219.0</v>
      </c>
      <c r="D54" s="21" t="s">
        <v>193</v>
      </c>
      <c r="E54" s="23" t="s">
        <v>18</v>
      </c>
      <c r="F54" s="23" t="s">
        <v>194</v>
      </c>
      <c r="G54" s="24" t="s">
        <v>20</v>
      </c>
      <c r="H54" s="25">
        <v>1.0</v>
      </c>
      <c r="I54" s="65">
        <v>69000.0</v>
      </c>
      <c r="J54" s="27" t="s">
        <v>41</v>
      </c>
      <c r="K54" s="36" t="s">
        <v>58</v>
      </c>
      <c r="L54" s="36" t="s">
        <v>23</v>
      </c>
      <c r="M54" s="37"/>
      <c r="N54" s="7"/>
    </row>
    <row r="55" ht="21.75" customHeight="1">
      <c r="A55" s="30" t="s">
        <v>195</v>
      </c>
      <c r="B55" s="61">
        <v>46244.0</v>
      </c>
      <c r="C55" s="61">
        <v>46226.0</v>
      </c>
      <c r="D55" s="21" t="s">
        <v>196</v>
      </c>
      <c r="E55" s="75" t="s">
        <v>172</v>
      </c>
      <c r="F55" s="75" t="s">
        <v>197</v>
      </c>
      <c r="G55" s="76" t="s">
        <v>45</v>
      </c>
      <c r="H55" s="77">
        <v>6.0</v>
      </c>
      <c r="I55" s="78">
        <v>900000.0</v>
      </c>
      <c r="J55" s="27" t="s">
        <v>78</v>
      </c>
      <c r="K55" s="36" t="s">
        <v>58</v>
      </c>
      <c r="L55" s="36" t="s">
        <v>23</v>
      </c>
      <c r="M55" s="48"/>
      <c r="N55" s="7"/>
    </row>
    <row r="56" ht="21.75" customHeight="1">
      <c r="A56" s="30" t="s">
        <v>198</v>
      </c>
      <c r="B56" s="61">
        <v>46244.0</v>
      </c>
      <c r="C56" s="61">
        <v>46226.0</v>
      </c>
      <c r="D56" s="21" t="s">
        <v>199</v>
      </c>
      <c r="E56" s="75" t="s">
        <v>172</v>
      </c>
      <c r="F56" s="75" t="s">
        <v>200</v>
      </c>
      <c r="G56" s="76" t="s">
        <v>45</v>
      </c>
      <c r="H56" s="77">
        <v>6.0</v>
      </c>
      <c r="I56" s="78">
        <v>900000.0</v>
      </c>
      <c r="J56" s="27" t="s">
        <v>78</v>
      </c>
      <c r="K56" s="36" t="s">
        <v>58</v>
      </c>
      <c r="L56" s="36" t="s">
        <v>23</v>
      </c>
      <c r="M56" s="79" t="s">
        <v>201</v>
      </c>
      <c r="N56" s="7"/>
    </row>
    <row r="57" ht="21.75" customHeight="1">
      <c r="A57" s="30" t="s">
        <v>202</v>
      </c>
      <c r="B57" s="61">
        <v>46246.0</v>
      </c>
      <c r="C57" s="80">
        <v>46243.0</v>
      </c>
      <c r="D57" s="21" t="s">
        <v>203</v>
      </c>
      <c r="E57" s="23" t="s">
        <v>154</v>
      </c>
      <c r="F57" s="23" t="s">
        <v>204</v>
      </c>
      <c r="G57" s="24" t="s">
        <v>20</v>
      </c>
      <c r="H57" s="25">
        <v>1.0</v>
      </c>
      <c r="I57" s="25">
        <v>60000.0</v>
      </c>
      <c r="J57" s="27" t="s">
        <v>92</v>
      </c>
      <c r="K57" s="36" t="s">
        <v>58</v>
      </c>
      <c r="L57" s="36" t="s">
        <v>23</v>
      </c>
      <c r="M57" s="37"/>
      <c r="N57" s="7"/>
    </row>
    <row r="58" ht="21.75" customHeight="1">
      <c r="A58" s="30" t="s">
        <v>205</v>
      </c>
      <c r="B58" s="61">
        <v>46246.0</v>
      </c>
      <c r="C58" s="80">
        <v>46232.0</v>
      </c>
      <c r="D58" s="21" t="s">
        <v>206</v>
      </c>
      <c r="E58" s="23" t="s">
        <v>182</v>
      </c>
      <c r="F58" s="23" t="s">
        <v>207</v>
      </c>
      <c r="G58" s="45" t="s">
        <v>20</v>
      </c>
      <c r="H58" s="25">
        <v>1.0</v>
      </c>
      <c r="I58" s="64">
        <v>100000.0</v>
      </c>
      <c r="J58" s="27" t="s">
        <v>41</v>
      </c>
      <c r="K58" s="81" t="s">
        <v>179</v>
      </c>
      <c r="L58" s="36" t="s">
        <v>23</v>
      </c>
      <c r="M58" s="37" t="str">
        <f>IFERROR(__xludf.DUMMYFUNCTION("AI(""Fill an appropriate value for this cell based on the table context"")"),"  ")</f>
        <v/>
      </c>
      <c r="N58" s="7"/>
    </row>
    <row r="59" ht="21.75" customHeight="1">
      <c r="A59" s="30" t="s">
        <v>208</v>
      </c>
      <c r="B59" s="61">
        <v>46246.0</v>
      </c>
      <c r="C59" s="80">
        <v>46230.0</v>
      </c>
      <c r="D59" s="21" t="s">
        <v>209</v>
      </c>
      <c r="E59" s="23" t="s">
        <v>210</v>
      </c>
      <c r="F59" s="23" t="s">
        <v>211</v>
      </c>
      <c r="G59" s="45" t="s">
        <v>33</v>
      </c>
      <c r="H59" s="25">
        <v>2.0</v>
      </c>
      <c r="I59" s="82">
        <v>200000.0</v>
      </c>
      <c r="J59" s="27" t="s">
        <v>21</v>
      </c>
      <c r="K59" s="36" t="s">
        <v>93</v>
      </c>
      <c r="L59" s="36" t="s">
        <v>212</v>
      </c>
      <c r="M59" s="37"/>
      <c r="N59" s="7"/>
    </row>
    <row r="60" ht="21.75" customHeight="1">
      <c r="A60" s="30" t="s">
        <v>213</v>
      </c>
      <c r="B60" s="61">
        <v>46246.0</v>
      </c>
      <c r="C60" s="80">
        <v>46244.0</v>
      </c>
      <c r="D60" s="21" t="s">
        <v>214</v>
      </c>
      <c r="E60" s="23" t="s">
        <v>215</v>
      </c>
      <c r="F60" s="23" t="s">
        <v>216</v>
      </c>
      <c r="G60" s="45" t="s">
        <v>33</v>
      </c>
      <c r="H60" s="25">
        <v>1.0</v>
      </c>
      <c r="I60" s="83">
        <v>200000.0</v>
      </c>
      <c r="J60" s="27" t="s">
        <v>92</v>
      </c>
      <c r="K60" s="36" t="s">
        <v>93</v>
      </c>
      <c r="L60" s="47" t="s">
        <v>53</v>
      </c>
      <c r="M60" s="48"/>
      <c r="N60" s="7"/>
    </row>
    <row r="61" ht="21.75" customHeight="1">
      <c r="A61" s="30" t="s">
        <v>217</v>
      </c>
      <c r="B61" s="61">
        <v>46251.0</v>
      </c>
      <c r="C61" s="84">
        <v>46237.0</v>
      </c>
      <c r="D61" s="21" t="s">
        <v>218</v>
      </c>
      <c r="E61" s="75" t="s">
        <v>219</v>
      </c>
      <c r="F61" s="75" t="s">
        <v>220</v>
      </c>
      <c r="G61" s="85" t="s">
        <v>20</v>
      </c>
      <c r="H61" s="86">
        <v>1.0</v>
      </c>
      <c r="I61" s="87">
        <v>100000.0</v>
      </c>
      <c r="J61" s="27" t="s">
        <v>92</v>
      </c>
      <c r="K61" s="36" t="s">
        <v>58</v>
      </c>
      <c r="L61" s="44"/>
      <c r="M61" s="37"/>
      <c r="N61" s="7"/>
    </row>
    <row r="62" ht="21.75" customHeight="1">
      <c r="A62" s="30" t="s">
        <v>221</v>
      </c>
      <c r="B62" s="61">
        <v>46251.0</v>
      </c>
      <c r="C62" s="84">
        <v>46236.0</v>
      </c>
      <c r="D62" s="21" t="s">
        <v>222</v>
      </c>
      <c r="E62" s="75" t="s">
        <v>76</v>
      </c>
      <c r="F62" s="88" t="s">
        <v>223</v>
      </c>
      <c r="G62" s="85" t="s">
        <v>45</v>
      </c>
      <c r="H62" s="87">
        <v>3.0</v>
      </c>
      <c r="I62" s="87">
        <v>1000000.0</v>
      </c>
      <c r="J62" s="27" t="s">
        <v>78</v>
      </c>
      <c r="K62" s="36" t="s">
        <v>174</v>
      </c>
      <c r="L62" s="36" t="s">
        <v>23</v>
      </c>
      <c r="M62" s="37"/>
      <c r="N62" s="7"/>
    </row>
    <row r="63" ht="21.75" customHeight="1">
      <c r="A63" s="30" t="s">
        <v>224</v>
      </c>
      <c r="B63" s="89">
        <v>46252.0</v>
      </c>
      <c r="C63" s="89">
        <v>46223.0</v>
      </c>
      <c r="D63" s="21" t="s">
        <v>225</v>
      </c>
      <c r="E63" s="75" t="s">
        <v>150</v>
      </c>
      <c r="F63" s="75" t="s">
        <v>226</v>
      </c>
      <c r="G63" s="24" t="s">
        <v>20</v>
      </c>
      <c r="H63" s="86">
        <v>1.0</v>
      </c>
      <c r="I63" s="90">
        <f>30000+270000</f>
        <v>300000</v>
      </c>
      <c r="J63" s="27" t="s">
        <v>41</v>
      </c>
      <c r="K63" s="36" t="s">
        <v>58</v>
      </c>
      <c r="L63" s="47" t="s">
        <v>46</v>
      </c>
      <c r="M63" s="91"/>
      <c r="N63" s="7"/>
    </row>
    <row r="64" ht="21.75" customHeight="1">
      <c r="A64" s="30" t="s">
        <v>227</v>
      </c>
      <c r="B64" s="89">
        <v>46253.0</v>
      </c>
      <c r="C64" s="92">
        <v>46201.0</v>
      </c>
      <c r="D64" s="21" t="s">
        <v>228</v>
      </c>
      <c r="E64" s="93" t="s">
        <v>182</v>
      </c>
      <c r="F64" s="93" t="s">
        <v>229</v>
      </c>
      <c r="G64" s="24" t="s">
        <v>20</v>
      </c>
      <c r="H64" s="86">
        <v>1.0</v>
      </c>
      <c r="I64" s="87">
        <v>50000.0</v>
      </c>
      <c r="J64" s="27" t="s">
        <v>41</v>
      </c>
      <c r="K64" s="36" t="s">
        <v>179</v>
      </c>
      <c r="L64" s="36" t="s">
        <v>212</v>
      </c>
      <c r="M64" s="37"/>
      <c r="N64" s="7"/>
    </row>
    <row r="65" ht="21.75" customHeight="1">
      <c r="A65" s="30" t="s">
        <v>230</v>
      </c>
      <c r="B65" s="89">
        <v>46253.0</v>
      </c>
      <c r="C65" s="92">
        <v>46201.0</v>
      </c>
      <c r="D65" s="21" t="s">
        <v>231</v>
      </c>
      <c r="E65" s="93" t="s">
        <v>182</v>
      </c>
      <c r="F65" s="93" t="s">
        <v>232</v>
      </c>
      <c r="G65" s="24" t="s">
        <v>20</v>
      </c>
      <c r="H65" s="86">
        <v>1.0</v>
      </c>
      <c r="I65" s="87">
        <v>50000.0</v>
      </c>
      <c r="J65" s="27" t="s">
        <v>41</v>
      </c>
      <c r="K65" s="47" t="s">
        <v>179</v>
      </c>
      <c r="L65" s="36" t="s">
        <v>212</v>
      </c>
      <c r="M65" s="94"/>
      <c r="N65" s="7"/>
    </row>
    <row r="66" ht="21.75" customHeight="1">
      <c r="A66" s="30" t="s">
        <v>233</v>
      </c>
      <c r="B66" s="89">
        <v>46264.0</v>
      </c>
      <c r="C66" s="89">
        <v>46251.0</v>
      </c>
      <c r="D66" s="21" t="s">
        <v>234</v>
      </c>
      <c r="E66" s="53" t="s">
        <v>235</v>
      </c>
      <c r="F66" s="53" t="s">
        <v>236</v>
      </c>
      <c r="G66" s="24" t="s">
        <v>20</v>
      </c>
      <c r="H66" s="87">
        <v>1.0</v>
      </c>
      <c r="I66" s="87">
        <v>200000.0</v>
      </c>
      <c r="J66" s="27" t="s">
        <v>92</v>
      </c>
      <c r="K66" s="36" t="s">
        <v>174</v>
      </c>
      <c r="L66" s="36" t="s">
        <v>212</v>
      </c>
      <c r="M66" s="95"/>
      <c r="N66" s="7"/>
    </row>
    <row r="67" ht="21.75" customHeight="1">
      <c r="A67" s="30" t="s">
        <v>237</v>
      </c>
      <c r="B67" s="89">
        <v>46268.0</v>
      </c>
      <c r="C67" s="89">
        <v>46265.0</v>
      </c>
      <c r="D67" s="96" t="s">
        <v>238</v>
      </c>
      <c r="E67" s="97" t="s">
        <v>154</v>
      </c>
      <c r="F67" s="97" t="s">
        <v>239</v>
      </c>
      <c r="G67" s="85" t="s">
        <v>20</v>
      </c>
      <c r="H67" s="87">
        <v>2.0</v>
      </c>
      <c r="I67" s="87">
        <v>70000.0</v>
      </c>
      <c r="J67" s="27" t="s">
        <v>92</v>
      </c>
      <c r="K67" s="36" t="s">
        <v>58</v>
      </c>
      <c r="L67" s="36" t="s">
        <v>212</v>
      </c>
      <c r="M67" s="98"/>
      <c r="N67" s="7"/>
    </row>
    <row r="68" ht="21.75" customHeight="1">
      <c r="A68" s="30" t="s">
        <v>240</v>
      </c>
      <c r="B68" s="89">
        <v>46270.0</v>
      </c>
      <c r="C68" s="89">
        <v>46258.0</v>
      </c>
      <c r="D68" s="99" t="s">
        <v>241</v>
      </c>
      <c r="E68" s="100" t="s">
        <v>61</v>
      </c>
      <c r="F68" s="100" t="s">
        <v>186</v>
      </c>
      <c r="G68" s="101" t="s">
        <v>33</v>
      </c>
      <c r="H68" s="102">
        <v>1.0</v>
      </c>
      <c r="I68" s="87">
        <v>150000.0</v>
      </c>
      <c r="J68" s="27" t="s">
        <v>92</v>
      </c>
      <c r="K68" s="36" t="s">
        <v>93</v>
      </c>
      <c r="L68" s="36" t="s">
        <v>46</v>
      </c>
      <c r="M68" s="98"/>
      <c r="N68" s="7"/>
    </row>
    <row r="69" ht="21.75" customHeight="1">
      <c r="A69" s="30" t="s">
        <v>242</v>
      </c>
      <c r="B69" s="89">
        <v>46272.0</v>
      </c>
      <c r="C69" s="89">
        <v>46117.0</v>
      </c>
      <c r="D69" s="99" t="s">
        <v>243</v>
      </c>
      <c r="E69" s="103" t="s">
        <v>110</v>
      </c>
      <c r="F69" s="104" t="s">
        <v>244</v>
      </c>
      <c r="G69" s="101" t="s">
        <v>33</v>
      </c>
      <c r="H69" s="105">
        <v>1.0</v>
      </c>
      <c r="I69" s="106">
        <f>300000</f>
        <v>300000</v>
      </c>
      <c r="J69" s="27" t="s">
        <v>21</v>
      </c>
      <c r="K69" s="47" t="s">
        <v>58</v>
      </c>
      <c r="L69" s="44"/>
      <c r="M69" s="107"/>
      <c r="N69" s="7"/>
    </row>
    <row r="70" ht="21.75" customHeight="1">
      <c r="A70" s="30" t="s">
        <v>245</v>
      </c>
      <c r="B70" s="89">
        <v>46287.0</v>
      </c>
      <c r="C70" s="108">
        <v>46273.0</v>
      </c>
      <c r="D70" s="99" t="s">
        <v>246</v>
      </c>
      <c r="E70" s="103" t="s">
        <v>110</v>
      </c>
      <c r="F70" s="103" t="s">
        <v>247</v>
      </c>
      <c r="G70" s="109" t="s">
        <v>20</v>
      </c>
      <c r="H70" s="110">
        <v>2.0</v>
      </c>
      <c r="I70" s="106">
        <v>500000.0</v>
      </c>
      <c r="J70" s="27" t="s">
        <v>21</v>
      </c>
      <c r="K70" s="47" t="s">
        <v>93</v>
      </c>
      <c r="L70" s="36" t="s">
        <v>212</v>
      </c>
      <c r="M70" s="107"/>
      <c r="N70" s="7"/>
    </row>
    <row r="71" ht="21.75" customHeight="1">
      <c r="A71" s="30" t="s">
        <v>248</v>
      </c>
      <c r="B71" s="89">
        <v>46287.0</v>
      </c>
      <c r="C71" s="108">
        <v>46282.0</v>
      </c>
      <c r="D71" s="99" t="s">
        <v>249</v>
      </c>
      <c r="E71" s="103" t="s">
        <v>110</v>
      </c>
      <c r="F71" s="103" t="s">
        <v>250</v>
      </c>
      <c r="G71" s="101" t="s">
        <v>33</v>
      </c>
      <c r="H71" s="110">
        <v>1.0</v>
      </c>
      <c r="I71" s="111">
        <v>200000.0</v>
      </c>
      <c r="J71" s="27" t="s">
        <v>21</v>
      </c>
      <c r="K71" s="36" t="s">
        <v>174</v>
      </c>
      <c r="L71" s="44"/>
      <c r="M71" s="98"/>
      <c r="N71" s="7"/>
    </row>
    <row r="72" ht="21.75" customHeight="1">
      <c r="A72" s="30" t="s">
        <v>251</v>
      </c>
      <c r="B72" s="92">
        <v>46293.0</v>
      </c>
      <c r="C72" s="92">
        <v>46292.0</v>
      </c>
      <c r="D72" s="112" t="s">
        <v>252</v>
      </c>
      <c r="E72" s="113" t="s">
        <v>103</v>
      </c>
      <c r="F72" s="114" t="s">
        <v>253</v>
      </c>
      <c r="G72" s="109" t="s">
        <v>20</v>
      </c>
      <c r="H72" s="105">
        <v>3.0</v>
      </c>
      <c r="I72" s="115">
        <v>750000.0</v>
      </c>
      <c r="J72" s="27" t="s">
        <v>21</v>
      </c>
      <c r="K72" s="47" t="s">
        <v>254</v>
      </c>
      <c r="L72" s="44"/>
      <c r="M72" s="107"/>
      <c r="N72" s="7"/>
    </row>
    <row r="73" ht="21.75" customHeight="1">
      <c r="A73" s="30" t="s">
        <v>255</v>
      </c>
      <c r="B73" s="92">
        <v>46294.0</v>
      </c>
      <c r="C73" s="92">
        <v>46291.0</v>
      </c>
      <c r="D73" s="112" t="s">
        <v>256</v>
      </c>
      <c r="E73" s="104" t="s">
        <v>61</v>
      </c>
      <c r="F73" s="104" t="s">
        <v>186</v>
      </c>
      <c r="G73" s="116" t="s">
        <v>257</v>
      </c>
      <c r="H73" s="117">
        <v>2.0</v>
      </c>
      <c r="I73" s="110">
        <v>250000.0</v>
      </c>
      <c r="J73" s="27" t="s">
        <v>21</v>
      </c>
      <c r="K73" s="44"/>
      <c r="L73" s="44"/>
      <c r="M73" s="98"/>
      <c r="N73" s="7"/>
    </row>
    <row r="74" ht="21.75" customHeight="1">
      <c r="A74" s="30" t="s">
        <v>258</v>
      </c>
      <c r="B74" s="92">
        <v>46301.0</v>
      </c>
      <c r="C74" s="118">
        <v>46293.0</v>
      </c>
      <c r="D74" s="119"/>
      <c r="E74" s="104" t="s">
        <v>182</v>
      </c>
      <c r="F74" s="104" t="s">
        <v>259</v>
      </c>
      <c r="G74" s="109" t="s">
        <v>20</v>
      </c>
      <c r="H74" s="87">
        <v>2.0</v>
      </c>
      <c r="I74" s="87">
        <v>100000.0</v>
      </c>
      <c r="J74" s="27" t="s">
        <v>21</v>
      </c>
      <c r="K74" s="44"/>
      <c r="L74" s="44"/>
      <c r="M74" s="98"/>
      <c r="N74" s="7"/>
    </row>
    <row r="75" ht="21.75" customHeight="1">
      <c r="A75" s="30" t="s">
        <v>260</v>
      </c>
      <c r="B75" s="92">
        <v>46301.0</v>
      </c>
      <c r="C75" s="118">
        <v>46184.0</v>
      </c>
      <c r="D75" s="119"/>
      <c r="E75" s="104" t="s">
        <v>86</v>
      </c>
      <c r="F75" s="104" t="s">
        <v>261</v>
      </c>
      <c r="G75" s="109" t="s">
        <v>20</v>
      </c>
      <c r="H75" s="87">
        <v>2.0</v>
      </c>
      <c r="I75" s="87">
        <v>200000.0</v>
      </c>
      <c r="J75" s="27" t="s">
        <v>21</v>
      </c>
      <c r="K75" s="44"/>
      <c r="L75" s="44"/>
      <c r="M75" s="98"/>
      <c r="N75" s="7"/>
    </row>
    <row r="76" ht="21.75" customHeight="1">
      <c r="A76" s="30" t="s">
        <v>262</v>
      </c>
      <c r="B76" s="120"/>
      <c r="C76" s="121"/>
      <c r="D76" s="121"/>
      <c r="E76" s="122"/>
      <c r="F76" s="122"/>
      <c r="G76" s="63"/>
      <c r="H76" s="123"/>
      <c r="I76" s="124"/>
      <c r="J76" s="27" t="s">
        <v>21</v>
      </c>
      <c r="K76" s="44"/>
      <c r="L76" s="44"/>
      <c r="M76" s="48"/>
      <c r="N76" s="7"/>
    </row>
    <row r="77" ht="21.75" customHeight="1">
      <c r="A77" s="30" t="s">
        <v>263</v>
      </c>
      <c r="B77" s="120"/>
      <c r="C77" s="121"/>
      <c r="D77" s="121"/>
      <c r="E77" s="125"/>
      <c r="F77" s="125"/>
      <c r="G77" s="63"/>
      <c r="H77" s="126"/>
      <c r="I77" s="127"/>
      <c r="J77" s="27" t="s">
        <v>21</v>
      </c>
      <c r="K77" s="128"/>
      <c r="L77" s="44"/>
      <c r="M77" s="60"/>
      <c r="N77" s="7"/>
    </row>
    <row r="78" ht="21.75" customHeight="1">
      <c r="A78" s="30" t="s">
        <v>264</v>
      </c>
      <c r="B78" s="120"/>
      <c r="C78" s="121"/>
      <c r="D78" s="121"/>
      <c r="E78" s="122"/>
      <c r="F78" s="122"/>
      <c r="G78" s="63"/>
      <c r="H78" s="123"/>
      <c r="I78" s="124"/>
      <c r="J78" s="27" t="s">
        <v>21</v>
      </c>
      <c r="K78" s="44"/>
      <c r="L78" s="44"/>
      <c r="M78" s="37"/>
      <c r="N78" s="7"/>
    </row>
    <row r="79" ht="21.75" customHeight="1">
      <c r="A79" s="30" t="s">
        <v>265</v>
      </c>
      <c r="B79" s="120"/>
      <c r="C79" s="121"/>
      <c r="D79" s="121"/>
      <c r="E79" s="125"/>
      <c r="F79" s="125"/>
      <c r="G79" s="63"/>
      <c r="H79" s="123"/>
      <c r="I79" s="124"/>
      <c r="J79" s="27" t="s">
        <v>21</v>
      </c>
      <c r="K79" s="44"/>
      <c r="L79" s="44"/>
      <c r="M79" s="94"/>
      <c r="N79" s="7"/>
    </row>
    <row r="80" ht="21.75" customHeight="1">
      <c r="A80" s="30" t="s">
        <v>266</v>
      </c>
      <c r="B80" s="120"/>
      <c r="C80" s="129"/>
      <c r="D80" s="129"/>
      <c r="E80" s="130"/>
      <c r="F80" s="130"/>
      <c r="G80" s="131"/>
      <c r="H80" s="123"/>
      <c r="I80" s="124"/>
      <c r="J80" s="27" t="s">
        <v>21</v>
      </c>
      <c r="K80" s="44"/>
      <c r="L80" s="44"/>
      <c r="M80" s="37"/>
      <c r="N80" s="7"/>
    </row>
    <row r="81" ht="21.75" customHeight="1">
      <c r="A81" s="30" t="s">
        <v>267</v>
      </c>
      <c r="B81" s="120"/>
      <c r="C81" s="129"/>
      <c r="D81" s="129"/>
      <c r="E81" s="129"/>
      <c r="F81" s="129"/>
      <c r="G81" s="131"/>
      <c r="H81" s="123"/>
      <c r="I81" s="124"/>
      <c r="J81" s="27" t="s">
        <v>21</v>
      </c>
      <c r="K81" s="44"/>
      <c r="L81" s="44"/>
      <c r="M81" s="37"/>
      <c r="N81" s="7"/>
    </row>
    <row r="82" ht="21.75" customHeight="1">
      <c r="A82" s="30" t="s">
        <v>268</v>
      </c>
      <c r="B82" s="120"/>
      <c r="C82" s="129"/>
      <c r="D82" s="129"/>
      <c r="E82" s="130"/>
      <c r="F82" s="130"/>
      <c r="G82" s="131"/>
      <c r="H82" s="132"/>
      <c r="I82" s="121"/>
      <c r="J82" s="27" t="s">
        <v>21</v>
      </c>
      <c r="K82" s="63"/>
      <c r="L82" s="44"/>
      <c r="M82" s="94"/>
      <c r="N82" s="7"/>
    </row>
    <row r="83" ht="21.75" customHeight="1">
      <c r="A83" s="30" t="s">
        <v>269</v>
      </c>
      <c r="B83" s="120"/>
      <c r="C83" s="129"/>
      <c r="D83" s="129"/>
      <c r="E83" s="122"/>
      <c r="F83" s="122"/>
      <c r="G83" s="131"/>
      <c r="H83" s="123"/>
      <c r="I83" s="124"/>
      <c r="J83" s="27" t="s">
        <v>21</v>
      </c>
      <c r="K83" s="44"/>
      <c r="L83" s="44"/>
      <c r="M83" s="37"/>
      <c r="N83" s="7"/>
    </row>
    <row r="84" ht="21.75" customHeight="1">
      <c r="A84" s="30" t="s">
        <v>270</v>
      </c>
      <c r="B84" s="120"/>
      <c r="C84" s="129"/>
      <c r="D84" s="129"/>
      <c r="E84" s="130"/>
      <c r="F84" s="130"/>
      <c r="G84" s="131"/>
      <c r="H84" s="123"/>
      <c r="I84" s="124"/>
      <c r="J84" s="27" t="s">
        <v>21</v>
      </c>
      <c r="K84" s="44"/>
      <c r="L84" s="44"/>
      <c r="M84" s="37"/>
      <c r="N84" s="7"/>
    </row>
    <row r="85" ht="21.75" customHeight="1">
      <c r="A85" s="30" t="s">
        <v>271</v>
      </c>
      <c r="B85" s="120"/>
      <c r="C85" s="129"/>
      <c r="D85" s="129"/>
      <c r="E85" s="129"/>
      <c r="F85" s="129"/>
      <c r="G85" s="131"/>
      <c r="H85" s="123"/>
      <c r="I85" s="124"/>
      <c r="J85" s="27" t="s">
        <v>21</v>
      </c>
      <c r="K85" s="44"/>
      <c r="L85" s="44"/>
      <c r="M85" s="37"/>
      <c r="N85" s="7"/>
    </row>
    <row r="86" ht="21.75" customHeight="1">
      <c r="A86" s="30" t="s">
        <v>272</v>
      </c>
      <c r="B86" s="120"/>
      <c r="C86" s="129"/>
      <c r="D86" s="129"/>
      <c r="E86" s="129"/>
      <c r="F86" s="129"/>
      <c r="G86" s="131"/>
      <c r="H86" s="123"/>
      <c r="I86" s="124"/>
      <c r="J86" s="27" t="s">
        <v>21</v>
      </c>
      <c r="K86" s="44"/>
      <c r="L86" s="44"/>
      <c r="M86" s="37"/>
      <c r="N86" s="7"/>
    </row>
    <row r="87" ht="21.75" customHeight="1">
      <c r="A87" s="30" t="s">
        <v>273</v>
      </c>
      <c r="B87" s="120"/>
      <c r="C87" s="129"/>
      <c r="D87" s="129"/>
      <c r="E87" s="130"/>
      <c r="F87" s="130"/>
      <c r="G87" s="131"/>
      <c r="H87" s="123"/>
      <c r="I87" s="124"/>
      <c r="J87" s="27" t="s">
        <v>21</v>
      </c>
      <c r="K87" s="44"/>
      <c r="L87" s="44"/>
      <c r="M87" s="133"/>
      <c r="N87" s="7"/>
    </row>
    <row r="88" ht="21.75" customHeight="1">
      <c r="A88" s="30" t="s">
        <v>274</v>
      </c>
      <c r="B88" s="120"/>
      <c r="C88" s="129"/>
      <c r="D88" s="129"/>
      <c r="E88" s="134"/>
      <c r="F88" s="134"/>
      <c r="G88" s="131"/>
      <c r="H88" s="123"/>
      <c r="I88" s="124"/>
      <c r="J88" s="27" t="s">
        <v>21</v>
      </c>
      <c r="K88" s="44"/>
      <c r="L88" s="44"/>
      <c r="M88" s="37"/>
      <c r="N88" s="7"/>
    </row>
    <row r="89" ht="21.75" customHeight="1">
      <c r="A89" s="30" t="s">
        <v>275</v>
      </c>
      <c r="B89" s="120"/>
      <c r="C89" s="135"/>
      <c r="D89" s="135"/>
      <c r="E89" s="122"/>
      <c r="F89" s="122"/>
      <c r="G89" s="63"/>
      <c r="H89" s="123"/>
      <c r="I89" s="124"/>
      <c r="J89" s="27" t="s">
        <v>21</v>
      </c>
      <c r="K89" s="44"/>
      <c r="L89" s="44"/>
      <c r="M89" s="133"/>
      <c r="N89" s="7"/>
    </row>
    <row r="90" ht="21.75" customHeight="1">
      <c r="A90" s="30" t="s">
        <v>276</v>
      </c>
      <c r="B90" s="120"/>
      <c r="C90" s="121"/>
      <c r="D90" s="121"/>
      <c r="E90" s="122"/>
      <c r="F90" s="122"/>
      <c r="G90" s="136"/>
      <c r="H90" s="123"/>
      <c r="I90" s="124"/>
      <c r="J90" s="27" t="s">
        <v>21</v>
      </c>
      <c r="K90" s="44"/>
      <c r="L90" s="44"/>
      <c r="M90" s="94"/>
      <c r="N90" s="7"/>
    </row>
    <row r="91" ht="21.75" customHeight="1">
      <c r="A91" s="30" t="s">
        <v>277</v>
      </c>
      <c r="B91" s="120"/>
      <c r="C91" s="121"/>
      <c r="D91" s="121"/>
      <c r="E91" s="122"/>
      <c r="F91" s="122"/>
      <c r="G91" s="63"/>
      <c r="H91" s="132"/>
      <c r="I91" s="121"/>
      <c r="J91" s="27" t="s">
        <v>21</v>
      </c>
      <c r="K91" s="63"/>
      <c r="L91" s="44"/>
      <c r="M91" s="94"/>
      <c r="N91" s="7"/>
    </row>
    <row r="92" ht="21.75" customHeight="1">
      <c r="A92" s="30" t="s">
        <v>278</v>
      </c>
      <c r="B92" s="120"/>
      <c r="C92" s="137"/>
      <c r="D92" s="137"/>
      <c r="E92" s="121"/>
      <c r="F92" s="121"/>
      <c r="G92" s="63"/>
      <c r="H92" s="123"/>
      <c r="I92" s="124"/>
      <c r="J92" s="27" t="s">
        <v>21</v>
      </c>
      <c r="K92" s="44"/>
      <c r="L92" s="44"/>
      <c r="M92" s="37"/>
      <c r="N92" s="7"/>
    </row>
    <row r="93" ht="21.75" customHeight="1">
      <c r="A93" s="30" t="s">
        <v>279</v>
      </c>
      <c r="B93" s="120"/>
      <c r="C93" s="121"/>
      <c r="D93" s="121"/>
      <c r="E93" s="122"/>
      <c r="F93" s="122"/>
      <c r="G93" s="63"/>
      <c r="H93" s="123"/>
      <c r="I93" s="124"/>
      <c r="J93" s="27" t="s">
        <v>21</v>
      </c>
      <c r="K93" s="44"/>
      <c r="L93" s="44"/>
      <c r="M93" s="37"/>
      <c r="N93" s="7"/>
    </row>
    <row r="94" ht="21.75" customHeight="1">
      <c r="A94" s="30" t="s">
        <v>280</v>
      </c>
      <c r="B94" s="120"/>
      <c r="C94" s="121"/>
      <c r="D94" s="121"/>
      <c r="E94" s="122"/>
      <c r="F94" s="122"/>
      <c r="G94" s="63"/>
      <c r="H94" s="123"/>
      <c r="I94" s="124"/>
      <c r="J94" s="27" t="s">
        <v>21</v>
      </c>
      <c r="K94" s="138"/>
      <c r="L94" s="44"/>
      <c r="M94" s="37"/>
      <c r="N94" s="7"/>
    </row>
    <row r="95" ht="21.75" customHeight="1">
      <c r="A95" s="30" t="s">
        <v>281</v>
      </c>
      <c r="B95" s="120"/>
      <c r="C95" s="121"/>
      <c r="D95" s="121"/>
      <c r="E95" s="122"/>
      <c r="F95" s="122"/>
      <c r="G95" s="63"/>
      <c r="H95" s="132"/>
      <c r="I95" s="121"/>
      <c r="J95" s="27" t="s">
        <v>21</v>
      </c>
      <c r="K95" s="138"/>
      <c r="L95" s="44"/>
      <c r="M95" s="94"/>
      <c r="N95" s="7"/>
    </row>
    <row r="96" ht="21.75" customHeight="1">
      <c r="A96" s="30" t="s">
        <v>282</v>
      </c>
      <c r="B96" s="120"/>
      <c r="C96" s="121"/>
      <c r="D96" s="121"/>
      <c r="E96" s="122"/>
      <c r="F96" s="122"/>
      <c r="G96" s="63"/>
      <c r="H96" s="123"/>
      <c r="I96" s="124"/>
      <c r="J96" s="27" t="s">
        <v>21</v>
      </c>
      <c r="K96" s="138"/>
      <c r="L96" s="44"/>
      <c r="M96" s="37"/>
      <c r="N96" s="7"/>
    </row>
    <row r="97" ht="21.75" customHeight="1">
      <c r="A97" s="30" t="s">
        <v>283</v>
      </c>
      <c r="B97" s="120"/>
      <c r="C97" s="121"/>
      <c r="D97" s="121"/>
      <c r="E97" s="122"/>
      <c r="F97" s="122"/>
      <c r="G97" s="63"/>
      <c r="H97" s="123"/>
      <c r="I97" s="124"/>
      <c r="J97" s="27" t="s">
        <v>21</v>
      </c>
      <c r="K97" s="138"/>
      <c r="L97" s="44"/>
      <c r="M97" s="48"/>
      <c r="N97" s="7"/>
    </row>
    <row r="98" ht="21.75" customHeight="1">
      <c r="A98" s="30" t="s">
        <v>284</v>
      </c>
      <c r="B98" s="120"/>
      <c r="C98" s="121"/>
      <c r="D98" s="121"/>
      <c r="E98" s="125"/>
      <c r="F98" s="125"/>
      <c r="G98" s="63"/>
      <c r="H98" s="123"/>
      <c r="I98" s="124"/>
      <c r="J98" s="27" t="s">
        <v>21</v>
      </c>
      <c r="K98" s="138"/>
      <c r="L98" s="44"/>
      <c r="M98" s="37"/>
      <c r="N98" s="7"/>
    </row>
    <row r="99" ht="21.75" customHeight="1">
      <c r="A99" s="30" t="s">
        <v>285</v>
      </c>
      <c r="B99" s="120"/>
      <c r="C99" s="121"/>
      <c r="D99" s="121"/>
      <c r="E99" s="122"/>
      <c r="F99" s="122"/>
      <c r="G99" s="63"/>
      <c r="H99" s="139"/>
      <c r="I99" s="137"/>
      <c r="J99" s="27" t="s">
        <v>21</v>
      </c>
      <c r="K99" s="138"/>
      <c r="L99" s="44"/>
      <c r="M99" s="37"/>
      <c r="N99" s="7"/>
    </row>
    <row r="100" ht="21.75" customHeight="1">
      <c r="A100" s="30" t="s">
        <v>286</v>
      </c>
      <c r="B100" s="120"/>
      <c r="C100" s="121"/>
      <c r="D100" s="121"/>
      <c r="E100" s="122"/>
      <c r="F100" s="122"/>
      <c r="G100" s="63"/>
      <c r="H100" s="123"/>
      <c r="I100" s="124"/>
      <c r="J100" s="27" t="s">
        <v>21</v>
      </c>
      <c r="K100" s="138"/>
      <c r="L100" s="63"/>
      <c r="M100" s="60"/>
      <c r="N100" s="7"/>
    </row>
    <row r="101" ht="21.75" customHeight="1">
      <c r="A101" s="30" t="s">
        <v>287</v>
      </c>
      <c r="B101" s="120"/>
      <c r="C101" s="121"/>
      <c r="D101" s="121"/>
      <c r="E101" s="122"/>
      <c r="F101" s="122"/>
      <c r="G101" s="63"/>
      <c r="H101" s="123"/>
      <c r="I101" s="124"/>
      <c r="J101" s="27" t="s">
        <v>21</v>
      </c>
      <c r="K101" s="44"/>
      <c r="L101" s="44"/>
      <c r="M101" s="37"/>
      <c r="N101" s="7"/>
    </row>
    <row r="102" ht="21.75" customHeight="1">
      <c r="A102" s="30" t="s">
        <v>288</v>
      </c>
      <c r="B102" s="120"/>
      <c r="C102" s="121"/>
      <c r="D102" s="121"/>
      <c r="E102" s="125"/>
      <c r="F102" s="125"/>
      <c r="G102" s="63"/>
      <c r="H102" s="126"/>
      <c r="I102" s="127"/>
      <c r="J102" s="126"/>
      <c r="K102" s="140"/>
      <c r="L102" s="141"/>
      <c r="M102" s="60"/>
      <c r="N102" s="7"/>
    </row>
    <row r="103" ht="21.75" customHeight="1">
      <c r="A103" s="30" t="s">
        <v>289</v>
      </c>
      <c r="B103" s="120"/>
      <c r="C103" s="121"/>
      <c r="D103" s="121"/>
      <c r="E103" s="122"/>
      <c r="F103" s="122"/>
      <c r="G103" s="63"/>
      <c r="H103" s="123"/>
      <c r="I103" s="124"/>
      <c r="J103" s="123"/>
      <c r="K103" s="142"/>
      <c r="L103" s="141"/>
      <c r="M103" s="37"/>
      <c r="N103" s="7"/>
    </row>
    <row r="104" ht="21.75" customHeight="1">
      <c r="A104" s="30" t="s">
        <v>290</v>
      </c>
      <c r="B104" s="120"/>
      <c r="C104" s="129"/>
      <c r="D104" s="129"/>
      <c r="E104" s="130"/>
      <c r="F104" s="130"/>
      <c r="G104" s="131"/>
      <c r="H104" s="123"/>
      <c r="I104" s="124"/>
      <c r="J104" s="123"/>
      <c r="K104" s="142"/>
      <c r="L104" s="141"/>
      <c r="M104" s="37"/>
      <c r="N104" s="7"/>
    </row>
    <row r="105" ht="21.75" customHeight="1">
      <c r="A105" s="30" t="s">
        <v>291</v>
      </c>
      <c r="B105" s="120"/>
      <c r="C105" s="129"/>
      <c r="D105" s="129"/>
      <c r="E105" s="130"/>
      <c r="F105" s="130"/>
      <c r="G105" s="131"/>
      <c r="H105" s="123"/>
      <c r="I105" s="124"/>
      <c r="J105" s="123"/>
      <c r="K105" s="142"/>
      <c r="L105" s="141"/>
      <c r="M105" s="37"/>
      <c r="N105" s="7"/>
    </row>
    <row r="106" ht="21.75" customHeight="1">
      <c r="A106" s="30" t="s">
        <v>292</v>
      </c>
      <c r="B106" s="120"/>
      <c r="C106" s="129"/>
      <c r="D106" s="129"/>
      <c r="E106" s="130"/>
      <c r="F106" s="130"/>
      <c r="G106" s="131"/>
      <c r="H106" s="123"/>
      <c r="I106" s="124"/>
      <c r="J106" s="123"/>
      <c r="K106" s="142"/>
      <c r="L106" s="141"/>
      <c r="M106" s="37"/>
      <c r="N106" s="7"/>
    </row>
    <row r="107" ht="21.75" customHeight="1">
      <c r="A107" s="30" t="s">
        <v>293</v>
      </c>
      <c r="B107" s="120"/>
      <c r="C107" s="121"/>
      <c r="D107" s="121"/>
      <c r="E107" s="122"/>
      <c r="F107" s="122"/>
      <c r="G107" s="63"/>
      <c r="H107" s="123"/>
      <c r="I107" s="124"/>
      <c r="J107" s="123"/>
      <c r="K107" s="142"/>
      <c r="L107" s="141"/>
      <c r="M107" s="37"/>
      <c r="N107" s="7"/>
    </row>
    <row r="108" ht="36.0" customHeight="1">
      <c r="A108" s="143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  <c r="AC108" s="145"/>
    </row>
    <row r="109" ht="16.5" customHeight="1">
      <c r="A109" s="146"/>
      <c r="AC109" s="147"/>
    </row>
    <row r="110" ht="16.5" customHeight="1">
      <c r="A110" s="146"/>
      <c r="AC110" s="147"/>
    </row>
    <row r="111" ht="16.5" customHeight="1">
      <c r="A111" s="146"/>
      <c r="AC111" s="147"/>
    </row>
    <row r="112" ht="16.5" customHeight="1">
      <c r="A112" s="146"/>
      <c r="AC112" s="147"/>
    </row>
    <row r="113" ht="16.5" customHeight="1">
      <c r="A113" s="148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  <c r="AC113" s="150"/>
    </row>
    <row r="114" ht="16.5" customHeight="1">
      <c r="A114" s="1"/>
      <c r="B114" s="2"/>
      <c r="C114" s="2"/>
      <c r="D114" s="2"/>
      <c r="E114" s="1"/>
      <c r="F114" s="1"/>
      <c r="G114" s="3"/>
      <c r="H114" s="4"/>
      <c r="I114" s="4"/>
      <c r="J114" s="4"/>
      <c r="K114" s="5"/>
      <c r="L114" s="6"/>
      <c r="M114" s="4"/>
      <c r="N114" s="7"/>
    </row>
    <row r="115" ht="16.5" customHeight="1">
      <c r="A115" s="1"/>
      <c r="B115" s="2"/>
      <c r="C115" s="2"/>
      <c r="D115" s="2"/>
      <c r="E115" s="1"/>
      <c r="F115" s="1"/>
      <c r="G115" s="3"/>
      <c r="H115" s="4"/>
      <c r="I115" s="4"/>
      <c r="J115" s="4"/>
      <c r="K115" s="5"/>
      <c r="L115" s="6"/>
      <c r="M115" s="4"/>
      <c r="N115" s="7"/>
    </row>
    <row r="116" ht="16.5" customHeight="1">
      <c r="A116" s="1"/>
      <c r="B116" s="2"/>
      <c r="C116" s="2"/>
      <c r="D116" s="2"/>
      <c r="E116" s="1"/>
      <c r="F116" s="1"/>
      <c r="G116" s="3"/>
      <c r="H116" s="4"/>
      <c r="I116" s="4"/>
      <c r="J116" s="4"/>
      <c r="K116" s="5"/>
      <c r="L116" s="6"/>
      <c r="M116" s="4"/>
      <c r="N116" s="7"/>
    </row>
    <row r="117" ht="16.5" customHeight="1">
      <c r="A117" s="1"/>
      <c r="B117" s="2"/>
      <c r="C117" s="2"/>
      <c r="D117" s="2"/>
      <c r="E117" s="1"/>
      <c r="F117" s="1"/>
      <c r="G117" s="3"/>
      <c r="H117" s="4"/>
      <c r="I117" s="4"/>
      <c r="J117" s="4"/>
      <c r="K117" s="5"/>
      <c r="L117" s="6"/>
      <c r="M117" s="4"/>
      <c r="N117" s="7"/>
    </row>
    <row r="118" ht="16.5" customHeight="1">
      <c r="A118" s="1"/>
      <c r="B118" s="2"/>
      <c r="C118" s="2"/>
      <c r="D118" s="2"/>
      <c r="E118" s="1"/>
      <c r="F118" s="1"/>
      <c r="G118" s="3"/>
      <c r="H118" s="4"/>
      <c r="I118" s="4"/>
      <c r="J118" s="4"/>
      <c r="K118" s="5"/>
      <c r="L118" s="6"/>
      <c r="M118" s="4"/>
      <c r="N118" s="7"/>
    </row>
    <row r="119" ht="16.5" customHeight="1">
      <c r="A119" s="1"/>
      <c r="B119" s="2"/>
      <c r="C119" s="2"/>
      <c r="D119" s="2"/>
      <c r="E119" s="1"/>
      <c r="F119" s="1"/>
      <c r="G119" s="3"/>
      <c r="H119" s="4"/>
      <c r="I119" s="4"/>
      <c r="J119" s="4"/>
      <c r="K119" s="5"/>
      <c r="L119" s="6"/>
      <c r="M119" s="4"/>
      <c r="N119" s="7"/>
    </row>
    <row r="120" ht="16.5" customHeight="1">
      <c r="A120" s="1"/>
      <c r="B120" s="2"/>
      <c r="C120" s="2"/>
      <c r="D120" s="2"/>
      <c r="E120" s="1"/>
      <c r="F120" s="1"/>
      <c r="G120" s="3"/>
      <c r="H120" s="4"/>
      <c r="I120" s="4"/>
      <c r="J120" s="4"/>
      <c r="K120" s="5"/>
      <c r="L120" s="6"/>
      <c r="M120" s="4"/>
      <c r="N120" s="7"/>
    </row>
    <row r="121" ht="16.5" customHeight="1">
      <c r="A121" s="1"/>
      <c r="B121" s="2"/>
      <c r="C121" s="2"/>
      <c r="D121" s="2"/>
      <c r="E121" s="1"/>
      <c r="F121" s="1"/>
      <c r="G121" s="3"/>
      <c r="H121" s="4"/>
      <c r="I121" s="4"/>
      <c r="J121" s="4"/>
      <c r="K121" s="5"/>
      <c r="L121" s="6"/>
      <c r="M121" s="4"/>
      <c r="N121" s="7"/>
    </row>
    <row r="122" ht="16.5" customHeight="1">
      <c r="A122" s="1"/>
      <c r="B122" s="2"/>
      <c r="C122" s="2"/>
      <c r="D122" s="2"/>
      <c r="E122" s="1"/>
      <c r="F122" s="1"/>
      <c r="G122" s="3"/>
      <c r="H122" s="4"/>
      <c r="I122" s="4"/>
      <c r="J122" s="4"/>
      <c r="K122" s="5"/>
      <c r="L122" s="6"/>
      <c r="M122" s="4"/>
      <c r="N122" s="7"/>
    </row>
    <row r="123" ht="16.5" customHeight="1">
      <c r="A123" s="1"/>
      <c r="B123" s="2"/>
      <c r="C123" s="2"/>
      <c r="D123" s="2"/>
      <c r="E123" s="1"/>
      <c r="F123" s="1"/>
      <c r="G123" s="3"/>
      <c r="H123" s="4"/>
      <c r="I123" s="4"/>
      <c r="J123" s="4"/>
      <c r="K123" s="5"/>
      <c r="L123" s="6"/>
      <c r="M123" s="4"/>
      <c r="N123" s="7"/>
    </row>
    <row r="124" ht="16.5" customHeight="1">
      <c r="A124" s="1"/>
      <c r="B124" s="2"/>
      <c r="C124" s="2"/>
      <c r="D124" s="2"/>
      <c r="E124" s="1"/>
      <c r="F124" s="1"/>
      <c r="G124" s="3"/>
      <c r="H124" s="4"/>
      <c r="I124" s="4"/>
      <c r="J124" s="4"/>
      <c r="K124" s="5"/>
      <c r="L124" s="6"/>
      <c r="M124" s="4"/>
      <c r="N124" s="7"/>
    </row>
    <row r="125" ht="16.5" customHeight="1">
      <c r="A125" s="1"/>
      <c r="B125" s="2"/>
      <c r="C125" s="2"/>
      <c r="D125" s="2"/>
      <c r="E125" s="1"/>
      <c r="F125" s="1"/>
      <c r="G125" s="3"/>
      <c r="H125" s="4"/>
      <c r="I125" s="4"/>
      <c r="J125" s="4"/>
      <c r="K125" s="5"/>
      <c r="L125" s="6"/>
      <c r="M125" s="4"/>
      <c r="N125" s="7"/>
    </row>
    <row r="126" ht="16.5" customHeight="1">
      <c r="A126" s="1"/>
      <c r="B126" s="2"/>
      <c r="C126" s="2"/>
      <c r="D126" s="2"/>
      <c r="E126" s="1"/>
      <c r="F126" s="1"/>
      <c r="G126" s="3"/>
      <c r="H126" s="4"/>
      <c r="I126" s="4"/>
      <c r="J126" s="4"/>
      <c r="K126" s="5"/>
      <c r="L126" s="6"/>
      <c r="M126" s="4"/>
      <c r="N126" s="7"/>
    </row>
    <row r="127" ht="16.5" customHeight="1">
      <c r="A127" s="1"/>
      <c r="B127" s="2"/>
      <c r="C127" s="2"/>
      <c r="D127" s="2"/>
      <c r="E127" s="1"/>
      <c r="F127" s="1"/>
      <c r="G127" s="3"/>
      <c r="H127" s="4"/>
      <c r="I127" s="4"/>
      <c r="J127" s="4"/>
      <c r="K127" s="5"/>
      <c r="L127" s="6"/>
      <c r="M127" s="4"/>
      <c r="N127" s="7"/>
    </row>
    <row r="128" ht="16.5" customHeight="1">
      <c r="A128" s="1"/>
      <c r="B128" s="2"/>
      <c r="C128" s="2"/>
      <c r="D128" s="2"/>
      <c r="E128" s="1"/>
      <c r="F128" s="1"/>
      <c r="G128" s="3"/>
      <c r="H128" s="4"/>
      <c r="I128" s="4"/>
      <c r="J128" s="4"/>
      <c r="K128" s="5"/>
      <c r="L128" s="6"/>
      <c r="M128" s="4"/>
      <c r="N128" s="7"/>
    </row>
    <row r="129" ht="16.5" customHeight="1">
      <c r="A129" s="1"/>
      <c r="B129" s="2"/>
      <c r="C129" s="2"/>
      <c r="D129" s="2"/>
      <c r="E129" s="1"/>
      <c r="F129" s="1"/>
      <c r="G129" s="3"/>
      <c r="H129" s="4"/>
      <c r="I129" s="4"/>
      <c r="J129" s="4"/>
      <c r="K129" s="5"/>
      <c r="L129" s="6"/>
      <c r="M129" s="4"/>
      <c r="N129" s="7"/>
    </row>
    <row r="130" ht="16.5" customHeight="1">
      <c r="A130" s="1"/>
      <c r="B130" s="2"/>
      <c r="C130" s="2"/>
      <c r="D130" s="2"/>
      <c r="E130" s="1"/>
      <c r="F130" s="1"/>
      <c r="G130" s="3"/>
      <c r="H130" s="4"/>
      <c r="I130" s="4"/>
      <c r="J130" s="4"/>
      <c r="K130" s="5"/>
      <c r="L130" s="6"/>
      <c r="M130" s="4"/>
      <c r="N130" s="7"/>
    </row>
    <row r="131" ht="16.5" customHeight="1">
      <c r="A131" s="1"/>
      <c r="B131" s="2"/>
      <c r="C131" s="2"/>
      <c r="D131" s="2"/>
      <c r="E131" s="1"/>
      <c r="F131" s="1"/>
      <c r="G131" s="3"/>
      <c r="H131" s="4"/>
      <c r="I131" s="4"/>
      <c r="J131" s="4"/>
      <c r="K131" s="5"/>
      <c r="L131" s="6"/>
      <c r="M131" s="4"/>
      <c r="N131" s="7"/>
    </row>
    <row r="132" ht="16.5" customHeight="1">
      <c r="A132" s="1"/>
      <c r="B132" s="2"/>
      <c r="C132" s="2"/>
      <c r="D132" s="2"/>
      <c r="E132" s="1"/>
      <c r="F132" s="1"/>
      <c r="G132" s="3"/>
      <c r="H132" s="4"/>
      <c r="I132" s="4"/>
      <c r="J132" s="4"/>
      <c r="K132" s="5"/>
      <c r="L132" s="6"/>
      <c r="M132" s="4"/>
      <c r="N132" s="7"/>
    </row>
    <row r="133" ht="16.5" customHeight="1">
      <c r="A133" s="1"/>
      <c r="B133" s="2"/>
      <c r="C133" s="2"/>
      <c r="D133" s="2"/>
      <c r="E133" s="1"/>
      <c r="F133" s="1"/>
      <c r="G133" s="3"/>
      <c r="H133" s="4"/>
      <c r="I133" s="4"/>
      <c r="J133" s="4"/>
      <c r="K133" s="5"/>
      <c r="L133" s="6"/>
      <c r="M133" s="4"/>
      <c r="N133" s="7"/>
    </row>
    <row r="134" ht="16.5" customHeight="1">
      <c r="A134" s="1"/>
      <c r="B134" s="2"/>
      <c r="C134" s="2"/>
      <c r="D134" s="2"/>
      <c r="E134" s="1"/>
      <c r="F134" s="1"/>
      <c r="G134" s="3"/>
      <c r="H134" s="4"/>
      <c r="I134" s="4"/>
      <c r="J134" s="4"/>
      <c r="K134" s="5"/>
      <c r="L134" s="6"/>
      <c r="M134" s="4"/>
      <c r="N134" s="7"/>
    </row>
    <row r="135" ht="16.5" customHeight="1">
      <c r="A135" s="1"/>
      <c r="B135" s="2"/>
      <c r="C135" s="2"/>
      <c r="D135" s="2"/>
      <c r="E135" s="1"/>
      <c r="F135" s="1"/>
      <c r="G135" s="3"/>
      <c r="H135" s="4"/>
      <c r="I135" s="4"/>
      <c r="J135" s="4"/>
      <c r="K135" s="5"/>
      <c r="L135" s="6"/>
      <c r="M135" s="4"/>
      <c r="N135" s="7"/>
    </row>
    <row r="136" ht="16.5" customHeight="1">
      <c r="A136" s="1"/>
      <c r="B136" s="2"/>
      <c r="C136" s="2"/>
      <c r="D136" s="2"/>
      <c r="E136" s="1"/>
      <c r="F136" s="1"/>
      <c r="G136" s="3"/>
      <c r="H136" s="4"/>
      <c r="I136" s="4"/>
      <c r="J136" s="4"/>
      <c r="K136" s="5"/>
      <c r="L136" s="6"/>
      <c r="M136" s="4"/>
      <c r="N136" s="7"/>
    </row>
    <row r="137" ht="16.5" customHeight="1">
      <c r="A137" s="1"/>
      <c r="B137" s="2"/>
      <c r="C137" s="2"/>
      <c r="D137" s="2"/>
      <c r="E137" s="1"/>
      <c r="F137" s="1"/>
      <c r="G137" s="3"/>
      <c r="H137" s="4"/>
      <c r="I137" s="4"/>
      <c r="J137" s="4"/>
      <c r="K137" s="5"/>
      <c r="L137" s="6"/>
      <c r="M137" s="4"/>
      <c r="N137" s="7"/>
    </row>
    <row r="138" ht="16.5" customHeight="1">
      <c r="A138" s="1"/>
      <c r="B138" s="2"/>
      <c r="C138" s="2"/>
      <c r="D138" s="2"/>
      <c r="E138" s="1"/>
      <c r="F138" s="1"/>
      <c r="G138" s="3"/>
      <c r="H138" s="4"/>
      <c r="I138" s="4"/>
      <c r="J138" s="4"/>
      <c r="K138" s="5"/>
      <c r="L138" s="6"/>
      <c r="M138" s="4"/>
      <c r="N138" s="7"/>
    </row>
    <row r="139" ht="16.5" customHeight="1">
      <c r="A139" s="1"/>
      <c r="B139" s="2"/>
      <c r="C139" s="2"/>
      <c r="D139" s="2"/>
      <c r="E139" s="1"/>
      <c r="F139" s="1"/>
      <c r="G139" s="3"/>
      <c r="H139" s="4"/>
      <c r="I139" s="4"/>
      <c r="J139" s="4"/>
      <c r="K139" s="5"/>
      <c r="L139" s="6"/>
      <c r="M139" s="4"/>
      <c r="N139" s="7"/>
    </row>
    <row r="140" ht="16.5" customHeight="1">
      <c r="A140" s="1"/>
      <c r="B140" s="2"/>
      <c r="C140" s="2"/>
      <c r="D140" s="2"/>
      <c r="E140" s="1"/>
      <c r="F140" s="1"/>
      <c r="G140" s="3"/>
      <c r="H140" s="4"/>
      <c r="I140" s="4"/>
      <c r="J140" s="4"/>
      <c r="K140" s="5"/>
      <c r="L140" s="6"/>
      <c r="M140" s="4"/>
      <c r="N140" s="7"/>
    </row>
    <row r="141" ht="16.5" customHeight="1">
      <c r="A141" s="1"/>
      <c r="B141" s="2"/>
      <c r="C141" s="2"/>
      <c r="D141" s="2"/>
      <c r="E141" s="1"/>
      <c r="F141" s="1"/>
      <c r="G141" s="3"/>
      <c r="H141" s="4"/>
      <c r="I141" s="4"/>
      <c r="J141" s="4"/>
      <c r="K141" s="5"/>
      <c r="L141" s="6"/>
      <c r="M141" s="4"/>
      <c r="N141" s="7"/>
    </row>
    <row r="142" ht="16.5" customHeight="1">
      <c r="A142" s="1"/>
      <c r="B142" s="2"/>
      <c r="C142" s="2"/>
      <c r="D142" s="2"/>
      <c r="E142" s="1"/>
      <c r="F142" s="1"/>
      <c r="G142" s="3"/>
      <c r="H142" s="4"/>
      <c r="I142" s="4"/>
      <c r="J142" s="4"/>
      <c r="K142" s="5"/>
      <c r="L142" s="6"/>
      <c r="M142" s="4"/>
      <c r="N142" s="7"/>
    </row>
    <row r="143" ht="16.5" customHeight="1">
      <c r="A143" s="1"/>
      <c r="B143" s="2"/>
      <c r="C143" s="2"/>
      <c r="D143" s="2"/>
      <c r="E143" s="1"/>
      <c r="F143" s="1"/>
      <c r="G143" s="3"/>
      <c r="H143" s="4"/>
      <c r="I143" s="4"/>
      <c r="J143" s="4"/>
      <c r="K143" s="5"/>
      <c r="L143" s="6"/>
      <c r="M143" s="4"/>
      <c r="N143" s="7"/>
    </row>
    <row r="144" ht="16.5" customHeight="1">
      <c r="A144" s="1"/>
      <c r="B144" s="2"/>
      <c r="C144" s="2"/>
      <c r="D144" s="2"/>
      <c r="E144" s="1"/>
      <c r="F144" s="1"/>
      <c r="G144" s="3"/>
      <c r="H144" s="4"/>
      <c r="I144" s="4"/>
      <c r="J144" s="4"/>
      <c r="K144" s="5"/>
      <c r="L144" s="6"/>
      <c r="M144" s="4"/>
      <c r="N144" s="7"/>
    </row>
    <row r="145" ht="16.5" customHeight="1">
      <c r="A145" s="1"/>
      <c r="B145" s="2"/>
      <c r="C145" s="2"/>
      <c r="D145" s="2"/>
      <c r="E145" s="1"/>
      <c r="F145" s="1"/>
      <c r="G145" s="3"/>
      <c r="H145" s="4"/>
      <c r="I145" s="4"/>
      <c r="J145" s="4"/>
      <c r="K145" s="5"/>
      <c r="L145" s="6"/>
      <c r="M145" s="4"/>
      <c r="N145" s="7"/>
    </row>
    <row r="146" ht="16.5" customHeight="1">
      <c r="A146" s="1"/>
      <c r="B146" s="2"/>
      <c r="C146" s="2"/>
      <c r="D146" s="2"/>
      <c r="E146" s="1"/>
      <c r="F146" s="1"/>
      <c r="G146" s="3"/>
      <c r="H146" s="4"/>
      <c r="I146" s="4"/>
      <c r="J146" s="4"/>
      <c r="K146" s="5"/>
      <c r="L146" s="6"/>
      <c r="M146" s="4"/>
      <c r="N146" s="7"/>
    </row>
    <row r="147" ht="16.5" customHeight="1">
      <c r="A147" s="1"/>
      <c r="B147" s="2"/>
      <c r="C147" s="2"/>
      <c r="D147" s="2"/>
      <c r="E147" s="1"/>
      <c r="F147" s="1"/>
      <c r="G147" s="3"/>
      <c r="H147" s="4"/>
      <c r="I147" s="4"/>
      <c r="J147" s="4"/>
      <c r="K147" s="5"/>
      <c r="L147" s="6"/>
      <c r="M147" s="4"/>
      <c r="N147" s="7"/>
    </row>
    <row r="148" ht="16.5" customHeight="1">
      <c r="A148" s="1"/>
      <c r="B148" s="2"/>
      <c r="C148" s="2"/>
      <c r="D148" s="2"/>
      <c r="E148" s="1"/>
      <c r="F148" s="1"/>
      <c r="G148" s="3"/>
      <c r="H148" s="4"/>
      <c r="I148" s="4"/>
      <c r="J148" s="4"/>
      <c r="K148" s="5"/>
      <c r="L148" s="6"/>
      <c r="M148" s="4"/>
      <c r="N148" s="7"/>
    </row>
    <row r="149" ht="16.5" customHeight="1">
      <c r="A149" s="1"/>
      <c r="B149" s="2"/>
      <c r="C149" s="2"/>
      <c r="D149" s="2"/>
      <c r="E149" s="1"/>
      <c r="F149" s="1"/>
      <c r="G149" s="3"/>
      <c r="H149" s="4"/>
      <c r="I149" s="4"/>
      <c r="J149" s="4"/>
      <c r="K149" s="5"/>
      <c r="L149" s="6"/>
      <c r="M149" s="4"/>
      <c r="N149" s="7"/>
    </row>
    <row r="150" ht="16.5" customHeight="1">
      <c r="A150" s="1"/>
      <c r="B150" s="2"/>
      <c r="C150" s="2"/>
      <c r="D150" s="2"/>
      <c r="E150" s="1"/>
      <c r="F150" s="1"/>
      <c r="G150" s="3"/>
      <c r="H150" s="4"/>
      <c r="I150" s="4"/>
      <c r="J150" s="4"/>
      <c r="K150" s="5"/>
      <c r="L150" s="6"/>
      <c r="M150" s="4"/>
      <c r="N150" s="7"/>
    </row>
    <row r="151" ht="16.5" customHeight="1">
      <c r="A151" s="1"/>
      <c r="B151" s="2"/>
      <c r="C151" s="2"/>
      <c r="D151" s="2"/>
      <c r="E151" s="1"/>
      <c r="F151" s="1"/>
      <c r="G151" s="3"/>
      <c r="H151" s="4"/>
      <c r="I151" s="4"/>
      <c r="J151" s="4"/>
      <c r="K151" s="5"/>
      <c r="L151" s="6"/>
      <c r="M151" s="4"/>
      <c r="N151" s="7"/>
    </row>
    <row r="152" ht="16.5" customHeight="1">
      <c r="A152" s="1"/>
      <c r="B152" s="2"/>
      <c r="C152" s="2"/>
      <c r="D152" s="2"/>
      <c r="E152" s="1"/>
      <c r="F152" s="1"/>
      <c r="G152" s="3"/>
      <c r="H152" s="4"/>
      <c r="I152" s="4"/>
      <c r="J152" s="4"/>
      <c r="K152" s="5"/>
      <c r="L152" s="6"/>
      <c r="M152" s="4"/>
      <c r="N152" s="7"/>
    </row>
    <row r="153" ht="16.5" customHeight="1">
      <c r="A153" s="1"/>
      <c r="B153" s="2"/>
      <c r="C153" s="2"/>
      <c r="D153" s="2"/>
      <c r="E153" s="1"/>
      <c r="F153" s="1"/>
      <c r="G153" s="3"/>
      <c r="H153" s="4"/>
      <c r="I153" s="4"/>
      <c r="J153" s="4"/>
      <c r="K153" s="5"/>
      <c r="L153" s="6"/>
      <c r="M153" s="4"/>
      <c r="N153" s="7"/>
    </row>
    <row r="154" ht="16.5" customHeight="1">
      <c r="A154" s="1"/>
      <c r="B154" s="2"/>
      <c r="C154" s="2"/>
      <c r="D154" s="2"/>
      <c r="E154" s="1"/>
      <c r="F154" s="1"/>
      <c r="G154" s="3"/>
      <c r="H154" s="4"/>
      <c r="I154" s="4"/>
      <c r="J154" s="4"/>
      <c r="K154" s="5"/>
      <c r="L154" s="6"/>
      <c r="M154" s="4"/>
      <c r="N154" s="7"/>
    </row>
    <row r="155" ht="16.5" customHeight="1">
      <c r="A155" s="1"/>
      <c r="B155" s="2"/>
      <c r="C155" s="2"/>
      <c r="D155" s="2"/>
      <c r="E155" s="1"/>
      <c r="F155" s="1"/>
      <c r="G155" s="3"/>
      <c r="H155" s="4"/>
      <c r="I155" s="4"/>
      <c r="J155" s="4"/>
      <c r="K155" s="5"/>
      <c r="L155" s="6"/>
      <c r="M155" s="4"/>
      <c r="N155" s="7"/>
    </row>
    <row r="156" ht="16.5" customHeight="1">
      <c r="A156" s="1"/>
      <c r="B156" s="2"/>
      <c r="C156" s="2"/>
      <c r="D156" s="2"/>
      <c r="E156" s="1"/>
      <c r="F156" s="1"/>
      <c r="G156" s="3"/>
      <c r="H156" s="4"/>
      <c r="I156" s="4"/>
      <c r="J156" s="4"/>
      <c r="K156" s="5"/>
      <c r="L156" s="6"/>
      <c r="M156" s="4"/>
      <c r="N156" s="7"/>
    </row>
    <row r="157" ht="16.5" customHeight="1">
      <c r="A157" s="1"/>
      <c r="B157" s="2"/>
      <c r="C157" s="2"/>
      <c r="D157" s="2"/>
      <c r="E157" s="1"/>
      <c r="F157" s="1"/>
      <c r="G157" s="3"/>
      <c r="H157" s="4"/>
      <c r="I157" s="4"/>
      <c r="J157" s="4"/>
      <c r="K157" s="5"/>
      <c r="L157" s="6"/>
      <c r="M157" s="4"/>
      <c r="N157" s="7"/>
    </row>
    <row r="158" ht="16.5" customHeight="1">
      <c r="A158" s="1"/>
      <c r="B158" s="2"/>
      <c r="C158" s="2"/>
      <c r="D158" s="2"/>
      <c r="E158" s="1"/>
      <c r="F158" s="1"/>
      <c r="G158" s="3"/>
      <c r="H158" s="4"/>
      <c r="I158" s="4"/>
      <c r="J158" s="4"/>
      <c r="K158" s="5"/>
      <c r="L158" s="6"/>
      <c r="M158" s="4"/>
      <c r="N158" s="7"/>
    </row>
    <row r="159" ht="16.5" customHeight="1">
      <c r="A159" s="1"/>
      <c r="B159" s="2"/>
      <c r="C159" s="2"/>
      <c r="D159" s="2"/>
      <c r="E159" s="1"/>
      <c r="F159" s="1"/>
      <c r="G159" s="3"/>
      <c r="H159" s="4"/>
      <c r="I159" s="4"/>
      <c r="J159" s="4"/>
      <c r="K159" s="5"/>
      <c r="L159" s="6"/>
      <c r="M159" s="4"/>
      <c r="N159" s="7"/>
    </row>
    <row r="160" ht="16.5" customHeight="1">
      <c r="A160" s="1"/>
      <c r="B160" s="2"/>
      <c r="C160" s="2"/>
      <c r="D160" s="2"/>
      <c r="E160" s="1"/>
      <c r="F160" s="1"/>
      <c r="G160" s="3"/>
      <c r="H160" s="4"/>
      <c r="I160" s="4"/>
      <c r="J160" s="4"/>
      <c r="K160" s="5"/>
      <c r="L160" s="6"/>
      <c r="M160" s="4"/>
      <c r="N160" s="7"/>
    </row>
    <row r="161" ht="16.5" customHeight="1">
      <c r="A161" s="1"/>
      <c r="B161" s="2"/>
      <c r="C161" s="2"/>
      <c r="D161" s="2"/>
      <c r="E161" s="1"/>
      <c r="F161" s="1"/>
      <c r="G161" s="3"/>
      <c r="H161" s="4"/>
      <c r="I161" s="4"/>
      <c r="J161" s="4"/>
      <c r="K161" s="5"/>
      <c r="L161" s="6"/>
      <c r="M161" s="4"/>
      <c r="N161" s="7"/>
    </row>
    <row r="162" ht="16.5" customHeight="1">
      <c r="A162" s="1"/>
      <c r="B162" s="2"/>
      <c r="C162" s="2"/>
      <c r="D162" s="2"/>
      <c r="E162" s="1"/>
      <c r="F162" s="1"/>
      <c r="G162" s="3"/>
      <c r="H162" s="4"/>
      <c r="I162" s="4"/>
      <c r="J162" s="4"/>
      <c r="K162" s="5"/>
      <c r="L162" s="6"/>
      <c r="M162" s="4"/>
      <c r="N162" s="7"/>
    </row>
    <row r="163" ht="16.5" customHeight="1">
      <c r="A163" s="1"/>
      <c r="B163" s="2"/>
      <c r="C163" s="2"/>
      <c r="D163" s="2"/>
      <c r="E163" s="1"/>
      <c r="F163" s="1"/>
      <c r="G163" s="3"/>
      <c r="H163" s="4"/>
      <c r="I163" s="4"/>
      <c r="J163" s="4"/>
      <c r="K163" s="5"/>
      <c r="L163" s="6"/>
      <c r="M163" s="4"/>
      <c r="N163" s="7"/>
    </row>
    <row r="164" ht="16.5" customHeight="1">
      <c r="A164" s="1"/>
      <c r="B164" s="2"/>
      <c r="C164" s="2"/>
      <c r="D164" s="2"/>
      <c r="E164" s="1"/>
      <c r="F164" s="1"/>
      <c r="G164" s="3"/>
      <c r="H164" s="4"/>
      <c r="I164" s="4"/>
      <c r="J164" s="4"/>
      <c r="K164" s="5"/>
      <c r="L164" s="6"/>
      <c r="M164" s="4"/>
      <c r="N164" s="7"/>
    </row>
    <row r="165" ht="16.5" customHeight="1">
      <c r="A165" s="1"/>
      <c r="B165" s="2"/>
      <c r="C165" s="2"/>
      <c r="D165" s="2"/>
      <c r="E165" s="1"/>
      <c r="F165" s="1"/>
      <c r="G165" s="3"/>
      <c r="H165" s="4"/>
      <c r="I165" s="4"/>
      <c r="J165" s="4"/>
      <c r="K165" s="5"/>
      <c r="L165" s="6"/>
      <c r="M165" s="4"/>
      <c r="N165" s="7"/>
    </row>
    <row r="166" ht="16.5" customHeight="1">
      <c r="A166" s="1"/>
      <c r="B166" s="2"/>
      <c r="C166" s="2"/>
      <c r="D166" s="2"/>
      <c r="E166" s="1"/>
      <c r="F166" s="1"/>
      <c r="G166" s="3"/>
      <c r="H166" s="4"/>
      <c r="I166" s="4"/>
      <c r="J166" s="4"/>
      <c r="K166" s="5"/>
      <c r="L166" s="6"/>
      <c r="M166" s="4"/>
      <c r="N166" s="7"/>
    </row>
    <row r="167" ht="16.5" customHeight="1">
      <c r="A167" s="1"/>
      <c r="B167" s="2"/>
      <c r="C167" s="2"/>
      <c r="D167" s="2"/>
      <c r="E167" s="1"/>
      <c r="F167" s="1"/>
      <c r="G167" s="3"/>
      <c r="H167" s="4"/>
      <c r="I167" s="4"/>
      <c r="J167" s="4"/>
      <c r="K167" s="5"/>
      <c r="L167" s="6"/>
      <c r="M167" s="4"/>
      <c r="N167" s="7"/>
    </row>
    <row r="168" ht="16.5" customHeight="1">
      <c r="A168" s="1"/>
      <c r="B168" s="2"/>
      <c r="C168" s="2"/>
      <c r="D168" s="2"/>
      <c r="E168" s="1"/>
      <c r="F168" s="1"/>
      <c r="G168" s="3"/>
      <c r="H168" s="4"/>
      <c r="I168" s="4"/>
      <c r="J168" s="4"/>
      <c r="K168" s="5"/>
      <c r="L168" s="6"/>
      <c r="M168" s="4"/>
      <c r="N168" s="7"/>
    </row>
    <row r="169" ht="16.5" customHeight="1">
      <c r="A169" s="1"/>
      <c r="B169" s="2"/>
      <c r="C169" s="2"/>
      <c r="D169" s="2"/>
      <c r="E169" s="1"/>
      <c r="F169" s="1"/>
      <c r="G169" s="3"/>
      <c r="H169" s="4"/>
      <c r="I169" s="4"/>
      <c r="J169" s="4"/>
      <c r="K169" s="5"/>
      <c r="L169" s="6"/>
      <c r="M169" s="4"/>
      <c r="N169" s="7"/>
    </row>
    <row r="170" ht="16.5" customHeight="1">
      <c r="A170" s="1"/>
      <c r="B170" s="2"/>
      <c r="C170" s="2"/>
      <c r="D170" s="2"/>
      <c r="E170" s="1"/>
      <c r="F170" s="1"/>
      <c r="G170" s="3"/>
      <c r="H170" s="4"/>
      <c r="I170" s="4"/>
      <c r="J170" s="4"/>
      <c r="K170" s="5"/>
      <c r="L170" s="6"/>
      <c r="M170" s="4"/>
      <c r="N170" s="7"/>
    </row>
    <row r="171" ht="16.5" customHeight="1">
      <c r="A171" s="1"/>
      <c r="B171" s="2"/>
      <c r="C171" s="2"/>
      <c r="D171" s="2"/>
      <c r="E171" s="1"/>
      <c r="F171" s="1"/>
      <c r="G171" s="3"/>
      <c r="H171" s="4"/>
      <c r="I171" s="4"/>
      <c r="J171" s="4"/>
      <c r="K171" s="5"/>
      <c r="L171" s="6"/>
      <c r="M171" s="4"/>
      <c r="N171" s="7"/>
    </row>
    <row r="172" ht="16.5" customHeight="1">
      <c r="A172" s="1"/>
      <c r="B172" s="2"/>
      <c r="C172" s="2"/>
      <c r="D172" s="2"/>
      <c r="E172" s="1"/>
      <c r="F172" s="1"/>
      <c r="G172" s="3"/>
      <c r="H172" s="4"/>
      <c r="I172" s="4"/>
      <c r="J172" s="4"/>
      <c r="K172" s="5"/>
      <c r="L172" s="6"/>
      <c r="M172" s="4"/>
      <c r="N172" s="7"/>
    </row>
    <row r="173" ht="16.5" customHeight="1">
      <c r="A173" s="1"/>
      <c r="B173" s="2"/>
      <c r="C173" s="2"/>
      <c r="D173" s="2"/>
      <c r="E173" s="1"/>
      <c r="F173" s="1"/>
      <c r="G173" s="3"/>
      <c r="H173" s="4"/>
      <c r="I173" s="4"/>
      <c r="J173" s="4"/>
      <c r="K173" s="5"/>
      <c r="L173" s="6"/>
      <c r="M173" s="4"/>
      <c r="N173" s="7"/>
    </row>
    <row r="174" ht="16.5" customHeight="1">
      <c r="A174" s="1"/>
      <c r="B174" s="2"/>
      <c r="C174" s="2"/>
      <c r="D174" s="2"/>
      <c r="E174" s="1"/>
      <c r="F174" s="1"/>
      <c r="G174" s="3"/>
      <c r="H174" s="4"/>
      <c r="I174" s="4"/>
      <c r="J174" s="4"/>
      <c r="K174" s="5"/>
      <c r="L174" s="6"/>
      <c r="M174" s="4"/>
      <c r="N174" s="7"/>
    </row>
    <row r="175" ht="16.5" customHeight="1">
      <c r="A175" s="1"/>
      <c r="B175" s="2"/>
      <c r="C175" s="2"/>
      <c r="D175" s="2"/>
      <c r="E175" s="1"/>
      <c r="F175" s="1"/>
      <c r="G175" s="3"/>
      <c r="H175" s="4"/>
      <c r="I175" s="4"/>
      <c r="J175" s="4"/>
      <c r="K175" s="5"/>
      <c r="L175" s="6"/>
      <c r="M175" s="4"/>
      <c r="N175" s="7"/>
    </row>
    <row r="176" ht="16.5" customHeight="1">
      <c r="A176" s="1"/>
      <c r="B176" s="2"/>
      <c r="C176" s="2"/>
      <c r="D176" s="2"/>
      <c r="E176" s="1"/>
      <c r="F176" s="1"/>
      <c r="G176" s="3"/>
      <c r="H176" s="4"/>
      <c r="I176" s="4"/>
      <c r="J176" s="4"/>
      <c r="K176" s="5"/>
      <c r="L176" s="6"/>
      <c r="M176" s="4"/>
      <c r="N176" s="7"/>
    </row>
    <row r="177" ht="16.5" customHeight="1">
      <c r="A177" s="1"/>
      <c r="B177" s="2"/>
      <c r="C177" s="2"/>
      <c r="D177" s="2"/>
      <c r="E177" s="1"/>
      <c r="F177" s="1"/>
      <c r="G177" s="3"/>
      <c r="H177" s="4"/>
      <c r="I177" s="4"/>
      <c r="J177" s="4"/>
      <c r="K177" s="5"/>
      <c r="L177" s="6"/>
      <c r="M177" s="4"/>
      <c r="N177" s="7"/>
    </row>
    <row r="178" ht="16.5" customHeight="1">
      <c r="A178" s="1"/>
      <c r="B178" s="2"/>
      <c r="C178" s="2"/>
      <c r="D178" s="2"/>
      <c r="E178" s="1"/>
      <c r="F178" s="1"/>
      <c r="G178" s="3"/>
      <c r="H178" s="4"/>
      <c r="I178" s="4"/>
      <c r="J178" s="4"/>
      <c r="K178" s="5"/>
      <c r="L178" s="6"/>
      <c r="M178" s="4"/>
      <c r="N178" s="7"/>
    </row>
    <row r="179" ht="16.5" customHeight="1">
      <c r="A179" s="1"/>
      <c r="B179" s="2"/>
      <c r="C179" s="2"/>
      <c r="D179" s="2"/>
      <c r="E179" s="1"/>
      <c r="F179" s="1"/>
      <c r="G179" s="3"/>
      <c r="H179" s="4"/>
      <c r="I179" s="4"/>
      <c r="J179" s="4"/>
      <c r="K179" s="5"/>
      <c r="L179" s="6"/>
      <c r="M179" s="4"/>
      <c r="N179" s="7"/>
    </row>
    <row r="180" ht="16.5" customHeight="1">
      <c r="A180" s="1"/>
      <c r="B180" s="2"/>
      <c r="C180" s="2"/>
      <c r="D180" s="2"/>
      <c r="E180" s="1"/>
      <c r="F180" s="1"/>
      <c r="G180" s="3"/>
      <c r="H180" s="4"/>
      <c r="I180" s="4"/>
      <c r="J180" s="4"/>
      <c r="K180" s="5"/>
      <c r="L180" s="6"/>
      <c r="M180" s="4"/>
      <c r="N180" s="7"/>
    </row>
    <row r="181" ht="16.5" customHeight="1">
      <c r="A181" s="1"/>
      <c r="B181" s="2"/>
      <c r="C181" s="2"/>
      <c r="D181" s="2"/>
      <c r="E181" s="1"/>
      <c r="F181" s="1"/>
      <c r="G181" s="3"/>
      <c r="H181" s="4"/>
      <c r="I181" s="4"/>
      <c r="J181" s="4"/>
      <c r="K181" s="5"/>
      <c r="L181" s="6"/>
      <c r="M181" s="4"/>
      <c r="N181" s="7"/>
    </row>
    <row r="182" ht="16.5" customHeight="1">
      <c r="A182" s="1"/>
      <c r="B182" s="2"/>
      <c r="C182" s="2"/>
      <c r="D182" s="2"/>
      <c r="E182" s="1"/>
      <c r="F182" s="1"/>
      <c r="G182" s="3"/>
      <c r="H182" s="4"/>
      <c r="I182" s="4"/>
      <c r="J182" s="4"/>
      <c r="K182" s="5"/>
      <c r="L182" s="6"/>
      <c r="M182" s="4"/>
      <c r="N182" s="7"/>
    </row>
    <row r="183" ht="16.5" customHeight="1">
      <c r="A183" s="1"/>
      <c r="B183" s="2"/>
      <c r="C183" s="2"/>
      <c r="D183" s="2"/>
      <c r="E183" s="1"/>
      <c r="F183" s="1"/>
      <c r="G183" s="3"/>
      <c r="H183" s="4"/>
      <c r="I183" s="4"/>
      <c r="J183" s="4"/>
      <c r="K183" s="5"/>
      <c r="L183" s="6"/>
      <c r="M183" s="4"/>
      <c r="N183" s="7"/>
    </row>
    <row r="184" ht="16.5" customHeight="1">
      <c r="A184" s="1"/>
      <c r="B184" s="2"/>
      <c r="C184" s="2"/>
      <c r="D184" s="2"/>
      <c r="E184" s="1"/>
      <c r="F184" s="1"/>
      <c r="G184" s="3"/>
      <c r="H184" s="4"/>
      <c r="I184" s="4"/>
      <c r="J184" s="4"/>
      <c r="K184" s="5"/>
      <c r="L184" s="6"/>
      <c r="M184" s="4"/>
      <c r="N184" s="7"/>
    </row>
    <row r="185" ht="16.5" customHeight="1">
      <c r="A185" s="1"/>
      <c r="B185" s="2"/>
      <c r="C185" s="2"/>
      <c r="D185" s="2"/>
      <c r="E185" s="1"/>
      <c r="F185" s="1"/>
      <c r="G185" s="3"/>
      <c r="H185" s="4"/>
      <c r="I185" s="4"/>
      <c r="J185" s="4"/>
      <c r="K185" s="5"/>
      <c r="L185" s="6"/>
      <c r="M185" s="4"/>
      <c r="N185" s="7"/>
    </row>
    <row r="186" ht="16.5" customHeight="1">
      <c r="A186" s="1"/>
      <c r="B186" s="2"/>
      <c r="C186" s="2"/>
      <c r="D186" s="2"/>
      <c r="E186" s="1"/>
      <c r="F186" s="1"/>
      <c r="G186" s="3"/>
      <c r="H186" s="4"/>
      <c r="I186" s="4"/>
      <c r="J186" s="4"/>
      <c r="K186" s="5"/>
      <c r="L186" s="6"/>
      <c r="M186" s="4"/>
      <c r="N186" s="7"/>
    </row>
    <row r="187" ht="16.5" customHeight="1">
      <c r="A187" s="1"/>
      <c r="B187" s="2"/>
      <c r="C187" s="2"/>
      <c r="D187" s="2"/>
      <c r="E187" s="1"/>
      <c r="F187" s="1"/>
      <c r="G187" s="3"/>
      <c r="H187" s="4"/>
      <c r="I187" s="4"/>
      <c r="J187" s="4"/>
      <c r="K187" s="5"/>
      <c r="L187" s="6"/>
      <c r="M187" s="4"/>
      <c r="N187" s="7"/>
    </row>
    <row r="188" ht="16.5" customHeight="1">
      <c r="A188" s="1"/>
      <c r="B188" s="2"/>
      <c r="C188" s="2"/>
      <c r="D188" s="2"/>
      <c r="E188" s="1"/>
      <c r="F188" s="1"/>
      <c r="G188" s="3"/>
      <c r="H188" s="4"/>
      <c r="I188" s="4"/>
      <c r="J188" s="4"/>
      <c r="K188" s="5"/>
      <c r="L188" s="6"/>
      <c r="M188" s="4"/>
      <c r="N188" s="7"/>
    </row>
    <row r="189" ht="16.5" customHeight="1">
      <c r="A189" s="1"/>
      <c r="B189" s="2"/>
      <c r="C189" s="2"/>
      <c r="D189" s="2"/>
      <c r="E189" s="1"/>
      <c r="F189" s="1"/>
      <c r="G189" s="3"/>
      <c r="H189" s="4"/>
      <c r="I189" s="4"/>
      <c r="J189" s="4"/>
      <c r="K189" s="5"/>
      <c r="L189" s="6"/>
      <c r="M189" s="4"/>
      <c r="N189" s="7"/>
    </row>
    <row r="190" ht="16.5" customHeight="1">
      <c r="A190" s="1"/>
      <c r="B190" s="2"/>
      <c r="C190" s="2"/>
      <c r="D190" s="2"/>
      <c r="E190" s="1"/>
      <c r="F190" s="1"/>
      <c r="G190" s="3"/>
      <c r="H190" s="4"/>
      <c r="I190" s="4"/>
      <c r="J190" s="4"/>
      <c r="K190" s="5"/>
      <c r="L190" s="6"/>
      <c r="M190" s="4"/>
      <c r="N190" s="7"/>
    </row>
    <row r="191" ht="16.5" customHeight="1">
      <c r="A191" s="1"/>
      <c r="B191" s="2"/>
      <c r="C191" s="2"/>
      <c r="D191" s="2"/>
      <c r="E191" s="1"/>
      <c r="F191" s="1"/>
      <c r="G191" s="3"/>
      <c r="H191" s="4"/>
      <c r="I191" s="4"/>
      <c r="J191" s="4"/>
      <c r="K191" s="5"/>
      <c r="L191" s="6"/>
      <c r="M191" s="4"/>
      <c r="N191" s="7"/>
    </row>
    <row r="192" ht="16.5" customHeight="1">
      <c r="A192" s="1"/>
      <c r="B192" s="2"/>
      <c r="C192" s="2"/>
      <c r="D192" s="2"/>
      <c r="E192" s="1"/>
      <c r="F192" s="1"/>
      <c r="G192" s="3"/>
      <c r="H192" s="4"/>
      <c r="I192" s="4"/>
      <c r="J192" s="4"/>
      <c r="K192" s="5"/>
      <c r="L192" s="6"/>
      <c r="M192" s="4"/>
      <c r="N192" s="7"/>
    </row>
    <row r="193" ht="16.5" customHeight="1">
      <c r="A193" s="1"/>
      <c r="B193" s="2"/>
      <c r="C193" s="2"/>
      <c r="D193" s="2"/>
      <c r="E193" s="1"/>
      <c r="F193" s="1"/>
      <c r="G193" s="3"/>
      <c r="H193" s="4"/>
      <c r="I193" s="4"/>
      <c r="J193" s="4"/>
      <c r="K193" s="5"/>
      <c r="L193" s="6"/>
      <c r="M193" s="4"/>
      <c r="N193" s="7"/>
    </row>
    <row r="194" ht="16.5" customHeight="1">
      <c r="A194" s="1"/>
      <c r="B194" s="2"/>
      <c r="C194" s="2"/>
      <c r="D194" s="2"/>
      <c r="E194" s="1"/>
      <c r="F194" s="1"/>
      <c r="G194" s="3"/>
      <c r="H194" s="4"/>
      <c r="I194" s="4"/>
      <c r="J194" s="4"/>
      <c r="K194" s="5"/>
      <c r="L194" s="6"/>
      <c r="M194" s="4"/>
      <c r="N194" s="7"/>
    </row>
    <row r="195" ht="16.5" customHeight="1">
      <c r="A195" s="1"/>
      <c r="B195" s="2"/>
      <c r="C195" s="2"/>
      <c r="D195" s="2"/>
      <c r="E195" s="1"/>
      <c r="F195" s="1"/>
      <c r="G195" s="3"/>
      <c r="H195" s="4"/>
      <c r="I195" s="4"/>
      <c r="J195" s="4"/>
      <c r="K195" s="5"/>
      <c r="L195" s="6"/>
      <c r="M195" s="4"/>
      <c r="N195" s="7"/>
    </row>
    <row r="196" ht="16.5" customHeight="1">
      <c r="A196" s="1"/>
      <c r="B196" s="2"/>
      <c r="C196" s="2"/>
      <c r="D196" s="2"/>
      <c r="E196" s="1"/>
      <c r="F196" s="1"/>
      <c r="G196" s="3"/>
      <c r="H196" s="4"/>
      <c r="I196" s="4"/>
      <c r="J196" s="4"/>
      <c r="K196" s="5"/>
      <c r="L196" s="6"/>
      <c r="M196" s="4"/>
      <c r="N196" s="7"/>
    </row>
    <row r="197" ht="16.5" customHeight="1">
      <c r="A197" s="1"/>
      <c r="B197" s="2"/>
      <c r="C197" s="2"/>
      <c r="D197" s="2"/>
      <c r="E197" s="1"/>
      <c r="F197" s="1"/>
      <c r="G197" s="3"/>
      <c r="H197" s="4"/>
      <c r="I197" s="4"/>
      <c r="J197" s="4"/>
      <c r="K197" s="5"/>
      <c r="L197" s="6"/>
      <c r="M197" s="4"/>
      <c r="N197" s="7"/>
    </row>
    <row r="198" ht="16.5" customHeight="1">
      <c r="A198" s="1"/>
      <c r="B198" s="2"/>
      <c r="C198" s="2"/>
      <c r="D198" s="2"/>
      <c r="E198" s="1"/>
      <c r="F198" s="1"/>
      <c r="G198" s="3"/>
      <c r="H198" s="4"/>
      <c r="I198" s="4"/>
      <c r="J198" s="4"/>
      <c r="K198" s="5"/>
      <c r="L198" s="6"/>
      <c r="M198" s="4"/>
      <c r="N198" s="7"/>
    </row>
    <row r="199" ht="16.5" customHeight="1">
      <c r="A199" s="1"/>
      <c r="B199" s="2"/>
      <c r="C199" s="2"/>
      <c r="D199" s="2"/>
      <c r="E199" s="1"/>
      <c r="F199" s="1"/>
      <c r="G199" s="3"/>
      <c r="H199" s="4"/>
      <c r="I199" s="4"/>
      <c r="J199" s="4"/>
      <c r="K199" s="5"/>
      <c r="L199" s="6"/>
      <c r="M199" s="4"/>
      <c r="N199" s="7"/>
    </row>
    <row r="200" ht="16.5" customHeight="1">
      <c r="A200" s="1"/>
      <c r="B200" s="2"/>
      <c r="C200" s="2"/>
      <c r="D200" s="2"/>
      <c r="E200" s="1"/>
      <c r="F200" s="1"/>
      <c r="G200" s="3"/>
      <c r="H200" s="4"/>
      <c r="I200" s="4"/>
      <c r="J200" s="4"/>
      <c r="K200" s="5"/>
      <c r="L200" s="6"/>
      <c r="M200" s="4"/>
      <c r="N200" s="7"/>
    </row>
    <row r="201" ht="16.5" customHeight="1">
      <c r="A201" s="1"/>
      <c r="B201" s="2"/>
      <c r="C201" s="2"/>
      <c r="D201" s="2"/>
      <c r="E201" s="1"/>
      <c r="F201" s="1"/>
      <c r="G201" s="3"/>
      <c r="H201" s="4"/>
      <c r="I201" s="4"/>
      <c r="J201" s="4"/>
      <c r="K201" s="5"/>
      <c r="L201" s="6"/>
      <c r="M201" s="4"/>
      <c r="N201" s="7"/>
    </row>
    <row r="202" ht="16.5" customHeight="1">
      <c r="A202" s="1"/>
      <c r="B202" s="2"/>
      <c r="C202" s="2"/>
      <c r="D202" s="2"/>
      <c r="E202" s="1"/>
      <c r="F202" s="1"/>
      <c r="G202" s="3"/>
      <c r="H202" s="4"/>
      <c r="I202" s="4"/>
      <c r="J202" s="4"/>
      <c r="K202" s="5"/>
      <c r="L202" s="6"/>
      <c r="M202" s="4"/>
      <c r="N202" s="7"/>
    </row>
    <row r="203" ht="16.5" customHeight="1">
      <c r="A203" s="1"/>
      <c r="B203" s="2"/>
      <c r="C203" s="2"/>
      <c r="D203" s="2"/>
      <c r="E203" s="1"/>
      <c r="F203" s="1"/>
      <c r="G203" s="3"/>
      <c r="H203" s="4"/>
      <c r="I203" s="4"/>
      <c r="J203" s="4"/>
      <c r="K203" s="5"/>
      <c r="L203" s="6"/>
      <c r="M203" s="4"/>
      <c r="N203" s="7"/>
    </row>
    <row r="204" ht="16.5" customHeight="1">
      <c r="A204" s="1"/>
      <c r="B204" s="2"/>
      <c r="C204" s="2"/>
      <c r="D204" s="2"/>
      <c r="E204" s="1"/>
      <c r="F204" s="1"/>
      <c r="G204" s="3"/>
      <c r="H204" s="4"/>
      <c r="I204" s="4"/>
      <c r="J204" s="4"/>
      <c r="K204" s="5"/>
      <c r="L204" s="6"/>
      <c r="M204" s="4"/>
      <c r="N204" s="7"/>
    </row>
    <row r="205" ht="16.5" customHeight="1">
      <c r="A205" s="1"/>
      <c r="B205" s="2"/>
      <c r="C205" s="2"/>
      <c r="D205" s="2"/>
      <c r="E205" s="1"/>
      <c r="F205" s="1"/>
      <c r="G205" s="3"/>
      <c r="H205" s="4"/>
      <c r="I205" s="4"/>
      <c r="J205" s="4"/>
      <c r="K205" s="5"/>
      <c r="L205" s="6"/>
      <c r="M205" s="4"/>
      <c r="N205" s="7"/>
    </row>
    <row r="206" ht="16.5" customHeight="1">
      <c r="A206" s="1"/>
      <c r="B206" s="2"/>
      <c r="C206" s="2"/>
      <c r="D206" s="2"/>
      <c r="E206" s="1"/>
      <c r="F206" s="1"/>
      <c r="G206" s="3"/>
      <c r="H206" s="4"/>
      <c r="I206" s="4"/>
      <c r="J206" s="4"/>
      <c r="K206" s="5"/>
      <c r="L206" s="6"/>
      <c r="M206" s="4"/>
      <c r="N206" s="7"/>
    </row>
    <row r="207" ht="16.5" customHeight="1">
      <c r="A207" s="1"/>
      <c r="B207" s="2"/>
      <c r="C207" s="2"/>
      <c r="D207" s="2"/>
      <c r="E207" s="1"/>
      <c r="F207" s="1"/>
      <c r="G207" s="3"/>
      <c r="H207" s="4"/>
      <c r="I207" s="4"/>
      <c r="J207" s="4"/>
      <c r="K207" s="5"/>
      <c r="L207" s="6"/>
      <c r="M207" s="4"/>
      <c r="N207" s="7"/>
    </row>
    <row r="208" ht="16.5" customHeight="1">
      <c r="A208" s="1"/>
      <c r="B208" s="2"/>
      <c r="C208" s="2"/>
      <c r="D208" s="2"/>
      <c r="E208" s="1"/>
      <c r="F208" s="1"/>
      <c r="G208" s="3"/>
      <c r="H208" s="4"/>
      <c r="I208" s="4"/>
      <c r="J208" s="4"/>
      <c r="K208" s="5"/>
      <c r="L208" s="6"/>
      <c r="M208" s="4"/>
      <c r="N208" s="7"/>
    </row>
    <row r="209" ht="16.5" customHeight="1">
      <c r="A209" s="1"/>
      <c r="B209" s="2"/>
      <c r="C209" s="2"/>
      <c r="D209" s="2"/>
      <c r="E209" s="1"/>
      <c r="F209" s="1"/>
      <c r="G209" s="3"/>
      <c r="H209" s="4"/>
      <c r="I209" s="4"/>
      <c r="J209" s="4"/>
      <c r="K209" s="5"/>
      <c r="L209" s="6"/>
      <c r="M209" s="4"/>
      <c r="N209" s="7"/>
    </row>
    <row r="210" ht="16.5" customHeight="1">
      <c r="A210" s="1"/>
      <c r="B210" s="2"/>
      <c r="C210" s="2"/>
      <c r="D210" s="2"/>
      <c r="E210" s="1"/>
      <c r="F210" s="1"/>
      <c r="G210" s="3"/>
      <c r="H210" s="4"/>
      <c r="I210" s="4"/>
      <c r="J210" s="4"/>
      <c r="K210" s="5"/>
      <c r="L210" s="6"/>
      <c r="M210" s="4"/>
      <c r="N210" s="7"/>
    </row>
    <row r="211" ht="16.5" customHeight="1">
      <c r="A211" s="1"/>
      <c r="B211" s="2"/>
      <c r="C211" s="2"/>
      <c r="D211" s="2"/>
      <c r="E211" s="1"/>
      <c r="F211" s="1"/>
      <c r="G211" s="3"/>
      <c r="H211" s="4"/>
      <c r="I211" s="4"/>
      <c r="J211" s="4"/>
      <c r="K211" s="5"/>
      <c r="L211" s="6"/>
      <c r="M211" s="4"/>
      <c r="N211" s="7"/>
    </row>
    <row r="212" ht="16.5" customHeight="1">
      <c r="A212" s="1"/>
      <c r="B212" s="2"/>
      <c r="C212" s="2"/>
      <c r="D212" s="2"/>
      <c r="E212" s="1"/>
      <c r="F212" s="1"/>
      <c r="G212" s="3"/>
      <c r="H212" s="4"/>
      <c r="I212" s="4"/>
      <c r="J212" s="4"/>
      <c r="K212" s="5"/>
      <c r="L212" s="6"/>
      <c r="M212" s="4"/>
      <c r="N212" s="7"/>
    </row>
    <row r="213" ht="16.5" customHeight="1">
      <c r="A213" s="1"/>
      <c r="B213" s="2"/>
      <c r="C213" s="2"/>
      <c r="D213" s="2"/>
      <c r="E213" s="1"/>
      <c r="F213" s="1"/>
      <c r="G213" s="3"/>
      <c r="H213" s="4"/>
      <c r="I213" s="4"/>
      <c r="J213" s="4"/>
      <c r="K213" s="5"/>
      <c r="L213" s="6"/>
      <c r="M213" s="4"/>
      <c r="N213" s="7"/>
    </row>
    <row r="214" ht="16.5" customHeight="1">
      <c r="A214" s="1"/>
      <c r="B214" s="2"/>
      <c r="C214" s="2"/>
      <c r="D214" s="2"/>
      <c r="E214" s="1"/>
      <c r="F214" s="1"/>
      <c r="G214" s="3"/>
      <c r="H214" s="4"/>
      <c r="I214" s="4"/>
      <c r="J214" s="4"/>
      <c r="K214" s="5"/>
      <c r="L214" s="6"/>
      <c r="M214" s="4"/>
      <c r="N214" s="7"/>
    </row>
    <row r="215" ht="16.5" customHeight="1">
      <c r="A215" s="1"/>
      <c r="B215" s="2"/>
      <c r="C215" s="2"/>
      <c r="D215" s="2"/>
      <c r="E215" s="1"/>
      <c r="F215" s="1"/>
      <c r="G215" s="3"/>
      <c r="H215" s="4"/>
      <c r="I215" s="4"/>
      <c r="J215" s="4"/>
      <c r="K215" s="5"/>
      <c r="L215" s="6"/>
      <c r="M215" s="4"/>
      <c r="N215" s="7"/>
    </row>
    <row r="216" ht="16.5" customHeight="1">
      <c r="A216" s="1"/>
      <c r="B216" s="2"/>
      <c r="C216" s="2"/>
      <c r="D216" s="2"/>
      <c r="E216" s="1"/>
      <c r="F216" s="1"/>
      <c r="G216" s="3"/>
      <c r="H216" s="4"/>
      <c r="I216" s="4"/>
      <c r="J216" s="4"/>
      <c r="K216" s="5"/>
      <c r="L216" s="6"/>
      <c r="M216" s="4"/>
      <c r="N216" s="7"/>
    </row>
    <row r="217" ht="16.5" customHeight="1">
      <c r="A217" s="1"/>
      <c r="B217" s="2"/>
      <c r="C217" s="2"/>
      <c r="D217" s="2"/>
      <c r="E217" s="1"/>
      <c r="F217" s="1"/>
      <c r="G217" s="3"/>
      <c r="H217" s="4"/>
      <c r="I217" s="4"/>
      <c r="J217" s="4"/>
      <c r="K217" s="5"/>
      <c r="L217" s="6"/>
      <c r="M217" s="4"/>
      <c r="N217" s="7"/>
    </row>
    <row r="218" ht="16.5" customHeight="1">
      <c r="A218" s="1"/>
      <c r="B218" s="2"/>
      <c r="C218" s="2"/>
      <c r="D218" s="2"/>
      <c r="E218" s="1"/>
      <c r="F218" s="1"/>
      <c r="G218" s="3"/>
      <c r="H218" s="4"/>
      <c r="I218" s="4"/>
      <c r="J218" s="4"/>
      <c r="K218" s="5"/>
      <c r="L218" s="6"/>
      <c r="M218" s="4"/>
      <c r="N218" s="7"/>
    </row>
    <row r="219" ht="16.5" customHeight="1">
      <c r="A219" s="1"/>
      <c r="B219" s="2"/>
      <c r="C219" s="2"/>
      <c r="D219" s="2"/>
      <c r="E219" s="1"/>
      <c r="F219" s="1"/>
      <c r="G219" s="3"/>
      <c r="H219" s="4"/>
      <c r="I219" s="4"/>
      <c r="J219" s="4"/>
      <c r="K219" s="5"/>
      <c r="L219" s="6"/>
      <c r="M219" s="4"/>
      <c r="N219" s="7"/>
    </row>
    <row r="220" ht="16.5" customHeight="1">
      <c r="A220" s="1"/>
      <c r="B220" s="2"/>
      <c r="C220" s="2"/>
      <c r="D220" s="2"/>
      <c r="E220" s="1"/>
      <c r="F220" s="1"/>
      <c r="G220" s="3"/>
      <c r="H220" s="4"/>
      <c r="I220" s="4"/>
      <c r="J220" s="4"/>
      <c r="K220" s="5"/>
      <c r="L220" s="6"/>
      <c r="M220" s="4"/>
      <c r="N220" s="7"/>
    </row>
    <row r="221" ht="16.5" customHeight="1">
      <c r="A221" s="1"/>
      <c r="B221" s="2"/>
      <c r="C221" s="2"/>
      <c r="D221" s="2"/>
      <c r="E221" s="1"/>
      <c r="F221" s="1"/>
      <c r="G221" s="3"/>
      <c r="H221" s="4"/>
      <c r="I221" s="4"/>
      <c r="J221" s="4"/>
      <c r="K221" s="5"/>
      <c r="L221" s="6"/>
      <c r="M221" s="4"/>
      <c r="N221" s="7"/>
    </row>
    <row r="222" ht="16.5" customHeight="1">
      <c r="A222" s="1"/>
      <c r="B222" s="2"/>
      <c r="C222" s="2"/>
      <c r="D222" s="2"/>
      <c r="E222" s="1"/>
      <c r="F222" s="1"/>
      <c r="G222" s="3"/>
      <c r="H222" s="4"/>
      <c r="I222" s="4"/>
      <c r="J222" s="4"/>
      <c r="K222" s="5"/>
      <c r="L222" s="6"/>
      <c r="M222" s="4"/>
      <c r="N222" s="7"/>
    </row>
    <row r="223" ht="16.5" customHeight="1">
      <c r="A223" s="1"/>
      <c r="B223" s="2"/>
      <c r="C223" s="2"/>
      <c r="D223" s="2"/>
      <c r="E223" s="1"/>
      <c r="F223" s="1"/>
      <c r="G223" s="3"/>
      <c r="H223" s="4"/>
      <c r="I223" s="4"/>
      <c r="J223" s="4"/>
      <c r="K223" s="5"/>
      <c r="L223" s="6"/>
      <c r="M223" s="4"/>
      <c r="N223" s="7"/>
    </row>
    <row r="224" ht="16.5" customHeight="1">
      <c r="A224" s="1"/>
      <c r="B224" s="2"/>
      <c r="C224" s="2"/>
      <c r="D224" s="2"/>
      <c r="E224" s="1"/>
      <c r="F224" s="1"/>
      <c r="G224" s="3"/>
      <c r="H224" s="4"/>
      <c r="I224" s="4"/>
      <c r="J224" s="4"/>
      <c r="K224" s="5"/>
      <c r="L224" s="6"/>
      <c r="M224" s="4"/>
      <c r="N224" s="7"/>
    </row>
    <row r="225" ht="16.5" customHeight="1">
      <c r="A225" s="1"/>
      <c r="B225" s="2"/>
      <c r="C225" s="2"/>
      <c r="D225" s="2"/>
      <c r="E225" s="1"/>
      <c r="F225" s="1"/>
      <c r="G225" s="3"/>
      <c r="H225" s="4"/>
      <c r="I225" s="4"/>
      <c r="J225" s="4"/>
      <c r="K225" s="5"/>
      <c r="L225" s="6"/>
      <c r="M225" s="4"/>
      <c r="N225" s="7"/>
    </row>
    <row r="226" ht="16.5" customHeight="1">
      <c r="A226" s="1"/>
      <c r="B226" s="2"/>
      <c r="C226" s="2"/>
      <c r="D226" s="2"/>
      <c r="E226" s="1"/>
      <c r="F226" s="1"/>
      <c r="G226" s="3"/>
      <c r="H226" s="4"/>
      <c r="I226" s="4"/>
      <c r="J226" s="4"/>
      <c r="K226" s="5"/>
      <c r="L226" s="6"/>
      <c r="M226" s="4"/>
      <c r="N226" s="7"/>
    </row>
    <row r="227" ht="16.5" customHeight="1">
      <c r="A227" s="1"/>
      <c r="B227" s="2"/>
      <c r="C227" s="2"/>
      <c r="D227" s="2"/>
      <c r="E227" s="1"/>
      <c r="F227" s="1"/>
      <c r="G227" s="3"/>
      <c r="H227" s="4"/>
      <c r="I227" s="4"/>
      <c r="J227" s="4"/>
      <c r="K227" s="5"/>
      <c r="L227" s="6"/>
      <c r="M227" s="4"/>
      <c r="N227" s="7"/>
    </row>
    <row r="228" ht="16.5" customHeight="1">
      <c r="A228" s="1"/>
      <c r="B228" s="2"/>
      <c r="C228" s="2"/>
      <c r="D228" s="2"/>
      <c r="E228" s="1"/>
      <c r="F228" s="1"/>
      <c r="G228" s="3"/>
      <c r="H228" s="4"/>
      <c r="I228" s="4"/>
      <c r="J228" s="4"/>
      <c r="K228" s="5"/>
      <c r="L228" s="6"/>
      <c r="M228" s="4"/>
      <c r="N228" s="7"/>
    </row>
    <row r="229" ht="16.5" customHeight="1">
      <c r="A229" s="1"/>
      <c r="B229" s="2"/>
      <c r="C229" s="2"/>
      <c r="D229" s="2"/>
      <c r="E229" s="1"/>
      <c r="F229" s="1"/>
      <c r="G229" s="3"/>
      <c r="H229" s="4"/>
      <c r="I229" s="4"/>
      <c r="J229" s="4"/>
      <c r="K229" s="5"/>
      <c r="L229" s="6"/>
      <c r="M229" s="4"/>
      <c r="N229" s="7"/>
    </row>
    <row r="230" ht="16.5" customHeight="1">
      <c r="A230" s="1"/>
      <c r="B230" s="2"/>
      <c r="C230" s="2"/>
      <c r="D230" s="2"/>
      <c r="E230" s="1"/>
      <c r="F230" s="1"/>
      <c r="G230" s="3"/>
      <c r="H230" s="4"/>
      <c r="I230" s="4"/>
      <c r="J230" s="4"/>
      <c r="K230" s="5"/>
      <c r="L230" s="6"/>
      <c r="M230" s="4"/>
      <c r="N230" s="7"/>
    </row>
    <row r="231" ht="16.5" customHeight="1">
      <c r="A231" s="1"/>
      <c r="B231" s="2"/>
      <c r="C231" s="2"/>
      <c r="D231" s="2"/>
      <c r="E231" s="1"/>
      <c r="F231" s="1"/>
      <c r="G231" s="3"/>
      <c r="H231" s="4"/>
      <c r="I231" s="4"/>
      <c r="J231" s="4"/>
      <c r="K231" s="5"/>
      <c r="L231" s="6"/>
      <c r="M231" s="4"/>
      <c r="N231" s="7"/>
    </row>
    <row r="232" ht="16.5" customHeight="1">
      <c r="A232" s="1"/>
      <c r="B232" s="2"/>
      <c r="C232" s="2"/>
      <c r="D232" s="2"/>
      <c r="E232" s="1"/>
      <c r="F232" s="1"/>
      <c r="G232" s="3"/>
      <c r="H232" s="4"/>
      <c r="I232" s="4"/>
      <c r="J232" s="4"/>
      <c r="K232" s="5"/>
      <c r="L232" s="6"/>
      <c r="M232" s="4"/>
      <c r="N232" s="7"/>
    </row>
    <row r="233" ht="16.5" customHeight="1">
      <c r="A233" s="1"/>
      <c r="B233" s="2"/>
      <c r="C233" s="2"/>
      <c r="D233" s="2"/>
      <c r="E233" s="1"/>
      <c r="F233" s="1"/>
      <c r="G233" s="3"/>
      <c r="H233" s="4"/>
      <c r="I233" s="4"/>
      <c r="J233" s="4"/>
      <c r="K233" s="5"/>
      <c r="L233" s="6"/>
      <c r="M233" s="4"/>
      <c r="N233" s="7"/>
    </row>
    <row r="234" ht="16.5" customHeight="1">
      <c r="A234" s="1"/>
      <c r="B234" s="2"/>
      <c r="C234" s="2"/>
      <c r="D234" s="2"/>
      <c r="E234" s="1"/>
      <c r="F234" s="1"/>
      <c r="G234" s="3"/>
      <c r="H234" s="4"/>
      <c r="I234" s="4"/>
      <c r="J234" s="4"/>
      <c r="K234" s="5"/>
      <c r="L234" s="6"/>
      <c r="M234" s="4"/>
      <c r="N234" s="7"/>
    </row>
    <row r="235" ht="16.5" customHeight="1">
      <c r="A235" s="1"/>
      <c r="B235" s="2"/>
      <c r="C235" s="2"/>
      <c r="D235" s="2"/>
      <c r="E235" s="1"/>
      <c r="F235" s="1"/>
      <c r="G235" s="3"/>
      <c r="H235" s="4"/>
      <c r="I235" s="4"/>
      <c r="J235" s="4"/>
      <c r="K235" s="5"/>
      <c r="L235" s="6"/>
      <c r="M235" s="4"/>
      <c r="N235" s="7"/>
    </row>
    <row r="236" ht="16.5" customHeight="1">
      <c r="A236" s="1"/>
      <c r="B236" s="2"/>
      <c r="C236" s="2"/>
      <c r="D236" s="2"/>
      <c r="E236" s="1"/>
      <c r="F236" s="1"/>
      <c r="G236" s="3"/>
      <c r="H236" s="4"/>
      <c r="I236" s="4"/>
      <c r="J236" s="4"/>
      <c r="K236" s="5"/>
      <c r="L236" s="6"/>
      <c r="M236" s="4"/>
      <c r="N236" s="7"/>
    </row>
    <row r="237" ht="16.5" customHeight="1">
      <c r="A237" s="1"/>
      <c r="B237" s="2"/>
      <c r="C237" s="2"/>
      <c r="D237" s="2"/>
      <c r="E237" s="1"/>
      <c r="F237" s="1"/>
      <c r="G237" s="3"/>
      <c r="H237" s="4"/>
      <c r="I237" s="4"/>
      <c r="J237" s="4"/>
      <c r="K237" s="5"/>
      <c r="L237" s="6"/>
      <c r="M237" s="4"/>
      <c r="N237" s="7"/>
    </row>
    <row r="238" ht="16.5" customHeight="1">
      <c r="A238" s="1"/>
      <c r="B238" s="2"/>
      <c r="C238" s="2"/>
      <c r="D238" s="2"/>
      <c r="E238" s="1"/>
      <c r="F238" s="1"/>
      <c r="G238" s="3"/>
      <c r="H238" s="4"/>
      <c r="I238" s="4"/>
      <c r="J238" s="4"/>
      <c r="K238" s="5"/>
      <c r="L238" s="6"/>
      <c r="M238" s="4"/>
      <c r="N238" s="7"/>
    </row>
    <row r="239" ht="16.5" customHeight="1">
      <c r="A239" s="1"/>
      <c r="B239" s="2"/>
      <c r="C239" s="2"/>
      <c r="D239" s="2"/>
      <c r="E239" s="1"/>
      <c r="F239" s="1"/>
      <c r="G239" s="3"/>
      <c r="H239" s="4"/>
      <c r="I239" s="4"/>
      <c r="J239" s="4"/>
      <c r="K239" s="5"/>
      <c r="L239" s="6"/>
      <c r="M239" s="4"/>
      <c r="N239" s="7"/>
    </row>
    <row r="240" ht="16.5" customHeight="1">
      <c r="A240" s="1"/>
      <c r="B240" s="2"/>
      <c r="C240" s="2"/>
      <c r="D240" s="2"/>
      <c r="E240" s="1"/>
      <c r="F240" s="1"/>
      <c r="G240" s="3"/>
      <c r="H240" s="4"/>
      <c r="I240" s="4"/>
      <c r="J240" s="4"/>
      <c r="K240" s="5"/>
      <c r="L240" s="6"/>
      <c r="M240" s="4"/>
      <c r="N240" s="7"/>
    </row>
    <row r="241" ht="16.5" customHeight="1">
      <c r="A241" s="1"/>
      <c r="B241" s="2"/>
      <c r="C241" s="2"/>
      <c r="D241" s="2"/>
      <c r="E241" s="1"/>
      <c r="F241" s="1"/>
      <c r="G241" s="3"/>
      <c r="H241" s="4"/>
      <c r="I241" s="4"/>
      <c r="J241" s="4"/>
      <c r="K241" s="5"/>
      <c r="L241" s="6"/>
      <c r="M241" s="4"/>
      <c r="N241" s="7"/>
    </row>
    <row r="242" ht="16.5" customHeight="1">
      <c r="A242" s="1"/>
      <c r="B242" s="2"/>
      <c r="C242" s="2"/>
      <c r="D242" s="2"/>
      <c r="E242" s="1"/>
      <c r="F242" s="1"/>
      <c r="G242" s="3"/>
      <c r="H242" s="4"/>
      <c r="I242" s="4"/>
      <c r="J242" s="4"/>
      <c r="K242" s="5"/>
      <c r="L242" s="6"/>
      <c r="M242" s="4"/>
      <c r="N242" s="7"/>
    </row>
    <row r="243" ht="16.5" customHeight="1">
      <c r="A243" s="1"/>
      <c r="B243" s="2"/>
      <c r="C243" s="2"/>
      <c r="D243" s="2"/>
      <c r="E243" s="1"/>
      <c r="F243" s="1"/>
      <c r="G243" s="3"/>
      <c r="H243" s="4"/>
      <c r="I243" s="4"/>
      <c r="J243" s="4"/>
      <c r="K243" s="5"/>
      <c r="L243" s="6"/>
      <c r="M243" s="4"/>
      <c r="N243" s="7"/>
    </row>
    <row r="244" ht="16.5" customHeight="1">
      <c r="A244" s="1"/>
      <c r="B244" s="2"/>
      <c r="C244" s="2"/>
      <c r="D244" s="2"/>
      <c r="E244" s="1"/>
      <c r="F244" s="1"/>
      <c r="G244" s="3"/>
      <c r="H244" s="4"/>
      <c r="I244" s="4"/>
      <c r="J244" s="4"/>
      <c r="K244" s="5"/>
      <c r="L244" s="6"/>
      <c r="M244" s="4"/>
      <c r="N244" s="7"/>
    </row>
    <row r="245" ht="16.5" customHeight="1">
      <c r="A245" s="1"/>
      <c r="B245" s="2"/>
      <c r="C245" s="2"/>
      <c r="D245" s="2"/>
      <c r="E245" s="1"/>
      <c r="F245" s="1"/>
      <c r="G245" s="3"/>
      <c r="H245" s="4"/>
      <c r="I245" s="4"/>
      <c r="J245" s="4"/>
      <c r="K245" s="5"/>
      <c r="L245" s="6"/>
      <c r="M245" s="4"/>
      <c r="N245" s="7"/>
    </row>
    <row r="246" ht="16.5" customHeight="1">
      <c r="A246" s="1"/>
      <c r="B246" s="2"/>
      <c r="C246" s="2"/>
      <c r="D246" s="2"/>
      <c r="E246" s="1"/>
      <c r="F246" s="1"/>
      <c r="G246" s="3"/>
      <c r="H246" s="4"/>
      <c r="I246" s="4"/>
      <c r="J246" s="4"/>
      <c r="K246" s="5"/>
      <c r="L246" s="6"/>
      <c r="M246" s="4"/>
      <c r="N246" s="7"/>
    </row>
    <row r="247" ht="16.5" customHeight="1">
      <c r="A247" s="1"/>
      <c r="B247" s="2"/>
      <c r="C247" s="2"/>
      <c r="D247" s="2"/>
      <c r="E247" s="1"/>
      <c r="F247" s="1"/>
      <c r="G247" s="3"/>
      <c r="H247" s="4"/>
      <c r="I247" s="4"/>
      <c r="J247" s="4"/>
      <c r="K247" s="5"/>
      <c r="L247" s="6"/>
      <c r="M247" s="4"/>
      <c r="N247" s="7"/>
    </row>
    <row r="248" ht="16.5" customHeight="1">
      <c r="A248" s="1"/>
      <c r="B248" s="2"/>
      <c r="C248" s="2"/>
      <c r="D248" s="2"/>
      <c r="E248" s="1"/>
      <c r="F248" s="1"/>
      <c r="G248" s="3"/>
      <c r="H248" s="4"/>
      <c r="I248" s="4"/>
      <c r="J248" s="4"/>
      <c r="K248" s="5"/>
      <c r="L248" s="6"/>
      <c r="M248" s="4"/>
      <c r="N248" s="7"/>
    </row>
    <row r="249" ht="16.5" customHeight="1">
      <c r="A249" s="1"/>
      <c r="B249" s="2"/>
      <c r="C249" s="2"/>
      <c r="D249" s="2"/>
      <c r="E249" s="1"/>
      <c r="F249" s="1"/>
      <c r="G249" s="3"/>
      <c r="H249" s="4"/>
      <c r="I249" s="4"/>
      <c r="J249" s="4"/>
      <c r="K249" s="5"/>
      <c r="L249" s="6"/>
      <c r="M249" s="4"/>
      <c r="N249" s="7"/>
    </row>
    <row r="250" ht="18.0" customHeight="1">
      <c r="A250" s="1"/>
      <c r="B250" s="2"/>
      <c r="C250" s="2"/>
      <c r="D250" s="2"/>
      <c r="E250" s="1"/>
      <c r="F250" s="1"/>
      <c r="G250" s="3"/>
      <c r="H250" s="4"/>
      <c r="I250" s="4"/>
      <c r="J250" s="4"/>
      <c r="K250" s="5"/>
      <c r="L250" s="6"/>
      <c r="M250" s="4"/>
      <c r="N250" s="7"/>
    </row>
    <row r="251" ht="16.5" customHeight="1">
      <c r="A251" s="1"/>
      <c r="B251" s="2"/>
      <c r="C251" s="2"/>
      <c r="D251" s="2"/>
      <c r="E251" s="1"/>
      <c r="F251" s="1"/>
      <c r="G251" s="3"/>
      <c r="H251" s="4"/>
      <c r="I251" s="4"/>
      <c r="J251" s="4"/>
      <c r="K251" s="5"/>
      <c r="L251" s="6"/>
      <c r="M251" s="4"/>
      <c r="N251" s="7"/>
    </row>
    <row r="252" ht="16.5" customHeight="1">
      <c r="A252" s="1"/>
      <c r="B252" s="2"/>
      <c r="C252" s="2"/>
      <c r="D252" s="2"/>
      <c r="E252" s="1"/>
      <c r="F252" s="1"/>
      <c r="G252" s="3"/>
      <c r="H252" s="4"/>
      <c r="I252" s="4"/>
      <c r="J252" s="4"/>
      <c r="K252" s="5"/>
      <c r="L252" s="6"/>
      <c r="M252" s="4"/>
      <c r="N252" s="7"/>
    </row>
    <row r="253" ht="16.5" customHeight="1">
      <c r="A253" s="1"/>
      <c r="B253" s="2"/>
      <c r="C253" s="2"/>
      <c r="D253" s="2"/>
      <c r="E253" s="1"/>
      <c r="F253" s="1"/>
      <c r="G253" s="3"/>
      <c r="H253" s="4"/>
      <c r="I253" s="4"/>
      <c r="J253" s="4"/>
      <c r="K253" s="5"/>
      <c r="L253" s="6"/>
      <c r="M253" s="4"/>
      <c r="N253" s="7"/>
    </row>
    <row r="254" ht="16.5" customHeight="1">
      <c r="A254" s="1"/>
      <c r="B254" s="2"/>
      <c r="C254" s="2"/>
      <c r="D254" s="2"/>
      <c r="E254" s="1"/>
      <c r="F254" s="1"/>
      <c r="G254" s="3"/>
      <c r="H254" s="4"/>
      <c r="I254" s="4"/>
      <c r="J254" s="4"/>
      <c r="K254" s="5"/>
      <c r="L254" s="6"/>
      <c r="M254" s="4"/>
      <c r="N254" s="7"/>
    </row>
    <row r="255" ht="16.5" customHeight="1">
      <c r="A255" s="1"/>
      <c r="B255" s="2"/>
      <c r="C255" s="2"/>
      <c r="D255" s="2"/>
      <c r="E255" s="1"/>
      <c r="F255" s="1"/>
      <c r="G255" s="3"/>
      <c r="H255" s="4"/>
      <c r="I255" s="4"/>
      <c r="J255" s="4"/>
      <c r="K255" s="5"/>
      <c r="L255" s="6"/>
      <c r="M255" s="4"/>
      <c r="N255" s="7"/>
    </row>
    <row r="256" ht="16.5" customHeight="1">
      <c r="A256" s="1"/>
      <c r="B256" s="2"/>
      <c r="C256" s="2"/>
      <c r="D256" s="2"/>
      <c r="E256" s="1"/>
      <c r="F256" s="1"/>
      <c r="G256" s="3"/>
      <c r="H256" s="4"/>
      <c r="I256" s="4"/>
      <c r="J256" s="4"/>
      <c r="K256" s="5"/>
      <c r="L256" s="6"/>
      <c r="M256" s="4"/>
      <c r="N256" s="7"/>
    </row>
    <row r="257" ht="16.5" customHeight="1">
      <c r="A257" s="1"/>
      <c r="B257" s="2"/>
      <c r="C257" s="2"/>
      <c r="D257" s="2"/>
      <c r="E257" s="1"/>
      <c r="F257" s="1"/>
      <c r="G257" s="3"/>
      <c r="H257" s="4"/>
      <c r="I257" s="4"/>
      <c r="J257" s="4"/>
      <c r="K257" s="5"/>
      <c r="L257" s="6"/>
      <c r="M257" s="4"/>
      <c r="N257" s="7"/>
    </row>
    <row r="258" ht="16.5" customHeight="1">
      <c r="A258" s="1"/>
      <c r="B258" s="2"/>
      <c r="C258" s="2"/>
      <c r="D258" s="2"/>
      <c r="E258" s="1"/>
      <c r="F258" s="1"/>
      <c r="G258" s="3"/>
      <c r="H258" s="4"/>
      <c r="I258" s="4"/>
      <c r="J258" s="4"/>
      <c r="K258" s="5"/>
      <c r="L258" s="6"/>
      <c r="M258" s="4"/>
      <c r="N258" s="7"/>
    </row>
    <row r="259" ht="16.5" customHeight="1">
      <c r="A259" s="1"/>
      <c r="B259" s="2"/>
      <c r="C259" s="2"/>
      <c r="D259" s="2"/>
      <c r="E259" s="1"/>
      <c r="F259" s="1"/>
      <c r="G259" s="3"/>
      <c r="H259" s="4"/>
      <c r="I259" s="4"/>
      <c r="J259" s="4"/>
      <c r="K259" s="5"/>
      <c r="L259" s="6"/>
      <c r="M259" s="4"/>
      <c r="N259" s="7"/>
    </row>
    <row r="260" ht="16.5" customHeight="1">
      <c r="A260" s="1"/>
      <c r="B260" s="2"/>
      <c r="C260" s="2"/>
      <c r="D260" s="2"/>
      <c r="E260" s="1"/>
      <c r="F260" s="1"/>
      <c r="G260" s="3"/>
      <c r="H260" s="4"/>
      <c r="I260" s="4"/>
      <c r="J260" s="4"/>
      <c r="K260" s="5"/>
      <c r="L260" s="6"/>
      <c r="M260" s="4"/>
      <c r="N260" s="7"/>
    </row>
    <row r="261" ht="16.5" customHeight="1">
      <c r="A261" s="1"/>
      <c r="B261" s="2"/>
      <c r="C261" s="2"/>
      <c r="D261" s="2"/>
      <c r="E261" s="1"/>
      <c r="F261" s="1"/>
      <c r="G261" s="3"/>
      <c r="H261" s="4"/>
      <c r="I261" s="4"/>
      <c r="J261" s="4"/>
      <c r="K261" s="5"/>
      <c r="L261" s="6"/>
      <c r="M261" s="4"/>
      <c r="N261" s="7"/>
    </row>
    <row r="262" ht="16.5" customHeight="1">
      <c r="A262" s="1"/>
      <c r="B262" s="2"/>
      <c r="C262" s="2"/>
      <c r="D262" s="2"/>
      <c r="E262" s="1"/>
      <c r="F262" s="1"/>
      <c r="G262" s="3"/>
      <c r="H262" s="4"/>
      <c r="I262" s="4"/>
      <c r="J262" s="4"/>
      <c r="K262" s="5"/>
      <c r="L262" s="6"/>
      <c r="M262" s="4"/>
      <c r="N262" s="7"/>
    </row>
    <row r="263" ht="16.5" customHeight="1">
      <c r="A263" s="1"/>
      <c r="B263" s="2"/>
      <c r="C263" s="2"/>
      <c r="D263" s="2"/>
      <c r="E263" s="1"/>
      <c r="F263" s="1"/>
      <c r="G263" s="3"/>
      <c r="H263" s="4"/>
      <c r="I263" s="4"/>
      <c r="J263" s="4"/>
      <c r="K263" s="5"/>
      <c r="L263" s="6"/>
      <c r="M263" s="4"/>
      <c r="N263" s="7"/>
    </row>
    <row r="264" ht="16.5" customHeight="1">
      <c r="A264" s="1"/>
      <c r="B264" s="2"/>
      <c r="C264" s="2"/>
      <c r="D264" s="2"/>
      <c r="E264" s="1"/>
      <c r="F264" s="1"/>
      <c r="G264" s="3"/>
      <c r="H264" s="4"/>
      <c r="I264" s="4"/>
      <c r="J264" s="4"/>
      <c r="K264" s="5"/>
      <c r="L264" s="6"/>
      <c r="M264" s="4"/>
      <c r="N264" s="7"/>
    </row>
    <row r="265" ht="16.5" customHeight="1">
      <c r="A265" s="1"/>
      <c r="B265" s="2"/>
      <c r="C265" s="2"/>
      <c r="D265" s="2"/>
      <c r="E265" s="1"/>
      <c r="F265" s="1"/>
      <c r="G265" s="3"/>
      <c r="H265" s="4"/>
      <c r="I265" s="4"/>
      <c r="J265" s="4"/>
      <c r="K265" s="5"/>
      <c r="L265" s="6"/>
      <c r="M265" s="4"/>
      <c r="N265" s="7"/>
    </row>
    <row r="266" ht="16.5" customHeight="1">
      <c r="A266" s="1"/>
      <c r="B266" s="2"/>
      <c r="C266" s="2"/>
      <c r="D266" s="2"/>
      <c r="E266" s="1"/>
      <c r="F266" s="1"/>
      <c r="G266" s="3"/>
      <c r="H266" s="4"/>
      <c r="I266" s="4"/>
      <c r="J266" s="4"/>
      <c r="K266" s="5"/>
      <c r="L266" s="6"/>
      <c r="M266" s="4"/>
      <c r="N266" s="7"/>
    </row>
    <row r="267" ht="16.5" customHeight="1">
      <c r="A267" s="1"/>
      <c r="B267" s="2"/>
      <c r="C267" s="2"/>
      <c r="D267" s="2"/>
      <c r="E267" s="1"/>
      <c r="F267" s="1"/>
      <c r="G267" s="3"/>
      <c r="H267" s="4"/>
      <c r="I267" s="4"/>
      <c r="J267" s="4"/>
      <c r="K267" s="5"/>
      <c r="L267" s="6"/>
      <c r="M267" s="4"/>
      <c r="N267" s="7"/>
    </row>
    <row r="268" ht="16.5" customHeight="1">
      <c r="A268" s="1"/>
      <c r="B268" s="2"/>
      <c r="C268" s="2"/>
      <c r="D268" s="2"/>
      <c r="E268" s="1"/>
      <c r="F268" s="1"/>
      <c r="G268" s="3"/>
      <c r="H268" s="4"/>
      <c r="I268" s="4"/>
      <c r="J268" s="4"/>
      <c r="K268" s="5"/>
      <c r="L268" s="6"/>
      <c r="M268" s="4"/>
      <c r="N268" s="7"/>
    </row>
    <row r="269" ht="16.5" customHeight="1">
      <c r="A269" s="1"/>
      <c r="B269" s="2"/>
      <c r="C269" s="2"/>
      <c r="D269" s="2"/>
      <c r="E269" s="1"/>
      <c r="F269" s="1"/>
      <c r="G269" s="3"/>
      <c r="H269" s="4"/>
      <c r="I269" s="4"/>
      <c r="J269" s="4"/>
      <c r="K269" s="5"/>
      <c r="L269" s="6"/>
      <c r="M269" s="4"/>
      <c r="N269" s="7"/>
    </row>
    <row r="270" ht="16.5" customHeight="1">
      <c r="A270" s="1"/>
      <c r="B270" s="2"/>
      <c r="C270" s="2"/>
      <c r="D270" s="2"/>
      <c r="E270" s="1"/>
      <c r="F270" s="1"/>
      <c r="G270" s="3"/>
      <c r="H270" s="4"/>
      <c r="I270" s="4"/>
      <c r="J270" s="4"/>
      <c r="K270" s="5"/>
      <c r="L270" s="6"/>
      <c r="M270" s="4"/>
      <c r="N270" s="7"/>
    </row>
    <row r="271" ht="16.5" customHeight="1">
      <c r="A271" s="1"/>
      <c r="B271" s="2"/>
      <c r="C271" s="2"/>
      <c r="D271" s="2"/>
      <c r="E271" s="1"/>
      <c r="F271" s="1"/>
      <c r="G271" s="3"/>
      <c r="H271" s="4"/>
      <c r="I271" s="4"/>
      <c r="J271" s="4"/>
      <c r="K271" s="5"/>
      <c r="L271" s="6"/>
      <c r="M271" s="4"/>
      <c r="N271" s="7"/>
    </row>
    <row r="272" ht="16.5" customHeight="1">
      <c r="A272" s="1"/>
      <c r="B272" s="2"/>
      <c r="C272" s="2"/>
      <c r="D272" s="2"/>
      <c r="E272" s="1"/>
      <c r="F272" s="1"/>
      <c r="G272" s="3"/>
      <c r="H272" s="4"/>
      <c r="I272" s="4"/>
      <c r="J272" s="4"/>
      <c r="K272" s="5"/>
      <c r="L272" s="6"/>
      <c r="M272" s="4"/>
      <c r="N272" s="7"/>
    </row>
    <row r="273" ht="16.5" customHeight="1">
      <c r="A273" s="1"/>
      <c r="B273" s="2"/>
      <c r="C273" s="2"/>
      <c r="D273" s="2"/>
      <c r="E273" s="1"/>
      <c r="F273" s="1"/>
      <c r="G273" s="3"/>
      <c r="H273" s="4"/>
      <c r="I273" s="4"/>
      <c r="J273" s="4"/>
      <c r="K273" s="5"/>
      <c r="L273" s="6"/>
      <c r="M273" s="4"/>
      <c r="N273" s="7"/>
    </row>
    <row r="274" ht="15.75" customHeight="1">
      <c r="B274" s="151"/>
      <c r="C274" s="151"/>
      <c r="D274" s="151"/>
      <c r="G274" s="152"/>
      <c r="H274" s="153"/>
      <c r="I274" s="153"/>
      <c r="J274" s="153"/>
      <c r="K274" s="154"/>
      <c r="M274" s="153"/>
      <c r="N274" s="7"/>
    </row>
    <row r="275" ht="15.75" customHeight="1">
      <c r="B275" s="151"/>
      <c r="C275" s="151"/>
      <c r="D275" s="151"/>
      <c r="G275" s="152"/>
      <c r="H275" s="153"/>
      <c r="I275" s="153"/>
      <c r="J275" s="153"/>
      <c r="K275" s="154"/>
      <c r="M275" s="153"/>
      <c r="N275" s="7"/>
    </row>
    <row r="276" ht="15.75" customHeight="1">
      <c r="B276" s="151"/>
      <c r="C276" s="151"/>
      <c r="D276" s="151"/>
      <c r="G276" s="152"/>
      <c r="H276" s="153"/>
      <c r="I276" s="153"/>
      <c r="J276" s="153"/>
      <c r="K276" s="154"/>
      <c r="M276" s="153"/>
      <c r="N276" s="7"/>
    </row>
    <row r="277" ht="15.75" customHeight="1">
      <c r="B277" s="151"/>
      <c r="C277" s="151"/>
      <c r="D277" s="151"/>
      <c r="G277" s="152"/>
      <c r="H277" s="153"/>
      <c r="I277" s="153"/>
      <c r="J277" s="153"/>
      <c r="K277" s="154"/>
      <c r="M277" s="153"/>
      <c r="N277" s="7"/>
    </row>
    <row r="278" ht="15.75" customHeight="1">
      <c r="B278" s="151"/>
      <c r="C278" s="151"/>
      <c r="D278" s="151"/>
      <c r="G278" s="152"/>
      <c r="H278" s="153"/>
      <c r="I278" s="153"/>
      <c r="J278" s="153"/>
      <c r="K278" s="154"/>
      <c r="M278" s="153"/>
      <c r="N278" s="7"/>
    </row>
    <row r="279" ht="15.75" customHeight="1">
      <c r="B279" s="151"/>
      <c r="C279" s="151"/>
      <c r="D279" s="151"/>
      <c r="G279" s="152"/>
      <c r="H279" s="153"/>
      <c r="I279" s="153"/>
      <c r="J279" s="153"/>
      <c r="K279" s="154"/>
      <c r="M279" s="153"/>
      <c r="N279" s="7"/>
    </row>
    <row r="280" ht="15.75" customHeight="1">
      <c r="B280" s="151"/>
      <c r="C280" s="151"/>
      <c r="D280" s="151"/>
      <c r="G280" s="152"/>
      <c r="H280" s="153"/>
      <c r="I280" s="153"/>
      <c r="J280" s="153"/>
      <c r="K280" s="154"/>
      <c r="M280" s="153"/>
      <c r="N280" s="7"/>
    </row>
    <row r="281" ht="15.75" customHeight="1">
      <c r="B281" s="151"/>
      <c r="C281" s="151"/>
      <c r="D281" s="151"/>
      <c r="G281" s="152"/>
      <c r="H281" s="153"/>
      <c r="I281" s="153"/>
      <c r="J281" s="153"/>
      <c r="K281" s="154"/>
      <c r="M281" s="153"/>
      <c r="N281" s="7"/>
    </row>
    <row r="282" ht="15.75" customHeight="1">
      <c r="B282" s="151"/>
      <c r="C282" s="151"/>
      <c r="D282" s="151"/>
      <c r="G282" s="152"/>
      <c r="H282" s="153"/>
      <c r="I282" s="153"/>
      <c r="J282" s="153"/>
      <c r="K282" s="154"/>
      <c r="M282" s="153"/>
      <c r="N282" s="7"/>
    </row>
    <row r="283" ht="15.75" customHeight="1">
      <c r="B283" s="151"/>
      <c r="C283" s="151"/>
      <c r="D283" s="151"/>
      <c r="G283" s="152"/>
      <c r="H283" s="153"/>
      <c r="I283" s="153"/>
      <c r="J283" s="153"/>
      <c r="K283" s="154"/>
      <c r="M283" s="153"/>
      <c r="N283" s="7"/>
    </row>
    <row r="284" ht="15.75" customHeight="1">
      <c r="B284" s="151"/>
      <c r="C284" s="151"/>
      <c r="D284" s="151"/>
      <c r="G284" s="152"/>
      <c r="H284" s="153"/>
      <c r="I284" s="153"/>
      <c r="J284" s="153"/>
      <c r="K284" s="154"/>
      <c r="M284" s="153"/>
      <c r="N284" s="7"/>
    </row>
    <row r="285" ht="15.75" customHeight="1">
      <c r="B285" s="151"/>
      <c r="C285" s="151"/>
      <c r="D285" s="151"/>
      <c r="G285" s="152"/>
      <c r="H285" s="153"/>
      <c r="I285" s="153"/>
      <c r="J285" s="153"/>
      <c r="K285" s="154"/>
      <c r="M285" s="153"/>
      <c r="N285" s="7"/>
    </row>
    <row r="286" ht="15.75" customHeight="1">
      <c r="B286" s="151"/>
      <c r="C286" s="151"/>
      <c r="D286" s="151"/>
      <c r="G286" s="152"/>
      <c r="H286" s="153"/>
      <c r="I286" s="153"/>
      <c r="J286" s="153"/>
      <c r="K286" s="154"/>
      <c r="M286" s="153"/>
      <c r="N286" s="7"/>
    </row>
    <row r="287" ht="15.75" customHeight="1">
      <c r="B287" s="151"/>
      <c r="C287" s="151"/>
      <c r="D287" s="151"/>
      <c r="G287" s="152"/>
      <c r="H287" s="153"/>
      <c r="I287" s="153"/>
      <c r="J287" s="153"/>
      <c r="K287" s="154"/>
      <c r="M287" s="153"/>
      <c r="N287" s="7"/>
    </row>
    <row r="288" ht="15.75" customHeight="1">
      <c r="B288" s="151"/>
      <c r="C288" s="151"/>
      <c r="D288" s="151"/>
      <c r="G288" s="152"/>
      <c r="H288" s="153"/>
      <c r="I288" s="153"/>
      <c r="J288" s="153"/>
      <c r="K288" s="154"/>
      <c r="M288" s="153"/>
      <c r="N288" s="7"/>
    </row>
    <row r="289" ht="15.75" customHeight="1">
      <c r="B289" s="151"/>
      <c r="C289" s="151"/>
      <c r="D289" s="151"/>
      <c r="G289" s="152"/>
      <c r="H289" s="153"/>
      <c r="I289" s="153"/>
      <c r="J289" s="153"/>
      <c r="K289" s="154"/>
      <c r="M289" s="153"/>
      <c r="N289" s="7"/>
    </row>
    <row r="290" ht="15.75" customHeight="1">
      <c r="B290" s="151"/>
      <c r="C290" s="151"/>
      <c r="D290" s="151"/>
      <c r="G290" s="152"/>
      <c r="H290" s="153"/>
      <c r="I290" s="153"/>
      <c r="J290" s="153"/>
      <c r="K290" s="154"/>
      <c r="M290" s="153"/>
      <c r="N290" s="7"/>
    </row>
    <row r="291" ht="15.75" customHeight="1">
      <c r="B291" s="151"/>
      <c r="C291" s="151"/>
      <c r="D291" s="151"/>
      <c r="G291" s="152"/>
      <c r="H291" s="153"/>
      <c r="I291" s="153"/>
      <c r="J291" s="153"/>
      <c r="K291" s="154"/>
      <c r="M291" s="153"/>
      <c r="N291" s="7"/>
    </row>
    <row r="292" ht="15.75" customHeight="1">
      <c r="B292" s="151"/>
      <c r="C292" s="151"/>
      <c r="D292" s="151"/>
      <c r="G292" s="152"/>
      <c r="H292" s="153"/>
      <c r="I292" s="153"/>
      <c r="J292" s="153"/>
      <c r="K292" s="154"/>
      <c r="M292" s="153"/>
      <c r="N292" s="7"/>
    </row>
    <row r="293" ht="15.75" customHeight="1">
      <c r="B293" s="151"/>
      <c r="C293" s="151"/>
      <c r="D293" s="151"/>
      <c r="G293" s="152"/>
      <c r="H293" s="153"/>
      <c r="I293" s="153"/>
      <c r="J293" s="153"/>
      <c r="K293" s="154"/>
      <c r="M293" s="153"/>
      <c r="N293" s="7"/>
    </row>
    <row r="294" ht="15.75" customHeight="1">
      <c r="B294" s="151"/>
      <c r="C294" s="151"/>
      <c r="D294" s="151"/>
      <c r="G294" s="152"/>
      <c r="H294" s="153"/>
      <c r="I294" s="153"/>
      <c r="J294" s="153"/>
      <c r="K294" s="154"/>
      <c r="M294" s="153"/>
      <c r="N294" s="7"/>
    </row>
    <row r="295" ht="15.75" customHeight="1">
      <c r="B295" s="151"/>
      <c r="C295" s="151"/>
      <c r="D295" s="151"/>
      <c r="G295" s="152"/>
      <c r="H295" s="153"/>
      <c r="I295" s="153"/>
      <c r="J295" s="153"/>
      <c r="K295" s="154"/>
      <c r="M295" s="153"/>
      <c r="N295" s="7"/>
    </row>
    <row r="296" ht="15.75" customHeight="1">
      <c r="B296" s="151"/>
      <c r="C296" s="151"/>
      <c r="D296" s="151"/>
      <c r="G296" s="152"/>
      <c r="H296" s="153"/>
      <c r="I296" s="153"/>
      <c r="J296" s="153"/>
      <c r="K296" s="154"/>
      <c r="M296" s="153"/>
      <c r="N296" s="7"/>
    </row>
    <row r="297" ht="15.75" customHeight="1">
      <c r="B297" s="151"/>
      <c r="C297" s="151"/>
      <c r="D297" s="151"/>
      <c r="G297" s="152"/>
      <c r="H297" s="153"/>
      <c r="I297" s="153"/>
      <c r="J297" s="153"/>
      <c r="K297" s="154"/>
      <c r="M297" s="153"/>
      <c r="N297" s="7"/>
    </row>
    <row r="298" ht="15.75" customHeight="1">
      <c r="B298" s="151"/>
      <c r="C298" s="151"/>
      <c r="D298" s="151"/>
      <c r="G298" s="152"/>
      <c r="H298" s="153"/>
      <c r="I298" s="153"/>
      <c r="J298" s="153"/>
      <c r="K298" s="154"/>
      <c r="M298" s="153"/>
      <c r="N298" s="7"/>
    </row>
    <row r="299" ht="15.75" customHeight="1">
      <c r="B299" s="151"/>
      <c r="C299" s="151"/>
      <c r="D299" s="151"/>
      <c r="G299" s="152"/>
      <c r="H299" s="153"/>
      <c r="I299" s="153"/>
      <c r="J299" s="153"/>
      <c r="K299" s="154"/>
      <c r="M299" s="153"/>
      <c r="N299" s="7"/>
    </row>
    <row r="300" ht="15.75" customHeight="1">
      <c r="B300" s="151"/>
      <c r="C300" s="151"/>
      <c r="D300" s="151"/>
      <c r="G300" s="152"/>
      <c r="H300" s="153"/>
      <c r="I300" s="153"/>
      <c r="J300" s="153"/>
      <c r="K300" s="154"/>
      <c r="M300" s="153"/>
      <c r="N300" s="7"/>
    </row>
    <row r="301" ht="15.75" customHeight="1">
      <c r="B301" s="151"/>
      <c r="C301" s="151"/>
      <c r="D301" s="151"/>
      <c r="G301" s="152"/>
      <c r="H301" s="153"/>
      <c r="I301" s="153"/>
      <c r="J301" s="153"/>
      <c r="K301" s="154"/>
      <c r="M301" s="153"/>
      <c r="N301" s="7"/>
    </row>
    <row r="302" ht="15.75" customHeight="1">
      <c r="B302" s="151"/>
      <c r="C302" s="151"/>
      <c r="D302" s="151"/>
      <c r="G302" s="152"/>
      <c r="H302" s="153"/>
      <c r="I302" s="153"/>
      <c r="J302" s="153"/>
      <c r="K302" s="154"/>
      <c r="M302" s="153"/>
      <c r="N302" s="7"/>
    </row>
    <row r="303" ht="15.75" customHeight="1">
      <c r="B303" s="151"/>
      <c r="C303" s="151"/>
      <c r="D303" s="151"/>
      <c r="G303" s="152"/>
      <c r="H303" s="153"/>
      <c r="I303" s="153"/>
      <c r="J303" s="153"/>
      <c r="K303" s="154"/>
      <c r="M303" s="153"/>
      <c r="N303" s="7"/>
    </row>
    <row r="304" ht="15.75" customHeight="1">
      <c r="B304" s="151"/>
      <c r="C304" s="151"/>
      <c r="D304" s="151"/>
      <c r="G304" s="152"/>
      <c r="H304" s="153"/>
      <c r="I304" s="153"/>
      <c r="J304" s="153"/>
      <c r="K304" s="154"/>
      <c r="M304" s="153"/>
      <c r="N304" s="7"/>
    </row>
    <row r="305" ht="15.75" customHeight="1">
      <c r="B305" s="151"/>
      <c r="C305" s="151"/>
      <c r="D305" s="151"/>
      <c r="G305" s="152"/>
      <c r="H305" s="153"/>
      <c r="I305" s="153"/>
      <c r="J305" s="153"/>
      <c r="K305" s="154"/>
      <c r="M305" s="153"/>
      <c r="N305" s="7"/>
    </row>
    <row r="306" ht="15.75" customHeight="1">
      <c r="B306" s="151"/>
      <c r="C306" s="151"/>
      <c r="D306" s="151"/>
      <c r="G306" s="152"/>
      <c r="H306" s="153"/>
      <c r="I306" s="153"/>
      <c r="J306" s="153"/>
      <c r="K306" s="154"/>
      <c r="M306" s="153"/>
      <c r="N306" s="7"/>
    </row>
    <row r="307" ht="15.75" customHeight="1">
      <c r="B307" s="151"/>
      <c r="C307" s="151"/>
      <c r="D307" s="151"/>
      <c r="G307" s="152"/>
      <c r="H307" s="153"/>
      <c r="I307" s="153"/>
      <c r="J307" s="153"/>
      <c r="K307" s="154"/>
      <c r="M307" s="153"/>
      <c r="N307" s="7"/>
    </row>
    <row r="308" ht="15.75" customHeight="1">
      <c r="B308" s="151"/>
      <c r="C308" s="151"/>
      <c r="D308" s="151"/>
      <c r="G308" s="152"/>
      <c r="H308" s="151"/>
      <c r="K308" s="155"/>
      <c r="M308" s="153"/>
      <c r="N308" s="7"/>
    </row>
    <row r="309" ht="15.75" customHeight="1">
      <c r="B309" s="151"/>
      <c r="C309" s="151"/>
      <c r="D309" s="151"/>
      <c r="G309" s="152"/>
      <c r="H309" s="151"/>
      <c r="K309" s="155"/>
      <c r="M309" s="153"/>
      <c r="N309" s="7"/>
    </row>
    <row r="310" ht="15.75" customHeight="1">
      <c r="B310" s="151"/>
      <c r="C310" s="151"/>
      <c r="D310" s="151"/>
      <c r="G310" s="152"/>
      <c r="H310" s="151"/>
      <c r="K310" s="155"/>
      <c r="M310" s="153"/>
      <c r="N310" s="7"/>
    </row>
    <row r="311" ht="15.75" customHeight="1">
      <c r="B311" s="151"/>
      <c r="C311" s="151"/>
      <c r="D311" s="151"/>
      <c r="G311" s="152"/>
      <c r="H311" s="151"/>
      <c r="K311" s="155"/>
      <c r="M311" s="153"/>
      <c r="N311" s="7"/>
    </row>
    <row r="312" ht="15.75" customHeight="1">
      <c r="B312" s="151"/>
      <c r="C312" s="151"/>
      <c r="D312" s="151"/>
      <c r="G312" s="152"/>
      <c r="H312" s="151"/>
      <c r="K312" s="155"/>
      <c r="M312" s="153"/>
      <c r="N312" s="7"/>
    </row>
    <row r="313" ht="15.75" customHeight="1">
      <c r="B313" s="151"/>
      <c r="C313" s="151"/>
      <c r="D313" s="151"/>
      <c r="G313" s="152"/>
      <c r="H313" s="151"/>
      <c r="K313" s="155"/>
      <c r="M313" s="153"/>
      <c r="N313" s="7"/>
    </row>
    <row r="314" ht="15.75" customHeight="1">
      <c r="B314" s="151"/>
      <c r="C314" s="151"/>
      <c r="D314" s="151"/>
      <c r="G314" s="152"/>
      <c r="H314" s="151"/>
      <c r="K314" s="155"/>
      <c r="M314" s="153"/>
      <c r="N314" s="7"/>
    </row>
    <row r="315" ht="15.75" customHeight="1">
      <c r="B315" s="151"/>
      <c r="C315" s="151"/>
      <c r="D315" s="151"/>
      <c r="G315" s="152"/>
      <c r="H315" s="151"/>
      <c r="K315" s="155"/>
      <c r="M315" s="153"/>
      <c r="N315" s="7"/>
    </row>
    <row r="316" ht="15.75" customHeight="1">
      <c r="B316" s="151"/>
      <c r="C316" s="151"/>
      <c r="D316" s="151"/>
      <c r="G316" s="152"/>
      <c r="H316" s="151"/>
      <c r="K316" s="155"/>
      <c r="M316" s="153"/>
      <c r="N316" s="7"/>
    </row>
    <row r="317" ht="15.75" customHeight="1">
      <c r="B317" s="151"/>
      <c r="C317" s="151"/>
      <c r="D317" s="151"/>
      <c r="G317" s="152"/>
      <c r="H317" s="151"/>
      <c r="K317" s="155"/>
      <c r="M317" s="153"/>
      <c r="N317" s="7"/>
    </row>
    <row r="318" ht="15.75" customHeight="1">
      <c r="B318" s="151"/>
      <c r="C318" s="151"/>
      <c r="D318" s="151"/>
      <c r="G318" s="152"/>
      <c r="H318" s="151"/>
      <c r="K318" s="155"/>
      <c r="M318" s="153"/>
      <c r="N318" s="7"/>
    </row>
    <row r="319" ht="15.75" customHeight="1">
      <c r="B319" s="151"/>
      <c r="C319" s="151"/>
      <c r="D319" s="151"/>
      <c r="G319" s="152"/>
      <c r="H319" s="151"/>
      <c r="K319" s="155"/>
      <c r="M319" s="153"/>
      <c r="N319" s="7"/>
    </row>
    <row r="320" ht="15.75" customHeight="1">
      <c r="B320" s="151"/>
      <c r="C320" s="151"/>
      <c r="D320" s="151"/>
      <c r="G320" s="152"/>
      <c r="H320" s="151"/>
      <c r="K320" s="155"/>
      <c r="M320" s="153"/>
      <c r="N320" s="7"/>
    </row>
    <row r="321" ht="15.75" customHeight="1">
      <c r="B321" s="151"/>
      <c r="C321" s="151"/>
      <c r="D321" s="151"/>
      <c r="G321" s="152"/>
      <c r="H321" s="151"/>
      <c r="K321" s="155"/>
      <c r="M321" s="153"/>
      <c r="N321" s="7"/>
    </row>
    <row r="322" ht="15.75" customHeight="1">
      <c r="B322" s="151"/>
      <c r="C322" s="151"/>
      <c r="D322" s="151"/>
      <c r="G322" s="152"/>
      <c r="H322" s="151"/>
      <c r="K322" s="155"/>
      <c r="M322" s="153"/>
      <c r="N322" s="7"/>
    </row>
    <row r="323" ht="15.75" customHeight="1">
      <c r="B323" s="151"/>
      <c r="C323" s="151"/>
      <c r="D323" s="151"/>
      <c r="G323" s="152"/>
      <c r="H323" s="151"/>
      <c r="K323" s="155"/>
      <c r="M323" s="153"/>
      <c r="N323" s="7"/>
    </row>
    <row r="324" ht="15.75" customHeight="1">
      <c r="B324" s="151"/>
      <c r="C324" s="151"/>
      <c r="D324" s="151"/>
      <c r="G324" s="152"/>
      <c r="H324" s="151"/>
      <c r="K324" s="155"/>
      <c r="M324" s="153"/>
      <c r="N324" s="7"/>
    </row>
    <row r="325" ht="15.75" customHeight="1">
      <c r="B325" s="151"/>
      <c r="C325" s="151"/>
      <c r="D325" s="151"/>
      <c r="G325" s="152"/>
      <c r="H325" s="151"/>
      <c r="K325" s="155"/>
      <c r="M325" s="153"/>
      <c r="N325" s="7"/>
    </row>
    <row r="326" ht="15.75" customHeight="1">
      <c r="B326" s="151"/>
      <c r="C326" s="151"/>
      <c r="D326" s="151"/>
      <c r="G326" s="152"/>
      <c r="H326" s="151"/>
      <c r="K326" s="155"/>
      <c r="M326" s="153"/>
      <c r="N326" s="7"/>
    </row>
    <row r="327" ht="15.75" customHeight="1">
      <c r="B327" s="151"/>
      <c r="C327" s="151"/>
      <c r="D327" s="151"/>
      <c r="G327" s="152"/>
      <c r="H327" s="151"/>
      <c r="K327" s="155"/>
      <c r="M327" s="153"/>
      <c r="N327" s="7"/>
    </row>
    <row r="328" ht="15.75" customHeight="1">
      <c r="B328" s="151"/>
      <c r="C328" s="151"/>
      <c r="D328" s="151"/>
      <c r="G328" s="152"/>
      <c r="H328" s="151"/>
      <c r="K328" s="155"/>
      <c r="M328" s="153"/>
      <c r="N328" s="7"/>
    </row>
    <row r="329" ht="15.75" customHeight="1">
      <c r="B329" s="151"/>
      <c r="C329" s="151"/>
      <c r="D329" s="151"/>
      <c r="G329" s="152"/>
      <c r="H329" s="151"/>
      <c r="K329" s="155"/>
      <c r="M329" s="153"/>
      <c r="N329" s="7"/>
    </row>
    <row r="330" ht="15.75" customHeight="1">
      <c r="B330" s="151"/>
      <c r="C330" s="151"/>
      <c r="D330" s="151"/>
      <c r="G330" s="152"/>
      <c r="H330" s="151"/>
      <c r="K330" s="155"/>
      <c r="M330" s="153"/>
      <c r="N330" s="7"/>
    </row>
    <row r="331" ht="15.75" customHeight="1">
      <c r="B331" s="151"/>
      <c r="C331" s="151"/>
      <c r="D331" s="151"/>
      <c r="G331" s="152"/>
      <c r="H331" s="151"/>
      <c r="K331" s="155"/>
      <c r="M331" s="153"/>
      <c r="N331" s="7"/>
    </row>
    <row r="332" ht="15.75" customHeight="1">
      <c r="B332" s="151"/>
      <c r="C332" s="151"/>
      <c r="D332" s="151"/>
      <c r="G332" s="152"/>
      <c r="H332" s="151"/>
      <c r="K332" s="155"/>
      <c r="M332" s="153"/>
      <c r="N332" s="7"/>
    </row>
    <row r="333" ht="15.75" customHeight="1">
      <c r="B333" s="151"/>
      <c r="C333" s="151"/>
      <c r="D333" s="151"/>
      <c r="G333" s="152"/>
      <c r="H333" s="151"/>
      <c r="K333" s="155"/>
      <c r="M333" s="153"/>
      <c r="N333" s="7"/>
    </row>
    <row r="334" ht="15.75" customHeight="1">
      <c r="B334" s="151"/>
      <c r="C334" s="151"/>
      <c r="D334" s="151"/>
      <c r="G334" s="152"/>
      <c r="H334" s="151"/>
      <c r="K334" s="155"/>
      <c r="M334" s="153"/>
      <c r="N334" s="7"/>
    </row>
    <row r="335" ht="15.75" customHeight="1">
      <c r="B335" s="151"/>
      <c r="C335" s="151"/>
      <c r="D335" s="151"/>
      <c r="G335" s="152"/>
      <c r="H335" s="151"/>
      <c r="K335" s="155"/>
      <c r="M335" s="153"/>
      <c r="N335" s="7"/>
    </row>
    <row r="336" ht="15.75" customHeight="1">
      <c r="B336" s="151"/>
      <c r="C336" s="151"/>
      <c r="D336" s="151"/>
      <c r="G336" s="152"/>
      <c r="H336" s="151"/>
      <c r="K336" s="155"/>
      <c r="M336" s="153"/>
      <c r="N336" s="7"/>
    </row>
    <row r="337" ht="15.75" customHeight="1">
      <c r="B337" s="151"/>
      <c r="C337" s="151"/>
      <c r="D337" s="151"/>
      <c r="G337" s="152"/>
      <c r="H337" s="151"/>
      <c r="K337" s="155"/>
      <c r="M337" s="153"/>
      <c r="N337" s="7"/>
    </row>
    <row r="338" ht="15.75" customHeight="1">
      <c r="B338" s="151"/>
      <c r="C338" s="151"/>
      <c r="D338" s="151"/>
      <c r="G338" s="152"/>
      <c r="H338" s="151"/>
      <c r="K338" s="155"/>
      <c r="M338" s="153"/>
      <c r="N338" s="7"/>
    </row>
    <row r="339" ht="15.75" customHeight="1">
      <c r="B339" s="151"/>
      <c r="C339" s="151"/>
      <c r="D339" s="151"/>
      <c r="G339" s="152"/>
      <c r="H339" s="151"/>
      <c r="K339" s="155"/>
      <c r="M339" s="153"/>
      <c r="N339" s="7"/>
    </row>
    <row r="340" ht="15.75" customHeight="1">
      <c r="B340" s="151"/>
      <c r="C340" s="151"/>
      <c r="D340" s="151"/>
      <c r="G340" s="152"/>
      <c r="H340" s="151"/>
      <c r="K340" s="155"/>
      <c r="M340" s="153"/>
      <c r="N340" s="7"/>
    </row>
    <row r="341" ht="15.75" customHeight="1">
      <c r="B341" s="151"/>
      <c r="C341" s="151"/>
      <c r="D341" s="151"/>
      <c r="G341" s="152"/>
      <c r="H341" s="151"/>
      <c r="K341" s="155"/>
      <c r="M341" s="153"/>
      <c r="N341" s="7"/>
    </row>
    <row r="342" ht="15.75" customHeight="1">
      <c r="B342" s="151"/>
      <c r="C342" s="151"/>
      <c r="D342" s="151"/>
      <c r="G342" s="152"/>
      <c r="H342" s="151"/>
      <c r="K342" s="155"/>
      <c r="M342" s="153"/>
      <c r="N342" s="7"/>
    </row>
    <row r="343" ht="15.75" customHeight="1">
      <c r="B343" s="151"/>
      <c r="C343" s="151"/>
      <c r="D343" s="151"/>
      <c r="G343" s="152"/>
      <c r="H343" s="151"/>
      <c r="K343" s="155"/>
      <c r="M343" s="153"/>
      <c r="N343" s="7"/>
    </row>
    <row r="344" ht="15.75" customHeight="1">
      <c r="B344" s="151"/>
      <c r="C344" s="151"/>
      <c r="D344" s="151"/>
      <c r="G344" s="152"/>
      <c r="H344" s="151"/>
      <c r="K344" s="155"/>
      <c r="M344" s="153"/>
      <c r="N344" s="7"/>
    </row>
    <row r="345" ht="15.75" customHeight="1">
      <c r="B345" s="151"/>
      <c r="C345" s="151"/>
      <c r="D345" s="151"/>
      <c r="G345" s="152"/>
      <c r="H345" s="151"/>
      <c r="K345" s="155"/>
      <c r="M345" s="153"/>
      <c r="N345" s="7"/>
    </row>
    <row r="346" ht="15.75" customHeight="1">
      <c r="B346" s="151"/>
      <c r="C346" s="151"/>
      <c r="D346" s="151"/>
      <c r="G346" s="152"/>
      <c r="H346" s="151"/>
      <c r="K346" s="155"/>
      <c r="M346" s="153"/>
      <c r="N346" s="7"/>
    </row>
    <row r="347" ht="15.75" customHeight="1">
      <c r="B347" s="151"/>
      <c r="C347" s="151"/>
      <c r="D347" s="151"/>
      <c r="G347" s="152"/>
      <c r="H347" s="151"/>
      <c r="K347" s="155"/>
      <c r="M347" s="153"/>
      <c r="N347" s="7"/>
    </row>
    <row r="348" ht="15.75" customHeight="1">
      <c r="B348" s="151"/>
      <c r="C348" s="151"/>
      <c r="D348" s="151"/>
      <c r="G348" s="152"/>
      <c r="H348" s="151"/>
      <c r="K348" s="155"/>
      <c r="M348" s="153"/>
      <c r="N348" s="7"/>
    </row>
    <row r="349" ht="15.75" customHeight="1">
      <c r="B349" s="151"/>
      <c r="C349" s="151"/>
      <c r="D349" s="151"/>
      <c r="G349" s="152"/>
      <c r="H349" s="151"/>
      <c r="K349" s="155"/>
      <c r="M349" s="153"/>
      <c r="N349" s="7"/>
    </row>
    <row r="350" ht="15.75" customHeight="1">
      <c r="B350" s="151"/>
      <c r="C350" s="151"/>
      <c r="D350" s="151"/>
      <c r="G350" s="152"/>
      <c r="H350" s="151"/>
      <c r="K350" s="155"/>
      <c r="M350" s="153"/>
      <c r="N350" s="7"/>
    </row>
    <row r="351" ht="15.75" customHeight="1">
      <c r="B351" s="151"/>
      <c r="C351" s="151"/>
      <c r="D351" s="151"/>
      <c r="G351" s="152"/>
      <c r="H351" s="151"/>
      <c r="K351" s="155"/>
      <c r="M351" s="153"/>
      <c r="N351" s="7"/>
    </row>
    <row r="352" ht="15.75" customHeight="1">
      <c r="B352" s="151"/>
      <c r="C352" s="151"/>
      <c r="D352" s="151"/>
      <c r="G352" s="152"/>
      <c r="H352" s="151"/>
      <c r="K352" s="155"/>
      <c r="M352" s="153"/>
      <c r="N352" s="7"/>
    </row>
    <row r="353" ht="15.75" customHeight="1">
      <c r="B353" s="151"/>
      <c r="C353" s="151"/>
      <c r="D353" s="151"/>
      <c r="G353" s="152"/>
      <c r="H353" s="151"/>
      <c r="K353" s="155"/>
      <c r="M353" s="153"/>
      <c r="N353" s="7"/>
    </row>
    <row r="354" ht="15.75" customHeight="1">
      <c r="B354" s="151"/>
      <c r="C354" s="151"/>
      <c r="D354" s="151"/>
      <c r="G354" s="152"/>
      <c r="H354" s="151"/>
      <c r="K354" s="155"/>
      <c r="M354" s="153"/>
      <c r="N354" s="7"/>
    </row>
    <row r="355" ht="15.75" customHeight="1">
      <c r="B355" s="151"/>
      <c r="C355" s="151"/>
      <c r="D355" s="151"/>
      <c r="G355" s="152"/>
      <c r="H355" s="151"/>
      <c r="K355" s="155"/>
      <c r="M355" s="153"/>
      <c r="N355" s="7"/>
    </row>
    <row r="356" ht="15.75" customHeight="1">
      <c r="B356" s="151"/>
      <c r="C356" s="151"/>
      <c r="D356" s="151"/>
      <c r="G356" s="152"/>
      <c r="H356" s="151"/>
      <c r="K356" s="155"/>
      <c r="M356" s="153"/>
      <c r="N356" s="7"/>
    </row>
    <row r="357" ht="15.75" customHeight="1">
      <c r="B357" s="151"/>
      <c r="C357" s="151"/>
      <c r="D357" s="151"/>
      <c r="G357" s="152"/>
      <c r="H357" s="151"/>
      <c r="K357" s="155"/>
      <c r="M357" s="153"/>
      <c r="N357" s="7"/>
    </row>
    <row r="358" ht="15.75" customHeight="1">
      <c r="B358" s="151"/>
      <c r="C358" s="151"/>
      <c r="D358" s="151"/>
      <c r="G358" s="152"/>
      <c r="H358" s="151"/>
      <c r="K358" s="155"/>
      <c r="M358" s="153"/>
      <c r="N358" s="7"/>
    </row>
    <row r="359" ht="15.75" customHeight="1">
      <c r="B359" s="151"/>
      <c r="C359" s="151"/>
      <c r="D359" s="151"/>
      <c r="G359" s="152"/>
      <c r="H359" s="151"/>
      <c r="K359" s="155"/>
      <c r="M359" s="153"/>
      <c r="N359" s="7"/>
    </row>
    <row r="360" ht="15.75" customHeight="1">
      <c r="B360" s="151"/>
      <c r="C360" s="151"/>
      <c r="D360" s="151"/>
      <c r="G360" s="152"/>
      <c r="H360" s="151"/>
      <c r="K360" s="155"/>
      <c r="M360" s="153"/>
      <c r="N360" s="7"/>
    </row>
    <row r="361" ht="15.75" customHeight="1">
      <c r="B361" s="151"/>
      <c r="C361" s="151"/>
      <c r="D361" s="151"/>
      <c r="G361" s="152"/>
      <c r="H361" s="151"/>
      <c r="K361" s="155"/>
      <c r="M361" s="153"/>
      <c r="N361" s="7"/>
    </row>
    <row r="362" ht="15.75" customHeight="1">
      <c r="B362" s="151"/>
      <c r="C362" s="151"/>
      <c r="D362" s="151"/>
      <c r="G362" s="152"/>
      <c r="H362" s="151"/>
      <c r="K362" s="155"/>
      <c r="M362" s="153"/>
      <c r="N362" s="7"/>
    </row>
    <row r="363" ht="15.75" customHeight="1">
      <c r="B363" s="151"/>
      <c r="C363" s="151"/>
      <c r="D363" s="151"/>
      <c r="G363" s="152"/>
      <c r="H363" s="151"/>
      <c r="K363" s="155"/>
      <c r="M363" s="153"/>
      <c r="N363" s="7"/>
    </row>
    <row r="364" ht="15.75" customHeight="1">
      <c r="B364" s="151"/>
      <c r="C364" s="151"/>
      <c r="D364" s="151"/>
      <c r="G364" s="152"/>
      <c r="H364" s="151"/>
      <c r="K364" s="155"/>
      <c r="M364" s="153"/>
      <c r="N364" s="7"/>
    </row>
    <row r="365" ht="15.75" customHeight="1">
      <c r="B365" s="151"/>
      <c r="C365" s="151"/>
      <c r="D365" s="151"/>
      <c r="G365" s="152"/>
      <c r="H365" s="151"/>
      <c r="K365" s="155"/>
      <c r="M365" s="153"/>
      <c r="N365" s="7"/>
    </row>
    <row r="366" ht="15.75" customHeight="1">
      <c r="B366" s="151"/>
      <c r="C366" s="151"/>
      <c r="D366" s="151"/>
      <c r="G366" s="152"/>
      <c r="H366" s="151"/>
      <c r="K366" s="155"/>
      <c r="M366" s="153"/>
      <c r="N366" s="7"/>
    </row>
    <row r="367" ht="15.75" customHeight="1">
      <c r="B367" s="151"/>
      <c r="C367" s="151"/>
      <c r="D367" s="151"/>
      <c r="G367" s="152"/>
      <c r="H367" s="151"/>
      <c r="K367" s="155"/>
      <c r="M367" s="153"/>
      <c r="N367" s="7"/>
    </row>
    <row r="368" ht="15.75" customHeight="1">
      <c r="B368" s="151"/>
      <c r="C368" s="151"/>
      <c r="D368" s="151"/>
      <c r="G368" s="152"/>
      <c r="H368" s="151"/>
      <c r="K368" s="155"/>
      <c r="M368" s="153"/>
      <c r="N368" s="7"/>
    </row>
    <row r="369" ht="15.75" customHeight="1">
      <c r="B369" s="151"/>
      <c r="C369" s="151"/>
      <c r="D369" s="151"/>
      <c r="G369" s="152"/>
      <c r="H369" s="151"/>
      <c r="K369" s="155"/>
      <c r="M369" s="153"/>
      <c r="N369" s="7"/>
    </row>
    <row r="370" ht="15.75" customHeight="1">
      <c r="B370" s="151"/>
      <c r="C370" s="151"/>
      <c r="D370" s="151"/>
      <c r="G370" s="152"/>
      <c r="H370" s="151"/>
      <c r="K370" s="155"/>
      <c r="M370" s="153"/>
      <c r="N370" s="7"/>
    </row>
    <row r="371" ht="15.75" customHeight="1">
      <c r="B371" s="151"/>
      <c r="C371" s="151"/>
      <c r="D371" s="151"/>
      <c r="G371" s="152"/>
      <c r="H371" s="151"/>
      <c r="K371" s="155"/>
      <c r="M371" s="153"/>
      <c r="N371" s="7"/>
    </row>
    <row r="372" ht="15.75" customHeight="1">
      <c r="B372" s="151"/>
      <c r="C372" s="151"/>
      <c r="D372" s="151"/>
      <c r="G372" s="152"/>
      <c r="H372" s="151"/>
      <c r="K372" s="155"/>
      <c r="M372" s="153"/>
      <c r="N372" s="7"/>
    </row>
    <row r="373" ht="15.75" customHeight="1">
      <c r="B373" s="151"/>
      <c r="C373" s="151"/>
      <c r="D373" s="151"/>
      <c r="G373" s="152"/>
      <c r="H373" s="151"/>
      <c r="K373" s="155"/>
      <c r="M373" s="153"/>
      <c r="N373" s="7"/>
    </row>
    <row r="374" ht="15.75" customHeight="1">
      <c r="B374" s="151"/>
      <c r="C374" s="151"/>
      <c r="D374" s="151"/>
      <c r="G374" s="152"/>
      <c r="H374" s="151"/>
      <c r="K374" s="155"/>
      <c r="M374" s="153"/>
      <c r="N374" s="7"/>
    </row>
    <row r="375" ht="15.75" customHeight="1">
      <c r="B375" s="151"/>
      <c r="C375" s="151"/>
      <c r="D375" s="151"/>
      <c r="G375" s="152"/>
      <c r="H375" s="151"/>
      <c r="K375" s="155"/>
      <c r="M375" s="153"/>
      <c r="N375" s="7"/>
    </row>
    <row r="376" ht="15.75" customHeight="1">
      <c r="B376" s="151"/>
      <c r="C376" s="151"/>
      <c r="D376" s="151"/>
      <c r="G376" s="152"/>
      <c r="H376" s="151"/>
      <c r="K376" s="155"/>
      <c r="M376" s="153"/>
      <c r="N376" s="7"/>
    </row>
    <row r="377" ht="15.75" customHeight="1">
      <c r="B377" s="151"/>
      <c r="C377" s="151"/>
      <c r="D377" s="151"/>
      <c r="G377" s="152"/>
      <c r="H377" s="151"/>
      <c r="K377" s="155"/>
      <c r="M377" s="153"/>
      <c r="N377" s="7"/>
    </row>
    <row r="378" ht="15.75" customHeight="1">
      <c r="B378" s="151"/>
      <c r="C378" s="151"/>
      <c r="D378" s="151"/>
      <c r="G378" s="152"/>
      <c r="H378" s="151"/>
      <c r="K378" s="155"/>
      <c r="M378" s="153"/>
      <c r="N378" s="7"/>
    </row>
    <row r="379" ht="15.75" customHeight="1">
      <c r="B379" s="151"/>
      <c r="C379" s="151"/>
      <c r="D379" s="151"/>
      <c r="G379" s="152"/>
      <c r="H379" s="151"/>
      <c r="K379" s="155"/>
      <c r="M379" s="153"/>
      <c r="N379" s="7"/>
    </row>
    <row r="380" ht="15.75" customHeight="1">
      <c r="B380" s="151"/>
      <c r="C380" s="151"/>
      <c r="D380" s="151"/>
      <c r="G380" s="152"/>
      <c r="H380" s="151"/>
      <c r="K380" s="155"/>
      <c r="M380" s="153"/>
      <c r="N380" s="7"/>
    </row>
    <row r="381" ht="15.75" customHeight="1">
      <c r="B381" s="151"/>
      <c r="C381" s="151"/>
      <c r="D381" s="151"/>
      <c r="G381" s="152"/>
      <c r="H381" s="151"/>
      <c r="K381" s="155"/>
      <c r="M381" s="153"/>
      <c r="N381" s="7"/>
    </row>
    <row r="382" ht="15.75" customHeight="1">
      <c r="B382" s="151"/>
      <c r="C382" s="151"/>
      <c r="D382" s="151"/>
      <c r="G382" s="152"/>
      <c r="H382" s="151"/>
      <c r="K382" s="155"/>
      <c r="M382" s="153"/>
      <c r="N382" s="7"/>
    </row>
    <row r="383" ht="15.75" customHeight="1">
      <c r="B383" s="151"/>
      <c r="C383" s="151"/>
      <c r="D383" s="151"/>
      <c r="G383" s="152"/>
      <c r="H383" s="151"/>
      <c r="K383" s="155"/>
      <c r="M383" s="153"/>
      <c r="N383" s="7"/>
    </row>
    <row r="384" ht="15.75" customHeight="1">
      <c r="B384" s="151"/>
      <c r="C384" s="151"/>
      <c r="D384" s="151"/>
      <c r="G384" s="152"/>
      <c r="H384" s="151"/>
      <c r="K384" s="155"/>
      <c r="M384" s="153"/>
      <c r="N384" s="7"/>
    </row>
    <row r="385" ht="15.75" customHeight="1">
      <c r="B385" s="151"/>
      <c r="C385" s="151"/>
      <c r="D385" s="151"/>
      <c r="G385" s="152"/>
      <c r="H385" s="151"/>
      <c r="K385" s="155"/>
      <c r="M385" s="153"/>
      <c r="N385" s="7"/>
    </row>
    <row r="386" ht="15.75" customHeight="1">
      <c r="B386" s="151"/>
      <c r="C386" s="151"/>
      <c r="D386" s="151"/>
      <c r="G386" s="152"/>
      <c r="H386" s="151"/>
      <c r="K386" s="155"/>
      <c r="M386" s="153"/>
      <c r="N386" s="7"/>
    </row>
    <row r="387" ht="15.75" customHeight="1">
      <c r="B387" s="151"/>
      <c r="C387" s="151"/>
      <c r="D387" s="151"/>
      <c r="G387" s="152"/>
      <c r="H387" s="151"/>
      <c r="K387" s="155"/>
      <c r="M387" s="153"/>
      <c r="N387" s="7"/>
    </row>
    <row r="388" ht="15.75" customHeight="1">
      <c r="B388" s="151"/>
      <c r="C388" s="151"/>
      <c r="D388" s="151"/>
      <c r="G388" s="152"/>
      <c r="H388" s="151"/>
      <c r="K388" s="155"/>
      <c r="M388" s="153"/>
      <c r="N388" s="7"/>
    </row>
    <row r="389" ht="15.75" customHeight="1">
      <c r="B389" s="151"/>
      <c r="C389" s="151"/>
      <c r="D389" s="151"/>
      <c r="G389" s="152"/>
      <c r="H389" s="151"/>
      <c r="K389" s="155"/>
      <c r="M389" s="153"/>
      <c r="N389" s="7"/>
    </row>
    <row r="390" ht="15.75" customHeight="1">
      <c r="B390" s="151"/>
      <c r="C390" s="151"/>
      <c r="D390" s="151"/>
      <c r="G390" s="152"/>
      <c r="H390" s="151"/>
      <c r="K390" s="155"/>
      <c r="M390" s="153"/>
      <c r="N390" s="7"/>
    </row>
    <row r="391" ht="15.75" customHeight="1">
      <c r="B391" s="151"/>
      <c r="C391" s="151"/>
      <c r="D391" s="151"/>
      <c r="G391" s="152"/>
      <c r="H391" s="151"/>
      <c r="K391" s="155"/>
      <c r="M391" s="153"/>
      <c r="N391" s="7"/>
    </row>
    <row r="392" ht="15.75" customHeight="1">
      <c r="B392" s="151"/>
      <c r="C392" s="151"/>
      <c r="D392" s="151"/>
      <c r="G392" s="152"/>
      <c r="H392" s="151"/>
      <c r="K392" s="155"/>
      <c r="M392" s="153"/>
      <c r="N392" s="7"/>
    </row>
    <row r="393" ht="15.75" customHeight="1">
      <c r="B393" s="151"/>
      <c r="C393" s="151"/>
      <c r="D393" s="151"/>
      <c r="G393" s="152"/>
      <c r="H393" s="151"/>
      <c r="K393" s="155"/>
      <c r="M393" s="153"/>
      <c r="N393" s="7"/>
    </row>
    <row r="394" ht="15.75" customHeight="1">
      <c r="B394" s="151"/>
      <c r="C394" s="151"/>
      <c r="D394" s="151"/>
      <c r="G394" s="152"/>
      <c r="H394" s="151"/>
      <c r="K394" s="155"/>
      <c r="M394" s="153"/>
      <c r="N394" s="7"/>
    </row>
    <row r="395" ht="15.75" customHeight="1">
      <c r="B395" s="151"/>
      <c r="C395" s="151"/>
      <c r="D395" s="151"/>
      <c r="G395" s="152"/>
      <c r="H395" s="151"/>
      <c r="K395" s="155"/>
      <c r="M395" s="153"/>
      <c r="N395" s="7"/>
    </row>
    <row r="396" ht="15.75" customHeight="1">
      <c r="B396" s="151"/>
      <c r="C396" s="151"/>
      <c r="D396" s="151"/>
      <c r="G396" s="152"/>
      <c r="H396" s="151"/>
      <c r="K396" s="155"/>
      <c r="M396" s="153"/>
      <c r="N396" s="7"/>
    </row>
    <row r="397" ht="15.75" customHeight="1">
      <c r="B397" s="151"/>
      <c r="C397" s="151"/>
      <c r="D397" s="151"/>
      <c r="G397" s="152"/>
      <c r="H397" s="151"/>
      <c r="K397" s="155"/>
      <c r="M397" s="153"/>
      <c r="N397" s="7"/>
    </row>
    <row r="398" ht="15.75" customHeight="1">
      <c r="B398" s="151"/>
      <c r="C398" s="151"/>
      <c r="D398" s="151"/>
      <c r="G398" s="152"/>
      <c r="H398" s="151"/>
      <c r="K398" s="155"/>
      <c r="M398" s="153"/>
      <c r="N398" s="7"/>
    </row>
    <row r="399" ht="15.75" customHeight="1">
      <c r="B399" s="151"/>
      <c r="C399" s="151"/>
      <c r="D399" s="151"/>
      <c r="G399" s="152"/>
      <c r="H399" s="151"/>
      <c r="K399" s="155"/>
      <c r="M399" s="153"/>
      <c r="N399" s="7"/>
    </row>
    <row r="400" ht="15.75" customHeight="1">
      <c r="B400" s="151"/>
      <c r="C400" s="151"/>
      <c r="D400" s="151"/>
      <c r="G400" s="152"/>
      <c r="H400" s="151"/>
      <c r="K400" s="155"/>
      <c r="M400" s="153"/>
      <c r="N400" s="7"/>
    </row>
    <row r="401" ht="15.75" customHeight="1">
      <c r="B401" s="151"/>
      <c r="C401" s="151"/>
      <c r="D401" s="151"/>
      <c r="G401" s="152"/>
      <c r="H401" s="151"/>
      <c r="K401" s="155"/>
      <c r="M401" s="153"/>
      <c r="N401" s="7"/>
    </row>
    <row r="402" ht="15.75" customHeight="1">
      <c r="B402" s="151"/>
      <c r="C402" s="151"/>
      <c r="D402" s="151"/>
      <c r="G402" s="152"/>
      <c r="H402" s="151"/>
      <c r="K402" s="155"/>
      <c r="M402" s="153"/>
      <c r="N402" s="7"/>
    </row>
    <row r="403" ht="15.75" customHeight="1">
      <c r="B403" s="151"/>
      <c r="C403" s="151"/>
      <c r="D403" s="151"/>
      <c r="G403" s="152"/>
      <c r="H403" s="151"/>
      <c r="K403" s="155"/>
      <c r="M403" s="153"/>
      <c r="N403" s="7"/>
    </row>
    <row r="404" ht="15.75" customHeight="1">
      <c r="B404" s="151"/>
      <c r="C404" s="151"/>
      <c r="D404" s="151"/>
      <c r="G404" s="152"/>
      <c r="H404" s="151"/>
      <c r="K404" s="155"/>
      <c r="M404" s="153"/>
      <c r="N404" s="7"/>
    </row>
    <row r="405" ht="15.75" customHeight="1">
      <c r="B405" s="151"/>
      <c r="C405" s="151"/>
      <c r="D405" s="151"/>
      <c r="G405" s="152"/>
      <c r="H405" s="151"/>
      <c r="K405" s="155"/>
      <c r="M405" s="153"/>
      <c r="N405" s="7"/>
    </row>
    <row r="406" ht="15.75" customHeight="1">
      <c r="B406" s="151"/>
      <c r="C406" s="151"/>
      <c r="D406" s="151"/>
      <c r="G406" s="152"/>
      <c r="H406" s="151"/>
      <c r="K406" s="155"/>
      <c r="M406" s="153"/>
      <c r="N406" s="7"/>
    </row>
    <row r="407" ht="15.75" customHeight="1">
      <c r="B407" s="151"/>
      <c r="C407" s="151"/>
      <c r="D407" s="151"/>
      <c r="G407" s="152"/>
      <c r="H407" s="151"/>
      <c r="K407" s="155"/>
      <c r="M407" s="153"/>
      <c r="N407" s="7"/>
    </row>
    <row r="408" ht="15.75" customHeight="1">
      <c r="B408" s="151"/>
      <c r="C408" s="151"/>
      <c r="D408" s="151"/>
      <c r="G408" s="152"/>
      <c r="H408" s="151"/>
      <c r="K408" s="155"/>
      <c r="M408" s="153"/>
      <c r="N408" s="7"/>
    </row>
    <row r="409" ht="15.75" customHeight="1">
      <c r="B409" s="151"/>
      <c r="C409" s="151"/>
      <c r="D409" s="151"/>
      <c r="G409" s="152"/>
      <c r="H409" s="151"/>
      <c r="K409" s="155"/>
      <c r="M409" s="153"/>
      <c r="N409" s="7"/>
    </row>
    <row r="410" ht="15.75" customHeight="1">
      <c r="B410" s="151"/>
      <c r="C410" s="151"/>
      <c r="D410" s="151"/>
      <c r="G410" s="152"/>
      <c r="H410" s="151"/>
      <c r="K410" s="155"/>
      <c r="M410" s="153"/>
      <c r="N410" s="7"/>
    </row>
    <row r="411" ht="15.75" customHeight="1">
      <c r="B411" s="151"/>
      <c r="C411" s="151"/>
      <c r="D411" s="151"/>
      <c r="G411" s="152"/>
      <c r="H411" s="151"/>
      <c r="K411" s="155"/>
      <c r="M411" s="153"/>
      <c r="N411" s="7"/>
    </row>
    <row r="412" ht="15.75" customHeight="1">
      <c r="B412" s="151"/>
      <c r="C412" s="151"/>
      <c r="D412" s="151"/>
      <c r="G412" s="152"/>
      <c r="H412" s="151"/>
      <c r="K412" s="155"/>
      <c r="M412" s="153"/>
      <c r="N412" s="7"/>
    </row>
    <row r="413" ht="15.75" customHeight="1">
      <c r="B413" s="151"/>
      <c r="C413" s="151"/>
      <c r="D413" s="151"/>
      <c r="G413" s="152"/>
      <c r="H413" s="151"/>
      <c r="K413" s="155"/>
      <c r="M413" s="153"/>
      <c r="N413" s="7"/>
    </row>
    <row r="414" ht="15.75" customHeight="1">
      <c r="B414" s="151"/>
      <c r="C414" s="151"/>
      <c r="D414" s="151"/>
      <c r="G414" s="152"/>
      <c r="H414" s="151"/>
      <c r="K414" s="155"/>
      <c r="M414" s="153"/>
      <c r="N414" s="7"/>
    </row>
    <row r="415" ht="15.75" customHeight="1">
      <c r="B415" s="151"/>
      <c r="C415" s="151"/>
      <c r="D415" s="151"/>
      <c r="G415" s="152"/>
      <c r="H415" s="151"/>
      <c r="K415" s="155"/>
      <c r="M415" s="153"/>
      <c r="N415" s="7"/>
    </row>
    <row r="416" ht="15.75" customHeight="1">
      <c r="B416" s="151"/>
      <c r="C416" s="151"/>
      <c r="D416" s="151"/>
      <c r="G416" s="152"/>
      <c r="H416" s="151"/>
      <c r="K416" s="155"/>
      <c r="M416" s="153"/>
      <c r="N416" s="7"/>
    </row>
    <row r="417" ht="15.75" customHeight="1">
      <c r="B417" s="151"/>
      <c r="C417" s="151"/>
      <c r="D417" s="151"/>
      <c r="G417" s="152"/>
      <c r="H417" s="151"/>
      <c r="K417" s="155"/>
      <c r="M417" s="153"/>
      <c r="N417" s="7"/>
    </row>
    <row r="418" ht="15.75" customHeight="1">
      <c r="B418" s="151"/>
      <c r="C418" s="151"/>
      <c r="D418" s="151"/>
      <c r="G418" s="152"/>
      <c r="H418" s="151"/>
      <c r="K418" s="155"/>
      <c r="M418" s="153"/>
      <c r="N418" s="7"/>
    </row>
    <row r="419" ht="15.75" customHeight="1">
      <c r="B419" s="151"/>
      <c r="C419" s="151"/>
      <c r="D419" s="151"/>
      <c r="G419" s="152"/>
      <c r="H419" s="151"/>
      <c r="K419" s="155"/>
      <c r="M419" s="153"/>
      <c r="N419" s="7"/>
    </row>
    <row r="420" ht="15.75" customHeight="1">
      <c r="B420" s="151"/>
      <c r="C420" s="151"/>
      <c r="D420" s="151"/>
      <c r="G420" s="152"/>
      <c r="H420" s="151"/>
      <c r="K420" s="155"/>
      <c r="M420" s="153"/>
      <c r="N420" s="7"/>
    </row>
    <row r="421" ht="15.75" customHeight="1">
      <c r="B421" s="151"/>
      <c r="C421" s="151"/>
      <c r="D421" s="151"/>
      <c r="G421" s="152"/>
      <c r="H421" s="151"/>
      <c r="K421" s="155"/>
      <c r="M421" s="153"/>
      <c r="N421" s="7"/>
    </row>
    <row r="422" ht="15.75" customHeight="1">
      <c r="B422" s="151"/>
      <c r="C422" s="151"/>
      <c r="D422" s="151"/>
      <c r="G422" s="152"/>
      <c r="H422" s="151"/>
      <c r="K422" s="155"/>
      <c r="M422" s="153"/>
      <c r="N422" s="7"/>
    </row>
    <row r="423" ht="15.75" customHeight="1">
      <c r="B423" s="151"/>
      <c r="C423" s="151"/>
      <c r="D423" s="151"/>
      <c r="G423" s="152"/>
      <c r="H423" s="151"/>
      <c r="K423" s="155"/>
      <c r="M423" s="153"/>
      <c r="N423" s="7"/>
    </row>
    <row r="424" ht="15.75" customHeight="1">
      <c r="B424" s="151"/>
      <c r="C424" s="151"/>
      <c r="D424" s="151"/>
      <c r="G424" s="152"/>
      <c r="H424" s="151"/>
      <c r="K424" s="155"/>
      <c r="M424" s="153"/>
      <c r="N424" s="7"/>
    </row>
    <row r="425" ht="15.75" customHeight="1">
      <c r="B425" s="151"/>
      <c r="C425" s="151"/>
      <c r="D425" s="151"/>
      <c r="G425" s="152"/>
      <c r="H425" s="151"/>
      <c r="K425" s="155"/>
      <c r="M425" s="153"/>
      <c r="N425" s="7"/>
    </row>
    <row r="426" ht="15.75" customHeight="1">
      <c r="B426" s="151"/>
      <c r="C426" s="151"/>
      <c r="D426" s="151"/>
      <c r="G426" s="152"/>
      <c r="H426" s="151"/>
      <c r="K426" s="155"/>
      <c r="M426" s="153"/>
      <c r="N426" s="7"/>
    </row>
    <row r="427" ht="15.75" customHeight="1">
      <c r="B427" s="151"/>
      <c r="C427" s="151"/>
      <c r="D427" s="151"/>
      <c r="G427" s="152"/>
      <c r="H427" s="151"/>
      <c r="K427" s="155"/>
      <c r="M427" s="153"/>
      <c r="N427" s="7"/>
    </row>
    <row r="428" ht="15.75" customHeight="1">
      <c r="B428" s="151"/>
      <c r="C428" s="151"/>
      <c r="D428" s="151"/>
      <c r="G428" s="152"/>
      <c r="H428" s="151"/>
      <c r="K428" s="155"/>
      <c r="M428" s="153"/>
      <c r="N428" s="7"/>
    </row>
    <row r="429" ht="15.75" customHeight="1">
      <c r="B429" s="151"/>
      <c r="C429" s="151"/>
      <c r="D429" s="151"/>
      <c r="G429" s="152"/>
      <c r="H429" s="151"/>
      <c r="K429" s="155"/>
      <c r="M429" s="153"/>
      <c r="N429" s="7"/>
    </row>
    <row r="430" ht="15.75" customHeight="1">
      <c r="B430" s="151"/>
      <c r="C430" s="151"/>
      <c r="D430" s="151"/>
      <c r="G430" s="152"/>
      <c r="H430" s="151"/>
      <c r="K430" s="155"/>
      <c r="M430" s="153"/>
      <c r="N430" s="7"/>
    </row>
    <row r="431" ht="15.75" customHeight="1">
      <c r="B431" s="151"/>
      <c r="C431" s="151"/>
      <c r="D431" s="151"/>
      <c r="G431" s="152"/>
      <c r="H431" s="151"/>
      <c r="K431" s="155"/>
      <c r="M431" s="153"/>
      <c r="N431" s="7"/>
    </row>
    <row r="432" ht="15.75" customHeight="1">
      <c r="B432" s="151"/>
      <c r="C432" s="151"/>
      <c r="D432" s="151"/>
      <c r="G432" s="152"/>
      <c r="H432" s="151"/>
      <c r="K432" s="155"/>
      <c r="M432" s="153"/>
      <c r="N432" s="7"/>
    </row>
    <row r="433" ht="15.75" customHeight="1">
      <c r="B433" s="151"/>
      <c r="C433" s="151"/>
      <c r="D433" s="151"/>
      <c r="G433" s="152"/>
      <c r="H433" s="151"/>
      <c r="K433" s="155"/>
      <c r="M433" s="153"/>
      <c r="N433" s="7"/>
    </row>
    <row r="434" ht="15.75" customHeight="1">
      <c r="B434" s="151"/>
      <c r="C434" s="151"/>
      <c r="D434" s="151"/>
      <c r="G434" s="152"/>
      <c r="H434" s="151"/>
      <c r="K434" s="155"/>
      <c r="M434" s="153"/>
      <c r="N434" s="7"/>
    </row>
    <row r="435" ht="15.75" customHeight="1">
      <c r="B435" s="151"/>
      <c r="C435" s="151"/>
      <c r="D435" s="151"/>
      <c r="G435" s="152"/>
      <c r="H435" s="151"/>
      <c r="K435" s="155"/>
      <c r="M435" s="153"/>
      <c r="N435" s="7"/>
    </row>
    <row r="436" ht="15.75" customHeight="1">
      <c r="B436" s="151"/>
      <c r="C436" s="151"/>
      <c r="D436" s="151"/>
      <c r="G436" s="152"/>
      <c r="H436" s="151"/>
      <c r="K436" s="155"/>
      <c r="M436" s="153"/>
      <c r="N436" s="7"/>
    </row>
    <row r="437" ht="15.75" customHeight="1">
      <c r="B437" s="151"/>
      <c r="C437" s="151"/>
      <c r="D437" s="151"/>
      <c r="G437" s="152"/>
      <c r="H437" s="151"/>
      <c r="K437" s="155"/>
      <c r="M437" s="153"/>
      <c r="N437" s="7"/>
    </row>
    <row r="438" ht="15.75" customHeight="1">
      <c r="B438" s="151"/>
      <c r="C438" s="151"/>
      <c r="D438" s="151"/>
      <c r="G438" s="152"/>
      <c r="H438" s="151"/>
      <c r="K438" s="155"/>
      <c r="M438" s="153"/>
      <c r="N438" s="7"/>
    </row>
    <row r="439" ht="15.75" customHeight="1">
      <c r="B439" s="151"/>
      <c r="C439" s="151"/>
      <c r="D439" s="151"/>
      <c r="G439" s="152"/>
      <c r="H439" s="151"/>
      <c r="K439" s="155"/>
      <c r="M439" s="153"/>
      <c r="N439" s="7"/>
    </row>
    <row r="440" ht="15.75" customHeight="1">
      <c r="B440" s="151"/>
      <c r="C440" s="151"/>
      <c r="D440" s="151"/>
      <c r="G440" s="152"/>
      <c r="H440" s="151"/>
      <c r="K440" s="155"/>
      <c r="M440" s="153"/>
      <c r="N440" s="7"/>
    </row>
    <row r="441" ht="15.75" customHeight="1">
      <c r="B441" s="151"/>
      <c r="C441" s="151"/>
      <c r="D441" s="151"/>
      <c r="G441" s="152"/>
      <c r="H441" s="151"/>
      <c r="K441" s="155"/>
      <c r="M441" s="153"/>
      <c r="N441" s="7"/>
    </row>
    <row r="442" ht="15.75" customHeight="1">
      <c r="B442" s="151"/>
      <c r="C442" s="151"/>
      <c r="D442" s="151"/>
      <c r="G442" s="152"/>
      <c r="H442" s="151"/>
      <c r="K442" s="155"/>
      <c r="M442" s="153"/>
      <c r="N442" s="7"/>
    </row>
    <row r="443" ht="15.75" customHeight="1">
      <c r="B443" s="151"/>
      <c r="C443" s="151"/>
      <c r="D443" s="151"/>
      <c r="G443" s="152"/>
      <c r="H443" s="151"/>
      <c r="K443" s="155"/>
      <c r="M443" s="153"/>
      <c r="N443" s="7"/>
    </row>
    <row r="444" ht="15.75" customHeight="1">
      <c r="B444" s="151"/>
      <c r="C444" s="151"/>
      <c r="D444" s="151"/>
      <c r="G444" s="152"/>
      <c r="H444" s="151"/>
      <c r="K444" s="155"/>
      <c r="M444" s="153"/>
      <c r="N444" s="7"/>
    </row>
    <row r="445" ht="15.75" customHeight="1">
      <c r="B445" s="151"/>
      <c r="C445" s="151"/>
      <c r="D445" s="151"/>
      <c r="G445" s="152"/>
      <c r="H445" s="151"/>
      <c r="K445" s="155"/>
      <c r="M445" s="153"/>
      <c r="N445" s="7"/>
    </row>
    <row r="446" ht="15.75" customHeight="1">
      <c r="B446" s="151"/>
      <c r="C446" s="151"/>
      <c r="D446" s="151"/>
      <c r="G446" s="152"/>
      <c r="H446" s="151"/>
      <c r="K446" s="155"/>
      <c r="M446" s="153"/>
      <c r="N446" s="7"/>
    </row>
    <row r="447" ht="15.75" customHeight="1">
      <c r="B447" s="151"/>
      <c r="C447" s="151"/>
      <c r="D447" s="151"/>
      <c r="G447" s="152"/>
      <c r="H447" s="151"/>
      <c r="K447" s="155"/>
      <c r="M447" s="153"/>
      <c r="N447" s="7"/>
    </row>
    <row r="448" ht="15.75" customHeight="1">
      <c r="B448" s="151"/>
      <c r="C448" s="151"/>
      <c r="D448" s="151"/>
      <c r="G448" s="152"/>
      <c r="H448" s="151"/>
      <c r="K448" s="155"/>
      <c r="M448" s="153"/>
      <c r="N448" s="7"/>
    </row>
    <row r="449" ht="15.75" customHeight="1">
      <c r="B449" s="151"/>
      <c r="C449" s="151"/>
      <c r="D449" s="151"/>
      <c r="G449" s="152"/>
      <c r="H449" s="151"/>
      <c r="K449" s="155"/>
      <c r="M449" s="153"/>
      <c r="N449" s="7"/>
    </row>
    <row r="450" ht="15.75" customHeight="1">
      <c r="B450" s="151"/>
      <c r="C450" s="151"/>
      <c r="D450" s="151"/>
      <c r="G450" s="152"/>
      <c r="H450" s="151"/>
      <c r="K450" s="155"/>
      <c r="M450" s="153"/>
      <c r="N450" s="7"/>
    </row>
    <row r="451" ht="15.75" customHeight="1">
      <c r="B451" s="151"/>
      <c r="C451" s="151"/>
      <c r="D451" s="151"/>
      <c r="G451" s="152"/>
      <c r="H451" s="151"/>
      <c r="K451" s="155"/>
      <c r="M451" s="153"/>
      <c r="N451" s="7"/>
    </row>
    <row r="452" ht="15.75" customHeight="1">
      <c r="B452" s="151"/>
      <c r="C452" s="151"/>
      <c r="D452" s="151"/>
      <c r="G452" s="152"/>
      <c r="H452" s="151"/>
      <c r="K452" s="155"/>
      <c r="M452" s="153"/>
      <c r="N452" s="7"/>
    </row>
    <row r="453" ht="15.75" customHeight="1">
      <c r="B453" s="151"/>
      <c r="C453" s="151"/>
      <c r="D453" s="151"/>
      <c r="G453" s="152"/>
      <c r="H453" s="151"/>
      <c r="K453" s="155"/>
      <c r="M453" s="153"/>
      <c r="N453" s="7"/>
    </row>
    <row r="454" ht="15.75" customHeight="1">
      <c r="B454" s="151"/>
      <c r="C454" s="151"/>
      <c r="D454" s="151"/>
      <c r="G454" s="152"/>
      <c r="H454" s="151"/>
      <c r="K454" s="155"/>
      <c r="M454" s="153"/>
      <c r="N454" s="7"/>
    </row>
    <row r="455" ht="15.75" customHeight="1">
      <c r="B455" s="151"/>
      <c r="C455" s="151"/>
      <c r="D455" s="151"/>
      <c r="G455" s="152"/>
      <c r="H455" s="151"/>
      <c r="K455" s="155"/>
      <c r="M455" s="153"/>
      <c r="N455" s="7"/>
    </row>
    <row r="456" ht="15.75" customHeight="1">
      <c r="B456" s="151"/>
      <c r="C456" s="151"/>
      <c r="D456" s="151"/>
      <c r="G456" s="152"/>
      <c r="H456" s="151"/>
      <c r="K456" s="155"/>
      <c r="M456" s="153"/>
      <c r="N456" s="7"/>
    </row>
    <row r="457" ht="15.75" customHeight="1">
      <c r="B457" s="151"/>
      <c r="C457" s="151"/>
      <c r="D457" s="151"/>
      <c r="G457" s="152"/>
      <c r="H457" s="151"/>
      <c r="K457" s="155"/>
      <c r="M457" s="153"/>
      <c r="N457" s="7"/>
    </row>
    <row r="458" ht="15.75" customHeight="1">
      <c r="B458" s="151"/>
      <c r="C458" s="151"/>
      <c r="D458" s="151"/>
      <c r="G458" s="152"/>
      <c r="H458" s="151"/>
      <c r="K458" s="155"/>
      <c r="M458" s="153"/>
      <c r="N458" s="7"/>
    </row>
    <row r="459" ht="15.75" customHeight="1">
      <c r="B459" s="151"/>
      <c r="C459" s="151"/>
      <c r="D459" s="151"/>
      <c r="G459" s="152"/>
      <c r="H459" s="151"/>
      <c r="K459" s="155"/>
      <c r="M459" s="153"/>
      <c r="N459" s="7"/>
    </row>
    <row r="460" ht="15.75" customHeight="1">
      <c r="B460" s="151"/>
      <c r="C460" s="151"/>
      <c r="D460" s="151"/>
      <c r="G460" s="152"/>
      <c r="H460" s="151"/>
      <c r="K460" s="155"/>
      <c r="M460" s="153"/>
      <c r="N460" s="7"/>
    </row>
    <row r="461" ht="15.75" customHeight="1">
      <c r="B461" s="151"/>
      <c r="C461" s="151"/>
      <c r="D461" s="151"/>
      <c r="G461" s="152"/>
      <c r="H461" s="151"/>
      <c r="K461" s="155"/>
      <c r="M461" s="153"/>
      <c r="N461" s="7"/>
    </row>
    <row r="462" ht="15.75" customHeight="1">
      <c r="B462" s="151"/>
      <c r="C462" s="151"/>
      <c r="D462" s="151"/>
      <c r="G462" s="152"/>
      <c r="H462" s="151"/>
      <c r="K462" s="155"/>
      <c r="M462" s="153"/>
      <c r="N462" s="7"/>
    </row>
    <row r="463" ht="15.75" customHeight="1">
      <c r="B463" s="151"/>
      <c r="C463" s="151"/>
      <c r="D463" s="151"/>
      <c r="G463" s="152"/>
      <c r="H463" s="151"/>
      <c r="K463" s="155"/>
      <c r="M463" s="153"/>
      <c r="N463" s="7"/>
    </row>
    <row r="464" ht="15.75" customHeight="1">
      <c r="B464" s="151"/>
      <c r="C464" s="151"/>
      <c r="D464" s="151"/>
      <c r="G464" s="152"/>
      <c r="H464" s="151"/>
      <c r="K464" s="155"/>
      <c r="M464" s="153"/>
      <c r="N464" s="7"/>
    </row>
    <row r="465" ht="15.75" customHeight="1">
      <c r="B465" s="151"/>
      <c r="C465" s="151"/>
      <c r="D465" s="151"/>
      <c r="G465" s="152"/>
      <c r="H465" s="151"/>
      <c r="K465" s="155"/>
      <c r="M465" s="153"/>
      <c r="N465" s="7"/>
    </row>
    <row r="466" ht="15.75" customHeight="1">
      <c r="B466" s="151"/>
      <c r="C466" s="151"/>
      <c r="D466" s="151"/>
      <c r="G466" s="152"/>
      <c r="H466" s="151"/>
      <c r="K466" s="155"/>
      <c r="M466" s="153"/>
      <c r="N466" s="7"/>
    </row>
    <row r="467" ht="15.75" customHeight="1">
      <c r="B467" s="151"/>
      <c r="C467" s="151"/>
      <c r="D467" s="151"/>
      <c r="G467" s="152"/>
      <c r="H467" s="151"/>
      <c r="K467" s="155"/>
      <c r="M467" s="153"/>
      <c r="N467" s="7"/>
    </row>
    <row r="468" ht="15.75" customHeight="1">
      <c r="B468" s="151"/>
      <c r="C468" s="151"/>
      <c r="D468" s="151"/>
      <c r="G468" s="152"/>
      <c r="H468" s="151"/>
      <c r="K468" s="155"/>
      <c r="M468" s="153"/>
      <c r="N468" s="7"/>
    </row>
    <row r="469" ht="15.75" customHeight="1">
      <c r="B469" s="151"/>
      <c r="C469" s="151"/>
      <c r="D469" s="151"/>
      <c r="G469" s="152"/>
      <c r="H469" s="151"/>
      <c r="K469" s="155"/>
      <c r="M469" s="153"/>
      <c r="N469" s="7"/>
    </row>
    <row r="470" ht="15.75" customHeight="1">
      <c r="B470" s="151"/>
      <c r="C470" s="151"/>
      <c r="D470" s="151"/>
      <c r="G470" s="152"/>
      <c r="H470" s="151"/>
      <c r="K470" s="155"/>
      <c r="M470" s="153"/>
      <c r="N470" s="7"/>
    </row>
    <row r="471" ht="15.75" customHeight="1">
      <c r="B471" s="151"/>
      <c r="C471" s="151"/>
      <c r="D471" s="151"/>
      <c r="G471" s="152"/>
      <c r="H471" s="151"/>
      <c r="K471" s="155"/>
      <c r="M471" s="153"/>
      <c r="N471" s="7"/>
    </row>
    <row r="472" ht="15.75" customHeight="1">
      <c r="B472" s="151"/>
      <c r="C472" s="151"/>
      <c r="D472" s="151"/>
      <c r="G472" s="152"/>
      <c r="H472" s="151"/>
      <c r="K472" s="155"/>
      <c r="M472" s="153"/>
      <c r="N472" s="7"/>
    </row>
    <row r="473" ht="15.75" customHeight="1">
      <c r="B473" s="151"/>
      <c r="C473" s="151"/>
      <c r="D473" s="151"/>
      <c r="G473" s="152"/>
      <c r="H473" s="151"/>
      <c r="K473" s="155"/>
      <c r="M473" s="153"/>
      <c r="N473" s="7"/>
    </row>
    <row r="474" ht="15.75" customHeight="1">
      <c r="B474" s="151"/>
      <c r="C474" s="151"/>
      <c r="D474" s="151"/>
      <c r="G474" s="152"/>
      <c r="H474" s="151"/>
      <c r="K474" s="155"/>
      <c r="M474" s="153"/>
      <c r="N474" s="7"/>
    </row>
    <row r="475" ht="15.75" customHeight="1">
      <c r="B475" s="151"/>
      <c r="C475" s="151"/>
      <c r="D475" s="151"/>
      <c r="G475" s="152"/>
      <c r="H475" s="151"/>
      <c r="K475" s="155"/>
      <c r="M475" s="153"/>
      <c r="N475" s="7"/>
    </row>
    <row r="476" ht="15.75" customHeight="1">
      <c r="B476" s="151"/>
      <c r="C476" s="151"/>
      <c r="D476" s="151"/>
      <c r="G476" s="152"/>
      <c r="H476" s="151"/>
      <c r="K476" s="155"/>
      <c r="M476" s="153"/>
      <c r="N476" s="7"/>
    </row>
    <row r="477" ht="15.75" customHeight="1">
      <c r="B477" s="151"/>
      <c r="C477" s="151"/>
      <c r="D477" s="151"/>
      <c r="G477" s="152"/>
      <c r="H477" s="151"/>
      <c r="K477" s="155"/>
      <c r="M477" s="153"/>
      <c r="N477" s="7"/>
    </row>
    <row r="478" ht="15.75" customHeight="1">
      <c r="B478" s="151"/>
      <c r="C478" s="151"/>
      <c r="D478" s="151"/>
      <c r="G478" s="152"/>
      <c r="H478" s="151"/>
      <c r="K478" s="155"/>
      <c r="M478" s="153"/>
      <c r="N478" s="7"/>
    </row>
    <row r="479" ht="15.75" customHeight="1">
      <c r="B479" s="151"/>
      <c r="C479" s="151"/>
      <c r="D479" s="151"/>
      <c r="G479" s="152"/>
      <c r="H479" s="151"/>
      <c r="K479" s="155"/>
      <c r="M479" s="153"/>
      <c r="N479" s="7"/>
    </row>
    <row r="480" ht="15.75" customHeight="1">
      <c r="B480" s="151"/>
      <c r="C480" s="151"/>
      <c r="D480" s="151"/>
      <c r="G480" s="152"/>
      <c r="H480" s="151"/>
      <c r="K480" s="155"/>
      <c r="M480" s="153"/>
      <c r="N480" s="7"/>
    </row>
    <row r="481" ht="15.75" customHeight="1">
      <c r="B481" s="151"/>
      <c r="C481" s="151"/>
      <c r="D481" s="151"/>
      <c r="G481" s="152"/>
      <c r="H481" s="151"/>
      <c r="K481" s="155"/>
      <c r="M481" s="153"/>
      <c r="N481" s="7"/>
    </row>
    <row r="482" ht="15.75" customHeight="1">
      <c r="B482" s="151"/>
      <c r="C482" s="151"/>
      <c r="D482" s="151"/>
      <c r="G482" s="152"/>
      <c r="H482" s="151"/>
      <c r="K482" s="155"/>
      <c r="M482" s="153"/>
      <c r="N482" s="7"/>
    </row>
    <row r="483" ht="15.75" customHeight="1">
      <c r="B483" s="151"/>
      <c r="C483" s="151"/>
      <c r="D483" s="151"/>
      <c r="G483" s="152"/>
      <c r="H483" s="151"/>
      <c r="K483" s="155"/>
      <c r="M483" s="153"/>
      <c r="N483" s="7"/>
    </row>
    <row r="484" ht="15.75" customHeight="1">
      <c r="B484" s="151"/>
      <c r="C484" s="151"/>
      <c r="D484" s="151"/>
      <c r="G484" s="152"/>
      <c r="H484" s="151"/>
      <c r="K484" s="155"/>
      <c r="M484" s="153"/>
      <c r="N484" s="7"/>
    </row>
    <row r="485" ht="15.75" customHeight="1">
      <c r="B485" s="151"/>
      <c r="C485" s="151"/>
      <c r="D485" s="151"/>
      <c r="G485" s="152"/>
      <c r="H485" s="151"/>
      <c r="K485" s="155"/>
      <c r="M485" s="153"/>
      <c r="N485" s="7"/>
    </row>
    <row r="486" ht="15.75" customHeight="1">
      <c r="B486" s="151"/>
      <c r="C486" s="151"/>
      <c r="D486" s="151"/>
      <c r="G486" s="152"/>
      <c r="H486" s="151"/>
      <c r="K486" s="155"/>
      <c r="M486" s="153"/>
      <c r="N486" s="7"/>
    </row>
    <row r="487" ht="15.75" customHeight="1">
      <c r="B487" s="151"/>
      <c r="C487" s="151"/>
      <c r="D487" s="151"/>
      <c r="G487" s="152"/>
      <c r="H487" s="151"/>
      <c r="K487" s="155"/>
      <c r="M487" s="153"/>
      <c r="N487" s="7"/>
    </row>
    <row r="488" ht="15.75" customHeight="1">
      <c r="B488" s="151"/>
      <c r="C488" s="151"/>
      <c r="D488" s="151"/>
      <c r="G488" s="152"/>
      <c r="H488" s="151"/>
      <c r="K488" s="155"/>
      <c r="M488" s="153"/>
      <c r="N488" s="7"/>
    </row>
    <row r="489" ht="15.75" customHeight="1">
      <c r="B489" s="151"/>
      <c r="C489" s="151"/>
      <c r="D489" s="151"/>
      <c r="G489" s="152"/>
      <c r="H489" s="151"/>
      <c r="K489" s="155"/>
      <c r="M489" s="153"/>
      <c r="N489" s="7"/>
    </row>
    <row r="490" ht="15.75" customHeight="1">
      <c r="B490" s="151"/>
      <c r="C490" s="151"/>
      <c r="D490" s="151"/>
      <c r="G490" s="152"/>
      <c r="H490" s="151"/>
      <c r="K490" s="155"/>
      <c r="M490" s="153"/>
      <c r="N490" s="7"/>
    </row>
    <row r="491" ht="15.75" customHeight="1">
      <c r="B491" s="151"/>
      <c r="C491" s="151"/>
      <c r="D491" s="151"/>
      <c r="G491" s="152"/>
      <c r="H491" s="151"/>
      <c r="K491" s="155"/>
      <c r="M491" s="153"/>
      <c r="N491" s="7"/>
    </row>
    <row r="492" ht="15.75" customHeight="1">
      <c r="B492" s="151"/>
      <c r="C492" s="151"/>
      <c r="D492" s="151"/>
      <c r="G492" s="152"/>
      <c r="H492" s="151"/>
      <c r="K492" s="155"/>
      <c r="M492" s="153"/>
      <c r="N492" s="7"/>
    </row>
    <row r="493" ht="15.75" customHeight="1">
      <c r="B493" s="151"/>
      <c r="C493" s="151"/>
      <c r="D493" s="151"/>
      <c r="G493" s="152"/>
      <c r="H493" s="151"/>
      <c r="K493" s="155"/>
      <c r="M493" s="153"/>
      <c r="N493" s="7"/>
    </row>
    <row r="494" ht="15.75" customHeight="1">
      <c r="B494" s="151"/>
      <c r="C494" s="151"/>
      <c r="D494" s="151"/>
      <c r="G494" s="152"/>
      <c r="H494" s="151"/>
      <c r="K494" s="155"/>
      <c r="M494" s="153"/>
      <c r="N494" s="7"/>
    </row>
    <row r="495" ht="15.75" customHeight="1">
      <c r="B495" s="151"/>
      <c r="C495" s="151"/>
      <c r="D495" s="151"/>
      <c r="G495" s="152"/>
      <c r="H495" s="151"/>
      <c r="K495" s="155"/>
      <c r="M495" s="153"/>
      <c r="N495" s="7"/>
    </row>
    <row r="496" ht="15.75" customHeight="1">
      <c r="B496" s="151"/>
      <c r="C496" s="151"/>
      <c r="D496" s="151"/>
      <c r="G496" s="152"/>
      <c r="H496" s="151"/>
      <c r="K496" s="155"/>
      <c r="M496" s="153"/>
      <c r="N496" s="7"/>
    </row>
    <row r="497" ht="15.75" customHeight="1">
      <c r="B497" s="151"/>
      <c r="C497" s="151"/>
      <c r="D497" s="151"/>
      <c r="G497" s="152"/>
      <c r="H497" s="151"/>
      <c r="K497" s="155"/>
      <c r="M497" s="153"/>
      <c r="N497" s="7"/>
    </row>
    <row r="498" ht="15.75" customHeight="1">
      <c r="B498" s="151"/>
      <c r="C498" s="151"/>
      <c r="D498" s="151"/>
      <c r="G498" s="152"/>
      <c r="H498" s="151"/>
      <c r="K498" s="155"/>
      <c r="M498" s="153"/>
      <c r="N498" s="7"/>
    </row>
    <row r="499" ht="15.75" customHeight="1">
      <c r="B499" s="151"/>
      <c r="C499" s="151"/>
      <c r="D499" s="151"/>
      <c r="G499" s="152"/>
      <c r="H499" s="151"/>
      <c r="K499" s="155"/>
      <c r="M499" s="153"/>
      <c r="N499" s="7"/>
    </row>
    <row r="500" ht="15.75" customHeight="1">
      <c r="B500" s="151"/>
      <c r="C500" s="151"/>
      <c r="D500" s="151"/>
      <c r="G500" s="152"/>
      <c r="H500" s="151"/>
      <c r="K500" s="155"/>
      <c r="M500" s="153"/>
      <c r="N500" s="7"/>
    </row>
    <row r="501" ht="15.75" customHeight="1">
      <c r="B501" s="151"/>
      <c r="C501" s="151"/>
      <c r="D501" s="151"/>
      <c r="G501" s="152"/>
      <c r="H501" s="151"/>
      <c r="K501" s="155"/>
      <c r="M501" s="153"/>
      <c r="N501" s="7"/>
    </row>
    <row r="502" ht="15.75" customHeight="1">
      <c r="B502" s="151"/>
      <c r="C502" s="151"/>
      <c r="D502" s="151"/>
      <c r="G502" s="152"/>
      <c r="H502" s="151"/>
      <c r="K502" s="155"/>
      <c r="M502" s="153"/>
      <c r="N502" s="7"/>
    </row>
    <row r="503" ht="15.75" customHeight="1">
      <c r="B503" s="151"/>
      <c r="C503" s="151"/>
      <c r="D503" s="151"/>
      <c r="G503" s="152"/>
      <c r="H503" s="151"/>
      <c r="K503" s="155"/>
      <c r="M503" s="153"/>
      <c r="N503" s="7"/>
    </row>
    <row r="504" ht="15.75" customHeight="1">
      <c r="B504" s="151"/>
      <c r="C504" s="151"/>
      <c r="D504" s="151"/>
      <c r="G504" s="152"/>
      <c r="H504" s="151"/>
      <c r="K504" s="155"/>
      <c r="M504" s="153"/>
      <c r="N504" s="7"/>
    </row>
    <row r="505" ht="15.75" customHeight="1">
      <c r="B505" s="151"/>
      <c r="C505" s="151"/>
      <c r="D505" s="151"/>
      <c r="G505" s="152"/>
      <c r="H505" s="151"/>
      <c r="K505" s="155"/>
      <c r="M505" s="153"/>
      <c r="N505" s="7"/>
    </row>
    <row r="506" ht="15.75" customHeight="1">
      <c r="B506" s="151"/>
      <c r="C506" s="151"/>
      <c r="D506" s="151"/>
      <c r="G506" s="152"/>
      <c r="H506" s="151"/>
      <c r="K506" s="155"/>
      <c r="M506" s="153"/>
      <c r="N506" s="7"/>
    </row>
    <row r="507" ht="15.75" customHeight="1">
      <c r="B507" s="151"/>
      <c r="C507" s="151"/>
      <c r="D507" s="151"/>
      <c r="G507" s="152"/>
      <c r="H507" s="151"/>
      <c r="K507" s="155"/>
      <c r="M507" s="153"/>
      <c r="N507" s="7"/>
    </row>
    <row r="508" ht="15.75" customHeight="1">
      <c r="B508" s="151"/>
      <c r="C508" s="151"/>
      <c r="D508" s="151"/>
      <c r="G508" s="152"/>
      <c r="H508" s="151"/>
      <c r="K508" s="155"/>
      <c r="M508" s="153"/>
      <c r="N508" s="7"/>
    </row>
    <row r="509" ht="15.75" customHeight="1">
      <c r="B509" s="151"/>
      <c r="C509" s="151"/>
      <c r="D509" s="151"/>
      <c r="G509" s="152"/>
      <c r="H509" s="151"/>
      <c r="K509" s="155"/>
      <c r="M509" s="153"/>
      <c r="N509" s="7"/>
    </row>
    <row r="510" ht="15.75" customHeight="1">
      <c r="B510" s="151"/>
      <c r="C510" s="151"/>
      <c r="D510" s="151"/>
      <c r="G510" s="152"/>
      <c r="H510" s="151"/>
      <c r="K510" s="155"/>
      <c r="M510" s="153"/>
      <c r="N510" s="7"/>
    </row>
    <row r="511" ht="15.75" customHeight="1">
      <c r="B511" s="151"/>
      <c r="C511" s="151"/>
      <c r="D511" s="151"/>
      <c r="G511" s="152"/>
      <c r="H511" s="151"/>
      <c r="K511" s="155"/>
      <c r="M511" s="153"/>
      <c r="N511" s="7"/>
    </row>
    <row r="512" ht="15.75" customHeight="1">
      <c r="B512" s="151"/>
      <c r="C512" s="151"/>
      <c r="D512" s="151"/>
      <c r="G512" s="152"/>
      <c r="H512" s="151"/>
      <c r="K512" s="155"/>
      <c r="M512" s="153"/>
      <c r="N512" s="7"/>
    </row>
    <row r="513" ht="15.75" customHeight="1">
      <c r="B513" s="151"/>
      <c r="C513" s="151"/>
      <c r="D513" s="151"/>
      <c r="G513" s="152"/>
      <c r="H513" s="151"/>
      <c r="K513" s="155"/>
      <c r="M513" s="153"/>
      <c r="N513" s="7"/>
    </row>
    <row r="514" ht="15.75" customHeight="1">
      <c r="B514" s="151"/>
      <c r="C514" s="151"/>
      <c r="D514" s="151"/>
      <c r="G514" s="152"/>
      <c r="H514" s="151"/>
      <c r="K514" s="155"/>
      <c r="M514" s="153"/>
      <c r="N514" s="7"/>
    </row>
    <row r="515" ht="15.75" customHeight="1">
      <c r="B515" s="151"/>
      <c r="C515" s="151"/>
      <c r="D515" s="151"/>
      <c r="G515" s="152"/>
      <c r="H515" s="151"/>
      <c r="K515" s="155"/>
      <c r="M515" s="153"/>
      <c r="N515" s="7"/>
    </row>
    <row r="516" ht="15.75" customHeight="1">
      <c r="B516" s="151"/>
      <c r="C516" s="151"/>
      <c r="D516" s="151"/>
      <c r="G516" s="152"/>
      <c r="H516" s="151"/>
      <c r="K516" s="155"/>
      <c r="M516" s="153"/>
      <c r="N516" s="7"/>
    </row>
    <row r="517" ht="15.75" customHeight="1">
      <c r="B517" s="151"/>
      <c r="C517" s="151"/>
      <c r="D517" s="151"/>
      <c r="G517" s="152"/>
      <c r="H517" s="151"/>
      <c r="K517" s="155"/>
      <c r="M517" s="153"/>
      <c r="N517" s="7"/>
    </row>
    <row r="518" ht="15.75" customHeight="1">
      <c r="B518" s="151"/>
      <c r="C518" s="151"/>
      <c r="D518" s="151"/>
      <c r="G518" s="152"/>
      <c r="H518" s="151"/>
      <c r="K518" s="155"/>
      <c r="M518" s="153"/>
      <c r="N518" s="7"/>
    </row>
    <row r="519" ht="15.75" customHeight="1">
      <c r="B519" s="151"/>
      <c r="C519" s="151"/>
      <c r="D519" s="151"/>
      <c r="G519" s="152"/>
      <c r="H519" s="151"/>
      <c r="K519" s="155"/>
      <c r="M519" s="153"/>
      <c r="N519" s="7"/>
    </row>
    <row r="520" ht="15.75" customHeight="1">
      <c r="B520" s="151"/>
      <c r="C520" s="151"/>
      <c r="D520" s="151"/>
      <c r="G520" s="152"/>
      <c r="H520" s="151"/>
      <c r="K520" s="155"/>
      <c r="M520" s="153"/>
      <c r="N520" s="7"/>
    </row>
    <row r="521" ht="15.75" customHeight="1">
      <c r="B521" s="151"/>
      <c r="C521" s="151"/>
      <c r="D521" s="151"/>
      <c r="G521" s="152"/>
      <c r="H521" s="151"/>
      <c r="K521" s="155"/>
      <c r="M521" s="153"/>
      <c r="N521" s="7"/>
    </row>
    <row r="522" ht="15.75" customHeight="1">
      <c r="B522" s="151"/>
      <c r="C522" s="151"/>
      <c r="D522" s="151"/>
      <c r="G522" s="152"/>
      <c r="H522" s="151"/>
      <c r="K522" s="155"/>
      <c r="M522" s="153"/>
      <c r="N522" s="7"/>
    </row>
    <row r="523" ht="15.75" customHeight="1">
      <c r="B523" s="151"/>
      <c r="C523" s="151"/>
      <c r="D523" s="151"/>
      <c r="G523" s="152"/>
      <c r="H523" s="151"/>
      <c r="K523" s="155"/>
      <c r="M523" s="153"/>
      <c r="N523" s="7"/>
    </row>
    <row r="524" ht="15.75" customHeight="1">
      <c r="B524" s="151"/>
      <c r="C524" s="151"/>
      <c r="D524" s="151"/>
      <c r="G524" s="152"/>
      <c r="H524" s="151"/>
      <c r="K524" s="155"/>
      <c r="M524" s="153"/>
      <c r="N524" s="7"/>
    </row>
    <row r="525" ht="15.75" customHeight="1">
      <c r="B525" s="151"/>
      <c r="C525" s="151"/>
      <c r="D525" s="151"/>
      <c r="G525" s="152"/>
      <c r="H525" s="151"/>
      <c r="K525" s="155"/>
      <c r="M525" s="153"/>
      <c r="N525" s="7"/>
    </row>
    <row r="526" ht="15.75" customHeight="1">
      <c r="B526" s="151"/>
      <c r="C526" s="151"/>
      <c r="D526" s="151"/>
      <c r="G526" s="152"/>
      <c r="H526" s="151"/>
      <c r="K526" s="155"/>
      <c r="M526" s="153"/>
      <c r="N526" s="7"/>
    </row>
    <row r="527" ht="15.75" customHeight="1">
      <c r="B527" s="151"/>
      <c r="C527" s="151"/>
      <c r="D527" s="151"/>
      <c r="G527" s="152"/>
      <c r="H527" s="151"/>
      <c r="K527" s="155"/>
      <c r="M527" s="153"/>
      <c r="N527" s="7"/>
    </row>
    <row r="528" ht="15.75" customHeight="1">
      <c r="B528" s="151"/>
      <c r="C528" s="151"/>
      <c r="D528" s="151"/>
      <c r="G528" s="152"/>
      <c r="H528" s="151"/>
      <c r="K528" s="155"/>
      <c r="M528" s="153"/>
      <c r="N528" s="7"/>
    </row>
    <row r="529" ht="15.75" customHeight="1">
      <c r="B529" s="151"/>
      <c r="C529" s="151"/>
      <c r="D529" s="151"/>
      <c r="G529" s="152"/>
      <c r="H529" s="151"/>
      <c r="K529" s="155"/>
      <c r="M529" s="153"/>
      <c r="N529" s="7"/>
    </row>
    <row r="530" ht="15.75" customHeight="1">
      <c r="B530" s="151"/>
      <c r="C530" s="151"/>
      <c r="D530" s="151"/>
      <c r="G530" s="152"/>
      <c r="H530" s="151"/>
      <c r="K530" s="155"/>
      <c r="M530" s="153"/>
      <c r="N530" s="7"/>
    </row>
    <row r="531" ht="15.75" customHeight="1">
      <c r="B531" s="151"/>
      <c r="C531" s="151"/>
      <c r="D531" s="151"/>
      <c r="G531" s="152"/>
      <c r="H531" s="151"/>
      <c r="K531" s="155"/>
      <c r="M531" s="153"/>
      <c r="N531" s="7"/>
    </row>
    <row r="532" ht="15.75" customHeight="1">
      <c r="B532" s="151"/>
      <c r="C532" s="151"/>
      <c r="D532" s="151"/>
      <c r="G532" s="152"/>
      <c r="H532" s="151"/>
      <c r="K532" s="155"/>
      <c r="M532" s="153"/>
      <c r="N532" s="7"/>
    </row>
    <row r="533" ht="15.75" customHeight="1">
      <c r="B533" s="151"/>
      <c r="C533" s="151"/>
      <c r="D533" s="151"/>
      <c r="G533" s="152"/>
      <c r="H533" s="151"/>
      <c r="K533" s="155"/>
      <c r="M533" s="153"/>
      <c r="N533" s="7"/>
    </row>
    <row r="534" ht="15.75" customHeight="1">
      <c r="B534" s="151"/>
      <c r="C534" s="151"/>
      <c r="D534" s="151"/>
      <c r="G534" s="152"/>
      <c r="H534" s="151"/>
      <c r="K534" s="155"/>
      <c r="M534" s="153"/>
      <c r="N534" s="7"/>
    </row>
    <row r="535" ht="15.75" customHeight="1">
      <c r="B535" s="151"/>
      <c r="C535" s="151"/>
      <c r="D535" s="151"/>
      <c r="G535" s="152"/>
      <c r="H535" s="151"/>
      <c r="K535" s="155"/>
      <c r="M535" s="153"/>
      <c r="N535" s="7"/>
    </row>
    <row r="536" ht="15.75" customHeight="1">
      <c r="B536" s="151"/>
      <c r="C536" s="151"/>
      <c r="D536" s="151"/>
      <c r="G536" s="152"/>
      <c r="H536" s="151"/>
      <c r="K536" s="155"/>
      <c r="M536" s="153"/>
      <c r="N536" s="7"/>
    </row>
    <row r="537" ht="15.75" customHeight="1">
      <c r="B537" s="151"/>
      <c r="C537" s="151"/>
      <c r="D537" s="151"/>
      <c r="G537" s="152"/>
      <c r="H537" s="151"/>
      <c r="K537" s="155"/>
      <c r="M537" s="153"/>
      <c r="N537" s="7"/>
    </row>
    <row r="538" ht="15.75" customHeight="1">
      <c r="B538" s="151"/>
      <c r="C538" s="151"/>
      <c r="D538" s="151"/>
      <c r="G538" s="152"/>
      <c r="H538" s="151"/>
      <c r="K538" s="155"/>
      <c r="M538" s="153"/>
      <c r="N538" s="7"/>
    </row>
    <row r="539" ht="15.75" customHeight="1">
      <c r="B539" s="151"/>
      <c r="C539" s="151"/>
      <c r="D539" s="151"/>
      <c r="G539" s="152"/>
      <c r="H539" s="151"/>
      <c r="K539" s="155"/>
      <c r="M539" s="153"/>
      <c r="N539" s="7"/>
    </row>
    <row r="540" ht="15.75" customHeight="1">
      <c r="B540" s="151"/>
      <c r="C540" s="151"/>
      <c r="D540" s="151"/>
      <c r="G540" s="152"/>
      <c r="H540" s="151"/>
      <c r="K540" s="155"/>
      <c r="M540" s="153"/>
      <c r="N540" s="7"/>
    </row>
    <row r="541" ht="15.75" customHeight="1">
      <c r="B541" s="151"/>
      <c r="C541" s="151"/>
      <c r="D541" s="151"/>
      <c r="G541" s="152"/>
      <c r="H541" s="151"/>
      <c r="K541" s="155"/>
      <c r="M541" s="153"/>
      <c r="N541" s="7"/>
    </row>
    <row r="542" ht="15.75" customHeight="1">
      <c r="B542" s="151"/>
      <c r="C542" s="151"/>
      <c r="D542" s="151"/>
      <c r="G542" s="152"/>
      <c r="H542" s="151"/>
      <c r="K542" s="155"/>
      <c r="M542" s="153"/>
      <c r="N542" s="7"/>
    </row>
    <row r="543" ht="15.75" customHeight="1">
      <c r="B543" s="151"/>
      <c r="C543" s="151"/>
      <c r="D543" s="151"/>
      <c r="G543" s="152"/>
      <c r="H543" s="151"/>
      <c r="K543" s="155"/>
      <c r="M543" s="153"/>
      <c r="N543" s="7"/>
    </row>
    <row r="544" ht="15.75" customHeight="1">
      <c r="B544" s="151"/>
      <c r="C544" s="151"/>
      <c r="D544" s="151"/>
      <c r="G544" s="152"/>
      <c r="H544" s="151"/>
      <c r="K544" s="155"/>
      <c r="M544" s="153"/>
      <c r="N544" s="7"/>
    </row>
    <row r="545" ht="15.75" customHeight="1">
      <c r="B545" s="151"/>
      <c r="C545" s="151"/>
      <c r="D545" s="151"/>
      <c r="G545" s="152"/>
      <c r="H545" s="151"/>
      <c r="K545" s="155"/>
      <c r="M545" s="153"/>
      <c r="N545" s="7"/>
    </row>
    <row r="546" ht="15.75" customHeight="1">
      <c r="B546" s="151"/>
      <c r="C546" s="151"/>
      <c r="D546" s="151"/>
      <c r="G546" s="152"/>
      <c r="H546" s="151"/>
      <c r="K546" s="155"/>
      <c r="M546" s="153"/>
      <c r="N546" s="7"/>
    </row>
    <row r="547" ht="15.75" customHeight="1">
      <c r="B547" s="151"/>
      <c r="C547" s="151"/>
      <c r="D547" s="151"/>
      <c r="G547" s="152"/>
      <c r="H547" s="151"/>
      <c r="K547" s="155"/>
      <c r="M547" s="153"/>
      <c r="N547" s="7"/>
    </row>
    <row r="548" ht="15.75" customHeight="1">
      <c r="B548" s="151"/>
      <c r="C548" s="151"/>
      <c r="D548" s="151"/>
      <c r="G548" s="152"/>
      <c r="H548" s="151"/>
      <c r="K548" s="155"/>
      <c r="M548" s="153"/>
      <c r="N548" s="7"/>
    </row>
    <row r="549" ht="15.75" customHeight="1">
      <c r="B549" s="151"/>
      <c r="C549" s="151"/>
      <c r="D549" s="151"/>
      <c r="G549" s="152"/>
      <c r="H549" s="151"/>
      <c r="K549" s="155"/>
      <c r="M549" s="153"/>
      <c r="N549" s="7"/>
    </row>
    <row r="550" ht="15.75" customHeight="1">
      <c r="B550" s="151"/>
      <c r="C550" s="151"/>
      <c r="D550" s="151"/>
      <c r="G550" s="152"/>
      <c r="H550" s="151"/>
      <c r="K550" s="155"/>
      <c r="M550" s="153"/>
      <c r="N550" s="7"/>
    </row>
    <row r="551" ht="15.75" customHeight="1">
      <c r="B551" s="151"/>
      <c r="C551" s="151"/>
      <c r="D551" s="151"/>
      <c r="G551" s="152"/>
      <c r="H551" s="151"/>
      <c r="K551" s="155"/>
      <c r="M551" s="153"/>
      <c r="N551" s="7"/>
    </row>
    <row r="552" ht="15.75" customHeight="1">
      <c r="B552" s="151"/>
      <c r="C552" s="151"/>
      <c r="D552" s="151"/>
      <c r="G552" s="152"/>
      <c r="H552" s="151"/>
      <c r="K552" s="155"/>
      <c r="M552" s="153"/>
      <c r="N552" s="7"/>
    </row>
    <row r="553" ht="15.75" customHeight="1">
      <c r="B553" s="151"/>
      <c r="C553" s="151"/>
      <c r="D553" s="151"/>
      <c r="G553" s="152"/>
      <c r="H553" s="151"/>
      <c r="K553" s="155"/>
      <c r="M553" s="153"/>
      <c r="N553" s="7"/>
    </row>
    <row r="554" ht="15.75" customHeight="1">
      <c r="B554" s="151"/>
      <c r="C554" s="151"/>
      <c r="D554" s="151"/>
      <c r="G554" s="152"/>
      <c r="H554" s="151"/>
      <c r="K554" s="155"/>
      <c r="M554" s="153"/>
      <c r="N554" s="7"/>
    </row>
    <row r="555" ht="15.75" customHeight="1">
      <c r="B555" s="151"/>
      <c r="C555" s="151"/>
      <c r="D555" s="151"/>
      <c r="G555" s="152"/>
      <c r="H555" s="151"/>
      <c r="K555" s="155"/>
      <c r="M555" s="153"/>
      <c r="N555" s="7"/>
    </row>
    <row r="556" ht="15.75" customHeight="1">
      <c r="B556" s="151"/>
      <c r="C556" s="151"/>
      <c r="D556" s="151"/>
      <c r="G556" s="152"/>
      <c r="H556" s="151"/>
      <c r="K556" s="155"/>
      <c r="M556" s="153"/>
      <c r="N556" s="7"/>
    </row>
    <row r="557" ht="15.75" customHeight="1">
      <c r="B557" s="151"/>
      <c r="C557" s="151"/>
      <c r="D557" s="151"/>
      <c r="G557" s="152"/>
      <c r="H557" s="151"/>
      <c r="K557" s="155"/>
      <c r="M557" s="153"/>
      <c r="N557" s="7"/>
    </row>
    <row r="558" ht="15.75" customHeight="1">
      <c r="B558" s="151"/>
      <c r="C558" s="151"/>
      <c r="D558" s="151"/>
      <c r="G558" s="152"/>
      <c r="H558" s="151"/>
      <c r="K558" s="155"/>
      <c r="M558" s="153"/>
      <c r="N558" s="7"/>
    </row>
    <row r="559" ht="15.75" customHeight="1">
      <c r="B559" s="151"/>
      <c r="C559" s="151"/>
      <c r="D559" s="151"/>
      <c r="G559" s="152"/>
      <c r="H559" s="151"/>
      <c r="K559" s="155"/>
      <c r="M559" s="153"/>
      <c r="N559" s="7"/>
    </row>
    <row r="560" ht="15.75" customHeight="1">
      <c r="B560" s="151"/>
      <c r="C560" s="151"/>
      <c r="D560" s="151"/>
      <c r="G560" s="152"/>
      <c r="H560" s="151"/>
      <c r="K560" s="155"/>
      <c r="M560" s="153"/>
      <c r="N560" s="7"/>
    </row>
    <row r="561" ht="15.75" customHeight="1">
      <c r="B561" s="151"/>
      <c r="C561" s="151"/>
      <c r="D561" s="151"/>
      <c r="G561" s="152"/>
      <c r="H561" s="151"/>
      <c r="K561" s="155"/>
      <c r="M561" s="153"/>
      <c r="N561" s="7"/>
    </row>
    <row r="562" ht="15.75" customHeight="1">
      <c r="B562" s="151"/>
      <c r="C562" s="151"/>
      <c r="D562" s="151"/>
      <c r="G562" s="152"/>
      <c r="H562" s="151"/>
      <c r="K562" s="155"/>
      <c r="M562" s="153"/>
      <c r="N562" s="7"/>
    </row>
    <row r="563" ht="15.75" customHeight="1">
      <c r="B563" s="151"/>
      <c r="C563" s="151"/>
      <c r="D563" s="151"/>
      <c r="G563" s="152"/>
      <c r="H563" s="151"/>
      <c r="K563" s="155"/>
      <c r="M563" s="153"/>
      <c r="N563" s="7"/>
    </row>
    <row r="564" ht="15.75" customHeight="1">
      <c r="B564" s="151"/>
      <c r="C564" s="151"/>
      <c r="D564" s="151"/>
      <c r="G564" s="152"/>
      <c r="H564" s="151"/>
      <c r="K564" s="155"/>
      <c r="M564" s="153"/>
      <c r="N564" s="7"/>
    </row>
    <row r="565" ht="15.75" customHeight="1">
      <c r="B565" s="151"/>
      <c r="C565" s="151"/>
      <c r="D565" s="151"/>
      <c r="G565" s="152"/>
      <c r="H565" s="151"/>
      <c r="K565" s="155"/>
      <c r="M565" s="153"/>
      <c r="N565" s="7"/>
    </row>
    <row r="566" ht="15.75" customHeight="1">
      <c r="B566" s="151"/>
      <c r="C566" s="151"/>
      <c r="D566" s="151"/>
      <c r="G566" s="152"/>
      <c r="H566" s="151"/>
      <c r="K566" s="155"/>
      <c r="M566" s="153"/>
      <c r="N566" s="7"/>
    </row>
    <row r="567" ht="15.75" customHeight="1">
      <c r="B567" s="151"/>
      <c r="C567" s="151"/>
      <c r="D567" s="151"/>
      <c r="G567" s="152"/>
      <c r="H567" s="151"/>
      <c r="K567" s="155"/>
      <c r="M567" s="153"/>
      <c r="N567" s="7"/>
    </row>
    <row r="568" ht="15.75" customHeight="1">
      <c r="B568" s="151"/>
      <c r="C568" s="151"/>
      <c r="D568" s="151"/>
      <c r="G568" s="152"/>
      <c r="H568" s="151"/>
      <c r="K568" s="155"/>
      <c r="M568" s="153"/>
      <c r="N568" s="7"/>
    </row>
    <row r="569" ht="15.75" customHeight="1">
      <c r="B569" s="151"/>
      <c r="C569" s="151"/>
      <c r="D569" s="151"/>
      <c r="G569" s="152"/>
      <c r="H569" s="151"/>
      <c r="K569" s="155"/>
      <c r="M569" s="153"/>
      <c r="N569" s="7"/>
    </row>
    <row r="570" ht="15.75" customHeight="1">
      <c r="B570" s="151"/>
      <c r="C570" s="151"/>
      <c r="D570" s="151"/>
      <c r="G570" s="152"/>
      <c r="H570" s="151"/>
      <c r="K570" s="155"/>
      <c r="M570" s="153"/>
      <c r="N570" s="7"/>
    </row>
    <row r="571" ht="15.75" customHeight="1">
      <c r="B571" s="151"/>
      <c r="C571" s="151"/>
      <c r="D571" s="151"/>
      <c r="G571" s="152"/>
      <c r="H571" s="151"/>
      <c r="K571" s="155"/>
      <c r="M571" s="153"/>
      <c r="N571" s="7"/>
    </row>
    <row r="572" ht="15.75" customHeight="1">
      <c r="B572" s="151"/>
      <c r="C572" s="151"/>
      <c r="D572" s="151"/>
      <c r="G572" s="152"/>
      <c r="H572" s="151"/>
      <c r="K572" s="155"/>
      <c r="M572" s="153"/>
      <c r="N572" s="7"/>
    </row>
    <row r="573" ht="15.75" customHeight="1">
      <c r="B573" s="151"/>
      <c r="C573" s="151"/>
      <c r="D573" s="151"/>
      <c r="G573" s="152"/>
      <c r="H573" s="151"/>
      <c r="K573" s="155"/>
      <c r="M573" s="153"/>
      <c r="N573" s="7"/>
    </row>
    <row r="574" ht="15.75" customHeight="1">
      <c r="B574" s="151"/>
      <c r="C574" s="151"/>
      <c r="D574" s="151"/>
      <c r="G574" s="152"/>
      <c r="H574" s="151"/>
      <c r="K574" s="155"/>
      <c r="M574" s="153"/>
      <c r="N574" s="7"/>
    </row>
    <row r="575" ht="15.75" customHeight="1">
      <c r="B575" s="151"/>
      <c r="C575" s="151"/>
      <c r="D575" s="151"/>
      <c r="G575" s="152"/>
      <c r="H575" s="151"/>
      <c r="K575" s="155"/>
      <c r="M575" s="153"/>
      <c r="N575" s="7"/>
    </row>
    <row r="576" ht="15.75" customHeight="1">
      <c r="B576" s="151"/>
      <c r="C576" s="151"/>
      <c r="D576" s="151"/>
      <c r="G576" s="152"/>
      <c r="H576" s="151"/>
      <c r="K576" s="155"/>
      <c r="M576" s="153"/>
      <c r="N576" s="7"/>
    </row>
    <row r="577" ht="15.75" customHeight="1">
      <c r="B577" s="151"/>
      <c r="C577" s="151"/>
      <c r="D577" s="151"/>
      <c r="G577" s="152"/>
      <c r="H577" s="151"/>
      <c r="K577" s="155"/>
      <c r="M577" s="153"/>
      <c r="N577" s="7"/>
    </row>
    <row r="578" ht="15.75" customHeight="1">
      <c r="B578" s="151"/>
      <c r="C578" s="151"/>
      <c r="D578" s="151"/>
      <c r="G578" s="152"/>
      <c r="H578" s="151"/>
      <c r="K578" s="155"/>
      <c r="M578" s="153"/>
      <c r="N578" s="7"/>
    </row>
    <row r="579" ht="15.75" customHeight="1">
      <c r="B579" s="151"/>
      <c r="C579" s="151"/>
      <c r="D579" s="151"/>
      <c r="G579" s="152"/>
      <c r="H579" s="151"/>
      <c r="K579" s="155"/>
      <c r="M579" s="153"/>
      <c r="N579" s="7"/>
    </row>
    <row r="580" ht="15.75" customHeight="1">
      <c r="B580" s="151"/>
      <c r="C580" s="151"/>
      <c r="D580" s="151"/>
      <c r="G580" s="152"/>
      <c r="H580" s="151"/>
      <c r="K580" s="155"/>
      <c r="M580" s="153"/>
      <c r="N580" s="7"/>
    </row>
    <row r="581" ht="15.75" customHeight="1">
      <c r="B581" s="151"/>
      <c r="C581" s="151"/>
      <c r="D581" s="151"/>
      <c r="G581" s="152"/>
      <c r="H581" s="151"/>
      <c r="K581" s="155"/>
      <c r="M581" s="153"/>
      <c r="N581" s="7"/>
    </row>
    <row r="582" ht="15.75" customHeight="1">
      <c r="B582" s="151"/>
      <c r="C582" s="151"/>
      <c r="D582" s="151"/>
      <c r="G582" s="152"/>
      <c r="H582" s="151"/>
      <c r="K582" s="155"/>
      <c r="M582" s="153"/>
      <c r="N582" s="7"/>
    </row>
    <row r="583" ht="15.75" customHeight="1">
      <c r="B583" s="151"/>
      <c r="C583" s="151"/>
      <c r="D583" s="151"/>
      <c r="G583" s="152"/>
      <c r="H583" s="151"/>
      <c r="K583" s="155"/>
      <c r="M583" s="153"/>
      <c r="N583" s="7"/>
    </row>
    <row r="584" ht="15.75" customHeight="1">
      <c r="B584" s="151"/>
      <c r="C584" s="151"/>
      <c r="D584" s="151"/>
      <c r="G584" s="152"/>
      <c r="H584" s="151"/>
      <c r="K584" s="155"/>
      <c r="M584" s="153"/>
      <c r="N584" s="7"/>
    </row>
    <row r="585" ht="15.75" customHeight="1">
      <c r="B585" s="151"/>
      <c r="C585" s="151"/>
      <c r="D585" s="151"/>
      <c r="G585" s="152"/>
      <c r="H585" s="151"/>
      <c r="K585" s="155"/>
      <c r="M585" s="153"/>
      <c r="N585" s="7"/>
    </row>
    <row r="586" ht="15.75" customHeight="1">
      <c r="B586" s="151"/>
      <c r="C586" s="151"/>
      <c r="D586" s="151"/>
      <c r="G586" s="152"/>
      <c r="H586" s="151"/>
      <c r="K586" s="155"/>
      <c r="M586" s="153"/>
      <c r="N586" s="7"/>
    </row>
    <row r="587" ht="15.75" customHeight="1">
      <c r="B587" s="151"/>
      <c r="C587" s="151"/>
      <c r="D587" s="151"/>
      <c r="G587" s="152"/>
      <c r="H587" s="151"/>
      <c r="K587" s="155"/>
      <c r="M587" s="153"/>
      <c r="N587" s="7"/>
    </row>
    <row r="588" ht="15.75" customHeight="1">
      <c r="B588" s="151"/>
      <c r="C588" s="151"/>
      <c r="D588" s="151"/>
      <c r="G588" s="152"/>
      <c r="H588" s="151"/>
      <c r="K588" s="155"/>
      <c r="M588" s="153"/>
      <c r="N588" s="7"/>
    </row>
    <row r="589" ht="15.75" customHeight="1">
      <c r="B589" s="151"/>
      <c r="C589" s="151"/>
      <c r="D589" s="151"/>
      <c r="G589" s="152"/>
      <c r="H589" s="151"/>
      <c r="K589" s="155"/>
      <c r="M589" s="153"/>
      <c r="N589" s="7"/>
    </row>
    <row r="590" ht="15.75" customHeight="1">
      <c r="B590" s="151"/>
      <c r="C590" s="151"/>
      <c r="D590" s="151"/>
      <c r="G590" s="152"/>
      <c r="H590" s="151"/>
      <c r="K590" s="155"/>
      <c r="M590" s="153"/>
      <c r="N590" s="7"/>
    </row>
    <row r="591" ht="15.75" customHeight="1">
      <c r="B591" s="151"/>
      <c r="C591" s="151"/>
      <c r="D591" s="151"/>
      <c r="G591" s="152"/>
      <c r="H591" s="151"/>
      <c r="K591" s="155"/>
      <c r="M591" s="153"/>
      <c r="N591" s="7"/>
    </row>
    <row r="592" ht="15.75" customHeight="1">
      <c r="B592" s="151"/>
      <c r="C592" s="151"/>
      <c r="D592" s="151"/>
      <c r="G592" s="152"/>
      <c r="H592" s="151"/>
      <c r="K592" s="155"/>
      <c r="M592" s="153"/>
      <c r="N592" s="7"/>
    </row>
    <row r="593" ht="15.75" customHeight="1">
      <c r="B593" s="151"/>
      <c r="C593" s="151"/>
      <c r="D593" s="151"/>
      <c r="G593" s="152"/>
      <c r="H593" s="151"/>
      <c r="K593" s="155"/>
      <c r="M593" s="153"/>
      <c r="N593" s="7"/>
    </row>
    <row r="594" ht="15.75" customHeight="1">
      <c r="B594" s="151"/>
      <c r="C594" s="151"/>
      <c r="D594" s="151"/>
      <c r="G594" s="152"/>
      <c r="H594" s="151"/>
      <c r="K594" s="155"/>
      <c r="M594" s="153"/>
      <c r="N594" s="7"/>
    </row>
    <row r="595" ht="15.75" customHeight="1">
      <c r="B595" s="151"/>
      <c r="C595" s="151"/>
      <c r="D595" s="151"/>
      <c r="G595" s="152"/>
      <c r="H595" s="151"/>
      <c r="K595" s="155"/>
      <c r="M595" s="153"/>
      <c r="N595" s="7"/>
    </row>
    <row r="596" ht="15.75" customHeight="1">
      <c r="B596" s="151"/>
      <c r="C596" s="151"/>
      <c r="D596" s="151"/>
      <c r="G596" s="152"/>
      <c r="H596" s="151"/>
      <c r="K596" s="155"/>
      <c r="M596" s="153"/>
      <c r="N596" s="7"/>
    </row>
    <row r="597" ht="15.75" customHeight="1">
      <c r="B597" s="151"/>
      <c r="C597" s="151"/>
      <c r="D597" s="151"/>
      <c r="G597" s="152"/>
      <c r="H597" s="151"/>
      <c r="K597" s="155"/>
      <c r="M597" s="153"/>
      <c r="N597" s="7"/>
    </row>
    <row r="598" ht="15.75" customHeight="1">
      <c r="B598" s="151"/>
      <c r="C598" s="151"/>
      <c r="D598" s="151"/>
      <c r="G598" s="152"/>
      <c r="H598" s="151"/>
      <c r="K598" s="155"/>
      <c r="M598" s="153"/>
      <c r="N598" s="7"/>
    </row>
    <row r="599" ht="15.75" customHeight="1">
      <c r="B599" s="151"/>
      <c r="C599" s="151"/>
      <c r="D599" s="151"/>
      <c r="G599" s="152"/>
      <c r="H599" s="151"/>
      <c r="K599" s="155"/>
      <c r="M599" s="153"/>
      <c r="N599" s="7"/>
    </row>
    <row r="600" ht="15.75" customHeight="1">
      <c r="B600" s="151"/>
      <c r="C600" s="151"/>
      <c r="D600" s="151"/>
      <c r="G600" s="152"/>
      <c r="H600" s="151"/>
      <c r="K600" s="155"/>
      <c r="M600" s="153"/>
      <c r="N600" s="7"/>
    </row>
    <row r="601" ht="15.75" customHeight="1">
      <c r="B601" s="151"/>
      <c r="C601" s="151"/>
      <c r="D601" s="151"/>
      <c r="G601" s="152"/>
      <c r="H601" s="151"/>
      <c r="K601" s="155"/>
      <c r="M601" s="153"/>
      <c r="N601" s="7"/>
    </row>
    <row r="602" ht="15.75" customHeight="1">
      <c r="B602" s="151"/>
      <c r="C602" s="151"/>
      <c r="D602" s="151"/>
      <c r="G602" s="152"/>
      <c r="H602" s="151"/>
      <c r="K602" s="155"/>
      <c r="M602" s="153"/>
      <c r="N602" s="7"/>
    </row>
    <row r="603" ht="15.75" customHeight="1">
      <c r="B603" s="151"/>
      <c r="C603" s="151"/>
      <c r="D603" s="151"/>
      <c r="G603" s="152"/>
      <c r="H603" s="151"/>
      <c r="K603" s="155"/>
      <c r="M603" s="153"/>
      <c r="N603" s="7"/>
    </row>
    <row r="604" ht="15.75" customHeight="1">
      <c r="B604" s="151"/>
      <c r="C604" s="151"/>
      <c r="D604" s="151"/>
      <c r="G604" s="152"/>
      <c r="H604" s="151"/>
      <c r="K604" s="155"/>
      <c r="M604" s="153"/>
      <c r="N604" s="7"/>
    </row>
    <row r="605" ht="15.75" customHeight="1">
      <c r="B605" s="151"/>
      <c r="C605" s="151"/>
      <c r="D605" s="151"/>
      <c r="G605" s="152"/>
      <c r="H605" s="151"/>
      <c r="K605" s="155"/>
      <c r="M605" s="153"/>
      <c r="N605" s="7"/>
    </row>
    <row r="606" ht="15.75" customHeight="1">
      <c r="B606" s="151"/>
      <c r="C606" s="151"/>
      <c r="D606" s="151"/>
      <c r="G606" s="152"/>
      <c r="H606" s="151"/>
      <c r="K606" s="155"/>
      <c r="M606" s="153"/>
      <c r="N606" s="7"/>
    </row>
    <row r="607" ht="15.75" customHeight="1">
      <c r="B607" s="151"/>
      <c r="C607" s="151"/>
      <c r="D607" s="151"/>
      <c r="G607" s="152"/>
      <c r="H607" s="151"/>
      <c r="K607" s="155"/>
      <c r="M607" s="153"/>
      <c r="N607" s="7"/>
    </row>
    <row r="608" ht="15.75" customHeight="1">
      <c r="B608" s="151"/>
      <c r="C608" s="151"/>
      <c r="D608" s="151"/>
      <c r="G608" s="152"/>
      <c r="H608" s="151"/>
      <c r="K608" s="155"/>
      <c r="M608" s="153"/>
      <c r="N608" s="7"/>
    </row>
    <row r="609" ht="15.75" customHeight="1">
      <c r="B609" s="151"/>
      <c r="C609" s="151"/>
      <c r="D609" s="151"/>
      <c r="G609" s="152"/>
      <c r="H609" s="151"/>
      <c r="K609" s="155"/>
      <c r="M609" s="153"/>
      <c r="N609" s="7"/>
    </row>
    <row r="610" ht="15.75" customHeight="1">
      <c r="B610" s="151"/>
      <c r="C610" s="151"/>
      <c r="D610" s="151"/>
      <c r="G610" s="152"/>
      <c r="H610" s="151"/>
      <c r="K610" s="155"/>
      <c r="M610" s="153"/>
      <c r="N610" s="7"/>
    </row>
    <row r="611" ht="15.75" customHeight="1">
      <c r="B611" s="151"/>
      <c r="C611" s="151"/>
      <c r="D611" s="151"/>
      <c r="G611" s="152"/>
      <c r="H611" s="151"/>
      <c r="K611" s="155"/>
      <c r="M611" s="153"/>
      <c r="N611" s="7"/>
    </row>
    <row r="612" ht="15.75" customHeight="1">
      <c r="B612" s="151"/>
      <c r="C612" s="151"/>
      <c r="D612" s="151"/>
      <c r="G612" s="152"/>
      <c r="H612" s="151"/>
      <c r="K612" s="155"/>
      <c r="M612" s="153"/>
      <c r="N612" s="7"/>
    </row>
    <row r="613" ht="15.75" customHeight="1">
      <c r="B613" s="151"/>
      <c r="C613" s="151"/>
      <c r="D613" s="151"/>
      <c r="G613" s="152"/>
      <c r="H613" s="151"/>
      <c r="K613" s="155"/>
      <c r="M613" s="153"/>
      <c r="N613" s="7"/>
    </row>
    <row r="614" ht="15.75" customHeight="1">
      <c r="B614" s="151"/>
      <c r="C614" s="151"/>
      <c r="D614" s="151"/>
      <c r="G614" s="152"/>
      <c r="H614" s="151"/>
      <c r="K614" s="155"/>
      <c r="M614" s="153"/>
      <c r="N614" s="7"/>
    </row>
    <row r="615" ht="15.75" customHeight="1">
      <c r="B615" s="151"/>
      <c r="C615" s="151"/>
      <c r="D615" s="151"/>
      <c r="G615" s="152"/>
      <c r="H615" s="151"/>
      <c r="K615" s="155"/>
      <c r="M615" s="153"/>
      <c r="N615" s="7"/>
    </row>
    <row r="616" ht="15.75" customHeight="1">
      <c r="B616" s="151"/>
      <c r="C616" s="151"/>
      <c r="D616" s="151"/>
      <c r="G616" s="152"/>
      <c r="H616" s="151"/>
      <c r="K616" s="155"/>
      <c r="M616" s="153"/>
      <c r="N616" s="7"/>
    </row>
    <row r="617" ht="15.75" customHeight="1">
      <c r="B617" s="151"/>
      <c r="C617" s="151"/>
      <c r="D617" s="151"/>
      <c r="G617" s="152"/>
      <c r="H617" s="151"/>
      <c r="K617" s="155"/>
      <c r="M617" s="153"/>
      <c r="N617" s="7"/>
    </row>
    <row r="618" ht="15.75" customHeight="1">
      <c r="B618" s="151"/>
      <c r="C618" s="151"/>
      <c r="D618" s="151"/>
      <c r="G618" s="152"/>
      <c r="H618" s="151"/>
      <c r="K618" s="155"/>
      <c r="M618" s="153"/>
      <c r="N618" s="7"/>
    </row>
    <row r="619" ht="15.75" customHeight="1">
      <c r="B619" s="151"/>
      <c r="C619" s="151"/>
      <c r="D619" s="151"/>
      <c r="G619" s="152"/>
      <c r="H619" s="151"/>
      <c r="K619" s="155"/>
      <c r="M619" s="153"/>
      <c r="N619" s="7"/>
    </row>
    <row r="620" ht="15.75" customHeight="1">
      <c r="B620" s="151"/>
      <c r="C620" s="151"/>
      <c r="D620" s="151"/>
      <c r="G620" s="152"/>
      <c r="H620" s="151"/>
      <c r="K620" s="155"/>
      <c r="M620" s="153"/>
      <c r="N620" s="7"/>
    </row>
    <row r="621" ht="15.75" customHeight="1">
      <c r="B621" s="151"/>
      <c r="C621" s="151"/>
      <c r="D621" s="151"/>
      <c r="G621" s="152"/>
      <c r="H621" s="151"/>
      <c r="K621" s="155"/>
      <c r="M621" s="153"/>
      <c r="N621" s="7"/>
    </row>
    <row r="622" ht="15.75" customHeight="1">
      <c r="B622" s="151"/>
      <c r="C622" s="151"/>
      <c r="D622" s="151"/>
      <c r="G622" s="152"/>
      <c r="H622" s="151"/>
      <c r="K622" s="155"/>
      <c r="M622" s="153"/>
      <c r="N622" s="7"/>
    </row>
    <row r="623" ht="15.75" customHeight="1">
      <c r="B623" s="151"/>
      <c r="C623" s="151"/>
      <c r="D623" s="151"/>
      <c r="G623" s="152"/>
      <c r="H623" s="151"/>
      <c r="K623" s="155"/>
      <c r="M623" s="153"/>
      <c r="N623" s="7"/>
    </row>
    <row r="624" ht="15.75" customHeight="1">
      <c r="B624" s="151"/>
      <c r="C624" s="151"/>
      <c r="D624" s="151"/>
      <c r="G624" s="152"/>
      <c r="H624" s="151"/>
      <c r="K624" s="155"/>
      <c r="M624" s="153"/>
      <c r="N624" s="7"/>
    </row>
    <row r="625" ht="15.75" customHeight="1">
      <c r="B625" s="151"/>
      <c r="C625" s="151"/>
      <c r="D625" s="151"/>
      <c r="G625" s="152"/>
      <c r="H625" s="151"/>
      <c r="K625" s="155"/>
      <c r="M625" s="153"/>
      <c r="N625" s="7"/>
    </row>
    <row r="626" ht="15.75" customHeight="1">
      <c r="B626" s="151"/>
      <c r="C626" s="151"/>
      <c r="D626" s="151"/>
      <c r="G626" s="152"/>
      <c r="H626" s="151"/>
      <c r="K626" s="155"/>
      <c r="M626" s="153"/>
      <c r="N626" s="7"/>
    </row>
    <row r="627" ht="15.75" customHeight="1">
      <c r="B627" s="151"/>
      <c r="C627" s="151"/>
      <c r="D627" s="151"/>
      <c r="G627" s="152"/>
      <c r="H627" s="151"/>
      <c r="K627" s="155"/>
      <c r="M627" s="153"/>
      <c r="N627" s="7"/>
    </row>
    <row r="628" ht="15.75" customHeight="1">
      <c r="B628" s="151"/>
      <c r="C628" s="151"/>
      <c r="D628" s="151"/>
      <c r="G628" s="152"/>
      <c r="H628" s="151"/>
      <c r="K628" s="155"/>
      <c r="M628" s="153"/>
      <c r="N628" s="7"/>
    </row>
    <row r="629" ht="15.75" customHeight="1">
      <c r="B629" s="151"/>
      <c r="C629" s="151"/>
      <c r="D629" s="151"/>
      <c r="G629" s="152"/>
      <c r="H629" s="151"/>
      <c r="K629" s="155"/>
      <c r="M629" s="153"/>
      <c r="N629" s="7"/>
    </row>
    <row r="630" ht="15.75" customHeight="1">
      <c r="B630" s="151"/>
      <c r="C630" s="151"/>
      <c r="D630" s="151"/>
      <c r="G630" s="152"/>
      <c r="H630" s="151"/>
      <c r="K630" s="155"/>
      <c r="M630" s="153"/>
      <c r="N630" s="7"/>
    </row>
    <row r="631" ht="15.75" customHeight="1">
      <c r="B631" s="151"/>
      <c r="C631" s="151"/>
      <c r="D631" s="151"/>
      <c r="G631" s="152"/>
      <c r="H631" s="151"/>
      <c r="K631" s="155"/>
      <c r="M631" s="153"/>
      <c r="N631" s="7"/>
    </row>
    <row r="632" ht="15.75" customHeight="1">
      <c r="B632" s="151"/>
      <c r="C632" s="151"/>
      <c r="D632" s="151"/>
      <c r="G632" s="152"/>
      <c r="H632" s="151"/>
      <c r="K632" s="155"/>
      <c r="M632" s="153"/>
      <c r="N632" s="7"/>
    </row>
    <row r="633" ht="15.75" customHeight="1">
      <c r="B633" s="151"/>
      <c r="C633" s="151"/>
      <c r="D633" s="151"/>
      <c r="G633" s="152"/>
      <c r="H633" s="151"/>
      <c r="K633" s="155"/>
      <c r="M633" s="153"/>
      <c r="N633" s="7"/>
    </row>
    <row r="634" ht="15.75" customHeight="1">
      <c r="B634" s="151"/>
      <c r="C634" s="151"/>
      <c r="D634" s="151"/>
      <c r="G634" s="152"/>
      <c r="H634" s="151"/>
      <c r="K634" s="155"/>
      <c r="M634" s="153"/>
      <c r="N634" s="7"/>
    </row>
    <row r="635" ht="15.75" customHeight="1">
      <c r="B635" s="151"/>
      <c r="C635" s="151"/>
      <c r="D635" s="151"/>
      <c r="G635" s="152"/>
      <c r="H635" s="151"/>
      <c r="K635" s="155"/>
      <c r="M635" s="153"/>
      <c r="N635" s="7"/>
    </row>
    <row r="636" ht="15.75" customHeight="1">
      <c r="B636" s="151"/>
      <c r="C636" s="151"/>
      <c r="D636" s="151"/>
      <c r="G636" s="152"/>
      <c r="H636" s="151"/>
      <c r="K636" s="155"/>
      <c r="M636" s="153"/>
      <c r="N636" s="7"/>
    </row>
    <row r="637" ht="15.75" customHeight="1">
      <c r="B637" s="151"/>
      <c r="C637" s="151"/>
      <c r="D637" s="151"/>
      <c r="G637" s="152"/>
      <c r="H637" s="151"/>
      <c r="K637" s="155"/>
      <c r="M637" s="153"/>
      <c r="N637" s="7"/>
    </row>
    <row r="638" ht="15.75" customHeight="1">
      <c r="B638" s="151"/>
      <c r="C638" s="151"/>
      <c r="D638" s="151"/>
      <c r="G638" s="152"/>
      <c r="H638" s="151"/>
      <c r="K638" s="155"/>
      <c r="M638" s="153"/>
      <c r="N638" s="7"/>
    </row>
    <row r="639" ht="15.75" customHeight="1">
      <c r="B639" s="151"/>
      <c r="C639" s="151"/>
      <c r="D639" s="151"/>
      <c r="G639" s="152"/>
      <c r="H639" s="151"/>
      <c r="K639" s="155"/>
      <c r="M639" s="153"/>
      <c r="N639" s="7"/>
    </row>
    <row r="640" ht="15.75" customHeight="1">
      <c r="B640" s="151"/>
      <c r="C640" s="151"/>
      <c r="D640" s="151"/>
      <c r="G640" s="152"/>
      <c r="H640" s="151"/>
      <c r="K640" s="155"/>
      <c r="M640" s="153"/>
      <c r="N640" s="7"/>
    </row>
    <row r="641" ht="15.75" customHeight="1">
      <c r="B641" s="151"/>
      <c r="C641" s="151"/>
      <c r="D641" s="151"/>
      <c r="G641" s="152"/>
      <c r="H641" s="151"/>
      <c r="K641" s="155"/>
      <c r="M641" s="153"/>
      <c r="N641" s="7"/>
    </row>
    <row r="642" ht="15.75" customHeight="1">
      <c r="B642" s="151"/>
      <c r="C642" s="151"/>
      <c r="D642" s="151"/>
      <c r="G642" s="152"/>
      <c r="H642" s="151"/>
      <c r="K642" s="155"/>
      <c r="M642" s="153"/>
      <c r="N642" s="7"/>
    </row>
    <row r="643" ht="15.75" customHeight="1">
      <c r="B643" s="151"/>
      <c r="C643" s="151"/>
      <c r="D643" s="151"/>
      <c r="G643" s="152"/>
      <c r="H643" s="151"/>
      <c r="K643" s="155"/>
      <c r="M643" s="153"/>
      <c r="N643" s="7"/>
    </row>
    <row r="644" ht="15.75" customHeight="1">
      <c r="B644" s="151"/>
      <c r="C644" s="151"/>
      <c r="D644" s="151"/>
      <c r="G644" s="152"/>
      <c r="H644" s="151"/>
      <c r="K644" s="155"/>
      <c r="M644" s="153"/>
      <c r="N644" s="7"/>
    </row>
    <row r="645" ht="15.75" customHeight="1">
      <c r="B645" s="151"/>
      <c r="C645" s="151"/>
      <c r="D645" s="151"/>
      <c r="G645" s="152"/>
      <c r="H645" s="151"/>
      <c r="K645" s="155"/>
      <c r="M645" s="153"/>
      <c r="N645" s="7"/>
    </row>
    <row r="646" ht="15.75" customHeight="1">
      <c r="B646" s="151"/>
      <c r="C646" s="151"/>
      <c r="D646" s="151"/>
      <c r="G646" s="152"/>
      <c r="H646" s="151"/>
      <c r="K646" s="155"/>
      <c r="M646" s="153"/>
      <c r="N646" s="7"/>
    </row>
    <row r="647" ht="15.75" customHeight="1">
      <c r="B647" s="151"/>
      <c r="C647" s="151"/>
      <c r="D647" s="151"/>
      <c r="G647" s="152"/>
      <c r="H647" s="151"/>
      <c r="K647" s="155"/>
      <c r="M647" s="153"/>
      <c r="N647" s="7"/>
    </row>
    <row r="648" ht="15.75" customHeight="1">
      <c r="B648" s="151"/>
      <c r="C648" s="151"/>
      <c r="D648" s="151"/>
      <c r="G648" s="152"/>
      <c r="H648" s="151"/>
      <c r="K648" s="155"/>
      <c r="M648" s="153"/>
      <c r="N648" s="7"/>
    </row>
    <row r="649" ht="15.75" customHeight="1">
      <c r="B649" s="151"/>
      <c r="C649" s="151"/>
      <c r="D649" s="151"/>
      <c r="G649" s="152"/>
      <c r="H649" s="151"/>
      <c r="K649" s="155"/>
      <c r="M649" s="153"/>
      <c r="N649" s="7"/>
    </row>
    <row r="650" ht="15.75" customHeight="1">
      <c r="B650" s="151"/>
      <c r="C650" s="151"/>
      <c r="D650" s="151"/>
      <c r="G650" s="152"/>
      <c r="H650" s="151"/>
      <c r="K650" s="155"/>
      <c r="M650" s="153"/>
      <c r="N650" s="7"/>
    </row>
    <row r="651" ht="15.75" customHeight="1">
      <c r="B651" s="151"/>
      <c r="C651" s="151"/>
      <c r="D651" s="151"/>
      <c r="G651" s="152"/>
      <c r="H651" s="151"/>
      <c r="K651" s="155"/>
      <c r="M651" s="153"/>
      <c r="N651" s="7"/>
    </row>
    <row r="652" ht="15.75" customHeight="1">
      <c r="B652" s="151"/>
      <c r="C652" s="151"/>
      <c r="D652" s="151"/>
      <c r="G652" s="152"/>
      <c r="H652" s="151"/>
      <c r="K652" s="155"/>
      <c r="M652" s="153"/>
      <c r="N652" s="7"/>
    </row>
    <row r="653" ht="15.75" customHeight="1">
      <c r="B653" s="151"/>
      <c r="C653" s="151"/>
      <c r="D653" s="151"/>
      <c r="G653" s="152"/>
      <c r="H653" s="151"/>
      <c r="K653" s="155"/>
      <c r="M653" s="153"/>
      <c r="N653" s="7"/>
    </row>
    <row r="654" ht="15.75" customHeight="1">
      <c r="B654" s="151"/>
      <c r="C654" s="151"/>
      <c r="D654" s="151"/>
      <c r="G654" s="152"/>
      <c r="H654" s="151"/>
      <c r="K654" s="155"/>
      <c r="M654" s="153"/>
      <c r="N654" s="7"/>
    </row>
    <row r="655" ht="15.75" customHeight="1">
      <c r="B655" s="151"/>
      <c r="C655" s="151"/>
      <c r="D655" s="151"/>
      <c r="G655" s="152"/>
      <c r="H655" s="151"/>
      <c r="K655" s="155"/>
      <c r="M655" s="153"/>
      <c r="N655" s="7"/>
    </row>
    <row r="656" ht="15.75" customHeight="1">
      <c r="B656" s="151"/>
      <c r="C656" s="151"/>
      <c r="D656" s="151"/>
      <c r="G656" s="152"/>
      <c r="H656" s="151"/>
      <c r="K656" s="155"/>
      <c r="M656" s="153"/>
      <c r="N656" s="7"/>
    </row>
    <row r="657" ht="15.75" customHeight="1">
      <c r="B657" s="151"/>
      <c r="C657" s="151"/>
      <c r="D657" s="151"/>
      <c r="G657" s="152"/>
      <c r="H657" s="151"/>
      <c r="K657" s="155"/>
      <c r="M657" s="153"/>
      <c r="N657" s="7"/>
    </row>
    <row r="658" ht="15.75" customHeight="1">
      <c r="B658" s="151"/>
      <c r="C658" s="151"/>
      <c r="D658" s="151"/>
      <c r="G658" s="152"/>
      <c r="H658" s="151"/>
      <c r="K658" s="155"/>
      <c r="M658" s="153"/>
      <c r="N658" s="7"/>
    </row>
    <row r="659" ht="15.75" customHeight="1">
      <c r="B659" s="151"/>
      <c r="C659" s="151"/>
      <c r="D659" s="151"/>
      <c r="G659" s="152"/>
      <c r="H659" s="151"/>
      <c r="K659" s="155"/>
      <c r="M659" s="153"/>
      <c r="N659" s="7"/>
    </row>
    <row r="660" ht="15.75" customHeight="1">
      <c r="B660" s="151"/>
      <c r="C660" s="151"/>
      <c r="D660" s="151"/>
      <c r="G660" s="152"/>
      <c r="H660" s="151"/>
      <c r="K660" s="155"/>
      <c r="M660" s="153"/>
      <c r="N660" s="7"/>
    </row>
    <row r="661" ht="15.75" customHeight="1">
      <c r="B661" s="151"/>
      <c r="C661" s="151"/>
      <c r="D661" s="151"/>
      <c r="G661" s="152"/>
      <c r="H661" s="151"/>
      <c r="K661" s="155"/>
      <c r="M661" s="153"/>
      <c r="N661" s="7"/>
    </row>
    <row r="662" ht="15.75" customHeight="1">
      <c r="B662" s="151"/>
      <c r="C662" s="151"/>
      <c r="D662" s="151"/>
      <c r="G662" s="152"/>
      <c r="H662" s="151"/>
      <c r="K662" s="155"/>
      <c r="M662" s="153"/>
      <c r="N662" s="7"/>
    </row>
    <row r="663" ht="15.75" customHeight="1">
      <c r="B663" s="151"/>
      <c r="C663" s="151"/>
      <c r="D663" s="151"/>
      <c r="G663" s="152"/>
      <c r="H663" s="151"/>
      <c r="K663" s="155"/>
      <c r="M663" s="153"/>
      <c r="N663" s="7"/>
    </row>
    <row r="664" ht="15.75" customHeight="1">
      <c r="B664" s="151"/>
      <c r="C664" s="151"/>
      <c r="D664" s="151"/>
      <c r="G664" s="152"/>
      <c r="H664" s="151"/>
      <c r="K664" s="155"/>
      <c r="M664" s="153"/>
      <c r="N664" s="7"/>
    </row>
    <row r="665" ht="15.75" customHeight="1">
      <c r="B665" s="151"/>
      <c r="C665" s="151"/>
      <c r="D665" s="151"/>
      <c r="G665" s="152"/>
      <c r="H665" s="151"/>
      <c r="K665" s="155"/>
      <c r="M665" s="153"/>
      <c r="N665" s="7"/>
    </row>
    <row r="666" ht="15.75" customHeight="1">
      <c r="B666" s="151"/>
      <c r="C666" s="151"/>
      <c r="D666" s="151"/>
      <c r="G666" s="152"/>
      <c r="H666" s="151"/>
      <c r="K666" s="155"/>
      <c r="M666" s="153"/>
      <c r="N666" s="7"/>
    </row>
    <row r="667" ht="15.75" customHeight="1">
      <c r="B667" s="151"/>
      <c r="C667" s="151"/>
      <c r="D667" s="151"/>
      <c r="G667" s="152"/>
      <c r="H667" s="151"/>
      <c r="K667" s="155"/>
      <c r="M667" s="153"/>
      <c r="N667" s="7"/>
    </row>
    <row r="668" ht="15.75" customHeight="1">
      <c r="B668" s="151"/>
      <c r="C668" s="151"/>
      <c r="D668" s="151"/>
      <c r="G668" s="152"/>
      <c r="H668" s="151"/>
      <c r="K668" s="155"/>
      <c r="M668" s="153"/>
      <c r="N668" s="7"/>
    </row>
    <row r="669" ht="15.75" customHeight="1">
      <c r="B669" s="151"/>
      <c r="C669" s="151"/>
      <c r="D669" s="151"/>
      <c r="G669" s="152"/>
      <c r="H669" s="151"/>
      <c r="K669" s="155"/>
      <c r="M669" s="153"/>
      <c r="N669" s="7"/>
    </row>
    <row r="670" ht="15.75" customHeight="1">
      <c r="B670" s="151"/>
      <c r="C670" s="151"/>
      <c r="D670" s="151"/>
      <c r="G670" s="152"/>
      <c r="H670" s="151"/>
      <c r="K670" s="155"/>
      <c r="M670" s="153"/>
      <c r="N670" s="7"/>
    </row>
    <row r="671" ht="15.75" customHeight="1">
      <c r="B671" s="151"/>
      <c r="C671" s="151"/>
      <c r="D671" s="151"/>
      <c r="G671" s="152"/>
      <c r="H671" s="151"/>
      <c r="K671" s="155"/>
      <c r="M671" s="153"/>
      <c r="N671" s="7"/>
    </row>
    <row r="672" ht="15.75" customHeight="1">
      <c r="B672" s="151"/>
      <c r="C672" s="151"/>
      <c r="D672" s="151"/>
      <c r="G672" s="152"/>
      <c r="H672" s="151"/>
      <c r="K672" s="155"/>
      <c r="M672" s="153"/>
      <c r="N672" s="7"/>
    </row>
    <row r="673" ht="15.75" customHeight="1">
      <c r="B673" s="151"/>
      <c r="C673" s="151"/>
      <c r="D673" s="151"/>
      <c r="G673" s="152"/>
      <c r="H673" s="151"/>
      <c r="K673" s="155"/>
      <c r="M673" s="153"/>
      <c r="N673" s="7"/>
    </row>
    <row r="674" ht="15.75" customHeight="1">
      <c r="B674" s="151"/>
      <c r="C674" s="151"/>
      <c r="D674" s="151"/>
      <c r="G674" s="152"/>
      <c r="H674" s="151"/>
      <c r="K674" s="155"/>
      <c r="M674" s="153"/>
      <c r="N674" s="7"/>
    </row>
    <row r="675" ht="15.75" customHeight="1">
      <c r="B675" s="151"/>
      <c r="C675" s="151"/>
      <c r="D675" s="151"/>
      <c r="G675" s="152"/>
      <c r="H675" s="151"/>
      <c r="K675" s="155"/>
      <c r="M675" s="153"/>
      <c r="N675" s="7"/>
    </row>
    <row r="676" ht="15.75" customHeight="1">
      <c r="B676" s="151"/>
      <c r="C676" s="151"/>
      <c r="D676" s="151"/>
      <c r="G676" s="152"/>
      <c r="H676" s="151"/>
      <c r="K676" s="155"/>
      <c r="M676" s="153"/>
      <c r="N676" s="7"/>
    </row>
    <row r="677" ht="15.75" customHeight="1">
      <c r="B677" s="151"/>
      <c r="C677" s="151"/>
      <c r="D677" s="151"/>
      <c r="G677" s="152"/>
      <c r="H677" s="151"/>
      <c r="K677" s="155"/>
      <c r="M677" s="153"/>
      <c r="N677" s="7"/>
    </row>
    <row r="678" ht="15.75" customHeight="1">
      <c r="B678" s="151"/>
      <c r="C678" s="151"/>
      <c r="D678" s="151"/>
      <c r="G678" s="152"/>
      <c r="H678" s="151"/>
      <c r="K678" s="155"/>
      <c r="M678" s="153"/>
      <c r="N678" s="7"/>
    </row>
    <row r="679" ht="15.75" customHeight="1">
      <c r="B679" s="151"/>
      <c r="C679" s="151"/>
      <c r="D679" s="151"/>
      <c r="G679" s="152"/>
      <c r="H679" s="151"/>
      <c r="K679" s="155"/>
      <c r="M679" s="153"/>
      <c r="N679" s="7"/>
    </row>
    <row r="680" ht="15.75" customHeight="1">
      <c r="B680" s="151"/>
      <c r="C680" s="151"/>
      <c r="D680" s="151"/>
      <c r="G680" s="152"/>
      <c r="H680" s="151"/>
      <c r="K680" s="155"/>
      <c r="M680" s="153"/>
      <c r="N680" s="7"/>
    </row>
    <row r="681" ht="15.75" customHeight="1">
      <c r="B681" s="151"/>
      <c r="C681" s="151"/>
      <c r="D681" s="151"/>
      <c r="G681" s="152"/>
      <c r="H681" s="151"/>
      <c r="K681" s="155"/>
      <c r="M681" s="153"/>
      <c r="N681" s="7"/>
    </row>
    <row r="682" ht="15.75" customHeight="1">
      <c r="B682" s="151"/>
      <c r="C682" s="151"/>
      <c r="D682" s="151"/>
      <c r="G682" s="152"/>
      <c r="H682" s="151"/>
      <c r="K682" s="155"/>
      <c r="M682" s="153"/>
      <c r="N682" s="7"/>
    </row>
    <row r="683" ht="15.75" customHeight="1">
      <c r="B683" s="151"/>
      <c r="C683" s="151"/>
      <c r="D683" s="151"/>
      <c r="G683" s="152"/>
      <c r="H683" s="151"/>
      <c r="K683" s="155"/>
      <c r="M683" s="153"/>
      <c r="N683" s="7"/>
    </row>
    <row r="684" ht="15.75" customHeight="1">
      <c r="B684" s="151"/>
      <c r="C684" s="151"/>
      <c r="D684" s="151"/>
      <c r="G684" s="152"/>
      <c r="H684" s="151"/>
      <c r="K684" s="155"/>
      <c r="M684" s="153"/>
      <c r="N684" s="7"/>
    </row>
    <row r="685" ht="15.75" customHeight="1">
      <c r="B685" s="151"/>
      <c r="C685" s="151"/>
      <c r="D685" s="151"/>
      <c r="G685" s="152"/>
      <c r="H685" s="151"/>
      <c r="K685" s="155"/>
      <c r="M685" s="153"/>
      <c r="N685" s="7"/>
    </row>
    <row r="686" ht="15.75" customHeight="1">
      <c r="B686" s="151"/>
      <c r="C686" s="151"/>
      <c r="D686" s="151"/>
      <c r="G686" s="152"/>
      <c r="H686" s="151"/>
      <c r="K686" s="155"/>
      <c r="M686" s="153"/>
      <c r="N686" s="7"/>
    </row>
    <row r="687" ht="15.75" customHeight="1">
      <c r="B687" s="151"/>
      <c r="C687" s="151"/>
      <c r="D687" s="151"/>
      <c r="G687" s="152"/>
      <c r="H687" s="151"/>
      <c r="K687" s="155"/>
      <c r="M687" s="153"/>
      <c r="N687" s="7"/>
    </row>
    <row r="688" ht="15.75" customHeight="1">
      <c r="B688" s="151"/>
      <c r="C688" s="151"/>
      <c r="D688" s="151"/>
      <c r="G688" s="152"/>
      <c r="H688" s="151"/>
      <c r="K688" s="155"/>
      <c r="M688" s="153"/>
      <c r="N688" s="7"/>
    </row>
    <row r="689" ht="15.75" customHeight="1">
      <c r="B689" s="151"/>
      <c r="C689" s="151"/>
      <c r="D689" s="151"/>
      <c r="G689" s="152"/>
      <c r="H689" s="151"/>
      <c r="K689" s="155"/>
      <c r="M689" s="153"/>
      <c r="N689" s="7"/>
    </row>
    <row r="690" ht="15.75" customHeight="1">
      <c r="B690" s="151"/>
      <c r="C690" s="151"/>
      <c r="D690" s="151"/>
      <c r="G690" s="152"/>
      <c r="H690" s="151"/>
      <c r="K690" s="155"/>
      <c r="M690" s="153"/>
      <c r="N690" s="7"/>
    </row>
    <row r="691" ht="15.75" customHeight="1">
      <c r="B691" s="151"/>
      <c r="C691" s="151"/>
      <c r="D691" s="151"/>
      <c r="G691" s="152"/>
      <c r="H691" s="151"/>
      <c r="K691" s="155"/>
      <c r="M691" s="153"/>
      <c r="N691" s="7"/>
    </row>
    <row r="692" ht="15.75" customHeight="1">
      <c r="B692" s="151"/>
      <c r="C692" s="151"/>
      <c r="D692" s="151"/>
      <c r="G692" s="152"/>
      <c r="H692" s="151"/>
      <c r="K692" s="155"/>
      <c r="M692" s="153"/>
      <c r="N692" s="7"/>
    </row>
    <row r="693" ht="15.75" customHeight="1">
      <c r="B693" s="151"/>
      <c r="C693" s="151"/>
      <c r="D693" s="151"/>
      <c r="G693" s="152"/>
      <c r="H693" s="151"/>
      <c r="K693" s="155"/>
      <c r="M693" s="153"/>
      <c r="N693" s="7"/>
    </row>
    <row r="694" ht="15.75" customHeight="1">
      <c r="B694" s="151"/>
      <c r="C694" s="151"/>
      <c r="D694" s="151"/>
      <c r="G694" s="152"/>
      <c r="H694" s="151"/>
      <c r="K694" s="155"/>
      <c r="M694" s="153"/>
      <c r="N694" s="7"/>
    </row>
    <row r="695" ht="15.75" customHeight="1">
      <c r="B695" s="151"/>
      <c r="C695" s="151"/>
      <c r="D695" s="151"/>
      <c r="G695" s="152"/>
      <c r="H695" s="151"/>
      <c r="K695" s="155"/>
      <c r="M695" s="153"/>
      <c r="N695" s="7"/>
    </row>
    <row r="696" ht="15.75" customHeight="1">
      <c r="B696" s="151"/>
      <c r="C696" s="151"/>
      <c r="D696" s="151"/>
      <c r="G696" s="152"/>
      <c r="H696" s="151"/>
      <c r="K696" s="155"/>
      <c r="M696" s="153"/>
      <c r="N696" s="7"/>
    </row>
    <row r="697" ht="15.75" customHeight="1">
      <c r="B697" s="151"/>
      <c r="C697" s="151"/>
      <c r="D697" s="151"/>
      <c r="G697" s="152"/>
      <c r="H697" s="151"/>
      <c r="K697" s="155"/>
      <c r="M697" s="153"/>
      <c r="N697" s="7"/>
    </row>
    <row r="698" ht="15.75" customHeight="1">
      <c r="B698" s="151"/>
      <c r="C698" s="151"/>
      <c r="D698" s="151"/>
      <c r="G698" s="152"/>
      <c r="H698" s="151"/>
      <c r="K698" s="155"/>
      <c r="M698" s="153"/>
      <c r="N698" s="7"/>
    </row>
    <row r="699" ht="15.75" customHeight="1">
      <c r="B699" s="151"/>
      <c r="C699" s="151"/>
      <c r="D699" s="151"/>
      <c r="G699" s="152"/>
      <c r="H699" s="151"/>
      <c r="K699" s="155"/>
      <c r="M699" s="153"/>
      <c r="N699" s="7"/>
    </row>
    <row r="700" ht="15.75" customHeight="1">
      <c r="B700" s="151"/>
      <c r="C700" s="151"/>
      <c r="D700" s="151"/>
      <c r="G700" s="152"/>
      <c r="H700" s="151"/>
      <c r="K700" s="155"/>
      <c r="M700" s="153"/>
      <c r="N700" s="7"/>
    </row>
    <row r="701" ht="15.75" customHeight="1">
      <c r="B701" s="151"/>
      <c r="C701" s="151"/>
      <c r="D701" s="151"/>
      <c r="G701" s="152"/>
      <c r="H701" s="151"/>
      <c r="K701" s="155"/>
      <c r="M701" s="153"/>
      <c r="N701" s="7"/>
    </row>
    <row r="702" ht="15.75" customHeight="1">
      <c r="B702" s="151"/>
      <c r="C702" s="151"/>
      <c r="D702" s="151"/>
      <c r="G702" s="152"/>
      <c r="H702" s="151"/>
      <c r="K702" s="155"/>
      <c r="M702" s="153"/>
      <c r="N702" s="7"/>
    </row>
    <row r="703" ht="15.75" customHeight="1">
      <c r="B703" s="151"/>
      <c r="C703" s="151"/>
      <c r="D703" s="151"/>
      <c r="G703" s="152"/>
      <c r="H703" s="151"/>
      <c r="K703" s="155"/>
      <c r="M703" s="153"/>
      <c r="N703" s="7"/>
    </row>
    <row r="704" ht="15.75" customHeight="1">
      <c r="B704" s="151"/>
      <c r="C704" s="151"/>
      <c r="D704" s="151"/>
      <c r="G704" s="152"/>
      <c r="H704" s="151"/>
      <c r="K704" s="155"/>
      <c r="M704" s="153"/>
      <c r="N704" s="7"/>
    </row>
    <row r="705" ht="15.75" customHeight="1">
      <c r="B705" s="151"/>
      <c r="C705" s="151"/>
      <c r="D705" s="151"/>
      <c r="G705" s="152"/>
      <c r="H705" s="151"/>
      <c r="K705" s="155"/>
      <c r="M705" s="153"/>
      <c r="N705" s="7"/>
    </row>
    <row r="706" ht="15.75" customHeight="1">
      <c r="B706" s="151"/>
      <c r="C706" s="151"/>
      <c r="D706" s="151"/>
      <c r="G706" s="152"/>
      <c r="H706" s="151"/>
      <c r="K706" s="155"/>
      <c r="M706" s="153"/>
      <c r="N706" s="7"/>
    </row>
    <row r="707" ht="15.75" customHeight="1">
      <c r="B707" s="151"/>
      <c r="C707" s="151"/>
      <c r="D707" s="151"/>
      <c r="G707" s="152"/>
      <c r="H707" s="151"/>
      <c r="K707" s="155"/>
      <c r="M707" s="153"/>
      <c r="N707" s="7"/>
    </row>
    <row r="708" ht="15.75" customHeight="1">
      <c r="B708" s="151"/>
      <c r="C708" s="151"/>
      <c r="D708" s="151"/>
      <c r="G708" s="152"/>
      <c r="H708" s="151"/>
      <c r="K708" s="155"/>
      <c r="M708" s="153"/>
      <c r="N708" s="7"/>
    </row>
    <row r="709" ht="15.75" customHeight="1">
      <c r="B709" s="151"/>
      <c r="C709" s="151"/>
      <c r="D709" s="151"/>
      <c r="G709" s="152"/>
      <c r="H709" s="151"/>
      <c r="K709" s="155"/>
      <c r="M709" s="153"/>
      <c r="N709" s="7"/>
    </row>
    <row r="710" ht="15.75" customHeight="1">
      <c r="B710" s="151"/>
      <c r="C710" s="151"/>
      <c r="D710" s="151"/>
      <c r="G710" s="152"/>
      <c r="H710" s="151"/>
      <c r="K710" s="155"/>
      <c r="M710" s="153"/>
      <c r="N710" s="7"/>
    </row>
    <row r="711" ht="15.75" customHeight="1">
      <c r="B711" s="151"/>
      <c r="C711" s="151"/>
      <c r="D711" s="151"/>
      <c r="G711" s="152"/>
      <c r="H711" s="151"/>
      <c r="K711" s="155"/>
      <c r="M711" s="153"/>
      <c r="N711" s="7"/>
    </row>
    <row r="712" ht="15.75" customHeight="1">
      <c r="B712" s="151"/>
      <c r="C712" s="151"/>
      <c r="D712" s="151"/>
      <c r="G712" s="152"/>
      <c r="H712" s="151"/>
      <c r="K712" s="155"/>
      <c r="M712" s="153"/>
      <c r="N712" s="7"/>
    </row>
    <row r="713" ht="15.75" customHeight="1">
      <c r="B713" s="151"/>
      <c r="C713" s="151"/>
      <c r="D713" s="151"/>
      <c r="G713" s="152"/>
      <c r="H713" s="151"/>
      <c r="K713" s="155"/>
      <c r="M713" s="153"/>
      <c r="N713" s="7"/>
    </row>
    <row r="714" ht="15.75" customHeight="1">
      <c r="B714" s="151"/>
      <c r="C714" s="151"/>
      <c r="D714" s="151"/>
      <c r="G714" s="152"/>
      <c r="H714" s="151"/>
      <c r="K714" s="155"/>
      <c r="M714" s="153"/>
      <c r="N714" s="7"/>
    </row>
    <row r="715" ht="15.75" customHeight="1">
      <c r="B715" s="151"/>
      <c r="C715" s="151"/>
      <c r="D715" s="151"/>
      <c r="G715" s="152"/>
      <c r="H715" s="151"/>
      <c r="K715" s="155"/>
      <c r="M715" s="153"/>
      <c r="N715" s="7"/>
    </row>
    <row r="716" ht="15.75" customHeight="1">
      <c r="B716" s="151"/>
      <c r="C716" s="151"/>
      <c r="D716" s="151"/>
      <c r="G716" s="152"/>
      <c r="H716" s="151"/>
      <c r="K716" s="155"/>
      <c r="M716" s="153"/>
      <c r="N716" s="7"/>
    </row>
    <row r="717" ht="15.75" customHeight="1">
      <c r="B717" s="151"/>
      <c r="C717" s="151"/>
      <c r="D717" s="151"/>
      <c r="G717" s="152"/>
      <c r="H717" s="151"/>
      <c r="K717" s="155"/>
      <c r="M717" s="153"/>
      <c r="N717" s="7"/>
    </row>
    <row r="718" ht="15.75" customHeight="1">
      <c r="B718" s="151"/>
      <c r="C718" s="151"/>
      <c r="D718" s="151"/>
      <c r="G718" s="152"/>
      <c r="H718" s="151"/>
      <c r="K718" s="155"/>
      <c r="M718" s="153"/>
      <c r="N718" s="7"/>
    </row>
    <row r="719" ht="15.75" customHeight="1">
      <c r="B719" s="151"/>
      <c r="C719" s="151"/>
      <c r="D719" s="151"/>
      <c r="G719" s="152"/>
      <c r="H719" s="151"/>
      <c r="K719" s="155"/>
      <c r="M719" s="153"/>
      <c r="N719" s="7"/>
    </row>
    <row r="720" ht="15.75" customHeight="1">
      <c r="B720" s="151"/>
      <c r="C720" s="151"/>
      <c r="D720" s="151"/>
      <c r="G720" s="152"/>
      <c r="H720" s="151"/>
      <c r="K720" s="155"/>
      <c r="M720" s="153"/>
      <c r="N720" s="7"/>
    </row>
    <row r="721" ht="15.75" customHeight="1">
      <c r="B721" s="151"/>
      <c r="C721" s="151"/>
      <c r="D721" s="151"/>
      <c r="G721" s="152"/>
      <c r="H721" s="151"/>
      <c r="K721" s="155"/>
      <c r="M721" s="153"/>
      <c r="N721" s="7"/>
    </row>
    <row r="722" ht="15.75" customHeight="1">
      <c r="B722" s="151"/>
      <c r="C722" s="151"/>
      <c r="D722" s="151"/>
      <c r="G722" s="152"/>
      <c r="H722" s="151"/>
      <c r="K722" s="155"/>
      <c r="M722" s="153"/>
      <c r="N722" s="7"/>
    </row>
    <row r="723" ht="15.75" customHeight="1">
      <c r="B723" s="151"/>
      <c r="C723" s="151"/>
      <c r="D723" s="151"/>
      <c r="G723" s="152"/>
      <c r="H723" s="151"/>
      <c r="K723" s="155"/>
      <c r="M723" s="153"/>
      <c r="N723" s="7"/>
    </row>
    <row r="724" ht="15.75" customHeight="1">
      <c r="B724" s="151"/>
      <c r="C724" s="151"/>
      <c r="D724" s="151"/>
      <c r="G724" s="152"/>
      <c r="H724" s="151"/>
      <c r="K724" s="155"/>
      <c r="M724" s="153"/>
      <c r="N724" s="7"/>
    </row>
    <row r="725" ht="15.75" customHeight="1">
      <c r="B725" s="151"/>
      <c r="C725" s="151"/>
      <c r="D725" s="151"/>
      <c r="G725" s="152"/>
      <c r="H725" s="151"/>
      <c r="K725" s="155"/>
      <c r="M725" s="153"/>
      <c r="N725" s="7"/>
    </row>
    <row r="726" ht="15.75" customHeight="1">
      <c r="B726" s="151"/>
      <c r="C726" s="151"/>
      <c r="D726" s="151"/>
      <c r="G726" s="152"/>
      <c r="H726" s="151"/>
      <c r="K726" s="155"/>
      <c r="M726" s="153"/>
      <c r="N726" s="7"/>
    </row>
    <row r="727" ht="15.75" customHeight="1">
      <c r="B727" s="151"/>
      <c r="C727" s="151"/>
      <c r="D727" s="151"/>
      <c r="G727" s="152"/>
      <c r="H727" s="151"/>
      <c r="K727" s="155"/>
      <c r="M727" s="153"/>
      <c r="N727" s="7"/>
    </row>
    <row r="728" ht="15.75" customHeight="1">
      <c r="B728" s="151"/>
      <c r="C728" s="151"/>
      <c r="D728" s="151"/>
      <c r="G728" s="152"/>
      <c r="H728" s="151"/>
      <c r="K728" s="155"/>
      <c r="M728" s="153"/>
      <c r="N728" s="7"/>
    </row>
    <row r="729" ht="15.75" customHeight="1">
      <c r="B729" s="151"/>
      <c r="C729" s="151"/>
      <c r="D729" s="151"/>
      <c r="G729" s="152"/>
      <c r="H729" s="151"/>
      <c r="K729" s="155"/>
      <c r="M729" s="153"/>
      <c r="N729" s="7"/>
    </row>
    <row r="730" ht="15.75" customHeight="1">
      <c r="B730" s="151"/>
      <c r="C730" s="151"/>
      <c r="D730" s="151"/>
      <c r="G730" s="152"/>
      <c r="H730" s="151"/>
      <c r="K730" s="155"/>
      <c r="M730" s="153"/>
      <c r="N730" s="7"/>
    </row>
    <row r="731" ht="15.75" customHeight="1">
      <c r="B731" s="151"/>
      <c r="C731" s="151"/>
      <c r="D731" s="151"/>
      <c r="G731" s="152"/>
      <c r="H731" s="151"/>
      <c r="K731" s="155"/>
      <c r="M731" s="153"/>
      <c r="N731" s="7"/>
    </row>
    <row r="732" ht="15.75" customHeight="1">
      <c r="B732" s="151"/>
      <c r="C732" s="151"/>
      <c r="D732" s="151"/>
      <c r="G732" s="152"/>
      <c r="H732" s="151"/>
      <c r="K732" s="155"/>
      <c r="M732" s="153"/>
      <c r="N732" s="7"/>
    </row>
    <row r="733" ht="15.75" customHeight="1">
      <c r="B733" s="151"/>
      <c r="C733" s="151"/>
      <c r="D733" s="151"/>
      <c r="G733" s="152"/>
      <c r="H733" s="151"/>
      <c r="K733" s="155"/>
      <c r="M733" s="153"/>
      <c r="N733" s="7"/>
    </row>
    <row r="734" ht="15.75" customHeight="1">
      <c r="B734" s="151"/>
      <c r="C734" s="151"/>
      <c r="D734" s="151"/>
      <c r="G734" s="152"/>
      <c r="H734" s="151"/>
      <c r="K734" s="155"/>
      <c r="M734" s="153"/>
      <c r="N734" s="7"/>
    </row>
    <row r="735" ht="15.75" customHeight="1">
      <c r="B735" s="151"/>
      <c r="C735" s="151"/>
      <c r="D735" s="151"/>
      <c r="G735" s="152"/>
      <c r="H735" s="151"/>
      <c r="K735" s="155"/>
      <c r="M735" s="153"/>
      <c r="N735" s="7"/>
    </row>
    <row r="736" ht="15.75" customHeight="1">
      <c r="B736" s="151"/>
      <c r="C736" s="151"/>
      <c r="D736" s="151"/>
      <c r="G736" s="152"/>
      <c r="H736" s="151"/>
      <c r="K736" s="155"/>
      <c r="M736" s="153"/>
      <c r="N736" s="7"/>
    </row>
    <row r="737" ht="15.75" customHeight="1">
      <c r="B737" s="151"/>
      <c r="C737" s="151"/>
      <c r="D737" s="151"/>
      <c r="G737" s="152"/>
      <c r="H737" s="151"/>
      <c r="K737" s="155"/>
      <c r="M737" s="153"/>
      <c r="N737" s="7"/>
    </row>
    <row r="738" ht="15.75" customHeight="1">
      <c r="B738" s="151"/>
      <c r="C738" s="151"/>
      <c r="D738" s="151"/>
      <c r="G738" s="152"/>
      <c r="H738" s="151"/>
      <c r="K738" s="155"/>
      <c r="M738" s="153"/>
      <c r="N738" s="7"/>
    </row>
    <row r="739" ht="15.75" customHeight="1">
      <c r="B739" s="151"/>
      <c r="C739" s="151"/>
      <c r="D739" s="151"/>
      <c r="G739" s="152"/>
      <c r="H739" s="151"/>
      <c r="K739" s="155"/>
      <c r="M739" s="153"/>
      <c r="N739" s="7"/>
    </row>
    <row r="740" ht="15.75" customHeight="1">
      <c r="B740" s="151"/>
      <c r="C740" s="151"/>
      <c r="D740" s="151"/>
      <c r="G740" s="152"/>
      <c r="H740" s="151"/>
      <c r="K740" s="155"/>
      <c r="M740" s="153"/>
      <c r="N740" s="7"/>
    </row>
    <row r="741" ht="15.75" customHeight="1">
      <c r="B741" s="151"/>
      <c r="C741" s="151"/>
      <c r="D741" s="151"/>
      <c r="G741" s="152"/>
      <c r="H741" s="151"/>
      <c r="K741" s="155"/>
      <c r="M741" s="153"/>
      <c r="N741" s="7"/>
    </row>
    <row r="742" ht="15.75" customHeight="1">
      <c r="B742" s="151"/>
      <c r="C742" s="151"/>
      <c r="D742" s="151"/>
      <c r="G742" s="152"/>
      <c r="H742" s="151"/>
      <c r="K742" s="155"/>
      <c r="M742" s="153"/>
      <c r="N742" s="7"/>
    </row>
    <row r="743" ht="15.75" customHeight="1">
      <c r="B743" s="151"/>
      <c r="C743" s="151"/>
      <c r="D743" s="151"/>
      <c r="G743" s="152"/>
      <c r="H743" s="151"/>
      <c r="K743" s="155"/>
      <c r="M743" s="153"/>
      <c r="N743" s="7"/>
    </row>
    <row r="744" ht="15.75" customHeight="1">
      <c r="B744" s="151"/>
      <c r="C744" s="151"/>
      <c r="D744" s="151"/>
      <c r="G744" s="152"/>
      <c r="H744" s="151"/>
      <c r="K744" s="155"/>
      <c r="M744" s="153"/>
      <c r="N744" s="7"/>
    </row>
    <row r="745" ht="15.75" customHeight="1">
      <c r="B745" s="151"/>
      <c r="C745" s="151"/>
      <c r="D745" s="151"/>
      <c r="G745" s="152"/>
      <c r="H745" s="151"/>
      <c r="K745" s="155"/>
      <c r="M745" s="153"/>
      <c r="N745" s="7"/>
    </row>
    <row r="746" ht="15.75" customHeight="1">
      <c r="B746" s="151"/>
      <c r="C746" s="151"/>
      <c r="D746" s="151"/>
      <c r="G746" s="152"/>
      <c r="H746" s="151"/>
      <c r="K746" s="155"/>
      <c r="M746" s="153"/>
      <c r="N746" s="7"/>
    </row>
    <row r="747" ht="15.75" customHeight="1">
      <c r="B747" s="151"/>
      <c r="C747" s="151"/>
      <c r="D747" s="151"/>
      <c r="G747" s="152"/>
      <c r="H747" s="151"/>
      <c r="K747" s="155"/>
      <c r="M747" s="153"/>
      <c r="N747" s="7"/>
    </row>
    <row r="748" ht="15.75" customHeight="1">
      <c r="B748" s="151"/>
      <c r="C748" s="151"/>
      <c r="D748" s="151"/>
      <c r="G748" s="152"/>
      <c r="H748" s="151"/>
      <c r="K748" s="155"/>
      <c r="M748" s="153"/>
      <c r="N748" s="7"/>
    </row>
    <row r="749" ht="15.75" customHeight="1">
      <c r="B749" s="151"/>
      <c r="C749" s="151"/>
      <c r="D749" s="151"/>
      <c r="G749" s="152"/>
      <c r="H749" s="151"/>
      <c r="K749" s="155"/>
      <c r="M749" s="153"/>
      <c r="N749" s="7"/>
    </row>
    <row r="750" ht="15.75" customHeight="1">
      <c r="B750" s="151"/>
      <c r="C750" s="151"/>
      <c r="D750" s="151"/>
      <c r="G750" s="152"/>
      <c r="H750" s="151"/>
      <c r="K750" s="155"/>
      <c r="M750" s="153"/>
      <c r="N750" s="7"/>
    </row>
    <row r="751" ht="15.75" customHeight="1">
      <c r="B751" s="151"/>
      <c r="C751" s="151"/>
      <c r="D751" s="151"/>
      <c r="G751" s="152"/>
      <c r="H751" s="151"/>
      <c r="K751" s="155"/>
      <c r="M751" s="153"/>
      <c r="N751" s="7"/>
    </row>
    <row r="752" ht="15.75" customHeight="1">
      <c r="B752" s="151"/>
      <c r="C752" s="151"/>
      <c r="D752" s="151"/>
      <c r="G752" s="152"/>
      <c r="H752" s="151"/>
      <c r="K752" s="155"/>
      <c r="M752" s="153"/>
      <c r="N752" s="7"/>
    </row>
    <row r="753" ht="15.75" customHeight="1">
      <c r="B753" s="151"/>
      <c r="C753" s="151"/>
      <c r="D753" s="151"/>
      <c r="G753" s="152"/>
      <c r="H753" s="151"/>
      <c r="K753" s="155"/>
      <c r="M753" s="153"/>
      <c r="N753" s="7"/>
    </row>
    <row r="754" ht="15.75" customHeight="1">
      <c r="B754" s="151"/>
      <c r="C754" s="151"/>
      <c r="D754" s="151"/>
      <c r="G754" s="152"/>
      <c r="H754" s="151"/>
      <c r="K754" s="155"/>
      <c r="M754" s="153"/>
      <c r="N754" s="7"/>
    </row>
    <row r="755" ht="15.75" customHeight="1">
      <c r="B755" s="151"/>
      <c r="C755" s="151"/>
      <c r="D755" s="151"/>
      <c r="G755" s="152"/>
      <c r="H755" s="151"/>
      <c r="K755" s="155"/>
      <c r="M755" s="153"/>
      <c r="N755" s="7"/>
    </row>
    <row r="756" ht="15.75" customHeight="1">
      <c r="B756" s="151"/>
      <c r="C756" s="151"/>
      <c r="D756" s="151"/>
      <c r="G756" s="152"/>
      <c r="H756" s="151"/>
      <c r="K756" s="155"/>
      <c r="M756" s="153"/>
      <c r="N756" s="7"/>
    </row>
    <row r="757" ht="15.75" customHeight="1">
      <c r="B757" s="151"/>
      <c r="C757" s="151"/>
      <c r="D757" s="151"/>
      <c r="G757" s="152"/>
      <c r="H757" s="151"/>
      <c r="K757" s="155"/>
      <c r="M757" s="153"/>
      <c r="N757" s="7"/>
    </row>
    <row r="758" ht="15.75" customHeight="1">
      <c r="B758" s="151"/>
      <c r="C758" s="151"/>
      <c r="D758" s="151"/>
      <c r="G758" s="152"/>
      <c r="H758" s="151"/>
      <c r="K758" s="155"/>
      <c r="M758" s="153"/>
      <c r="N758" s="7"/>
    </row>
    <row r="759" ht="15.75" customHeight="1">
      <c r="B759" s="151"/>
      <c r="C759" s="151"/>
      <c r="D759" s="151"/>
      <c r="G759" s="152"/>
      <c r="H759" s="151"/>
      <c r="K759" s="155"/>
      <c r="M759" s="153"/>
      <c r="N759" s="7"/>
    </row>
    <row r="760" ht="15.75" customHeight="1">
      <c r="B760" s="151"/>
      <c r="C760" s="151"/>
      <c r="D760" s="151"/>
      <c r="G760" s="152"/>
      <c r="H760" s="151"/>
      <c r="K760" s="155"/>
      <c r="M760" s="153"/>
      <c r="N760" s="7"/>
    </row>
    <row r="761" ht="15.75" customHeight="1">
      <c r="B761" s="151"/>
      <c r="C761" s="151"/>
      <c r="D761" s="151"/>
      <c r="G761" s="152"/>
      <c r="H761" s="151"/>
      <c r="K761" s="155"/>
      <c r="M761" s="153"/>
      <c r="N761" s="7"/>
    </row>
    <row r="762" ht="15.75" customHeight="1">
      <c r="B762" s="151"/>
      <c r="C762" s="151"/>
      <c r="D762" s="151"/>
      <c r="G762" s="152"/>
      <c r="H762" s="151"/>
      <c r="K762" s="155"/>
      <c r="M762" s="153"/>
      <c r="N762" s="7"/>
    </row>
    <row r="763" ht="15.75" customHeight="1">
      <c r="B763" s="151"/>
      <c r="C763" s="151"/>
      <c r="D763" s="151"/>
      <c r="G763" s="152"/>
      <c r="H763" s="151"/>
      <c r="K763" s="155"/>
      <c r="M763" s="153"/>
      <c r="N763" s="7"/>
    </row>
    <row r="764" ht="15.75" customHeight="1">
      <c r="B764" s="151"/>
      <c r="C764" s="151"/>
      <c r="D764" s="151"/>
      <c r="G764" s="152"/>
      <c r="H764" s="151"/>
      <c r="K764" s="155"/>
      <c r="M764" s="153"/>
      <c r="N764" s="7"/>
    </row>
    <row r="765" ht="15.75" customHeight="1">
      <c r="B765" s="151"/>
      <c r="C765" s="151"/>
      <c r="D765" s="151"/>
      <c r="G765" s="152"/>
      <c r="H765" s="151"/>
      <c r="K765" s="155"/>
      <c r="M765" s="153"/>
      <c r="N765" s="7"/>
    </row>
    <row r="766" ht="15.75" customHeight="1">
      <c r="B766" s="151"/>
      <c r="C766" s="151"/>
      <c r="D766" s="151"/>
      <c r="G766" s="152"/>
      <c r="H766" s="151"/>
      <c r="K766" s="155"/>
      <c r="M766" s="153"/>
      <c r="N766" s="7"/>
    </row>
    <row r="767" ht="15.75" customHeight="1">
      <c r="B767" s="151"/>
      <c r="C767" s="151"/>
      <c r="D767" s="151"/>
      <c r="G767" s="152"/>
      <c r="H767" s="151"/>
      <c r="K767" s="155"/>
      <c r="M767" s="153"/>
      <c r="N767" s="7"/>
    </row>
    <row r="768" ht="15.75" customHeight="1">
      <c r="B768" s="151"/>
      <c r="C768" s="151"/>
      <c r="D768" s="151"/>
      <c r="G768" s="152"/>
      <c r="H768" s="151"/>
      <c r="K768" s="155"/>
      <c r="M768" s="153"/>
      <c r="N768" s="7"/>
    </row>
    <row r="769" ht="15.75" customHeight="1">
      <c r="B769" s="151"/>
      <c r="C769" s="151"/>
      <c r="D769" s="151"/>
      <c r="G769" s="152"/>
      <c r="H769" s="151"/>
      <c r="K769" s="155"/>
      <c r="M769" s="153"/>
      <c r="N769" s="7"/>
    </row>
    <row r="770" ht="15.75" customHeight="1">
      <c r="B770" s="151"/>
      <c r="C770" s="151"/>
      <c r="D770" s="151"/>
      <c r="G770" s="152"/>
      <c r="H770" s="151"/>
      <c r="K770" s="155"/>
      <c r="M770" s="153"/>
      <c r="N770" s="7"/>
    </row>
    <row r="771" ht="15.75" customHeight="1">
      <c r="B771" s="151"/>
      <c r="C771" s="151"/>
      <c r="D771" s="151"/>
      <c r="G771" s="152"/>
      <c r="H771" s="151"/>
      <c r="K771" s="155"/>
      <c r="M771" s="153"/>
      <c r="N771" s="7"/>
    </row>
    <row r="772" ht="15.75" customHeight="1">
      <c r="B772" s="151"/>
      <c r="C772" s="151"/>
      <c r="D772" s="151"/>
      <c r="G772" s="152"/>
      <c r="H772" s="151"/>
      <c r="K772" s="155"/>
      <c r="M772" s="153"/>
      <c r="N772" s="7"/>
    </row>
    <row r="773" ht="15.75" customHeight="1">
      <c r="B773" s="151"/>
      <c r="C773" s="151"/>
      <c r="D773" s="151"/>
      <c r="G773" s="152"/>
      <c r="H773" s="151"/>
      <c r="K773" s="155"/>
      <c r="M773" s="153"/>
      <c r="N773" s="7"/>
    </row>
    <row r="774" ht="15.75" customHeight="1">
      <c r="B774" s="151"/>
      <c r="C774" s="151"/>
      <c r="D774" s="151"/>
      <c r="G774" s="152"/>
      <c r="H774" s="151"/>
      <c r="K774" s="155"/>
      <c r="M774" s="153"/>
      <c r="N774" s="7"/>
    </row>
    <row r="775" ht="15.75" customHeight="1">
      <c r="B775" s="151"/>
      <c r="C775" s="151"/>
      <c r="D775" s="151"/>
      <c r="G775" s="152"/>
      <c r="H775" s="151"/>
      <c r="K775" s="155"/>
      <c r="M775" s="153"/>
      <c r="N775" s="7"/>
    </row>
    <row r="776" ht="15.75" customHeight="1">
      <c r="B776" s="151"/>
      <c r="C776" s="151"/>
      <c r="D776" s="151"/>
      <c r="G776" s="152"/>
      <c r="H776" s="151"/>
      <c r="K776" s="155"/>
      <c r="M776" s="153"/>
      <c r="N776" s="7"/>
    </row>
    <row r="777" ht="15.75" customHeight="1">
      <c r="B777" s="151"/>
      <c r="C777" s="151"/>
      <c r="D777" s="151"/>
      <c r="G777" s="152"/>
      <c r="H777" s="151"/>
      <c r="K777" s="155"/>
      <c r="M777" s="153"/>
      <c r="N777" s="7"/>
    </row>
    <row r="778" ht="15.75" customHeight="1">
      <c r="B778" s="151"/>
      <c r="C778" s="151"/>
      <c r="D778" s="151"/>
      <c r="G778" s="152"/>
      <c r="H778" s="151"/>
      <c r="K778" s="155"/>
      <c r="M778" s="153"/>
      <c r="N778" s="7"/>
    </row>
    <row r="779" ht="15.75" customHeight="1">
      <c r="B779" s="151"/>
      <c r="C779" s="151"/>
      <c r="D779" s="151"/>
      <c r="G779" s="152"/>
      <c r="H779" s="151"/>
      <c r="K779" s="155"/>
      <c r="M779" s="153"/>
      <c r="N779" s="7"/>
    </row>
    <row r="780" ht="15.75" customHeight="1">
      <c r="B780" s="151"/>
      <c r="C780" s="151"/>
      <c r="D780" s="151"/>
      <c r="G780" s="152"/>
      <c r="H780" s="151"/>
      <c r="K780" s="155"/>
      <c r="M780" s="153"/>
      <c r="N780" s="7"/>
    </row>
    <row r="781" ht="15.75" customHeight="1">
      <c r="B781" s="151"/>
      <c r="C781" s="151"/>
      <c r="D781" s="151"/>
      <c r="G781" s="152"/>
      <c r="H781" s="151"/>
      <c r="K781" s="155"/>
      <c r="M781" s="153"/>
      <c r="N781" s="7"/>
    </row>
    <row r="782" ht="15.75" customHeight="1">
      <c r="B782" s="151"/>
      <c r="C782" s="151"/>
      <c r="D782" s="151"/>
      <c r="G782" s="152"/>
      <c r="H782" s="151"/>
      <c r="K782" s="155"/>
      <c r="M782" s="153"/>
      <c r="N782" s="7"/>
    </row>
    <row r="783" ht="15.75" customHeight="1">
      <c r="B783" s="151"/>
      <c r="C783" s="151"/>
      <c r="D783" s="151"/>
      <c r="G783" s="152"/>
      <c r="H783" s="151"/>
      <c r="K783" s="155"/>
      <c r="M783" s="153"/>
      <c r="N783" s="7"/>
    </row>
    <row r="784" ht="15.75" customHeight="1">
      <c r="B784" s="151"/>
      <c r="C784" s="151"/>
      <c r="D784" s="151"/>
      <c r="G784" s="152"/>
      <c r="H784" s="151"/>
      <c r="K784" s="155"/>
      <c r="M784" s="153"/>
      <c r="N784" s="7"/>
    </row>
    <row r="785" ht="15.75" customHeight="1">
      <c r="B785" s="151"/>
      <c r="C785" s="151"/>
      <c r="D785" s="151"/>
      <c r="G785" s="152"/>
      <c r="H785" s="151"/>
      <c r="K785" s="155"/>
      <c r="M785" s="153"/>
      <c r="N785" s="7"/>
    </row>
    <row r="786" ht="15.75" customHeight="1">
      <c r="B786" s="151"/>
      <c r="C786" s="151"/>
      <c r="D786" s="151"/>
      <c r="G786" s="152"/>
      <c r="H786" s="151"/>
      <c r="K786" s="155"/>
      <c r="M786" s="153"/>
      <c r="N786" s="7"/>
    </row>
    <row r="787" ht="15.75" customHeight="1">
      <c r="B787" s="151"/>
      <c r="C787" s="151"/>
      <c r="D787" s="151"/>
      <c r="G787" s="152"/>
      <c r="H787" s="151"/>
      <c r="K787" s="155"/>
      <c r="M787" s="153"/>
      <c r="N787" s="7"/>
    </row>
    <row r="788" ht="15.75" customHeight="1">
      <c r="B788" s="151"/>
      <c r="C788" s="151"/>
      <c r="D788" s="151"/>
      <c r="G788" s="152"/>
      <c r="H788" s="151"/>
      <c r="K788" s="155"/>
      <c r="M788" s="153"/>
      <c r="N788" s="7"/>
    </row>
    <row r="789" ht="15.75" customHeight="1">
      <c r="B789" s="151"/>
      <c r="C789" s="151"/>
      <c r="D789" s="151"/>
      <c r="G789" s="152"/>
      <c r="H789" s="151"/>
      <c r="K789" s="155"/>
      <c r="M789" s="153"/>
      <c r="N789" s="7"/>
    </row>
    <row r="790" ht="15.75" customHeight="1">
      <c r="B790" s="151"/>
      <c r="C790" s="151"/>
      <c r="D790" s="151"/>
      <c r="G790" s="152"/>
      <c r="H790" s="151"/>
      <c r="K790" s="155"/>
      <c r="M790" s="153"/>
      <c r="N790" s="7"/>
    </row>
    <row r="791" ht="15.75" customHeight="1">
      <c r="B791" s="151"/>
      <c r="C791" s="151"/>
      <c r="D791" s="151"/>
      <c r="G791" s="152"/>
      <c r="H791" s="151"/>
      <c r="K791" s="155"/>
      <c r="M791" s="153"/>
      <c r="N791" s="7"/>
    </row>
    <row r="792" ht="15.75" customHeight="1">
      <c r="B792" s="151"/>
      <c r="C792" s="151"/>
      <c r="D792" s="151"/>
      <c r="G792" s="152"/>
      <c r="H792" s="151"/>
      <c r="K792" s="155"/>
      <c r="M792" s="153"/>
      <c r="N792" s="7"/>
    </row>
    <row r="793" ht="15.75" customHeight="1">
      <c r="B793" s="151"/>
      <c r="C793" s="151"/>
      <c r="D793" s="151"/>
      <c r="G793" s="152"/>
      <c r="H793" s="151"/>
      <c r="K793" s="155"/>
      <c r="M793" s="153"/>
      <c r="N793" s="7"/>
    </row>
    <row r="794" ht="15.75" customHeight="1">
      <c r="B794" s="151"/>
      <c r="C794" s="151"/>
      <c r="D794" s="151"/>
      <c r="G794" s="152"/>
      <c r="H794" s="151"/>
      <c r="K794" s="155"/>
      <c r="M794" s="153"/>
      <c r="N794" s="7"/>
    </row>
    <row r="795" ht="15.75" customHeight="1">
      <c r="B795" s="151"/>
      <c r="C795" s="151"/>
      <c r="D795" s="151"/>
      <c r="G795" s="152"/>
      <c r="H795" s="151"/>
      <c r="K795" s="155"/>
      <c r="M795" s="153"/>
      <c r="N795" s="7"/>
    </row>
    <row r="796" ht="15.75" customHeight="1">
      <c r="B796" s="151"/>
      <c r="C796" s="151"/>
      <c r="D796" s="151"/>
      <c r="G796" s="152"/>
      <c r="H796" s="151"/>
      <c r="K796" s="155"/>
      <c r="M796" s="153"/>
      <c r="N796" s="7"/>
    </row>
    <row r="797" ht="15.75" customHeight="1">
      <c r="B797" s="151"/>
      <c r="C797" s="151"/>
      <c r="D797" s="151"/>
      <c r="G797" s="152"/>
      <c r="H797" s="151"/>
      <c r="K797" s="155"/>
      <c r="M797" s="153"/>
      <c r="N797" s="7"/>
    </row>
    <row r="798" ht="15.75" customHeight="1">
      <c r="B798" s="151"/>
      <c r="C798" s="151"/>
      <c r="D798" s="151"/>
      <c r="G798" s="152"/>
      <c r="H798" s="151"/>
      <c r="K798" s="155"/>
      <c r="M798" s="153"/>
      <c r="N798" s="7"/>
    </row>
    <row r="799" ht="15.75" customHeight="1">
      <c r="B799" s="151"/>
      <c r="C799" s="151"/>
      <c r="D799" s="151"/>
      <c r="G799" s="152"/>
      <c r="H799" s="151"/>
      <c r="K799" s="155"/>
      <c r="M799" s="153"/>
      <c r="N799" s="7"/>
    </row>
    <row r="800" ht="15.75" customHeight="1">
      <c r="B800" s="151"/>
      <c r="C800" s="151"/>
      <c r="D800" s="151"/>
      <c r="G800" s="152"/>
      <c r="H800" s="151"/>
      <c r="K800" s="155"/>
      <c r="M800" s="153"/>
      <c r="N800" s="7"/>
    </row>
    <row r="801" ht="15.75" customHeight="1">
      <c r="B801" s="151"/>
      <c r="C801" s="151"/>
      <c r="D801" s="151"/>
      <c r="G801" s="152"/>
      <c r="H801" s="151"/>
      <c r="K801" s="155"/>
      <c r="M801" s="153"/>
      <c r="N801" s="7"/>
    </row>
    <row r="802" ht="15.75" customHeight="1">
      <c r="B802" s="151"/>
      <c r="C802" s="151"/>
      <c r="D802" s="151"/>
      <c r="G802" s="152"/>
      <c r="H802" s="151"/>
      <c r="K802" s="155"/>
      <c r="M802" s="153"/>
      <c r="N802" s="7"/>
    </row>
    <row r="803" ht="15.75" customHeight="1">
      <c r="B803" s="151"/>
      <c r="C803" s="151"/>
      <c r="D803" s="151"/>
      <c r="G803" s="152"/>
      <c r="H803" s="151"/>
      <c r="K803" s="155"/>
      <c r="M803" s="153"/>
      <c r="N803" s="7"/>
    </row>
    <row r="804" ht="15.75" customHeight="1">
      <c r="B804" s="151"/>
      <c r="C804" s="151"/>
      <c r="D804" s="151"/>
      <c r="G804" s="152"/>
      <c r="H804" s="151"/>
      <c r="K804" s="155"/>
      <c r="M804" s="153"/>
      <c r="N804" s="7"/>
    </row>
    <row r="805" ht="15.75" customHeight="1">
      <c r="B805" s="151"/>
      <c r="C805" s="151"/>
      <c r="D805" s="151"/>
      <c r="G805" s="152"/>
      <c r="H805" s="151"/>
      <c r="K805" s="155"/>
      <c r="M805" s="153"/>
      <c r="N805" s="7"/>
    </row>
    <row r="806" ht="15.75" customHeight="1">
      <c r="B806" s="151"/>
      <c r="C806" s="151"/>
      <c r="D806" s="151"/>
      <c r="G806" s="152"/>
      <c r="H806" s="151"/>
      <c r="K806" s="155"/>
      <c r="M806" s="153"/>
      <c r="N806" s="7"/>
    </row>
    <row r="807" ht="15.75" customHeight="1">
      <c r="B807" s="151"/>
      <c r="C807" s="151"/>
      <c r="D807" s="151"/>
      <c r="G807" s="152"/>
      <c r="H807" s="151"/>
      <c r="K807" s="155"/>
      <c r="M807" s="153"/>
      <c r="N807" s="7"/>
    </row>
    <row r="808" ht="15.75" customHeight="1">
      <c r="B808" s="151"/>
      <c r="C808" s="151"/>
      <c r="D808" s="151"/>
      <c r="G808" s="152"/>
      <c r="H808" s="151"/>
      <c r="K808" s="155"/>
      <c r="M808" s="153"/>
      <c r="N808" s="7"/>
    </row>
    <row r="809" ht="15.75" customHeight="1">
      <c r="B809" s="151"/>
      <c r="C809" s="151"/>
      <c r="D809" s="151"/>
      <c r="G809" s="152"/>
      <c r="H809" s="151"/>
      <c r="K809" s="155"/>
      <c r="M809" s="153"/>
      <c r="N809" s="7"/>
    </row>
    <row r="810" ht="15.75" customHeight="1">
      <c r="B810" s="151"/>
      <c r="C810" s="151"/>
      <c r="D810" s="151"/>
      <c r="G810" s="152"/>
      <c r="H810" s="151"/>
      <c r="K810" s="155"/>
      <c r="M810" s="153"/>
      <c r="N810" s="7"/>
    </row>
    <row r="811" ht="15.75" customHeight="1">
      <c r="B811" s="151"/>
      <c r="C811" s="151"/>
      <c r="D811" s="151"/>
      <c r="G811" s="152"/>
      <c r="H811" s="151"/>
      <c r="K811" s="155"/>
      <c r="M811" s="153"/>
      <c r="N811" s="7"/>
    </row>
    <row r="812" ht="15.75" customHeight="1">
      <c r="B812" s="151"/>
      <c r="C812" s="151"/>
      <c r="D812" s="151"/>
      <c r="G812" s="152"/>
      <c r="H812" s="151"/>
      <c r="K812" s="155"/>
      <c r="M812" s="153"/>
      <c r="N812" s="7"/>
    </row>
    <row r="813" ht="15.75" customHeight="1">
      <c r="B813" s="151"/>
      <c r="C813" s="151"/>
      <c r="D813" s="151"/>
      <c r="G813" s="152"/>
      <c r="H813" s="151"/>
      <c r="K813" s="155"/>
      <c r="M813" s="153"/>
      <c r="N813" s="7"/>
    </row>
    <row r="814" ht="15.75" customHeight="1">
      <c r="B814" s="151"/>
      <c r="C814" s="151"/>
      <c r="D814" s="151"/>
      <c r="G814" s="152"/>
      <c r="H814" s="151"/>
      <c r="K814" s="155"/>
      <c r="M814" s="153"/>
      <c r="N814" s="7"/>
    </row>
    <row r="815" ht="15.75" customHeight="1">
      <c r="B815" s="151"/>
      <c r="C815" s="151"/>
      <c r="D815" s="151"/>
      <c r="G815" s="152"/>
      <c r="H815" s="151"/>
      <c r="K815" s="155"/>
      <c r="M815" s="153"/>
      <c r="N815" s="7"/>
    </row>
    <row r="816" ht="15.75" customHeight="1">
      <c r="B816" s="151"/>
      <c r="C816" s="151"/>
      <c r="D816" s="151"/>
      <c r="G816" s="152"/>
      <c r="H816" s="151"/>
      <c r="K816" s="155"/>
      <c r="M816" s="153"/>
      <c r="N816" s="7"/>
    </row>
    <row r="817" ht="15.75" customHeight="1">
      <c r="B817" s="151"/>
      <c r="C817" s="151"/>
      <c r="D817" s="151"/>
      <c r="G817" s="152"/>
      <c r="H817" s="151"/>
      <c r="K817" s="155"/>
      <c r="M817" s="153"/>
      <c r="N817" s="7"/>
    </row>
    <row r="818" ht="15.75" customHeight="1">
      <c r="B818" s="151"/>
      <c r="C818" s="151"/>
      <c r="D818" s="151"/>
      <c r="G818" s="152"/>
      <c r="H818" s="151"/>
      <c r="K818" s="155"/>
      <c r="M818" s="153"/>
      <c r="N818" s="7"/>
    </row>
    <row r="819" ht="15.75" customHeight="1">
      <c r="B819" s="151"/>
      <c r="C819" s="151"/>
      <c r="D819" s="151"/>
      <c r="G819" s="152"/>
      <c r="H819" s="151"/>
      <c r="K819" s="155"/>
      <c r="M819" s="153"/>
      <c r="N819" s="7"/>
    </row>
    <row r="820" ht="15.75" customHeight="1">
      <c r="B820" s="151"/>
      <c r="C820" s="151"/>
      <c r="D820" s="151"/>
      <c r="G820" s="152"/>
      <c r="H820" s="151"/>
      <c r="K820" s="155"/>
      <c r="M820" s="153"/>
      <c r="N820" s="7"/>
    </row>
    <row r="821" ht="15.75" customHeight="1">
      <c r="B821" s="151"/>
      <c r="C821" s="151"/>
      <c r="D821" s="151"/>
      <c r="G821" s="152"/>
      <c r="H821" s="151"/>
      <c r="K821" s="155"/>
      <c r="M821" s="153"/>
      <c r="N821" s="7"/>
    </row>
    <row r="822" ht="15.75" customHeight="1">
      <c r="B822" s="151"/>
      <c r="C822" s="151"/>
      <c r="D822" s="151"/>
      <c r="G822" s="152"/>
      <c r="H822" s="151"/>
      <c r="K822" s="155"/>
      <c r="M822" s="153"/>
      <c r="N822" s="7"/>
    </row>
    <row r="823" ht="15.75" customHeight="1">
      <c r="B823" s="151"/>
      <c r="C823" s="151"/>
      <c r="D823" s="151"/>
      <c r="G823" s="152"/>
      <c r="H823" s="151"/>
      <c r="K823" s="155"/>
      <c r="M823" s="153"/>
      <c r="N823" s="7"/>
    </row>
    <row r="824" ht="15.75" customHeight="1">
      <c r="B824" s="151"/>
      <c r="C824" s="151"/>
      <c r="D824" s="151"/>
      <c r="G824" s="152"/>
      <c r="H824" s="151"/>
      <c r="K824" s="155"/>
      <c r="M824" s="153"/>
      <c r="N824" s="7"/>
    </row>
    <row r="825" ht="15.75" customHeight="1">
      <c r="B825" s="151"/>
      <c r="C825" s="151"/>
      <c r="D825" s="151"/>
      <c r="G825" s="152"/>
      <c r="H825" s="151"/>
      <c r="K825" s="155"/>
      <c r="M825" s="153"/>
      <c r="N825" s="7"/>
    </row>
    <row r="826" ht="15.75" customHeight="1">
      <c r="B826" s="151"/>
      <c r="C826" s="151"/>
      <c r="D826" s="151"/>
      <c r="G826" s="152"/>
      <c r="H826" s="151"/>
      <c r="K826" s="155"/>
      <c r="M826" s="153"/>
      <c r="N826" s="7"/>
    </row>
    <row r="827" ht="15.75" customHeight="1">
      <c r="B827" s="151"/>
      <c r="C827" s="151"/>
      <c r="D827" s="151"/>
      <c r="G827" s="152"/>
      <c r="H827" s="151"/>
      <c r="K827" s="155"/>
      <c r="M827" s="153"/>
      <c r="N827" s="7"/>
    </row>
    <row r="828" ht="15.75" customHeight="1">
      <c r="B828" s="151"/>
      <c r="C828" s="151"/>
      <c r="D828" s="151"/>
      <c r="G828" s="152"/>
      <c r="H828" s="151"/>
      <c r="K828" s="155"/>
      <c r="M828" s="153"/>
      <c r="N828" s="7"/>
    </row>
    <row r="829" ht="15.75" customHeight="1">
      <c r="B829" s="151"/>
      <c r="C829" s="151"/>
      <c r="D829" s="151"/>
      <c r="G829" s="152"/>
      <c r="H829" s="151"/>
      <c r="K829" s="155"/>
      <c r="M829" s="153"/>
      <c r="N829" s="7"/>
    </row>
    <row r="830" ht="15.75" customHeight="1">
      <c r="B830" s="151"/>
      <c r="C830" s="151"/>
      <c r="D830" s="151"/>
      <c r="G830" s="152"/>
      <c r="H830" s="151"/>
      <c r="K830" s="155"/>
      <c r="M830" s="153"/>
      <c r="N830" s="7"/>
    </row>
    <row r="831" ht="15.75" customHeight="1">
      <c r="B831" s="151"/>
      <c r="C831" s="151"/>
      <c r="D831" s="151"/>
      <c r="G831" s="152"/>
      <c r="H831" s="151"/>
      <c r="K831" s="155"/>
      <c r="M831" s="153"/>
      <c r="N831" s="7"/>
    </row>
    <row r="832" ht="15.75" customHeight="1">
      <c r="B832" s="151"/>
      <c r="C832" s="151"/>
      <c r="D832" s="151"/>
      <c r="G832" s="152"/>
      <c r="H832" s="151"/>
      <c r="K832" s="155"/>
      <c r="M832" s="153"/>
      <c r="N832" s="7"/>
    </row>
    <row r="833" ht="15.75" customHeight="1">
      <c r="B833" s="151"/>
      <c r="C833" s="151"/>
      <c r="D833" s="151"/>
      <c r="G833" s="152"/>
      <c r="H833" s="151"/>
      <c r="K833" s="155"/>
      <c r="M833" s="153"/>
      <c r="N833" s="7"/>
    </row>
    <row r="834" ht="15.75" customHeight="1">
      <c r="B834" s="151"/>
      <c r="C834" s="151"/>
      <c r="D834" s="151"/>
      <c r="G834" s="152"/>
      <c r="H834" s="151"/>
      <c r="K834" s="155"/>
      <c r="M834" s="153"/>
      <c r="N834" s="7"/>
    </row>
    <row r="835" ht="15.75" customHeight="1">
      <c r="B835" s="151"/>
      <c r="C835" s="151"/>
      <c r="D835" s="151"/>
      <c r="G835" s="152"/>
      <c r="H835" s="151"/>
      <c r="K835" s="155"/>
      <c r="M835" s="153"/>
      <c r="N835" s="7"/>
    </row>
    <row r="836" ht="15.75" customHeight="1">
      <c r="B836" s="151"/>
      <c r="C836" s="151"/>
      <c r="D836" s="151"/>
      <c r="G836" s="152"/>
      <c r="H836" s="151"/>
      <c r="K836" s="155"/>
      <c r="M836" s="153"/>
      <c r="N836" s="7"/>
    </row>
    <row r="837" ht="15.75" customHeight="1">
      <c r="B837" s="151"/>
      <c r="C837" s="151"/>
      <c r="D837" s="151"/>
      <c r="G837" s="152"/>
      <c r="H837" s="151"/>
      <c r="K837" s="155"/>
      <c r="M837" s="153"/>
      <c r="N837" s="7"/>
    </row>
    <row r="838" ht="15.75" customHeight="1">
      <c r="B838" s="151"/>
      <c r="C838" s="151"/>
      <c r="D838" s="151"/>
      <c r="G838" s="152"/>
      <c r="H838" s="151"/>
      <c r="K838" s="155"/>
      <c r="M838" s="153"/>
      <c r="N838" s="7"/>
    </row>
    <row r="839" ht="15.75" customHeight="1">
      <c r="B839" s="151"/>
      <c r="C839" s="151"/>
      <c r="D839" s="151"/>
      <c r="G839" s="152"/>
      <c r="H839" s="151"/>
      <c r="K839" s="155"/>
      <c r="M839" s="153"/>
      <c r="N839" s="7"/>
    </row>
    <row r="840" ht="15.75" customHeight="1">
      <c r="B840" s="151"/>
      <c r="C840" s="151"/>
      <c r="D840" s="151"/>
      <c r="G840" s="152"/>
      <c r="H840" s="151"/>
      <c r="K840" s="155"/>
      <c r="M840" s="153"/>
      <c r="N840" s="7"/>
    </row>
    <row r="841" ht="15.75" customHeight="1">
      <c r="B841" s="151"/>
      <c r="C841" s="151"/>
      <c r="D841" s="151"/>
      <c r="G841" s="152"/>
      <c r="H841" s="151"/>
      <c r="K841" s="155"/>
      <c r="M841" s="153"/>
      <c r="N841" s="7"/>
    </row>
    <row r="842" ht="15.75" customHeight="1">
      <c r="B842" s="151"/>
      <c r="C842" s="151"/>
      <c r="D842" s="151"/>
      <c r="G842" s="152"/>
      <c r="H842" s="151"/>
      <c r="K842" s="155"/>
      <c r="M842" s="153"/>
      <c r="N842" s="7"/>
    </row>
    <row r="843" ht="15.75" customHeight="1">
      <c r="B843" s="151"/>
      <c r="C843" s="151"/>
      <c r="D843" s="151"/>
      <c r="G843" s="152"/>
      <c r="H843" s="151"/>
      <c r="K843" s="155"/>
      <c r="M843" s="153"/>
      <c r="N843" s="7"/>
    </row>
    <row r="844" ht="15.75" customHeight="1">
      <c r="B844" s="151"/>
      <c r="C844" s="151"/>
      <c r="D844" s="151"/>
      <c r="G844" s="152"/>
      <c r="H844" s="151"/>
      <c r="K844" s="155"/>
      <c r="M844" s="153"/>
      <c r="N844" s="7"/>
    </row>
    <row r="845" ht="15.75" customHeight="1">
      <c r="B845" s="151"/>
      <c r="C845" s="151"/>
      <c r="D845" s="151"/>
      <c r="G845" s="152"/>
      <c r="H845" s="151"/>
      <c r="K845" s="155"/>
      <c r="M845" s="153"/>
      <c r="N845" s="7"/>
    </row>
    <row r="846" ht="15.75" customHeight="1">
      <c r="B846" s="151"/>
      <c r="C846" s="151"/>
      <c r="D846" s="151"/>
      <c r="G846" s="152"/>
      <c r="H846" s="151"/>
      <c r="K846" s="155"/>
      <c r="M846" s="153"/>
      <c r="N846" s="7"/>
    </row>
    <row r="847" ht="15.75" customHeight="1">
      <c r="B847" s="151"/>
      <c r="C847" s="151"/>
      <c r="D847" s="151"/>
      <c r="G847" s="152"/>
      <c r="H847" s="151"/>
      <c r="K847" s="155"/>
      <c r="M847" s="153"/>
      <c r="N847" s="7"/>
    </row>
    <row r="848" ht="15.75" customHeight="1">
      <c r="B848" s="151"/>
      <c r="C848" s="151"/>
      <c r="D848" s="151"/>
      <c r="G848" s="152"/>
      <c r="H848" s="151"/>
      <c r="K848" s="155"/>
      <c r="M848" s="153"/>
      <c r="N848" s="7"/>
    </row>
    <row r="849" ht="15.75" customHeight="1">
      <c r="B849" s="151"/>
      <c r="C849" s="151"/>
      <c r="D849" s="151"/>
      <c r="G849" s="152"/>
      <c r="H849" s="151"/>
      <c r="K849" s="155"/>
      <c r="M849" s="153"/>
      <c r="N849" s="7"/>
    </row>
    <row r="850" ht="15.75" customHeight="1">
      <c r="B850" s="151"/>
      <c r="C850" s="151"/>
      <c r="D850" s="151"/>
      <c r="G850" s="152"/>
      <c r="H850" s="151"/>
      <c r="K850" s="155"/>
      <c r="M850" s="153"/>
      <c r="N850" s="7"/>
    </row>
    <row r="851" ht="15.75" customHeight="1">
      <c r="B851" s="151"/>
      <c r="C851" s="151"/>
      <c r="D851" s="151"/>
      <c r="G851" s="152"/>
      <c r="H851" s="151"/>
      <c r="K851" s="155"/>
      <c r="M851" s="153"/>
      <c r="N851" s="7"/>
    </row>
    <row r="852" ht="15.75" customHeight="1">
      <c r="B852" s="151"/>
      <c r="C852" s="151"/>
      <c r="D852" s="151"/>
      <c r="G852" s="152"/>
      <c r="H852" s="151"/>
      <c r="K852" s="155"/>
      <c r="M852" s="153"/>
      <c r="N852" s="7"/>
    </row>
    <row r="853" ht="15.75" customHeight="1">
      <c r="B853" s="151"/>
      <c r="C853" s="151"/>
      <c r="D853" s="151"/>
      <c r="G853" s="152"/>
      <c r="H853" s="151"/>
      <c r="K853" s="155"/>
      <c r="M853" s="153"/>
      <c r="N853" s="7"/>
    </row>
    <row r="854" ht="15.75" customHeight="1">
      <c r="B854" s="151"/>
      <c r="C854" s="151"/>
      <c r="D854" s="151"/>
      <c r="G854" s="152"/>
      <c r="H854" s="151"/>
      <c r="K854" s="155"/>
      <c r="M854" s="153"/>
      <c r="N854" s="7"/>
    </row>
    <row r="855" ht="15.75" customHeight="1">
      <c r="B855" s="151"/>
      <c r="C855" s="151"/>
      <c r="D855" s="151"/>
      <c r="G855" s="152"/>
      <c r="H855" s="151"/>
      <c r="K855" s="155"/>
      <c r="M855" s="153"/>
      <c r="N855" s="7"/>
    </row>
    <row r="856" ht="15.75" customHeight="1">
      <c r="B856" s="151"/>
      <c r="C856" s="151"/>
      <c r="D856" s="151"/>
      <c r="G856" s="152"/>
      <c r="H856" s="151"/>
      <c r="K856" s="155"/>
      <c r="M856" s="153"/>
      <c r="N856" s="7"/>
    </row>
    <row r="857" ht="15.75" customHeight="1">
      <c r="B857" s="151"/>
      <c r="C857" s="151"/>
      <c r="D857" s="151"/>
      <c r="G857" s="152"/>
      <c r="H857" s="151"/>
      <c r="K857" s="155"/>
      <c r="M857" s="153"/>
      <c r="N857" s="7"/>
    </row>
    <row r="858" ht="15.75" customHeight="1">
      <c r="B858" s="151"/>
      <c r="C858" s="151"/>
      <c r="D858" s="151"/>
      <c r="G858" s="152"/>
      <c r="H858" s="151"/>
      <c r="K858" s="155"/>
      <c r="M858" s="153"/>
      <c r="N858" s="7"/>
    </row>
    <row r="859" ht="15.75" customHeight="1">
      <c r="B859" s="151"/>
      <c r="C859" s="151"/>
      <c r="D859" s="151"/>
      <c r="G859" s="152"/>
      <c r="H859" s="151"/>
      <c r="K859" s="155"/>
      <c r="M859" s="153"/>
      <c r="N859" s="7"/>
    </row>
    <row r="860" ht="15.75" customHeight="1">
      <c r="B860" s="151"/>
      <c r="C860" s="151"/>
      <c r="D860" s="151"/>
      <c r="G860" s="152"/>
      <c r="H860" s="151"/>
      <c r="K860" s="155"/>
      <c r="M860" s="153"/>
      <c r="N860" s="7"/>
    </row>
    <row r="861" ht="15.75" customHeight="1">
      <c r="B861" s="151"/>
      <c r="C861" s="151"/>
      <c r="D861" s="151"/>
      <c r="G861" s="152"/>
      <c r="H861" s="151"/>
      <c r="K861" s="155"/>
      <c r="M861" s="153"/>
      <c r="N861" s="7"/>
    </row>
    <row r="862" ht="15.75" customHeight="1">
      <c r="B862" s="151"/>
      <c r="C862" s="151"/>
      <c r="D862" s="151"/>
      <c r="G862" s="152"/>
      <c r="H862" s="151"/>
      <c r="K862" s="155"/>
      <c r="M862" s="153"/>
      <c r="N862" s="7"/>
    </row>
    <row r="863" ht="15.75" customHeight="1">
      <c r="B863" s="151"/>
      <c r="C863" s="151"/>
      <c r="D863" s="151"/>
      <c r="G863" s="152"/>
      <c r="H863" s="151"/>
      <c r="K863" s="155"/>
      <c r="M863" s="153"/>
      <c r="N863" s="7"/>
    </row>
    <row r="864" ht="15.75" customHeight="1">
      <c r="B864" s="151"/>
      <c r="C864" s="151"/>
      <c r="D864" s="151"/>
      <c r="G864" s="152"/>
      <c r="H864" s="151"/>
      <c r="K864" s="155"/>
      <c r="M864" s="153"/>
      <c r="N864" s="7"/>
    </row>
    <row r="865" ht="15.75" customHeight="1">
      <c r="B865" s="151"/>
      <c r="C865" s="151"/>
      <c r="D865" s="151"/>
      <c r="G865" s="152"/>
      <c r="H865" s="151"/>
      <c r="K865" s="155"/>
      <c r="M865" s="153"/>
      <c r="N865" s="7"/>
    </row>
    <row r="866" ht="15.75" customHeight="1">
      <c r="B866" s="151"/>
      <c r="C866" s="151"/>
      <c r="D866" s="151"/>
      <c r="G866" s="152"/>
      <c r="H866" s="151"/>
      <c r="K866" s="155"/>
      <c r="M866" s="153"/>
      <c r="N866" s="7"/>
    </row>
    <row r="867" ht="15.75" customHeight="1">
      <c r="B867" s="151"/>
      <c r="C867" s="151"/>
      <c r="D867" s="151"/>
      <c r="G867" s="152"/>
      <c r="H867" s="151"/>
      <c r="K867" s="155"/>
      <c r="M867" s="153"/>
      <c r="N867" s="7"/>
    </row>
    <row r="868" ht="15.75" customHeight="1">
      <c r="B868" s="151"/>
      <c r="C868" s="151"/>
      <c r="D868" s="151"/>
      <c r="G868" s="152"/>
      <c r="H868" s="151"/>
      <c r="K868" s="155"/>
      <c r="M868" s="153"/>
      <c r="N868" s="7"/>
    </row>
    <row r="869" ht="15.75" customHeight="1">
      <c r="B869" s="151"/>
      <c r="C869" s="151"/>
      <c r="D869" s="151"/>
      <c r="G869" s="152"/>
      <c r="H869" s="151"/>
      <c r="K869" s="155"/>
      <c r="M869" s="153"/>
      <c r="N869" s="7"/>
    </row>
    <row r="870" ht="15.75" customHeight="1">
      <c r="B870" s="151"/>
      <c r="C870" s="151"/>
      <c r="D870" s="151"/>
      <c r="G870" s="152"/>
      <c r="H870" s="151"/>
      <c r="K870" s="155"/>
      <c r="M870" s="153"/>
      <c r="N870" s="7"/>
    </row>
    <row r="871" ht="15.75" customHeight="1">
      <c r="B871" s="151"/>
      <c r="C871" s="151"/>
      <c r="D871" s="151"/>
      <c r="G871" s="152"/>
      <c r="H871" s="151"/>
      <c r="K871" s="155"/>
      <c r="M871" s="153"/>
      <c r="N871" s="7"/>
    </row>
    <row r="872" ht="15.75" customHeight="1">
      <c r="B872" s="151"/>
      <c r="C872" s="151"/>
      <c r="D872" s="151"/>
      <c r="G872" s="152"/>
      <c r="H872" s="151"/>
      <c r="K872" s="155"/>
      <c r="M872" s="153"/>
      <c r="N872" s="7"/>
    </row>
    <row r="873" ht="15.75" customHeight="1">
      <c r="B873" s="151"/>
      <c r="C873" s="151"/>
      <c r="D873" s="151"/>
      <c r="G873" s="152"/>
      <c r="H873" s="151"/>
      <c r="K873" s="155"/>
      <c r="M873" s="153"/>
      <c r="N873" s="7"/>
    </row>
    <row r="874" ht="15.75" customHeight="1">
      <c r="B874" s="151"/>
      <c r="C874" s="151"/>
      <c r="D874" s="151"/>
      <c r="G874" s="152"/>
      <c r="H874" s="151"/>
      <c r="K874" s="155"/>
      <c r="M874" s="153"/>
      <c r="N874" s="7"/>
    </row>
    <row r="875" ht="15.75" customHeight="1">
      <c r="B875" s="151"/>
      <c r="C875" s="151"/>
      <c r="D875" s="151"/>
      <c r="G875" s="152"/>
      <c r="H875" s="151"/>
      <c r="K875" s="155"/>
      <c r="M875" s="153"/>
      <c r="N875" s="7"/>
    </row>
    <row r="876" ht="15.75" customHeight="1">
      <c r="B876" s="151"/>
      <c r="C876" s="151"/>
      <c r="D876" s="151"/>
      <c r="G876" s="152"/>
      <c r="H876" s="151"/>
      <c r="K876" s="155"/>
      <c r="M876" s="153"/>
      <c r="N876" s="7"/>
    </row>
    <row r="877" ht="15.75" customHeight="1">
      <c r="B877" s="151"/>
      <c r="C877" s="151"/>
      <c r="D877" s="151"/>
      <c r="G877" s="152"/>
      <c r="H877" s="151"/>
      <c r="K877" s="155"/>
      <c r="M877" s="153"/>
      <c r="N877" s="7"/>
    </row>
    <row r="878" ht="15.75" customHeight="1">
      <c r="B878" s="151"/>
      <c r="C878" s="151"/>
      <c r="D878" s="151"/>
      <c r="G878" s="152"/>
      <c r="H878" s="151"/>
      <c r="K878" s="155"/>
      <c r="M878" s="153"/>
      <c r="N878" s="7"/>
    </row>
    <row r="879" ht="15.75" customHeight="1">
      <c r="B879" s="151"/>
      <c r="C879" s="151"/>
      <c r="D879" s="151"/>
      <c r="G879" s="152"/>
      <c r="H879" s="151"/>
      <c r="K879" s="155"/>
      <c r="M879" s="153"/>
      <c r="N879" s="7"/>
    </row>
    <row r="880" ht="15.75" customHeight="1">
      <c r="B880" s="151"/>
      <c r="C880" s="151"/>
      <c r="D880" s="151"/>
      <c r="G880" s="152"/>
      <c r="H880" s="151"/>
      <c r="K880" s="155"/>
      <c r="M880" s="153"/>
      <c r="N880" s="7"/>
    </row>
    <row r="881" ht="15.75" customHeight="1">
      <c r="B881" s="151"/>
      <c r="C881" s="151"/>
      <c r="D881" s="151"/>
      <c r="G881" s="152"/>
      <c r="H881" s="151"/>
      <c r="K881" s="155"/>
      <c r="M881" s="153"/>
      <c r="N881" s="7"/>
    </row>
    <row r="882" ht="15.75" customHeight="1">
      <c r="B882" s="151"/>
      <c r="C882" s="151"/>
      <c r="D882" s="151"/>
      <c r="G882" s="152"/>
      <c r="H882" s="151"/>
      <c r="K882" s="155"/>
      <c r="M882" s="153"/>
      <c r="N882" s="7"/>
    </row>
    <row r="883" ht="15.75" customHeight="1">
      <c r="B883" s="151"/>
      <c r="C883" s="151"/>
      <c r="D883" s="151"/>
      <c r="G883" s="152"/>
      <c r="H883" s="151"/>
      <c r="K883" s="155"/>
      <c r="M883" s="153"/>
      <c r="N883" s="7"/>
    </row>
    <row r="884" ht="15.75" customHeight="1">
      <c r="B884" s="151"/>
      <c r="C884" s="151"/>
      <c r="D884" s="151"/>
      <c r="G884" s="152"/>
      <c r="H884" s="151"/>
      <c r="K884" s="155"/>
      <c r="M884" s="153"/>
      <c r="N884" s="7"/>
    </row>
    <row r="885" ht="15.75" customHeight="1">
      <c r="B885" s="151"/>
      <c r="C885" s="151"/>
      <c r="D885" s="151"/>
      <c r="G885" s="152"/>
      <c r="H885" s="151"/>
      <c r="K885" s="155"/>
      <c r="M885" s="153"/>
      <c r="N885" s="7"/>
    </row>
    <row r="886" ht="15.75" customHeight="1">
      <c r="B886" s="151"/>
      <c r="C886" s="151"/>
      <c r="D886" s="151"/>
      <c r="G886" s="152"/>
      <c r="H886" s="151"/>
      <c r="K886" s="155"/>
      <c r="M886" s="153"/>
      <c r="N886" s="7"/>
    </row>
    <row r="887" ht="15.75" customHeight="1">
      <c r="B887" s="151"/>
      <c r="C887" s="151"/>
      <c r="D887" s="151"/>
      <c r="G887" s="152"/>
      <c r="H887" s="151"/>
      <c r="K887" s="155"/>
      <c r="M887" s="153"/>
      <c r="N887" s="7"/>
    </row>
    <row r="888" ht="15.75" customHeight="1">
      <c r="B888" s="151"/>
      <c r="C888" s="151"/>
      <c r="D888" s="151"/>
      <c r="G888" s="152"/>
      <c r="H888" s="151"/>
      <c r="K888" s="155"/>
      <c r="M888" s="153"/>
      <c r="N888" s="7"/>
    </row>
    <row r="889" ht="15.75" customHeight="1">
      <c r="B889" s="151"/>
      <c r="C889" s="151"/>
      <c r="D889" s="151"/>
      <c r="G889" s="152"/>
      <c r="H889" s="151"/>
      <c r="K889" s="155"/>
      <c r="M889" s="153"/>
      <c r="N889" s="7"/>
    </row>
    <row r="890" ht="15.75" customHeight="1">
      <c r="B890" s="151"/>
      <c r="C890" s="151"/>
      <c r="D890" s="151"/>
      <c r="G890" s="152"/>
      <c r="H890" s="151"/>
      <c r="K890" s="155"/>
      <c r="M890" s="153"/>
      <c r="N890" s="7"/>
    </row>
    <row r="891" ht="15.75" customHeight="1">
      <c r="B891" s="151"/>
      <c r="C891" s="151"/>
      <c r="D891" s="151"/>
      <c r="G891" s="152"/>
      <c r="H891" s="151"/>
      <c r="K891" s="155"/>
      <c r="M891" s="153"/>
      <c r="N891" s="7"/>
    </row>
    <row r="892" ht="15.75" customHeight="1">
      <c r="B892" s="151"/>
      <c r="C892" s="151"/>
      <c r="D892" s="151"/>
      <c r="G892" s="152"/>
      <c r="H892" s="151"/>
      <c r="K892" s="155"/>
      <c r="M892" s="153"/>
      <c r="N892" s="7"/>
    </row>
    <row r="893" ht="15.75" customHeight="1">
      <c r="B893" s="151"/>
      <c r="C893" s="151"/>
      <c r="D893" s="151"/>
      <c r="G893" s="152"/>
      <c r="H893" s="151"/>
      <c r="K893" s="155"/>
      <c r="M893" s="153"/>
      <c r="N893" s="7"/>
    </row>
    <row r="894" ht="15.75" customHeight="1">
      <c r="B894" s="151"/>
      <c r="C894" s="151"/>
      <c r="D894" s="151"/>
      <c r="G894" s="152"/>
      <c r="H894" s="151"/>
      <c r="K894" s="155"/>
      <c r="M894" s="153"/>
      <c r="N894" s="7"/>
    </row>
    <row r="895" ht="15.75" customHeight="1">
      <c r="B895" s="151"/>
      <c r="C895" s="151"/>
      <c r="D895" s="151"/>
      <c r="G895" s="152"/>
      <c r="H895" s="151"/>
      <c r="K895" s="155"/>
      <c r="M895" s="153"/>
      <c r="N895" s="7"/>
    </row>
  </sheetData>
  <autoFilter ref="$A$7:$M$107"/>
  <mergeCells count="4">
    <mergeCell ref="A3:M3"/>
    <mergeCell ref="A4:M4"/>
    <mergeCell ref="A5:M5"/>
    <mergeCell ref="A108:AC113"/>
  </mergeCells>
  <dataValidations>
    <dataValidation type="list" allowBlank="1" showErrorMessage="1" sqref="L8:L101">
      <formula1>"No Request Found,Requested Forwarded,Under Print,Printed,Card at Branch,Delivered to Sales Person,Delivered to Client,Existing Customer"</formula1>
    </dataValidation>
    <dataValidation type="list" allowBlank="1" showErrorMessage="1" sqref="K8:K101">
      <formula1>"No Request Found,Request Forwarded,Under Print,Under ED Signature,Ready at HO,At Branch,Delivered to Client,Office Copy Received,Office Copy Sent to HO"</formula1>
    </dataValidation>
    <dataValidation type="list" allowBlank="1" showErrorMessage="1" sqref="J8:J101">
      <formula1>"Sheet Not Printed,Sheet Printed,Under Rate Sale,Sheet at Branch,Paid"</formula1>
    </dataValidation>
  </dataValidations>
  <printOptions/>
  <pageMargins bottom="0.25" footer="0.0" header="0.0" left="0.2" right="0.2" top="0.25"/>
  <pageSetup paperSize="5" orientation="landscape"/>
  <drawing r:id="rId2"/>
  <legacyDrawing r:id="rId3"/>
</worksheet>
</file>