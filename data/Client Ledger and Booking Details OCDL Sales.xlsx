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 Status &amp; EMI" sheetId="1" r:id="rId5"/>
  </sheets>
  <definedNames>
    <definedName hidden="1" localSheetId="0" name="_xlnm._FilterDatabase">'Booking Status &amp; EMI'!$A$7:$T$305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10">
      <text>
        <t xml:space="preserve">DP received: 270,000 TK. So he may pay an EMI of 30,000 TK every three months, not 31,250 TK . Therefore, we will count 30,000 TK for each quarterly EMI from now on.</t>
      </text>
    </comment>
    <comment authorId="0" ref="K40">
      <text>
        <t xml:space="preserve">Vallie Bassette:
19/10/2025= 10,000
</t>
      </text>
    </comment>
    <comment authorId="0" ref="D222">
      <text>
        <t xml:space="preserve">Md. Safiqul Islam's client made the down payment/booking amount (100,000 Tk) at another branch. Going forward, the client will now be making all EMI payments through our branch.</t>
      </text>
    </comment>
    <comment authorId="0" ref="O263">
      <text>
        <t xml:space="preserve">6000*15=90,000
8000*15=120,000
10,000*15=150,000
Rest Of A =90,000 (25/08/2030)</t>
      </text>
    </comment>
    <comment authorId="0" ref="O197">
      <text>
        <t xml:space="preserve">Date Are Not Final Yet</t>
      </text>
    </comment>
    <comment authorId="0" ref="D218">
      <text>
        <t xml:space="preserve">Touhidul Islam's client made the down payment/booking amount (100,000 Tk, MR No- 73596 , 75303 ) at another branch on 13/11/2025 &amp; 06/12/2025 Date . Going forward, the client will now be making all EMI payments through our branch.</t>
      </text>
    </comment>
    <comment authorId="0" ref="D216">
      <text>
        <t xml:space="preserve">Touhidul Islam's client made the down payment/booking amount (10,000 Tk, MR No- 73705) at another branch on 16-Nov-25. Going forward, the client will now be making all EMI payments through our branch.</t>
      </text>
    </comment>
    <comment authorId="0" ref="T71">
      <text>
        <t xml:space="preserve">01/09/2026 Head office Received
Cheque Form Client  For EMI MERCANTILE 
BANK LTD. 
,ANY BRANCH
8417051 31 Aug 2026 Not Clear Yet
</t>
      </text>
    </comment>
    <comment authorId="0" ref="D247">
      <text>
        <t xml:space="preserve">Touhidul Islam's client made the down payment/booking amount (50,000 Tk, MR No- 91101) at another branch on 28-Jun-26. Going forward, the client will now be making all payments through our branch.</t>
      </text>
    </comment>
    <comment authorId="0" ref="D214">
      <text>
        <t xml:space="preserve">Touhidul Islam's client made the down payment/booking amount (30,000 Tk, MR No- 83439) at another branch on March 19, 2026. Going forward, the client will now be making all EMI payments through our branch.</t>
      </text>
    </comment>
    <comment authorId="0" ref="T230">
      <text>
        <t xml:space="preserve">5th Current Due- 42500/-</t>
      </text>
    </comment>
    <comment authorId="0" ref="K218">
      <text>
        <t xml:space="preserve">Touhidul Islam's client made the down payment/booking amount (100,000 Tk, MR No- 73596 , 75303 ) at another branch on 13/11/2025 &amp; 06/12/2025 Date . Going forward, the client will now be making all EMI payments through our branch.</t>
      </text>
    </comment>
    <comment authorId="0" ref="H247">
      <text>
        <t xml:space="preserve">Sale Price 350,000 + 50,000 Reg. Fee
= 400,000
</t>
      </text>
    </comment>
    <comment authorId="0" ref="K216">
      <text>
        <t xml:space="preserve">Touhidul Islam's client made the down payment/booking amount (10,000 Tk, MR No- 73705) at another branch on 16-Nov-25. Going forward, the client will now be making all EMI payments through our branch.</t>
      </text>
    </comment>
    <comment authorId="0" ref="K214">
      <text>
        <t xml:space="preserve">Touhidul Islam's client made the down payment/booking amount (30,000 Tk, MR No- 83439) at another branch on March 19, 2026. Going forward, the client will now be making all EMI payments through our branch.</t>
      </text>
    </comment>
    <comment authorId="0" ref="J115">
      <text>
        <t xml:space="preserve">
</t>
      </text>
    </comment>
    <comment authorId="0" ref="D204">
      <text>
        <t xml:space="preserve">Plot Details:
Project: Amin City Purbachal 
Block: B
Road: 01 (25' Wide)
Plot: 13, 15
Katha: 3+3= 6</t>
      </text>
    </comment>
    <comment authorId="0" ref="D43">
      <text>
        <t xml:space="preserve">He Paid His EMI H.O.
12/08/2026 
Direct Deposit (Cash)         
MR No 95078</t>
      </text>
    </comment>
    <comment authorId="0" ref="Q22">
      <text>
        <t xml:space="preserve">25/05/2026 Direct Deposit 
cash=10,000  
 MR: 90656 
Paid Adv 1700  TK .
So, 1700 TK will be part of EMI in month of may 
28/06/2026 Direct Deposit 
cash=10,000  
 MR: 90656 
Paid Adv 1700  TK .
So, 1700 TK will be part of EMI in month of may </t>
      </text>
    </comment>
    <comment authorId="0" ref="D264">
      <text>
        <t xml:space="preserve">Touhidul Islam's client made the down payment/booking amount at another branch. Going forward, the client will now be making all EMI payments through our branch.</t>
      </text>
    </comment>
    <comment authorId="0" ref="K41">
      <text>
        <t xml:space="preserve">Vallie Bassette:
23/10/2025= 10,000
29/10/2025= 50,000
</t>
      </text>
    </comment>
    <comment authorId="0" ref="P173">
      <text>
        <t xml:space="preserve">Total EMI 60*6000=360,000 TK
Due 40,000 TK , Will Be Paid Last Installment</t>
      </text>
    </comment>
    <comment authorId="0" ref="D223">
      <text>
        <t xml:space="preserve">Maria Akter Mim's client made the down payment/booking amount (100,000 Tk) at another branch. Going forward, the client will now be making all EMI payments through our branch.</t>
      </text>
    </comment>
    <comment authorId="0" ref="D221">
      <text>
        <t xml:space="preserve">Touhidul Islam's client made the down payment/booking amount (100,000 Tk) at another branch. Going forward, the client will now be making all EMI payments through our branch.</t>
      </text>
    </comment>
    <comment authorId="0" ref="C252">
      <text>
        <t xml:space="preserve">MR:  96161	
Md. Estiak Mahbub	
Umme Habiba Prerona	
Bay Marina	
25-Aug-26</t>
      </text>
    </comment>
    <comment authorId="0" ref="D219">
      <text>
        <t xml:space="preserve">Touhidul Islam's client made the down payment/booking amount (10,000 Tk, MR No- 73706) at another branch on 16-Nov-25. Going forward, the client will now be making all EMI payments through our branch.</t>
      </text>
    </comment>
    <comment authorId="0" ref="D217">
      <text>
        <t xml:space="preserve">Touhidul Islam's client made the down payment/booking amount (30,000 Tk, MR No- 83438) at another branch on March 19, 2026. Going forward, the client will now be making all EMI payments through our branch.</t>
      </text>
    </comment>
    <comment authorId="0" ref="T264">
      <text>
        <t xml:space="preserve">17th Current Due-16000/-</t>
      </text>
    </comment>
    <comment authorId="0" ref="D215">
      <text>
        <t xml:space="preserve">Touhidul Islam's client made the down payment/booking amount (100,000 Tk, MR No- 73586 , 75302 ) at another branch on 11/11/2025 &amp; 07/12/2025 Date . Going forward, the client will now be making all EMI payments through our branch.</t>
      </text>
    </comment>
    <comment authorId="0" ref="P194">
      <text>
        <t xml:space="preserve">Every Three Months Later, 10000*3=30000 , He Paid
</t>
      </text>
    </comment>
    <comment authorId="0" ref="K221">
      <text>
        <t xml:space="preserve">Touhidul Islam's client made the down payment/booking amount (100,000 Tk) at another branch. Going forward, the client will now be making all EMI payments through our branch.</t>
      </text>
    </comment>
    <comment authorId="0" ref="D246">
      <text>
        <t xml:space="preserve">Touhidul Islam's client made the down payment/booking amount (50,000 Tk, MR No- 86600) at another branch on 28-Jun-26. Going forward, the client will now be making all payments through our branch.</t>
      </text>
    </comment>
    <comment authorId="0" ref="K219">
      <text>
        <t xml:space="preserve">Touhidul Islam's client made the down payment/booking amount (10,000 Tk, MR No- 73706) at another branch on 16-Nov-25. Going forward, the client will now be making all EMI payments through our branch.</t>
      </text>
    </comment>
    <comment authorId="0" ref="K217">
      <text>
        <t xml:space="preserve">Touhidul Islam's client made the down payment/booking amount (30,000 Tk, MR No- 83438) at another branch on March 19, 2026. Going forward, the client will now be making all EMI payments through our branch.</t>
      </text>
    </comment>
    <comment authorId="0" ref="H246">
      <text>
        <t xml:space="preserve">Sale Price 350,000 + 50,000 Reg. Fee
= 400,000
Also </t>
      </text>
    </comment>
    <comment authorId="0" ref="K215">
      <text>
        <t xml:space="preserve">Touhidul Islam's client made the down payment/booking amount (100,000 Tk, MR No- 73586 , 75302 ) at another branch on 11/11/2025 &amp; 07/12/2025 Date . Going forward, the client will now be making all EMI payments through our branch.</t>
      </text>
    </comment>
    <comment authorId="0" ref="D203">
      <text>
        <t xml:space="preserve">Plot Details:
Project: Amin City Purbachal 
Block: B
Road: 01 (25' Wide)
Plot: 17, 19
Katha: 3+3= 6
</t>
      </text>
    </comment>
    <comment authorId="0" ref="O277">
      <text>
        <t xml:space="preserve">01 -Dec -2026
4th Installment Will Be 20,000
</t>
      </text>
    </comment>
    <comment authorId="0" ref="D230">
      <text>
        <t xml:space="preserve">Touhidul Islam's client made the down payment/booking amount (100,000 Tk) at another branch. Going forward, the client will now be making all EMI payments through our branch.</t>
      </text>
    </comment>
  </commentList>
</comments>
</file>

<file path=xl/sharedStrings.xml><?xml version="1.0" encoding="utf-8"?>
<sst xmlns="http://schemas.openxmlformats.org/spreadsheetml/2006/main" count="1518" uniqueCount="748">
  <si>
    <t>One City Developers Ltd.</t>
  </si>
  <si>
    <t>Land Sales Office</t>
  </si>
  <si>
    <t xml:space="preserve">      Commercial Cove, House: 56/C, Road: 132, Gulshan-1, Dhaka-1212.</t>
  </si>
  <si>
    <t>SL.</t>
  </si>
  <si>
    <t>File No:</t>
  </si>
  <si>
    <t>Sales Person:</t>
  </si>
  <si>
    <t>Client Name:</t>
  </si>
  <si>
    <t>Contact:</t>
  </si>
  <si>
    <t>Project:</t>
  </si>
  <si>
    <t>Unit/ Plot:</t>
  </si>
  <si>
    <t>Sale Value:</t>
  </si>
  <si>
    <t>Soled Date:</t>
  </si>
  <si>
    <t>DP Commited:</t>
  </si>
  <si>
    <t>DP Received:</t>
  </si>
  <si>
    <t>Next Pay. Date:</t>
  </si>
  <si>
    <t>Next Pay. Amount:</t>
  </si>
  <si>
    <t>Booking Date:</t>
  </si>
  <si>
    <t>EMI Start:</t>
  </si>
  <si>
    <t>Monthly EMI:</t>
  </si>
  <si>
    <t>Last Paid Date:</t>
  </si>
  <si>
    <t>Special Instruction:</t>
  </si>
  <si>
    <t>Remarkes:</t>
  </si>
  <si>
    <t xml:space="preserve"> </t>
  </si>
  <si>
    <t>01</t>
  </si>
  <si>
    <t>Muhib Ahmed</t>
  </si>
  <si>
    <t>Kazi Masuma Parvin</t>
  </si>
  <si>
    <t>ACP</t>
  </si>
  <si>
    <t>02</t>
  </si>
  <si>
    <t>Md. Ridoy Khan</t>
  </si>
  <si>
    <t>Imam Hossain Sumon</t>
  </si>
  <si>
    <t>01771166102</t>
  </si>
  <si>
    <t>BS</t>
  </si>
  <si>
    <t>DP Due</t>
  </si>
  <si>
    <t>03</t>
  </si>
  <si>
    <t>Abdul Kaium Sohag</t>
  </si>
  <si>
    <t>Shamim Ahmmad</t>
  </si>
  <si>
    <t>3 EMI Due</t>
  </si>
  <si>
    <t>04</t>
  </si>
  <si>
    <t>BS-20217244</t>
  </si>
  <si>
    <t>Most. Liza Akter</t>
  </si>
  <si>
    <t>Kamrunnahar</t>
  </si>
  <si>
    <t>01848323131</t>
  </si>
  <si>
    <t>9th EMI Paid</t>
  </si>
  <si>
    <t>05</t>
  </si>
  <si>
    <t>BS-20216628</t>
  </si>
  <si>
    <t>Mohammad Al Faisal</t>
  </si>
  <si>
    <t>01932710086</t>
  </si>
  <si>
    <t>8th EMI Paid</t>
  </si>
  <si>
    <t>06</t>
  </si>
  <si>
    <t>BS-20216493</t>
  </si>
  <si>
    <t>Kabita Khatun</t>
  </si>
  <si>
    <t>01705766288</t>
  </si>
  <si>
    <t>07</t>
  </si>
  <si>
    <t>Md. Manir Sikder</t>
  </si>
  <si>
    <t>Mst Khadiza Begum</t>
  </si>
  <si>
    <t>01978415308</t>
  </si>
  <si>
    <t>08</t>
  </si>
  <si>
    <t>PAC-235</t>
  </si>
  <si>
    <t>Saida Parvin &amp; Ziaul Hoque</t>
  </si>
  <si>
    <t>01711477221</t>
  </si>
  <si>
    <t>11th EMI Paid</t>
  </si>
  <si>
    <t>09</t>
  </si>
  <si>
    <t>PAC-227</t>
  </si>
  <si>
    <t>Md. Abul Khair Yousuf &amp; Others 07</t>
  </si>
  <si>
    <t>01764365674</t>
  </si>
  <si>
    <t>8/15/30</t>
  </si>
  <si>
    <t>14th EMI Paid</t>
  </si>
  <si>
    <t>10</t>
  </si>
  <si>
    <t>BS-20216667</t>
  </si>
  <si>
    <t>Syed Manjur Hossain &amp; Shana Akter Ruma</t>
  </si>
  <si>
    <t>01715424413</t>
  </si>
  <si>
    <t>11</t>
  </si>
  <si>
    <t>BS-20217031</t>
  </si>
  <si>
    <t>Mohammed Mohed Ali</t>
  </si>
  <si>
    <t>12</t>
  </si>
  <si>
    <t>BS-20217030</t>
  </si>
  <si>
    <t>13</t>
  </si>
  <si>
    <t>BS-20216867</t>
  </si>
  <si>
    <t>Md. Tareq Hasan</t>
  </si>
  <si>
    <t>Rakib Hossain</t>
  </si>
  <si>
    <t>01712627869</t>
  </si>
  <si>
    <t>14</t>
  </si>
  <si>
    <t>BS-20216752</t>
  </si>
  <si>
    <t>Fazle Rabbi</t>
  </si>
  <si>
    <t>01923453577</t>
  </si>
  <si>
    <t>19th EMI Paid</t>
  </si>
  <si>
    <t>15</t>
  </si>
  <si>
    <t>BS-20216779</t>
  </si>
  <si>
    <t>Md. Arif Hossain</t>
  </si>
  <si>
    <t>01788591133</t>
  </si>
  <si>
    <t>12th EMI Paid</t>
  </si>
  <si>
    <t>16</t>
  </si>
  <si>
    <t>BS-20216866</t>
  </si>
  <si>
    <t>Abrarul Haque Emon</t>
  </si>
  <si>
    <t>Shanaj Chowdhury</t>
  </si>
  <si>
    <t>01767702056</t>
  </si>
  <si>
    <t>51th</t>
  </si>
  <si>
    <t>17</t>
  </si>
  <si>
    <t>BS-20218036</t>
  </si>
  <si>
    <t>Abu Sufian Shohag</t>
  </si>
  <si>
    <t>2nd EMI Paid</t>
  </si>
  <si>
    <t>18</t>
  </si>
  <si>
    <t>BS-20217032</t>
  </si>
  <si>
    <t>Md. Noman Islam</t>
  </si>
  <si>
    <t>Md. Tanif Muktadir</t>
  </si>
  <si>
    <t>01711150885</t>
  </si>
  <si>
    <t>4th EMI Paid</t>
  </si>
  <si>
    <t>19</t>
  </si>
  <si>
    <t>BS-20217033</t>
  </si>
  <si>
    <t>Md. Farhad Masum</t>
  </si>
  <si>
    <t>01716199745</t>
  </si>
  <si>
    <t>20</t>
  </si>
  <si>
    <t>BS-20216790</t>
  </si>
  <si>
    <t>Sharowar Hossain</t>
  </si>
  <si>
    <t>Mohammed Khoyrul Islam</t>
  </si>
  <si>
    <t>+447917128736</t>
  </si>
  <si>
    <t>At a Time</t>
  </si>
  <si>
    <t>Booking Done</t>
  </si>
  <si>
    <t>21</t>
  </si>
  <si>
    <t>Labonno Shikder</t>
  </si>
  <si>
    <t>Md. Alauddin Shek</t>
  </si>
  <si>
    <t>01303054184</t>
  </si>
  <si>
    <t>CHQ 20k</t>
  </si>
  <si>
    <t>CHQ not Cash</t>
  </si>
  <si>
    <t>22</t>
  </si>
  <si>
    <t>Md. Mehedi Hasan</t>
  </si>
  <si>
    <t>Md. Estiak Hossain &amp; Sajeda Mukta</t>
  </si>
  <si>
    <t>CHQ 150k</t>
  </si>
  <si>
    <t>23</t>
  </si>
  <si>
    <t>Md. Jaher Miah</t>
  </si>
  <si>
    <t>01724766797</t>
  </si>
  <si>
    <t>24</t>
  </si>
  <si>
    <t>Afroza Akter</t>
  </si>
  <si>
    <t>Afroza Akter Rizu</t>
  </si>
  <si>
    <t>01972903995</t>
  </si>
  <si>
    <t>25</t>
  </si>
  <si>
    <t>BS-20217021</t>
  </si>
  <si>
    <t>Syeda Sultana Nasrin</t>
  </si>
  <si>
    <t>12/20/26</t>
  </si>
  <si>
    <t>5th EMI Paid</t>
  </si>
  <si>
    <t>26</t>
  </si>
  <si>
    <t>BS-20218155</t>
  </si>
  <si>
    <t>Md. Noor Uddin Chowdhury</t>
  </si>
  <si>
    <t>01683805541</t>
  </si>
  <si>
    <t>3rd EMI Paid</t>
  </si>
  <si>
    <t>27</t>
  </si>
  <si>
    <t>BS-20218154</t>
  </si>
  <si>
    <t>Saleha Begum Lopa</t>
  </si>
  <si>
    <t>01819253276</t>
  </si>
  <si>
    <t>28</t>
  </si>
  <si>
    <t>BM</t>
  </si>
  <si>
    <t>29</t>
  </si>
  <si>
    <t>30</t>
  </si>
  <si>
    <t>Md. Yashin</t>
  </si>
  <si>
    <t>C-10</t>
  </si>
  <si>
    <t>At A-Time</t>
  </si>
  <si>
    <t>31</t>
  </si>
  <si>
    <t>R-20</t>
  </si>
  <si>
    <t>32</t>
  </si>
  <si>
    <t>Md. Jahir Rayhan</t>
  </si>
  <si>
    <t>Yasin Hossain Khan &amp; Limon Khan</t>
  </si>
  <si>
    <t>01312125519</t>
  </si>
  <si>
    <t>10/1/26</t>
  </si>
  <si>
    <t>1st DP Due, 2nd DP 01 Jan 2026</t>
  </si>
  <si>
    <t>33</t>
  </si>
  <si>
    <t>Akhi Akter Urmi</t>
  </si>
  <si>
    <t>Md. Al-Amin Siddique</t>
  </si>
  <si>
    <t>01711167934</t>
  </si>
  <si>
    <t>CHQ Received</t>
  </si>
  <si>
    <t>34</t>
  </si>
  <si>
    <t>BS-20217155</t>
  </si>
  <si>
    <t>Md. Alamgir Bhuiyan</t>
  </si>
  <si>
    <t>60th</t>
  </si>
  <si>
    <t>35</t>
  </si>
  <si>
    <t>1st &amp; 2nd DP Rchvd, 3rd DP 30/01/26</t>
  </si>
  <si>
    <t>BS-20217118</t>
  </si>
  <si>
    <t>Mst. Umme Afja Limu</t>
  </si>
  <si>
    <t>Md Jaidul Hoque Sarker</t>
  </si>
  <si>
    <t>01710-829922</t>
  </si>
  <si>
    <t>9h EMI Paid</t>
  </si>
  <si>
    <t>37</t>
  </si>
  <si>
    <t>BM-2023811</t>
  </si>
  <si>
    <t>Jesmin Akter</t>
  </si>
  <si>
    <t>Full Paid</t>
  </si>
  <si>
    <t>38</t>
  </si>
  <si>
    <t>BS-20217509</t>
  </si>
  <si>
    <t>Md. Ariful Haque</t>
  </si>
  <si>
    <t>01749287086</t>
  </si>
  <si>
    <t>39</t>
  </si>
  <si>
    <t>Md. Altahid Hossain Ashik</t>
  </si>
  <si>
    <t>Ratul Kumar Paul</t>
  </si>
  <si>
    <t>40</t>
  </si>
  <si>
    <t>Md. Atiful Haque</t>
  </si>
  <si>
    <t>Mst. Afroza Bulbul Lavely</t>
  </si>
  <si>
    <t>01716360689</t>
  </si>
  <si>
    <t>Cash Refund</t>
  </si>
  <si>
    <t>41</t>
  </si>
  <si>
    <t>BS-20217161</t>
  </si>
  <si>
    <t>Anowar Hossain</t>
  </si>
  <si>
    <t>Md Azizul Haque Manik</t>
  </si>
  <si>
    <t>01728119577</t>
  </si>
  <si>
    <t>42</t>
  </si>
  <si>
    <t>BS-20217160</t>
  </si>
  <si>
    <t>Razia Begum</t>
  </si>
  <si>
    <t>43</t>
  </si>
  <si>
    <t>BS-20217159</t>
  </si>
  <si>
    <t>Md. Nazrul Islam Bhuiyan</t>
  </si>
  <si>
    <t>01938232848</t>
  </si>
  <si>
    <t>44</t>
  </si>
  <si>
    <t>BS-20217162</t>
  </si>
  <si>
    <t>Abu Usuf</t>
  </si>
  <si>
    <t>01917396228</t>
  </si>
  <si>
    <t>45</t>
  </si>
  <si>
    <t>BS-20217815</t>
  </si>
  <si>
    <t>01757636000</t>
  </si>
  <si>
    <t>46</t>
  </si>
  <si>
    <t>BS-20217186</t>
  </si>
  <si>
    <t>Md. Bablur Rahman</t>
  </si>
  <si>
    <t>01730375869</t>
  </si>
  <si>
    <t>47</t>
  </si>
  <si>
    <t>Md Sarfuddin</t>
  </si>
  <si>
    <t>01912-453008</t>
  </si>
  <si>
    <t>2nd DP-2 Lac 25 Feb 2026</t>
  </si>
  <si>
    <t>48</t>
  </si>
  <si>
    <t>BS-20217547</t>
  </si>
  <si>
    <t>Bashir Ahmed</t>
  </si>
  <si>
    <t>A. Rajjak Sheikh</t>
  </si>
  <si>
    <t>01615-228504</t>
  </si>
  <si>
    <t>7th EMI Paid</t>
  </si>
  <si>
    <t>49</t>
  </si>
  <si>
    <t>4th DP-30k 20-Jun-26</t>
  </si>
  <si>
    <t>50</t>
  </si>
  <si>
    <t>BS-20217256</t>
  </si>
  <si>
    <t>Mukcitin Faruki Mugdha</t>
  </si>
  <si>
    <t>01726-454347</t>
  </si>
  <si>
    <t>51</t>
  </si>
  <si>
    <t>Md. Aslam Hossain</t>
  </si>
  <si>
    <t>01815-851475</t>
  </si>
  <si>
    <t>2nd DP-145k 10 Feb 26</t>
  </si>
  <si>
    <t>52</t>
  </si>
  <si>
    <t>Nyem Hossain</t>
  </si>
  <si>
    <t>01632-666240</t>
  </si>
  <si>
    <t>2nd DP-30k 
15/02/26
3rd DP-31k 
15/03/26</t>
  </si>
  <si>
    <t>53</t>
  </si>
  <si>
    <t>BS-20217450</t>
  </si>
  <si>
    <t>Kazi Mizanur Rahman</t>
  </si>
  <si>
    <t>01716-591435</t>
  </si>
  <si>
    <t>Every Dec
31k</t>
  </si>
  <si>
    <t>54</t>
  </si>
  <si>
    <t>PAC-270</t>
  </si>
  <si>
    <t>Md. Shahinul Islam</t>
  </si>
  <si>
    <t>Rehana Akter &amp; Others (9)</t>
  </si>
  <si>
    <t>01771-224421</t>
  </si>
  <si>
    <t>73th</t>
  </si>
  <si>
    <t>55</t>
  </si>
  <si>
    <t>Ratil</t>
  </si>
  <si>
    <t>01858-378805</t>
  </si>
  <si>
    <t>Full Payment 25 Mar 2026</t>
  </si>
  <si>
    <t>56</t>
  </si>
  <si>
    <t>57</t>
  </si>
  <si>
    <t>BS-20217550</t>
  </si>
  <si>
    <t>Md Abu Bakar Sarfin</t>
  </si>
  <si>
    <t>+966573236713</t>
  </si>
  <si>
    <t>58</t>
  </si>
  <si>
    <t>Anas Bin Hsan</t>
  </si>
  <si>
    <t>01858-260061</t>
  </si>
  <si>
    <t>2nd DP Due</t>
  </si>
  <si>
    <t>59</t>
  </si>
  <si>
    <t>GCM-202429</t>
  </si>
  <si>
    <t>Surma Akter</t>
  </si>
  <si>
    <t>Md. Zakir Hossen</t>
  </si>
  <si>
    <t>01780405914</t>
  </si>
  <si>
    <t>GCM</t>
  </si>
  <si>
    <t>60</t>
  </si>
  <si>
    <t>BS-20217452</t>
  </si>
  <si>
    <t>Mohammad Abu Kalam</t>
  </si>
  <si>
    <t>01842-256878</t>
  </si>
  <si>
    <t>Dec'26, 27,28</t>
  </si>
  <si>
    <t>50k, 50k, 60k</t>
  </si>
  <si>
    <t>5th EMI (Part-8000)Paid</t>
  </si>
  <si>
    <t>61</t>
  </si>
  <si>
    <t>BS-20217549</t>
  </si>
  <si>
    <t>Md. Mosharrof Hossain (Mizan)</t>
  </si>
  <si>
    <t>62</t>
  </si>
  <si>
    <t>BS-20217548</t>
  </si>
  <si>
    <t>Sanjida Sultana</t>
  </si>
  <si>
    <t>63</t>
  </si>
  <si>
    <t>BS-20218171</t>
  </si>
  <si>
    <t>Mohammad Ziaur Rahman</t>
  </si>
  <si>
    <t>01815-774818</t>
  </si>
  <si>
    <t>61st Number Installment</t>
  </si>
  <si>
    <t>20k</t>
  </si>
  <si>
    <t>1st EMI Paid</t>
  </si>
  <si>
    <t>64</t>
  </si>
  <si>
    <t>BS-20217451</t>
  </si>
  <si>
    <t>Jahangir Alam</t>
  </si>
  <si>
    <t>01837-579819</t>
  </si>
  <si>
    <t>65</t>
  </si>
  <si>
    <t>Md. Zillur Rahman Mollik</t>
  </si>
  <si>
    <t>66</t>
  </si>
  <si>
    <t>BS-20217511</t>
  </si>
  <si>
    <t>Mofizur Rahman</t>
  </si>
  <si>
    <t>01339-919294</t>
  </si>
  <si>
    <t>67</t>
  </si>
  <si>
    <t>BS-20217510</t>
  </si>
  <si>
    <t>Shahin Akter</t>
  </si>
  <si>
    <t>01817-775068</t>
  </si>
  <si>
    <t>68</t>
  </si>
  <si>
    <t>Md. Sohel Hossain</t>
  </si>
  <si>
    <t>69</t>
  </si>
  <si>
    <t>BS-20217543</t>
  </si>
  <si>
    <t>Md. Ariful Islam</t>
  </si>
  <si>
    <t>01738-654124</t>
  </si>
  <si>
    <t>8th EMI Paid(Part-10k)</t>
  </si>
  <si>
    <t>70</t>
  </si>
  <si>
    <t>71</t>
  </si>
  <si>
    <t>BS-20217952</t>
  </si>
  <si>
    <t>Md. Estiak Mahbub</t>
  </si>
  <si>
    <t>Mst. Rupali</t>
  </si>
  <si>
    <t>01334745588</t>
  </si>
  <si>
    <t>72</t>
  </si>
  <si>
    <t>BS-20217797</t>
  </si>
  <si>
    <t>Md Kamruzzaman</t>
  </si>
  <si>
    <t>+17034156029</t>
  </si>
  <si>
    <t>73</t>
  </si>
  <si>
    <t>BS-20217607</t>
  </si>
  <si>
    <t>Md. Muhasin Al Zaber</t>
  </si>
  <si>
    <t>01911-494846</t>
  </si>
  <si>
    <t>74</t>
  </si>
  <si>
    <t>BS-20217544</t>
  </si>
  <si>
    <t>Md. Mustafa Kamal</t>
  </si>
  <si>
    <t>01913-680010</t>
  </si>
  <si>
    <t>75</t>
  </si>
  <si>
    <t>BS-20217545</t>
  </si>
  <si>
    <t>Muhammad Asaduzzaman</t>
  </si>
  <si>
    <t>01712-044391</t>
  </si>
  <si>
    <t>76</t>
  </si>
  <si>
    <t>BS-20217512</t>
  </si>
  <si>
    <t>Sabuj Barua</t>
  </si>
  <si>
    <t>01636-355540</t>
  </si>
  <si>
    <t>77</t>
  </si>
  <si>
    <t>BS-20217763</t>
  </si>
  <si>
    <t>Md. Yeasin Rasel</t>
  </si>
  <si>
    <t>Monira Akthar</t>
  </si>
  <si>
    <t>01818688606</t>
  </si>
  <si>
    <t>1st EMI
15-April-26</t>
  </si>
  <si>
    <t>78</t>
  </si>
  <si>
    <t>BS-20217546</t>
  </si>
  <si>
    <t>Md. Alamgir Miah</t>
  </si>
  <si>
    <t>01715-257261</t>
  </si>
  <si>
    <t>79</t>
  </si>
  <si>
    <t>Ananna Ahmed</t>
  </si>
  <si>
    <t>Md. Jiaul Haque</t>
  </si>
  <si>
    <t>80</t>
  </si>
  <si>
    <t>BS-20217530</t>
  </si>
  <si>
    <t>Dewan Mahbubur Rahman</t>
  </si>
  <si>
    <t>01762-049699</t>
  </si>
  <si>
    <t>81</t>
  </si>
  <si>
    <t>BM-2023976</t>
  </si>
  <si>
    <t>Md Shahriar Nadim Arafat</t>
  </si>
  <si>
    <t>01334-361623</t>
  </si>
  <si>
    <t>6rd EMI Paid</t>
  </si>
  <si>
    <t>82</t>
  </si>
  <si>
    <t>BS-20217666</t>
  </si>
  <si>
    <t>Syeda Jamila Mahmuda</t>
  </si>
  <si>
    <t>01892727117</t>
  </si>
  <si>
    <t>56th</t>
  </si>
  <si>
    <t>2nd DP 
30-july-26</t>
  </si>
  <si>
    <t>83</t>
  </si>
  <si>
    <t>Jakir Ahammed Noor</t>
  </si>
  <si>
    <t>Md. Rabiul Alam</t>
  </si>
  <si>
    <t>01754389435</t>
  </si>
  <si>
    <t>84</t>
  </si>
  <si>
    <t>Md. Jahid Hasan</t>
  </si>
  <si>
    <t>Tabaschum Sultana</t>
  </si>
  <si>
    <t>85</t>
  </si>
  <si>
    <t>BS-20217826</t>
  </si>
  <si>
    <t>Shahruf Bhuyan</t>
  </si>
  <si>
    <t>01795989844</t>
  </si>
  <si>
    <t>6th EMI Paid</t>
  </si>
  <si>
    <t>86</t>
  </si>
  <si>
    <t>Md Mizanur Rahman</t>
  </si>
  <si>
    <t>87</t>
  </si>
  <si>
    <t>BM-20231161</t>
  </si>
  <si>
    <t>Md Abdur Rashid</t>
  </si>
  <si>
    <t xml:space="preserve">BM </t>
  </si>
  <si>
    <t>88</t>
  </si>
  <si>
    <t>BS-20217964</t>
  </si>
  <si>
    <t>89</t>
  </si>
  <si>
    <t>BM-20231160</t>
  </si>
  <si>
    <t>Rita Khatun</t>
  </si>
  <si>
    <t>90</t>
  </si>
  <si>
    <t>BS-20218035</t>
  </si>
  <si>
    <t>Sadem Hossain</t>
  </si>
  <si>
    <t>01851112160</t>
  </si>
  <si>
    <t>93</t>
  </si>
  <si>
    <t>Md Fahad Hasan Oney</t>
  </si>
  <si>
    <t>Tahsana Nusrat Ananna</t>
  </si>
  <si>
    <t>94</t>
  </si>
  <si>
    <t>Md. Minhazul Abedin</t>
  </si>
  <si>
    <t>Md. Abu Bakar Siddiq</t>
  </si>
  <si>
    <t>1st DP 20-Feb-26</t>
  </si>
  <si>
    <t>95</t>
  </si>
  <si>
    <t>Md. Parvez Kamal</t>
  </si>
  <si>
    <t>Mohammad Aminul Islam Rubel</t>
  </si>
  <si>
    <t>01747174175</t>
  </si>
  <si>
    <t>96</t>
  </si>
  <si>
    <t>BM-20231030</t>
  </si>
  <si>
    <t>Md Uzzal Uddin Ahmmad</t>
  </si>
  <si>
    <t>01711662373</t>
  </si>
  <si>
    <t>Every June
30k</t>
  </si>
  <si>
    <t>97</t>
  </si>
  <si>
    <t>BS-20218334</t>
  </si>
  <si>
    <t>Mukta Dey</t>
  </si>
  <si>
    <t>01715995838</t>
  </si>
  <si>
    <t>98</t>
  </si>
  <si>
    <t>BS-20217992</t>
  </si>
  <si>
    <t>99</t>
  </si>
  <si>
    <t>BM-20231106</t>
  </si>
  <si>
    <t>Md Mariful Islam</t>
  </si>
  <si>
    <t>01626946461</t>
  </si>
  <si>
    <t>100</t>
  </si>
  <si>
    <t>BM-2023988</t>
  </si>
  <si>
    <t>01738654124</t>
  </si>
  <si>
    <t>101</t>
  </si>
  <si>
    <t>BS-20217718</t>
  </si>
  <si>
    <t>Farah Naz Rashid</t>
  </si>
  <si>
    <t>9179071184</t>
  </si>
  <si>
    <t>102</t>
  </si>
  <si>
    <t>BS-20217729</t>
  </si>
  <si>
    <t>Farjana Akter</t>
  </si>
  <si>
    <t>103</t>
  </si>
  <si>
    <t>BM-20231025</t>
  </si>
  <si>
    <t>Omar Sharif Arman</t>
  </si>
  <si>
    <t>Md Monir Hossan</t>
  </si>
  <si>
    <t>104</t>
  </si>
  <si>
    <t>BM-20231024</t>
  </si>
  <si>
    <t>Rozina Akter Rina</t>
  </si>
  <si>
    <t>105</t>
  </si>
  <si>
    <t>BM-20231159</t>
  </si>
  <si>
    <t>106</t>
  </si>
  <si>
    <t>PAC-286</t>
  </si>
  <si>
    <t>107</t>
  </si>
  <si>
    <t>BS-20218158</t>
  </si>
  <si>
    <t>Md. Safiqul Islam</t>
  </si>
  <si>
    <t>Sazzad Hossain</t>
  </si>
  <si>
    <t>At a time</t>
  </si>
  <si>
    <t>108</t>
  </si>
  <si>
    <t>BM-20231104</t>
  </si>
  <si>
    <t>Sourav Kundu</t>
  </si>
  <si>
    <t>Md. Jahangir Alam</t>
  </si>
  <si>
    <t>01712084457</t>
  </si>
  <si>
    <t>109</t>
  </si>
  <si>
    <t>Abdullah Al Mamun</t>
  </si>
  <si>
    <t>Md. Motiur Rahman</t>
  </si>
  <si>
    <t>110</t>
  </si>
  <si>
    <t>Md. Mehedi Hasan Taha</t>
  </si>
  <si>
    <t>This Client Are Not Interest To Our Project. He May Refund His Token Money.</t>
  </si>
  <si>
    <t>111</t>
  </si>
  <si>
    <t>BS-20217950</t>
  </si>
  <si>
    <t>Farjana Akter Purnima</t>
  </si>
  <si>
    <t>Mohammed Shah Alam</t>
  </si>
  <si>
    <t>Bs-20217852</t>
  </si>
  <si>
    <t>Nahida Akter</t>
  </si>
  <si>
    <t>01844915370</t>
  </si>
  <si>
    <t>1st EMI Due</t>
  </si>
  <si>
    <t>BM-20231105</t>
  </si>
  <si>
    <t>Jannatul Ferdaus</t>
  </si>
  <si>
    <t>Md. Matiur Rahman</t>
  </si>
  <si>
    <t>01682306865</t>
  </si>
  <si>
    <t>Down Payment Done</t>
  </si>
  <si>
    <t>BM-20231144</t>
  </si>
  <si>
    <t>Hosne Ara</t>
  </si>
  <si>
    <t>BS-20217951</t>
  </si>
  <si>
    <t>Shahnaz Begum</t>
  </si>
  <si>
    <t>Sabina Yeasmin</t>
  </si>
  <si>
    <t>Mohahmmad Noman Prodhania</t>
  </si>
  <si>
    <t>BB-20202618</t>
  </si>
  <si>
    <t>Md. Helal Uddin</t>
  </si>
  <si>
    <t>01721672185</t>
  </si>
  <si>
    <t>BB</t>
  </si>
  <si>
    <t>BS-20217850</t>
  </si>
  <si>
    <t>KM Monirul Bin Islam</t>
  </si>
  <si>
    <t>01817538373</t>
  </si>
  <si>
    <t>Md Aslam Uddin</t>
  </si>
  <si>
    <t>BM-20231107</t>
  </si>
  <si>
    <t>Lipika Tasnim</t>
  </si>
  <si>
    <t>01818232852</t>
  </si>
  <si>
    <t>Bookig Done</t>
  </si>
  <si>
    <t>BS-20217851</t>
  </si>
  <si>
    <t>Md. Sohel Ahmed</t>
  </si>
  <si>
    <t>01914815690</t>
  </si>
  <si>
    <t>BM-2023103</t>
  </si>
  <si>
    <t>Md Delwar Hossain</t>
  </si>
  <si>
    <t>01711222097</t>
  </si>
  <si>
    <t>BM-20231102</t>
  </si>
  <si>
    <t>Romana Haque</t>
  </si>
  <si>
    <t>01315550779</t>
  </si>
  <si>
    <t>BS-20217849</t>
  </si>
  <si>
    <t>Minhaz Mohammed Ratul</t>
  </si>
  <si>
    <t>Mobarok Hosen Khan Kamol</t>
  </si>
  <si>
    <t>01611381056</t>
  </si>
  <si>
    <t>Jannatul Ferdous</t>
  </si>
  <si>
    <t>Nasrullah Sami</t>
  </si>
  <si>
    <t>BM-20231276</t>
  </si>
  <si>
    <t>Priatosh Deb Nath</t>
  </si>
  <si>
    <t>01811-901281</t>
  </si>
  <si>
    <t>BS-20217853</t>
  </si>
  <si>
    <t>Talukder Md Emam Hossain</t>
  </si>
  <si>
    <t>PAC-288</t>
  </si>
  <si>
    <t>Abdul Rashid</t>
  </si>
  <si>
    <t>01710854370</t>
  </si>
  <si>
    <t>BS-20217988</t>
  </si>
  <si>
    <t>Md Fazly Rabby</t>
  </si>
  <si>
    <t>01962400179</t>
  </si>
  <si>
    <t>BS-20217989</t>
  </si>
  <si>
    <t>Mahabbat Ali</t>
  </si>
  <si>
    <t>01714479577</t>
  </si>
  <si>
    <t>BS-20217991</t>
  </si>
  <si>
    <t>Md Wazedul Islam</t>
  </si>
  <si>
    <t>01962424178</t>
  </si>
  <si>
    <t>BS-20218037</t>
  </si>
  <si>
    <t>Noorjahan Lipi</t>
  </si>
  <si>
    <t>01680-900290</t>
  </si>
  <si>
    <t>10,00,000</t>
  </si>
  <si>
    <t>Md Asadur Rahman</t>
  </si>
  <si>
    <t>BB-20202607</t>
  </si>
  <si>
    <t>Saiful Islam</t>
  </si>
  <si>
    <t>01673319513</t>
  </si>
  <si>
    <t>Aftab Uddin Ahmed Ratan</t>
  </si>
  <si>
    <t>Mohammad Rayhan Gafur</t>
  </si>
  <si>
    <t>Md Harun Or Rashid</t>
  </si>
  <si>
    <t>BM-20231323</t>
  </si>
  <si>
    <t>01962-424178</t>
  </si>
  <si>
    <t>Sultana Rizia</t>
  </si>
  <si>
    <t>Abdul Latif</t>
  </si>
  <si>
    <t>BS-20217990</t>
  </si>
  <si>
    <t>Md Bellal Hossain</t>
  </si>
  <si>
    <t>01819-192253</t>
  </si>
  <si>
    <t>Jenat Jahan Bhuiyan</t>
  </si>
  <si>
    <t>Khokon</t>
  </si>
  <si>
    <t>Abu Sayam Bhuiyan</t>
  </si>
  <si>
    <t>Md Nazmul Haque</t>
  </si>
  <si>
    <t>Ryhana Sultana</t>
  </si>
  <si>
    <t>Rashak Ahmed Rahid And Rownok Ahmed Rashid</t>
  </si>
  <si>
    <t>BM-20231225</t>
  </si>
  <si>
    <t>Afsar Uddin</t>
  </si>
  <si>
    <t>Rokeya Begum</t>
  </si>
  <si>
    <t>01817-575009</t>
  </si>
  <si>
    <t>Imteaz</t>
  </si>
  <si>
    <t>Md Anisur Rahman</t>
  </si>
  <si>
    <t>Mst. Irin Rahman</t>
  </si>
  <si>
    <t>Naimul Hasan</t>
  </si>
  <si>
    <t>Md. Akhlaqur Rahman</t>
  </si>
  <si>
    <t>01711441930</t>
  </si>
  <si>
    <t>Mr. Abdul Hakim</t>
  </si>
  <si>
    <t>BM-20231568</t>
  </si>
  <si>
    <t>Mumtahina Ahmed Ria</t>
  </si>
  <si>
    <t>01305608951</t>
  </si>
  <si>
    <t>Masud Shahriar</t>
  </si>
  <si>
    <t>Hasibul Alam Nipun</t>
  </si>
  <si>
    <t>01715567935</t>
  </si>
  <si>
    <t>At A Time</t>
  </si>
  <si>
    <t>S.M. Asif</t>
  </si>
  <si>
    <t>Mst. Sharmin Akter Nabila</t>
  </si>
  <si>
    <t>Anika Ibnat Anamika</t>
  </si>
  <si>
    <t>Shahey Imran Khan</t>
  </si>
  <si>
    <t>S.M Belal</t>
  </si>
  <si>
    <t>AKM Nurul Amin Babul</t>
  </si>
  <si>
    <t>Rezaul Karim Ripon</t>
  </si>
  <si>
    <t>Md Jahirul Islam</t>
  </si>
  <si>
    <t>BS-20218226</t>
  </si>
  <si>
    <t>Shahidul Islam</t>
  </si>
  <si>
    <t>01827780824</t>
  </si>
  <si>
    <t>BS-20218152</t>
  </si>
  <si>
    <t>Md Shahadat Husen</t>
  </si>
  <si>
    <t>01912-679629</t>
  </si>
  <si>
    <t>Mst. Sultana Akter</t>
  </si>
  <si>
    <t>BM-20231432</t>
  </si>
  <si>
    <t>Md Ismail Hossain</t>
  </si>
  <si>
    <t>01713626958</t>
  </si>
  <si>
    <t>Hridoy Kumar Das</t>
  </si>
  <si>
    <t>Md Washi Ur Rahman</t>
  </si>
  <si>
    <t>Nazmul Hossain</t>
  </si>
  <si>
    <t>Md. Shfiqur Rahman</t>
  </si>
  <si>
    <t>MafiJul Islam</t>
  </si>
  <si>
    <t>KTC</t>
  </si>
  <si>
    <t>Afroza Yeasmin Rumi</t>
  </si>
  <si>
    <t>MD. Mosiur Rahman</t>
  </si>
  <si>
    <t>Mst. Marufa Parvin</t>
  </si>
  <si>
    <t>BM-20231360</t>
  </si>
  <si>
    <t>01762049699</t>
  </si>
  <si>
    <t>Kulsuma Akter</t>
  </si>
  <si>
    <t>Md. Foyez Ullah</t>
  </si>
  <si>
    <t>Md Abdul Haque</t>
  </si>
  <si>
    <t>BM-20231407</t>
  </si>
  <si>
    <t>Latifur Rahman</t>
  </si>
  <si>
    <t>01912250273</t>
  </si>
  <si>
    <t>1st EMI Start Will Be 10-Oct-26</t>
  </si>
  <si>
    <t>Hafiza Khanam</t>
  </si>
  <si>
    <t>Nabil Ahmmed</t>
  </si>
  <si>
    <t>Md. Sheikh Kamal Patwary</t>
  </si>
  <si>
    <t>Ummey Kulsum</t>
  </si>
  <si>
    <t>BS-20218210</t>
  </si>
  <si>
    <t>Tanver Hossain</t>
  </si>
  <si>
    <t>Al-Mamun</t>
  </si>
  <si>
    <t>Sayed Mashuk Ahmed</t>
  </si>
  <si>
    <t>BS-20217349</t>
  </si>
  <si>
    <t>Umme Habiba Prerona</t>
  </si>
  <si>
    <t>Naimur Rahman Zidan</t>
  </si>
  <si>
    <t>Moha. Sheikh Sadi</t>
  </si>
  <si>
    <t>BS-20218209</t>
  </si>
  <si>
    <t>Md Mahfujur Rahman</t>
  </si>
  <si>
    <t>01718076694</t>
  </si>
  <si>
    <t>Mahammad Majharul Islam</t>
  </si>
  <si>
    <t>PAC-314</t>
  </si>
  <si>
    <t>Mst Dilara Afroz</t>
  </si>
  <si>
    <t>01711363827</t>
  </si>
  <si>
    <t>PAC-313</t>
  </si>
  <si>
    <t>Sultana Begum</t>
  </si>
  <si>
    <t>01727207520</t>
  </si>
  <si>
    <t>2ndEMI Paid</t>
  </si>
  <si>
    <t>Maria Akter Mim</t>
  </si>
  <si>
    <t>Md Taherul Islam</t>
  </si>
  <si>
    <t>BS-20218300</t>
  </si>
  <si>
    <t>Jakia Sultana</t>
  </si>
  <si>
    <t>BS-20218420</t>
  </si>
  <si>
    <t>Naymul Islam</t>
  </si>
  <si>
    <t>01601102221</t>
  </si>
  <si>
    <t>1st EMI Start Will Be 15-Nov-26</t>
  </si>
  <si>
    <t>PAC-309</t>
  </si>
  <si>
    <t>01680-997892</t>
  </si>
  <si>
    <t>Thos Date (20-Sep-26 &amp;  20-Oct-26 ) Client Will Pay 200,000 &amp; 100,000 .</t>
  </si>
  <si>
    <t>Md. Hamunur Rashid &amp; Monir</t>
  </si>
  <si>
    <t>Saidul Islam</t>
  </si>
  <si>
    <t>BS- 20218357</t>
  </si>
  <si>
    <t>Fatema Raka</t>
  </si>
  <si>
    <t>01712647954</t>
  </si>
  <si>
    <t>BM-20231431</t>
  </si>
  <si>
    <t>Touhidul Islam</t>
  </si>
  <si>
    <t>Md Raihan Chowdhury</t>
  </si>
  <si>
    <t>EMI Will Be Start</t>
  </si>
  <si>
    <t>BM-20231061</t>
  </si>
  <si>
    <t>Abu Zafar Mohammad Shamsl Huda</t>
  </si>
  <si>
    <t>01711907050</t>
  </si>
  <si>
    <t>1st &amp; 2nd EMI Paid</t>
  </si>
  <si>
    <t>BS- 20217252</t>
  </si>
  <si>
    <t>BB-20202579</t>
  </si>
  <si>
    <t>BM-20231100</t>
  </si>
  <si>
    <t>Kazi Fauzul Azim</t>
  </si>
  <si>
    <t>01918202806</t>
  </si>
  <si>
    <t>BS-20217251</t>
  </si>
  <si>
    <t>BB-20202580</t>
  </si>
  <si>
    <t>Nurul Islam Ripon</t>
  </si>
  <si>
    <t>Md Nayeem Chowdhury</t>
  </si>
  <si>
    <t>BS-20207683</t>
  </si>
  <si>
    <t>Md Mahfuzur Rahman</t>
  </si>
  <si>
    <t>‌01750000847</t>
  </si>
  <si>
    <t>BS-20216913</t>
  </si>
  <si>
    <t>Abdul Barek</t>
  </si>
  <si>
    <t>1781908556</t>
  </si>
  <si>
    <t>BS-20217214</t>
  </si>
  <si>
    <t>Tanbir Hossain</t>
  </si>
  <si>
    <t>BS-20218449</t>
  </si>
  <si>
    <t>Meherun Nessa</t>
  </si>
  <si>
    <t>Fowzia Mostafa</t>
  </si>
  <si>
    <t>BS-20217029</t>
  </si>
  <si>
    <t>Mst Rahima Akter</t>
  </si>
  <si>
    <t>BS-20217080</t>
  </si>
  <si>
    <t>Muhammad Arifur Rahamn</t>
  </si>
  <si>
    <t>Mohammad Hasan Ali</t>
  </si>
  <si>
    <t>BM-2023987</t>
  </si>
  <si>
    <t>Md Ziaul Hoque</t>
  </si>
  <si>
    <t>5th EMI Part Paid</t>
  </si>
  <si>
    <t>Mohammad Majharul Islam</t>
  </si>
  <si>
    <t>BS-20218421</t>
  </si>
  <si>
    <t>Md Wabaydul Islam</t>
  </si>
  <si>
    <t>01715996959</t>
  </si>
  <si>
    <t>BM-20231473</t>
  </si>
  <si>
    <t>SK. Mosaddek Hossain</t>
  </si>
  <si>
    <t>01733550087</t>
  </si>
  <si>
    <t>Farjana Tanjila</t>
  </si>
  <si>
    <t>BM-20231472</t>
  </si>
  <si>
    <t>Sattyajit Saha</t>
  </si>
  <si>
    <t>01887571043</t>
  </si>
  <si>
    <t>Tayiba Binta Samad</t>
  </si>
  <si>
    <t>Sheikh Jalal Uddin Ahmed Munna</t>
  </si>
  <si>
    <t>PAC-317</t>
  </si>
  <si>
    <t>Md Jahangir Alam &amp; Tuhin Perveen Sumi</t>
  </si>
  <si>
    <t>BS-20218521</t>
  </si>
  <si>
    <t xml:space="preserve">Abrarul Haque Emon </t>
  </si>
  <si>
    <t>Md Anwar Hossain</t>
  </si>
  <si>
    <t>01818833289</t>
  </si>
  <si>
    <t>BS-20218448</t>
  </si>
  <si>
    <t>Md Selim Hossein</t>
  </si>
  <si>
    <t>01929622742</t>
  </si>
  <si>
    <t>Md Hasibul Alam Nipun</t>
  </si>
  <si>
    <t>Masum Ahmmed</t>
  </si>
  <si>
    <t>Tanvir Ahmed Siddiqui</t>
  </si>
  <si>
    <t>Mrs Touhida Khatun</t>
  </si>
  <si>
    <t>BS-20218457</t>
  </si>
  <si>
    <t>Shahjalal</t>
  </si>
  <si>
    <t>01711264265</t>
  </si>
  <si>
    <t>BS-20218456</t>
  </si>
  <si>
    <t>Ariful Rahman</t>
  </si>
  <si>
    <t>Abu Faysal Ahmed</t>
  </si>
  <si>
    <t>Dr Taopsh Kumar Das</t>
  </si>
  <si>
    <t>BM-20231532</t>
  </si>
  <si>
    <t>Md Saful Islam Akhand</t>
  </si>
  <si>
    <t>Mohammad Jahangir Hossain</t>
  </si>
  <si>
    <t>Md Sharif Shamsur Rahaman</t>
  </si>
  <si>
    <t>BS-20218536</t>
  </si>
  <si>
    <t>Mohammad Nuail Ahmed</t>
  </si>
  <si>
    <t>01760500558</t>
  </si>
  <si>
    <t>Afreen Azhari</t>
  </si>
  <si>
    <t>Syead Taslima E Khoda</t>
  </si>
  <si>
    <t>BS-20216270</t>
  </si>
  <si>
    <t>16th EMI Paid</t>
  </si>
  <si>
    <t>BS-20216436</t>
  </si>
  <si>
    <t>15th EMI Paid</t>
  </si>
  <si>
    <t>Zohurul Haque Babu</t>
  </si>
  <si>
    <t>01819284490</t>
  </si>
  <si>
    <t>Sangida Islam Kanij &amp; Nur E Jannat</t>
  </si>
  <si>
    <t>BS-20218402</t>
  </si>
  <si>
    <t>Amena Begum</t>
  </si>
  <si>
    <t>PAC-273</t>
  </si>
  <si>
    <t>17th EMI Part Paid</t>
  </si>
  <si>
    <t>Mohammad Rakib Hossain</t>
  </si>
  <si>
    <t>Abul Hossain</t>
  </si>
  <si>
    <t>BB-2020223</t>
  </si>
  <si>
    <t>25th EMI Paid</t>
  </si>
  <si>
    <t>BB-2020224</t>
  </si>
  <si>
    <t>Sheikh Mohammad Nasir</t>
  </si>
  <si>
    <t>BS-2021905</t>
  </si>
  <si>
    <t>Umme Habiba Sonya</t>
  </si>
  <si>
    <t>52nd EMI Paid</t>
  </si>
  <si>
    <t>BS-2021906</t>
  </si>
  <si>
    <t>BS-2021907</t>
  </si>
  <si>
    <t>BS-2021908</t>
  </si>
  <si>
    <t>Md Mamun Munshi</t>
  </si>
  <si>
    <t>BS-2021909</t>
  </si>
  <si>
    <t>H M Salahuddin</t>
  </si>
  <si>
    <t>BS-20217468</t>
  </si>
  <si>
    <t>Sadia Afreen</t>
  </si>
  <si>
    <t>BS-20217651</t>
  </si>
  <si>
    <t>Mazibar Rahman Howlader</t>
  </si>
  <si>
    <t>Musfiqur Rahman Mahi</t>
  </si>
  <si>
    <t>01340243754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</si>
</sst>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[$-409]dd\-mmm\-yy"/>
    <numFmt numFmtId="166" formatCode="[$-409]d\-mmm\-yy"/>
    <numFmt numFmtId="167" formatCode="d-mmmm-yy"/>
  </numFmts>
  <fonts count="25">
    <font>
      <sz val="11.0"/>
      <color theme="1"/>
      <name val="Calibri"/>
      <scheme val="minor"/>
    </font>
    <font>
      <sz val="11.0"/>
      <color theme="1"/>
      <name val="Times New Roman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u/>
      <sz val="12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u/>
      <sz val="13.0"/>
      <color theme="1"/>
      <name val="Times New Roman"/>
    </font>
    <font>
      <sz val="9.0"/>
      <color theme="1"/>
      <name val="Times New Roman"/>
    </font>
    <font>
      <b/>
      <sz val="9.0"/>
      <color theme="1"/>
      <name val="Times New Roman"/>
    </font>
    <font>
      <sz val="8.0"/>
      <color theme="1"/>
      <name val="Times New Roman"/>
    </font>
    <font>
      <b/>
      <sz val="8.0"/>
      <color theme="1"/>
      <name val="Times New Roman"/>
    </font>
    <font>
      <sz val="8.0"/>
      <color rgb="FF000000"/>
      <name val="Times New Roman"/>
    </font>
    <font>
      <sz val="9.0"/>
      <color rgb="FF000000"/>
      <name val="Times New Roman"/>
    </font>
    <font>
      <sz val="8.0"/>
      <color theme="1"/>
      <name val="Calibri"/>
      <scheme val="minor"/>
    </font>
    <font>
      <b/>
      <sz val="9.0"/>
      <color rgb="FF000000"/>
      <name val="Times New Roman"/>
    </font>
    <font>
      <b/>
      <sz val="10.0"/>
      <color rgb="FF000000"/>
      <name val="&quot;Times New Roman&quot;"/>
    </font>
    <font>
      <sz val="11.0"/>
      <color theme="1"/>
      <name val="Calibri"/>
    </font>
    <font>
      <b/>
      <sz val="9.0"/>
      <color rgb="FF000000"/>
      <name val="&quot;Times New Roman&quot;"/>
    </font>
    <font>
      <sz val="13.0"/>
      <color theme="1"/>
      <name val="Times New Roman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Border="1" applyFill="1" applyFont="1" applyNumberFormat="1"/>
    <xf borderId="1" fillId="2" fontId="1" numFmtId="0" xfId="0" applyBorder="1" applyFill="1" applyFont="1"/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 readingOrder="0"/>
    </xf>
    <xf borderId="5" fillId="3" fontId="6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center" shrinkToFit="0" vertical="center" wrapText="1"/>
    </xf>
    <xf borderId="5" fillId="3" fontId="8" numFmtId="49" xfId="0" applyAlignment="1" applyBorder="1" applyFill="1" applyFont="1" applyNumberFormat="1">
      <alignment horizontal="center" shrinkToFit="0" vertical="center" wrapText="1"/>
    </xf>
    <xf borderId="5" fillId="3" fontId="9" numFmtId="0" xfId="0" applyAlignment="1" applyBorder="1" applyFill="1" applyFont="1">
      <alignment horizontal="left" shrinkToFit="0" vertical="center" wrapText="1"/>
    </xf>
    <xf borderId="6" fillId="3" fontId="10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1" fillId="2" fontId="11" numFmtId="0" xfId="0" applyAlignment="1" applyBorder="1" applyFill="1" applyFont="1">
      <alignment horizontal="center" vertical="center"/>
    </xf>
    <xf quotePrefix="1" borderId="5" fillId="2" fontId="12" numFmtId="0" xfId="0" applyAlignment="1" applyBorder="1" applyFill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2" numFmtId="0" xfId="0" applyAlignment="1" applyBorder="1" applyFont="1">
      <alignment shrinkToFit="0" vertical="center" wrapText="1"/>
    </xf>
    <xf quotePrefix="1" borderId="5" fillId="4" fontId="14" numFmtId="49" xfId="0" applyAlignment="1" applyBorder="1" applyFill="1" applyFont="1" applyNumberFormat="1">
      <alignment horizontal="center" vertical="center"/>
    </xf>
    <xf borderId="8" fillId="2" fontId="14" numFmtId="0" xfId="0" applyAlignment="1" applyBorder="1" applyFill="1" applyFont="1">
      <alignment horizontal="center" vertical="center"/>
    </xf>
    <xf borderId="5" fillId="0" fontId="15" numFmtId="164" xfId="0" applyAlignment="1" applyBorder="1" applyFont="1" applyNumberFormat="1">
      <alignment horizontal="left" vertical="center"/>
    </xf>
    <xf borderId="5" fillId="0" fontId="15" numFmtId="164" xfId="0" applyAlignment="1" applyBorder="1" applyFont="1" applyNumberFormat="1">
      <alignment horizontal="center" vertical="center"/>
    </xf>
    <xf borderId="5" fillId="0" fontId="14" numFmtId="165" xfId="0" applyAlignment="1" applyBorder="1" applyFont="1" applyNumberFormat="1">
      <alignment horizontal="right" vertical="center"/>
    </xf>
    <xf borderId="5" fillId="0" fontId="15" numFmtId="164" xfId="0" applyAlignment="1" applyBorder="1" applyFont="1" applyNumberFormat="1">
      <alignment horizontal="right" vertical="center"/>
    </xf>
    <xf borderId="5" fillId="0" fontId="14" numFmtId="166" xfId="0" applyAlignment="1" applyBorder="1" applyFont="1" applyNumberFormat="1">
      <alignment horizontal="right" vertical="center"/>
    </xf>
    <xf borderId="5" fillId="5" fontId="14" numFmtId="166" xfId="0" applyAlignment="1" applyBorder="1" applyFill="1" applyFont="1" applyNumberFormat="1">
      <alignment horizontal="right" vertical="center"/>
    </xf>
    <xf borderId="5" fillId="5" fontId="15" numFmtId="164" xfId="0" applyAlignment="1" applyBorder="1" applyFill="1" applyFont="1" applyNumberFormat="1">
      <alignment horizontal="right" vertical="center"/>
    </xf>
    <xf borderId="5" fillId="0" fontId="14" numFmtId="14" xfId="0" applyAlignment="1" applyBorder="1" applyFont="1" applyNumberFormat="1">
      <alignment horizontal="right" vertical="center"/>
    </xf>
    <xf borderId="5" fillId="6" fontId="12" numFmtId="0" xfId="0" applyAlignment="1" applyBorder="1" applyFill="1" applyFont="1">
      <alignment shrinkToFit="0" vertical="center" wrapText="1"/>
    </xf>
    <xf quotePrefix="1" borderId="5" fillId="2" fontId="14" numFmtId="49" xfId="0" applyAlignment="1" applyBorder="1" applyFill="1" applyFont="1" applyNumberFormat="1">
      <alignment horizontal="center" vertical="center"/>
    </xf>
    <xf borderId="5" fillId="7" fontId="15" numFmtId="164" xfId="0" applyAlignment="1" applyBorder="1" applyFill="1" applyFont="1" applyNumberFormat="1">
      <alignment horizontal="right" vertical="center"/>
    </xf>
    <xf borderId="5" fillId="7" fontId="14" numFmtId="166" xfId="0" applyAlignment="1" applyBorder="1" applyFill="1" applyFont="1" applyNumberFormat="1">
      <alignment horizontal="right" vertical="center"/>
    </xf>
    <xf borderId="5" fillId="2" fontId="14" numFmtId="0" xfId="0" applyAlignment="1" applyBorder="1" applyFill="1" applyFont="1">
      <alignment horizontal="center" vertical="center"/>
    </xf>
    <xf borderId="5" fillId="4" fontId="15" numFmtId="49" xfId="0" applyAlignment="1" applyBorder="1" applyFill="1" applyFont="1" applyNumberFormat="1">
      <alignment vertical="center"/>
    </xf>
    <xf borderId="5" fillId="7" fontId="14" numFmtId="0" xfId="0" applyAlignment="1" applyBorder="1" applyFill="1" applyFont="1">
      <alignment horizontal="center" vertical="center"/>
    </xf>
    <xf borderId="5" fillId="3" fontId="15" numFmtId="164" xfId="0" applyAlignment="1" applyBorder="1" applyFill="1" applyFont="1" applyNumberFormat="1">
      <alignment horizontal="right" vertical="center"/>
    </xf>
    <xf borderId="5" fillId="3" fontId="15" numFmtId="166" xfId="0" applyAlignment="1" applyBorder="1" applyFill="1" applyFont="1" applyNumberFormat="1">
      <alignment horizontal="right" vertical="center"/>
    </xf>
    <xf borderId="5" fillId="5" fontId="14" numFmtId="166" xfId="0" applyAlignment="1" applyBorder="1" applyFill="1" applyFont="1" applyNumberFormat="1">
      <alignment horizontal="right" readingOrder="0" vertical="center"/>
    </xf>
    <xf borderId="5" fillId="2" fontId="16" numFmtId="166" xfId="0" applyAlignment="1" applyBorder="1" applyFill="1" applyFont="1" applyNumberFormat="1">
      <alignment horizontal="right" readingOrder="1" vertical="center"/>
    </xf>
    <xf borderId="5" fillId="5" fontId="14" numFmtId="14" xfId="0" applyAlignment="1" applyBorder="1" applyFill="1" applyFont="1" applyNumberFormat="1">
      <alignment horizontal="right" shrinkToFit="0" vertical="center" wrapText="1"/>
    </xf>
    <xf borderId="9" fillId="5" fontId="15" numFmtId="164" xfId="0" applyAlignment="1" applyBorder="1" applyFill="1" applyFont="1" applyNumberFormat="1">
      <alignment horizontal="right" vertical="center"/>
    </xf>
    <xf borderId="5" fillId="2" fontId="14" numFmtId="0" xfId="0" applyAlignment="1" applyBorder="1" applyFill="1" applyFont="1">
      <alignment horizontal="center" readingOrder="0" vertical="center"/>
    </xf>
    <xf borderId="1" fillId="2" fontId="1" numFmtId="164" xfId="0" applyBorder="1" applyFill="1" applyFont="1" applyNumberFormat="1"/>
    <xf borderId="5" fillId="6" fontId="15" numFmtId="164" xfId="0" applyAlignment="1" applyBorder="1" applyFill="1" applyFont="1" applyNumberFormat="1">
      <alignment horizontal="right" vertical="center"/>
    </xf>
    <xf borderId="5" fillId="4" fontId="14" numFmtId="166" xfId="0" applyAlignment="1" applyBorder="1" applyFill="1" applyFont="1" applyNumberFormat="1">
      <alignment horizontal="right" vertical="center"/>
    </xf>
    <xf borderId="5" fillId="4" fontId="15" numFmtId="164" xfId="0" applyAlignment="1" applyBorder="1" applyFill="1" applyFont="1" applyNumberFormat="1">
      <alignment horizontal="right" vertical="center"/>
    </xf>
    <xf borderId="5" fillId="3" fontId="14" numFmtId="166" xfId="0" applyAlignment="1" applyBorder="1" applyFill="1" applyFont="1" applyNumberFormat="1">
      <alignment horizontal="right" vertical="center"/>
    </xf>
    <xf borderId="5" fillId="0" fontId="12" numFmtId="0" xfId="0" applyAlignment="1" applyBorder="1" applyFont="1">
      <alignment horizontal="left" shrinkToFit="0" vertical="center" wrapText="1"/>
    </xf>
    <xf borderId="5" fillId="8" fontId="12" numFmtId="0" xfId="0" applyAlignment="1" applyBorder="1" applyFill="1" applyFont="1">
      <alignment shrinkToFit="0" vertical="center" wrapText="1"/>
    </xf>
    <xf borderId="5" fillId="8" fontId="15" numFmtId="164" xfId="0" applyAlignment="1" applyBorder="1" applyFill="1" applyFont="1" applyNumberFormat="1">
      <alignment horizontal="right" vertical="center"/>
    </xf>
    <xf borderId="5" fillId="8" fontId="14" numFmtId="166" xfId="0" applyAlignment="1" applyBorder="1" applyFill="1" applyFont="1" applyNumberFormat="1">
      <alignment horizontal="right" vertical="center"/>
    </xf>
    <xf borderId="5" fillId="0" fontId="14" numFmtId="166" xfId="0" applyAlignment="1" applyBorder="1" applyFont="1" applyNumberFormat="1">
      <alignment horizontal="right" readingOrder="0" vertical="center"/>
    </xf>
    <xf borderId="5" fillId="0" fontId="14" numFmtId="166" xfId="0" applyAlignment="1" applyBorder="1" applyFont="1" applyNumberFormat="1">
      <alignment horizontal="right" readingOrder="1" vertical="center"/>
    </xf>
    <xf quotePrefix="1" borderId="5" fillId="5" fontId="14" numFmtId="14" xfId="0" applyAlignment="1" applyBorder="1" applyFill="1" applyFont="1" applyNumberFormat="1">
      <alignment horizontal="right" vertical="center"/>
    </xf>
    <xf quotePrefix="1" borderId="5" fillId="2" fontId="14" numFmtId="49" xfId="0" applyAlignment="1" applyBorder="1" applyFill="1" applyFont="1" applyNumberFormat="1">
      <alignment horizontal="center" readingOrder="0" vertical="center"/>
    </xf>
    <xf quotePrefix="1" borderId="5" fillId="2" fontId="14" numFmtId="0" xfId="0" applyAlignment="1" applyBorder="1" applyFill="1" applyFont="1">
      <alignment horizontal="center" readingOrder="0" vertical="center"/>
    </xf>
    <xf borderId="5" fillId="2" fontId="14" numFmtId="0" xfId="0" applyAlignment="1" applyBorder="1" applyFill="1" applyFont="1">
      <alignment horizontal="center" readingOrder="0" shrinkToFit="0" vertical="center" wrapText="1"/>
    </xf>
    <xf quotePrefix="1" borderId="5" fillId="5" fontId="14" numFmtId="14" xfId="0" applyAlignment="1" applyBorder="1" applyFill="1" applyFont="1" applyNumberForma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5" fillId="2" fontId="15" numFmtId="164" xfId="0" applyAlignment="1" applyBorder="1" applyFill="1" applyFont="1" applyNumberFormat="1">
      <alignment horizontal="right" vertical="center"/>
    </xf>
    <xf quotePrefix="1" borderId="5" fillId="5" fontId="15" numFmtId="166" xfId="0" applyAlignment="1" applyBorder="1" applyFill="1" applyFont="1" applyNumberFormat="1">
      <alignment horizontal="right" vertical="center"/>
    </xf>
    <xf borderId="5" fillId="3" fontId="14" numFmtId="0" xfId="0" applyAlignment="1" applyBorder="1" applyFill="1" applyFont="1">
      <alignment horizontal="center" vertical="center"/>
    </xf>
    <xf borderId="5" fillId="0" fontId="13" numFmtId="0" xfId="0" applyAlignment="1" applyBorder="1" applyFont="1">
      <alignment horizontal="center" shrinkToFit="0" vertical="center" wrapText="1"/>
    </xf>
    <xf borderId="5" fillId="7" fontId="12" numFmtId="0" xfId="0" applyAlignment="1" applyBorder="1" applyFill="1" applyFont="1">
      <alignment horizontal="left" shrinkToFit="0" vertical="center" wrapText="1"/>
    </xf>
    <xf borderId="5" fillId="0" fontId="14" numFmtId="15" xfId="0" applyAlignment="1" applyBorder="1" applyFont="1" applyNumberFormat="1">
      <alignment horizontal="right" readingOrder="1" vertical="center"/>
    </xf>
    <xf borderId="5" fillId="5" fontId="15" numFmtId="164" xfId="0" applyAlignment="1" applyBorder="1" applyFill="1" applyFont="1" applyNumberFormat="1">
      <alignment horizontal="right" readingOrder="0" vertical="center"/>
    </xf>
    <xf borderId="5" fillId="2" fontId="14" numFmtId="14" xfId="0" applyAlignment="1" applyBorder="1" applyFill="1" applyFont="1" applyNumberFormat="1">
      <alignment horizontal="right" vertical="center"/>
    </xf>
    <xf borderId="5" fillId="2" fontId="14" numFmtId="14" xfId="0" applyAlignment="1" applyBorder="1" applyFill="1" applyFont="1" applyNumberFormat="1">
      <alignment horizontal="center" vertical="center"/>
    </xf>
    <xf borderId="5" fillId="4" fontId="12" numFmtId="0" xfId="0" applyAlignment="1" applyBorder="1" applyFill="1" applyFont="1">
      <alignment horizontal="left" shrinkToFit="0" vertical="center" wrapText="1"/>
    </xf>
    <xf borderId="5" fillId="0" fontId="15" numFmtId="164" xfId="0" applyAlignment="1" applyBorder="1" applyFont="1" applyNumberFormat="1">
      <alignment horizontal="right" readingOrder="0" vertical="center"/>
    </xf>
    <xf borderId="5" fillId="4" fontId="14" numFmtId="166" xfId="0" applyAlignment="1" applyBorder="1" applyFill="1" applyFont="1" applyNumberFormat="1">
      <alignment horizontal="right" readingOrder="0" vertical="center"/>
    </xf>
    <xf borderId="5" fillId="0" fontId="17" numFmtId="166" xfId="0" applyAlignment="1" applyBorder="1" applyFont="1" applyNumberFormat="1">
      <alignment horizontal="right" readingOrder="1" vertical="center"/>
    </xf>
    <xf borderId="10" fillId="0" fontId="14" numFmtId="14" xfId="0" applyAlignment="1" applyBorder="1" applyFont="1" applyNumberFormat="1">
      <alignment horizontal="right" vertical="center"/>
    </xf>
    <xf borderId="10" fillId="0" fontId="15" numFmtId="164" xfId="0" applyAlignment="1" applyBorder="1" applyFont="1" applyNumberFormat="1">
      <alignment horizontal="right" vertical="center"/>
    </xf>
    <xf borderId="5" fillId="0" fontId="15" numFmtId="164" xfId="0" applyAlignment="1" applyBorder="1" applyFont="1" applyNumberFormat="1">
      <alignment vertical="center"/>
    </xf>
    <xf borderId="11" fillId="0" fontId="14" numFmtId="14" xfId="0" applyAlignment="1" applyBorder="1" applyFont="1" applyNumberFormat="1">
      <alignment horizontal="right" vertical="center"/>
    </xf>
    <xf borderId="6" fillId="0" fontId="14" numFmtId="166" xfId="0" applyAlignment="1" applyBorder="1" applyFont="1" applyNumberFormat="1">
      <alignment horizontal="right" vertical="center"/>
    </xf>
    <xf borderId="5" fillId="2" fontId="14" numFmtId="0" xfId="0" applyAlignment="1" applyBorder="1" applyFill="1" applyFont="1">
      <alignment horizontal="center" shrinkToFit="0" vertical="center" wrapText="1"/>
    </xf>
    <xf borderId="5" fillId="2" fontId="14" numFmtId="15" xfId="0" applyAlignment="1" applyBorder="1" applyFill="1" applyFont="1" applyNumberFormat="1">
      <alignment horizontal="right" vertical="center"/>
    </xf>
    <xf borderId="5" fillId="2" fontId="12" numFmtId="15" xfId="0" applyAlignment="1" applyBorder="1" applyFill="1" applyFont="1" applyNumberFormat="1">
      <alignment horizontal="center" vertical="center"/>
    </xf>
    <xf borderId="5" fillId="0" fontId="16" numFmtId="166" xfId="0" applyAlignment="1" applyBorder="1" applyFont="1" applyNumberFormat="1">
      <alignment horizontal="right" readingOrder="1" vertical="center"/>
    </xf>
    <xf borderId="5" fillId="3" fontId="15" numFmtId="0" xfId="0" applyAlignment="1" applyBorder="1" applyFill="1" applyFont="1">
      <alignment horizontal="right" vertical="center"/>
    </xf>
    <xf borderId="5" fillId="0" fontId="14" numFmtId="165" xfId="0" applyAlignment="1" applyBorder="1" applyFont="1" applyNumberFormat="1">
      <alignment horizontal="right" readingOrder="0" vertical="center"/>
    </xf>
    <xf borderId="5" fillId="4" fontId="14" numFmtId="165" xfId="0" applyAlignment="1" applyBorder="1" applyFill="1" applyFont="1" applyNumberFormat="1">
      <alignment horizontal="right" vertical="center"/>
    </xf>
    <xf quotePrefix="1" borderId="5" fillId="7" fontId="14" numFmtId="49" xfId="0" applyAlignment="1" applyBorder="1" applyFill="1" applyFont="1" applyNumberFormat="1">
      <alignment horizontal="center" vertical="center"/>
    </xf>
    <xf borderId="8" fillId="7" fontId="14" numFmtId="0" xfId="0" applyAlignment="1" applyBorder="1" applyFill="1" applyFont="1">
      <alignment horizontal="center" vertical="center"/>
    </xf>
    <xf borderId="5" fillId="7" fontId="15" numFmtId="164" xfId="0" applyAlignment="1" applyBorder="1" applyFill="1" applyFont="1" applyNumberFormat="1">
      <alignment horizontal="left" vertical="center"/>
    </xf>
    <xf borderId="5" fillId="7" fontId="15" numFmtId="164" xfId="0" applyAlignment="1" applyBorder="1" applyFill="1" applyFont="1" applyNumberFormat="1">
      <alignment horizontal="center" vertical="center"/>
    </xf>
    <xf borderId="5" fillId="7" fontId="14" numFmtId="165" xfId="0" applyAlignment="1" applyBorder="1" applyFill="1" applyFont="1" applyNumberFormat="1">
      <alignment horizontal="right" vertical="center"/>
    </xf>
    <xf borderId="5" fillId="7" fontId="14" numFmtId="14" xfId="0" applyAlignment="1" applyBorder="1" applyFill="1" applyFont="1" applyNumberFormat="1">
      <alignment horizontal="right" vertical="center"/>
    </xf>
    <xf borderId="5" fillId="3" fontId="15" numFmtId="164" xfId="0" applyAlignment="1" applyBorder="1" applyFill="1" applyFont="1" applyNumberFormat="1">
      <alignment vertical="center"/>
    </xf>
    <xf borderId="5" fillId="0" fontId="17" numFmtId="0" xfId="0" applyAlignment="1" applyBorder="1" applyFont="1">
      <alignment horizontal="left" readingOrder="1" shrinkToFit="0" vertical="center" wrapText="1"/>
    </xf>
    <xf quotePrefix="1" borderId="5" fillId="3" fontId="15" numFmtId="166" xfId="0" applyAlignment="1" applyBorder="1" applyFill="1" applyFont="1" applyNumberFormat="1">
      <alignment horizontal="right" vertical="center"/>
    </xf>
    <xf borderId="5" fillId="3" fontId="14" numFmtId="165" xfId="0" applyAlignment="1" applyBorder="1" applyFill="1" applyFont="1" applyNumberFormat="1">
      <alignment horizontal="right" vertical="center"/>
    </xf>
    <xf borderId="5" fillId="0" fontId="14" numFmtId="15" xfId="0" applyAlignment="1" applyBorder="1" applyFont="1" applyNumberFormat="1">
      <alignment horizontal="right" readingOrder="0" vertical="center"/>
    </xf>
    <xf borderId="11" fillId="0" fontId="15" numFmtId="164" xfId="0" applyAlignment="1" applyBorder="1" applyFont="1" applyNumberFormat="1">
      <alignment horizontal="right" vertical="center"/>
    </xf>
    <xf borderId="5" fillId="5" fontId="15" numFmtId="166" xfId="0" applyAlignment="1" applyBorder="1" applyFill="1" applyFont="1" applyNumberFormat="1">
      <alignment horizontal="right" vertical="center"/>
    </xf>
    <xf borderId="5" fillId="5" fontId="14" numFmtId="14" xfId="0" applyAlignment="1" applyBorder="1" applyFill="1" applyFont="1" applyNumberFormat="1">
      <alignment horizontal="right" vertical="center"/>
    </xf>
    <xf quotePrefix="1" borderId="5" fillId="5" fontId="14" numFmtId="14" xfId="0" applyAlignment="1" applyBorder="1" applyFill="1" applyFont="1" applyNumberFormat="1">
      <alignment horizontal="center" shrinkToFit="0" vertical="center" wrapText="1"/>
    </xf>
    <xf quotePrefix="1" borderId="5" fillId="0" fontId="14" numFmtId="165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quotePrefix="1" borderId="5" fillId="2" fontId="14" numFmtId="49" xfId="0" applyAlignment="1" applyBorder="1" applyFill="1" applyFont="1" applyNumberFormat="1">
      <alignment horizontal="center" shrinkToFit="0" vertical="center" wrapText="1"/>
    </xf>
    <xf borderId="5" fillId="5" fontId="14" numFmtId="14" xfId="0" applyAlignment="1" applyBorder="1" applyFill="1" applyFont="1" applyNumberFormat="1">
      <alignment horizontal="center" vertical="center"/>
    </xf>
    <xf borderId="5" fillId="2" fontId="12" numFmtId="0" xfId="0" applyAlignment="1" applyBorder="1" applyFill="1" applyFont="1">
      <alignment horizontal="left" shrinkToFit="0" vertical="center" wrapText="1"/>
    </xf>
    <xf borderId="9" fillId="5" fontId="15" numFmtId="164" xfId="0" applyAlignment="1" applyBorder="1" applyFill="1" applyFont="1" applyNumberFormat="1">
      <alignment horizontal="center" shrinkToFit="0" vertical="center" wrapText="1"/>
    </xf>
    <xf borderId="5" fillId="3" fontId="15" numFmtId="164" xfId="0" applyAlignment="1" applyBorder="1" applyFill="1" applyFont="1" applyNumberFormat="1">
      <alignment horizontal="right" readingOrder="0" vertical="center"/>
    </xf>
    <xf borderId="5" fillId="5" fontId="15" numFmtId="166" xfId="0" applyAlignment="1" applyBorder="1" applyFill="1" applyFont="1" applyNumberFormat="1">
      <alignment horizontal="right" readingOrder="0" vertical="center"/>
    </xf>
    <xf borderId="5" fillId="5" fontId="14" numFmtId="0" xfId="0" applyAlignment="1" applyBorder="1" applyFill="1" applyFont="1">
      <alignment horizontal="right" readingOrder="0" shrinkToFit="0" vertical="center" wrapText="1"/>
    </xf>
    <xf borderId="9" fillId="5" fontId="15" numFmtId="164" xfId="0" applyAlignment="1" applyBorder="1" applyFill="1" applyFont="1" applyNumberFormat="1">
      <alignment horizontal="right" readingOrder="0" vertical="center"/>
    </xf>
    <xf borderId="5" fillId="0" fontId="16" numFmtId="15" xfId="0" applyAlignment="1" applyBorder="1" applyFont="1" applyNumberFormat="1">
      <alignment horizontal="right" readingOrder="1" vertical="center"/>
    </xf>
    <xf borderId="5" fillId="4" fontId="15" numFmtId="164" xfId="0" applyAlignment="1" applyBorder="1" applyFill="1" applyFont="1" applyNumberFormat="1">
      <alignment vertical="center"/>
    </xf>
    <xf borderId="5" fillId="4" fontId="15" numFmtId="166" xfId="0" applyAlignment="1" applyBorder="1" applyFill="1" applyFont="1" applyNumberFormat="1">
      <alignment horizontal="right" vertical="center"/>
    </xf>
    <xf borderId="5" fillId="0" fontId="14" numFmtId="0" xfId="0" applyAlignment="1" applyBorder="1" applyFont="1">
      <alignment horizontal="center" vertical="center"/>
    </xf>
    <xf borderId="5" fillId="2" fontId="12" numFmtId="0" xfId="0" applyAlignment="1" applyBorder="1" applyFill="1" applyFont="1">
      <alignment horizontal="center" vertical="center"/>
    </xf>
    <xf quotePrefix="1" borderId="5" fillId="0" fontId="14" numFmtId="49" xfId="0" applyAlignment="1" applyBorder="1" applyFont="1" applyNumberFormat="1">
      <alignment horizontal="center" vertical="center"/>
    </xf>
    <xf borderId="7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readingOrder="0" shrinkToFit="0" vertical="center" wrapText="1"/>
    </xf>
    <xf borderId="5" fillId="2" fontId="14" numFmtId="166" xfId="0" applyAlignment="1" applyBorder="1" applyFill="1" applyFont="1" applyNumberFormat="1">
      <alignment horizontal="right" readingOrder="1" vertical="center"/>
    </xf>
    <xf borderId="5" fillId="0" fontId="15" numFmtId="166" xfId="0" applyAlignment="1" applyBorder="1" applyFont="1" applyNumberFormat="1">
      <alignment horizontal="right" vertical="center"/>
    </xf>
    <xf borderId="5" fillId="0" fontId="14" numFmtId="49" xfId="0" applyAlignment="1" applyBorder="1" applyFont="1" applyNumberFormat="1">
      <alignment horizontal="center" vertical="center"/>
    </xf>
    <xf quotePrefix="1" borderId="11" fillId="0" fontId="14" numFmtId="49" xfId="0" applyAlignment="1" applyBorder="1" applyFont="1" applyNumberFormat="1">
      <alignment horizontal="center" vertical="center"/>
    </xf>
    <xf borderId="12" fillId="2" fontId="14" numFmtId="0" xfId="0" applyAlignment="1" applyBorder="1" applyFill="1" applyFont="1">
      <alignment horizontal="center" vertical="center"/>
    </xf>
    <xf borderId="11" fillId="0" fontId="15" numFmtId="164" xfId="0" applyAlignment="1" applyBorder="1" applyFont="1" applyNumberFormat="1">
      <alignment horizontal="left" vertical="center"/>
    </xf>
    <xf borderId="11" fillId="0" fontId="15" numFmtId="164" xfId="0" applyAlignment="1" applyBorder="1" applyFont="1" applyNumberFormat="1">
      <alignment horizontal="center" vertical="center"/>
    </xf>
    <xf borderId="13" fillId="4" fontId="12" numFmtId="0" xfId="0" applyAlignment="1" applyBorder="1" applyFill="1" applyFont="1">
      <alignment horizontal="left" shrinkToFit="0" vertical="center" wrapText="1"/>
    </xf>
    <xf quotePrefix="1" borderId="5" fillId="0" fontId="14" numFmtId="49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vertical="center"/>
    </xf>
    <xf borderId="7" fillId="0" fontId="14" numFmtId="165" xfId="0" applyAlignment="1" applyBorder="1" applyFont="1" applyNumberFormat="1">
      <alignment horizontal="right" vertical="center"/>
    </xf>
    <xf borderId="5" fillId="5" fontId="15" numFmtId="0" xfId="0" applyAlignment="1" applyBorder="1" applyFill="1" applyFont="1">
      <alignment horizontal="right" vertical="center"/>
    </xf>
    <xf borderId="5" fillId="0" fontId="14" numFmtId="0" xfId="0" applyAlignment="1" applyBorder="1" applyFont="1">
      <alignment horizontal="center" readingOrder="0" vertical="center"/>
    </xf>
    <xf borderId="5" fillId="8" fontId="12" numFmtId="0" xfId="0" applyAlignment="1" applyBorder="1" applyFill="1" applyFont="1">
      <alignment horizontal="left" shrinkToFit="0" vertical="center" wrapText="1"/>
    </xf>
    <xf borderId="5" fillId="7" fontId="12" numFmtId="0" xfId="0" applyAlignment="1" applyBorder="1" applyFill="1" applyFont="1">
      <alignment horizontal="left" readingOrder="0" shrinkToFit="0" vertical="center" wrapText="1"/>
    </xf>
    <xf borderId="5" fillId="7" fontId="15" numFmtId="49" xfId="0" applyAlignment="1" applyBorder="1" applyFill="1" applyFont="1" applyNumberFormat="1">
      <alignment vertical="center"/>
    </xf>
    <xf borderId="5" fillId="7" fontId="15" numFmtId="164" xfId="0" applyAlignment="1" applyBorder="1" applyFill="1" applyFont="1" applyNumberFormat="1">
      <alignment horizontal="center" readingOrder="0" vertical="center"/>
    </xf>
    <xf borderId="5" fillId="7" fontId="17" numFmtId="166" xfId="0" applyAlignment="1" applyBorder="1" applyFill="1" applyFont="1" applyNumberFormat="1">
      <alignment horizontal="left" readingOrder="1" vertical="center"/>
    </xf>
    <xf borderId="5" fillId="7" fontId="15" numFmtId="164" xfId="0" applyAlignment="1" applyBorder="1" applyFill="1" applyFont="1" applyNumberFormat="1">
      <alignment vertical="center"/>
    </xf>
    <xf borderId="5" fillId="7" fontId="15" numFmtId="166" xfId="0" applyAlignment="1" applyBorder="1" applyFill="1" applyFont="1" applyNumberFormat="1">
      <alignment horizontal="right" vertical="center"/>
    </xf>
    <xf borderId="9" fillId="7" fontId="15" numFmtId="164" xfId="0" applyAlignment="1" applyBorder="1" applyFill="1" applyFont="1" applyNumberFormat="1">
      <alignment horizontal="right" vertical="center"/>
    </xf>
    <xf quotePrefix="1" borderId="5" fillId="5" fontId="14" numFmtId="14" xfId="0" applyAlignment="1" applyBorder="1" applyFill="1" applyFont="1" applyNumberFormat="1">
      <alignment horizontal="right" shrinkToFit="0" vertical="center" wrapText="1"/>
    </xf>
    <xf borderId="5" fillId="3" fontId="14" numFmtId="165" xfId="0" applyAlignment="1" applyBorder="1" applyFill="1" applyFont="1" applyNumberFormat="1">
      <alignment horizontal="right" readingOrder="0" vertical="center"/>
    </xf>
    <xf borderId="5" fillId="2" fontId="15" numFmtId="164" xfId="0" applyAlignment="1" applyBorder="1" applyFill="1" applyFont="1" applyNumberFormat="1">
      <alignment readingOrder="0" vertical="center"/>
    </xf>
    <xf borderId="5" fillId="0" fontId="14" numFmtId="166" xfId="0" applyAlignment="1" applyBorder="1" applyFont="1" applyNumberFormat="1">
      <alignment horizontal="center" readingOrder="1" vertical="center"/>
    </xf>
    <xf borderId="5" fillId="2" fontId="14" numFmtId="49" xfId="0" applyAlignment="1" applyBorder="1" applyFill="1" applyFont="1" applyNumberFormat="1">
      <alignment horizontal="center" vertical="center"/>
    </xf>
    <xf borderId="5" fillId="2" fontId="15" numFmtId="164" xfId="0" applyAlignment="1" applyBorder="1" applyFill="1" applyFont="1" applyNumberFormat="1">
      <alignment vertical="center"/>
    </xf>
    <xf borderId="9" fillId="5" fontId="13" numFmtId="164" xfId="0" applyAlignment="1" applyBorder="1" applyFill="1" applyFont="1" applyNumberFormat="1">
      <alignment horizontal="right" readingOrder="0" vertical="center"/>
    </xf>
    <xf borderId="5" fillId="2" fontId="17" numFmtId="0" xfId="0" applyAlignment="1" applyBorder="1" applyFill="1" applyFont="1">
      <alignment horizontal="left" readingOrder="1" shrinkToFit="0" vertical="center" wrapText="1"/>
    </xf>
    <xf borderId="5" fillId="0" fontId="14" numFmtId="165" xfId="0" applyAlignment="1" applyBorder="1" applyFont="1" applyNumberFormat="1">
      <alignment horizontal="left" shrinkToFit="0" vertical="center" wrapText="1"/>
    </xf>
    <xf borderId="5" fillId="0" fontId="15" numFmtId="164" xfId="0" applyAlignment="1" applyBorder="1" applyFont="1" applyNumberFormat="1">
      <alignment horizontal="center" readingOrder="0" vertical="center"/>
    </xf>
    <xf borderId="5" fillId="3" fontId="15" numFmtId="164" xfId="0" applyAlignment="1" applyBorder="1" applyFill="1" applyFont="1" applyNumberFormat="1">
      <alignment horizontal="center" readingOrder="0" vertical="center"/>
    </xf>
    <xf borderId="5" fillId="2" fontId="12" numFmtId="0" xfId="0" applyAlignment="1" applyBorder="1" applyFill="1" applyFont="1">
      <alignment horizontal="center" readingOrder="0" shrinkToFit="0" vertical="center" wrapText="1"/>
    </xf>
    <xf borderId="5" fillId="0" fontId="14" numFmtId="15" xfId="0" applyAlignment="1" applyBorder="1" applyFont="1" applyNumberFormat="1">
      <alignment horizontal="right" vertical="center"/>
    </xf>
    <xf borderId="5" fillId="3" fontId="15" numFmtId="0" xfId="0" applyAlignment="1" applyBorder="1" applyFill="1" applyFont="1">
      <alignment horizontal="center" vertical="center"/>
    </xf>
    <xf borderId="5" fillId="3" fontId="14" numFmtId="0" xfId="0" applyAlignment="1" applyBorder="1" applyFill="1" applyFont="1">
      <alignment horizontal="center" readingOrder="0" shrinkToFit="0" vertical="center" wrapText="1"/>
    </xf>
    <xf borderId="5" fillId="0" fontId="16" numFmtId="166" xfId="0" applyAlignment="1" applyBorder="1" applyFont="1" applyNumberFormat="1">
      <alignment horizontal="left" readingOrder="1" vertical="center"/>
    </xf>
    <xf borderId="5" fillId="3" fontId="15" numFmtId="164" xfId="0" applyAlignment="1" applyBorder="1" applyFill="1" applyFont="1" applyNumberFormat="1">
      <alignment readingOrder="0" vertical="center"/>
    </xf>
    <xf borderId="5" fillId="2" fontId="16" numFmtId="166" xfId="0" applyAlignment="1" applyBorder="1" applyFill="1" applyFont="1" applyNumberFormat="1">
      <alignment horizontal="center" readingOrder="1" vertical="center"/>
    </xf>
    <xf borderId="5" fillId="0" fontId="12" numFmtId="0" xfId="0" applyAlignment="1" applyBorder="1" applyFont="1">
      <alignment horizontal="left" readingOrder="1" shrinkToFit="0" vertical="center" wrapText="1"/>
    </xf>
    <xf borderId="8" fillId="2" fontId="15" numFmtId="0" xfId="0" applyAlignment="1" applyBorder="1" applyFill="1" applyFont="1">
      <alignment horizontal="center" vertical="center"/>
    </xf>
    <xf borderId="5" fillId="2" fontId="16" numFmtId="166" xfId="0" applyAlignment="1" applyBorder="1" applyFill="1" applyFont="1" applyNumberFormat="1">
      <alignment horizontal="left" readingOrder="1" vertical="center"/>
    </xf>
    <xf borderId="5" fillId="3" fontId="15" numFmtId="3" xfId="0" applyAlignment="1" applyBorder="1" applyFill="1" applyFont="1" applyNumberFormat="1">
      <alignment horizontal="right" vertical="center"/>
    </xf>
    <xf borderId="5" fillId="7" fontId="14" numFmtId="49" xfId="0" applyAlignment="1" applyBorder="1" applyFill="1" applyFont="1" applyNumberFormat="1">
      <alignment horizontal="center" vertical="center"/>
    </xf>
    <xf borderId="8" fillId="7" fontId="15" numFmtId="0" xfId="0" applyAlignment="1" applyBorder="1" applyFill="1" applyFont="1">
      <alignment horizontal="center" vertical="center"/>
    </xf>
    <xf borderId="5" fillId="7" fontId="16" numFmtId="166" xfId="0" applyAlignment="1" applyBorder="1" applyFill="1" applyFont="1" applyNumberFormat="1">
      <alignment horizontal="center" readingOrder="1" vertical="center"/>
    </xf>
    <xf borderId="5" fillId="7" fontId="16" numFmtId="166" xfId="0" applyAlignment="1" applyBorder="1" applyFill="1" applyFont="1" applyNumberFormat="1">
      <alignment horizontal="right" readingOrder="1" vertical="center"/>
    </xf>
    <xf borderId="5" fillId="0" fontId="15" numFmtId="0" xfId="0" applyAlignment="1" applyBorder="1" applyFont="1">
      <alignment horizontal="center" readingOrder="0" vertical="center"/>
    </xf>
    <xf borderId="5" fillId="2" fontId="14" numFmtId="49" xfId="0" applyAlignment="1" applyBorder="1" applyFill="1" applyFont="1" applyNumberFormat="1">
      <alignment horizontal="center" readingOrder="0" vertical="center"/>
    </xf>
    <xf borderId="0" fillId="0" fontId="18" numFmtId="0" xfId="0" applyFont="1"/>
    <xf borderId="5" fillId="0" fontId="12" numFmtId="0" xfId="0" applyAlignment="1" applyBorder="1" applyFont="1">
      <alignment vertical="center"/>
    </xf>
    <xf borderId="5" fillId="2" fontId="17" numFmtId="0" xfId="0" applyAlignment="1" applyBorder="1" applyFill="1" applyFont="1">
      <alignment horizontal="left" readingOrder="1" vertical="center"/>
    </xf>
    <xf borderId="5" fillId="2" fontId="16" numFmtId="166" xfId="0" applyAlignment="1" applyBorder="1" applyFill="1" applyFont="1" applyNumberFormat="1">
      <alignment horizontal="right" readingOrder="0" vertical="center"/>
    </xf>
    <xf borderId="5" fillId="4" fontId="14" numFmtId="49" xfId="0" applyAlignment="1" applyBorder="1" applyFill="1" applyFont="1" applyNumberFormat="1">
      <alignment horizontal="center" vertical="center"/>
    </xf>
    <xf quotePrefix="1" borderId="5" fillId="8" fontId="15" numFmtId="49" xfId="0" applyAlignment="1" applyBorder="1" applyFill="1" applyFont="1" applyNumberFormat="1">
      <alignment readingOrder="0" vertical="center"/>
    </xf>
    <xf borderId="5" fillId="2" fontId="12" numFmtId="0" xfId="0" applyAlignment="1" applyBorder="1" applyFill="1" applyFont="1">
      <alignment horizontal="left" readingOrder="0" shrinkToFit="0" vertical="center" wrapText="1"/>
    </xf>
    <xf borderId="5" fillId="0" fontId="16" numFmtId="166" xfId="0" applyAlignment="1" applyBorder="1" applyFont="1" applyNumberFormat="1">
      <alignment horizontal="left" readingOrder="1" vertical="center"/>
    </xf>
    <xf borderId="5" fillId="0" fontId="12" numFmtId="166" xfId="0" applyAlignment="1" applyBorder="1" applyFont="1" applyNumberFormat="1">
      <alignment horizontal="right"/>
    </xf>
    <xf borderId="5" fillId="2" fontId="15" numFmtId="0" xfId="0" applyAlignment="1" applyBorder="1" applyFill="1" applyFont="1">
      <alignment horizontal="center" readingOrder="0" vertical="center"/>
    </xf>
    <xf borderId="5" fillId="0" fontId="17" numFmtId="166" xfId="0" applyAlignment="1" applyBorder="1" applyFont="1" applyNumberFormat="1">
      <alignment horizontal="left" readingOrder="1" vertical="center"/>
    </xf>
    <xf borderId="5" fillId="9" fontId="15" numFmtId="0" xfId="0" applyAlignment="1" applyBorder="1" applyFill="1" applyFont="1">
      <alignment horizontal="right" vertical="center"/>
    </xf>
    <xf borderId="5" fillId="0" fontId="12" numFmtId="0" xfId="0" applyAlignment="1" applyBorder="1" applyFont="1">
      <alignment readingOrder="0" shrinkToFit="0" vertical="center" wrapText="1"/>
    </xf>
    <xf borderId="5" fillId="2" fontId="12" numFmtId="0" xfId="0" applyAlignment="1" applyBorder="1" applyFill="1" applyFont="1">
      <alignment shrinkToFit="0" vertical="center" wrapText="1"/>
    </xf>
    <xf quotePrefix="1" borderId="5" fillId="2" fontId="14" numFmtId="49" xfId="0" applyAlignment="1" applyBorder="1" applyFill="1" applyFont="1" applyNumberFormat="1">
      <alignment readingOrder="0" vertical="center"/>
    </xf>
    <xf borderId="5" fillId="4" fontId="12" numFmtId="0" xfId="0" applyAlignment="1" applyBorder="1" applyFill="1" applyFont="1">
      <alignment shrinkToFit="0" vertical="center" wrapText="1"/>
    </xf>
    <xf borderId="5" fillId="0" fontId="15" numFmtId="3" xfId="0" applyAlignment="1" applyBorder="1" applyFont="1" applyNumberFormat="1">
      <alignment horizontal="right" vertical="center"/>
    </xf>
    <xf borderId="5" fillId="2" fontId="12" numFmtId="0" xfId="0" applyAlignment="1" applyBorder="1" applyFill="1" applyFont="1">
      <alignment horizontal="center" readingOrder="0" vertical="center"/>
    </xf>
    <xf borderId="5" fillId="4" fontId="12" numFmtId="0" xfId="0" applyAlignment="1" applyBorder="1" applyFill="1" applyFont="1">
      <alignment shrinkToFit="0" vertical="center" wrapText="1"/>
    </xf>
    <xf borderId="5" fillId="4" fontId="14" numFmtId="49" xfId="0" applyAlignment="1" applyBorder="1" applyFill="1" applyFont="1" applyNumberFormat="1">
      <alignment horizontal="center" readingOrder="0" vertical="center"/>
    </xf>
    <xf borderId="5" fillId="0" fontId="15" numFmtId="164" xfId="0" applyAlignment="1" applyBorder="1" applyFont="1" applyNumberFormat="1">
      <alignment horizontal="left" readingOrder="0" vertical="center"/>
    </xf>
    <xf borderId="5" fillId="0" fontId="15" numFmtId="164" xfId="0" applyAlignment="1" applyBorder="1" applyFont="1" applyNumberFormat="1">
      <alignment readingOrder="0" vertical="center"/>
    </xf>
    <xf borderId="5" fillId="2" fontId="15" numFmtId="164" xfId="0" applyAlignment="1" applyBorder="1" applyFill="1" applyFont="1" applyNumberFormat="1">
      <alignment horizontal="right" readingOrder="0" vertical="center"/>
    </xf>
    <xf borderId="5" fillId="2" fontId="14" numFmtId="166" xfId="0" applyAlignment="1" applyBorder="1" applyFill="1" applyFont="1" applyNumberFormat="1">
      <alignment horizontal="right" readingOrder="0" vertical="center"/>
    </xf>
    <xf borderId="5" fillId="8" fontId="19" numFmtId="0" xfId="0" applyAlignment="1" applyBorder="1" applyFill="1" applyFont="1">
      <alignment horizontal="left" readingOrder="0" vertical="center"/>
    </xf>
    <xf borderId="5" fillId="2" fontId="17" numFmtId="0" xfId="0" applyAlignment="1" applyBorder="1" applyFill="1" applyFont="1">
      <alignment horizontal="left" readingOrder="1" shrinkToFit="0" vertical="center" wrapText="1"/>
    </xf>
    <xf borderId="5" fillId="2" fontId="15" numFmtId="164" xfId="0" applyAlignment="1" applyBorder="1" applyFill="1" applyFont="1" applyNumberFormat="1">
      <alignment horizontal="center" readingOrder="0" vertical="center"/>
    </xf>
    <xf borderId="5" fillId="5" fontId="15" numFmtId="166" xfId="0" applyAlignment="1" applyBorder="1" applyFill="1" applyFont="1" applyNumberFormat="1">
      <alignment horizontal="right" readingOrder="1" vertical="center"/>
    </xf>
    <xf borderId="5" fillId="4" fontId="17" numFmtId="0" xfId="0" applyAlignment="1" applyBorder="1" applyFill="1" applyFont="1">
      <alignment horizontal="left" readingOrder="1" shrinkToFit="0" vertical="center" wrapText="1"/>
    </xf>
    <xf borderId="5" fillId="8" fontId="14" numFmtId="49" xfId="0" applyAlignment="1" applyBorder="1" applyFill="1" applyFont="1" applyNumberFormat="1">
      <alignment horizontal="center" readingOrder="0" vertical="center"/>
    </xf>
    <xf borderId="5" fillId="4" fontId="12" numFmtId="49" xfId="0" applyBorder="1" applyFill="1" applyFont="1" applyNumberFormat="1"/>
    <xf borderId="5" fillId="4" fontId="12" numFmtId="0" xfId="0" applyAlignment="1" applyBorder="1" applyFill="1" applyFont="1">
      <alignment readingOrder="0" shrinkToFit="0" vertical="center" wrapText="1"/>
    </xf>
    <xf borderId="8" fillId="2" fontId="14" numFmtId="0" xfId="0" applyAlignment="1" applyBorder="1" applyFill="1" applyFont="1">
      <alignment horizontal="center" readingOrder="0" vertical="center"/>
    </xf>
    <xf borderId="5" fillId="2" fontId="12" numFmtId="0" xfId="0" applyAlignment="1" applyBorder="1" applyFill="1" applyFont="1">
      <alignment readingOrder="0" shrinkToFit="0" vertical="center" wrapText="1"/>
    </xf>
    <xf borderId="5" fillId="8" fontId="15" numFmtId="164" xfId="0" applyAlignment="1" applyBorder="1" applyFill="1" applyFont="1" applyNumberFormat="1">
      <alignment readingOrder="0" vertical="center"/>
    </xf>
    <xf borderId="5" fillId="3" fontId="17" numFmtId="166" xfId="0" applyAlignment="1" applyBorder="1" applyFill="1" applyFont="1" applyNumberFormat="1">
      <alignment horizontal="left" readingOrder="1" vertical="center"/>
    </xf>
    <xf borderId="5" fillId="3" fontId="12" numFmtId="167" xfId="0" applyAlignment="1" applyBorder="1" applyFill="1" applyFont="1" applyNumberFormat="1">
      <alignment readingOrder="0" vertical="center"/>
    </xf>
    <xf borderId="5" fillId="4" fontId="15" numFmtId="164" xfId="0" applyAlignment="1" applyBorder="1" applyFill="1" applyFont="1" applyNumberFormat="1">
      <alignment horizontal="center" readingOrder="0" vertical="center"/>
    </xf>
    <xf borderId="5" fillId="3" fontId="14" numFmtId="0" xfId="0" applyAlignment="1" applyBorder="1" applyFill="1" applyFont="1">
      <alignment horizontal="right" readingOrder="0" vertical="center"/>
    </xf>
    <xf borderId="5" fillId="4" fontId="14" numFmtId="0" xfId="0" applyAlignment="1" applyBorder="1" applyFill="1" applyFont="1">
      <alignment horizontal="right" readingOrder="0" vertical="center"/>
    </xf>
    <xf borderId="5" fillId="0" fontId="14" numFmtId="0" xfId="0" applyAlignment="1" applyBorder="1" applyFont="1">
      <alignment horizontal="right" readingOrder="0" vertical="center"/>
    </xf>
    <xf borderId="5" fillId="4" fontId="15" numFmtId="164" xfId="0" applyAlignment="1" applyBorder="1" applyFill="1" applyFont="1" applyNumberFormat="1">
      <alignment horizontal="center" vertical="center"/>
    </xf>
    <xf borderId="5" fillId="4" fontId="14" numFmtId="49" xfId="0" applyAlignment="1" applyBorder="1" applyFill="1" applyFont="1" applyNumberFormat="1">
      <alignment horizontal="center" shrinkToFit="0" vertical="center" wrapText="1"/>
    </xf>
    <xf borderId="5" fillId="0" fontId="20" numFmtId="0" xfId="0" applyAlignment="1" applyBorder="1" applyFont="1">
      <alignment horizontal="left" readingOrder="0" shrinkToFit="0" vertical="center" wrapText="0"/>
    </xf>
    <xf borderId="5" fillId="2" fontId="14" numFmtId="49" xfId="0" applyAlignment="1" applyBorder="1" applyFill="1" applyFont="1" applyNumberFormat="1">
      <alignment horizontal="center" readingOrder="0" shrinkToFit="0" vertical="center" wrapText="1"/>
    </xf>
    <xf borderId="5" fillId="4" fontId="15" numFmtId="164" xfId="0" applyAlignment="1" applyBorder="1" applyFill="1" applyFont="1" applyNumberFormat="1">
      <alignment horizontal="right" readingOrder="0" vertical="center"/>
    </xf>
    <xf borderId="5" fillId="5" fontId="14" numFmtId="0" xfId="0" applyAlignment="1" applyBorder="1" applyFill="1" applyFont="1">
      <alignment horizontal="right" readingOrder="0" vertical="center"/>
    </xf>
    <xf borderId="5" fillId="0" fontId="13" numFmtId="0" xfId="0" applyAlignment="1" applyBorder="1" applyFont="1">
      <alignment horizontal="center" shrinkToFit="0" vertical="center" wrapText="0"/>
    </xf>
    <xf borderId="5" fillId="4" fontId="21" numFmtId="49" xfId="0" applyAlignment="1" applyBorder="1" applyFill="1" applyFont="1" applyNumberFormat="1">
      <alignment shrinkToFit="0" vertical="center" wrapText="1"/>
    </xf>
    <xf borderId="8" fillId="8" fontId="14" numFmtId="0" xfId="0" applyAlignment="1" applyBorder="1" applyFill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left" shrinkToFit="0" vertical="center" wrapText="1"/>
    </xf>
    <xf borderId="5" fillId="0" fontId="15" numFmtId="164" xfId="0" applyAlignment="1" applyBorder="1" applyFont="1" applyNumberFormat="1">
      <alignment horizontal="right" shrinkToFit="0" vertical="center" wrapText="1"/>
    </xf>
    <xf borderId="5" fillId="0" fontId="12" numFmtId="166" xfId="0" applyAlignment="1" applyBorder="1" applyFont="1" applyNumberFormat="1">
      <alignment horizontal="right" shrinkToFit="0" vertical="center" wrapText="1"/>
    </xf>
    <xf borderId="5" fillId="0" fontId="12" numFmtId="166" xfId="0" applyAlignment="1" applyBorder="1" applyFont="1" applyNumberFormat="1">
      <alignment horizontal="right" readingOrder="0" shrinkToFit="0" vertical="center" wrapText="1"/>
    </xf>
    <xf borderId="8" fillId="2" fontId="14" numFmtId="0" xfId="0" applyAlignment="1" applyBorder="1" applyFill="1" applyFont="1">
      <alignment horizontal="center" shrinkToFit="0" vertical="center" wrapText="1"/>
    </xf>
    <xf borderId="5" fillId="2" fontId="15" numFmtId="164" xfId="0" applyAlignment="1" applyBorder="1" applyFill="1" applyFont="1" applyNumberFormat="1">
      <alignment horizontal="left" shrinkToFit="0" vertical="center" wrapText="1"/>
    </xf>
    <xf borderId="5" fillId="2" fontId="14" numFmtId="165" xfId="0" applyAlignment="1" applyBorder="1" applyFill="1" applyFont="1" applyNumberFormat="1">
      <alignment horizontal="right" readingOrder="0" vertical="center"/>
    </xf>
    <xf borderId="5" fillId="4" fontId="21" numFmtId="0" xfId="0" applyAlignment="1" applyBorder="1" applyFill="1" applyFont="1">
      <alignment shrinkToFit="0" vertical="center" wrapText="1"/>
    </xf>
    <xf borderId="5" fillId="0" fontId="12" numFmtId="165" xfId="0" applyAlignment="1" applyBorder="1" applyFont="1" applyNumberFormat="1">
      <alignment horizontal="right" readingOrder="0" vertical="center"/>
    </xf>
    <xf borderId="5" fillId="0" fontId="13" numFmtId="0" xfId="0" applyAlignment="1" applyBorder="1" applyFont="1">
      <alignment horizontal="center" readingOrder="0" shrinkToFit="0" vertical="center" wrapText="0"/>
    </xf>
    <xf borderId="5" fillId="0" fontId="12" numFmtId="166" xfId="0" applyAlignment="1" applyBorder="1" applyFont="1" applyNumberFormat="1">
      <alignment horizontal="right" readingOrder="0" vertical="center"/>
    </xf>
    <xf borderId="5" fillId="0" fontId="22" numFmtId="0" xfId="0" applyAlignment="1" applyBorder="1" applyFont="1">
      <alignment horizontal="left" readingOrder="0" shrinkToFit="0" vertical="center" wrapText="0"/>
    </xf>
    <xf borderId="5" fillId="3" fontId="14" numFmtId="0" xfId="0" applyAlignment="1" applyBorder="1" applyFill="1" applyFont="1">
      <alignment horizontal="center" readingOrder="0" vertical="center"/>
    </xf>
    <xf borderId="5" fillId="4" fontId="15" numFmtId="164" xfId="0" applyAlignment="1" applyBorder="1" applyFill="1" applyFont="1" applyNumberFormat="1">
      <alignment readingOrder="0" vertical="center"/>
    </xf>
    <xf borderId="5" fillId="8" fontId="19" numFmtId="0" xfId="0" applyAlignment="1" applyBorder="1" applyFill="1" applyFont="1">
      <alignment horizontal="center" readingOrder="0" vertical="center"/>
    </xf>
    <xf borderId="5" fillId="8" fontId="14" numFmtId="164" xfId="0" applyAlignment="1" applyBorder="1" applyFill="1" applyFont="1" applyNumberFormat="1">
      <alignment horizontal="center"/>
    </xf>
    <xf borderId="5" fillId="3" fontId="14" numFmtId="164" xfId="0" applyAlignment="1" applyBorder="1" applyFill="1" applyFont="1" applyNumberFormat="1">
      <alignment horizontal="center" vertical="center"/>
    </xf>
    <xf borderId="5" fillId="0" fontId="17" numFmtId="166" xfId="0" applyAlignment="1" applyBorder="1" applyFont="1" applyNumberFormat="1">
      <alignment horizontal="right" readingOrder="1" shrinkToFit="0" vertical="center" wrapText="0"/>
    </xf>
    <xf borderId="8" fillId="2" fontId="14" numFmtId="0" xfId="0" applyAlignment="1" applyBorder="1" applyFill="1" applyFont="1">
      <alignment horizontal="center" readingOrder="0" shrinkToFit="0" vertical="center" wrapText="1"/>
    </xf>
    <xf borderId="5" fillId="0" fontId="15" numFmtId="164" xfId="0" applyAlignment="1" applyBorder="1" applyFont="1" applyNumberFormat="1">
      <alignment horizontal="left" readingOrder="0" shrinkToFit="0" vertical="center" wrapText="1"/>
    </xf>
    <xf borderId="5" fillId="0" fontId="16" numFmtId="166" xfId="0" applyAlignment="1" applyBorder="1" applyFont="1" applyNumberFormat="1">
      <alignment horizontal="right" readingOrder="1" shrinkToFit="0" vertical="center" wrapText="0"/>
    </xf>
    <xf borderId="5" fillId="5" fontId="12" numFmtId="0" xfId="0" applyAlignment="1" applyBorder="1" applyFill="1" applyFont="1">
      <alignment horizontal="center" vertical="center"/>
    </xf>
    <xf borderId="5" fillId="5" fontId="13" numFmtId="0" xfId="0" applyAlignment="1" applyBorder="1" applyFill="1" applyFont="1">
      <alignment horizontal="center" vertical="center"/>
    </xf>
    <xf borderId="5" fillId="5" fontId="12" numFmtId="0" xfId="0" applyAlignment="1" applyBorder="1" applyFill="1" applyFont="1">
      <alignment vertical="center"/>
    </xf>
    <xf quotePrefix="1" borderId="5" fillId="5" fontId="12" numFmtId="49" xfId="0" applyAlignment="1" applyBorder="1" applyFill="1" applyFont="1" applyNumberFormat="1">
      <alignment horizontal="center" readingOrder="0" vertical="center"/>
    </xf>
    <xf borderId="8" fillId="5" fontId="12" numFmtId="0" xfId="0" applyAlignment="1" applyBorder="1" applyFill="1" applyFont="1">
      <alignment horizontal="center" vertical="center"/>
    </xf>
    <xf borderId="5" fillId="5" fontId="13" numFmtId="164" xfId="0" applyAlignment="1" applyBorder="1" applyFill="1" applyFont="1" applyNumberFormat="1">
      <alignment horizontal="left" vertical="center"/>
    </xf>
    <xf borderId="5" fillId="5" fontId="13" numFmtId="164" xfId="0" applyAlignment="1" applyBorder="1" applyFill="1" applyFont="1" applyNumberFormat="1">
      <alignment horizontal="center" vertical="center"/>
    </xf>
    <xf borderId="5" fillId="5" fontId="12" numFmtId="14" xfId="0" applyAlignment="1" applyBorder="1" applyFill="1" applyFont="1" applyNumberFormat="1">
      <alignment horizontal="right" vertical="center"/>
    </xf>
    <xf borderId="5" fillId="5" fontId="13" numFmtId="164" xfId="0" applyAlignment="1" applyBorder="1" applyFill="1" applyFont="1" applyNumberFormat="1">
      <alignment horizontal="right" vertical="center"/>
    </xf>
    <xf borderId="5" fillId="5" fontId="12" numFmtId="0" xfId="0" applyAlignment="1" applyBorder="1" applyFill="1" applyFont="1">
      <alignment shrinkToFit="0" vertical="center" wrapText="1"/>
    </xf>
    <xf borderId="1" fillId="2" fontId="23" numFmtId="0" xfId="0" applyAlignment="1" applyBorder="1" applyFill="1" applyFont="1">
      <alignment horizontal="center" vertical="center"/>
    </xf>
    <xf borderId="0" fillId="0" fontId="24" numFmtId="49" xfId="0" applyFont="1" applyNumberFormat="1"/>
    <xf borderId="0" fillId="0" fontId="24" numFmtId="0" xfId="0" applyAlignment="1" applyFont="1">
      <alignment horizontal="left"/>
    </xf>
    <xf borderId="0" fillId="0" fontId="2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5</xdr:row>
      <xdr:rowOff>19050</xdr:rowOff>
    </xdr:from>
    <xdr:ext cx="4495800" cy="361950"/>
    <xdr:sp>
      <xdr:nvSpPr>
        <xdr:cNvPr id="3" name="Shape 3"/>
        <xdr:cNvSpPr txBox="1"/>
      </xdr:nvSpPr>
      <xdr:spPr>
        <a:xfrm>
          <a:off x="3102863" y="3603788"/>
          <a:ext cx="4486275" cy="35242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Branch Client Ledger And Booking Detail: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28575</xdr:colOff>
      <xdr:row>0</xdr:row>
      <xdr:rowOff>57150</xdr:rowOff>
    </xdr:from>
    <xdr:ext cx="1285875" cy="981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</xdr:row>
      <xdr:rowOff>95250</xdr:rowOff>
    </xdr:from>
    <xdr:ext cx="819150" cy="790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" width="3.29"/>
    <col customWidth="1" min="2" max="2" width="11.14"/>
    <col customWidth="1" min="3" max="3" width="11.0"/>
    <col customWidth="1" min="4" max="4" width="11.43"/>
    <col customWidth="1" min="5" max="5" width="10.43"/>
    <col customWidth="1" min="6" max="6" width="5.29"/>
    <col customWidth="1" min="7" max="7" width="5.43"/>
    <col customWidth="1" min="8" max="8" width="10.29"/>
    <col customWidth="1" min="9" max="9" width="8.86"/>
    <col customWidth="1" min="10" max="10" width="9.71"/>
    <col customWidth="1" min="11" max="11" width="9.86"/>
    <col customWidth="1" min="12" max="12" width="9.0"/>
    <col customWidth="1" min="13" max="13" width="9.86"/>
    <col customWidth="1" min="14" max="14" width="8.71"/>
    <col customWidth="1" min="15" max="15" width="8.43"/>
    <col customWidth="1" min="16" max="16" width="7.57"/>
    <col customWidth="1" min="17" max="17" width="8.86"/>
    <col customWidth="1" min="18" max="18" width="6.57"/>
    <col customWidth="1" min="19" max="19" width="7.71"/>
    <col customWidth="1" min="20" max="20" width="12.0"/>
    <col customWidth="1" min="21" max="23" width="9.14"/>
    <col customWidth="1" min="24" max="25" width="8.71"/>
    <col customWidth="1" min="26" max="26" width="13.0"/>
  </cols>
  <sheetData>
    <row r="1" ht="6.75" customHeight="1">
      <c r="A1" s="1"/>
      <c r="B1" s="2"/>
      <c r="C1" s="1"/>
      <c r="D1" s="2"/>
      <c r="E1" s="3"/>
      <c r="F1" s="4"/>
      <c r="G1" s="5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"/>
      <c r="U1" s="4"/>
      <c r="V1" s="4"/>
      <c r="W1" s="4"/>
      <c r="X1" s="4"/>
      <c r="Y1" s="4"/>
      <c r="Z1" s="4"/>
    </row>
    <row r="2" ht="1.5" hidden="1" customHeight="1">
      <c r="A2" s="1"/>
      <c r="B2" s="2"/>
      <c r="C2" s="1"/>
      <c r="D2" s="2"/>
      <c r="E2" s="3"/>
      <c r="F2" s="4"/>
      <c r="G2" s="5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4"/>
      <c r="V2" s="4"/>
      <c r="W2" s="4"/>
      <c r="X2" s="4"/>
      <c r="Y2" s="4"/>
      <c r="Z2" s="4"/>
    </row>
    <row r="3" ht="24.0" customHeight="1">
      <c r="A3" s="7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4"/>
      <c r="V3" s="4"/>
      <c r="W3" s="4"/>
      <c r="X3" s="4"/>
      <c r="Y3" s="4"/>
      <c r="Z3" s="4"/>
    </row>
    <row r="4" ht="16.5" customHeight="1">
      <c r="A4" s="10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4"/>
      <c r="V4" s="4"/>
      <c r="W4" s="4"/>
      <c r="X4" s="4"/>
      <c r="Y4" s="4"/>
      <c r="Z4" s="4"/>
    </row>
    <row r="5" ht="16.5" customHeight="1">
      <c r="A5" s="11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4"/>
      <c r="V5" s="4"/>
      <c r="W5" s="4"/>
      <c r="X5" s="4"/>
      <c r="Y5" s="4"/>
      <c r="Z5" s="4"/>
    </row>
    <row r="6" ht="34.5" customHeight="1">
      <c r="A6" s="1"/>
      <c r="B6" s="2"/>
      <c r="C6" s="1"/>
      <c r="D6" s="2"/>
      <c r="E6" s="3"/>
      <c r="F6" s="4"/>
      <c r="G6" s="5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2"/>
      <c r="U6" s="4"/>
      <c r="V6" s="4"/>
      <c r="W6" s="4"/>
      <c r="X6" s="4"/>
      <c r="Y6" s="4"/>
      <c r="Z6" s="4"/>
    </row>
    <row r="7" ht="30.75" customHeight="1">
      <c r="A7" s="12" t="s">
        <v>3</v>
      </c>
      <c r="B7" s="13" t="s">
        <v>4</v>
      </c>
      <c r="C7" s="13" t="s">
        <v>5</v>
      </c>
      <c r="D7" s="13" t="s">
        <v>6</v>
      </c>
      <c r="E7" s="14" t="s">
        <v>7</v>
      </c>
      <c r="F7" s="13" t="s">
        <v>8</v>
      </c>
      <c r="G7" s="15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  <c r="M7" s="13" t="s">
        <v>15</v>
      </c>
      <c r="N7" s="13" t="s">
        <v>16</v>
      </c>
      <c r="O7" s="13" t="s">
        <v>17</v>
      </c>
      <c r="P7" s="13" t="s">
        <v>18</v>
      </c>
      <c r="Q7" s="13" t="s">
        <v>19</v>
      </c>
      <c r="R7" s="16" t="s">
        <v>20</v>
      </c>
      <c r="S7" s="17"/>
      <c r="T7" s="13" t="s">
        <v>21</v>
      </c>
      <c r="U7" s="18"/>
      <c r="V7" s="1"/>
      <c r="W7" s="1" t="s">
        <v>22</v>
      </c>
      <c r="X7" s="1"/>
      <c r="Y7" s="1"/>
      <c r="Z7" s="1"/>
    </row>
    <row r="8" ht="34.5" hidden="1" customHeight="1">
      <c r="A8" s="19" t="s">
        <v>23</v>
      </c>
      <c r="B8" s="20"/>
      <c r="C8" s="21" t="s">
        <v>24</v>
      </c>
      <c r="D8" s="21" t="s">
        <v>25</v>
      </c>
      <c r="E8" s="22" t="s">
        <v>23</v>
      </c>
      <c r="F8" s="23" t="s">
        <v>26</v>
      </c>
      <c r="G8" s="24">
        <v>6.0</v>
      </c>
      <c r="H8" s="25">
        <v>6000000.0</v>
      </c>
      <c r="I8" s="26">
        <v>45788.0</v>
      </c>
      <c r="J8" s="27">
        <v>600000.0</v>
      </c>
      <c r="K8" s="27">
        <v>600000.0</v>
      </c>
      <c r="L8" s="28"/>
      <c r="M8" s="27"/>
      <c r="N8" s="28">
        <v>45791.0</v>
      </c>
      <c r="O8" s="29"/>
      <c r="P8" s="30"/>
      <c r="Q8" s="28">
        <v>45791.0</v>
      </c>
      <c r="R8" s="31"/>
      <c r="S8" s="27"/>
      <c r="T8" s="23"/>
      <c r="U8" s="4"/>
      <c r="V8" s="4"/>
      <c r="W8" s="4"/>
      <c r="X8" s="4"/>
      <c r="Y8" s="4"/>
      <c r="Z8" s="4"/>
    </row>
    <row r="9" ht="34.5" hidden="1" customHeight="1">
      <c r="A9" s="19" t="s">
        <v>27</v>
      </c>
      <c r="B9" s="20"/>
      <c r="C9" s="21" t="s">
        <v>28</v>
      </c>
      <c r="D9" s="32" t="s">
        <v>29</v>
      </c>
      <c r="E9" s="33" t="s">
        <v>30</v>
      </c>
      <c r="F9" s="23" t="s">
        <v>31</v>
      </c>
      <c r="G9" s="24">
        <v>1.0</v>
      </c>
      <c r="H9" s="25">
        <v>600000.0</v>
      </c>
      <c r="I9" s="26">
        <v>45806.0</v>
      </c>
      <c r="J9" s="27">
        <v>150000.0</v>
      </c>
      <c r="K9" s="34">
        <v>50000.0</v>
      </c>
      <c r="L9" s="35">
        <v>45976.0</v>
      </c>
      <c r="M9" s="34"/>
      <c r="N9" s="28"/>
      <c r="O9" s="29"/>
      <c r="P9" s="30"/>
      <c r="Q9" s="28">
        <v>45806.0</v>
      </c>
      <c r="R9" s="31"/>
      <c r="S9" s="27"/>
      <c r="T9" s="36" t="s">
        <v>32</v>
      </c>
      <c r="U9" s="4"/>
      <c r="V9" s="4"/>
      <c r="W9" s="4"/>
      <c r="X9" s="4"/>
      <c r="Y9" s="4"/>
      <c r="Z9" s="4"/>
    </row>
    <row r="10" ht="34.5" hidden="1" customHeight="1">
      <c r="A10" s="19" t="s">
        <v>33</v>
      </c>
      <c r="B10" s="20"/>
      <c r="C10" s="21" t="s">
        <v>34</v>
      </c>
      <c r="D10" s="21" t="s">
        <v>35</v>
      </c>
      <c r="E10" s="37"/>
      <c r="F10" s="23" t="s">
        <v>26</v>
      </c>
      <c r="G10" s="24">
        <v>3.0</v>
      </c>
      <c r="H10" s="25">
        <v>2400000.0</v>
      </c>
      <c r="I10" s="26">
        <v>45717.0</v>
      </c>
      <c r="J10" s="27">
        <v>600000.0</v>
      </c>
      <c r="K10" s="27">
        <v>600000.0</v>
      </c>
      <c r="L10" s="28">
        <v>46027.0</v>
      </c>
      <c r="M10" s="28"/>
      <c r="N10" s="28">
        <v>45808.0</v>
      </c>
      <c r="O10" s="35">
        <v>45897.0</v>
      </c>
      <c r="P10" s="34">
        <v>30000.0</v>
      </c>
      <c r="Q10" s="28">
        <v>45808.0</v>
      </c>
      <c r="R10" s="31"/>
      <c r="S10" s="27"/>
      <c r="T10" s="38" t="s">
        <v>36</v>
      </c>
      <c r="U10" s="4"/>
      <c r="V10" s="4"/>
      <c r="W10" s="4"/>
      <c r="X10" s="4"/>
      <c r="Y10" s="4"/>
      <c r="Z10" s="4"/>
    </row>
    <row r="11" ht="34.5" hidden="1" customHeight="1">
      <c r="A11" s="19" t="s">
        <v>37</v>
      </c>
      <c r="B11" s="20" t="s">
        <v>38</v>
      </c>
      <c r="C11" s="21" t="s">
        <v>39</v>
      </c>
      <c r="D11" s="21" t="s">
        <v>40</v>
      </c>
      <c r="E11" s="33" t="s">
        <v>41</v>
      </c>
      <c r="F11" s="23" t="s">
        <v>31</v>
      </c>
      <c r="G11" s="24">
        <v>1.0</v>
      </c>
      <c r="H11" s="25">
        <v>500000.0</v>
      </c>
      <c r="I11" s="26">
        <v>45809.0</v>
      </c>
      <c r="J11" s="39">
        <v>100000.0</v>
      </c>
      <c r="K11" s="39">
        <f>2000+50000+48000</f>
        <v>100000</v>
      </c>
      <c r="L11" s="40"/>
      <c r="M11" s="27"/>
      <c r="N11" s="28">
        <v>45993.0</v>
      </c>
      <c r="O11" s="41">
        <v>46032.0</v>
      </c>
      <c r="P11" s="30">
        <v>8000.0</v>
      </c>
      <c r="Q11" s="42">
        <v>46279.0</v>
      </c>
      <c r="R11" s="43"/>
      <c r="S11" s="44"/>
      <c r="T11" s="45" t="s">
        <v>42</v>
      </c>
      <c r="U11" s="4"/>
      <c r="V11" s="4"/>
      <c r="W11" s="46"/>
      <c r="X11" s="4"/>
      <c r="Y11" s="4"/>
      <c r="Z11" s="4"/>
    </row>
    <row r="12" ht="34.5" hidden="1" customHeight="1">
      <c r="A12" s="19" t="s">
        <v>43</v>
      </c>
      <c r="B12" s="20" t="s">
        <v>44</v>
      </c>
      <c r="C12" s="21" t="s">
        <v>28</v>
      </c>
      <c r="D12" s="21" t="s">
        <v>45</v>
      </c>
      <c r="E12" s="33" t="s">
        <v>46</v>
      </c>
      <c r="F12" s="23" t="s">
        <v>31</v>
      </c>
      <c r="G12" s="24">
        <v>1.0</v>
      </c>
      <c r="H12" s="25">
        <v>600000.0</v>
      </c>
      <c r="I12" s="26">
        <v>45809.0</v>
      </c>
      <c r="J12" s="39">
        <v>150000.0</v>
      </c>
      <c r="K12" s="47">
        <v>150000.0</v>
      </c>
      <c r="L12" s="40"/>
      <c r="M12" s="27"/>
      <c r="N12" s="28">
        <v>45848.0</v>
      </c>
      <c r="O12" s="48">
        <v>45879.0</v>
      </c>
      <c r="P12" s="49">
        <v>7500.0</v>
      </c>
      <c r="Q12" s="28">
        <v>46090.0</v>
      </c>
      <c r="R12" s="31"/>
      <c r="S12" s="27"/>
      <c r="T12" s="36" t="s">
        <v>47</v>
      </c>
      <c r="U12" s="4"/>
      <c r="V12" s="4"/>
      <c r="W12" s="4"/>
      <c r="X12" s="4"/>
      <c r="Y12" s="4"/>
      <c r="Z12" s="4"/>
    </row>
    <row r="13" ht="34.5" hidden="1" customHeight="1">
      <c r="A13" s="19" t="s">
        <v>48</v>
      </c>
      <c r="B13" s="20" t="s">
        <v>49</v>
      </c>
      <c r="C13" s="21" t="s">
        <v>28</v>
      </c>
      <c r="D13" s="21" t="s">
        <v>50</v>
      </c>
      <c r="E13" s="33" t="s">
        <v>51</v>
      </c>
      <c r="F13" s="23" t="s">
        <v>31</v>
      </c>
      <c r="G13" s="24">
        <v>2.0</v>
      </c>
      <c r="H13" s="25">
        <v>1000000.0</v>
      </c>
      <c r="I13" s="26">
        <v>45810.0</v>
      </c>
      <c r="J13" s="39">
        <v>200000.0</v>
      </c>
      <c r="K13" s="39">
        <v>200000.0</v>
      </c>
      <c r="L13" s="50"/>
      <c r="M13" s="27"/>
      <c r="N13" s="28">
        <v>45834.0</v>
      </c>
      <c r="O13" s="29">
        <v>45848.0</v>
      </c>
      <c r="P13" s="30">
        <v>17000.0</v>
      </c>
      <c r="Q13" s="28">
        <v>46090.0</v>
      </c>
      <c r="R13" s="31"/>
      <c r="S13" s="27"/>
      <c r="T13" s="36" t="s">
        <v>42</v>
      </c>
      <c r="U13" s="4"/>
      <c r="V13" s="4"/>
      <c r="W13" s="4"/>
      <c r="X13" s="4"/>
      <c r="Y13" s="4"/>
      <c r="Z13" s="4"/>
    </row>
    <row r="14" ht="34.5" hidden="1" customHeight="1">
      <c r="A14" s="19" t="s">
        <v>52</v>
      </c>
      <c r="B14" s="20"/>
      <c r="C14" s="51" t="s">
        <v>53</v>
      </c>
      <c r="D14" s="52" t="s">
        <v>54</v>
      </c>
      <c r="E14" s="33" t="s">
        <v>55</v>
      </c>
      <c r="F14" s="23" t="s">
        <v>31</v>
      </c>
      <c r="G14" s="24">
        <v>1.0</v>
      </c>
      <c r="H14" s="25">
        <v>600000.0</v>
      </c>
      <c r="I14" s="26">
        <v>45812.0</v>
      </c>
      <c r="J14" s="53">
        <v>600000.0</v>
      </c>
      <c r="K14" s="47">
        <f>5000+7000+5000</f>
        <v>17000</v>
      </c>
      <c r="L14" s="54"/>
      <c r="M14" s="27"/>
      <c r="N14" s="28"/>
      <c r="O14" s="29"/>
      <c r="P14" s="30"/>
      <c r="Q14" s="55">
        <v>46236.0</v>
      </c>
      <c r="R14" s="31"/>
      <c r="S14" s="27"/>
      <c r="T14" s="36"/>
      <c r="U14" s="4"/>
      <c r="V14" s="4"/>
      <c r="W14" s="4"/>
      <c r="X14" s="4"/>
      <c r="Y14" s="4"/>
      <c r="Z14" s="4"/>
    </row>
    <row r="15" ht="34.5" hidden="1" customHeight="1">
      <c r="A15" s="19" t="s">
        <v>56</v>
      </c>
      <c r="B15" s="20" t="s">
        <v>57</v>
      </c>
      <c r="C15" s="21" t="s">
        <v>24</v>
      </c>
      <c r="D15" s="21" t="s">
        <v>58</v>
      </c>
      <c r="E15" s="33" t="s">
        <v>59</v>
      </c>
      <c r="F15" s="23" t="s">
        <v>26</v>
      </c>
      <c r="G15" s="24">
        <v>5.0</v>
      </c>
      <c r="H15" s="25">
        <v>4000000.0</v>
      </c>
      <c r="I15" s="26">
        <v>45824.0</v>
      </c>
      <c r="J15" s="39">
        <v>400000.0</v>
      </c>
      <c r="K15" s="47">
        <v>400000.0</v>
      </c>
      <c r="L15" s="50"/>
      <c r="M15" s="27"/>
      <c r="N15" s="28">
        <v>45918.0</v>
      </c>
      <c r="O15" s="29">
        <v>45976.0</v>
      </c>
      <c r="P15" s="30">
        <v>50000.0</v>
      </c>
      <c r="Q15" s="55">
        <v>46275.0</v>
      </c>
      <c r="R15" s="31"/>
      <c r="S15" s="27"/>
      <c r="T15" s="45" t="s">
        <v>60</v>
      </c>
      <c r="U15" s="4"/>
      <c r="V15" s="4"/>
      <c r="W15" s="4"/>
      <c r="X15" s="4"/>
      <c r="Y15" s="4"/>
      <c r="Z15" s="4"/>
    </row>
    <row r="16" ht="34.5" hidden="1" customHeight="1">
      <c r="A16" s="19" t="s">
        <v>61</v>
      </c>
      <c r="B16" s="20" t="s">
        <v>62</v>
      </c>
      <c r="C16" s="21" t="s">
        <v>24</v>
      </c>
      <c r="D16" s="21" t="s">
        <v>63</v>
      </c>
      <c r="E16" s="33" t="s">
        <v>64</v>
      </c>
      <c r="F16" s="23" t="s">
        <v>26</v>
      </c>
      <c r="G16" s="24">
        <v>5.0</v>
      </c>
      <c r="H16" s="25">
        <v>4000000.0</v>
      </c>
      <c r="I16" s="26">
        <v>45826.0</v>
      </c>
      <c r="J16" s="39">
        <v>800000.0</v>
      </c>
      <c r="K16" s="47">
        <v>800000.0</v>
      </c>
      <c r="L16" s="50"/>
      <c r="M16" s="27"/>
      <c r="N16" s="28">
        <v>45853.0</v>
      </c>
      <c r="O16" s="29">
        <v>45884.0</v>
      </c>
      <c r="P16" s="30">
        <v>50000.0</v>
      </c>
      <c r="Q16" s="56">
        <v>46281.0</v>
      </c>
      <c r="R16" s="57" t="s">
        <v>65</v>
      </c>
      <c r="S16" s="30">
        <v>200000.0</v>
      </c>
      <c r="T16" s="45" t="s">
        <v>66</v>
      </c>
      <c r="U16" s="4"/>
      <c r="V16" s="4"/>
      <c r="W16" s="4"/>
      <c r="X16" s="4"/>
      <c r="Y16" s="4"/>
      <c r="Z16" s="4"/>
    </row>
    <row r="17" ht="34.5" hidden="1" customHeight="1">
      <c r="A17" s="19" t="s">
        <v>67</v>
      </c>
      <c r="B17" s="20" t="s">
        <v>68</v>
      </c>
      <c r="C17" s="21" t="s">
        <v>34</v>
      </c>
      <c r="D17" s="21" t="s">
        <v>69</v>
      </c>
      <c r="E17" s="58" t="s">
        <v>70</v>
      </c>
      <c r="F17" s="23" t="s">
        <v>31</v>
      </c>
      <c r="G17" s="24">
        <v>1.0</v>
      </c>
      <c r="H17" s="25">
        <v>400000.0</v>
      </c>
      <c r="I17" s="26">
        <v>45857.0</v>
      </c>
      <c r="J17" s="39">
        <v>200000.0</v>
      </c>
      <c r="K17" s="47">
        <v>200000.0</v>
      </c>
      <c r="L17" s="50"/>
      <c r="M17" s="27"/>
      <c r="N17" s="28">
        <v>45867.0</v>
      </c>
      <c r="O17" s="48">
        <v>45889.0</v>
      </c>
      <c r="P17" s="49">
        <v>4000.0</v>
      </c>
      <c r="Q17" s="55">
        <v>46184.0</v>
      </c>
      <c r="R17" s="31"/>
      <c r="S17" s="27"/>
      <c r="T17" s="59" t="s">
        <v>60</v>
      </c>
      <c r="U17" s="4"/>
      <c r="V17" s="4"/>
      <c r="W17" s="4"/>
      <c r="X17" s="4"/>
      <c r="Y17" s="4"/>
      <c r="Z17" s="4"/>
    </row>
    <row r="18" ht="34.5" hidden="1" customHeight="1">
      <c r="A18" s="19" t="s">
        <v>71</v>
      </c>
      <c r="B18" s="20" t="s">
        <v>72</v>
      </c>
      <c r="C18" s="21" t="s">
        <v>28</v>
      </c>
      <c r="D18" s="21" t="s">
        <v>73</v>
      </c>
      <c r="E18" s="37"/>
      <c r="F18" s="23" t="s">
        <v>31</v>
      </c>
      <c r="G18" s="24">
        <v>5.0</v>
      </c>
      <c r="H18" s="25">
        <v>1500000.0</v>
      </c>
      <c r="I18" s="26">
        <v>45872.0</v>
      </c>
      <c r="J18" s="27">
        <v>1500000.0</v>
      </c>
      <c r="K18" s="47">
        <v>600000.0</v>
      </c>
      <c r="L18" s="50">
        <v>45958.0</v>
      </c>
      <c r="M18" s="39">
        <v>1000000.0</v>
      </c>
      <c r="N18" s="28"/>
      <c r="O18" s="29"/>
      <c r="P18" s="30"/>
      <c r="Q18" s="28">
        <v>45938.0</v>
      </c>
      <c r="R18" s="31"/>
      <c r="S18" s="27"/>
      <c r="T18" s="36" t="s">
        <v>32</v>
      </c>
      <c r="U18" s="4"/>
      <c r="V18" s="4"/>
      <c r="W18" s="4"/>
      <c r="X18" s="4"/>
      <c r="Y18" s="4"/>
      <c r="Z18" s="4"/>
    </row>
    <row r="19" ht="34.5" hidden="1" customHeight="1">
      <c r="A19" s="19" t="s">
        <v>74</v>
      </c>
      <c r="B19" s="20" t="s">
        <v>75</v>
      </c>
      <c r="C19" s="21" t="s">
        <v>28</v>
      </c>
      <c r="D19" s="21" t="s">
        <v>73</v>
      </c>
      <c r="E19" s="37"/>
      <c r="F19" s="23" t="s">
        <v>31</v>
      </c>
      <c r="G19" s="24">
        <v>1.0</v>
      </c>
      <c r="H19" s="25">
        <v>300000.0</v>
      </c>
      <c r="I19" s="26">
        <v>45872.0</v>
      </c>
      <c r="J19" s="27">
        <v>300000.0</v>
      </c>
      <c r="K19" s="39">
        <f>100000+100000</f>
        <v>200000</v>
      </c>
      <c r="L19" s="50">
        <v>45958.0</v>
      </c>
      <c r="M19" s="39">
        <v>100000.0</v>
      </c>
      <c r="N19" s="28"/>
      <c r="O19" s="29"/>
      <c r="P19" s="30"/>
      <c r="Q19" s="28">
        <v>46111.0</v>
      </c>
      <c r="R19" s="31"/>
      <c r="S19" s="27"/>
      <c r="T19" s="36" t="s">
        <v>32</v>
      </c>
      <c r="U19" s="4"/>
      <c r="V19" s="4"/>
      <c r="W19" s="4"/>
      <c r="X19" s="4"/>
      <c r="Y19" s="4"/>
      <c r="Z19" s="4"/>
    </row>
    <row r="20" ht="34.5" hidden="1" customHeight="1">
      <c r="A20" s="19" t="s">
        <v>76</v>
      </c>
      <c r="B20" s="20" t="s">
        <v>77</v>
      </c>
      <c r="C20" s="51" t="s">
        <v>78</v>
      </c>
      <c r="D20" s="51" t="s">
        <v>79</v>
      </c>
      <c r="E20" s="33" t="s">
        <v>80</v>
      </c>
      <c r="F20" s="23" t="s">
        <v>31</v>
      </c>
      <c r="G20" s="24">
        <v>1.0</v>
      </c>
      <c r="H20" s="25">
        <v>450000.0</v>
      </c>
      <c r="I20" s="26">
        <v>45883.0</v>
      </c>
      <c r="J20" s="39">
        <v>160000.0</v>
      </c>
      <c r="K20" s="47">
        <v>160000.0</v>
      </c>
      <c r="L20" s="50"/>
      <c r="M20" s="27"/>
      <c r="N20" s="55">
        <v>46163.0</v>
      </c>
      <c r="O20" s="29">
        <v>45950.0</v>
      </c>
      <c r="P20" s="30">
        <v>5800.0</v>
      </c>
      <c r="Q20" s="55">
        <v>46233.0</v>
      </c>
      <c r="R20" s="31"/>
      <c r="S20" s="27"/>
      <c r="T20" s="45" t="s">
        <v>42</v>
      </c>
      <c r="U20" s="4"/>
      <c r="V20" s="4"/>
      <c r="W20" s="4"/>
      <c r="X20" s="4"/>
      <c r="Y20" s="4"/>
      <c r="Z20" s="4"/>
    </row>
    <row r="21" ht="34.5" hidden="1" customHeight="1">
      <c r="A21" s="19" t="s">
        <v>81</v>
      </c>
      <c r="B21" s="20" t="s">
        <v>82</v>
      </c>
      <c r="C21" s="51" t="s">
        <v>53</v>
      </c>
      <c r="D21" s="51" t="s">
        <v>83</v>
      </c>
      <c r="E21" s="33" t="s">
        <v>84</v>
      </c>
      <c r="F21" s="23" t="s">
        <v>31</v>
      </c>
      <c r="G21" s="24">
        <v>1.0</v>
      </c>
      <c r="H21" s="25">
        <v>460000.0</v>
      </c>
      <c r="I21" s="26">
        <v>45893.0</v>
      </c>
      <c r="J21" s="39">
        <v>100000.0</v>
      </c>
      <c r="K21" s="47">
        <v>100000.0</v>
      </c>
      <c r="L21" s="50"/>
      <c r="M21" s="27"/>
      <c r="N21" s="28">
        <v>45893.0</v>
      </c>
      <c r="O21" s="29">
        <v>45894.0</v>
      </c>
      <c r="P21" s="30">
        <v>10000.0</v>
      </c>
      <c r="Q21" s="28">
        <v>46097.0</v>
      </c>
      <c r="R21" s="31"/>
      <c r="S21" s="27"/>
      <c r="T21" s="36" t="s">
        <v>85</v>
      </c>
      <c r="U21" s="4"/>
      <c r="V21" s="4"/>
      <c r="W21" s="4"/>
      <c r="X21" s="4"/>
      <c r="Y21" s="4"/>
      <c r="Z21" s="4"/>
    </row>
    <row r="22" ht="34.5" hidden="1" customHeight="1">
      <c r="A22" s="19" t="s">
        <v>86</v>
      </c>
      <c r="B22" s="20" t="s">
        <v>87</v>
      </c>
      <c r="C22" s="51" t="s">
        <v>53</v>
      </c>
      <c r="D22" s="51" t="s">
        <v>88</v>
      </c>
      <c r="E22" s="33" t="s">
        <v>89</v>
      </c>
      <c r="F22" s="23" t="s">
        <v>31</v>
      </c>
      <c r="G22" s="24">
        <v>1.0</v>
      </c>
      <c r="H22" s="25">
        <v>600000.0</v>
      </c>
      <c r="I22" s="26">
        <v>45893.0</v>
      </c>
      <c r="J22" s="39">
        <v>200000.0</v>
      </c>
      <c r="K22" s="47">
        <f>20000+180000</f>
        <v>200000</v>
      </c>
      <c r="L22" s="50"/>
      <c r="M22" s="27"/>
      <c r="N22" s="28">
        <v>45894.0</v>
      </c>
      <c r="O22" s="29">
        <v>45925.0</v>
      </c>
      <c r="P22" s="30">
        <v>8300.0</v>
      </c>
      <c r="Q22" s="55">
        <v>46284.0</v>
      </c>
      <c r="R22" s="31"/>
      <c r="S22" s="27"/>
      <c r="T22" s="60" t="s">
        <v>90</v>
      </c>
      <c r="U22" s="4"/>
      <c r="V22" s="4"/>
      <c r="W22" s="4"/>
      <c r="X22" s="4"/>
      <c r="Y22" s="4"/>
      <c r="Z22" s="4"/>
    </row>
    <row r="23" ht="34.5" hidden="1" customHeight="1">
      <c r="A23" s="19" t="s">
        <v>91</v>
      </c>
      <c r="B23" s="20" t="s">
        <v>92</v>
      </c>
      <c r="C23" s="51" t="s">
        <v>93</v>
      </c>
      <c r="D23" s="51" t="s">
        <v>94</v>
      </c>
      <c r="E23" s="33" t="s">
        <v>95</v>
      </c>
      <c r="F23" s="23" t="s">
        <v>31</v>
      </c>
      <c r="G23" s="24">
        <v>1.0</v>
      </c>
      <c r="H23" s="25">
        <v>500000.0</v>
      </c>
      <c r="I23" s="26">
        <v>45896.0</v>
      </c>
      <c r="J23" s="39">
        <v>120000.0</v>
      </c>
      <c r="K23" s="47">
        <v>120000.0</v>
      </c>
      <c r="L23" s="50"/>
      <c r="M23" s="27"/>
      <c r="N23" s="28">
        <v>45911.0</v>
      </c>
      <c r="O23" s="29">
        <v>45958.0</v>
      </c>
      <c r="P23" s="30">
        <v>7300.0</v>
      </c>
      <c r="Q23" s="42">
        <v>46281.0</v>
      </c>
      <c r="R23" s="61" t="s">
        <v>96</v>
      </c>
      <c r="S23" s="30">
        <v>15000.0</v>
      </c>
      <c r="T23" s="45" t="s">
        <v>90</v>
      </c>
      <c r="U23" s="4"/>
      <c r="V23" s="4"/>
      <c r="W23" s="4"/>
      <c r="X23" s="4"/>
      <c r="Y23" s="4"/>
      <c r="Z23" s="4"/>
    </row>
    <row r="24" ht="34.5" hidden="1" customHeight="1">
      <c r="A24" s="19" t="s">
        <v>97</v>
      </c>
      <c r="B24" s="62" t="s">
        <v>98</v>
      </c>
      <c r="C24" s="21" t="s">
        <v>99</v>
      </c>
      <c r="D24" s="21" t="s">
        <v>69</v>
      </c>
      <c r="E24" s="58" t="s">
        <v>70</v>
      </c>
      <c r="F24" s="23" t="s">
        <v>31</v>
      </c>
      <c r="G24" s="24">
        <v>1.0</v>
      </c>
      <c r="H24" s="25">
        <v>450000.0</v>
      </c>
      <c r="I24" s="26">
        <v>45897.0</v>
      </c>
      <c r="J24" s="39">
        <v>200000.0</v>
      </c>
      <c r="K24" s="47">
        <f>20000+100000+80000</f>
        <v>200000</v>
      </c>
      <c r="L24" s="50"/>
      <c r="M24" s="63"/>
      <c r="N24" s="28">
        <v>46146.0</v>
      </c>
      <c r="O24" s="29">
        <v>46162.0</v>
      </c>
      <c r="P24" s="30">
        <v>4000.0</v>
      </c>
      <c r="Q24" s="55">
        <v>46184.0</v>
      </c>
      <c r="R24" s="31"/>
      <c r="S24" s="27"/>
      <c r="T24" s="45" t="s">
        <v>100</v>
      </c>
      <c r="U24" s="4"/>
      <c r="V24" s="4"/>
      <c r="W24" s="4"/>
      <c r="X24" s="4"/>
      <c r="Y24" s="4"/>
      <c r="Z24" s="4"/>
    </row>
    <row r="25" ht="34.5" hidden="1" customHeight="1">
      <c r="A25" s="19" t="s">
        <v>101</v>
      </c>
      <c r="B25" s="20" t="s">
        <v>102</v>
      </c>
      <c r="C25" s="51" t="s">
        <v>103</v>
      </c>
      <c r="D25" s="51" t="s">
        <v>104</v>
      </c>
      <c r="E25" s="33" t="s">
        <v>105</v>
      </c>
      <c r="F25" s="23" t="s">
        <v>31</v>
      </c>
      <c r="G25" s="24">
        <v>1.0</v>
      </c>
      <c r="H25" s="25">
        <v>500000.0</v>
      </c>
      <c r="I25" s="26">
        <v>45897.0</v>
      </c>
      <c r="J25" s="39">
        <v>150000.0</v>
      </c>
      <c r="K25" s="47">
        <f>5000+50000+45000+5000+45000</f>
        <v>150000</v>
      </c>
      <c r="L25" s="50"/>
      <c r="M25" s="27"/>
      <c r="N25" s="28">
        <v>45952.0</v>
      </c>
      <c r="O25" s="29">
        <v>46050.0</v>
      </c>
      <c r="P25" s="30">
        <v>7000.0</v>
      </c>
      <c r="Q25" s="28">
        <v>46140.0</v>
      </c>
      <c r="R25" s="31"/>
      <c r="S25" s="27"/>
      <c r="T25" s="36" t="s">
        <v>106</v>
      </c>
      <c r="U25" s="4"/>
      <c r="V25" s="4"/>
      <c r="W25" s="4"/>
      <c r="X25" s="4"/>
      <c r="Y25" s="4"/>
      <c r="Z25" s="4"/>
    </row>
    <row r="26" ht="34.5" hidden="1" customHeight="1">
      <c r="A26" s="19" t="s">
        <v>107</v>
      </c>
      <c r="B26" s="20" t="s">
        <v>108</v>
      </c>
      <c r="C26" s="51" t="s">
        <v>103</v>
      </c>
      <c r="D26" s="51" t="s">
        <v>109</v>
      </c>
      <c r="E26" s="33" t="s">
        <v>110</v>
      </c>
      <c r="F26" s="23" t="s">
        <v>31</v>
      </c>
      <c r="G26" s="24">
        <v>1.0</v>
      </c>
      <c r="H26" s="25">
        <v>500000.0</v>
      </c>
      <c r="I26" s="26">
        <v>45897.0</v>
      </c>
      <c r="J26" s="39">
        <v>150000.0</v>
      </c>
      <c r="K26" s="47">
        <f>5000+50000+45000+5000+20000+25000</f>
        <v>150000</v>
      </c>
      <c r="L26" s="50"/>
      <c r="M26" s="27"/>
      <c r="N26" s="28">
        <v>45952.0</v>
      </c>
      <c r="O26" s="29">
        <v>46050.0</v>
      </c>
      <c r="P26" s="30">
        <v>7000.0</v>
      </c>
      <c r="Q26" s="28">
        <v>46140.0</v>
      </c>
      <c r="R26" s="31"/>
      <c r="S26" s="27"/>
      <c r="T26" s="36" t="s">
        <v>106</v>
      </c>
      <c r="U26" s="4"/>
      <c r="V26" s="4"/>
      <c r="W26" s="4"/>
      <c r="X26" s="4"/>
      <c r="Y26" s="4"/>
      <c r="Z26" s="4"/>
    </row>
    <row r="27" ht="34.5" hidden="1" customHeight="1">
      <c r="A27" s="19" t="s">
        <v>111</v>
      </c>
      <c r="B27" s="20" t="s">
        <v>112</v>
      </c>
      <c r="C27" s="51" t="s">
        <v>113</v>
      </c>
      <c r="D27" s="51" t="s">
        <v>114</v>
      </c>
      <c r="E27" s="33" t="s">
        <v>115</v>
      </c>
      <c r="F27" s="23" t="s">
        <v>31</v>
      </c>
      <c r="G27" s="24">
        <v>2.0</v>
      </c>
      <c r="H27" s="25">
        <v>1000000.0</v>
      </c>
      <c r="I27" s="26">
        <v>45899.0</v>
      </c>
      <c r="J27" s="39">
        <v>1000000.0</v>
      </c>
      <c r="K27" s="47">
        <f>200000+100000+700000</f>
        <v>1000000</v>
      </c>
      <c r="L27" s="50">
        <v>46037.0</v>
      </c>
      <c r="M27" s="27"/>
      <c r="N27" s="28">
        <v>45900.0</v>
      </c>
      <c r="O27" s="64" t="s">
        <v>116</v>
      </c>
      <c r="P27" s="30"/>
      <c r="Q27" s="28">
        <v>46037.0</v>
      </c>
      <c r="R27" s="31"/>
      <c r="S27" s="27"/>
      <c r="T27" s="65" t="s">
        <v>117</v>
      </c>
      <c r="U27" s="4"/>
      <c r="V27" s="4"/>
      <c r="W27" s="4"/>
      <c r="X27" s="4"/>
      <c r="Y27" s="4"/>
      <c r="Z27" s="4"/>
    </row>
    <row r="28" ht="34.5" hidden="1" customHeight="1">
      <c r="A28" s="19" t="s">
        <v>118</v>
      </c>
      <c r="B28" s="66"/>
      <c r="C28" s="67" t="s">
        <v>119</v>
      </c>
      <c r="D28" s="67" t="s">
        <v>120</v>
      </c>
      <c r="E28" s="33" t="s">
        <v>121</v>
      </c>
      <c r="F28" s="23" t="s">
        <v>31</v>
      </c>
      <c r="G28" s="24">
        <v>2.0</v>
      </c>
      <c r="H28" s="25">
        <v>1000000.0</v>
      </c>
      <c r="I28" s="28">
        <v>45909.0</v>
      </c>
      <c r="J28" s="27">
        <v>400000.0</v>
      </c>
      <c r="K28" s="27" t="s">
        <v>122</v>
      </c>
      <c r="L28" s="28"/>
      <c r="M28" s="27"/>
      <c r="N28" s="28"/>
      <c r="O28" s="29"/>
      <c r="P28" s="30"/>
      <c r="Q28" s="28"/>
      <c r="R28" s="31"/>
      <c r="S28" s="27"/>
      <c r="T28" s="36" t="s">
        <v>123</v>
      </c>
      <c r="U28" s="4"/>
      <c r="V28" s="4"/>
      <c r="W28" s="4"/>
      <c r="X28" s="4"/>
      <c r="Y28" s="4"/>
      <c r="Z28" s="4"/>
    </row>
    <row r="29" ht="34.5" hidden="1" customHeight="1">
      <c r="A29" s="19" t="s">
        <v>124</v>
      </c>
      <c r="B29" s="66"/>
      <c r="C29" s="67" t="s">
        <v>125</v>
      </c>
      <c r="D29" s="67" t="s">
        <v>126</v>
      </c>
      <c r="E29" s="37"/>
      <c r="F29" s="23" t="s">
        <v>31</v>
      </c>
      <c r="G29" s="24">
        <v>1.0</v>
      </c>
      <c r="H29" s="25">
        <v>500000.0</v>
      </c>
      <c r="I29" s="26">
        <v>45911.0</v>
      </c>
      <c r="J29" s="27">
        <v>150000.0</v>
      </c>
      <c r="K29" s="34" t="s">
        <v>127</v>
      </c>
      <c r="L29" s="35">
        <v>45925.0</v>
      </c>
      <c r="M29" s="34">
        <v>150000.0</v>
      </c>
      <c r="N29" s="28"/>
      <c r="O29" s="29"/>
      <c r="P29" s="30"/>
      <c r="Q29" s="28"/>
      <c r="R29" s="31"/>
      <c r="S29" s="27"/>
      <c r="T29" s="36" t="s">
        <v>123</v>
      </c>
      <c r="U29" s="4"/>
      <c r="V29" s="4"/>
      <c r="W29" s="4"/>
      <c r="X29" s="4"/>
      <c r="Y29" s="4"/>
      <c r="Z29" s="4"/>
    </row>
    <row r="30" ht="34.5" hidden="1" customHeight="1">
      <c r="A30" s="19" t="s">
        <v>128</v>
      </c>
      <c r="B30" s="66"/>
      <c r="C30" s="51" t="s">
        <v>113</v>
      </c>
      <c r="D30" s="51" t="s">
        <v>129</v>
      </c>
      <c r="E30" s="33" t="s">
        <v>130</v>
      </c>
      <c r="F30" s="23" t="s">
        <v>31</v>
      </c>
      <c r="G30" s="24">
        <v>2.0</v>
      </c>
      <c r="H30" s="25">
        <v>1200000.0</v>
      </c>
      <c r="I30" s="26">
        <v>45916.0</v>
      </c>
      <c r="J30" s="27">
        <v>300000.0</v>
      </c>
      <c r="K30" s="47">
        <v>20000.0</v>
      </c>
      <c r="L30" s="35">
        <v>45966.0</v>
      </c>
      <c r="M30" s="34">
        <v>280000.0</v>
      </c>
      <c r="N30" s="28"/>
      <c r="O30" s="29"/>
      <c r="P30" s="30">
        <v>18000.0</v>
      </c>
      <c r="Q30" s="28">
        <v>45917.0</v>
      </c>
      <c r="R30" s="31"/>
      <c r="S30" s="27"/>
      <c r="T30" s="36" t="s">
        <v>32</v>
      </c>
      <c r="U30" s="4"/>
      <c r="V30" s="4"/>
      <c r="W30" s="4"/>
      <c r="X30" s="4"/>
      <c r="Y30" s="4"/>
      <c r="Z30" s="4"/>
    </row>
    <row r="31" ht="34.5" hidden="1" customHeight="1">
      <c r="A31" s="19" t="s">
        <v>131</v>
      </c>
      <c r="B31" s="66"/>
      <c r="C31" s="51" t="s">
        <v>132</v>
      </c>
      <c r="D31" s="51" t="s">
        <v>133</v>
      </c>
      <c r="E31" s="33" t="s">
        <v>134</v>
      </c>
      <c r="F31" s="23" t="s">
        <v>31</v>
      </c>
      <c r="G31" s="24">
        <v>1.0</v>
      </c>
      <c r="H31" s="25">
        <v>500000.0</v>
      </c>
      <c r="I31" s="26">
        <v>45927.0</v>
      </c>
      <c r="J31" s="27">
        <v>100000.0</v>
      </c>
      <c r="K31" s="47">
        <v>5000.0</v>
      </c>
      <c r="L31" s="35">
        <v>45945.0</v>
      </c>
      <c r="M31" s="34">
        <v>95000.0</v>
      </c>
      <c r="N31" s="28"/>
      <c r="O31" s="29"/>
      <c r="P31" s="30">
        <v>10000.0</v>
      </c>
      <c r="Q31" s="28">
        <v>45927.0</v>
      </c>
      <c r="R31" s="31"/>
      <c r="S31" s="27"/>
      <c r="T31" s="36" t="s">
        <v>32</v>
      </c>
      <c r="U31" s="4"/>
      <c r="V31" s="4"/>
      <c r="W31" s="4"/>
      <c r="X31" s="4"/>
      <c r="Y31" s="4"/>
      <c r="Z31" s="4"/>
    </row>
    <row r="32" ht="34.5" hidden="1" customHeight="1">
      <c r="A32" s="19" t="s">
        <v>135</v>
      </c>
      <c r="B32" s="20" t="s">
        <v>136</v>
      </c>
      <c r="C32" s="51" t="s">
        <v>113</v>
      </c>
      <c r="D32" s="51" t="s">
        <v>137</v>
      </c>
      <c r="E32" s="37"/>
      <c r="F32" s="23" t="s">
        <v>31</v>
      </c>
      <c r="G32" s="24">
        <v>4.0</v>
      </c>
      <c r="H32" s="25">
        <v>2400000.0</v>
      </c>
      <c r="I32" s="26">
        <v>45930.0</v>
      </c>
      <c r="J32" s="27">
        <v>920000.0</v>
      </c>
      <c r="K32" s="49">
        <f>320000+100000</f>
        <v>420000</v>
      </c>
      <c r="L32" s="48">
        <v>46096.0</v>
      </c>
      <c r="M32" s="49">
        <v>300000.0</v>
      </c>
      <c r="N32" s="28">
        <v>45945.0</v>
      </c>
      <c r="O32" s="29">
        <v>45966.0</v>
      </c>
      <c r="P32" s="30">
        <v>29600.0</v>
      </c>
      <c r="Q32" s="68">
        <v>46093.0</v>
      </c>
      <c r="R32" s="61" t="s">
        <v>138</v>
      </c>
      <c r="S32" s="30">
        <v>300000.0</v>
      </c>
      <c r="T32" s="36" t="s">
        <v>139</v>
      </c>
      <c r="U32" s="4"/>
      <c r="V32" s="4"/>
      <c r="W32" s="4"/>
      <c r="X32" s="4"/>
      <c r="Y32" s="4"/>
      <c r="Z32" s="4"/>
    </row>
    <row r="33" ht="34.5" hidden="1" customHeight="1">
      <c r="A33" s="19" t="s">
        <v>140</v>
      </c>
      <c r="B33" s="62" t="s">
        <v>141</v>
      </c>
      <c r="C33" s="51" t="s">
        <v>53</v>
      </c>
      <c r="D33" s="51" t="s">
        <v>142</v>
      </c>
      <c r="E33" s="33" t="s">
        <v>143</v>
      </c>
      <c r="F33" s="23" t="s">
        <v>31</v>
      </c>
      <c r="G33" s="24">
        <v>1.0</v>
      </c>
      <c r="H33" s="25">
        <v>500000.0</v>
      </c>
      <c r="I33" s="26">
        <v>45931.0</v>
      </c>
      <c r="J33" s="39">
        <v>100000.0</v>
      </c>
      <c r="K33" s="39">
        <f t="shared" ref="K33:K34" si="1">50000+12500+25000+12500</f>
        <v>100000</v>
      </c>
      <c r="L33" s="50"/>
      <c r="M33" s="63"/>
      <c r="N33" s="55">
        <v>46156.0</v>
      </c>
      <c r="O33" s="41">
        <v>46183.0</v>
      </c>
      <c r="P33" s="69">
        <v>5000.0</v>
      </c>
      <c r="Q33" s="55">
        <v>46254.0</v>
      </c>
      <c r="R33" s="70"/>
      <c r="S33" s="63"/>
      <c r="T33" s="60" t="s">
        <v>144</v>
      </c>
      <c r="U33" s="4"/>
      <c r="V33" s="4"/>
      <c r="W33" s="4"/>
      <c r="X33" s="4"/>
      <c r="Y33" s="4"/>
      <c r="Z33" s="4"/>
    </row>
    <row r="34" ht="34.5" hidden="1" customHeight="1">
      <c r="A34" s="19" t="s">
        <v>145</v>
      </c>
      <c r="B34" s="62" t="s">
        <v>146</v>
      </c>
      <c r="C34" s="51" t="s">
        <v>53</v>
      </c>
      <c r="D34" s="51" t="s">
        <v>147</v>
      </c>
      <c r="E34" s="33" t="s">
        <v>148</v>
      </c>
      <c r="F34" s="23" t="s">
        <v>31</v>
      </c>
      <c r="G34" s="24">
        <v>1.0</v>
      </c>
      <c r="H34" s="25">
        <v>500000.0</v>
      </c>
      <c r="I34" s="26">
        <v>45931.0</v>
      </c>
      <c r="J34" s="39">
        <v>100000.0</v>
      </c>
      <c r="K34" s="39">
        <f t="shared" si="1"/>
        <v>100000</v>
      </c>
      <c r="L34" s="50"/>
      <c r="M34" s="63"/>
      <c r="N34" s="55">
        <v>46156.0</v>
      </c>
      <c r="O34" s="41">
        <v>46183.0</v>
      </c>
      <c r="P34" s="69">
        <v>5000.0</v>
      </c>
      <c r="Q34" s="55">
        <v>46254.0</v>
      </c>
      <c r="R34" s="71"/>
      <c r="S34" s="63"/>
      <c r="T34" s="60" t="s">
        <v>144</v>
      </c>
      <c r="U34" s="4"/>
      <c r="V34" s="4"/>
      <c r="W34" s="4"/>
      <c r="X34" s="4"/>
      <c r="Y34" s="4"/>
      <c r="Z34" s="4"/>
    </row>
    <row r="35" ht="34.5" hidden="1" customHeight="1">
      <c r="A35" s="19" t="s">
        <v>149</v>
      </c>
      <c r="B35" s="20"/>
      <c r="C35" s="72" t="s">
        <v>53</v>
      </c>
      <c r="D35" s="72" t="s">
        <v>142</v>
      </c>
      <c r="E35" s="33" t="s">
        <v>143</v>
      </c>
      <c r="F35" s="23" t="s">
        <v>150</v>
      </c>
      <c r="G35" s="24">
        <v>1.0</v>
      </c>
      <c r="H35" s="25">
        <v>300000.0</v>
      </c>
      <c r="I35" s="26">
        <v>45941.0</v>
      </c>
      <c r="J35" s="73">
        <v>100000.0</v>
      </c>
      <c r="K35" s="49">
        <f>5000+15000+5000</f>
        <v>25000</v>
      </c>
      <c r="L35" s="74">
        <v>46191.0</v>
      </c>
      <c r="M35" s="49">
        <f t="shared" ref="M35:M38" si="2">J35-K35</f>
        <v>75000</v>
      </c>
      <c r="N35" s="28"/>
      <c r="O35" s="48"/>
      <c r="P35" s="30">
        <v>5000.0</v>
      </c>
      <c r="Q35" s="75">
        <v>46181.0</v>
      </c>
      <c r="R35" s="76"/>
      <c r="S35" s="77"/>
      <c r="T35" s="36" t="s">
        <v>32</v>
      </c>
      <c r="U35" s="4"/>
      <c r="V35" s="4"/>
      <c r="W35" s="4"/>
      <c r="X35" s="4"/>
      <c r="Y35" s="4"/>
      <c r="Z35" s="4"/>
    </row>
    <row r="36" ht="34.5" hidden="1" customHeight="1">
      <c r="A36" s="19" t="s">
        <v>151</v>
      </c>
      <c r="B36" s="20"/>
      <c r="C36" s="72" t="s">
        <v>53</v>
      </c>
      <c r="D36" s="72" t="s">
        <v>147</v>
      </c>
      <c r="E36" s="33" t="s">
        <v>148</v>
      </c>
      <c r="F36" s="23" t="s">
        <v>150</v>
      </c>
      <c r="G36" s="24">
        <v>1.0</v>
      </c>
      <c r="H36" s="25">
        <v>300000.0</v>
      </c>
      <c r="I36" s="26">
        <v>45941.0</v>
      </c>
      <c r="J36" s="73">
        <v>100000.0</v>
      </c>
      <c r="K36" s="49">
        <f>15000+5000</f>
        <v>20000</v>
      </c>
      <c r="L36" s="74">
        <v>46191.0</v>
      </c>
      <c r="M36" s="49">
        <f t="shared" si="2"/>
        <v>80000</v>
      </c>
      <c r="N36" s="28"/>
      <c r="O36" s="48"/>
      <c r="P36" s="30">
        <v>5000.0</v>
      </c>
      <c r="Q36" s="75">
        <v>46181.0</v>
      </c>
      <c r="R36" s="31"/>
      <c r="S36" s="27"/>
      <c r="T36" s="36" t="s">
        <v>32</v>
      </c>
      <c r="U36" s="4"/>
      <c r="V36" s="4"/>
      <c r="W36" s="4"/>
      <c r="X36" s="4"/>
      <c r="Y36" s="4"/>
      <c r="Z36" s="4"/>
    </row>
    <row r="37" ht="34.5" hidden="1" customHeight="1">
      <c r="A37" s="19" t="s">
        <v>152</v>
      </c>
      <c r="B37" s="20"/>
      <c r="C37" s="21" t="s">
        <v>99</v>
      </c>
      <c r="D37" s="51" t="s">
        <v>153</v>
      </c>
      <c r="E37" s="37"/>
      <c r="F37" s="23" t="s">
        <v>26</v>
      </c>
      <c r="G37" s="24" t="s">
        <v>154</v>
      </c>
      <c r="H37" s="25">
        <v>2.0E7</v>
      </c>
      <c r="I37" s="26">
        <v>45941.0</v>
      </c>
      <c r="J37" s="78">
        <v>2.0E7</v>
      </c>
      <c r="K37" s="49">
        <f>500000+3900000+3000000+6000000+300000</f>
        <v>13700000</v>
      </c>
      <c r="L37" s="48">
        <v>46027.0</v>
      </c>
      <c r="M37" s="49">
        <f t="shared" si="2"/>
        <v>6300000</v>
      </c>
      <c r="N37" s="28"/>
      <c r="O37" s="29"/>
      <c r="P37" s="30"/>
      <c r="Q37" s="28">
        <v>45971.0</v>
      </c>
      <c r="R37" s="31"/>
      <c r="S37" s="27"/>
      <c r="T37" s="36" t="s">
        <v>155</v>
      </c>
      <c r="U37" s="4"/>
      <c r="V37" s="4"/>
      <c r="W37" s="4"/>
      <c r="X37" s="4"/>
      <c r="Y37" s="4"/>
      <c r="Z37" s="4"/>
    </row>
    <row r="38" ht="34.5" hidden="1" customHeight="1">
      <c r="A38" s="19" t="s">
        <v>156</v>
      </c>
      <c r="B38" s="20"/>
      <c r="C38" s="21" t="s">
        <v>39</v>
      </c>
      <c r="D38" s="51" t="s">
        <v>153</v>
      </c>
      <c r="E38" s="37"/>
      <c r="F38" s="23" t="s">
        <v>26</v>
      </c>
      <c r="G38" s="24" t="s">
        <v>157</v>
      </c>
      <c r="H38" s="25">
        <v>2.0E7</v>
      </c>
      <c r="I38" s="26">
        <v>45941.0</v>
      </c>
      <c r="J38" s="78">
        <v>2.0E7</v>
      </c>
      <c r="K38" s="49">
        <f>500000+800000+5000000</f>
        <v>6300000</v>
      </c>
      <c r="L38" s="48">
        <v>46027.0</v>
      </c>
      <c r="M38" s="49">
        <f t="shared" si="2"/>
        <v>13700000</v>
      </c>
      <c r="N38" s="28"/>
      <c r="O38" s="29"/>
      <c r="P38" s="30"/>
      <c r="Q38" s="28">
        <v>45971.0</v>
      </c>
      <c r="R38" s="79"/>
      <c r="S38" s="27"/>
      <c r="T38" s="36" t="s">
        <v>155</v>
      </c>
      <c r="U38" s="4"/>
      <c r="V38" s="4"/>
      <c r="W38" s="4"/>
      <c r="X38" s="4"/>
      <c r="Y38" s="4"/>
      <c r="Z38" s="4"/>
    </row>
    <row r="39" ht="34.5" hidden="1" customHeight="1">
      <c r="A39" s="19" t="s">
        <v>158</v>
      </c>
      <c r="B39" s="20"/>
      <c r="C39" s="21" t="s">
        <v>159</v>
      </c>
      <c r="D39" s="51" t="s">
        <v>160</v>
      </c>
      <c r="E39" s="33" t="s">
        <v>161</v>
      </c>
      <c r="F39" s="23" t="s">
        <v>31</v>
      </c>
      <c r="G39" s="24">
        <v>2.0</v>
      </c>
      <c r="H39" s="25">
        <v>1200000.0</v>
      </c>
      <c r="I39" s="26">
        <v>45946.0</v>
      </c>
      <c r="J39" s="27">
        <v>240000.0</v>
      </c>
      <c r="K39" s="34">
        <v>5000.0</v>
      </c>
      <c r="L39" s="35">
        <v>45971.0</v>
      </c>
      <c r="M39" s="34">
        <v>115000.0</v>
      </c>
      <c r="N39" s="28"/>
      <c r="O39" s="29">
        <v>45971.0</v>
      </c>
      <c r="P39" s="30">
        <v>20000.0</v>
      </c>
      <c r="Q39" s="80">
        <v>45946.0</v>
      </c>
      <c r="R39" s="57" t="s">
        <v>162</v>
      </c>
      <c r="S39" s="30">
        <v>120000.0</v>
      </c>
      <c r="T39" s="81" t="s">
        <v>163</v>
      </c>
      <c r="U39" s="4"/>
      <c r="V39" s="4"/>
      <c r="W39" s="4"/>
      <c r="X39" s="4"/>
      <c r="Y39" s="4"/>
      <c r="Z39" s="4"/>
    </row>
    <row r="40" ht="34.5" hidden="1" customHeight="1">
      <c r="A40" s="19" t="s">
        <v>164</v>
      </c>
      <c r="B40" s="20"/>
      <c r="C40" s="21" t="s">
        <v>165</v>
      </c>
      <c r="D40" s="51" t="s">
        <v>166</v>
      </c>
      <c r="E40" s="33" t="s">
        <v>167</v>
      </c>
      <c r="F40" s="23" t="s">
        <v>31</v>
      </c>
      <c r="G40" s="24">
        <v>2.0</v>
      </c>
      <c r="H40" s="25">
        <v>1200000.0</v>
      </c>
      <c r="I40" s="26">
        <v>45949.0</v>
      </c>
      <c r="J40" s="27">
        <v>210000.0</v>
      </c>
      <c r="K40" s="34">
        <v>10000.0</v>
      </c>
      <c r="L40" s="35">
        <v>45971.0</v>
      </c>
      <c r="M40" s="34">
        <v>200000.0</v>
      </c>
      <c r="N40" s="28"/>
      <c r="O40" s="29">
        <v>46001.0</v>
      </c>
      <c r="P40" s="30">
        <v>20000.0</v>
      </c>
      <c r="Q40" s="28">
        <v>45949.0</v>
      </c>
      <c r="R40" s="31"/>
      <c r="S40" s="27"/>
      <c r="T40" s="65" t="s">
        <v>168</v>
      </c>
      <c r="U40" s="4"/>
      <c r="V40" s="4"/>
      <c r="W40" s="4"/>
      <c r="X40" s="4"/>
      <c r="Y40" s="4"/>
      <c r="Z40" s="4"/>
    </row>
    <row r="41" ht="34.5" hidden="1" customHeight="1">
      <c r="A41" s="19" t="s">
        <v>169</v>
      </c>
      <c r="B41" s="20" t="s">
        <v>170</v>
      </c>
      <c r="C41" s="21" t="s">
        <v>103</v>
      </c>
      <c r="D41" s="51" t="s">
        <v>171</v>
      </c>
      <c r="E41" s="37"/>
      <c r="F41" s="23" t="s">
        <v>31</v>
      </c>
      <c r="G41" s="24">
        <v>1.0</v>
      </c>
      <c r="H41" s="25">
        <v>500000.0</v>
      </c>
      <c r="I41" s="26">
        <v>45953.0</v>
      </c>
      <c r="J41" s="39">
        <v>100000.0</v>
      </c>
      <c r="K41" s="39">
        <f>10000+50000+40000</f>
        <v>100000</v>
      </c>
      <c r="L41" s="50"/>
      <c r="M41" s="27"/>
      <c r="N41" s="28">
        <v>45983.0</v>
      </c>
      <c r="O41" s="48">
        <v>46037.0</v>
      </c>
      <c r="P41" s="49">
        <v>6500.0</v>
      </c>
      <c r="Q41" s="82">
        <v>46131.0</v>
      </c>
      <c r="R41" s="61" t="s">
        <v>172</v>
      </c>
      <c r="S41" s="30">
        <v>16500.0</v>
      </c>
      <c r="T41" s="36" t="s">
        <v>106</v>
      </c>
      <c r="U41" s="4"/>
      <c r="V41" s="4"/>
      <c r="W41" s="4"/>
      <c r="X41" s="4"/>
      <c r="Y41" s="4"/>
      <c r="Z41" s="4"/>
    </row>
    <row r="42" ht="34.5" hidden="1" customHeight="1">
      <c r="A42" s="19" t="s">
        <v>173</v>
      </c>
      <c r="B42" s="20"/>
      <c r="C42" s="51" t="s">
        <v>53</v>
      </c>
      <c r="D42" s="51" t="s">
        <v>88</v>
      </c>
      <c r="E42" s="33" t="s">
        <v>89</v>
      </c>
      <c r="F42" s="23" t="s">
        <v>150</v>
      </c>
      <c r="G42" s="24">
        <v>1.0</v>
      </c>
      <c r="H42" s="25">
        <v>300000.0</v>
      </c>
      <c r="I42" s="26">
        <v>45960.0</v>
      </c>
      <c r="J42" s="27">
        <v>100000.0</v>
      </c>
      <c r="K42" s="49">
        <f>30000+30000</f>
        <v>60000</v>
      </c>
      <c r="L42" s="48">
        <v>46095.0</v>
      </c>
      <c r="M42" s="49">
        <v>40000.0</v>
      </c>
      <c r="N42" s="28"/>
      <c r="O42" s="29">
        <v>46068.0</v>
      </c>
      <c r="P42" s="30">
        <v>4000.0</v>
      </c>
      <c r="Q42" s="26">
        <v>46028.0</v>
      </c>
      <c r="R42" s="31"/>
      <c r="S42" s="27"/>
      <c r="T42" s="81" t="s">
        <v>174</v>
      </c>
      <c r="U42" s="4"/>
      <c r="V42" s="4"/>
      <c r="W42" s="4"/>
      <c r="X42" s="4"/>
      <c r="Y42" s="4"/>
      <c r="Z42" s="4"/>
    </row>
    <row r="43" ht="34.5" hidden="1" customHeight="1">
      <c r="A43" s="83">
        <v>46116.0</v>
      </c>
      <c r="B43" s="20" t="s">
        <v>175</v>
      </c>
      <c r="C43" s="51" t="s">
        <v>176</v>
      </c>
      <c r="D43" s="51" t="s">
        <v>177</v>
      </c>
      <c r="E43" s="33" t="s">
        <v>178</v>
      </c>
      <c r="F43" s="23" t="s">
        <v>31</v>
      </c>
      <c r="G43" s="24">
        <v>2.0</v>
      </c>
      <c r="H43" s="25">
        <v>1000000.0</v>
      </c>
      <c r="I43" s="26">
        <v>45962.0</v>
      </c>
      <c r="J43" s="39">
        <v>200000.0</v>
      </c>
      <c r="K43" s="39">
        <v>200000.0</v>
      </c>
      <c r="L43" s="50"/>
      <c r="M43" s="27"/>
      <c r="N43" s="28">
        <v>45964.0</v>
      </c>
      <c r="O43" s="29">
        <v>46006.0</v>
      </c>
      <c r="P43" s="30">
        <v>16000.0</v>
      </c>
      <c r="Q43" s="84">
        <v>46246.0</v>
      </c>
      <c r="R43" s="31"/>
      <c r="S43" s="27"/>
      <c r="T43" s="45" t="s">
        <v>179</v>
      </c>
      <c r="U43" s="4"/>
      <c r="V43" s="4"/>
      <c r="W43" s="4"/>
      <c r="X43" s="4"/>
      <c r="Y43" s="4"/>
      <c r="Z43" s="4"/>
    </row>
    <row r="44" ht="34.5" hidden="1" customHeight="1">
      <c r="A44" s="19" t="s">
        <v>180</v>
      </c>
      <c r="B44" s="20" t="s">
        <v>181</v>
      </c>
      <c r="C44" s="21" t="s">
        <v>103</v>
      </c>
      <c r="D44" s="51" t="s">
        <v>182</v>
      </c>
      <c r="E44" s="37"/>
      <c r="F44" s="23" t="s">
        <v>150</v>
      </c>
      <c r="G44" s="24">
        <v>1.0</v>
      </c>
      <c r="H44" s="25">
        <v>200000.0</v>
      </c>
      <c r="I44" s="26">
        <v>45962.0</v>
      </c>
      <c r="J44" s="39">
        <f>100000+100000</f>
        <v>200000</v>
      </c>
      <c r="K44" s="39">
        <f>5000+30000+165000</f>
        <v>200000</v>
      </c>
      <c r="L44" s="85" t="s">
        <v>183</v>
      </c>
      <c r="M44" s="27"/>
      <c r="N44" s="28">
        <v>46004.0</v>
      </c>
      <c r="O44" s="64" t="s">
        <v>116</v>
      </c>
      <c r="P44" s="30"/>
      <c r="Q44" s="28">
        <v>46004.0</v>
      </c>
      <c r="R44" s="31"/>
      <c r="S44" s="27"/>
      <c r="T44" s="65" t="s">
        <v>117</v>
      </c>
      <c r="U44" s="4"/>
      <c r="V44" s="4"/>
      <c r="W44" s="4"/>
      <c r="X44" s="4"/>
      <c r="Y44" s="4"/>
      <c r="Z44" s="4"/>
    </row>
    <row r="45" ht="34.5" hidden="1" customHeight="1">
      <c r="A45" s="19" t="s">
        <v>184</v>
      </c>
      <c r="B45" s="20" t="s">
        <v>185</v>
      </c>
      <c r="C45" s="51" t="s">
        <v>159</v>
      </c>
      <c r="D45" s="51" t="s">
        <v>186</v>
      </c>
      <c r="E45" s="33" t="s">
        <v>187</v>
      </c>
      <c r="F45" s="23" t="s">
        <v>31</v>
      </c>
      <c r="G45" s="24">
        <v>1.0</v>
      </c>
      <c r="H45" s="25">
        <v>500000.0</v>
      </c>
      <c r="I45" s="26">
        <v>45962.0</v>
      </c>
      <c r="J45" s="39">
        <v>125000.0</v>
      </c>
      <c r="K45" s="39">
        <f>5000+50000+65000</f>
        <v>120000</v>
      </c>
      <c r="L45" s="50"/>
      <c r="M45" s="27"/>
      <c r="N45" s="28">
        <v>46009.0</v>
      </c>
      <c r="O45" s="29">
        <v>46037.0</v>
      </c>
      <c r="P45" s="30">
        <v>7500.0</v>
      </c>
      <c r="Q45" s="86">
        <v>46263.0</v>
      </c>
      <c r="R45" s="31"/>
      <c r="S45" s="27"/>
      <c r="T45" s="60" t="s">
        <v>42</v>
      </c>
      <c r="U45" s="4"/>
      <c r="V45" s="4"/>
      <c r="W45" s="4"/>
      <c r="X45" s="4"/>
      <c r="Y45" s="4"/>
      <c r="Z45" s="4"/>
    </row>
    <row r="46" ht="34.5" hidden="1" customHeight="1">
      <c r="A46" s="19" t="s">
        <v>188</v>
      </c>
      <c r="B46" s="20"/>
      <c r="C46" s="67" t="s">
        <v>189</v>
      </c>
      <c r="D46" s="67" t="s">
        <v>190</v>
      </c>
      <c r="E46" s="37"/>
      <c r="F46" s="23" t="s">
        <v>31</v>
      </c>
      <c r="G46" s="24">
        <v>1.0</v>
      </c>
      <c r="H46" s="25">
        <v>550000.0</v>
      </c>
      <c r="I46" s="26">
        <v>45965.0</v>
      </c>
      <c r="J46" s="78">
        <v>550000.0</v>
      </c>
      <c r="K46" s="49">
        <v>10000.0</v>
      </c>
      <c r="L46" s="87">
        <v>46006.0</v>
      </c>
      <c r="M46" s="49">
        <v>540000.0</v>
      </c>
      <c r="N46" s="28"/>
      <c r="O46" s="29"/>
      <c r="P46" s="30"/>
      <c r="Q46" s="26">
        <v>45965.0</v>
      </c>
      <c r="R46" s="31"/>
      <c r="S46" s="27"/>
      <c r="T46" s="36" t="s">
        <v>32</v>
      </c>
      <c r="U46" s="4"/>
      <c r="V46" s="4"/>
      <c r="W46" s="4"/>
      <c r="X46" s="4"/>
      <c r="Y46" s="4"/>
      <c r="Z46" s="4"/>
    </row>
    <row r="47" ht="34.5" hidden="1" customHeight="1">
      <c r="A47" s="19" t="s">
        <v>191</v>
      </c>
      <c r="B47" s="20"/>
      <c r="C47" s="67" t="s">
        <v>192</v>
      </c>
      <c r="D47" s="67" t="s">
        <v>193</v>
      </c>
      <c r="E47" s="88" t="s">
        <v>194</v>
      </c>
      <c r="F47" s="89" t="s">
        <v>31</v>
      </c>
      <c r="G47" s="90">
        <v>1.0</v>
      </c>
      <c r="H47" s="91">
        <v>400000.0</v>
      </c>
      <c r="I47" s="92">
        <v>45971.0</v>
      </c>
      <c r="J47" s="34">
        <v>100000.0</v>
      </c>
      <c r="K47" s="34">
        <v>30000.0</v>
      </c>
      <c r="L47" s="92"/>
      <c r="M47" s="34"/>
      <c r="N47" s="35"/>
      <c r="O47" s="35"/>
      <c r="P47" s="34"/>
      <c r="Q47" s="92"/>
      <c r="R47" s="93"/>
      <c r="S47" s="34"/>
      <c r="T47" s="36" t="s">
        <v>195</v>
      </c>
      <c r="U47" s="4"/>
      <c r="V47" s="4"/>
      <c r="W47" s="4"/>
      <c r="X47" s="4"/>
      <c r="Y47" s="4"/>
      <c r="Z47" s="4"/>
    </row>
    <row r="48" ht="34.5" hidden="1" customHeight="1">
      <c r="A48" s="19" t="s">
        <v>196</v>
      </c>
      <c r="B48" s="20" t="s">
        <v>197</v>
      </c>
      <c r="C48" s="51" t="s">
        <v>198</v>
      </c>
      <c r="D48" s="51" t="s">
        <v>199</v>
      </c>
      <c r="E48" s="33" t="s">
        <v>200</v>
      </c>
      <c r="F48" s="23" t="s">
        <v>31</v>
      </c>
      <c r="G48" s="24">
        <v>1.0</v>
      </c>
      <c r="H48" s="25">
        <v>550000.0</v>
      </c>
      <c r="I48" s="26">
        <v>45977.0</v>
      </c>
      <c r="J48" s="94">
        <v>550000.0</v>
      </c>
      <c r="K48" s="39">
        <f>100000+100000+350000</f>
        <v>550000</v>
      </c>
      <c r="L48" s="85" t="s">
        <v>183</v>
      </c>
      <c r="M48" s="27">
        <f>J48-K48</f>
        <v>0</v>
      </c>
      <c r="N48" s="28">
        <v>46006.0</v>
      </c>
      <c r="O48" s="64" t="s">
        <v>116</v>
      </c>
      <c r="P48" s="30"/>
      <c r="Q48" s="26">
        <v>46006.0</v>
      </c>
      <c r="R48" s="31"/>
      <c r="S48" s="27"/>
      <c r="T48" s="65" t="s">
        <v>117</v>
      </c>
      <c r="U48" s="4"/>
      <c r="V48" s="4"/>
      <c r="W48" s="4"/>
      <c r="X48" s="4"/>
      <c r="Y48" s="4"/>
      <c r="Z48" s="4"/>
    </row>
    <row r="49" ht="34.5" hidden="1" customHeight="1">
      <c r="A49" s="19" t="s">
        <v>201</v>
      </c>
      <c r="B49" s="20" t="s">
        <v>202</v>
      </c>
      <c r="C49" s="51" t="s">
        <v>198</v>
      </c>
      <c r="D49" s="95" t="s">
        <v>203</v>
      </c>
      <c r="E49" s="33" t="s">
        <v>200</v>
      </c>
      <c r="F49" s="23" t="s">
        <v>31</v>
      </c>
      <c r="G49" s="24">
        <v>1.0</v>
      </c>
      <c r="H49" s="25">
        <v>550000.0</v>
      </c>
      <c r="I49" s="26">
        <v>45977.0</v>
      </c>
      <c r="J49" s="94">
        <v>550000.0</v>
      </c>
      <c r="K49" s="39">
        <f t="shared" ref="K49:K50" si="3">100000+450000</f>
        <v>550000</v>
      </c>
      <c r="L49" s="96" t="s">
        <v>183</v>
      </c>
      <c r="M49" s="27"/>
      <c r="N49" s="26">
        <v>45991.0</v>
      </c>
      <c r="O49" s="64" t="s">
        <v>116</v>
      </c>
      <c r="P49" s="30"/>
      <c r="Q49" s="26">
        <v>45991.0</v>
      </c>
      <c r="R49" s="31"/>
      <c r="S49" s="27"/>
      <c r="T49" s="65" t="s">
        <v>117</v>
      </c>
      <c r="U49" s="4"/>
      <c r="V49" s="4"/>
      <c r="W49" s="4"/>
      <c r="X49" s="4"/>
      <c r="Y49" s="4"/>
      <c r="Z49" s="4"/>
    </row>
    <row r="50" ht="34.5" hidden="1" customHeight="1">
      <c r="A50" s="19" t="s">
        <v>204</v>
      </c>
      <c r="B50" s="20" t="s">
        <v>205</v>
      </c>
      <c r="C50" s="51" t="s">
        <v>198</v>
      </c>
      <c r="D50" s="95" t="s">
        <v>206</v>
      </c>
      <c r="E50" s="33" t="s">
        <v>207</v>
      </c>
      <c r="F50" s="23" t="s">
        <v>31</v>
      </c>
      <c r="G50" s="24">
        <v>1.0</v>
      </c>
      <c r="H50" s="25">
        <v>550000.0</v>
      </c>
      <c r="I50" s="26">
        <v>45977.0</v>
      </c>
      <c r="J50" s="94">
        <v>550000.0</v>
      </c>
      <c r="K50" s="39">
        <f t="shared" si="3"/>
        <v>550000</v>
      </c>
      <c r="L50" s="96" t="s">
        <v>183</v>
      </c>
      <c r="M50" s="27"/>
      <c r="N50" s="26">
        <v>45991.0</v>
      </c>
      <c r="O50" s="64" t="s">
        <v>116</v>
      </c>
      <c r="P50" s="30"/>
      <c r="Q50" s="26">
        <v>45991.0</v>
      </c>
      <c r="R50" s="31"/>
      <c r="S50" s="27"/>
      <c r="T50" s="65" t="s">
        <v>117</v>
      </c>
      <c r="U50" s="4"/>
      <c r="V50" s="4"/>
      <c r="W50" s="4"/>
      <c r="X50" s="4"/>
      <c r="Y50" s="4"/>
      <c r="Z50" s="4"/>
    </row>
    <row r="51" ht="34.5" hidden="1" customHeight="1">
      <c r="A51" s="19" t="s">
        <v>208</v>
      </c>
      <c r="B51" s="20" t="s">
        <v>209</v>
      </c>
      <c r="C51" s="51" t="s">
        <v>198</v>
      </c>
      <c r="D51" s="95" t="s">
        <v>210</v>
      </c>
      <c r="E51" s="33" t="s">
        <v>211</v>
      </c>
      <c r="F51" s="23" t="s">
        <v>31</v>
      </c>
      <c r="G51" s="24">
        <v>1.0</v>
      </c>
      <c r="H51" s="25">
        <v>300000.0</v>
      </c>
      <c r="I51" s="26">
        <v>45977.0</v>
      </c>
      <c r="J51" s="94">
        <v>300000.0</v>
      </c>
      <c r="K51" s="39">
        <f>100000+200000</f>
        <v>300000</v>
      </c>
      <c r="L51" s="96" t="s">
        <v>183</v>
      </c>
      <c r="M51" s="27"/>
      <c r="N51" s="26">
        <v>45991.0</v>
      </c>
      <c r="O51" s="64" t="s">
        <v>116</v>
      </c>
      <c r="P51" s="30"/>
      <c r="Q51" s="26">
        <v>45991.0</v>
      </c>
      <c r="R51" s="31"/>
      <c r="S51" s="27"/>
      <c r="T51" s="65" t="s">
        <v>117</v>
      </c>
      <c r="U51" s="4"/>
      <c r="V51" s="4"/>
      <c r="W51" s="4"/>
      <c r="X51" s="4"/>
      <c r="Y51" s="4"/>
      <c r="Z51" s="4"/>
    </row>
    <row r="52" ht="34.5" hidden="1" customHeight="1">
      <c r="A52" s="19" t="s">
        <v>212</v>
      </c>
      <c r="B52" s="20" t="s">
        <v>213</v>
      </c>
      <c r="C52" s="51" t="s">
        <v>119</v>
      </c>
      <c r="D52" s="51" t="s">
        <v>119</v>
      </c>
      <c r="E52" s="33" t="s">
        <v>214</v>
      </c>
      <c r="F52" s="23" t="s">
        <v>31</v>
      </c>
      <c r="G52" s="24">
        <v>1.0</v>
      </c>
      <c r="H52" s="25">
        <v>400000.0</v>
      </c>
      <c r="I52" s="26">
        <v>45981.0</v>
      </c>
      <c r="J52" s="39">
        <v>100000.0</v>
      </c>
      <c r="K52" s="39">
        <f>100000</f>
        <v>100000</v>
      </c>
      <c r="L52" s="97"/>
      <c r="M52" s="63"/>
      <c r="N52" s="28">
        <v>45981.0</v>
      </c>
      <c r="O52" s="29">
        <v>46019.0</v>
      </c>
      <c r="P52" s="30">
        <v>5000.0</v>
      </c>
      <c r="Q52" s="98">
        <v>46282.0</v>
      </c>
      <c r="R52" s="31"/>
      <c r="S52" s="27"/>
      <c r="T52" s="60" t="s">
        <v>90</v>
      </c>
      <c r="U52" s="4"/>
      <c r="V52" s="4"/>
      <c r="W52" s="4"/>
      <c r="X52" s="4"/>
      <c r="Y52" s="4"/>
      <c r="Z52" s="4"/>
    </row>
    <row r="53" ht="34.5" hidden="1" customHeight="1">
      <c r="A53" s="19" t="s">
        <v>215</v>
      </c>
      <c r="B53" s="20" t="s">
        <v>216</v>
      </c>
      <c r="C53" s="51" t="s">
        <v>53</v>
      </c>
      <c r="D53" s="51" t="s">
        <v>217</v>
      </c>
      <c r="E53" s="33" t="s">
        <v>218</v>
      </c>
      <c r="F53" s="23" t="s">
        <v>31</v>
      </c>
      <c r="G53" s="24">
        <v>1.0</v>
      </c>
      <c r="H53" s="25">
        <v>400000.0</v>
      </c>
      <c r="I53" s="26">
        <v>45984.0</v>
      </c>
      <c r="J53" s="94">
        <v>400000.0</v>
      </c>
      <c r="K53" s="39">
        <f>5000+395000</f>
        <v>400000</v>
      </c>
      <c r="L53" s="96" t="s">
        <v>183</v>
      </c>
      <c r="M53" s="27"/>
      <c r="N53" s="26">
        <v>45985.0</v>
      </c>
      <c r="O53" s="64" t="s">
        <v>116</v>
      </c>
      <c r="P53" s="30"/>
      <c r="Q53" s="26">
        <v>45985.0</v>
      </c>
      <c r="R53" s="31"/>
      <c r="S53" s="27"/>
      <c r="T53" s="65" t="s">
        <v>117</v>
      </c>
      <c r="U53" s="4"/>
      <c r="V53" s="4"/>
      <c r="W53" s="4"/>
      <c r="X53" s="4"/>
      <c r="Y53" s="4"/>
      <c r="Z53" s="4"/>
    </row>
    <row r="54" ht="34.5" hidden="1" customHeight="1">
      <c r="A54" s="19" t="s">
        <v>219</v>
      </c>
      <c r="B54" s="20"/>
      <c r="C54" s="51" t="s">
        <v>53</v>
      </c>
      <c r="D54" s="51" t="s">
        <v>220</v>
      </c>
      <c r="E54" s="33" t="s">
        <v>221</v>
      </c>
      <c r="F54" s="23" t="s">
        <v>31</v>
      </c>
      <c r="G54" s="24">
        <v>1.0</v>
      </c>
      <c r="H54" s="25">
        <v>500000.0</v>
      </c>
      <c r="I54" s="26">
        <v>45984.0</v>
      </c>
      <c r="J54" s="27">
        <f>5000+295000+200000</f>
        <v>500000</v>
      </c>
      <c r="K54" s="34">
        <f>5000+45000+50000</f>
        <v>100000</v>
      </c>
      <c r="L54" s="92">
        <v>46052.0</v>
      </c>
      <c r="M54" s="34">
        <v>200000.0</v>
      </c>
      <c r="N54" s="28"/>
      <c r="O54" s="64" t="s">
        <v>116</v>
      </c>
      <c r="P54" s="30"/>
      <c r="Q54" s="28">
        <v>46028.0</v>
      </c>
      <c r="R54" s="31"/>
      <c r="S54" s="99"/>
      <c r="T54" s="81" t="s">
        <v>222</v>
      </c>
      <c r="U54" s="4"/>
      <c r="V54" s="4"/>
      <c r="W54" s="4"/>
      <c r="X54" s="4"/>
      <c r="Y54" s="4"/>
      <c r="Z54" s="4"/>
    </row>
    <row r="55" ht="34.5" hidden="1" customHeight="1">
      <c r="A55" s="19" t="s">
        <v>223</v>
      </c>
      <c r="B55" s="20" t="s">
        <v>224</v>
      </c>
      <c r="C55" s="51" t="s">
        <v>225</v>
      </c>
      <c r="D55" s="51" t="s">
        <v>226</v>
      </c>
      <c r="E55" s="33" t="s">
        <v>227</v>
      </c>
      <c r="F55" s="23" t="s">
        <v>31</v>
      </c>
      <c r="G55" s="24">
        <v>1.0</v>
      </c>
      <c r="H55" s="25">
        <v>500000.0</v>
      </c>
      <c r="I55" s="26">
        <v>45987.0</v>
      </c>
      <c r="J55" s="39">
        <v>150000.0</v>
      </c>
      <c r="K55" s="39">
        <f>5000+55000+90000</f>
        <v>150000</v>
      </c>
      <c r="L55" s="97"/>
      <c r="M55" s="27"/>
      <c r="N55" s="28">
        <v>46036.0</v>
      </c>
      <c r="O55" s="100">
        <v>46064.0</v>
      </c>
      <c r="P55" s="30">
        <v>7000.0</v>
      </c>
      <c r="Q55" s="55">
        <v>46265.0</v>
      </c>
      <c r="R55" s="101"/>
      <c r="S55" s="44"/>
      <c r="T55" s="60" t="s">
        <v>228</v>
      </c>
      <c r="U55" s="4"/>
      <c r="V55" s="4"/>
      <c r="W55" s="4"/>
      <c r="X55" s="4"/>
      <c r="Y55" s="4"/>
      <c r="Z55" s="4"/>
    </row>
    <row r="56" ht="34.5" hidden="1" customHeight="1">
      <c r="A56" s="19" t="s">
        <v>229</v>
      </c>
      <c r="B56" s="20"/>
      <c r="C56" s="21" t="s">
        <v>99</v>
      </c>
      <c r="D56" s="21" t="s">
        <v>69</v>
      </c>
      <c r="E56" s="58" t="s">
        <v>70</v>
      </c>
      <c r="F56" s="23" t="s">
        <v>150</v>
      </c>
      <c r="G56" s="24">
        <v>2.0</v>
      </c>
      <c r="H56" s="25">
        <v>700000.0</v>
      </c>
      <c r="I56" s="26">
        <v>45995.0</v>
      </c>
      <c r="J56" s="73">
        <v>120000.0</v>
      </c>
      <c r="K56" s="49">
        <f>10000+10000+50000+20000+7000</f>
        <v>97000</v>
      </c>
      <c r="L56" s="74">
        <v>46193.0</v>
      </c>
      <c r="M56" s="49">
        <f>J56-K56</f>
        <v>23000</v>
      </c>
      <c r="N56" s="28"/>
      <c r="O56" s="41">
        <v>46223.0</v>
      </c>
      <c r="P56" s="30">
        <v>7000.0</v>
      </c>
      <c r="Q56" s="55">
        <v>46184.0</v>
      </c>
      <c r="R56" s="31"/>
      <c r="S56" s="27"/>
      <c r="T56" s="60" t="s">
        <v>230</v>
      </c>
      <c r="U56" s="4"/>
      <c r="V56" s="4"/>
      <c r="W56" s="4"/>
      <c r="X56" s="4"/>
      <c r="Y56" s="4"/>
      <c r="Z56" s="4"/>
    </row>
    <row r="57" ht="34.5" hidden="1" customHeight="1">
      <c r="A57" s="19" t="s">
        <v>231</v>
      </c>
      <c r="B57" s="20" t="s">
        <v>232</v>
      </c>
      <c r="C57" s="51" t="s">
        <v>39</v>
      </c>
      <c r="D57" s="51" t="s">
        <v>233</v>
      </c>
      <c r="E57" s="33" t="s">
        <v>234</v>
      </c>
      <c r="F57" s="23" t="s">
        <v>31</v>
      </c>
      <c r="G57" s="24">
        <v>1.0</v>
      </c>
      <c r="H57" s="25">
        <v>350000.0</v>
      </c>
      <c r="I57" s="26">
        <v>45997.0</v>
      </c>
      <c r="J57" s="94">
        <v>350000.0</v>
      </c>
      <c r="K57" s="94">
        <v>350000.0</v>
      </c>
      <c r="L57" s="96" t="s">
        <v>183</v>
      </c>
      <c r="M57" s="27"/>
      <c r="N57" s="26">
        <v>45997.0</v>
      </c>
      <c r="O57" s="64" t="s">
        <v>116</v>
      </c>
      <c r="P57" s="30"/>
      <c r="Q57" s="26">
        <v>45997.0</v>
      </c>
      <c r="R57" s="101"/>
      <c r="S57" s="44"/>
      <c r="T57" s="65" t="s">
        <v>117</v>
      </c>
      <c r="U57" s="4"/>
      <c r="V57" s="4"/>
      <c r="W57" s="4"/>
      <c r="X57" s="4"/>
      <c r="Y57" s="4"/>
      <c r="Z57" s="4"/>
    </row>
    <row r="58" ht="34.5" hidden="1" customHeight="1">
      <c r="A58" s="19" t="s">
        <v>235</v>
      </c>
      <c r="B58" s="20"/>
      <c r="C58" s="51" t="s">
        <v>119</v>
      </c>
      <c r="D58" s="51" t="s">
        <v>236</v>
      </c>
      <c r="E58" s="33" t="s">
        <v>237</v>
      </c>
      <c r="F58" s="23" t="s">
        <v>150</v>
      </c>
      <c r="G58" s="24">
        <v>2.0</v>
      </c>
      <c r="H58" s="25">
        <v>1000000.0</v>
      </c>
      <c r="I58" s="26">
        <v>45997.0</v>
      </c>
      <c r="J58" s="27">
        <v>300000.0</v>
      </c>
      <c r="K58" s="49">
        <f>10000</f>
        <v>10000</v>
      </c>
      <c r="L58" s="87">
        <v>46032.0</v>
      </c>
      <c r="M58" s="49">
        <v>145000.0</v>
      </c>
      <c r="N58" s="28"/>
      <c r="O58" s="100">
        <v>46091.0</v>
      </c>
      <c r="P58" s="30">
        <v>17500.0</v>
      </c>
      <c r="Q58" s="26">
        <v>45997.0</v>
      </c>
      <c r="R58" s="101"/>
      <c r="S58" s="44"/>
      <c r="T58" s="81" t="s">
        <v>238</v>
      </c>
      <c r="U58" s="4"/>
      <c r="V58" s="4"/>
      <c r="W58" s="4"/>
      <c r="X58" s="4"/>
      <c r="Y58" s="4"/>
      <c r="Z58" s="4"/>
    </row>
    <row r="59" ht="48.0" hidden="1" customHeight="1">
      <c r="A59" s="19" t="s">
        <v>239</v>
      </c>
      <c r="B59" s="20"/>
      <c r="C59" s="51" t="s">
        <v>189</v>
      </c>
      <c r="D59" s="51" t="s">
        <v>240</v>
      </c>
      <c r="E59" s="33" t="s">
        <v>241</v>
      </c>
      <c r="F59" s="23" t="s">
        <v>31</v>
      </c>
      <c r="G59" s="24">
        <v>1.0</v>
      </c>
      <c r="H59" s="25">
        <v>500000.0</v>
      </c>
      <c r="I59" s="26">
        <v>45998.0</v>
      </c>
      <c r="J59" s="27">
        <v>101000.0</v>
      </c>
      <c r="K59" s="49">
        <f>5000+5000+7000+5000+5000</f>
        <v>27000</v>
      </c>
      <c r="L59" s="87">
        <v>46037.0</v>
      </c>
      <c r="M59" s="49">
        <v>31000.0</v>
      </c>
      <c r="N59" s="28"/>
      <c r="O59" s="29">
        <v>46127.0</v>
      </c>
      <c r="P59" s="30">
        <v>7000.0</v>
      </c>
      <c r="Q59" s="84">
        <v>46109.0</v>
      </c>
      <c r="R59" s="101"/>
      <c r="S59" s="44"/>
      <c r="T59" s="81" t="s">
        <v>242</v>
      </c>
      <c r="U59" s="4"/>
      <c r="V59" s="4"/>
      <c r="W59" s="4"/>
      <c r="X59" s="4"/>
      <c r="Y59" s="4"/>
      <c r="Z59" s="4"/>
    </row>
    <row r="60" ht="34.5" hidden="1" customHeight="1">
      <c r="A60" s="19" t="s">
        <v>243</v>
      </c>
      <c r="B60" s="20" t="s">
        <v>244</v>
      </c>
      <c r="C60" s="51" t="s">
        <v>125</v>
      </c>
      <c r="D60" s="51" t="s">
        <v>245</v>
      </c>
      <c r="E60" s="33" t="s">
        <v>246</v>
      </c>
      <c r="F60" s="23" t="s">
        <v>31</v>
      </c>
      <c r="G60" s="24">
        <v>2.0</v>
      </c>
      <c r="H60" s="25">
        <v>900000.0</v>
      </c>
      <c r="I60" s="26">
        <v>45998.0</v>
      </c>
      <c r="J60" s="39">
        <v>205000.0</v>
      </c>
      <c r="K60" s="39">
        <f>5000+200000</f>
        <v>205000</v>
      </c>
      <c r="L60" s="97"/>
      <c r="M60" s="27"/>
      <c r="N60" s="28">
        <v>46019.0</v>
      </c>
      <c r="O60" s="29">
        <v>46050.0</v>
      </c>
      <c r="P60" s="30">
        <v>10000.0</v>
      </c>
      <c r="Q60" s="28">
        <v>46151.0</v>
      </c>
      <c r="R60" s="102" t="s">
        <v>247</v>
      </c>
      <c r="S60" s="30"/>
      <c r="T60" s="81" t="s">
        <v>144</v>
      </c>
      <c r="U60" s="4"/>
      <c r="V60" s="4"/>
      <c r="W60" s="4"/>
      <c r="X60" s="4"/>
      <c r="Y60" s="4"/>
      <c r="Z60" s="4"/>
    </row>
    <row r="61" ht="34.5" hidden="1" customHeight="1">
      <c r="A61" s="19" t="s">
        <v>248</v>
      </c>
      <c r="B61" s="20" t="s">
        <v>249</v>
      </c>
      <c r="C61" s="51" t="s">
        <v>250</v>
      </c>
      <c r="D61" s="51" t="s">
        <v>251</v>
      </c>
      <c r="E61" s="33" t="s">
        <v>252</v>
      </c>
      <c r="F61" s="23" t="s">
        <v>26</v>
      </c>
      <c r="G61" s="24">
        <v>5.0</v>
      </c>
      <c r="H61" s="25">
        <v>5000000.0</v>
      </c>
      <c r="I61" s="26">
        <v>45999.0</v>
      </c>
      <c r="J61" s="27">
        <v>1000000.0</v>
      </c>
      <c r="K61" s="49">
        <f>50000+50000+280000+500000+100000</f>
        <v>980000</v>
      </c>
      <c r="L61" s="87">
        <v>46042.0</v>
      </c>
      <c r="M61" s="49">
        <f>J61-K61</f>
        <v>20000</v>
      </c>
      <c r="N61" s="48"/>
      <c r="O61" s="48">
        <v>46047.0</v>
      </c>
      <c r="P61" s="49">
        <v>55000.0</v>
      </c>
      <c r="Q61" s="84">
        <v>46259.0</v>
      </c>
      <c r="R61" s="61" t="s">
        <v>253</v>
      </c>
      <c r="S61" s="44">
        <v>40000.0</v>
      </c>
      <c r="T61" s="45" t="s">
        <v>228</v>
      </c>
      <c r="U61" s="4"/>
      <c r="V61" s="4"/>
      <c r="W61" s="4"/>
      <c r="X61" s="4"/>
      <c r="Y61" s="4"/>
      <c r="Z61" s="4"/>
    </row>
    <row r="62" ht="34.5" hidden="1" customHeight="1">
      <c r="A62" s="19" t="s">
        <v>254</v>
      </c>
      <c r="B62" s="20"/>
      <c r="C62" s="51" t="s">
        <v>119</v>
      </c>
      <c r="D62" s="51" t="s">
        <v>255</v>
      </c>
      <c r="E62" s="33" t="s">
        <v>256</v>
      </c>
      <c r="F62" s="23" t="s">
        <v>31</v>
      </c>
      <c r="G62" s="24">
        <v>4.0</v>
      </c>
      <c r="H62" s="25">
        <v>1600000.0</v>
      </c>
      <c r="I62" s="26">
        <v>46001.0</v>
      </c>
      <c r="J62" s="78">
        <v>1600000.0</v>
      </c>
      <c r="K62" s="27">
        <v>100000.0</v>
      </c>
      <c r="L62" s="26">
        <v>46106.0</v>
      </c>
      <c r="M62" s="27">
        <v>1500000.0</v>
      </c>
      <c r="N62" s="28"/>
      <c r="O62" s="64" t="s">
        <v>116</v>
      </c>
      <c r="P62" s="30"/>
      <c r="Q62" s="26">
        <v>46001.0</v>
      </c>
      <c r="R62" s="101"/>
      <c r="S62" s="44"/>
      <c r="T62" s="103" t="s">
        <v>257</v>
      </c>
      <c r="U62" s="4"/>
      <c r="V62" s="4"/>
      <c r="W62" s="4"/>
      <c r="X62" s="4"/>
      <c r="Y62" s="4"/>
      <c r="Z62" s="4"/>
    </row>
    <row r="63" ht="34.5" hidden="1" customHeight="1">
      <c r="A63" s="19" t="s">
        <v>258</v>
      </c>
      <c r="B63" s="20"/>
      <c r="C63" s="51" t="s">
        <v>53</v>
      </c>
      <c r="D63" s="51" t="s">
        <v>255</v>
      </c>
      <c r="E63" s="33" t="s">
        <v>256</v>
      </c>
      <c r="F63" s="23" t="s">
        <v>31</v>
      </c>
      <c r="G63" s="24">
        <v>1.0</v>
      </c>
      <c r="H63" s="25">
        <v>400000.0</v>
      </c>
      <c r="I63" s="26">
        <v>46005.0</v>
      </c>
      <c r="J63" s="27">
        <v>400000.0</v>
      </c>
      <c r="K63" s="27">
        <f>20000</f>
        <v>20000</v>
      </c>
      <c r="L63" s="26">
        <v>228727.0</v>
      </c>
      <c r="M63" s="27">
        <v>380000.0</v>
      </c>
      <c r="N63" s="28"/>
      <c r="O63" s="64" t="s">
        <v>116</v>
      </c>
      <c r="P63" s="30"/>
      <c r="Q63" s="26">
        <v>46005.0</v>
      </c>
      <c r="R63" s="101"/>
      <c r="S63" s="44"/>
      <c r="T63" s="36"/>
      <c r="U63" s="4"/>
      <c r="V63" s="4"/>
      <c r="W63" s="4"/>
      <c r="X63" s="4"/>
      <c r="Y63" s="4"/>
      <c r="Z63" s="4"/>
    </row>
    <row r="64" ht="34.5" hidden="1" customHeight="1">
      <c r="A64" s="19" t="s">
        <v>259</v>
      </c>
      <c r="B64" s="20" t="s">
        <v>260</v>
      </c>
      <c r="C64" s="51" t="s">
        <v>28</v>
      </c>
      <c r="D64" s="104" t="s">
        <v>261</v>
      </c>
      <c r="E64" s="105" t="s">
        <v>262</v>
      </c>
      <c r="F64" s="23" t="s">
        <v>31</v>
      </c>
      <c r="G64" s="24">
        <v>1.0</v>
      </c>
      <c r="H64" s="25">
        <v>600000.0</v>
      </c>
      <c r="I64" s="26">
        <v>46007.0</v>
      </c>
      <c r="J64" s="39">
        <v>80000.0</v>
      </c>
      <c r="K64" s="39">
        <f>50000+30000</f>
        <v>80000</v>
      </c>
      <c r="L64" s="97"/>
      <c r="M64" s="27"/>
      <c r="N64" s="28">
        <v>46047.0</v>
      </c>
      <c r="O64" s="100">
        <v>46078.0</v>
      </c>
      <c r="P64" s="30">
        <v>10000.0</v>
      </c>
      <c r="Q64" s="86">
        <v>46149.0</v>
      </c>
      <c r="R64" s="106"/>
      <c r="S64" s="30"/>
      <c r="T64" s="60" t="s">
        <v>144</v>
      </c>
      <c r="U64" s="4"/>
      <c r="V64" s="4"/>
      <c r="W64" s="4"/>
      <c r="X64" s="4"/>
      <c r="Y64" s="4"/>
      <c r="Z64" s="4"/>
    </row>
    <row r="65" ht="34.5" hidden="1" customHeight="1">
      <c r="A65" s="19" t="s">
        <v>263</v>
      </c>
      <c r="B65" s="20"/>
      <c r="C65" s="51" t="s">
        <v>189</v>
      </c>
      <c r="D65" s="51" t="s">
        <v>264</v>
      </c>
      <c r="E65" s="33" t="s">
        <v>265</v>
      </c>
      <c r="F65" s="23" t="s">
        <v>31</v>
      </c>
      <c r="G65" s="24">
        <v>1.0</v>
      </c>
      <c r="H65" s="25">
        <v>500000.0</v>
      </c>
      <c r="I65" s="26">
        <v>46009.0</v>
      </c>
      <c r="J65" s="27">
        <v>110000.0</v>
      </c>
      <c r="K65" s="34">
        <f>10000</f>
        <v>10000</v>
      </c>
      <c r="L65" s="92">
        <v>46018.0</v>
      </c>
      <c r="M65" s="34">
        <v>100000.0</v>
      </c>
      <c r="N65" s="28"/>
      <c r="O65" s="100">
        <v>46037.0</v>
      </c>
      <c r="P65" s="30">
        <v>7800.0</v>
      </c>
      <c r="Q65" s="26">
        <v>46009.0</v>
      </c>
      <c r="R65" s="101"/>
      <c r="S65" s="44"/>
      <c r="T65" s="36" t="s">
        <v>266</v>
      </c>
      <c r="U65" s="4"/>
      <c r="V65" s="4"/>
      <c r="W65" s="4"/>
      <c r="X65" s="4"/>
      <c r="Y65" s="4"/>
      <c r="Z65" s="4"/>
    </row>
    <row r="66" ht="34.5" hidden="1" customHeight="1">
      <c r="A66" s="19" t="s">
        <v>267</v>
      </c>
      <c r="B66" s="20" t="s">
        <v>268</v>
      </c>
      <c r="C66" s="51" t="s">
        <v>269</v>
      </c>
      <c r="D66" s="107" t="s">
        <v>270</v>
      </c>
      <c r="E66" s="33" t="s">
        <v>271</v>
      </c>
      <c r="F66" s="23" t="s">
        <v>272</v>
      </c>
      <c r="G66" s="24">
        <v>3.0</v>
      </c>
      <c r="H66" s="25">
        <v>1500000.0</v>
      </c>
      <c r="I66" s="26">
        <v>46009.0</v>
      </c>
      <c r="J66" s="27">
        <v>500000.0</v>
      </c>
      <c r="K66" s="27">
        <f>10000+190000</f>
        <v>200000</v>
      </c>
      <c r="L66" s="26">
        <v>46121.0</v>
      </c>
      <c r="M66" s="27">
        <v>300000.0</v>
      </c>
      <c r="N66" s="28">
        <v>46076.0</v>
      </c>
      <c r="O66" s="100">
        <v>46152.0</v>
      </c>
      <c r="P66" s="30">
        <v>20000.0</v>
      </c>
      <c r="Q66" s="26">
        <v>46076.0</v>
      </c>
      <c r="R66" s="101"/>
      <c r="S66" s="44"/>
      <c r="T66" s="36" t="s">
        <v>266</v>
      </c>
      <c r="U66" s="4"/>
      <c r="V66" s="4"/>
      <c r="W66" s="4"/>
      <c r="X66" s="4"/>
      <c r="Y66" s="4"/>
      <c r="Z66" s="4"/>
    </row>
    <row r="67" ht="34.5" hidden="1" customHeight="1">
      <c r="A67" s="19" t="s">
        <v>273</v>
      </c>
      <c r="B67" s="20" t="s">
        <v>274</v>
      </c>
      <c r="C67" s="51" t="s">
        <v>125</v>
      </c>
      <c r="D67" s="51" t="s">
        <v>275</v>
      </c>
      <c r="E67" s="33" t="s">
        <v>276</v>
      </c>
      <c r="F67" s="23" t="s">
        <v>31</v>
      </c>
      <c r="G67" s="24">
        <v>2.0</v>
      </c>
      <c r="H67" s="25">
        <v>1100000.0</v>
      </c>
      <c r="I67" s="26">
        <v>46013.0</v>
      </c>
      <c r="J67" s="39">
        <f>220000</f>
        <v>220000</v>
      </c>
      <c r="K67" s="39">
        <f>20000+100000+50000+50000</f>
        <v>220000</v>
      </c>
      <c r="L67" s="97"/>
      <c r="M67" s="53"/>
      <c r="N67" s="28">
        <v>46025.0</v>
      </c>
      <c r="O67" s="100">
        <v>46063.0</v>
      </c>
      <c r="P67" s="30">
        <v>12000.0</v>
      </c>
      <c r="Q67" s="55">
        <v>46210.0</v>
      </c>
      <c r="R67" s="102" t="s">
        <v>277</v>
      </c>
      <c r="S67" s="108" t="s">
        <v>278</v>
      </c>
      <c r="T67" s="60" t="s">
        <v>279</v>
      </c>
      <c r="U67" s="4"/>
      <c r="V67" s="4"/>
      <c r="W67" s="4"/>
      <c r="X67" s="4"/>
      <c r="Y67" s="4"/>
      <c r="Z67" s="4"/>
    </row>
    <row r="68" ht="34.5" hidden="1" customHeight="1">
      <c r="A68" s="19" t="s">
        <v>280</v>
      </c>
      <c r="B68" s="20" t="s">
        <v>281</v>
      </c>
      <c r="C68" s="51" t="s">
        <v>165</v>
      </c>
      <c r="D68" s="51" t="s">
        <v>282</v>
      </c>
      <c r="E68" s="37"/>
      <c r="F68" s="23" t="s">
        <v>31</v>
      </c>
      <c r="G68" s="24">
        <v>1.0</v>
      </c>
      <c r="H68" s="25">
        <v>450000.0</v>
      </c>
      <c r="I68" s="26">
        <v>46019.0</v>
      </c>
      <c r="J68" s="39">
        <f t="shared" ref="J68:K68" si="4">25000+100000</f>
        <v>125000</v>
      </c>
      <c r="K68" s="39">
        <f t="shared" si="4"/>
        <v>125000</v>
      </c>
      <c r="L68" s="97"/>
      <c r="M68" s="28"/>
      <c r="N68" s="28"/>
      <c r="O68" s="100">
        <v>46073.0</v>
      </c>
      <c r="P68" s="30">
        <v>6500.0</v>
      </c>
      <c r="Q68" s="42">
        <v>46112.0</v>
      </c>
      <c r="R68" s="101"/>
      <c r="S68" s="44"/>
      <c r="T68" s="36" t="s">
        <v>100</v>
      </c>
      <c r="U68" s="4"/>
      <c r="V68" s="4"/>
      <c r="W68" s="4"/>
      <c r="X68" s="4"/>
      <c r="Y68" s="4"/>
      <c r="Z68" s="4"/>
    </row>
    <row r="69" ht="34.5" hidden="1" customHeight="1">
      <c r="A69" s="19" t="s">
        <v>283</v>
      </c>
      <c r="B69" s="20" t="s">
        <v>284</v>
      </c>
      <c r="C69" s="51" t="s">
        <v>165</v>
      </c>
      <c r="D69" s="51" t="s">
        <v>285</v>
      </c>
      <c r="E69" s="37"/>
      <c r="F69" s="23" t="s">
        <v>31</v>
      </c>
      <c r="G69" s="24">
        <v>1.0</v>
      </c>
      <c r="H69" s="25">
        <v>450000.0</v>
      </c>
      <c r="I69" s="26">
        <v>46019.0</v>
      </c>
      <c r="J69" s="39">
        <f t="shared" ref="J69:K69" si="5">25000+100000</f>
        <v>125000</v>
      </c>
      <c r="K69" s="39">
        <f t="shared" si="5"/>
        <v>125000</v>
      </c>
      <c r="L69" s="97"/>
      <c r="M69" s="28"/>
      <c r="N69" s="28"/>
      <c r="O69" s="100">
        <v>46073.0</v>
      </c>
      <c r="P69" s="30">
        <v>6500.0</v>
      </c>
      <c r="Q69" s="42">
        <v>46112.0</v>
      </c>
      <c r="R69" s="101"/>
      <c r="S69" s="44"/>
      <c r="T69" s="36" t="s">
        <v>100</v>
      </c>
      <c r="U69" s="4"/>
      <c r="V69" s="4"/>
      <c r="W69" s="4"/>
      <c r="X69" s="4"/>
      <c r="Y69" s="4"/>
      <c r="Z69" s="4"/>
    </row>
    <row r="70" ht="34.5" hidden="1" customHeight="1">
      <c r="A70" s="19" t="s">
        <v>286</v>
      </c>
      <c r="B70" s="62" t="s">
        <v>287</v>
      </c>
      <c r="C70" s="51" t="s">
        <v>250</v>
      </c>
      <c r="D70" s="51" t="s">
        <v>288</v>
      </c>
      <c r="E70" s="33" t="s">
        <v>289</v>
      </c>
      <c r="F70" s="23" t="s">
        <v>31</v>
      </c>
      <c r="G70" s="24">
        <v>1.0</v>
      </c>
      <c r="H70" s="25">
        <v>500000.0</v>
      </c>
      <c r="I70" s="26">
        <v>46020.0</v>
      </c>
      <c r="J70" s="109">
        <v>60000.0</v>
      </c>
      <c r="K70" s="39">
        <f>10000+50000</f>
        <v>60000</v>
      </c>
      <c r="L70" s="97"/>
      <c r="M70" s="63"/>
      <c r="N70" s="86">
        <v>46163.0</v>
      </c>
      <c r="O70" s="110">
        <v>46188.0</v>
      </c>
      <c r="P70" s="69">
        <v>7000.0</v>
      </c>
      <c r="Q70" s="86">
        <v>46216.0</v>
      </c>
      <c r="R70" s="111" t="s">
        <v>290</v>
      </c>
      <c r="S70" s="112" t="s">
        <v>291</v>
      </c>
      <c r="T70" s="60" t="s">
        <v>292</v>
      </c>
      <c r="U70" s="4"/>
      <c r="V70" s="4"/>
      <c r="W70" s="4"/>
      <c r="X70" s="4"/>
      <c r="Y70" s="4"/>
      <c r="Z70" s="4"/>
    </row>
    <row r="71" ht="34.5" hidden="1" customHeight="1">
      <c r="A71" s="19" t="s">
        <v>293</v>
      </c>
      <c r="B71" s="20" t="s">
        <v>294</v>
      </c>
      <c r="C71" s="51" t="s">
        <v>119</v>
      </c>
      <c r="D71" s="51" t="s">
        <v>295</v>
      </c>
      <c r="E71" s="33" t="s">
        <v>296</v>
      </c>
      <c r="F71" s="23" t="s">
        <v>31</v>
      </c>
      <c r="G71" s="24">
        <v>2.0</v>
      </c>
      <c r="H71" s="25">
        <v>1000000.0</v>
      </c>
      <c r="I71" s="26">
        <v>46021.0</v>
      </c>
      <c r="J71" s="39">
        <v>400000.0</v>
      </c>
      <c r="K71" s="39">
        <v>400000.0</v>
      </c>
      <c r="L71" s="97"/>
      <c r="M71" s="27"/>
      <c r="N71" s="26">
        <v>46021.0</v>
      </c>
      <c r="O71" s="100">
        <v>46042.0</v>
      </c>
      <c r="P71" s="30">
        <v>12500.0</v>
      </c>
      <c r="Q71" s="113">
        <v>46226.0</v>
      </c>
      <c r="R71" s="101"/>
      <c r="S71" s="44"/>
      <c r="T71" s="60" t="s">
        <v>228</v>
      </c>
      <c r="U71" s="4"/>
      <c r="V71" s="4"/>
      <c r="W71" s="4"/>
      <c r="X71" s="4"/>
      <c r="Y71" s="4"/>
      <c r="Z71" s="4"/>
    </row>
    <row r="72" ht="34.5" hidden="1" customHeight="1">
      <c r="A72" s="19" t="s">
        <v>297</v>
      </c>
      <c r="B72" s="20"/>
      <c r="C72" s="67" t="s">
        <v>28</v>
      </c>
      <c r="D72" s="67" t="s">
        <v>298</v>
      </c>
      <c r="E72" s="37"/>
      <c r="F72" s="23" t="s">
        <v>31</v>
      </c>
      <c r="G72" s="24">
        <v>1.0</v>
      </c>
      <c r="H72" s="25"/>
      <c r="I72" s="26">
        <v>46022.0</v>
      </c>
      <c r="J72" s="114"/>
      <c r="K72" s="27">
        <f>10000+10000</f>
        <v>20000</v>
      </c>
      <c r="L72" s="26"/>
      <c r="M72" s="27"/>
      <c r="N72" s="28"/>
      <c r="O72" s="100"/>
      <c r="P72" s="30"/>
      <c r="Q72" s="26">
        <v>46109.0</v>
      </c>
      <c r="R72" s="101"/>
      <c r="S72" s="44"/>
      <c r="T72" s="36"/>
      <c r="U72" s="4"/>
      <c r="V72" s="4"/>
      <c r="W72" s="4"/>
      <c r="X72" s="4"/>
      <c r="Y72" s="4"/>
      <c r="Z72" s="4"/>
    </row>
    <row r="73" ht="34.5" hidden="1" customHeight="1">
      <c r="A73" s="19" t="s">
        <v>299</v>
      </c>
      <c r="B73" s="20" t="s">
        <v>300</v>
      </c>
      <c r="C73" s="51" t="s">
        <v>93</v>
      </c>
      <c r="D73" s="51" t="s">
        <v>301</v>
      </c>
      <c r="E73" s="33" t="s">
        <v>302</v>
      </c>
      <c r="F73" s="23" t="s">
        <v>31</v>
      </c>
      <c r="G73" s="24">
        <v>3.0</v>
      </c>
      <c r="H73" s="25">
        <v>1200000.0</v>
      </c>
      <c r="I73" s="26">
        <v>46027.0</v>
      </c>
      <c r="J73" s="94">
        <f t="shared" ref="J73:K73" si="6">400000+800000</f>
        <v>1200000</v>
      </c>
      <c r="K73" s="94">
        <f t="shared" si="6"/>
        <v>1200000</v>
      </c>
      <c r="L73" s="96" t="s">
        <v>183</v>
      </c>
      <c r="M73" s="27"/>
      <c r="N73" s="26">
        <v>46033.0</v>
      </c>
      <c r="O73" s="64" t="s">
        <v>116</v>
      </c>
      <c r="P73" s="30"/>
      <c r="Q73" s="26">
        <v>46033.0</v>
      </c>
      <c r="R73" s="101"/>
      <c r="S73" s="44"/>
      <c r="T73" s="65" t="s">
        <v>117</v>
      </c>
      <c r="U73" s="4"/>
      <c r="V73" s="4"/>
      <c r="W73" s="4"/>
      <c r="X73" s="4"/>
      <c r="Y73" s="4"/>
      <c r="Z73" s="4"/>
    </row>
    <row r="74" ht="34.5" hidden="1" customHeight="1">
      <c r="A74" s="19" t="s">
        <v>303</v>
      </c>
      <c r="B74" s="20" t="s">
        <v>304</v>
      </c>
      <c r="C74" s="51" t="s">
        <v>93</v>
      </c>
      <c r="D74" s="51" t="s">
        <v>305</v>
      </c>
      <c r="E74" s="33" t="s">
        <v>306</v>
      </c>
      <c r="F74" s="23" t="s">
        <v>31</v>
      </c>
      <c r="G74" s="24">
        <v>2.0</v>
      </c>
      <c r="H74" s="25">
        <v>800000.0</v>
      </c>
      <c r="I74" s="26">
        <v>46028.0</v>
      </c>
      <c r="J74" s="94">
        <v>800000.0</v>
      </c>
      <c r="K74" s="94">
        <v>800000.0</v>
      </c>
      <c r="L74" s="96" t="s">
        <v>183</v>
      </c>
      <c r="M74" s="78"/>
      <c r="N74" s="26">
        <v>46033.0</v>
      </c>
      <c r="O74" s="64" t="s">
        <v>116</v>
      </c>
      <c r="P74" s="30"/>
      <c r="Q74" s="26">
        <v>46033.0</v>
      </c>
      <c r="R74" s="101"/>
      <c r="S74" s="44"/>
      <c r="T74" s="65" t="s">
        <v>117</v>
      </c>
      <c r="U74" s="4"/>
      <c r="V74" s="4"/>
      <c r="W74" s="4"/>
      <c r="X74" s="4"/>
      <c r="Y74" s="4"/>
      <c r="Z74" s="4"/>
    </row>
    <row r="75" ht="34.5" hidden="1" customHeight="1">
      <c r="A75" s="19" t="s">
        <v>307</v>
      </c>
      <c r="B75" s="20"/>
      <c r="C75" s="51" t="s">
        <v>28</v>
      </c>
      <c r="D75" s="107" t="s">
        <v>308</v>
      </c>
      <c r="E75" s="37"/>
      <c r="F75" s="23" t="s">
        <v>31</v>
      </c>
      <c r="G75" s="24">
        <v>2.0</v>
      </c>
      <c r="H75" s="25">
        <v>1100000.0</v>
      </c>
      <c r="I75" s="26">
        <v>46037.0</v>
      </c>
      <c r="J75" s="78">
        <v>450000.0</v>
      </c>
      <c r="K75" s="114">
        <f>10000+25000+20000</f>
        <v>55000</v>
      </c>
      <c r="L75" s="115">
        <v>46127.0</v>
      </c>
      <c r="M75" s="114">
        <f>J75-K75</f>
        <v>395000</v>
      </c>
      <c r="N75" s="26"/>
      <c r="O75" s="100"/>
      <c r="P75" s="30">
        <v>13000.0</v>
      </c>
      <c r="Q75" s="26">
        <v>46085.0</v>
      </c>
      <c r="R75" s="100"/>
      <c r="S75" s="30"/>
      <c r="T75" s="116"/>
      <c r="U75" s="4"/>
      <c r="V75" s="4"/>
      <c r="W75" s="4"/>
      <c r="X75" s="4"/>
      <c r="Y75" s="4"/>
      <c r="Z75" s="4"/>
    </row>
    <row r="76" ht="34.5" hidden="1" customHeight="1">
      <c r="A76" s="117" t="s">
        <v>309</v>
      </c>
      <c r="B76" s="20" t="s">
        <v>310</v>
      </c>
      <c r="C76" s="51" t="s">
        <v>225</v>
      </c>
      <c r="D76" s="51" t="s">
        <v>311</v>
      </c>
      <c r="E76" s="118" t="s">
        <v>312</v>
      </c>
      <c r="F76" s="23" t="s">
        <v>31</v>
      </c>
      <c r="G76" s="24">
        <v>1.0</v>
      </c>
      <c r="H76" s="25">
        <v>500000.0</v>
      </c>
      <c r="I76" s="26">
        <v>46037.0</v>
      </c>
      <c r="J76" s="94">
        <v>200000.0</v>
      </c>
      <c r="K76" s="94">
        <f>50000+150000</f>
        <v>200000</v>
      </c>
      <c r="L76" s="40"/>
      <c r="M76" s="78"/>
      <c r="N76" s="26">
        <v>46044.0</v>
      </c>
      <c r="O76" s="100">
        <v>46063.0</v>
      </c>
      <c r="P76" s="30">
        <v>15000.0</v>
      </c>
      <c r="Q76" s="26">
        <v>46093.0</v>
      </c>
      <c r="R76" s="100"/>
      <c r="S76" s="30"/>
      <c r="T76" s="81" t="s">
        <v>313</v>
      </c>
      <c r="U76" s="4"/>
      <c r="V76" s="4"/>
      <c r="W76" s="4"/>
      <c r="X76" s="4"/>
      <c r="Y76" s="4"/>
      <c r="Z76" s="4"/>
    </row>
    <row r="77" ht="34.5" hidden="1" customHeight="1">
      <c r="A77" s="117" t="s">
        <v>314</v>
      </c>
      <c r="B77" s="20"/>
      <c r="C77" s="51" t="s">
        <v>28</v>
      </c>
      <c r="D77" s="72" t="s">
        <v>308</v>
      </c>
      <c r="E77" s="37"/>
      <c r="F77" s="119" t="s">
        <v>150</v>
      </c>
      <c r="G77" s="24">
        <v>2.0</v>
      </c>
      <c r="H77" s="25">
        <v>700000.0</v>
      </c>
      <c r="I77" s="26">
        <v>46037.0</v>
      </c>
      <c r="J77" s="78">
        <v>200000.0</v>
      </c>
      <c r="K77" s="114">
        <f>5000+25000+15000</f>
        <v>45000</v>
      </c>
      <c r="L77" s="115">
        <v>46127.0</v>
      </c>
      <c r="M77" s="114">
        <f>J77-K77</f>
        <v>155000</v>
      </c>
      <c r="N77" s="26"/>
      <c r="O77" s="100"/>
      <c r="P77" s="30">
        <v>10000.0</v>
      </c>
      <c r="Q77" s="26">
        <v>46085.0</v>
      </c>
      <c r="R77" s="100"/>
      <c r="S77" s="30"/>
      <c r="T77" s="116"/>
      <c r="U77" s="4"/>
      <c r="V77" s="4"/>
      <c r="W77" s="4"/>
      <c r="X77" s="4"/>
      <c r="Y77" s="4"/>
      <c r="Z77" s="4"/>
    </row>
    <row r="78" ht="34.5" hidden="1" customHeight="1">
      <c r="A78" s="117" t="s">
        <v>315</v>
      </c>
      <c r="B78" s="20" t="s">
        <v>316</v>
      </c>
      <c r="C78" s="51" t="s">
        <v>317</v>
      </c>
      <c r="D78" s="51" t="s">
        <v>318</v>
      </c>
      <c r="E78" s="118" t="s">
        <v>319</v>
      </c>
      <c r="F78" s="23" t="s">
        <v>31</v>
      </c>
      <c r="G78" s="24">
        <v>1.0</v>
      </c>
      <c r="H78" s="25">
        <v>500000.0</v>
      </c>
      <c r="I78" s="26">
        <v>46037.0</v>
      </c>
      <c r="J78" s="94">
        <v>500000.0</v>
      </c>
      <c r="K78" s="94">
        <f>50000+100000+100000+250000</f>
        <v>500000</v>
      </c>
      <c r="L78" s="85" t="s">
        <v>183</v>
      </c>
      <c r="M78" s="78"/>
      <c r="N78" s="84">
        <v>46126.0</v>
      </c>
      <c r="O78" s="64" t="s">
        <v>116</v>
      </c>
      <c r="P78" s="30"/>
      <c r="Q78" s="84">
        <v>46126.0</v>
      </c>
      <c r="R78" s="100"/>
      <c r="S78" s="30"/>
      <c r="T78" s="65" t="s">
        <v>117</v>
      </c>
      <c r="U78" s="4"/>
      <c r="V78" s="4"/>
      <c r="W78" s="4"/>
      <c r="X78" s="4"/>
      <c r="Y78" s="4"/>
      <c r="Z78" s="4"/>
    </row>
    <row r="79" ht="34.5" hidden="1" customHeight="1">
      <c r="A79" s="117" t="s">
        <v>320</v>
      </c>
      <c r="B79" s="20" t="s">
        <v>321</v>
      </c>
      <c r="C79" s="51" t="s">
        <v>317</v>
      </c>
      <c r="D79" s="51" t="s">
        <v>322</v>
      </c>
      <c r="E79" s="118" t="s">
        <v>323</v>
      </c>
      <c r="F79" s="23" t="s">
        <v>31</v>
      </c>
      <c r="G79" s="24">
        <v>1.0</v>
      </c>
      <c r="H79" s="25">
        <v>500000.0</v>
      </c>
      <c r="I79" s="26">
        <v>46037.0</v>
      </c>
      <c r="J79" s="94">
        <v>500000.0</v>
      </c>
      <c r="K79" s="94">
        <f>50000+450000</f>
        <v>500000</v>
      </c>
      <c r="L79" s="96" t="s">
        <v>183</v>
      </c>
      <c r="M79" s="78"/>
      <c r="N79" s="26">
        <v>46073.0</v>
      </c>
      <c r="O79" s="64" t="s">
        <v>116</v>
      </c>
      <c r="P79" s="30"/>
      <c r="Q79" s="26">
        <v>46073.0</v>
      </c>
      <c r="R79" s="100"/>
      <c r="S79" s="30"/>
      <c r="T79" s="65" t="s">
        <v>117</v>
      </c>
      <c r="U79" s="4"/>
      <c r="V79" s="4"/>
      <c r="W79" s="4"/>
      <c r="X79" s="4"/>
      <c r="Y79" s="4"/>
      <c r="Z79" s="4"/>
    </row>
    <row r="80" ht="34.5" hidden="1" customHeight="1">
      <c r="A80" s="117" t="s">
        <v>324</v>
      </c>
      <c r="B80" s="20" t="s">
        <v>325</v>
      </c>
      <c r="C80" s="51" t="s">
        <v>39</v>
      </c>
      <c r="D80" s="51" t="s">
        <v>326</v>
      </c>
      <c r="E80" s="118" t="s">
        <v>327</v>
      </c>
      <c r="F80" s="23" t="s">
        <v>31</v>
      </c>
      <c r="G80" s="24">
        <v>1.0</v>
      </c>
      <c r="H80" s="25">
        <v>400000.0</v>
      </c>
      <c r="I80" s="26">
        <v>46037.0</v>
      </c>
      <c r="J80" s="94">
        <v>400000.0</v>
      </c>
      <c r="K80" s="94">
        <f t="shared" ref="K80:K81" si="7">10000+390000</f>
        <v>400000</v>
      </c>
      <c r="L80" s="96" t="s">
        <v>183</v>
      </c>
      <c r="M80" s="78"/>
      <c r="N80" s="26">
        <v>46054.0</v>
      </c>
      <c r="O80" s="64" t="s">
        <v>116</v>
      </c>
      <c r="P80" s="30"/>
      <c r="Q80" s="26">
        <v>46054.0</v>
      </c>
      <c r="R80" s="100"/>
      <c r="S80" s="30"/>
      <c r="T80" s="65" t="s">
        <v>117</v>
      </c>
      <c r="U80" s="4"/>
      <c r="V80" s="4"/>
      <c r="W80" s="4"/>
      <c r="X80" s="4"/>
      <c r="Y80" s="4"/>
      <c r="Z80" s="4"/>
    </row>
    <row r="81" ht="34.5" hidden="1" customHeight="1">
      <c r="A81" s="117" t="s">
        <v>328</v>
      </c>
      <c r="B81" s="20" t="s">
        <v>329</v>
      </c>
      <c r="C81" s="51" t="s">
        <v>39</v>
      </c>
      <c r="D81" s="51" t="s">
        <v>330</v>
      </c>
      <c r="E81" s="118" t="s">
        <v>331</v>
      </c>
      <c r="F81" s="23" t="s">
        <v>31</v>
      </c>
      <c r="G81" s="24">
        <v>1.0</v>
      </c>
      <c r="H81" s="25">
        <v>400000.0</v>
      </c>
      <c r="I81" s="26">
        <v>46037.0</v>
      </c>
      <c r="J81" s="94">
        <v>400000.0</v>
      </c>
      <c r="K81" s="94">
        <f t="shared" si="7"/>
        <v>400000</v>
      </c>
      <c r="L81" s="96" t="s">
        <v>183</v>
      </c>
      <c r="M81" s="78"/>
      <c r="N81" s="26">
        <v>46040.0</v>
      </c>
      <c r="O81" s="64" t="s">
        <v>116</v>
      </c>
      <c r="P81" s="30"/>
      <c r="Q81" s="26">
        <v>46040.0</v>
      </c>
      <c r="R81" s="100"/>
      <c r="S81" s="30"/>
      <c r="T81" s="65" t="s">
        <v>117</v>
      </c>
      <c r="U81" s="4"/>
      <c r="V81" s="4"/>
      <c r="W81" s="4"/>
      <c r="X81" s="4"/>
      <c r="Y81" s="4"/>
      <c r="Z81" s="4"/>
    </row>
    <row r="82" ht="34.5" hidden="1" customHeight="1">
      <c r="A82" s="117" t="s">
        <v>332</v>
      </c>
      <c r="B82" s="20" t="s">
        <v>333</v>
      </c>
      <c r="C82" s="51" t="s">
        <v>113</v>
      </c>
      <c r="D82" s="51" t="s">
        <v>334</v>
      </c>
      <c r="E82" s="118" t="s">
        <v>335</v>
      </c>
      <c r="F82" s="23" t="s">
        <v>31</v>
      </c>
      <c r="G82" s="24">
        <v>1.0</v>
      </c>
      <c r="H82" s="25">
        <v>500000.0</v>
      </c>
      <c r="I82" s="26">
        <v>46037.0</v>
      </c>
      <c r="J82" s="94">
        <v>50000.0</v>
      </c>
      <c r="K82" s="94">
        <f>10000+40000</f>
        <v>50000</v>
      </c>
      <c r="L82" s="40"/>
      <c r="M82" s="78"/>
      <c r="N82" s="26">
        <v>46047.0</v>
      </c>
      <c r="O82" s="100">
        <v>46063.0</v>
      </c>
      <c r="P82" s="30">
        <v>10000.0</v>
      </c>
      <c r="Q82" s="42">
        <v>46277.0</v>
      </c>
      <c r="R82" s="100"/>
      <c r="S82" s="30"/>
      <c r="T82" s="120" t="s">
        <v>47</v>
      </c>
      <c r="U82" s="4"/>
      <c r="V82" s="4"/>
      <c r="W82" s="4"/>
      <c r="X82" s="4"/>
      <c r="Y82" s="4"/>
      <c r="Z82" s="4"/>
    </row>
    <row r="83" ht="34.5" hidden="1" customHeight="1">
      <c r="A83" s="117" t="s">
        <v>336</v>
      </c>
      <c r="B83" s="20" t="s">
        <v>337</v>
      </c>
      <c r="C83" s="51" t="s">
        <v>225</v>
      </c>
      <c r="D83" s="51" t="s">
        <v>338</v>
      </c>
      <c r="E83" s="118" t="s">
        <v>339</v>
      </c>
      <c r="F83" s="23" t="s">
        <v>31</v>
      </c>
      <c r="G83" s="24">
        <v>1.0</v>
      </c>
      <c r="H83" s="25">
        <v>400000.0</v>
      </c>
      <c r="I83" s="26">
        <v>46039.0</v>
      </c>
      <c r="J83" s="94">
        <v>150000.0</v>
      </c>
      <c r="K83" s="94">
        <f>50000+100000</f>
        <v>150000</v>
      </c>
      <c r="L83" s="40"/>
      <c r="M83" s="78"/>
      <c r="N83" s="26">
        <v>46043.0</v>
      </c>
      <c r="O83" s="100">
        <v>46078.0</v>
      </c>
      <c r="P83" s="30">
        <v>5000.0</v>
      </c>
      <c r="Q83" s="121">
        <v>46274.0</v>
      </c>
      <c r="R83" s="100"/>
      <c r="S83" s="30"/>
      <c r="T83" s="60" t="s">
        <v>139</v>
      </c>
      <c r="U83" s="4"/>
      <c r="V83" s="4"/>
      <c r="W83" s="4"/>
      <c r="X83" s="4"/>
      <c r="Y83" s="4"/>
      <c r="Z83" s="4"/>
    </row>
    <row r="84" ht="34.5" hidden="1" customHeight="1">
      <c r="A84" s="117" t="s">
        <v>340</v>
      </c>
      <c r="B84" s="20" t="s">
        <v>341</v>
      </c>
      <c r="C84" s="51" t="s">
        <v>342</v>
      </c>
      <c r="D84" s="107" t="s">
        <v>343</v>
      </c>
      <c r="E84" s="118" t="s">
        <v>344</v>
      </c>
      <c r="F84" s="23" t="s">
        <v>31</v>
      </c>
      <c r="G84" s="24">
        <v>1.0</v>
      </c>
      <c r="H84" s="25">
        <v>700000.0</v>
      </c>
      <c r="I84" s="26">
        <v>46043.0</v>
      </c>
      <c r="J84" s="94">
        <v>200000.0</v>
      </c>
      <c r="K84" s="94">
        <f>5000+100000+45000+50000</f>
        <v>200000</v>
      </c>
      <c r="L84" s="40"/>
      <c r="M84" s="78"/>
      <c r="N84" s="26">
        <v>46044.0</v>
      </c>
      <c r="O84" s="100">
        <v>46127.0</v>
      </c>
      <c r="P84" s="30">
        <v>10000.0</v>
      </c>
      <c r="Q84" s="26">
        <v>46051.0</v>
      </c>
      <c r="R84" s="100"/>
      <c r="S84" s="30"/>
      <c r="T84" s="81" t="s">
        <v>345</v>
      </c>
      <c r="U84" s="4"/>
      <c r="V84" s="4"/>
      <c r="W84" s="4"/>
      <c r="X84" s="4"/>
      <c r="Y84" s="4"/>
      <c r="Z84" s="4"/>
    </row>
    <row r="85" ht="34.5" hidden="1" customHeight="1">
      <c r="A85" s="117" t="s">
        <v>346</v>
      </c>
      <c r="B85" s="20" t="s">
        <v>347</v>
      </c>
      <c r="C85" s="51" t="s">
        <v>103</v>
      </c>
      <c r="D85" s="51" t="s">
        <v>348</v>
      </c>
      <c r="E85" s="118" t="s">
        <v>349</v>
      </c>
      <c r="F85" s="23" t="s">
        <v>31</v>
      </c>
      <c r="G85" s="24">
        <v>1.0</v>
      </c>
      <c r="H85" s="25">
        <v>600000.0</v>
      </c>
      <c r="I85" s="26">
        <v>46044.0</v>
      </c>
      <c r="J85" s="94">
        <v>150000.0</v>
      </c>
      <c r="K85" s="94">
        <f>2000+148000</f>
        <v>150000</v>
      </c>
      <c r="L85" s="40"/>
      <c r="M85" s="78"/>
      <c r="N85" s="26">
        <v>46047.0</v>
      </c>
      <c r="O85" s="100">
        <v>46068.0</v>
      </c>
      <c r="P85" s="30">
        <v>9000.0</v>
      </c>
      <c r="Q85" s="55">
        <v>46275.0</v>
      </c>
      <c r="R85" s="100"/>
      <c r="S85" s="30"/>
      <c r="T85" s="60" t="s">
        <v>47</v>
      </c>
      <c r="U85" s="4"/>
      <c r="V85" s="4"/>
      <c r="W85" s="4"/>
      <c r="X85" s="4"/>
      <c r="Y85" s="4"/>
      <c r="Z85" s="4"/>
    </row>
    <row r="86" ht="34.5" hidden="1" customHeight="1">
      <c r="A86" s="117" t="s">
        <v>350</v>
      </c>
      <c r="B86" s="20"/>
      <c r="C86" s="67" t="s">
        <v>351</v>
      </c>
      <c r="D86" s="67" t="s">
        <v>352</v>
      </c>
      <c r="E86" s="37"/>
      <c r="F86" s="23" t="s">
        <v>31</v>
      </c>
      <c r="G86" s="24">
        <v>1.0</v>
      </c>
      <c r="H86" s="25"/>
      <c r="I86" s="26">
        <v>46044.0</v>
      </c>
      <c r="J86" s="114"/>
      <c r="K86" s="78">
        <f>10000+10000</f>
        <v>20000</v>
      </c>
      <c r="L86" s="122"/>
      <c r="M86" s="78"/>
      <c r="N86" s="26"/>
      <c r="O86" s="100"/>
      <c r="P86" s="30"/>
      <c r="Q86" s="26">
        <v>46093.0</v>
      </c>
      <c r="R86" s="100"/>
      <c r="S86" s="30"/>
      <c r="T86" s="81"/>
      <c r="U86" s="4"/>
      <c r="V86" s="4"/>
      <c r="W86" s="4"/>
      <c r="X86" s="4"/>
      <c r="Y86" s="4"/>
      <c r="Z86" s="4"/>
    </row>
    <row r="87" ht="34.5" hidden="1" customHeight="1">
      <c r="A87" s="117" t="s">
        <v>353</v>
      </c>
      <c r="B87" s="20" t="s">
        <v>354</v>
      </c>
      <c r="C87" s="51" t="s">
        <v>189</v>
      </c>
      <c r="D87" s="51" t="s">
        <v>355</v>
      </c>
      <c r="E87" s="123" t="s">
        <v>356</v>
      </c>
      <c r="F87" s="23" t="s">
        <v>31</v>
      </c>
      <c r="G87" s="24">
        <v>1.0</v>
      </c>
      <c r="H87" s="25">
        <v>600000.0</v>
      </c>
      <c r="I87" s="26">
        <v>46044.0</v>
      </c>
      <c r="J87" s="94">
        <v>200500.0</v>
      </c>
      <c r="K87" s="94">
        <f>200500</f>
        <v>200500</v>
      </c>
      <c r="L87" s="40"/>
      <c r="M87" s="78"/>
      <c r="N87" s="26"/>
      <c r="O87" s="100">
        <v>46068.0</v>
      </c>
      <c r="P87" s="30">
        <v>8500.0</v>
      </c>
      <c r="Q87" s="75">
        <v>46271.0</v>
      </c>
      <c r="R87" s="100"/>
      <c r="S87" s="30"/>
      <c r="T87" s="45" t="s">
        <v>47</v>
      </c>
      <c r="U87" s="4"/>
      <c r="V87" s="4"/>
      <c r="W87" s="4"/>
      <c r="X87" s="4"/>
      <c r="Y87" s="4"/>
      <c r="Z87" s="4"/>
    </row>
    <row r="88" ht="34.5" hidden="1" customHeight="1">
      <c r="A88" s="117" t="s">
        <v>357</v>
      </c>
      <c r="B88" s="20" t="s">
        <v>358</v>
      </c>
      <c r="C88" s="51" t="s">
        <v>119</v>
      </c>
      <c r="D88" s="51" t="s">
        <v>359</v>
      </c>
      <c r="E88" s="118" t="s">
        <v>360</v>
      </c>
      <c r="F88" s="23" t="s">
        <v>150</v>
      </c>
      <c r="G88" s="24">
        <v>1.0</v>
      </c>
      <c r="H88" s="25">
        <v>480000.0</v>
      </c>
      <c r="I88" s="26">
        <v>46038.0</v>
      </c>
      <c r="J88" s="94">
        <v>23000.0</v>
      </c>
      <c r="K88" s="94">
        <f>500+6000+16000+500</f>
        <v>23000</v>
      </c>
      <c r="L88" s="40"/>
      <c r="M88" s="78"/>
      <c r="N88" s="26">
        <v>46063.0</v>
      </c>
      <c r="O88" s="100">
        <v>46091.0</v>
      </c>
      <c r="P88" s="30">
        <v>6000.0</v>
      </c>
      <c r="Q88" s="86">
        <v>46247.0</v>
      </c>
      <c r="R88" s="100"/>
      <c r="S88" s="30"/>
      <c r="T88" s="60" t="s">
        <v>361</v>
      </c>
      <c r="U88" s="4"/>
      <c r="V88" s="4"/>
      <c r="W88" s="4"/>
      <c r="X88" s="4"/>
      <c r="Y88" s="4"/>
      <c r="Z88" s="4"/>
    </row>
    <row r="89" ht="34.5" hidden="1" customHeight="1">
      <c r="A89" s="117" t="s">
        <v>362</v>
      </c>
      <c r="B89" s="20" t="s">
        <v>363</v>
      </c>
      <c r="C89" s="51" t="s">
        <v>53</v>
      </c>
      <c r="D89" s="51" t="s">
        <v>364</v>
      </c>
      <c r="E89" s="124" t="s">
        <v>365</v>
      </c>
      <c r="F89" s="125" t="s">
        <v>31</v>
      </c>
      <c r="G89" s="126">
        <v>1.0</v>
      </c>
      <c r="H89" s="127">
        <v>700000.0</v>
      </c>
      <c r="I89" s="26">
        <v>46050.0</v>
      </c>
      <c r="J89" s="78">
        <v>150000.0</v>
      </c>
      <c r="K89" s="114">
        <v>100000.0</v>
      </c>
      <c r="L89" s="115">
        <v>46233.0</v>
      </c>
      <c r="M89" s="114">
        <v>50000.0</v>
      </c>
      <c r="N89" s="26">
        <v>46050.0</v>
      </c>
      <c r="O89" s="100">
        <v>46259.0</v>
      </c>
      <c r="P89" s="30">
        <v>15000.0</v>
      </c>
      <c r="Q89" s="26">
        <v>46090.0</v>
      </c>
      <c r="R89" s="64" t="s">
        <v>366</v>
      </c>
      <c r="S89" s="30">
        <v>10000.0</v>
      </c>
      <c r="T89" s="81" t="s">
        <v>367</v>
      </c>
      <c r="U89" s="4"/>
      <c r="V89" s="4"/>
      <c r="W89" s="4"/>
      <c r="X89" s="4"/>
      <c r="Y89" s="4"/>
      <c r="Z89" s="4"/>
    </row>
    <row r="90" ht="34.5" hidden="1" customHeight="1">
      <c r="A90" s="117" t="s">
        <v>368</v>
      </c>
      <c r="B90" s="20"/>
      <c r="C90" s="72" t="s">
        <v>369</v>
      </c>
      <c r="D90" s="128" t="s">
        <v>370</v>
      </c>
      <c r="E90" s="129" t="s">
        <v>371</v>
      </c>
      <c r="F90" s="36" t="s">
        <v>31</v>
      </c>
      <c r="G90" s="24">
        <v>1.0</v>
      </c>
      <c r="H90" s="130">
        <v>500000.0</v>
      </c>
      <c r="I90" s="131">
        <v>46050.0</v>
      </c>
      <c r="J90" s="78">
        <v>500000.0</v>
      </c>
      <c r="K90" s="114">
        <f>5000+20000+10000+15000+10000+40000+10000+10000</f>
        <v>120000</v>
      </c>
      <c r="L90" s="115">
        <v>46183.0</v>
      </c>
      <c r="M90" s="114">
        <v>200000.0</v>
      </c>
      <c r="N90" s="26"/>
      <c r="O90" s="132" t="s">
        <v>116</v>
      </c>
      <c r="P90" s="30"/>
      <c r="Q90" s="86">
        <v>46240.0</v>
      </c>
      <c r="R90" s="100"/>
      <c r="S90" s="30"/>
      <c r="T90" s="81"/>
      <c r="U90" s="4"/>
      <c r="V90" s="4"/>
      <c r="W90" s="4"/>
      <c r="X90" s="4"/>
      <c r="Y90" s="4"/>
      <c r="Z90" s="4"/>
    </row>
    <row r="91" ht="34.5" hidden="1" customHeight="1">
      <c r="A91" s="117" t="s">
        <v>372</v>
      </c>
      <c r="B91" s="20"/>
      <c r="C91" s="67" t="s">
        <v>373</v>
      </c>
      <c r="D91" s="67" t="s">
        <v>374</v>
      </c>
      <c r="E91" s="37"/>
      <c r="F91" s="36" t="s">
        <v>26</v>
      </c>
      <c r="G91" s="24"/>
      <c r="H91" s="25"/>
      <c r="I91" s="26"/>
      <c r="J91" s="114"/>
      <c r="K91" s="78">
        <v>10000.0</v>
      </c>
      <c r="L91" s="122"/>
      <c r="M91" s="78"/>
      <c r="N91" s="26"/>
      <c r="O91" s="100"/>
      <c r="P91" s="30"/>
      <c r="Q91" s="26">
        <v>46090.0</v>
      </c>
      <c r="R91" s="100"/>
      <c r="S91" s="30"/>
      <c r="T91" s="81"/>
      <c r="U91" s="4"/>
      <c r="V91" s="4"/>
      <c r="W91" s="4"/>
      <c r="X91" s="4"/>
      <c r="Y91" s="4"/>
      <c r="Z91" s="4"/>
    </row>
    <row r="92" ht="34.5" hidden="1" customHeight="1">
      <c r="A92" s="117" t="s">
        <v>375</v>
      </c>
      <c r="B92" s="20" t="s">
        <v>376</v>
      </c>
      <c r="C92" s="51" t="s">
        <v>198</v>
      </c>
      <c r="D92" s="51" t="s">
        <v>377</v>
      </c>
      <c r="E92" s="118" t="s">
        <v>378</v>
      </c>
      <c r="F92" s="23" t="s">
        <v>31</v>
      </c>
      <c r="G92" s="24">
        <v>1.0</v>
      </c>
      <c r="H92" s="25">
        <v>600000.0</v>
      </c>
      <c r="I92" s="26">
        <v>46051.0</v>
      </c>
      <c r="J92" s="94">
        <v>200000.0</v>
      </c>
      <c r="K92" s="94">
        <f>5000+45000+150000</f>
        <v>200000</v>
      </c>
      <c r="L92" s="40"/>
      <c r="M92" s="78"/>
      <c r="N92" s="122">
        <v>46091.0</v>
      </c>
      <c r="O92" s="100">
        <v>46122.0</v>
      </c>
      <c r="P92" s="30">
        <v>8000.0</v>
      </c>
      <c r="Q92" s="86">
        <v>46268.0</v>
      </c>
      <c r="R92" s="100"/>
      <c r="S92" s="30"/>
      <c r="T92" s="60" t="s">
        <v>379</v>
      </c>
      <c r="U92" s="4"/>
      <c r="V92" s="4"/>
      <c r="W92" s="4"/>
      <c r="X92" s="4"/>
      <c r="Y92" s="4"/>
      <c r="Z92" s="4"/>
    </row>
    <row r="93" ht="34.5" hidden="1" customHeight="1">
      <c r="A93" s="117" t="s">
        <v>380</v>
      </c>
      <c r="B93" s="20"/>
      <c r="C93" s="67" t="s">
        <v>250</v>
      </c>
      <c r="D93" s="67" t="s">
        <v>381</v>
      </c>
      <c r="E93" s="37"/>
      <c r="F93" s="23" t="s">
        <v>31</v>
      </c>
      <c r="G93" s="24">
        <v>1.0</v>
      </c>
      <c r="H93" s="25"/>
      <c r="I93" s="26">
        <v>46051.0</v>
      </c>
      <c r="J93" s="114"/>
      <c r="K93" s="78">
        <v>1000.0</v>
      </c>
      <c r="L93" s="122"/>
      <c r="M93" s="78"/>
      <c r="N93" s="26"/>
      <c r="O93" s="100"/>
      <c r="P93" s="30"/>
      <c r="Q93" s="26">
        <v>46090.0</v>
      </c>
      <c r="R93" s="100"/>
      <c r="S93" s="30"/>
      <c r="T93" s="81"/>
      <c r="U93" s="4"/>
      <c r="V93" s="4"/>
      <c r="W93" s="4"/>
      <c r="X93" s="4"/>
      <c r="Y93" s="4"/>
      <c r="Z93" s="4"/>
    </row>
    <row r="94" ht="34.5" hidden="1" customHeight="1">
      <c r="A94" s="117" t="s">
        <v>382</v>
      </c>
      <c r="B94" s="20" t="s">
        <v>383</v>
      </c>
      <c r="C94" s="51" t="s">
        <v>39</v>
      </c>
      <c r="D94" s="51" t="s">
        <v>384</v>
      </c>
      <c r="E94" s="37"/>
      <c r="F94" s="119" t="s">
        <v>385</v>
      </c>
      <c r="G94" s="24">
        <v>1.0</v>
      </c>
      <c r="H94" s="25">
        <v>500000.0</v>
      </c>
      <c r="I94" s="26">
        <v>46051.0</v>
      </c>
      <c r="J94" s="94">
        <v>25000.0</v>
      </c>
      <c r="K94" s="94">
        <f>1000+25000</f>
        <v>26000</v>
      </c>
      <c r="L94" s="40"/>
      <c r="M94" s="78"/>
      <c r="N94" s="26">
        <v>46054.0</v>
      </c>
      <c r="O94" s="100">
        <v>46101.0</v>
      </c>
      <c r="P94" s="30">
        <v>5500.0</v>
      </c>
      <c r="Q94" s="86">
        <v>46285.0</v>
      </c>
      <c r="R94" s="101"/>
      <c r="S94" s="44"/>
      <c r="T94" s="133" t="s">
        <v>228</v>
      </c>
      <c r="U94" s="4"/>
      <c r="V94" s="4"/>
      <c r="W94" s="4"/>
      <c r="X94" s="4"/>
      <c r="Y94" s="4"/>
      <c r="Z94" s="4"/>
    </row>
    <row r="95" ht="34.5" hidden="1" customHeight="1">
      <c r="A95" s="117" t="s">
        <v>386</v>
      </c>
      <c r="B95" s="20" t="s">
        <v>387</v>
      </c>
      <c r="C95" s="51" t="s">
        <v>39</v>
      </c>
      <c r="D95" s="51" t="s">
        <v>384</v>
      </c>
      <c r="E95" s="37"/>
      <c r="F95" s="119" t="s">
        <v>31</v>
      </c>
      <c r="G95" s="24">
        <v>1.0</v>
      </c>
      <c r="H95" s="25">
        <v>650000.0</v>
      </c>
      <c r="I95" s="26">
        <v>46051.0</v>
      </c>
      <c r="J95" s="94">
        <v>100000.0</v>
      </c>
      <c r="K95" s="94">
        <f>1000+100000</f>
        <v>101000</v>
      </c>
      <c r="L95" s="40"/>
      <c r="M95" s="78"/>
      <c r="N95" s="26">
        <v>46054.0</v>
      </c>
      <c r="O95" s="100">
        <v>46101.0</v>
      </c>
      <c r="P95" s="30">
        <v>11000.0</v>
      </c>
      <c r="Q95" s="86">
        <v>46285.0</v>
      </c>
      <c r="R95" s="101"/>
      <c r="S95" s="44"/>
      <c r="T95" s="133" t="s">
        <v>228</v>
      </c>
      <c r="U95" s="4"/>
      <c r="V95" s="4"/>
      <c r="W95" s="4"/>
      <c r="X95" s="4"/>
      <c r="Y95" s="4"/>
      <c r="Z95" s="4"/>
    </row>
    <row r="96" ht="34.5" hidden="1" customHeight="1">
      <c r="A96" s="117" t="s">
        <v>388</v>
      </c>
      <c r="B96" s="20" t="s">
        <v>389</v>
      </c>
      <c r="C96" s="51" t="s">
        <v>39</v>
      </c>
      <c r="D96" s="51" t="s">
        <v>390</v>
      </c>
      <c r="E96" s="37"/>
      <c r="F96" s="23" t="s">
        <v>150</v>
      </c>
      <c r="G96" s="24">
        <v>1.0</v>
      </c>
      <c r="H96" s="25">
        <v>500000.0</v>
      </c>
      <c r="I96" s="26">
        <v>46051.0</v>
      </c>
      <c r="J96" s="94">
        <v>25000.0</v>
      </c>
      <c r="K96" s="94">
        <f>1000+25000</f>
        <v>26000</v>
      </c>
      <c r="L96" s="97"/>
      <c r="M96" s="78"/>
      <c r="N96" s="26">
        <v>46054.0</v>
      </c>
      <c r="O96" s="100">
        <v>46101.0</v>
      </c>
      <c r="P96" s="30">
        <v>5500.0</v>
      </c>
      <c r="Q96" s="86">
        <v>46285.0</v>
      </c>
      <c r="R96" s="101"/>
      <c r="S96" s="44"/>
      <c r="T96" s="133" t="s">
        <v>228</v>
      </c>
      <c r="U96" s="4"/>
      <c r="V96" s="4"/>
      <c r="W96" s="4"/>
      <c r="X96" s="4"/>
      <c r="Y96" s="4"/>
      <c r="Z96" s="4"/>
    </row>
    <row r="97" ht="34.5" hidden="1" customHeight="1">
      <c r="A97" s="117" t="s">
        <v>391</v>
      </c>
      <c r="B97" s="62" t="s">
        <v>392</v>
      </c>
      <c r="C97" s="51" t="s">
        <v>245</v>
      </c>
      <c r="D97" s="134" t="s">
        <v>393</v>
      </c>
      <c r="E97" s="58" t="s">
        <v>394</v>
      </c>
      <c r="F97" s="23" t="s">
        <v>31</v>
      </c>
      <c r="G97" s="24">
        <v>1.0</v>
      </c>
      <c r="H97" s="25">
        <v>700000.0</v>
      </c>
      <c r="I97" s="26">
        <v>46056.0</v>
      </c>
      <c r="J97" s="94">
        <v>100000.0</v>
      </c>
      <c r="K97" s="39">
        <f>20000+80000</f>
        <v>100000</v>
      </c>
      <c r="L97" s="97"/>
      <c r="M97" s="78"/>
      <c r="N97" s="28">
        <v>46142.0</v>
      </c>
      <c r="O97" s="100">
        <v>46157.0</v>
      </c>
      <c r="P97" s="30">
        <v>10000.0</v>
      </c>
      <c r="Q97" s="84">
        <v>46247.0</v>
      </c>
      <c r="R97" s="101"/>
      <c r="S97" s="44"/>
      <c r="T97" s="60" t="s">
        <v>139</v>
      </c>
      <c r="U97" s="4"/>
      <c r="V97" s="4"/>
      <c r="W97" s="4"/>
      <c r="X97" s="4"/>
      <c r="Y97" s="4"/>
      <c r="Z97" s="4"/>
    </row>
    <row r="98" ht="34.5" hidden="1" customHeight="1">
      <c r="A98" s="117" t="s">
        <v>395</v>
      </c>
      <c r="B98" s="20"/>
      <c r="C98" s="135" t="s">
        <v>396</v>
      </c>
      <c r="D98" s="67" t="s">
        <v>397</v>
      </c>
      <c r="E98" s="136"/>
      <c r="F98" s="89" t="s">
        <v>150</v>
      </c>
      <c r="G98" s="90">
        <v>1.0</v>
      </c>
      <c r="H98" s="137">
        <v>300000.0</v>
      </c>
      <c r="I98" s="138">
        <v>46058.0</v>
      </c>
      <c r="J98" s="139"/>
      <c r="K98" s="34">
        <f>2000+5000+5000</f>
        <v>12000</v>
      </c>
      <c r="L98" s="92"/>
      <c r="M98" s="139"/>
      <c r="N98" s="35"/>
      <c r="O98" s="140"/>
      <c r="P98" s="34"/>
      <c r="Q98" s="138">
        <v>46098.0</v>
      </c>
      <c r="R98" s="93"/>
      <c r="S98" s="141"/>
      <c r="T98" s="38"/>
      <c r="U98" s="4"/>
      <c r="V98" s="4"/>
      <c r="W98" s="4"/>
      <c r="X98" s="4"/>
      <c r="Y98" s="4"/>
      <c r="Z98" s="4"/>
    </row>
    <row r="99" ht="34.5" hidden="1" customHeight="1">
      <c r="A99" s="117" t="s">
        <v>398</v>
      </c>
      <c r="B99" s="20"/>
      <c r="C99" s="51" t="s">
        <v>399</v>
      </c>
      <c r="D99" s="51" t="s">
        <v>400</v>
      </c>
      <c r="E99" s="37"/>
      <c r="F99" s="23" t="s">
        <v>31</v>
      </c>
      <c r="G99" s="24">
        <v>2.0</v>
      </c>
      <c r="H99" s="25">
        <v>1200000.0</v>
      </c>
      <c r="I99" s="26"/>
      <c r="J99" s="78">
        <v>300000.0</v>
      </c>
      <c r="K99" s="49">
        <v>1000.0</v>
      </c>
      <c r="L99" s="87">
        <v>46073.0</v>
      </c>
      <c r="M99" s="114">
        <f>J99-K99</f>
        <v>299000</v>
      </c>
      <c r="N99" s="28">
        <v>46058.0</v>
      </c>
      <c r="O99" s="100"/>
      <c r="P99" s="30"/>
      <c r="Q99" s="28">
        <v>46058.0</v>
      </c>
      <c r="R99" s="101"/>
      <c r="S99" s="44"/>
      <c r="T99" s="81" t="s">
        <v>401</v>
      </c>
      <c r="U99" s="4"/>
      <c r="V99" s="4"/>
      <c r="W99" s="4"/>
      <c r="X99" s="4"/>
      <c r="Y99" s="4"/>
      <c r="Z99" s="4"/>
    </row>
    <row r="100" ht="34.5" hidden="1" customHeight="1">
      <c r="A100" s="117" t="s">
        <v>402</v>
      </c>
      <c r="B100" s="20"/>
      <c r="C100" s="51" t="s">
        <v>403</v>
      </c>
      <c r="D100" s="107" t="s">
        <v>404</v>
      </c>
      <c r="E100" s="33" t="s">
        <v>405</v>
      </c>
      <c r="F100" s="23" t="s">
        <v>150</v>
      </c>
      <c r="G100" s="24">
        <v>2.0</v>
      </c>
      <c r="H100" s="25">
        <v>500000.0</v>
      </c>
      <c r="I100" s="28">
        <v>46068.0</v>
      </c>
      <c r="J100" s="94">
        <v>200000.0</v>
      </c>
      <c r="K100" s="39">
        <f>100000+100000</f>
        <v>200000</v>
      </c>
      <c r="L100" s="97"/>
      <c r="M100" s="78"/>
      <c r="N100" s="28">
        <v>46068.0</v>
      </c>
      <c r="O100" s="100">
        <v>46152.0</v>
      </c>
      <c r="P100" s="30">
        <v>4700.0</v>
      </c>
      <c r="Q100" s="28">
        <v>46068.0</v>
      </c>
      <c r="R100" s="101"/>
      <c r="S100" s="44"/>
      <c r="T100" s="36"/>
      <c r="U100" s="4"/>
      <c r="V100" s="4"/>
      <c r="W100" s="4"/>
      <c r="X100" s="4"/>
      <c r="Y100" s="4"/>
      <c r="Z100" s="4"/>
    </row>
    <row r="101" ht="34.5" hidden="1" customHeight="1">
      <c r="A101" s="117" t="s">
        <v>406</v>
      </c>
      <c r="B101" s="20" t="s">
        <v>407</v>
      </c>
      <c r="C101" s="51" t="s">
        <v>369</v>
      </c>
      <c r="D101" s="51" t="s">
        <v>408</v>
      </c>
      <c r="E101" s="33" t="s">
        <v>409</v>
      </c>
      <c r="F101" s="23" t="s">
        <v>150</v>
      </c>
      <c r="G101" s="24">
        <v>2.0</v>
      </c>
      <c r="H101" s="25">
        <v>1000000.0</v>
      </c>
      <c r="I101" s="26">
        <v>46061.0</v>
      </c>
      <c r="J101" s="94">
        <v>55000.0</v>
      </c>
      <c r="K101" s="39">
        <f>5000+45000+5000</f>
        <v>55000</v>
      </c>
      <c r="L101" s="97"/>
      <c r="M101" s="78"/>
      <c r="N101" s="28">
        <v>46076.0</v>
      </c>
      <c r="O101" s="100">
        <v>46101.0</v>
      </c>
      <c r="P101" s="30">
        <v>9000.0</v>
      </c>
      <c r="Q101" s="84">
        <v>46203.0</v>
      </c>
      <c r="R101" s="142" t="s">
        <v>410</v>
      </c>
      <c r="S101" s="44"/>
      <c r="T101" s="45" t="s">
        <v>106</v>
      </c>
      <c r="U101" s="4"/>
      <c r="V101" s="4"/>
      <c r="W101" s="4"/>
      <c r="X101" s="4"/>
      <c r="Y101" s="4"/>
      <c r="Z101" s="4"/>
    </row>
    <row r="102" ht="34.5" customHeight="1">
      <c r="A102" s="117" t="s">
        <v>411</v>
      </c>
      <c r="B102" s="62" t="s">
        <v>412</v>
      </c>
      <c r="C102" s="51" t="s">
        <v>342</v>
      </c>
      <c r="D102" s="51" t="s">
        <v>413</v>
      </c>
      <c r="E102" s="33" t="s">
        <v>414</v>
      </c>
      <c r="F102" s="23" t="s">
        <v>31</v>
      </c>
      <c r="G102" s="24">
        <v>1.0</v>
      </c>
      <c r="H102" s="25">
        <v>600000.0</v>
      </c>
      <c r="I102" s="28">
        <v>46062.0</v>
      </c>
      <c r="J102" s="94">
        <v>100000.0</v>
      </c>
      <c r="K102" s="39">
        <f>20000+40000+10000+30000</f>
        <v>100000</v>
      </c>
      <c r="L102" s="143"/>
      <c r="M102" s="144"/>
      <c r="N102" s="55">
        <v>46201.0</v>
      </c>
      <c r="O102" s="110">
        <v>46228.0</v>
      </c>
      <c r="P102" s="30">
        <v>10000.0</v>
      </c>
      <c r="Q102" s="55">
        <v>46268.0</v>
      </c>
      <c r="R102" s="43"/>
      <c r="S102" s="44"/>
      <c r="T102" s="60" t="s">
        <v>144</v>
      </c>
      <c r="U102" s="4"/>
      <c r="V102" s="4"/>
      <c r="W102" s="4"/>
      <c r="X102" s="4"/>
      <c r="Y102" s="4"/>
      <c r="Z102" s="4"/>
    </row>
    <row r="103" ht="34.5" hidden="1" customHeight="1">
      <c r="A103" s="117" t="s">
        <v>415</v>
      </c>
      <c r="B103" s="62" t="s">
        <v>416</v>
      </c>
      <c r="C103" s="51" t="s">
        <v>39</v>
      </c>
      <c r="D103" s="51" t="s">
        <v>40</v>
      </c>
      <c r="E103" s="33" t="s">
        <v>41</v>
      </c>
      <c r="F103" s="23" t="s">
        <v>31</v>
      </c>
      <c r="G103" s="24">
        <v>1.0</v>
      </c>
      <c r="H103" s="25">
        <v>600000.0</v>
      </c>
      <c r="I103" s="28">
        <v>46067.0</v>
      </c>
      <c r="J103" s="94">
        <v>120000.0</v>
      </c>
      <c r="K103" s="39">
        <f>5000+100000+15000</f>
        <v>120000</v>
      </c>
      <c r="L103" s="97"/>
      <c r="M103" s="78"/>
      <c r="N103" s="28">
        <v>46135.0</v>
      </c>
      <c r="O103" s="29">
        <v>46157.0</v>
      </c>
      <c r="P103" s="30">
        <v>10000.0</v>
      </c>
      <c r="Q103" s="55">
        <v>46279.0</v>
      </c>
      <c r="R103" s="43"/>
      <c r="S103" s="44"/>
      <c r="T103" s="45" t="s">
        <v>139</v>
      </c>
      <c r="U103" s="4"/>
      <c r="V103" s="4"/>
      <c r="W103" s="4"/>
      <c r="X103" s="4"/>
      <c r="Y103" s="4"/>
      <c r="Z103" s="4"/>
    </row>
    <row r="104" ht="34.5" hidden="1" customHeight="1">
      <c r="A104" s="117" t="s">
        <v>417</v>
      </c>
      <c r="B104" s="20" t="s">
        <v>418</v>
      </c>
      <c r="C104" s="51" t="s">
        <v>403</v>
      </c>
      <c r="D104" s="107" t="s">
        <v>419</v>
      </c>
      <c r="E104" s="33" t="s">
        <v>420</v>
      </c>
      <c r="F104" s="23" t="s">
        <v>150</v>
      </c>
      <c r="G104" s="24">
        <v>2.0</v>
      </c>
      <c r="H104" s="145">
        <v>46100.0</v>
      </c>
      <c r="I104" s="28">
        <v>46069.0</v>
      </c>
      <c r="J104" s="94">
        <v>500000.0</v>
      </c>
      <c r="K104" s="39">
        <f>250000+50000+200000</f>
        <v>500000</v>
      </c>
      <c r="L104" s="85" t="s">
        <v>183</v>
      </c>
      <c r="M104" s="78"/>
      <c r="N104" s="28">
        <v>46069.0</v>
      </c>
      <c r="O104" s="132" t="s">
        <v>116</v>
      </c>
      <c r="P104" s="30"/>
      <c r="Q104" s="56">
        <v>46100.0</v>
      </c>
      <c r="R104" s="43"/>
      <c r="S104" s="44"/>
      <c r="T104" s="65" t="s">
        <v>117</v>
      </c>
      <c r="U104" s="4"/>
      <c r="V104" s="4"/>
      <c r="W104" s="4"/>
      <c r="X104" s="4"/>
      <c r="Y104" s="4"/>
      <c r="Z104" s="4"/>
    </row>
    <row r="105" ht="34.5" hidden="1" customHeight="1">
      <c r="A105" s="117" t="s">
        <v>421</v>
      </c>
      <c r="B105" s="20" t="s">
        <v>422</v>
      </c>
      <c r="C105" s="51" t="s">
        <v>250</v>
      </c>
      <c r="D105" s="51" t="s">
        <v>311</v>
      </c>
      <c r="E105" s="33" t="s">
        <v>423</v>
      </c>
      <c r="F105" s="23" t="s">
        <v>150</v>
      </c>
      <c r="G105" s="24">
        <v>1.0</v>
      </c>
      <c r="H105" s="25">
        <v>350000.0</v>
      </c>
      <c r="I105" s="28">
        <v>46070.0</v>
      </c>
      <c r="J105" s="94">
        <v>200000.0</v>
      </c>
      <c r="K105" s="39">
        <f>20000+180000</f>
        <v>200000</v>
      </c>
      <c r="L105" s="97"/>
      <c r="M105" s="78"/>
      <c r="N105" s="28">
        <v>46072.0</v>
      </c>
      <c r="O105" s="110">
        <v>46091.0</v>
      </c>
      <c r="P105" s="30">
        <v>5000.0</v>
      </c>
      <c r="Q105" s="55">
        <v>46282.0</v>
      </c>
      <c r="R105" s="43"/>
      <c r="S105" s="44"/>
      <c r="T105" s="45" t="s">
        <v>228</v>
      </c>
      <c r="U105" s="4"/>
      <c r="V105" s="4"/>
      <c r="W105" s="4"/>
      <c r="X105" s="4"/>
      <c r="Y105" s="4"/>
      <c r="Z105" s="4"/>
    </row>
    <row r="106" ht="34.5" hidden="1" customHeight="1">
      <c r="A106" s="117" t="s">
        <v>424</v>
      </c>
      <c r="B106" s="20" t="s">
        <v>425</v>
      </c>
      <c r="C106" s="51" t="s">
        <v>245</v>
      </c>
      <c r="D106" s="51" t="s">
        <v>426</v>
      </c>
      <c r="E106" s="146" t="s">
        <v>427</v>
      </c>
      <c r="F106" s="23" t="s">
        <v>31</v>
      </c>
      <c r="G106" s="24">
        <v>1.0</v>
      </c>
      <c r="H106" s="25">
        <v>500000.0</v>
      </c>
      <c r="I106" s="26">
        <v>46071.0</v>
      </c>
      <c r="J106" s="94">
        <v>500000.0</v>
      </c>
      <c r="K106" s="39">
        <f>368000+132000</f>
        <v>500000</v>
      </c>
      <c r="L106" s="85" t="s">
        <v>183</v>
      </c>
      <c r="M106" s="78"/>
      <c r="N106" s="28">
        <v>46071.0</v>
      </c>
      <c r="O106" s="64" t="s">
        <v>116</v>
      </c>
      <c r="P106" s="30"/>
      <c r="Q106" s="28">
        <v>46075.0</v>
      </c>
      <c r="R106" s="101"/>
      <c r="S106" s="44"/>
      <c r="T106" s="65" t="s">
        <v>117</v>
      </c>
      <c r="U106" s="4"/>
      <c r="V106" s="4"/>
      <c r="W106" s="4"/>
      <c r="X106" s="4"/>
      <c r="Y106" s="4"/>
      <c r="Z106" s="4"/>
    </row>
    <row r="107" ht="34.5" hidden="1" customHeight="1">
      <c r="A107" s="117" t="s">
        <v>428</v>
      </c>
      <c r="B107" s="20" t="s">
        <v>429</v>
      </c>
      <c r="C107" s="51" t="s">
        <v>28</v>
      </c>
      <c r="D107" s="51" t="s">
        <v>430</v>
      </c>
      <c r="E107" s="37"/>
      <c r="F107" s="23" t="s">
        <v>31</v>
      </c>
      <c r="G107" s="24">
        <v>1.0</v>
      </c>
      <c r="H107" s="25">
        <v>500000.0</v>
      </c>
      <c r="I107" s="26">
        <v>46076.0</v>
      </c>
      <c r="J107" s="94">
        <v>100000.0</v>
      </c>
      <c r="K107" s="94">
        <v>100000.0</v>
      </c>
      <c r="L107" s="97"/>
      <c r="M107" s="78"/>
      <c r="N107" s="28">
        <v>46076.0</v>
      </c>
      <c r="O107" s="42">
        <v>46130.0</v>
      </c>
      <c r="P107" s="30">
        <v>10000.0</v>
      </c>
      <c r="Q107" s="42">
        <v>46130.0</v>
      </c>
      <c r="R107" s="101"/>
      <c r="S107" s="44"/>
      <c r="T107" s="45" t="s">
        <v>100</v>
      </c>
      <c r="U107" s="4"/>
      <c r="V107" s="4"/>
      <c r="W107" s="4"/>
      <c r="X107" s="4"/>
      <c r="Y107" s="4"/>
      <c r="Z107" s="4"/>
    </row>
    <row r="108" ht="34.5" hidden="1" customHeight="1">
      <c r="A108" s="117" t="s">
        <v>431</v>
      </c>
      <c r="B108" s="20" t="s">
        <v>432</v>
      </c>
      <c r="C108" s="51" t="s">
        <v>433</v>
      </c>
      <c r="D108" s="51" t="s">
        <v>434</v>
      </c>
      <c r="E108" s="37"/>
      <c r="F108" s="23" t="s">
        <v>150</v>
      </c>
      <c r="G108" s="24">
        <v>1.0</v>
      </c>
      <c r="H108" s="25">
        <v>150000.0</v>
      </c>
      <c r="I108" s="26">
        <v>46076.0</v>
      </c>
      <c r="J108" s="94">
        <v>150000.0</v>
      </c>
      <c r="K108" s="39">
        <v>150000.0</v>
      </c>
      <c r="L108" s="85" t="s">
        <v>183</v>
      </c>
      <c r="M108" s="78"/>
      <c r="N108" s="28">
        <v>46076.0</v>
      </c>
      <c r="O108" s="64" t="s">
        <v>116</v>
      </c>
      <c r="P108" s="30"/>
      <c r="Q108" s="28">
        <v>46078.0</v>
      </c>
      <c r="R108" s="101"/>
      <c r="S108" s="44"/>
      <c r="T108" s="65" t="s">
        <v>117</v>
      </c>
      <c r="U108" s="4"/>
      <c r="V108" s="4"/>
      <c r="W108" s="4"/>
      <c r="X108" s="4"/>
      <c r="Y108" s="4"/>
      <c r="Z108" s="4"/>
    </row>
    <row r="109" ht="34.5" hidden="1" customHeight="1">
      <c r="A109" s="117" t="s">
        <v>435</v>
      </c>
      <c r="B109" s="20" t="s">
        <v>436</v>
      </c>
      <c r="C109" s="51" t="s">
        <v>433</v>
      </c>
      <c r="D109" s="51" t="s">
        <v>437</v>
      </c>
      <c r="E109" s="37"/>
      <c r="F109" s="23" t="s">
        <v>150</v>
      </c>
      <c r="G109" s="24">
        <v>1.0</v>
      </c>
      <c r="H109" s="25">
        <v>150000.0</v>
      </c>
      <c r="I109" s="26">
        <v>46076.0</v>
      </c>
      <c r="J109" s="94">
        <v>150000.0</v>
      </c>
      <c r="K109" s="39">
        <v>150000.0</v>
      </c>
      <c r="L109" s="85" t="s">
        <v>183</v>
      </c>
      <c r="M109" s="78"/>
      <c r="N109" s="28">
        <v>46076.0</v>
      </c>
      <c r="O109" s="64" t="s">
        <v>116</v>
      </c>
      <c r="P109" s="30"/>
      <c r="Q109" s="28">
        <v>46078.0</v>
      </c>
      <c r="R109" s="101"/>
      <c r="S109" s="44"/>
      <c r="T109" s="65" t="s">
        <v>117</v>
      </c>
      <c r="U109" s="4"/>
      <c r="V109" s="4"/>
      <c r="W109" s="4"/>
      <c r="X109" s="4"/>
      <c r="Y109" s="4"/>
      <c r="Z109" s="4"/>
    </row>
    <row r="110" ht="34.5" hidden="1" customHeight="1">
      <c r="A110" s="117" t="s">
        <v>438</v>
      </c>
      <c r="B110" s="20" t="s">
        <v>439</v>
      </c>
      <c r="C110" s="51" t="s">
        <v>113</v>
      </c>
      <c r="D110" s="107" t="s">
        <v>114</v>
      </c>
      <c r="E110" s="33" t="s">
        <v>115</v>
      </c>
      <c r="F110" s="23" t="s">
        <v>150</v>
      </c>
      <c r="G110" s="24">
        <v>2.0</v>
      </c>
      <c r="H110" s="25">
        <f>375000*2</f>
        <v>750000</v>
      </c>
      <c r="I110" s="84">
        <v>46076.0</v>
      </c>
      <c r="J110" s="94">
        <v>250000.0</v>
      </c>
      <c r="K110" s="39">
        <f>50000+200000+20000</f>
        <v>270000</v>
      </c>
      <c r="L110" s="97"/>
      <c r="M110" s="147"/>
      <c r="N110" s="28">
        <v>46098.0</v>
      </c>
      <c r="O110" s="100">
        <v>46191.0</v>
      </c>
      <c r="P110" s="69">
        <v>30000.0</v>
      </c>
      <c r="Q110" s="55">
        <v>46168.0</v>
      </c>
      <c r="R110" s="101"/>
      <c r="S110" s="148"/>
      <c r="T110" s="36" t="s">
        <v>144</v>
      </c>
      <c r="U110" s="4"/>
      <c r="V110" s="4"/>
      <c r="W110" s="4"/>
      <c r="X110" s="4"/>
      <c r="Y110" s="4"/>
      <c r="Z110" s="4"/>
    </row>
    <row r="111" ht="34.5" hidden="1" customHeight="1">
      <c r="A111" s="117" t="s">
        <v>440</v>
      </c>
      <c r="B111" s="20" t="s">
        <v>441</v>
      </c>
      <c r="C111" s="51" t="s">
        <v>53</v>
      </c>
      <c r="D111" s="149" t="s">
        <v>147</v>
      </c>
      <c r="E111" s="33" t="s">
        <v>148</v>
      </c>
      <c r="F111" s="23" t="s">
        <v>26</v>
      </c>
      <c r="G111" s="24">
        <v>5.0</v>
      </c>
      <c r="H111" s="25">
        <v>4000000.0</v>
      </c>
      <c r="I111" s="26">
        <v>46079.0</v>
      </c>
      <c r="J111" s="94">
        <v>1000000.0</v>
      </c>
      <c r="K111" s="39">
        <f>300000+200000+50000+50000+50000</f>
        <v>650000</v>
      </c>
      <c r="L111" s="97"/>
      <c r="M111" s="78">
        <f>J111-K111</f>
        <v>350000</v>
      </c>
      <c r="N111" s="28"/>
      <c r="O111" s="100">
        <v>46167.0</v>
      </c>
      <c r="P111" s="30">
        <v>50000.0</v>
      </c>
      <c r="Q111" s="55">
        <v>46282.0</v>
      </c>
      <c r="R111" s="101"/>
      <c r="S111" s="44"/>
      <c r="T111" s="150"/>
      <c r="U111" s="1"/>
      <c r="V111" s="1"/>
      <c r="W111" s="1"/>
      <c r="X111" s="1"/>
      <c r="Y111" s="1"/>
      <c r="Z111" s="1"/>
    </row>
    <row r="112" ht="34.5" hidden="1" customHeight="1">
      <c r="A112" s="117" t="s">
        <v>442</v>
      </c>
      <c r="B112" s="62" t="s">
        <v>443</v>
      </c>
      <c r="C112" s="72" t="s">
        <v>444</v>
      </c>
      <c r="D112" s="72" t="s">
        <v>445</v>
      </c>
      <c r="E112" s="37"/>
      <c r="F112" s="23" t="s">
        <v>31</v>
      </c>
      <c r="G112" s="24">
        <v>1.0</v>
      </c>
      <c r="H112" s="151">
        <v>500000.0</v>
      </c>
      <c r="I112" s="86">
        <v>46037.0</v>
      </c>
      <c r="J112" s="152">
        <v>500000.0</v>
      </c>
      <c r="K112" s="39">
        <f>100000+100000+100000+50000+50000+100000</f>
        <v>500000</v>
      </c>
      <c r="L112" s="96" t="s">
        <v>183</v>
      </c>
      <c r="M112" s="78"/>
      <c r="N112" s="86">
        <v>46146.0</v>
      </c>
      <c r="O112" s="132" t="s">
        <v>446</v>
      </c>
      <c r="P112" s="30"/>
      <c r="Q112" s="28"/>
      <c r="R112" s="101"/>
      <c r="S112" s="44"/>
      <c r="T112" s="65" t="s">
        <v>117</v>
      </c>
      <c r="U112" s="4"/>
      <c r="V112" s="4"/>
      <c r="W112" s="4"/>
      <c r="X112" s="4"/>
      <c r="Y112" s="4"/>
      <c r="Z112" s="4"/>
    </row>
    <row r="113" ht="34.5" hidden="1" customHeight="1">
      <c r="A113" s="117" t="s">
        <v>447</v>
      </c>
      <c r="B113" s="20" t="s">
        <v>448</v>
      </c>
      <c r="C113" s="51" t="s">
        <v>449</v>
      </c>
      <c r="D113" s="107" t="s">
        <v>450</v>
      </c>
      <c r="E113" s="33" t="s">
        <v>451</v>
      </c>
      <c r="F113" s="23" t="s">
        <v>150</v>
      </c>
      <c r="G113" s="24">
        <v>1.0</v>
      </c>
      <c r="H113" s="25">
        <v>250000.0</v>
      </c>
      <c r="I113" s="28">
        <v>46093.0</v>
      </c>
      <c r="J113" s="94">
        <v>100000.0</v>
      </c>
      <c r="K113" s="39">
        <f>4000+96000</f>
        <v>100000</v>
      </c>
      <c r="L113" s="97"/>
      <c r="M113" s="78"/>
      <c r="N113" s="28">
        <v>46083.0</v>
      </c>
      <c r="O113" s="100">
        <v>46124.0</v>
      </c>
      <c r="P113" s="30">
        <v>3100.0</v>
      </c>
      <c r="Q113" s="55">
        <v>46275.0</v>
      </c>
      <c r="R113" s="101"/>
      <c r="S113" s="44"/>
      <c r="T113" s="45" t="s">
        <v>379</v>
      </c>
      <c r="U113" s="4"/>
      <c r="V113" s="4"/>
      <c r="W113" s="4"/>
      <c r="X113" s="4"/>
      <c r="Y113" s="4"/>
      <c r="Z113" s="4"/>
    </row>
    <row r="114" ht="34.5" hidden="1" customHeight="1">
      <c r="A114" s="117" t="s">
        <v>452</v>
      </c>
      <c r="B114" s="20"/>
      <c r="C114" s="51" t="s">
        <v>453</v>
      </c>
      <c r="D114" s="107" t="s">
        <v>454</v>
      </c>
      <c r="E114" s="37"/>
      <c r="F114" s="23" t="s">
        <v>31</v>
      </c>
      <c r="G114" s="24">
        <v>1.0</v>
      </c>
      <c r="H114" s="25">
        <v>650000.0</v>
      </c>
      <c r="I114" s="26">
        <v>46090.0</v>
      </c>
      <c r="J114" s="78">
        <v>50000.0</v>
      </c>
      <c r="K114" s="49">
        <f>10000+10000</f>
        <v>20000</v>
      </c>
      <c r="L114" s="87">
        <v>46093.0</v>
      </c>
      <c r="M114" s="114">
        <f>J114-K114</f>
        <v>30000</v>
      </c>
      <c r="N114" s="28"/>
      <c r="O114" s="100"/>
      <c r="P114" s="30"/>
      <c r="Q114" s="28">
        <v>46096.0</v>
      </c>
      <c r="R114" s="101"/>
      <c r="S114" s="44"/>
      <c r="T114" s="36"/>
      <c r="U114" s="4"/>
      <c r="V114" s="4"/>
      <c r="W114" s="4"/>
      <c r="X114" s="4"/>
      <c r="Y114" s="4"/>
      <c r="Z114" s="4"/>
    </row>
    <row r="115" ht="34.5" hidden="1" customHeight="1">
      <c r="A115" s="117" t="s">
        <v>455</v>
      </c>
      <c r="B115" s="20"/>
      <c r="C115" s="51" t="s">
        <v>433</v>
      </c>
      <c r="D115" s="72" t="s">
        <v>456</v>
      </c>
      <c r="E115" s="37"/>
      <c r="F115" s="23" t="s">
        <v>31</v>
      </c>
      <c r="G115" s="24">
        <v>1.0</v>
      </c>
      <c r="H115" s="25">
        <v>500000.0</v>
      </c>
      <c r="I115" s="26">
        <v>46090.0</v>
      </c>
      <c r="J115" s="139"/>
      <c r="K115" s="34">
        <v>5000.0</v>
      </c>
      <c r="L115" s="92"/>
      <c r="M115" s="147"/>
      <c r="N115" s="28"/>
      <c r="O115" s="64" t="s">
        <v>116</v>
      </c>
      <c r="P115" s="30"/>
      <c r="Q115" s="28"/>
      <c r="R115" s="101"/>
      <c r="S115" s="44"/>
      <c r="T115" s="153" t="s">
        <v>457</v>
      </c>
      <c r="U115" s="4"/>
      <c r="V115" s="4"/>
      <c r="W115" s="4"/>
      <c r="X115" s="4"/>
      <c r="Y115" s="4"/>
      <c r="Z115" s="4"/>
    </row>
    <row r="116" ht="34.5" hidden="1" customHeight="1">
      <c r="A116" s="117" t="s">
        <v>458</v>
      </c>
      <c r="B116" s="20" t="s">
        <v>459</v>
      </c>
      <c r="C116" s="51" t="s">
        <v>460</v>
      </c>
      <c r="D116" s="51" t="s">
        <v>461</v>
      </c>
      <c r="E116" s="37"/>
      <c r="F116" s="23" t="s">
        <v>31</v>
      </c>
      <c r="G116" s="24">
        <v>1.0</v>
      </c>
      <c r="H116" s="25">
        <v>450000.0</v>
      </c>
      <c r="I116" s="154">
        <v>46091.0</v>
      </c>
      <c r="J116" s="94">
        <v>450000.0</v>
      </c>
      <c r="K116" s="39">
        <f>20000+150000+150000+130000</f>
        <v>450000</v>
      </c>
      <c r="L116" s="97"/>
      <c r="M116" s="78"/>
      <c r="N116" s="154">
        <v>46126.0</v>
      </c>
      <c r="O116" s="64" t="s">
        <v>116</v>
      </c>
      <c r="P116" s="30"/>
      <c r="Q116" s="154">
        <v>46126.0</v>
      </c>
      <c r="R116" s="101"/>
      <c r="S116" s="44"/>
      <c r="T116" s="155" t="s">
        <v>183</v>
      </c>
      <c r="U116" s="4"/>
      <c r="V116" s="4"/>
      <c r="W116" s="4"/>
      <c r="X116" s="4"/>
      <c r="Y116" s="4"/>
      <c r="Z116" s="4"/>
    </row>
    <row r="117" ht="34.5" hidden="1" customHeight="1">
      <c r="A117" s="117">
        <v>112.0</v>
      </c>
      <c r="B117" s="20" t="s">
        <v>462</v>
      </c>
      <c r="C117" s="51" t="s">
        <v>189</v>
      </c>
      <c r="D117" s="107" t="s">
        <v>463</v>
      </c>
      <c r="E117" s="33" t="s">
        <v>464</v>
      </c>
      <c r="F117" s="23" t="s">
        <v>31</v>
      </c>
      <c r="G117" s="24">
        <v>1.0</v>
      </c>
      <c r="H117" s="25">
        <v>445000.0</v>
      </c>
      <c r="I117" s="26">
        <v>46093.0</v>
      </c>
      <c r="J117" s="39">
        <f t="shared" ref="J117:K117" si="8">5000+400000+40000</f>
        <v>445000</v>
      </c>
      <c r="K117" s="39">
        <f t="shared" si="8"/>
        <v>445000</v>
      </c>
      <c r="L117" s="97"/>
      <c r="M117" s="78"/>
      <c r="N117" s="28"/>
      <c r="O117" s="100"/>
      <c r="P117" s="30"/>
      <c r="Q117" s="42">
        <v>46098.0</v>
      </c>
      <c r="R117" s="101"/>
      <c r="S117" s="44"/>
      <c r="T117" s="155" t="s">
        <v>183</v>
      </c>
      <c r="U117" s="4"/>
      <c r="V117" s="4"/>
      <c r="W117" s="4"/>
      <c r="X117" s="4"/>
      <c r="Y117" s="4"/>
      <c r="Z117" s="4"/>
    </row>
    <row r="118" ht="34.5" hidden="1" customHeight="1">
      <c r="A118" s="117">
        <v>113.0</v>
      </c>
      <c r="B118" s="20"/>
      <c r="C118" s="51" t="s">
        <v>53</v>
      </c>
      <c r="D118" s="107" t="s">
        <v>217</v>
      </c>
      <c r="E118" s="58" t="s">
        <v>218</v>
      </c>
      <c r="F118" s="23" t="s">
        <v>150</v>
      </c>
      <c r="G118" s="24">
        <v>1.0</v>
      </c>
      <c r="H118" s="151">
        <v>250000.0</v>
      </c>
      <c r="I118" s="26">
        <v>46093.0</v>
      </c>
      <c r="J118" s="39">
        <f>10000+50000+5000</f>
        <v>65000</v>
      </c>
      <c r="K118" s="39">
        <f>10000+50000+5000+10000</f>
        <v>75000</v>
      </c>
      <c r="L118" s="97"/>
      <c r="M118" s="147"/>
      <c r="N118" s="86"/>
      <c r="O118" s="110">
        <v>46193.0</v>
      </c>
      <c r="P118" s="69">
        <v>5000.0</v>
      </c>
      <c r="Q118" s="86">
        <v>46258.0</v>
      </c>
      <c r="R118" s="101"/>
      <c r="S118" s="44"/>
      <c r="T118" s="45" t="s">
        <v>465</v>
      </c>
      <c r="U118" s="4"/>
      <c r="V118" s="4"/>
      <c r="W118" s="4"/>
      <c r="X118" s="4"/>
      <c r="Y118" s="4"/>
      <c r="Z118" s="4"/>
    </row>
    <row r="119" ht="34.5" hidden="1" customHeight="1">
      <c r="A119" s="117">
        <v>114.0</v>
      </c>
      <c r="B119" s="20" t="s">
        <v>466</v>
      </c>
      <c r="C119" s="51" t="s">
        <v>467</v>
      </c>
      <c r="D119" s="107" t="s">
        <v>468</v>
      </c>
      <c r="E119" s="33" t="s">
        <v>469</v>
      </c>
      <c r="F119" s="23" t="s">
        <v>150</v>
      </c>
      <c r="G119" s="24">
        <v>2.0</v>
      </c>
      <c r="H119" s="25">
        <v>300000.0</v>
      </c>
      <c r="I119" s="26">
        <v>46093.0</v>
      </c>
      <c r="J119" s="94">
        <v>100000.0</v>
      </c>
      <c r="K119" s="39">
        <f>100000</f>
        <v>100000</v>
      </c>
      <c r="L119" s="97"/>
      <c r="M119" s="78"/>
      <c r="N119" s="26">
        <v>46093.0</v>
      </c>
      <c r="O119" s="100">
        <v>46122.0</v>
      </c>
      <c r="P119" s="30">
        <v>5000.0</v>
      </c>
      <c r="Q119" s="26">
        <v>46093.0</v>
      </c>
      <c r="R119" s="101"/>
      <c r="S119" s="44"/>
      <c r="T119" s="156" t="s">
        <v>470</v>
      </c>
      <c r="U119" s="4"/>
      <c r="V119" s="4"/>
      <c r="W119" s="4"/>
      <c r="X119" s="4"/>
      <c r="Y119" s="4"/>
      <c r="Z119" s="4"/>
    </row>
    <row r="120" ht="34.5" hidden="1" customHeight="1">
      <c r="A120" s="117">
        <v>115.0</v>
      </c>
      <c r="B120" s="62" t="s">
        <v>471</v>
      </c>
      <c r="C120" s="51" t="s">
        <v>28</v>
      </c>
      <c r="D120" s="107" t="s">
        <v>472</v>
      </c>
      <c r="E120" s="37"/>
      <c r="F120" s="23" t="s">
        <v>150</v>
      </c>
      <c r="G120" s="24">
        <v>1.0</v>
      </c>
      <c r="H120" s="25">
        <v>250000.0</v>
      </c>
      <c r="I120" s="26">
        <v>46093.0</v>
      </c>
      <c r="J120" s="94">
        <v>100000.0</v>
      </c>
      <c r="K120" s="39">
        <v>100000.0</v>
      </c>
      <c r="L120" s="97"/>
      <c r="M120" s="78"/>
      <c r="N120" s="28"/>
      <c r="O120" s="100">
        <v>46130.0</v>
      </c>
      <c r="P120" s="30">
        <v>1800.0</v>
      </c>
      <c r="Q120" s="86">
        <v>46120.0</v>
      </c>
      <c r="R120" s="101"/>
      <c r="S120" s="44"/>
      <c r="T120" s="45" t="s">
        <v>292</v>
      </c>
      <c r="U120" s="4"/>
      <c r="V120" s="4"/>
      <c r="W120" s="4"/>
      <c r="X120" s="4"/>
      <c r="Y120" s="4"/>
      <c r="Z120" s="4"/>
    </row>
    <row r="121" ht="34.5" hidden="1" customHeight="1">
      <c r="A121" s="117">
        <v>116.0</v>
      </c>
      <c r="B121" s="20" t="s">
        <v>473</v>
      </c>
      <c r="C121" s="51" t="s">
        <v>460</v>
      </c>
      <c r="D121" s="107" t="s">
        <v>474</v>
      </c>
      <c r="E121" s="37"/>
      <c r="F121" s="23" t="s">
        <v>31</v>
      </c>
      <c r="G121" s="24">
        <v>1.0</v>
      </c>
      <c r="H121" s="25">
        <f>50000+150000+50000+85000+15000+1000+49000+50000+30000</f>
        <v>480000</v>
      </c>
      <c r="I121" s="157">
        <v>46086.0</v>
      </c>
      <c r="J121" s="39">
        <f t="shared" ref="J121:K121" si="9">50000+150000+50000+85000+15000+1000+49000+50000+30000</f>
        <v>480000</v>
      </c>
      <c r="K121" s="39">
        <f t="shared" si="9"/>
        <v>480000</v>
      </c>
      <c r="L121" s="97"/>
      <c r="M121" s="78"/>
      <c r="N121" s="84">
        <v>46126.0</v>
      </c>
      <c r="O121" s="100"/>
      <c r="P121" s="30"/>
      <c r="Q121" s="84">
        <v>46126.0</v>
      </c>
      <c r="R121" s="101"/>
      <c r="S121" s="44"/>
      <c r="T121" s="155" t="s">
        <v>183</v>
      </c>
      <c r="U121" s="4"/>
      <c r="V121" s="4"/>
      <c r="W121" s="4"/>
      <c r="X121" s="4"/>
      <c r="Y121" s="4"/>
      <c r="Z121" s="4"/>
    </row>
    <row r="122" ht="34.5" hidden="1" customHeight="1">
      <c r="A122" s="117">
        <v>117.0</v>
      </c>
      <c r="B122" s="20"/>
      <c r="C122" s="51" t="s">
        <v>165</v>
      </c>
      <c r="D122" s="72" t="s">
        <v>475</v>
      </c>
      <c r="E122" s="37"/>
      <c r="F122" s="23" t="s">
        <v>31</v>
      </c>
      <c r="G122" s="24">
        <v>1.0</v>
      </c>
      <c r="H122" s="25"/>
      <c r="I122" s="157">
        <v>46096.0</v>
      </c>
      <c r="J122" s="114"/>
      <c r="K122" s="49">
        <v>10000.0</v>
      </c>
      <c r="L122" s="87"/>
      <c r="M122" s="114"/>
      <c r="N122" s="28"/>
      <c r="O122" s="100"/>
      <c r="P122" s="30"/>
      <c r="Q122" s="84">
        <v>46096.0</v>
      </c>
      <c r="R122" s="101"/>
      <c r="S122" s="44"/>
      <c r="T122" s="36"/>
      <c r="U122" s="4"/>
      <c r="V122" s="4"/>
      <c r="W122" s="4"/>
      <c r="X122" s="4"/>
      <c r="Y122" s="4"/>
      <c r="Z122" s="4"/>
    </row>
    <row r="123" ht="34.5" hidden="1" customHeight="1">
      <c r="A123" s="117">
        <v>118.0</v>
      </c>
      <c r="B123" s="20"/>
      <c r="C123" s="51" t="s">
        <v>165</v>
      </c>
      <c r="D123" s="72" t="s">
        <v>476</v>
      </c>
      <c r="E123" s="37"/>
      <c r="F123" s="23" t="s">
        <v>31</v>
      </c>
      <c r="G123" s="24">
        <v>1.0</v>
      </c>
      <c r="H123" s="25"/>
      <c r="I123" s="157">
        <v>46096.0</v>
      </c>
      <c r="J123" s="114"/>
      <c r="K123" s="49">
        <v>10000.0</v>
      </c>
      <c r="L123" s="87"/>
      <c r="M123" s="114"/>
      <c r="N123" s="28"/>
      <c r="O123" s="100"/>
      <c r="P123" s="30"/>
      <c r="Q123" s="84">
        <v>46096.0</v>
      </c>
      <c r="R123" s="101"/>
      <c r="S123" s="44"/>
      <c r="T123" s="36"/>
      <c r="U123" s="4"/>
      <c r="V123" s="4"/>
      <c r="W123" s="4"/>
      <c r="X123" s="4"/>
      <c r="Y123" s="4"/>
      <c r="Z123" s="4"/>
    </row>
    <row r="124" ht="34.5" hidden="1" customHeight="1">
      <c r="A124" s="117">
        <v>119.0</v>
      </c>
      <c r="B124" s="62" t="s">
        <v>477</v>
      </c>
      <c r="C124" s="107" t="s">
        <v>373</v>
      </c>
      <c r="D124" s="107" t="s">
        <v>478</v>
      </c>
      <c r="E124" s="58" t="s">
        <v>479</v>
      </c>
      <c r="F124" s="23" t="s">
        <v>480</v>
      </c>
      <c r="G124" s="24">
        <v>1.0</v>
      </c>
      <c r="H124" s="151">
        <v>300000.0</v>
      </c>
      <c r="I124" s="157">
        <v>46111.0</v>
      </c>
      <c r="J124" s="158">
        <v>100000.0</v>
      </c>
      <c r="K124" s="39">
        <f>10000+65000+25000</f>
        <v>100000</v>
      </c>
      <c r="L124" s="97"/>
      <c r="M124" s="147"/>
      <c r="N124" s="157">
        <v>46183.0</v>
      </c>
      <c r="O124" s="110">
        <v>46218.0</v>
      </c>
      <c r="P124" s="69">
        <v>5000.0</v>
      </c>
      <c r="Q124" s="84">
        <v>46270.0</v>
      </c>
      <c r="R124" s="101"/>
      <c r="S124" s="44"/>
      <c r="T124" s="45" t="s">
        <v>106</v>
      </c>
      <c r="U124" s="4"/>
      <c r="V124" s="4"/>
      <c r="W124" s="4"/>
      <c r="X124" s="4"/>
      <c r="Y124" s="4"/>
      <c r="Z124" s="4"/>
    </row>
    <row r="125" ht="34.5" hidden="1" customHeight="1">
      <c r="A125" s="117">
        <v>120.0</v>
      </c>
      <c r="B125" s="20" t="s">
        <v>481</v>
      </c>
      <c r="C125" s="51" t="s">
        <v>342</v>
      </c>
      <c r="D125" s="107" t="s">
        <v>482</v>
      </c>
      <c r="E125" s="33" t="s">
        <v>483</v>
      </c>
      <c r="F125" s="23" t="s">
        <v>31</v>
      </c>
      <c r="G125" s="24">
        <v>2.0</v>
      </c>
      <c r="H125" s="25">
        <v>1000000.0</v>
      </c>
      <c r="I125" s="56">
        <v>46118.0</v>
      </c>
      <c r="J125" s="94">
        <v>300000.0</v>
      </c>
      <c r="K125" s="39">
        <f>100000+200000</f>
        <v>300000</v>
      </c>
      <c r="L125" s="97"/>
      <c r="M125" s="78"/>
      <c r="N125" s="56">
        <v>46098.0</v>
      </c>
      <c r="O125" s="110">
        <v>46167.0</v>
      </c>
      <c r="P125" s="30">
        <v>17500.0</v>
      </c>
      <c r="Q125" s="56">
        <v>46259.0</v>
      </c>
      <c r="R125" s="101"/>
      <c r="S125" s="44"/>
      <c r="T125" s="60" t="s">
        <v>106</v>
      </c>
      <c r="U125" s="4"/>
      <c r="V125" s="4"/>
      <c r="W125" s="4"/>
      <c r="X125" s="4"/>
      <c r="Y125" s="4"/>
      <c r="Z125" s="4"/>
    </row>
    <row r="126" ht="34.5" hidden="1" customHeight="1">
      <c r="A126" s="117">
        <v>121.0</v>
      </c>
      <c r="B126" s="20"/>
      <c r="C126" s="72" t="s">
        <v>444</v>
      </c>
      <c r="D126" s="72" t="s">
        <v>484</v>
      </c>
      <c r="E126" s="37"/>
      <c r="F126" s="23" t="s">
        <v>31</v>
      </c>
      <c r="G126" s="24">
        <v>1.0</v>
      </c>
      <c r="H126" s="25"/>
      <c r="I126" s="159">
        <v>46099.0</v>
      </c>
      <c r="J126" s="114"/>
      <c r="K126" s="49">
        <v>10000.0</v>
      </c>
      <c r="L126" s="87"/>
      <c r="M126" s="114"/>
      <c r="N126" s="28"/>
      <c r="O126" s="100"/>
      <c r="P126" s="30"/>
      <c r="Q126" s="42">
        <v>46099.0</v>
      </c>
      <c r="R126" s="101"/>
      <c r="S126" s="44"/>
      <c r="T126" s="36"/>
      <c r="U126" s="4"/>
      <c r="V126" s="4"/>
      <c r="W126" s="4"/>
      <c r="X126" s="4"/>
      <c r="Y126" s="4"/>
      <c r="Z126" s="4"/>
    </row>
    <row r="127" ht="34.5" hidden="1" customHeight="1">
      <c r="A127" s="117">
        <v>122.0</v>
      </c>
      <c r="B127" s="20" t="s">
        <v>485</v>
      </c>
      <c r="C127" s="160" t="s">
        <v>403</v>
      </c>
      <c r="D127" s="107" t="s">
        <v>486</v>
      </c>
      <c r="E127" s="33" t="s">
        <v>487</v>
      </c>
      <c r="F127" s="23" t="s">
        <v>150</v>
      </c>
      <c r="G127" s="24">
        <v>1.0</v>
      </c>
      <c r="H127" s="25">
        <v>200000.0</v>
      </c>
      <c r="I127" s="159">
        <v>46100.0</v>
      </c>
      <c r="J127" s="94">
        <v>200000.0</v>
      </c>
      <c r="K127" s="39">
        <v>200000.0</v>
      </c>
      <c r="L127" s="85" t="s">
        <v>183</v>
      </c>
      <c r="M127" s="78"/>
      <c r="N127" s="159">
        <v>46100.0</v>
      </c>
      <c r="O127" s="132" t="s">
        <v>116</v>
      </c>
      <c r="P127" s="30"/>
      <c r="Q127" s="42">
        <v>46100.0</v>
      </c>
      <c r="R127" s="101"/>
      <c r="S127" s="44"/>
      <c r="T127" s="65" t="s">
        <v>488</v>
      </c>
      <c r="U127" s="4"/>
      <c r="V127" s="4"/>
      <c r="W127" s="4"/>
      <c r="X127" s="4"/>
      <c r="Y127" s="4"/>
      <c r="Z127" s="4"/>
    </row>
    <row r="128" ht="34.5" hidden="1" customHeight="1">
      <c r="A128" s="117">
        <v>123.0</v>
      </c>
      <c r="B128" s="20" t="s">
        <v>489</v>
      </c>
      <c r="C128" s="51" t="s">
        <v>28</v>
      </c>
      <c r="D128" s="107" t="s">
        <v>490</v>
      </c>
      <c r="E128" s="33" t="s">
        <v>491</v>
      </c>
      <c r="F128" s="161" t="s">
        <v>31</v>
      </c>
      <c r="G128" s="24">
        <v>1.0</v>
      </c>
      <c r="H128" s="25">
        <v>350000.0</v>
      </c>
      <c r="I128" s="162">
        <v>46099.0</v>
      </c>
      <c r="J128" s="94">
        <v>150000.0</v>
      </c>
      <c r="K128" s="39">
        <v>150000.0</v>
      </c>
      <c r="L128" s="97"/>
      <c r="M128" s="147"/>
      <c r="N128" s="42">
        <v>46099.0</v>
      </c>
      <c r="O128" s="100">
        <v>46127.0</v>
      </c>
      <c r="P128" s="30">
        <v>10000.0</v>
      </c>
      <c r="Q128" s="42">
        <v>46099.0</v>
      </c>
      <c r="R128" s="101"/>
      <c r="S128" s="44"/>
      <c r="T128" s="156" t="s">
        <v>470</v>
      </c>
      <c r="U128" s="4"/>
      <c r="V128" s="4"/>
      <c r="W128" s="4"/>
      <c r="X128" s="4"/>
      <c r="Y128" s="4"/>
      <c r="Z128" s="4"/>
    </row>
    <row r="129" ht="34.5" hidden="1" customHeight="1">
      <c r="A129" s="117">
        <v>124.0</v>
      </c>
      <c r="B129" s="20" t="s">
        <v>492</v>
      </c>
      <c r="C129" s="51" t="s">
        <v>245</v>
      </c>
      <c r="D129" s="107" t="s">
        <v>493</v>
      </c>
      <c r="E129" s="33" t="s">
        <v>494</v>
      </c>
      <c r="F129" s="23" t="s">
        <v>150</v>
      </c>
      <c r="G129" s="24">
        <v>1.0</v>
      </c>
      <c r="H129" s="25">
        <v>150000.0</v>
      </c>
      <c r="I129" s="159">
        <v>46110.0</v>
      </c>
      <c r="J129" s="94">
        <v>150000.0</v>
      </c>
      <c r="K129" s="163">
        <v>150000.0</v>
      </c>
      <c r="L129" s="85" t="s">
        <v>183</v>
      </c>
      <c r="M129" s="78"/>
      <c r="N129" s="56">
        <v>46110.0</v>
      </c>
      <c r="O129" s="132" t="s">
        <v>116</v>
      </c>
      <c r="P129" s="30"/>
      <c r="Q129" s="56">
        <v>46110.0</v>
      </c>
      <c r="R129" s="101"/>
      <c r="S129" s="44"/>
      <c r="T129" s="65" t="s">
        <v>117</v>
      </c>
      <c r="U129" s="4"/>
      <c r="V129" s="4"/>
      <c r="W129" s="4"/>
      <c r="X129" s="4"/>
      <c r="Y129" s="4"/>
      <c r="Z129" s="4"/>
    </row>
    <row r="130" ht="34.5" hidden="1" customHeight="1">
      <c r="A130" s="117">
        <v>125.0</v>
      </c>
      <c r="B130" s="20" t="s">
        <v>495</v>
      </c>
      <c r="C130" s="51" t="s">
        <v>245</v>
      </c>
      <c r="D130" s="107" t="s">
        <v>496</v>
      </c>
      <c r="E130" s="33" t="s">
        <v>497</v>
      </c>
      <c r="F130" s="23" t="s">
        <v>150</v>
      </c>
      <c r="G130" s="24">
        <v>1.0</v>
      </c>
      <c r="H130" s="25">
        <v>150000.0</v>
      </c>
      <c r="I130" s="159">
        <v>46110.0</v>
      </c>
      <c r="J130" s="94">
        <v>150000.0</v>
      </c>
      <c r="K130" s="163">
        <v>150000.0</v>
      </c>
      <c r="L130" s="85" t="s">
        <v>183</v>
      </c>
      <c r="M130" s="78"/>
      <c r="N130" s="56">
        <v>46110.0</v>
      </c>
      <c r="O130" s="132" t="s">
        <v>116</v>
      </c>
      <c r="P130" s="30"/>
      <c r="Q130" s="56">
        <v>46110.0</v>
      </c>
      <c r="R130" s="101"/>
      <c r="S130" s="44"/>
      <c r="T130" s="65" t="s">
        <v>117</v>
      </c>
      <c r="U130" s="4"/>
      <c r="V130" s="4"/>
      <c r="W130" s="4"/>
      <c r="X130" s="4"/>
      <c r="Y130" s="4"/>
      <c r="Z130" s="4"/>
    </row>
    <row r="131" ht="34.5" hidden="1" customHeight="1">
      <c r="A131" s="117">
        <v>126.0</v>
      </c>
      <c r="B131" s="20" t="s">
        <v>498</v>
      </c>
      <c r="C131" s="51" t="s">
        <v>499</v>
      </c>
      <c r="D131" s="107" t="s">
        <v>500</v>
      </c>
      <c r="E131" s="33" t="s">
        <v>501</v>
      </c>
      <c r="F131" s="23" t="s">
        <v>31</v>
      </c>
      <c r="G131" s="24">
        <v>1.0</v>
      </c>
      <c r="H131" s="25">
        <v>400000.0</v>
      </c>
      <c r="I131" s="159">
        <v>46114.0</v>
      </c>
      <c r="J131" s="94">
        <v>100000.0</v>
      </c>
      <c r="K131" s="39">
        <f>50000+50000</f>
        <v>100000</v>
      </c>
      <c r="L131" s="97"/>
      <c r="M131" s="78"/>
      <c r="N131" s="84">
        <v>46114.0</v>
      </c>
      <c r="O131" s="100">
        <v>46157.0</v>
      </c>
      <c r="P131" s="30">
        <v>7500.0</v>
      </c>
      <c r="Q131" s="84">
        <v>46114.0</v>
      </c>
      <c r="R131" s="101"/>
      <c r="S131" s="44"/>
      <c r="T131" s="36"/>
      <c r="U131" s="4"/>
      <c r="V131" s="4"/>
      <c r="W131" s="4"/>
      <c r="X131" s="4"/>
      <c r="Y131" s="4"/>
      <c r="Z131" s="4"/>
    </row>
    <row r="132" ht="34.5" hidden="1" customHeight="1">
      <c r="A132" s="117">
        <v>127.0</v>
      </c>
      <c r="B132" s="20"/>
      <c r="C132" s="67" t="s">
        <v>502</v>
      </c>
      <c r="D132" s="67" t="s">
        <v>503</v>
      </c>
      <c r="E132" s="164"/>
      <c r="F132" s="165" t="s">
        <v>31</v>
      </c>
      <c r="G132" s="90">
        <v>1.0</v>
      </c>
      <c r="H132" s="91">
        <v>600000.0</v>
      </c>
      <c r="I132" s="166">
        <v>46114.0</v>
      </c>
      <c r="J132" s="139"/>
      <c r="K132" s="34">
        <v>50000.0</v>
      </c>
      <c r="L132" s="92"/>
      <c r="M132" s="139"/>
      <c r="N132" s="35"/>
      <c r="O132" s="140"/>
      <c r="P132" s="34"/>
      <c r="Q132" s="167">
        <v>46114.0</v>
      </c>
      <c r="R132" s="93"/>
      <c r="S132" s="141"/>
      <c r="T132" s="38"/>
      <c r="U132" s="4"/>
      <c r="V132" s="4"/>
      <c r="W132" s="4"/>
      <c r="X132" s="4"/>
      <c r="Y132" s="4"/>
      <c r="Z132" s="4"/>
    </row>
    <row r="133" ht="34.5" hidden="1" customHeight="1">
      <c r="A133" s="117">
        <v>128.0</v>
      </c>
      <c r="B133" s="168" t="s">
        <v>504</v>
      </c>
      <c r="C133" s="51" t="s">
        <v>99</v>
      </c>
      <c r="D133" s="107" t="s">
        <v>505</v>
      </c>
      <c r="E133" s="169" t="s">
        <v>506</v>
      </c>
      <c r="F133" s="23" t="s">
        <v>150</v>
      </c>
      <c r="G133" s="24">
        <v>1.0</v>
      </c>
      <c r="H133" s="25">
        <v>350000.0</v>
      </c>
      <c r="I133" s="84">
        <v>46115.0</v>
      </c>
      <c r="J133" s="94">
        <v>100000.0</v>
      </c>
      <c r="K133" s="39">
        <f>5000+45000+10000+40000</f>
        <v>100000</v>
      </c>
      <c r="L133" s="97"/>
      <c r="M133" s="147"/>
      <c r="N133" s="84">
        <v>46158.0</v>
      </c>
      <c r="O133" s="110">
        <v>46183.0</v>
      </c>
      <c r="P133" s="69">
        <v>5000.0</v>
      </c>
      <c r="Q133" s="75">
        <v>46240.0</v>
      </c>
      <c r="R133" s="101"/>
      <c r="S133" s="44"/>
      <c r="T133" s="60" t="s">
        <v>106</v>
      </c>
      <c r="U133" s="4"/>
      <c r="V133" s="4"/>
      <c r="W133" s="4"/>
      <c r="X133" s="4"/>
      <c r="Y133" s="4"/>
      <c r="Z133" s="4"/>
    </row>
    <row r="134" ht="34.5" hidden="1" customHeight="1">
      <c r="A134" s="117">
        <v>129.0</v>
      </c>
      <c r="B134" s="20" t="s">
        <v>507</v>
      </c>
      <c r="C134" s="51" t="s">
        <v>467</v>
      </c>
      <c r="D134" s="107" t="s">
        <v>468</v>
      </c>
      <c r="E134" s="33" t="s">
        <v>469</v>
      </c>
      <c r="F134" s="23" t="s">
        <v>31</v>
      </c>
      <c r="G134" s="24">
        <v>2.0</v>
      </c>
      <c r="H134" s="25">
        <v>550000.0</v>
      </c>
      <c r="I134" s="26">
        <v>46071.0</v>
      </c>
      <c r="J134" s="94">
        <v>100000.0</v>
      </c>
      <c r="K134" s="39">
        <f>100000</f>
        <v>100000</v>
      </c>
      <c r="L134" s="97"/>
      <c r="M134" s="78"/>
      <c r="N134" s="26">
        <v>46071.0</v>
      </c>
      <c r="O134" s="100">
        <v>46091.0</v>
      </c>
      <c r="P134" s="30">
        <v>11700.0</v>
      </c>
      <c r="Q134" s="26">
        <v>46071.0</v>
      </c>
      <c r="R134" s="101"/>
      <c r="S134" s="44"/>
      <c r="T134" s="36"/>
      <c r="U134" s="4"/>
      <c r="V134" s="4"/>
      <c r="W134" s="4"/>
      <c r="X134" s="4"/>
      <c r="Y134" s="4"/>
      <c r="Z134" s="4"/>
    </row>
    <row r="135" ht="34.5" hidden="1" customHeight="1">
      <c r="A135" s="117">
        <v>130.0</v>
      </c>
      <c r="B135" s="20"/>
      <c r="C135" s="51" t="s">
        <v>189</v>
      </c>
      <c r="D135" s="72" t="s">
        <v>508</v>
      </c>
      <c r="E135" s="37"/>
      <c r="F135" s="23" t="s">
        <v>31</v>
      </c>
      <c r="G135" s="24">
        <v>1.0</v>
      </c>
      <c r="H135" s="25"/>
      <c r="I135" s="157">
        <v>46118.0</v>
      </c>
      <c r="J135" s="114"/>
      <c r="K135" s="49">
        <v>3000.0</v>
      </c>
      <c r="L135" s="87"/>
      <c r="M135" s="114"/>
      <c r="N135" s="170"/>
      <c r="O135" s="100"/>
      <c r="P135" s="30"/>
      <c r="Q135" s="56">
        <v>46118.0</v>
      </c>
      <c r="R135" s="101"/>
      <c r="S135" s="44"/>
      <c r="T135" s="36"/>
      <c r="U135" s="4"/>
      <c r="V135" s="4"/>
      <c r="W135" s="4"/>
      <c r="X135" s="4"/>
      <c r="Y135" s="4"/>
      <c r="Z135" s="4"/>
    </row>
    <row r="136" ht="34.5" hidden="1" customHeight="1">
      <c r="A136" s="117">
        <v>131.0</v>
      </c>
      <c r="B136" s="20" t="s">
        <v>509</v>
      </c>
      <c r="C136" s="51" t="s">
        <v>198</v>
      </c>
      <c r="D136" s="171" t="s">
        <v>510</v>
      </c>
      <c r="E136" s="33" t="s">
        <v>511</v>
      </c>
      <c r="F136" s="23" t="s">
        <v>26</v>
      </c>
      <c r="G136" s="24">
        <v>5.0</v>
      </c>
      <c r="H136" s="25">
        <f>1000000*5</f>
        <v>5000000</v>
      </c>
      <c r="I136" s="157">
        <v>46121.0</v>
      </c>
      <c r="J136" s="94">
        <v>1500000.0</v>
      </c>
      <c r="K136" s="39">
        <f>100000+500000+900000</f>
        <v>1500000</v>
      </c>
      <c r="L136" s="97"/>
      <c r="M136" s="78"/>
      <c r="N136" s="84">
        <v>46118.0</v>
      </c>
      <c r="O136" s="110">
        <v>46152.0</v>
      </c>
      <c r="P136" s="69">
        <v>50000.0</v>
      </c>
      <c r="Q136" s="84">
        <v>46257.0</v>
      </c>
      <c r="R136" s="101"/>
      <c r="S136" s="44"/>
      <c r="T136" s="45" t="s">
        <v>106</v>
      </c>
      <c r="U136" s="4"/>
      <c r="V136" s="4"/>
      <c r="W136" s="4"/>
      <c r="X136" s="4"/>
      <c r="Y136" s="4"/>
      <c r="Z136" s="4"/>
    </row>
    <row r="137" ht="34.5" hidden="1" customHeight="1">
      <c r="A137" s="117">
        <v>132.0</v>
      </c>
      <c r="B137" s="62" t="s">
        <v>512</v>
      </c>
      <c r="C137" s="51" t="s">
        <v>125</v>
      </c>
      <c r="D137" s="51" t="s">
        <v>513</v>
      </c>
      <c r="E137" s="33" t="s">
        <v>514</v>
      </c>
      <c r="F137" s="23" t="s">
        <v>31</v>
      </c>
      <c r="G137" s="24">
        <v>1.0</v>
      </c>
      <c r="H137" s="25">
        <v>300000.0</v>
      </c>
      <c r="I137" s="26">
        <v>46122.0</v>
      </c>
      <c r="J137" s="94">
        <f t="shared" ref="J137:J139" si="10">H137</f>
        <v>300000</v>
      </c>
      <c r="K137" s="39">
        <v>300000.0</v>
      </c>
      <c r="L137" s="96" t="s">
        <v>183</v>
      </c>
      <c r="M137" s="78"/>
      <c r="N137" s="26">
        <v>46122.0</v>
      </c>
      <c r="O137" s="132" t="s">
        <v>446</v>
      </c>
      <c r="P137" s="30"/>
      <c r="Q137" s="26">
        <v>46122.0</v>
      </c>
      <c r="R137" s="101"/>
      <c r="S137" s="44"/>
      <c r="T137" s="65" t="s">
        <v>117</v>
      </c>
      <c r="U137" s="4"/>
      <c r="V137" s="4"/>
      <c r="W137" s="4"/>
      <c r="X137" s="4"/>
      <c r="Y137" s="4"/>
      <c r="Z137" s="4"/>
    </row>
    <row r="138" ht="34.5" hidden="1" customHeight="1">
      <c r="A138" s="117">
        <v>133.0</v>
      </c>
      <c r="B138" s="62" t="s">
        <v>515</v>
      </c>
      <c r="C138" s="51" t="s">
        <v>125</v>
      </c>
      <c r="D138" s="51" t="s">
        <v>516</v>
      </c>
      <c r="E138" s="33" t="s">
        <v>517</v>
      </c>
      <c r="F138" s="23" t="s">
        <v>31</v>
      </c>
      <c r="G138" s="24">
        <v>1.0</v>
      </c>
      <c r="H138" s="25">
        <v>300000.0</v>
      </c>
      <c r="I138" s="26">
        <v>46122.0</v>
      </c>
      <c r="J138" s="94">
        <f t="shared" si="10"/>
        <v>300000</v>
      </c>
      <c r="K138" s="39">
        <f>225000+75000</f>
        <v>300000</v>
      </c>
      <c r="L138" s="96" t="s">
        <v>183</v>
      </c>
      <c r="M138" s="78"/>
      <c r="N138" s="26">
        <v>46122.0</v>
      </c>
      <c r="O138" s="132" t="s">
        <v>446</v>
      </c>
      <c r="P138" s="30"/>
      <c r="Q138" s="28"/>
      <c r="R138" s="101"/>
      <c r="S138" s="44"/>
      <c r="T138" s="65" t="s">
        <v>117</v>
      </c>
      <c r="U138" s="4"/>
      <c r="V138" s="4"/>
      <c r="W138" s="4"/>
      <c r="X138" s="4"/>
      <c r="Y138" s="4"/>
      <c r="Z138" s="4"/>
    </row>
    <row r="139" ht="34.5" hidden="1" customHeight="1">
      <c r="A139" s="117">
        <v>134.0</v>
      </c>
      <c r="B139" s="62" t="s">
        <v>518</v>
      </c>
      <c r="C139" s="51" t="s">
        <v>113</v>
      </c>
      <c r="D139" s="172" t="s">
        <v>519</v>
      </c>
      <c r="E139" s="33" t="s">
        <v>520</v>
      </c>
      <c r="F139" s="23" t="s">
        <v>31</v>
      </c>
      <c r="G139" s="24">
        <v>1.0</v>
      </c>
      <c r="H139" s="25">
        <v>300000.0</v>
      </c>
      <c r="I139" s="42">
        <v>46122.0</v>
      </c>
      <c r="J139" s="94">
        <f t="shared" si="10"/>
        <v>300000</v>
      </c>
      <c r="K139" s="39">
        <f>20000+100000+180000</f>
        <v>300000</v>
      </c>
      <c r="L139" s="96" t="s">
        <v>183</v>
      </c>
      <c r="M139" s="78"/>
      <c r="N139" s="26">
        <v>46140.0</v>
      </c>
      <c r="O139" s="132" t="s">
        <v>446</v>
      </c>
      <c r="P139" s="30"/>
      <c r="Q139" s="28"/>
      <c r="R139" s="101"/>
      <c r="S139" s="44"/>
      <c r="T139" s="65" t="s">
        <v>117</v>
      </c>
      <c r="U139" s="4"/>
      <c r="V139" s="4"/>
      <c r="W139" s="4"/>
      <c r="X139" s="4"/>
      <c r="Y139" s="4"/>
      <c r="Z139" s="4"/>
    </row>
    <row r="140" ht="34.5" hidden="1" customHeight="1">
      <c r="A140" s="117">
        <v>135.0</v>
      </c>
      <c r="B140" s="20" t="s">
        <v>521</v>
      </c>
      <c r="C140" s="51" t="s">
        <v>53</v>
      </c>
      <c r="D140" s="107" t="s">
        <v>522</v>
      </c>
      <c r="E140" s="146" t="s">
        <v>523</v>
      </c>
      <c r="F140" s="23" t="s">
        <v>31</v>
      </c>
      <c r="G140" s="24">
        <v>2.0</v>
      </c>
      <c r="H140" s="25" t="s">
        <v>524</v>
      </c>
      <c r="I140" s="42">
        <v>46125.0</v>
      </c>
      <c r="J140" s="94">
        <v>100000.0</v>
      </c>
      <c r="K140" s="39">
        <v>100000.0</v>
      </c>
      <c r="L140" s="97"/>
      <c r="M140" s="147"/>
      <c r="N140" s="28">
        <v>46132.0</v>
      </c>
      <c r="O140" s="100">
        <v>46162.0</v>
      </c>
      <c r="P140" s="30">
        <v>15000.0</v>
      </c>
      <c r="Q140" s="173">
        <v>46278.0</v>
      </c>
      <c r="R140" s="101"/>
      <c r="S140" s="44"/>
      <c r="T140" s="45" t="s">
        <v>379</v>
      </c>
      <c r="U140" s="4"/>
      <c r="V140" s="4"/>
      <c r="W140" s="4"/>
      <c r="X140" s="4"/>
      <c r="Y140" s="4"/>
      <c r="Z140" s="4"/>
    </row>
    <row r="141" ht="34.5" hidden="1" customHeight="1">
      <c r="A141" s="117">
        <v>136.0</v>
      </c>
      <c r="B141" s="20"/>
      <c r="C141" s="51" t="s">
        <v>93</v>
      </c>
      <c r="D141" s="72" t="s">
        <v>525</v>
      </c>
      <c r="E141" s="174"/>
      <c r="F141" s="23" t="s">
        <v>31</v>
      </c>
      <c r="G141" s="24">
        <v>1.0</v>
      </c>
      <c r="H141" s="25"/>
      <c r="I141" s="42">
        <v>46126.0</v>
      </c>
      <c r="J141" s="114"/>
      <c r="K141" s="49">
        <v>5500.0</v>
      </c>
      <c r="L141" s="87"/>
      <c r="M141" s="114"/>
      <c r="N141" s="28"/>
      <c r="O141" s="100"/>
      <c r="P141" s="30"/>
      <c r="Q141" s="42">
        <v>46126.0</v>
      </c>
      <c r="R141" s="101"/>
      <c r="S141" s="44"/>
      <c r="T141" s="36"/>
      <c r="U141" s="4"/>
      <c r="V141" s="4"/>
      <c r="W141" s="4"/>
      <c r="X141" s="4"/>
      <c r="Y141" s="4"/>
      <c r="Z141" s="4"/>
    </row>
    <row r="142" ht="34.5" hidden="1" customHeight="1">
      <c r="A142" s="117">
        <v>137.0</v>
      </c>
      <c r="B142" s="20" t="s">
        <v>526</v>
      </c>
      <c r="C142" s="51" t="s">
        <v>373</v>
      </c>
      <c r="D142" s="107" t="s">
        <v>527</v>
      </c>
      <c r="E142" s="175" t="s">
        <v>528</v>
      </c>
      <c r="F142" s="23" t="s">
        <v>480</v>
      </c>
      <c r="G142" s="24">
        <v>1.0</v>
      </c>
      <c r="H142" s="25">
        <v>300000.0</v>
      </c>
      <c r="I142" s="42">
        <v>46126.0</v>
      </c>
      <c r="J142" s="94">
        <v>300000.0</v>
      </c>
      <c r="K142" s="39">
        <f>100000+100000+100000</f>
        <v>300000</v>
      </c>
      <c r="L142" s="97"/>
      <c r="M142" s="147"/>
      <c r="N142" s="28">
        <v>46152.0</v>
      </c>
      <c r="O142" s="132" t="s">
        <v>446</v>
      </c>
      <c r="P142" s="30"/>
      <c r="Q142" s="28">
        <v>46152.0</v>
      </c>
      <c r="R142" s="101"/>
      <c r="S142" s="44"/>
      <c r="T142" s="65" t="s">
        <v>117</v>
      </c>
      <c r="U142" s="4"/>
      <c r="V142" s="4"/>
      <c r="W142" s="4"/>
      <c r="X142" s="4"/>
      <c r="Y142" s="4"/>
      <c r="Z142" s="4"/>
    </row>
    <row r="143" ht="34.5" hidden="1" customHeight="1">
      <c r="A143" s="117">
        <v>138.0</v>
      </c>
      <c r="B143" s="20"/>
      <c r="C143" s="72" t="s">
        <v>444</v>
      </c>
      <c r="D143" s="72" t="s">
        <v>529</v>
      </c>
      <c r="E143" s="174"/>
      <c r="F143" s="23" t="s">
        <v>31</v>
      </c>
      <c r="G143" s="24">
        <v>1.0</v>
      </c>
      <c r="H143" s="25"/>
      <c r="I143" s="42">
        <v>46126.0</v>
      </c>
      <c r="J143" s="114"/>
      <c r="K143" s="49">
        <v>1000.0</v>
      </c>
      <c r="L143" s="87"/>
      <c r="M143" s="114"/>
      <c r="N143" s="28"/>
      <c r="O143" s="100"/>
      <c r="P143" s="30"/>
      <c r="Q143" s="42">
        <v>46126.0</v>
      </c>
      <c r="R143" s="101"/>
      <c r="S143" s="44"/>
      <c r="T143" s="36"/>
      <c r="U143" s="4"/>
      <c r="V143" s="4"/>
      <c r="W143" s="4"/>
      <c r="X143" s="4"/>
      <c r="Y143" s="4"/>
      <c r="Z143" s="4"/>
    </row>
    <row r="144" ht="34.5" hidden="1" customHeight="1">
      <c r="A144" s="117">
        <v>139.0</v>
      </c>
      <c r="B144" s="20"/>
      <c r="C144" s="51" t="s">
        <v>530</v>
      </c>
      <c r="D144" s="72" t="s">
        <v>531</v>
      </c>
      <c r="E144" s="174"/>
      <c r="F144" s="23" t="s">
        <v>31</v>
      </c>
      <c r="G144" s="24">
        <v>1.0</v>
      </c>
      <c r="H144" s="25"/>
      <c r="I144" s="26">
        <v>46126.0</v>
      </c>
      <c r="J144" s="114"/>
      <c r="K144" s="49">
        <v>20000.0</v>
      </c>
      <c r="L144" s="87"/>
      <c r="M144" s="114"/>
      <c r="N144" s="28"/>
      <c r="O144" s="100"/>
      <c r="P144" s="30"/>
      <c r="Q144" s="28">
        <v>46126.0</v>
      </c>
      <c r="R144" s="101"/>
      <c r="S144" s="44"/>
      <c r="T144" s="36"/>
      <c r="U144" s="4"/>
      <c r="V144" s="4"/>
      <c r="W144" s="4"/>
      <c r="X144" s="4"/>
      <c r="Y144" s="4"/>
      <c r="Z144" s="4"/>
    </row>
    <row r="145" ht="34.5" hidden="1" customHeight="1">
      <c r="A145" s="117">
        <v>140.0</v>
      </c>
      <c r="B145" s="62" t="s">
        <v>532</v>
      </c>
      <c r="C145" s="107" t="s">
        <v>125</v>
      </c>
      <c r="D145" s="176" t="s">
        <v>519</v>
      </c>
      <c r="E145" s="58" t="s">
        <v>533</v>
      </c>
      <c r="F145" s="23" t="s">
        <v>150</v>
      </c>
      <c r="G145" s="24">
        <v>1.0</v>
      </c>
      <c r="H145" s="151">
        <v>150000.0</v>
      </c>
      <c r="I145" s="42">
        <v>46126.0</v>
      </c>
      <c r="J145" s="152">
        <v>150000.0</v>
      </c>
      <c r="K145" s="39">
        <f>50000+100000</f>
        <v>150000</v>
      </c>
      <c r="L145" s="96" t="s">
        <v>183</v>
      </c>
      <c r="M145" s="147"/>
      <c r="N145" s="177">
        <v>46162.0</v>
      </c>
      <c r="O145" s="132" t="s">
        <v>446</v>
      </c>
      <c r="P145" s="30"/>
      <c r="Q145" s="55">
        <v>46162.0</v>
      </c>
      <c r="R145" s="101"/>
      <c r="S145" s="44"/>
      <c r="T145" s="65" t="s">
        <v>117</v>
      </c>
      <c r="U145" s="4"/>
      <c r="V145" s="4"/>
      <c r="W145" s="4"/>
      <c r="X145" s="4"/>
      <c r="Y145" s="4"/>
      <c r="Z145" s="4"/>
    </row>
    <row r="146" ht="34.5" hidden="1" customHeight="1">
      <c r="A146" s="117">
        <v>141.0</v>
      </c>
      <c r="B146" s="20"/>
      <c r="C146" s="72" t="s">
        <v>444</v>
      </c>
      <c r="D146" s="72" t="s">
        <v>534</v>
      </c>
      <c r="E146" s="174"/>
      <c r="F146" s="23" t="s">
        <v>31</v>
      </c>
      <c r="G146" s="24">
        <v>1.0</v>
      </c>
      <c r="H146" s="25"/>
      <c r="I146" s="56">
        <v>46126.0</v>
      </c>
      <c r="J146" s="114"/>
      <c r="K146" s="49">
        <v>5000.0</v>
      </c>
      <c r="L146" s="87"/>
      <c r="M146" s="114"/>
      <c r="N146" s="28"/>
      <c r="O146" s="100"/>
      <c r="P146" s="30"/>
      <c r="Q146" s="28">
        <v>46126.0</v>
      </c>
      <c r="R146" s="101"/>
      <c r="S146" s="44"/>
      <c r="T146" s="36"/>
      <c r="U146" s="4"/>
      <c r="V146" s="4"/>
      <c r="W146" s="4"/>
      <c r="X146" s="4"/>
      <c r="Y146" s="4"/>
      <c r="Z146" s="4"/>
    </row>
    <row r="147" ht="34.5" hidden="1" customHeight="1">
      <c r="A147" s="117">
        <v>142.0</v>
      </c>
      <c r="B147" s="20"/>
      <c r="C147" s="72" t="s">
        <v>444</v>
      </c>
      <c r="D147" s="72" t="s">
        <v>535</v>
      </c>
      <c r="E147" s="174"/>
      <c r="F147" s="23" t="s">
        <v>31</v>
      </c>
      <c r="G147" s="24">
        <v>1.0</v>
      </c>
      <c r="H147" s="25"/>
      <c r="I147" s="56">
        <v>46126.0</v>
      </c>
      <c r="J147" s="114"/>
      <c r="K147" s="49">
        <v>2000.0</v>
      </c>
      <c r="L147" s="87"/>
      <c r="M147" s="114"/>
      <c r="N147" s="28"/>
      <c r="O147" s="100"/>
      <c r="P147" s="30"/>
      <c r="Q147" s="56">
        <v>46126.0</v>
      </c>
      <c r="R147" s="101"/>
      <c r="S147" s="44"/>
      <c r="T147" s="36"/>
      <c r="U147" s="4"/>
      <c r="V147" s="4"/>
      <c r="W147" s="4"/>
      <c r="X147" s="4"/>
      <c r="Y147" s="4"/>
      <c r="Z147" s="4"/>
    </row>
    <row r="148" ht="34.5" hidden="1" customHeight="1">
      <c r="A148" s="117">
        <v>143.0</v>
      </c>
      <c r="B148" s="62" t="s">
        <v>536</v>
      </c>
      <c r="C148" s="51" t="s">
        <v>444</v>
      </c>
      <c r="D148" s="104" t="s">
        <v>537</v>
      </c>
      <c r="E148" s="146" t="s">
        <v>538</v>
      </c>
      <c r="F148" s="23" t="s">
        <v>31</v>
      </c>
      <c r="G148" s="24">
        <v>1.0</v>
      </c>
      <c r="H148" s="25">
        <v>600000.0</v>
      </c>
      <c r="I148" s="26">
        <v>46132.0</v>
      </c>
      <c r="J148" s="94">
        <v>50000.0</v>
      </c>
      <c r="K148" s="39">
        <v>50000.0</v>
      </c>
      <c r="L148" s="97"/>
      <c r="M148" s="78"/>
      <c r="N148" s="28">
        <v>46132.0</v>
      </c>
      <c r="O148" s="100">
        <v>46183.0</v>
      </c>
      <c r="P148" s="30">
        <v>10000.0</v>
      </c>
      <c r="Q148" s="55">
        <v>46257.0</v>
      </c>
      <c r="R148" s="101"/>
      <c r="S148" s="44"/>
      <c r="T148" s="60" t="s">
        <v>106</v>
      </c>
      <c r="U148" s="4"/>
      <c r="V148" s="4"/>
      <c r="W148" s="4"/>
      <c r="X148" s="4"/>
      <c r="Y148" s="4"/>
      <c r="Z148" s="4"/>
    </row>
    <row r="149" ht="34.5" hidden="1" customHeight="1">
      <c r="A149" s="117">
        <v>144.0</v>
      </c>
      <c r="B149" s="20"/>
      <c r="C149" s="51" t="s">
        <v>539</v>
      </c>
      <c r="D149" s="72" t="s">
        <v>540</v>
      </c>
      <c r="E149" s="37"/>
      <c r="F149" s="23" t="s">
        <v>31</v>
      </c>
      <c r="G149" s="24">
        <v>1.0</v>
      </c>
      <c r="H149" s="25"/>
      <c r="I149" s="26">
        <v>46132.0</v>
      </c>
      <c r="J149" s="114"/>
      <c r="K149" s="49">
        <f>190000+100000</f>
        <v>290000</v>
      </c>
      <c r="L149" s="87"/>
      <c r="M149" s="114"/>
      <c r="N149" s="28"/>
      <c r="O149" s="100"/>
      <c r="P149" s="30"/>
      <c r="Q149" s="28">
        <v>46148.0</v>
      </c>
      <c r="R149" s="101"/>
      <c r="S149" s="44"/>
      <c r="T149" s="36"/>
      <c r="U149" s="4"/>
      <c r="V149" s="4"/>
      <c r="W149" s="4"/>
      <c r="X149" s="4"/>
      <c r="Y149" s="4"/>
      <c r="Z149" s="4"/>
    </row>
    <row r="150" ht="34.5" hidden="1" customHeight="1">
      <c r="A150" s="117">
        <v>145.0</v>
      </c>
      <c r="B150" s="20"/>
      <c r="C150" s="51" t="s">
        <v>541</v>
      </c>
      <c r="D150" s="72" t="s">
        <v>542</v>
      </c>
      <c r="E150" s="174"/>
      <c r="F150" s="23" t="s">
        <v>31</v>
      </c>
      <c r="G150" s="24">
        <v>1.0</v>
      </c>
      <c r="H150" s="25"/>
      <c r="I150" s="42">
        <v>46132.0</v>
      </c>
      <c r="J150" s="114"/>
      <c r="K150" s="49">
        <v>50000.0</v>
      </c>
      <c r="L150" s="87"/>
      <c r="M150" s="114"/>
      <c r="N150" s="28"/>
      <c r="O150" s="100"/>
      <c r="P150" s="30"/>
      <c r="Q150" s="42">
        <v>46132.0</v>
      </c>
      <c r="R150" s="101"/>
      <c r="S150" s="44"/>
      <c r="T150" s="36"/>
      <c r="U150" s="4"/>
      <c r="V150" s="4"/>
      <c r="W150" s="4"/>
      <c r="X150" s="4"/>
      <c r="Y150" s="4"/>
      <c r="Z150" s="4"/>
    </row>
    <row r="151" ht="34.5" hidden="1" customHeight="1">
      <c r="A151" s="117">
        <v>146.0</v>
      </c>
      <c r="B151" s="20"/>
      <c r="C151" s="51" t="s">
        <v>530</v>
      </c>
      <c r="D151" s="72" t="s">
        <v>543</v>
      </c>
      <c r="E151" s="37"/>
      <c r="F151" s="23" t="s">
        <v>31</v>
      </c>
      <c r="G151" s="24">
        <v>1.0</v>
      </c>
      <c r="H151" s="25"/>
      <c r="I151" s="178">
        <v>46139.0</v>
      </c>
      <c r="J151" s="114"/>
      <c r="K151" s="27">
        <v>5000.0</v>
      </c>
      <c r="L151" s="26"/>
      <c r="M151" s="78"/>
      <c r="N151" s="28"/>
      <c r="O151" s="100"/>
      <c r="P151" s="30"/>
      <c r="Q151" s="178">
        <v>46139.0</v>
      </c>
      <c r="R151" s="101"/>
      <c r="S151" s="44"/>
      <c r="T151" s="36"/>
      <c r="U151" s="4"/>
      <c r="V151" s="4"/>
      <c r="W151" s="4"/>
      <c r="X151" s="4"/>
      <c r="Y151" s="4"/>
      <c r="Z151" s="4"/>
    </row>
    <row r="152" ht="34.5" hidden="1" customHeight="1">
      <c r="A152" s="117">
        <v>147.0</v>
      </c>
      <c r="B152" s="20"/>
      <c r="C152" s="51" t="s">
        <v>530</v>
      </c>
      <c r="D152" s="72" t="s">
        <v>544</v>
      </c>
      <c r="E152" s="37"/>
      <c r="F152" s="23" t="s">
        <v>31</v>
      </c>
      <c r="G152" s="24">
        <v>1.0</v>
      </c>
      <c r="H152" s="25"/>
      <c r="I152" s="26">
        <v>46139.0</v>
      </c>
      <c r="J152" s="114"/>
      <c r="K152" s="27">
        <v>5000.0</v>
      </c>
      <c r="L152" s="26"/>
      <c r="M152" s="78"/>
      <c r="N152" s="28"/>
      <c r="O152" s="100"/>
      <c r="P152" s="30"/>
      <c r="Q152" s="28">
        <v>46139.0</v>
      </c>
      <c r="R152" s="101"/>
      <c r="S152" s="44"/>
      <c r="T152" s="36"/>
      <c r="U152" s="4"/>
      <c r="V152" s="4"/>
      <c r="W152" s="4"/>
      <c r="X152" s="4"/>
      <c r="Y152" s="4"/>
      <c r="Z152" s="4"/>
    </row>
    <row r="153" ht="34.5" hidden="1" customHeight="1">
      <c r="A153" s="117">
        <v>148.0</v>
      </c>
      <c r="B153" s="179" t="s">
        <v>545</v>
      </c>
      <c r="C153" s="51" t="s">
        <v>546</v>
      </c>
      <c r="D153" s="107" t="s">
        <v>547</v>
      </c>
      <c r="E153" s="146" t="s">
        <v>548</v>
      </c>
      <c r="F153" s="36" t="s">
        <v>150</v>
      </c>
      <c r="G153" s="24">
        <v>1.0</v>
      </c>
      <c r="H153" s="25">
        <v>100000.0</v>
      </c>
      <c r="I153" s="26">
        <v>46121.0</v>
      </c>
      <c r="J153" s="94">
        <v>100000.0</v>
      </c>
      <c r="K153" s="39">
        <f>50000+30000+20000</f>
        <v>100000</v>
      </c>
      <c r="L153" s="97"/>
      <c r="M153" s="78"/>
      <c r="N153" s="180">
        <v>46142.0</v>
      </c>
      <c r="O153" s="181" t="s">
        <v>116</v>
      </c>
      <c r="P153" s="30"/>
      <c r="Q153" s="28"/>
      <c r="R153" s="101"/>
      <c r="S153" s="44"/>
      <c r="T153" s="65" t="s">
        <v>117</v>
      </c>
      <c r="U153" s="4"/>
      <c r="V153" s="4"/>
      <c r="W153" s="4"/>
      <c r="X153" s="4"/>
      <c r="Y153" s="4"/>
      <c r="Z153" s="4"/>
    </row>
    <row r="154" ht="34.5" hidden="1" customHeight="1">
      <c r="A154" s="117">
        <v>149.0</v>
      </c>
      <c r="B154" s="20"/>
      <c r="C154" s="51" t="s">
        <v>539</v>
      </c>
      <c r="D154" s="72" t="s">
        <v>549</v>
      </c>
      <c r="E154" s="37"/>
      <c r="F154" s="23" t="s">
        <v>31</v>
      </c>
      <c r="G154" s="24">
        <v>2.0</v>
      </c>
      <c r="H154" s="25">
        <f>500000*2</f>
        <v>1000000</v>
      </c>
      <c r="I154" s="26">
        <v>46142.0</v>
      </c>
      <c r="J154" s="114"/>
      <c r="K154" s="27">
        <v>10000.0</v>
      </c>
      <c r="L154" s="26"/>
      <c r="M154" s="78"/>
      <c r="N154" s="28"/>
      <c r="O154" s="100"/>
      <c r="P154" s="30"/>
      <c r="Q154" s="28"/>
      <c r="R154" s="101"/>
      <c r="S154" s="44"/>
      <c r="T154" s="36"/>
      <c r="U154" s="4"/>
      <c r="V154" s="4"/>
      <c r="W154" s="4"/>
      <c r="X154" s="4"/>
      <c r="Y154" s="4"/>
      <c r="Z154" s="4"/>
    </row>
    <row r="155" ht="34.5" hidden="1" customHeight="1">
      <c r="A155" s="117">
        <v>150.0</v>
      </c>
      <c r="B155" s="20"/>
      <c r="C155" s="51" t="s">
        <v>539</v>
      </c>
      <c r="D155" s="72" t="s">
        <v>549</v>
      </c>
      <c r="E155" s="37"/>
      <c r="F155" s="23" t="s">
        <v>31</v>
      </c>
      <c r="G155" s="24">
        <v>3.0</v>
      </c>
      <c r="H155" s="25">
        <f>500000*3</f>
        <v>1500000</v>
      </c>
      <c r="I155" s="26">
        <v>46142.0</v>
      </c>
      <c r="J155" s="114"/>
      <c r="K155" s="73">
        <v>50000.0</v>
      </c>
      <c r="L155" s="26"/>
      <c r="M155" s="78"/>
      <c r="N155" s="28"/>
      <c r="O155" s="100"/>
      <c r="P155" s="30"/>
      <c r="Q155" s="55">
        <v>46166.0</v>
      </c>
      <c r="R155" s="101"/>
      <c r="S155" s="44"/>
      <c r="T155" s="36"/>
      <c r="U155" s="4"/>
      <c r="V155" s="4"/>
      <c r="W155" s="4"/>
      <c r="X155" s="4"/>
      <c r="Y155" s="4"/>
      <c r="Z155" s="4"/>
    </row>
    <row r="156" ht="34.5" hidden="1" customHeight="1">
      <c r="A156" s="117">
        <v>151.0</v>
      </c>
      <c r="B156" s="20"/>
      <c r="C156" s="51" t="s">
        <v>530</v>
      </c>
      <c r="D156" s="72" t="s">
        <v>550</v>
      </c>
      <c r="E156" s="37"/>
      <c r="F156" s="23" t="s">
        <v>31</v>
      </c>
      <c r="G156" s="24">
        <v>1.0</v>
      </c>
      <c r="H156" s="25"/>
      <c r="I156" s="75">
        <v>46142.0</v>
      </c>
      <c r="J156" s="114"/>
      <c r="K156" s="27">
        <v>1000.0</v>
      </c>
      <c r="L156" s="26"/>
      <c r="M156" s="78"/>
      <c r="N156" s="28"/>
      <c r="O156" s="100"/>
      <c r="P156" s="30"/>
      <c r="Q156" s="28"/>
      <c r="R156" s="101"/>
      <c r="S156" s="44"/>
      <c r="T156" s="36"/>
      <c r="U156" s="4"/>
      <c r="V156" s="4"/>
      <c r="W156" s="4"/>
      <c r="X156" s="4"/>
      <c r="Y156" s="4"/>
      <c r="Z156" s="4"/>
    </row>
    <row r="157" ht="34.5" hidden="1" customHeight="1">
      <c r="A157" s="117">
        <v>152.0</v>
      </c>
      <c r="B157" s="20"/>
      <c r="C157" s="51" t="s">
        <v>530</v>
      </c>
      <c r="D157" s="72" t="s">
        <v>551</v>
      </c>
      <c r="E157" s="37"/>
      <c r="F157" s="23" t="s">
        <v>31</v>
      </c>
      <c r="G157" s="24">
        <v>1.0</v>
      </c>
      <c r="H157" s="25"/>
      <c r="I157" s="75">
        <v>46142.0</v>
      </c>
      <c r="J157" s="114"/>
      <c r="K157" s="27">
        <v>1000.0</v>
      </c>
      <c r="L157" s="26"/>
      <c r="M157" s="78"/>
      <c r="N157" s="28"/>
      <c r="O157" s="100"/>
      <c r="P157" s="30"/>
      <c r="Q157" s="28"/>
      <c r="R157" s="101"/>
      <c r="S157" s="44"/>
      <c r="T157" s="36"/>
      <c r="U157" s="4"/>
      <c r="V157" s="4"/>
      <c r="W157" s="4"/>
      <c r="X157" s="4"/>
      <c r="Y157" s="4"/>
      <c r="Z157" s="4"/>
    </row>
    <row r="158" ht="34.5" hidden="1" customHeight="1">
      <c r="A158" s="117">
        <v>153.0</v>
      </c>
      <c r="B158" s="20"/>
      <c r="C158" s="51" t="s">
        <v>530</v>
      </c>
      <c r="D158" s="72" t="s">
        <v>550</v>
      </c>
      <c r="E158" s="37"/>
      <c r="F158" s="23" t="s">
        <v>31</v>
      </c>
      <c r="G158" s="24">
        <v>2.0</v>
      </c>
      <c r="H158" s="25"/>
      <c r="I158" s="75">
        <v>46142.0</v>
      </c>
      <c r="J158" s="114"/>
      <c r="K158" s="27">
        <v>2000.0</v>
      </c>
      <c r="L158" s="26"/>
      <c r="M158" s="78"/>
      <c r="N158" s="28"/>
      <c r="O158" s="100"/>
      <c r="P158" s="30"/>
      <c r="Q158" s="28"/>
      <c r="R158" s="101"/>
      <c r="S158" s="44"/>
      <c r="T158" s="36"/>
      <c r="U158" s="4"/>
      <c r="V158" s="4"/>
      <c r="W158" s="4"/>
      <c r="X158" s="4"/>
      <c r="Y158" s="4"/>
      <c r="Z158" s="4"/>
    </row>
    <row r="159" ht="34.5" hidden="1" customHeight="1">
      <c r="A159" s="117">
        <v>154.0</v>
      </c>
      <c r="B159" s="20"/>
      <c r="C159" s="51" t="s">
        <v>530</v>
      </c>
      <c r="D159" s="72" t="s">
        <v>551</v>
      </c>
      <c r="E159" s="37"/>
      <c r="F159" s="23" t="s">
        <v>31</v>
      </c>
      <c r="G159" s="24">
        <v>1.0</v>
      </c>
      <c r="H159" s="25"/>
      <c r="I159" s="75">
        <v>46142.0</v>
      </c>
      <c r="J159" s="114"/>
      <c r="K159" s="27">
        <v>1000.0</v>
      </c>
      <c r="L159" s="26"/>
      <c r="M159" s="78"/>
      <c r="N159" s="28"/>
      <c r="O159" s="100"/>
      <c r="P159" s="30"/>
      <c r="Q159" s="28"/>
      <c r="R159" s="101"/>
      <c r="S159" s="44"/>
      <c r="T159" s="36"/>
      <c r="U159" s="4"/>
      <c r="V159" s="4"/>
      <c r="W159" s="4"/>
      <c r="X159" s="4"/>
      <c r="Y159" s="4"/>
      <c r="Z159" s="4"/>
    </row>
    <row r="160" ht="34.5" hidden="1" customHeight="1">
      <c r="A160" s="117">
        <v>155.0</v>
      </c>
      <c r="B160" s="20"/>
      <c r="C160" s="51" t="s">
        <v>399</v>
      </c>
      <c r="D160" s="72" t="s">
        <v>552</v>
      </c>
      <c r="E160" s="37"/>
      <c r="F160" s="23" t="s">
        <v>31</v>
      </c>
      <c r="G160" s="24">
        <v>1.0</v>
      </c>
      <c r="H160" s="25"/>
      <c r="I160" s="26">
        <v>46148.0</v>
      </c>
      <c r="J160" s="114"/>
      <c r="K160" s="27">
        <v>2000.0</v>
      </c>
      <c r="L160" s="26"/>
      <c r="M160" s="78"/>
      <c r="N160" s="28"/>
      <c r="O160" s="100"/>
      <c r="P160" s="30"/>
      <c r="Q160" s="28"/>
      <c r="R160" s="101"/>
      <c r="S160" s="44"/>
      <c r="T160" s="36"/>
      <c r="U160" s="4"/>
      <c r="V160" s="4"/>
      <c r="W160" s="4"/>
      <c r="X160" s="4"/>
      <c r="Y160" s="4"/>
      <c r="Z160" s="4"/>
    </row>
    <row r="161" ht="34.5" hidden="1" customHeight="1">
      <c r="A161" s="117">
        <v>156.0</v>
      </c>
      <c r="B161" s="62"/>
      <c r="C161" s="182" t="s">
        <v>444</v>
      </c>
      <c r="D161" s="183" t="s">
        <v>553</v>
      </c>
      <c r="E161" s="184" t="s">
        <v>554</v>
      </c>
      <c r="F161" s="23" t="s">
        <v>31</v>
      </c>
      <c r="G161" s="24">
        <v>1.0</v>
      </c>
      <c r="H161" s="151">
        <v>600000.0</v>
      </c>
      <c r="I161" s="26">
        <v>46149.0</v>
      </c>
      <c r="J161" s="158">
        <v>15000.0</v>
      </c>
      <c r="K161" s="39">
        <f>5000+10000</f>
        <v>15000</v>
      </c>
      <c r="L161" s="97"/>
      <c r="M161" s="78"/>
      <c r="N161" s="86">
        <v>46166.0</v>
      </c>
      <c r="O161" s="110">
        <v>46193.0</v>
      </c>
      <c r="P161" s="69">
        <v>9750.0</v>
      </c>
      <c r="Q161" s="86">
        <v>46166.0</v>
      </c>
      <c r="R161" s="101"/>
      <c r="S161" s="44"/>
      <c r="T161" s="60"/>
      <c r="U161" s="4"/>
      <c r="V161" s="4"/>
      <c r="W161" s="4"/>
      <c r="X161" s="4"/>
      <c r="Y161" s="4"/>
      <c r="Z161" s="4"/>
    </row>
    <row r="162" ht="34.5" hidden="1" customHeight="1">
      <c r="A162" s="117">
        <v>157.0</v>
      </c>
      <c r="B162" s="20"/>
      <c r="C162" s="185" t="s">
        <v>93</v>
      </c>
      <c r="D162" s="185" t="s">
        <v>555</v>
      </c>
      <c r="E162" s="174"/>
      <c r="F162" s="23" t="s">
        <v>31</v>
      </c>
      <c r="G162" s="24">
        <v>1.0</v>
      </c>
      <c r="H162" s="25"/>
      <c r="I162" s="26">
        <v>46149.0</v>
      </c>
      <c r="J162" s="114"/>
      <c r="K162" s="186">
        <v>10000.0</v>
      </c>
      <c r="L162" s="26"/>
      <c r="M162" s="78"/>
      <c r="N162" s="28"/>
      <c r="O162" s="100"/>
      <c r="P162" s="30"/>
      <c r="Q162" s="28"/>
      <c r="R162" s="101"/>
      <c r="S162" s="44"/>
      <c r="T162" s="36"/>
      <c r="U162" s="4"/>
      <c r="V162" s="4"/>
      <c r="W162" s="4"/>
      <c r="X162" s="4"/>
      <c r="Y162" s="4"/>
      <c r="Z162" s="4"/>
    </row>
    <row r="163" ht="34.5" hidden="1" customHeight="1">
      <c r="A163" s="187"/>
      <c r="B163" s="179"/>
      <c r="C163" s="185" t="s">
        <v>317</v>
      </c>
      <c r="D163" s="188" t="s">
        <v>397</v>
      </c>
      <c r="E163" s="189"/>
      <c r="F163" s="23" t="s">
        <v>150</v>
      </c>
      <c r="G163" s="190">
        <v>2.0</v>
      </c>
      <c r="H163" s="151">
        <v>600000.0</v>
      </c>
      <c r="I163" s="86">
        <v>46156.0</v>
      </c>
      <c r="J163" s="191">
        <v>50000.0</v>
      </c>
      <c r="K163" s="192">
        <f>1000+5000+2000+3000</f>
        <v>11000</v>
      </c>
      <c r="L163" s="26"/>
      <c r="M163" s="78"/>
      <c r="N163" s="193"/>
      <c r="O163" s="41"/>
      <c r="P163" s="69"/>
      <c r="Q163" s="75">
        <v>46205.0</v>
      </c>
      <c r="R163" s="101"/>
      <c r="S163" s="44"/>
      <c r="T163" s="36"/>
      <c r="U163" s="4"/>
      <c r="V163" s="4"/>
      <c r="W163" s="4"/>
      <c r="X163" s="4"/>
      <c r="Y163" s="4"/>
      <c r="Z163" s="4"/>
    </row>
    <row r="164" ht="34.5" hidden="1" customHeight="1">
      <c r="A164" s="187">
        <v>158.0</v>
      </c>
      <c r="B164" s="194" t="s">
        <v>556</v>
      </c>
      <c r="C164" s="107" t="s">
        <v>444</v>
      </c>
      <c r="D164" s="195" t="s">
        <v>557</v>
      </c>
      <c r="E164" s="169" t="s">
        <v>558</v>
      </c>
      <c r="F164" s="23" t="s">
        <v>150</v>
      </c>
      <c r="G164" s="190">
        <v>2.0</v>
      </c>
      <c r="H164" s="196">
        <v>200000.0</v>
      </c>
      <c r="I164" s="86">
        <v>46156.0</v>
      </c>
      <c r="J164" s="191">
        <v>50000.0</v>
      </c>
      <c r="K164" s="192">
        <f>15000+15000+10000+5000+5000</f>
        <v>50000</v>
      </c>
      <c r="L164" s="26"/>
      <c r="M164" s="78"/>
      <c r="N164" s="121">
        <v>46282.0</v>
      </c>
      <c r="O164" s="197">
        <v>46320.0</v>
      </c>
      <c r="P164" s="69">
        <v>3000.0</v>
      </c>
      <c r="Q164" s="84">
        <v>46282.0</v>
      </c>
      <c r="R164" s="101"/>
      <c r="S164" s="44"/>
      <c r="T164" s="36"/>
      <c r="U164" s="4"/>
      <c r="V164" s="4"/>
      <c r="W164" s="4"/>
      <c r="X164" s="4"/>
      <c r="Y164" s="4"/>
      <c r="Z164" s="4"/>
    </row>
    <row r="165" ht="34.5" hidden="1" customHeight="1">
      <c r="A165" s="187">
        <v>159.0</v>
      </c>
      <c r="B165" s="62"/>
      <c r="C165" s="198" t="s">
        <v>559</v>
      </c>
      <c r="D165" s="198" t="s">
        <v>560</v>
      </c>
      <c r="E165" s="199" t="s">
        <v>561</v>
      </c>
      <c r="F165" s="23" t="s">
        <v>150</v>
      </c>
      <c r="G165" s="190">
        <v>1.0</v>
      </c>
      <c r="H165" s="151">
        <v>250000.0</v>
      </c>
      <c r="I165" s="86">
        <v>46159.0</v>
      </c>
      <c r="J165" s="191">
        <v>250000.0</v>
      </c>
      <c r="K165" s="73">
        <v>10000.0</v>
      </c>
      <c r="L165" s="26"/>
      <c r="M165" s="78"/>
      <c r="N165" s="86"/>
      <c r="O165" s="100"/>
      <c r="P165" s="30"/>
      <c r="Q165" s="86">
        <v>46159.0</v>
      </c>
      <c r="R165" s="101"/>
      <c r="S165" s="44"/>
      <c r="T165" s="45" t="s">
        <v>562</v>
      </c>
      <c r="U165" s="4"/>
      <c r="V165" s="4"/>
      <c r="W165" s="4"/>
      <c r="X165" s="4"/>
      <c r="Y165" s="4"/>
      <c r="Z165" s="4"/>
    </row>
    <row r="166" ht="34.5" hidden="1" customHeight="1">
      <c r="A166" s="187">
        <v>160.0</v>
      </c>
      <c r="B166" s="20"/>
      <c r="C166" s="185" t="s">
        <v>559</v>
      </c>
      <c r="D166" s="185" t="s">
        <v>563</v>
      </c>
      <c r="E166" s="200"/>
      <c r="F166" s="23" t="s">
        <v>31</v>
      </c>
      <c r="G166" s="190">
        <v>1.0</v>
      </c>
      <c r="H166" s="151">
        <v>500000.0</v>
      </c>
      <c r="I166" s="86">
        <v>46159.0</v>
      </c>
      <c r="J166" s="151">
        <v>500000.0</v>
      </c>
      <c r="K166" s="151">
        <f>100000+20000</f>
        <v>120000</v>
      </c>
      <c r="L166" s="26"/>
      <c r="M166" s="78"/>
      <c r="N166" s="86"/>
      <c r="O166" s="100"/>
      <c r="P166" s="30"/>
      <c r="Q166" s="86">
        <v>46281.0</v>
      </c>
      <c r="R166" s="101"/>
      <c r="S166" s="44"/>
      <c r="T166" s="45" t="s">
        <v>562</v>
      </c>
      <c r="U166" s="4"/>
      <c r="V166" s="4"/>
      <c r="W166" s="4"/>
      <c r="X166" s="4"/>
      <c r="Y166" s="4"/>
      <c r="Z166" s="4"/>
    </row>
    <row r="167" ht="34.5" hidden="1" customHeight="1">
      <c r="A167" s="187">
        <v>161.0</v>
      </c>
      <c r="B167" s="20"/>
      <c r="C167" s="185" t="s">
        <v>564</v>
      </c>
      <c r="D167" s="201" t="s">
        <v>565</v>
      </c>
      <c r="E167" s="174"/>
      <c r="F167" s="23" t="s">
        <v>150</v>
      </c>
      <c r="G167" s="190">
        <v>1.0</v>
      </c>
      <c r="H167" s="151">
        <v>300000.0</v>
      </c>
      <c r="I167" s="86">
        <v>46159.0</v>
      </c>
      <c r="J167" s="151">
        <v>300000.0</v>
      </c>
      <c r="K167" s="151">
        <f>100000+100000+50000</f>
        <v>250000</v>
      </c>
      <c r="L167" s="26"/>
      <c r="M167" s="78"/>
      <c r="N167" s="86"/>
      <c r="O167" s="100"/>
      <c r="P167" s="30"/>
      <c r="Q167" s="86">
        <v>46191.0</v>
      </c>
      <c r="R167" s="101"/>
      <c r="S167" s="44"/>
      <c r="T167" s="45" t="s">
        <v>562</v>
      </c>
      <c r="U167" s="4"/>
      <c r="V167" s="4"/>
      <c r="W167" s="4"/>
      <c r="X167" s="4"/>
      <c r="Y167" s="4"/>
      <c r="Z167" s="4"/>
    </row>
    <row r="168" ht="34.5" hidden="1" customHeight="1">
      <c r="A168" s="187">
        <v>162.0</v>
      </c>
      <c r="B168" s="20"/>
      <c r="C168" s="185" t="s">
        <v>564</v>
      </c>
      <c r="D168" s="185" t="s">
        <v>566</v>
      </c>
      <c r="E168" s="174"/>
      <c r="F168" s="23" t="s">
        <v>31</v>
      </c>
      <c r="G168" s="190">
        <v>1.0</v>
      </c>
      <c r="H168" s="151">
        <v>500000.0</v>
      </c>
      <c r="I168" s="86">
        <v>46160.0</v>
      </c>
      <c r="J168" s="151">
        <v>500000.0</v>
      </c>
      <c r="K168" s="73">
        <v>10000.0</v>
      </c>
      <c r="L168" s="26"/>
      <c r="M168" s="78"/>
      <c r="N168" s="86"/>
      <c r="O168" s="100"/>
      <c r="P168" s="30"/>
      <c r="Q168" s="86">
        <v>46160.0</v>
      </c>
      <c r="R168" s="101"/>
      <c r="S168" s="44"/>
      <c r="T168" s="45" t="s">
        <v>562</v>
      </c>
      <c r="U168" s="4"/>
      <c r="V168" s="4"/>
      <c r="W168" s="4"/>
      <c r="X168" s="4"/>
      <c r="Y168" s="4"/>
      <c r="Z168" s="4"/>
    </row>
    <row r="169" ht="34.5" hidden="1" customHeight="1">
      <c r="A169" s="187">
        <v>163.0</v>
      </c>
      <c r="B169" s="20"/>
      <c r="C169" s="185" t="s">
        <v>559</v>
      </c>
      <c r="D169" s="185" t="s">
        <v>567</v>
      </c>
      <c r="E169" s="174"/>
      <c r="F169" s="23" t="s">
        <v>31</v>
      </c>
      <c r="G169" s="190">
        <v>1.0</v>
      </c>
      <c r="H169" s="151">
        <v>500000.0</v>
      </c>
      <c r="I169" s="86">
        <v>46161.0</v>
      </c>
      <c r="J169" s="151">
        <v>500000.0</v>
      </c>
      <c r="K169" s="73">
        <f>50000+50000+50000</f>
        <v>150000</v>
      </c>
      <c r="L169" s="87"/>
      <c r="M169" s="114"/>
      <c r="N169" s="86"/>
      <c r="O169" s="100"/>
      <c r="P169" s="30"/>
      <c r="Q169" s="86">
        <v>46244.0</v>
      </c>
      <c r="R169" s="101"/>
      <c r="S169" s="44"/>
      <c r="T169" s="45" t="s">
        <v>562</v>
      </c>
      <c r="U169" s="4"/>
      <c r="V169" s="4"/>
      <c r="W169" s="4"/>
      <c r="X169" s="4"/>
      <c r="Y169" s="4"/>
      <c r="Z169" s="4"/>
    </row>
    <row r="170" ht="34.5" hidden="1" customHeight="1">
      <c r="A170" s="187">
        <v>164.0</v>
      </c>
      <c r="B170" s="20"/>
      <c r="C170" s="198" t="s">
        <v>530</v>
      </c>
      <c r="D170" s="198" t="s">
        <v>568</v>
      </c>
      <c r="E170" s="174"/>
      <c r="F170" s="202" t="s">
        <v>150</v>
      </c>
      <c r="G170" s="190">
        <v>1.0</v>
      </c>
      <c r="H170" s="151">
        <v>300000.0</v>
      </c>
      <c r="I170" s="180">
        <v>46163.0</v>
      </c>
      <c r="J170" s="151">
        <v>300000.0</v>
      </c>
      <c r="K170" s="73">
        <v>1000.0</v>
      </c>
      <c r="L170" s="26"/>
      <c r="M170" s="78"/>
      <c r="N170" s="177"/>
      <c r="O170" s="100"/>
      <c r="P170" s="30"/>
      <c r="Q170" s="75">
        <v>46163.0</v>
      </c>
      <c r="R170" s="101"/>
      <c r="S170" s="44"/>
      <c r="T170" s="45" t="s">
        <v>562</v>
      </c>
      <c r="U170" s="4"/>
      <c r="V170" s="4"/>
      <c r="W170" s="4"/>
      <c r="X170" s="4"/>
      <c r="Y170" s="4"/>
      <c r="Z170" s="4"/>
    </row>
    <row r="171" ht="34.5" hidden="1" customHeight="1">
      <c r="A171" s="187">
        <v>165.0</v>
      </c>
      <c r="B171" s="20"/>
      <c r="C171" s="198" t="s">
        <v>317</v>
      </c>
      <c r="D171" s="198" t="s">
        <v>569</v>
      </c>
      <c r="E171" s="174"/>
      <c r="F171" s="202" t="s">
        <v>31</v>
      </c>
      <c r="G171" s="190">
        <v>2.0</v>
      </c>
      <c r="H171" s="151">
        <v>1200000.0</v>
      </c>
      <c r="I171" s="180">
        <v>46163.0</v>
      </c>
      <c r="J171" s="114"/>
      <c r="K171" s="73">
        <f>50000+150000</f>
        <v>200000</v>
      </c>
      <c r="L171" s="26"/>
      <c r="M171" s="78"/>
      <c r="N171" s="177"/>
      <c r="O171" s="100"/>
      <c r="P171" s="30"/>
      <c r="Q171" s="75">
        <v>46184.0</v>
      </c>
      <c r="R171" s="101"/>
      <c r="S171" s="44"/>
      <c r="T171" s="36"/>
      <c r="U171" s="4"/>
      <c r="V171" s="4"/>
      <c r="W171" s="4"/>
      <c r="X171" s="4"/>
      <c r="Y171" s="4"/>
      <c r="Z171" s="4"/>
    </row>
    <row r="172" ht="34.5" hidden="1" customHeight="1">
      <c r="A172" s="187">
        <v>166.0</v>
      </c>
      <c r="B172" s="20"/>
      <c r="C172" s="185" t="s">
        <v>444</v>
      </c>
      <c r="D172" s="201" t="s">
        <v>570</v>
      </c>
      <c r="E172" s="174"/>
      <c r="F172" s="202" t="s">
        <v>150</v>
      </c>
      <c r="G172" s="190">
        <v>3.0</v>
      </c>
      <c r="H172" s="151">
        <v>375000.0</v>
      </c>
      <c r="I172" s="180">
        <v>46163.0</v>
      </c>
      <c r="J172" s="114"/>
      <c r="K172" s="73">
        <v>2000.0</v>
      </c>
      <c r="L172" s="26"/>
      <c r="M172" s="78"/>
      <c r="N172" s="177"/>
      <c r="O172" s="100"/>
      <c r="P172" s="30"/>
      <c r="Q172" s="75">
        <v>46163.0</v>
      </c>
      <c r="R172" s="101"/>
      <c r="S172" s="44"/>
      <c r="T172" s="36"/>
      <c r="U172" s="4"/>
      <c r="V172" s="4"/>
      <c r="W172" s="4"/>
      <c r="X172" s="4"/>
      <c r="Y172" s="4"/>
      <c r="Z172" s="4"/>
    </row>
    <row r="173" ht="34.5" hidden="1" customHeight="1">
      <c r="A173" s="187">
        <v>167.0</v>
      </c>
      <c r="B173" s="62" t="s">
        <v>571</v>
      </c>
      <c r="C173" s="183" t="s">
        <v>53</v>
      </c>
      <c r="D173" s="183" t="s">
        <v>572</v>
      </c>
      <c r="E173" s="58" t="s">
        <v>573</v>
      </c>
      <c r="F173" s="202" t="s">
        <v>31</v>
      </c>
      <c r="G173" s="190">
        <v>1.0</v>
      </c>
      <c r="H173" s="151">
        <v>550000.0</v>
      </c>
      <c r="I173" s="180">
        <v>46163.0</v>
      </c>
      <c r="J173" s="158">
        <v>150000.0</v>
      </c>
      <c r="K173" s="109">
        <f>30000+70000+50000</f>
        <v>150000</v>
      </c>
      <c r="L173" s="97"/>
      <c r="M173" s="78"/>
      <c r="N173" s="84">
        <v>46195.0</v>
      </c>
      <c r="O173" s="100">
        <v>46229.0</v>
      </c>
      <c r="P173" s="69">
        <v>6000.0</v>
      </c>
      <c r="Q173" s="75">
        <v>46261.0</v>
      </c>
      <c r="R173" s="101"/>
      <c r="S173" s="44"/>
      <c r="T173" s="45" t="s">
        <v>100</v>
      </c>
      <c r="U173" s="4"/>
      <c r="V173" s="4"/>
      <c r="W173" s="4"/>
      <c r="X173" s="4"/>
      <c r="Y173" s="4"/>
      <c r="Z173" s="4"/>
    </row>
    <row r="174" ht="34.5" hidden="1" customHeight="1">
      <c r="A174" s="187">
        <v>168.0</v>
      </c>
      <c r="B174" s="62" t="s">
        <v>574</v>
      </c>
      <c r="C174" s="183" t="s">
        <v>93</v>
      </c>
      <c r="D174" s="183" t="s">
        <v>575</v>
      </c>
      <c r="E174" s="169" t="s">
        <v>576</v>
      </c>
      <c r="F174" s="202" t="s">
        <v>31</v>
      </c>
      <c r="G174" s="190">
        <v>1.0</v>
      </c>
      <c r="H174" s="151">
        <v>500000.0</v>
      </c>
      <c r="I174" s="180">
        <v>46163.0</v>
      </c>
      <c r="J174" s="109">
        <v>55000.0</v>
      </c>
      <c r="K174" s="109">
        <f>5000+50000</f>
        <v>55000</v>
      </c>
      <c r="L174" s="97"/>
      <c r="M174" s="78"/>
      <c r="N174" s="177">
        <v>46165.0</v>
      </c>
      <c r="O174" s="110">
        <v>46193.0</v>
      </c>
      <c r="P174" s="69">
        <v>8900.0</v>
      </c>
      <c r="Q174" s="75">
        <v>46212.0</v>
      </c>
      <c r="R174" s="101"/>
      <c r="S174" s="44"/>
      <c r="T174" s="45" t="s">
        <v>292</v>
      </c>
      <c r="U174" s="4"/>
      <c r="V174" s="4"/>
      <c r="W174" s="4"/>
      <c r="X174" s="4"/>
      <c r="Y174" s="4"/>
      <c r="Z174" s="4"/>
    </row>
    <row r="175" ht="34.5" hidden="1" customHeight="1">
      <c r="A175" s="187">
        <v>169.0</v>
      </c>
      <c r="B175" s="20"/>
      <c r="C175" s="185" t="s">
        <v>546</v>
      </c>
      <c r="D175" s="185" t="s">
        <v>577</v>
      </c>
      <c r="E175" s="174"/>
      <c r="F175" s="202" t="s">
        <v>150</v>
      </c>
      <c r="G175" s="190">
        <v>1.0</v>
      </c>
      <c r="H175" s="151">
        <v>100000.0</v>
      </c>
      <c r="I175" s="180">
        <v>46163.0</v>
      </c>
      <c r="J175" s="151">
        <v>100000.0</v>
      </c>
      <c r="K175" s="73">
        <v>3000.0</v>
      </c>
      <c r="L175" s="26"/>
      <c r="M175" s="78"/>
      <c r="N175" s="177"/>
      <c r="O175" s="100"/>
      <c r="P175" s="30"/>
      <c r="Q175" s="75">
        <v>46163.0</v>
      </c>
      <c r="R175" s="101"/>
      <c r="S175" s="44"/>
      <c r="T175" s="45" t="s">
        <v>562</v>
      </c>
      <c r="U175" s="4"/>
      <c r="V175" s="4"/>
      <c r="W175" s="4"/>
      <c r="X175" s="4"/>
      <c r="Y175" s="4"/>
      <c r="Z175" s="4"/>
    </row>
    <row r="176" ht="34.5" hidden="1" customHeight="1">
      <c r="A176" s="187">
        <v>170.0</v>
      </c>
      <c r="B176" s="62" t="s">
        <v>578</v>
      </c>
      <c r="C176" s="183" t="s">
        <v>546</v>
      </c>
      <c r="D176" s="203" t="s">
        <v>579</v>
      </c>
      <c r="E176" s="169" t="s">
        <v>580</v>
      </c>
      <c r="F176" s="202" t="s">
        <v>150</v>
      </c>
      <c r="G176" s="190">
        <v>1.0</v>
      </c>
      <c r="H176" s="151">
        <v>100000.0</v>
      </c>
      <c r="I176" s="180">
        <v>46163.0</v>
      </c>
      <c r="J176" s="152">
        <v>100000.0</v>
      </c>
      <c r="K176" s="109">
        <f>3000+5000+30000+62000</f>
        <v>100000</v>
      </c>
      <c r="L176" s="97"/>
      <c r="M176" s="78"/>
      <c r="N176" s="75">
        <v>46216.0</v>
      </c>
      <c r="O176" s="100"/>
      <c r="P176" s="30"/>
      <c r="Q176" s="75">
        <v>46216.0</v>
      </c>
      <c r="R176" s="101"/>
      <c r="S176" s="44"/>
      <c r="T176" s="65" t="s">
        <v>117</v>
      </c>
      <c r="U176" s="4"/>
      <c r="V176" s="4"/>
      <c r="W176" s="4"/>
      <c r="X176" s="4"/>
      <c r="Y176" s="4"/>
      <c r="Z176" s="4"/>
    </row>
    <row r="177" ht="34.5" hidden="1" customHeight="1">
      <c r="A177" s="187">
        <v>171.0</v>
      </c>
      <c r="B177" s="20"/>
      <c r="C177" s="185" t="s">
        <v>581</v>
      </c>
      <c r="D177" s="201" t="s">
        <v>582</v>
      </c>
      <c r="E177" s="174"/>
      <c r="F177" s="202" t="s">
        <v>31</v>
      </c>
      <c r="G177" s="190">
        <v>10.0</v>
      </c>
      <c r="H177" s="151">
        <v>5000000.0</v>
      </c>
      <c r="I177" s="180">
        <v>46166.0</v>
      </c>
      <c r="J177" s="151">
        <v>5000000.0</v>
      </c>
      <c r="K177" s="73">
        <v>100000.0</v>
      </c>
      <c r="L177" s="26"/>
      <c r="M177" s="78"/>
      <c r="N177" s="177"/>
      <c r="O177" s="100"/>
      <c r="P177" s="30"/>
      <c r="Q177" s="75">
        <v>46166.0</v>
      </c>
      <c r="R177" s="101"/>
      <c r="S177" s="44"/>
      <c r="T177" s="45" t="s">
        <v>562</v>
      </c>
      <c r="U177" s="4"/>
      <c r="V177" s="4"/>
      <c r="W177" s="4"/>
      <c r="X177" s="4"/>
      <c r="Y177" s="4"/>
      <c r="Z177" s="4"/>
    </row>
    <row r="178" ht="34.5" hidden="1" customHeight="1">
      <c r="A178" s="187">
        <v>172.0</v>
      </c>
      <c r="B178" s="20"/>
      <c r="C178" s="185" t="s">
        <v>583</v>
      </c>
      <c r="D178" s="185" t="s">
        <v>584</v>
      </c>
      <c r="E178" s="174"/>
      <c r="F178" s="202" t="s">
        <v>150</v>
      </c>
      <c r="G178" s="190">
        <v>1.0</v>
      </c>
      <c r="H178" s="151">
        <v>300000.0</v>
      </c>
      <c r="I178" s="180">
        <v>46166.0</v>
      </c>
      <c r="J178" s="151">
        <v>300000.0</v>
      </c>
      <c r="K178" s="73">
        <v>1000.0</v>
      </c>
      <c r="L178" s="26"/>
      <c r="M178" s="78"/>
      <c r="N178" s="177"/>
      <c r="O178" s="100"/>
      <c r="P178" s="30"/>
      <c r="Q178" s="75">
        <v>46166.0</v>
      </c>
      <c r="R178" s="101"/>
      <c r="S178" s="44"/>
      <c r="T178" s="45" t="s">
        <v>562</v>
      </c>
      <c r="U178" s="4"/>
      <c r="V178" s="4"/>
      <c r="W178" s="4"/>
      <c r="X178" s="4"/>
      <c r="Y178" s="4"/>
      <c r="Z178" s="4"/>
    </row>
    <row r="179" ht="34.5" hidden="1" customHeight="1">
      <c r="A179" s="187">
        <v>173.0</v>
      </c>
      <c r="B179" s="20"/>
      <c r="C179" s="185" t="s">
        <v>559</v>
      </c>
      <c r="D179" s="185" t="s">
        <v>585</v>
      </c>
      <c r="E179" s="174"/>
      <c r="F179" s="202" t="s">
        <v>150</v>
      </c>
      <c r="G179" s="190">
        <v>1.0</v>
      </c>
      <c r="H179" s="151">
        <v>200000.0</v>
      </c>
      <c r="I179" s="180">
        <v>46166.0</v>
      </c>
      <c r="J179" s="151">
        <v>200000.0</v>
      </c>
      <c r="K179" s="73">
        <v>50000.0</v>
      </c>
      <c r="L179" s="26"/>
      <c r="M179" s="78"/>
      <c r="N179" s="177"/>
      <c r="O179" s="100"/>
      <c r="P179" s="30"/>
      <c r="Q179" s="75">
        <v>46166.0</v>
      </c>
      <c r="R179" s="101"/>
      <c r="S179" s="44"/>
      <c r="T179" s="45" t="s">
        <v>562</v>
      </c>
      <c r="U179" s="4"/>
      <c r="V179" s="4"/>
      <c r="W179" s="4"/>
      <c r="X179" s="4"/>
      <c r="Y179" s="4"/>
      <c r="Z179" s="4"/>
    </row>
    <row r="180" ht="34.5" hidden="1" customHeight="1">
      <c r="A180" s="187">
        <v>174.0</v>
      </c>
      <c r="B180" s="20"/>
      <c r="C180" s="185" t="s">
        <v>559</v>
      </c>
      <c r="D180" s="185" t="s">
        <v>585</v>
      </c>
      <c r="E180" s="174"/>
      <c r="F180" s="202" t="s">
        <v>150</v>
      </c>
      <c r="G180" s="190">
        <v>1.0</v>
      </c>
      <c r="H180" s="151">
        <v>200000.0</v>
      </c>
      <c r="I180" s="180">
        <v>46166.0</v>
      </c>
      <c r="J180" s="151">
        <v>200000.0</v>
      </c>
      <c r="K180" s="73">
        <v>50000.0</v>
      </c>
      <c r="L180" s="26"/>
      <c r="M180" s="78"/>
      <c r="N180" s="177"/>
      <c r="O180" s="100"/>
      <c r="P180" s="30"/>
      <c r="Q180" s="75">
        <v>46166.0</v>
      </c>
      <c r="R180" s="101"/>
      <c r="S180" s="44"/>
      <c r="T180" s="45" t="s">
        <v>562</v>
      </c>
      <c r="U180" s="4"/>
      <c r="V180" s="4"/>
      <c r="W180" s="4"/>
      <c r="X180" s="4"/>
      <c r="Y180" s="4"/>
      <c r="Z180" s="4"/>
    </row>
    <row r="181" ht="34.5" hidden="1" customHeight="1">
      <c r="A181" s="187">
        <v>175.0</v>
      </c>
      <c r="B181" s="20"/>
      <c r="C181" s="185" t="s">
        <v>93</v>
      </c>
      <c r="D181" s="185" t="s">
        <v>575</v>
      </c>
      <c r="E181" s="174"/>
      <c r="F181" s="202" t="s">
        <v>586</v>
      </c>
      <c r="G181" s="190">
        <v>10.0</v>
      </c>
      <c r="H181" s="151">
        <v>1000000.0</v>
      </c>
      <c r="I181" s="180">
        <v>46166.0</v>
      </c>
      <c r="J181" s="204">
        <v>100000.0</v>
      </c>
      <c r="K181" s="73">
        <f>10000+5000+35000</f>
        <v>50000</v>
      </c>
      <c r="L181" s="26"/>
      <c r="M181" s="78"/>
      <c r="N181" s="177"/>
      <c r="O181" s="100"/>
      <c r="P181" s="30"/>
      <c r="Q181" s="75">
        <v>46210.0</v>
      </c>
      <c r="R181" s="101"/>
      <c r="S181" s="44"/>
      <c r="T181" s="36"/>
      <c r="U181" s="4"/>
      <c r="V181" s="4"/>
      <c r="W181" s="4"/>
      <c r="X181" s="4"/>
      <c r="Y181" s="4"/>
      <c r="Z181" s="4"/>
    </row>
    <row r="182" ht="34.5" hidden="1" customHeight="1">
      <c r="A182" s="187">
        <v>176.0</v>
      </c>
      <c r="B182" s="20"/>
      <c r="C182" s="185" t="s">
        <v>587</v>
      </c>
      <c r="D182" s="185" t="s">
        <v>588</v>
      </c>
      <c r="E182" s="174"/>
      <c r="F182" s="202" t="s">
        <v>150</v>
      </c>
      <c r="G182" s="190">
        <v>1.0</v>
      </c>
      <c r="H182" s="151">
        <v>200000.0</v>
      </c>
      <c r="I182" s="180">
        <v>46166.0</v>
      </c>
      <c r="J182" s="151">
        <v>200000.0</v>
      </c>
      <c r="K182" s="73">
        <v>10000.0</v>
      </c>
      <c r="L182" s="26"/>
      <c r="M182" s="78"/>
      <c r="N182" s="28"/>
      <c r="O182" s="100"/>
      <c r="P182" s="30"/>
      <c r="Q182" s="75">
        <v>46166.0</v>
      </c>
      <c r="R182" s="101"/>
      <c r="S182" s="44"/>
      <c r="T182" s="45" t="s">
        <v>562</v>
      </c>
      <c r="U182" s="4"/>
      <c r="V182" s="4"/>
      <c r="W182" s="4"/>
      <c r="X182" s="4"/>
      <c r="Y182" s="4"/>
      <c r="Z182" s="4"/>
    </row>
    <row r="183" ht="34.5" hidden="1" customHeight="1">
      <c r="A183" s="187">
        <v>177.0</v>
      </c>
      <c r="B183" s="20"/>
      <c r="C183" s="185" t="s">
        <v>369</v>
      </c>
      <c r="D183" s="185" t="s">
        <v>589</v>
      </c>
      <c r="E183" s="174"/>
      <c r="F183" s="202" t="s">
        <v>31</v>
      </c>
      <c r="G183" s="190">
        <v>1.0</v>
      </c>
      <c r="H183" s="151">
        <v>700000.0</v>
      </c>
      <c r="I183" s="180">
        <v>46166.0</v>
      </c>
      <c r="J183" s="114"/>
      <c r="K183" s="49"/>
      <c r="L183" s="26"/>
      <c r="M183" s="78"/>
      <c r="N183" s="28"/>
      <c r="O183" s="100"/>
      <c r="P183" s="30"/>
      <c r="Q183" s="28"/>
      <c r="R183" s="101"/>
      <c r="S183" s="44"/>
      <c r="T183" s="36"/>
      <c r="U183" s="4"/>
      <c r="V183" s="4"/>
      <c r="W183" s="4"/>
      <c r="X183" s="4"/>
      <c r="Y183" s="4"/>
      <c r="Z183" s="4"/>
    </row>
    <row r="184" ht="34.5" hidden="1" customHeight="1">
      <c r="A184" s="187">
        <v>178.0</v>
      </c>
      <c r="B184" s="62" t="s">
        <v>590</v>
      </c>
      <c r="C184" s="183" t="s">
        <v>189</v>
      </c>
      <c r="D184" s="183" t="s">
        <v>355</v>
      </c>
      <c r="E184" s="58" t="s">
        <v>591</v>
      </c>
      <c r="F184" s="202" t="s">
        <v>150</v>
      </c>
      <c r="G184" s="190">
        <v>1.0</v>
      </c>
      <c r="H184" s="151">
        <v>300000.0</v>
      </c>
      <c r="I184" s="180">
        <v>46167.0</v>
      </c>
      <c r="J184" s="158">
        <v>123000.0</v>
      </c>
      <c r="K184" s="109">
        <f>50000+50000+3000+6000+14000</f>
        <v>123000</v>
      </c>
      <c r="L184" s="205"/>
      <c r="M184" s="144"/>
      <c r="N184" s="180">
        <v>46184.0</v>
      </c>
      <c r="O184" s="110">
        <v>46249.0</v>
      </c>
      <c r="P184" s="69">
        <v>3000.0</v>
      </c>
      <c r="Q184" s="75">
        <v>46271.0</v>
      </c>
      <c r="R184" s="101"/>
      <c r="S184" s="44"/>
      <c r="T184" s="60" t="s">
        <v>100</v>
      </c>
      <c r="U184" s="4"/>
      <c r="V184" s="4"/>
      <c r="W184" s="4"/>
      <c r="X184" s="4"/>
      <c r="Y184" s="4"/>
      <c r="Z184" s="4"/>
    </row>
    <row r="185" ht="34.5" hidden="1" customHeight="1">
      <c r="A185" s="187">
        <v>179.0</v>
      </c>
      <c r="B185" s="20"/>
      <c r="C185" s="185" t="s">
        <v>559</v>
      </c>
      <c r="D185" s="185" t="s">
        <v>592</v>
      </c>
      <c r="E185" s="174"/>
      <c r="F185" s="202" t="s">
        <v>150</v>
      </c>
      <c r="G185" s="190">
        <v>1.0</v>
      </c>
      <c r="H185" s="151">
        <v>200000.0</v>
      </c>
      <c r="I185" s="180">
        <v>46167.0</v>
      </c>
      <c r="J185" s="151">
        <v>200000.0</v>
      </c>
      <c r="K185" s="73">
        <v>50000.0</v>
      </c>
      <c r="L185" s="26"/>
      <c r="M185" s="78"/>
      <c r="N185" s="28"/>
      <c r="O185" s="100"/>
      <c r="P185" s="30"/>
      <c r="Q185" s="75">
        <v>46167.0</v>
      </c>
      <c r="R185" s="101"/>
      <c r="S185" s="44"/>
      <c r="T185" s="45" t="s">
        <v>562</v>
      </c>
      <c r="U185" s="4"/>
      <c r="V185" s="4"/>
      <c r="W185" s="4"/>
      <c r="X185" s="4"/>
      <c r="Y185" s="4"/>
      <c r="Z185" s="4"/>
    </row>
    <row r="186" ht="34.5" hidden="1" customHeight="1">
      <c r="A186" s="187">
        <v>180.0</v>
      </c>
      <c r="B186" s="20"/>
      <c r="C186" s="185" t="s">
        <v>559</v>
      </c>
      <c r="D186" s="185" t="s">
        <v>593</v>
      </c>
      <c r="E186" s="174"/>
      <c r="F186" s="202" t="s">
        <v>150</v>
      </c>
      <c r="G186" s="190">
        <v>1.0</v>
      </c>
      <c r="H186" s="151">
        <v>200000.0</v>
      </c>
      <c r="I186" s="177">
        <v>46167.0</v>
      </c>
      <c r="J186" s="151">
        <v>200000.0</v>
      </c>
      <c r="K186" s="73">
        <f>50000+10000+10000</f>
        <v>70000</v>
      </c>
      <c r="L186" s="26"/>
      <c r="M186" s="78"/>
      <c r="N186" s="28"/>
      <c r="O186" s="100"/>
      <c r="P186" s="30"/>
      <c r="Q186" s="84">
        <v>46177.0</v>
      </c>
      <c r="R186" s="101"/>
      <c r="S186" s="44"/>
      <c r="T186" s="45" t="s">
        <v>562</v>
      </c>
      <c r="U186" s="4"/>
      <c r="V186" s="4"/>
      <c r="W186" s="4"/>
      <c r="X186" s="4"/>
      <c r="Y186" s="4"/>
      <c r="Z186" s="4"/>
    </row>
    <row r="187" ht="34.5" hidden="1" customHeight="1">
      <c r="A187" s="187">
        <v>181.0</v>
      </c>
      <c r="B187" s="20"/>
      <c r="C187" s="185" t="s">
        <v>444</v>
      </c>
      <c r="D187" s="185" t="s">
        <v>570</v>
      </c>
      <c r="E187" s="174"/>
      <c r="F187" s="202" t="s">
        <v>480</v>
      </c>
      <c r="G187" s="190">
        <v>2.0</v>
      </c>
      <c r="H187" s="151">
        <v>300000.0</v>
      </c>
      <c r="I187" s="180">
        <v>46175.0</v>
      </c>
      <c r="J187" s="151">
        <v>300000.0</v>
      </c>
      <c r="K187" s="73">
        <f>50000+40000+46000</f>
        <v>136000</v>
      </c>
      <c r="L187" s="26"/>
      <c r="M187" s="78"/>
      <c r="N187" s="28"/>
      <c r="O187" s="100"/>
      <c r="P187" s="30"/>
      <c r="Q187" s="84">
        <v>46191.0</v>
      </c>
      <c r="R187" s="101"/>
      <c r="S187" s="44"/>
      <c r="T187" s="45" t="s">
        <v>562</v>
      </c>
      <c r="U187" s="4"/>
      <c r="V187" s="4"/>
      <c r="W187" s="4"/>
      <c r="X187" s="4"/>
      <c r="Y187" s="4"/>
      <c r="Z187" s="4"/>
    </row>
    <row r="188" ht="34.5" hidden="1" customHeight="1">
      <c r="A188" s="187">
        <v>182.0</v>
      </c>
      <c r="B188" s="20"/>
      <c r="C188" s="185" t="s">
        <v>559</v>
      </c>
      <c r="D188" s="185" t="s">
        <v>593</v>
      </c>
      <c r="E188" s="174"/>
      <c r="F188" s="202" t="s">
        <v>150</v>
      </c>
      <c r="G188" s="190">
        <v>1.0</v>
      </c>
      <c r="H188" s="151">
        <v>200000.0</v>
      </c>
      <c r="I188" s="180">
        <v>46254.0</v>
      </c>
      <c r="J188" s="151">
        <v>200000.0</v>
      </c>
      <c r="K188" s="73">
        <v>10000.0</v>
      </c>
      <c r="L188" s="26"/>
      <c r="M188" s="78"/>
      <c r="N188" s="28"/>
      <c r="O188" s="100"/>
      <c r="P188" s="30"/>
      <c r="Q188" s="84">
        <v>46254.0</v>
      </c>
      <c r="R188" s="101"/>
      <c r="S188" s="44"/>
      <c r="T188" s="45" t="s">
        <v>562</v>
      </c>
      <c r="U188" s="4"/>
      <c r="V188" s="4"/>
      <c r="W188" s="4"/>
      <c r="X188" s="4"/>
      <c r="Y188" s="4"/>
      <c r="Z188" s="4"/>
    </row>
    <row r="189" ht="34.5" hidden="1" customHeight="1">
      <c r="A189" s="187">
        <v>184.0</v>
      </c>
      <c r="B189" s="20"/>
      <c r="C189" s="185" t="s">
        <v>587</v>
      </c>
      <c r="D189" s="185" t="s">
        <v>594</v>
      </c>
      <c r="E189" s="174"/>
      <c r="F189" s="202" t="s">
        <v>31</v>
      </c>
      <c r="G189" s="190">
        <v>1.0</v>
      </c>
      <c r="H189" s="151">
        <v>500000.0</v>
      </c>
      <c r="I189" s="180">
        <v>46181.0</v>
      </c>
      <c r="J189" s="151">
        <v>500000.0</v>
      </c>
      <c r="K189" s="73">
        <v>30000.0</v>
      </c>
      <c r="L189" s="26"/>
      <c r="M189" s="78"/>
      <c r="N189" s="28"/>
      <c r="O189" s="100"/>
      <c r="P189" s="30"/>
      <c r="Q189" s="75">
        <v>46181.0</v>
      </c>
      <c r="R189" s="101"/>
      <c r="S189" s="44"/>
      <c r="T189" s="45" t="s">
        <v>562</v>
      </c>
      <c r="U189" s="4"/>
      <c r="V189" s="4"/>
      <c r="W189" s="4"/>
      <c r="X189" s="4"/>
      <c r="Y189" s="4"/>
      <c r="Z189" s="4"/>
    </row>
    <row r="190" ht="34.5" hidden="1" customHeight="1">
      <c r="A190" s="187">
        <v>185.0</v>
      </c>
      <c r="B190" s="62" t="s">
        <v>595</v>
      </c>
      <c r="C190" s="183" t="s">
        <v>369</v>
      </c>
      <c r="D190" s="183" t="s">
        <v>596</v>
      </c>
      <c r="E190" s="169" t="s">
        <v>597</v>
      </c>
      <c r="F190" s="202" t="s">
        <v>150</v>
      </c>
      <c r="G190" s="190">
        <v>1.0</v>
      </c>
      <c r="H190" s="151">
        <v>500000.0</v>
      </c>
      <c r="I190" s="177">
        <v>46183.0</v>
      </c>
      <c r="J190" s="158">
        <v>80000.0</v>
      </c>
      <c r="K190" s="109">
        <f>10000+70000</f>
        <v>80000</v>
      </c>
      <c r="L190" s="206"/>
      <c r="M190" s="191"/>
      <c r="N190" s="75">
        <v>46205.0</v>
      </c>
      <c r="O190" s="110">
        <v>46305.0</v>
      </c>
      <c r="P190" s="69">
        <v>5000.0</v>
      </c>
      <c r="Q190" s="75">
        <v>46205.0</v>
      </c>
      <c r="R190" s="101"/>
      <c r="S190" s="44"/>
      <c r="T190" s="60" t="s">
        <v>598</v>
      </c>
      <c r="U190" s="4"/>
      <c r="V190" s="4"/>
      <c r="W190" s="4"/>
      <c r="X190" s="4"/>
      <c r="Y190" s="4"/>
      <c r="Z190" s="4"/>
    </row>
    <row r="191" ht="34.5" hidden="1" customHeight="1">
      <c r="A191" s="187">
        <v>186.0</v>
      </c>
      <c r="B191" s="20"/>
      <c r="C191" s="185" t="s">
        <v>599</v>
      </c>
      <c r="D191" s="185" t="s">
        <v>600</v>
      </c>
      <c r="E191" s="174"/>
      <c r="F191" s="202" t="s">
        <v>31</v>
      </c>
      <c r="G191" s="190">
        <v>1.0</v>
      </c>
      <c r="H191" s="151">
        <v>700000.0</v>
      </c>
      <c r="I191" s="177">
        <v>46183.0</v>
      </c>
      <c r="J191" s="207"/>
      <c r="K191" s="73">
        <v>10000.0</v>
      </c>
      <c r="L191" s="26"/>
      <c r="M191" s="78"/>
      <c r="N191" s="28"/>
      <c r="O191" s="100"/>
      <c r="P191" s="30"/>
      <c r="Q191" s="84">
        <v>46183.0</v>
      </c>
      <c r="R191" s="101"/>
      <c r="S191" s="44"/>
      <c r="T191" s="45"/>
      <c r="U191" s="4"/>
      <c r="V191" s="4"/>
      <c r="W191" s="4"/>
      <c r="X191" s="4"/>
      <c r="Y191" s="4"/>
      <c r="Z191" s="4"/>
    </row>
    <row r="192" ht="34.5" hidden="1" customHeight="1">
      <c r="A192" s="187">
        <v>187.0</v>
      </c>
      <c r="B192" s="20"/>
      <c r="C192" s="185" t="s">
        <v>546</v>
      </c>
      <c r="D192" s="185" t="s">
        <v>601</v>
      </c>
      <c r="E192" s="174"/>
      <c r="F192" s="202" t="s">
        <v>150</v>
      </c>
      <c r="G192" s="190">
        <v>1.0</v>
      </c>
      <c r="H192" s="151">
        <v>300000.0</v>
      </c>
      <c r="I192" s="177">
        <v>46184.0</v>
      </c>
      <c r="J192" s="151">
        <v>300000.0</v>
      </c>
      <c r="K192" s="151">
        <f>5000</f>
        <v>5000</v>
      </c>
      <c r="L192" s="26"/>
      <c r="M192" s="78"/>
      <c r="N192" s="28"/>
      <c r="O192" s="100"/>
      <c r="P192" s="30"/>
      <c r="Q192" s="84">
        <v>46184.0</v>
      </c>
      <c r="R192" s="101"/>
      <c r="S192" s="44"/>
      <c r="T192" s="45" t="s">
        <v>562</v>
      </c>
      <c r="U192" s="4"/>
      <c r="V192" s="4"/>
      <c r="W192" s="4"/>
      <c r="X192" s="4"/>
      <c r="Y192" s="4"/>
      <c r="Z192" s="4"/>
    </row>
    <row r="193" ht="34.5" hidden="1" customHeight="1">
      <c r="A193" s="187">
        <v>188.0</v>
      </c>
      <c r="B193" s="20"/>
      <c r="C193" s="185" t="s">
        <v>444</v>
      </c>
      <c r="D193" s="185" t="s">
        <v>602</v>
      </c>
      <c r="E193" s="174"/>
      <c r="F193" s="202" t="s">
        <v>150</v>
      </c>
      <c r="G193" s="190">
        <v>2.0</v>
      </c>
      <c r="H193" s="151">
        <v>200000.0</v>
      </c>
      <c r="I193" s="177">
        <v>46184.0</v>
      </c>
      <c r="J193" s="207"/>
      <c r="K193" s="73">
        <f>15000+7000</f>
        <v>22000</v>
      </c>
      <c r="L193" s="26"/>
      <c r="M193" s="78"/>
      <c r="N193" s="28"/>
      <c r="O193" s="100"/>
      <c r="P193" s="30"/>
      <c r="Q193" s="84">
        <v>46286.0</v>
      </c>
      <c r="R193" s="101"/>
      <c r="S193" s="44"/>
      <c r="T193" s="36"/>
      <c r="U193" s="4"/>
      <c r="V193" s="4"/>
      <c r="W193" s="4"/>
      <c r="X193" s="4"/>
      <c r="Y193" s="4"/>
      <c r="Z193" s="4"/>
    </row>
    <row r="194" ht="34.5" hidden="1" customHeight="1">
      <c r="A194" s="187">
        <v>189.0</v>
      </c>
      <c r="B194" s="62" t="s">
        <v>603</v>
      </c>
      <c r="C194" s="183" t="s">
        <v>373</v>
      </c>
      <c r="D194" s="183" t="s">
        <v>527</v>
      </c>
      <c r="E194" s="175" t="s">
        <v>528</v>
      </c>
      <c r="F194" s="202" t="s">
        <v>31</v>
      </c>
      <c r="G194" s="190">
        <v>1.0</v>
      </c>
      <c r="H194" s="151">
        <v>400000.0</v>
      </c>
      <c r="I194" s="180">
        <v>46186.0</v>
      </c>
      <c r="J194" s="158">
        <v>100000.0</v>
      </c>
      <c r="K194" s="109">
        <f>50000+50000</f>
        <v>100000</v>
      </c>
      <c r="L194" s="208"/>
      <c r="M194" s="78"/>
      <c r="N194" s="180">
        <v>46187.0</v>
      </c>
      <c r="O194" s="110">
        <v>46280.0</v>
      </c>
      <c r="P194" s="69">
        <v>10000.0</v>
      </c>
      <c r="Q194" s="75">
        <v>46187.0</v>
      </c>
      <c r="R194" s="101"/>
      <c r="S194" s="44"/>
      <c r="T194" s="156" t="s">
        <v>470</v>
      </c>
      <c r="U194" s="4"/>
      <c r="V194" s="4"/>
      <c r="W194" s="4"/>
      <c r="X194" s="4"/>
      <c r="Y194" s="4"/>
      <c r="Z194" s="4"/>
    </row>
    <row r="195" ht="34.5" hidden="1" customHeight="1">
      <c r="A195" s="187">
        <v>190.0</v>
      </c>
      <c r="B195" s="20"/>
      <c r="C195" s="201" t="s">
        <v>604</v>
      </c>
      <c r="D195" s="185" t="s">
        <v>605</v>
      </c>
      <c r="E195" s="174"/>
      <c r="F195" s="202" t="s">
        <v>31</v>
      </c>
      <c r="G195" s="190">
        <v>22.0</v>
      </c>
      <c r="H195" s="151">
        <v>6600000.0</v>
      </c>
      <c r="I195" s="87"/>
      <c r="J195" s="207">
        <v>6600000.0</v>
      </c>
      <c r="K195" s="49"/>
      <c r="L195" s="209"/>
      <c r="M195" s="78"/>
      <c r="N195" s="28"/>
      <c r="O195" s="100"/>
      <c r="P195" s="30"/>
      <c r="Q195" s="75">
        <v>46187.0</v>
      </c>
      <c r="R195" s="101"/>
      <c r="S195" s="44"/>
      <c r="T195" s="36"/>
      <c r="U195" s="4"/>
      <c r="V195" s="4"/>
      <c r="W195" s="4"/>
      <c r="X195" s="4"/>
      <c r="Y195" s="4"/>
      <c r="Z195" s="4"/>
    </row>
    <row r="196" ht="34.5" hidden="1" customHeight="1">
      <c r="A196" s="187">
        <v>191.0</v>
      </c>
      <c r="B196" s="20"/>
      <c r="C196" s="185" t="s">
        <v>587</v>
      </c>
      <c r="D196" s="185" t="s">
        <v>606</v>
      </c>
      <c r="E196" s="174"/>
      <c r="F196" s="202" t="s">
        <v>150</v>
      </c>
      <c r="G196" s="190">
        <v>1.0</v>
      </c>
      <c r="H196" s="151">
        <v>200000.0</v>
      </c>
      <c r="I196" s="180">
        <v>46187.0</v>
      </c>
      <c r="J196" s="151">
        <v>200000.0</v>
      </c>
      <c r="K196" s="73">
        <v>100000.0</v>
      </c>
      <c r="L196" s="210"/>
      <c r="M196" s="78"/>
      <c r="N196" s="28"/>
      <c r="O196" s="100"/>
      <c r="P196" s="30"/>
      <c r="Q196" s="75">
        <v>46187.0</v>
      </c>
      <c r="R196" s="101"/>
      <c r="S196" s="44"/>
      <c r="T196" s="45" t="s">
        <v>562</v>
      </c>
      <c r="U196" s="4"/>
      <c r="V196" s="4"/>
      <c r="W196" s="4"/>
      <c r="X196" s="4"/>
      <c r="Y196" s="4"/>
      <c r="Z196" s="4"/>
    </row>
    <row r="197" ht="34.5" hidden="1" customHeight="1">
      <c r="A197" s="187">
        <v>192.0</v>
      </c>
      <c r="B197" s="62" t="s">
        <v>607</v>
      </c>
      <c r="C197" s="185" t="s">
        <v>317</v>
      </c>
      <c r="D197" s="185" t="s">
        <v>608</v>
      </c>
      <c r="E197" s="174"/>
      <c r="F197" s="202" t="s">
        <v>31</v>
      </c>
      <c r="G197" s="190">
        <v>1.0</v>
      </c>
      <c r="H197" s="211"/>
      <c r="I197" s="87"/>
      <c r="J197" s="114"/>
      <c r="K197" s="49"/>
      <c r="L197" s="210"/>
      <c r="M197" s="78"/>
      <c r="N197" s="28"/>
      <c r="O197" s="110">
        <v>46188.0</v>
      </c>
      <c r="P197" s="69">
        <v>6100.0</v>
      </c>
      <c r="Q197" s="75">
        <v>46261.0</v>
      </c>
      <c r="R197" s="101"/>
      <c r="S197" s="44"/>
      <c r="T197" s="60" t="s">
        <v>100</v>
      </c>
      <c r="U197" s="4"/>
      <c r="V197" s="4"/>
      <c r="W197" s="4"/>
      <c r="X197" s="4"/>
      <c r="Y197" s="4"/>
      <c r="Z197" s="4"/>
    </row>
    <row r="198" ht="34.5" hidden="1" customHeight="1">
      <c r="A198" s="187">
        <v>193.0</v>
      </c>
      <c r="B198" s="20"/>
      <c r="C198" s="185" t="s">
        <v>604</v>
      </c>
      <c r="D198" s="185" t="s">
        <v>609</v>
      </c>
      <c r="E198" s="174"/>
      <c r="F198" s="202" t="s">
        <v>150</v>
      </c>
      <c r="G198" s="190">
        <v>20.0</v>
      </c>
      <c r="H198" s="151">
        <v>1400000.0</v>
      </c>
      <c r="I198" s="180">
        <v>46189.0</v>
      </c>
      <c r="J198" s="151">
        <v>1400000.0</v>
      </c>
      <c r="K198" s="49"/>
      <c r="L198" s="210"/>
      <c r="M198" s="78"/>
      <c r="N198" s="28"/>
      <c r="O198" s="100"/>
      <c r="P198" s="30"/>
      <c r="Q198" s="75"/>
      <c r="R198" s="101"/>
      <c r="S198" s="44"/>
      <c r="T198" s="45" t="s">
        <v>562</v>
      </c>
      <c r="U198" s="4"/>
      <c r="V198" s="4"/>
      <c r="W198" s="4"/>
      <c r="X198" s="4"/>
      <c r="Y198" s="4"/>
      <c r="Z198" s="4"/>
    </row>
    <row r="199" ht="34.5" hidden="1" customHeight="1">
      <c r="A199" s="187">
        <v>194.0</v>
      </c>
      <c r="B199" s="20"/>
      <c r="C199" s="185" t="s">
        <v>604</v>
      </c>
      <c r="D199" s="185" t="s">
        <v>610</v>
      </c>
      <c r="E199" s="174"/>
      <c r="F199" s="202" t="s">
        <v>150</v>
      </c>
      <c r="G199" s="190">
        <v>20.0</v>
      </c>
      <c r="H199" s="151">
        <v>1400000.0</v>
      </c>
      <c r="I199" s="180">
        <v>46189.0</v>
      </c>
      <c r="J199" s="151">
        <v>1400000.0</v>
      </c>
      <c r="K199" s="49"/>
      <c r="L199" s="210"/>
      <c r="M199" s="78"/>
      <c r="N199" s="28"/>
      <c r="O199" s="100"/>
      <c r="P199" s="30"/>
      <c r="Q199" s="75"/>
      <c r="R199" s="101"/>
      <c r="S199" s="44"/>
      <c r="T199" s="45" t="s">
        <v>562</v>
      </c>
      <c r="U199" s="4"/>
      <c r="V199" s="4"/>
      <c r="W199" s="4"/>
      <c r="X199" s="4"/>
      <c r="Y199" s="4"/>
      <c r="Z199" s="4"/>
    </row>
    <row r="200" ht="34.5" hidden="1" customHeight="1">
      <c r="A200" s="187">
        <v>195.0</v>
      </c>
      <c r="B200" s="62" t="s">
        <v>611</v>
      </c>
      <c r="C200" s="183" t="s">
        <v>599</v>
      </c>
      <c r="D200" s="183" t="s">
        <v>612</v>
      </c>
      <c r="E200" s="58" t="s">
        <v>613</v>
      </c>
      <c r="F200" s="202" t="s">
        <v>31</v>
      </c>
      <c r="G200" s="190">
        <v>1.0</v>
      </c>
      <c r="H200" s="151">
        <v>600000.0</v>
      </c>
      <c r="I200" s="180">
        <v>46190.0</v>
      </c>
      <c r="J200" s="158">
        <v>60000.0</v>
      </c>
      <c r="K200" s="158">
        <v>60000.0</v>
      </c>
      <c r="L200" s="208"/>
      <c r="M200" s="78"/>
      <c r="N200" s="180">
        <v>46190.0</v>
      </c>
      <c r="O200" s="110">
        <v>46228.0</v>
      </c>
      <c r="P200" s="69">
        <v>11500.0</v>
      </c>
      <c r="Q200" s="75">
        <v>46264.0</v>
      </c>
      <c r="R200" s="101"/>
      <c r="S200" s="44"/>
      <c r="T200" s="60" t="s">
        <v>100</v>
      </c>
      <c r="U200" s="4"/>
      <c r="V200" s="4"/>
      <c r="W200" s="4"/>
      <c r="X200" s="4"/>
      <c r="Y200" s="4"/>
      <c r="Z200" s="4"/>
    </row>
    <row r="201" ht="34.5" hidden="1" customHeight="1">
      <c r="A201" s="187">
        <v>196.0</v>
      </c>
      <c r="B201" s="20"/>
      <c r="C201" s="185" t="s">
        <v>587</v>
      </c>
      <c r="D201" s="185" t="s">
        <v>614</v>
      </c>
      <c r="E201" s="174"/>
      <c r="F201" s="202" t="s">
        <v>31</v>
      </c>
      <c r="G201" s="190">
        <v>1.0</v>
      </c>
      <c r="H201" s="151">
        <v>500000.0</v>
      </c>
      <c r="I201" s="180">
        <v>46195.0</v>
      </c>
      <c r="J201" s="151">
        <v>500000.0</v>
      </c>
      <c r="K201" s="73">
        <v>50000.0</v>
      </c>
      <c r="L201" s="210"/>
      <c r="M201" s="78"/>
      <c r="N201" s="28"/>
      <c r="O201" s="100"/>
      <c r="P201" s="30"/>
      <c r="Q201" s="75">
        <v>46195.0</v>
      </c>
      <c r="R201" s="101"/>
      <c r="S201" s="44"/>
      <c r="T201" s="45" t="s">
        <v>562</v>
      </c>
      <c r="U201" s="4"/>
      <c r="V201" s="4"/>
      <c r="W201" s="4"/>
      <c r="X201" s="4"/>
      <c r="Y201" s="4"/>
      <c r="Z201" s="4"/>
    </row>
    <row r="202" ht="34.5" hidden="1" customHeight="1">
      <c r="A202" s="187">
        <v>197.0</v>
      </c>
      <c r="B202" s="20"/>
      <c r="C202" s="185" t="s">
        <v>444</v>
      </c>
      <c r="D202" s="185" t="s">
        <v>570</v>
      </c>
      <c r="E202" s="212"/>
      <c r="F202" s="202" t="s">
        <v>586</v>
      </c>
      <c r="G202" s="190">
        <v>2.0</v>
      </c>
      <c r="H202" s="151">
        <v>100000.0</v>
      </c>
      <c r="I202" s="180">
        <v>46195.0</v>
      </c>
      <c r="J202" s="151">
        <v>100000.0</v>
      </c>
      <c r="K202" s="73">
        <v>2000.0</v>
      </c>
      <c r="L202" s="210"/>
      <c r="M202" s="78"/>
      <c r="N202" s="28"/>
      <c r="O202" s="100"/>
      <c r="P202" s="30"/>
      <c r="Q202" s="75">
        <v>46195.0</v>
      </c>
      <c r="R202" s="101"/>
      <c r="S202" s="44"/>
      <c r="T202" s="45" t="s">
        <v>562</v>
      </c>
      <c r="U202" s="4"/>
      <c r="V202" s="4"/>
      <c r="W202" s="4"/>
      <c r="X202" s="4"/>
      <c r="Y202" s="4"/>
      <c r="Z202" s="4"/>
    </row>
    <row r="203" ht="34.5" hidden="1" customHeight="1">
      <c r="A203" s="187">
        <v>198.0</v>
      </c>
      <c r="B203" s="213" t="s">
        <v>615</v>
      </c>
      <c r="C203" s="183" t="s">
        <v>369</v>
      </c>
      <c r="D203" s="183" t="s">
        <v>616</v>
      </c>
      <c r="E203" s="214" t="s">
        <v>617</v>
      </c>
      <c r="F203" s="36" t="s">
        <v>26</v>
      </c>
      <c r="G203" s="190">
        <v>6.0</v>
      </c>
      <c r="H203" s="151">
        <v>3600000.0</v>
      </c>
      <c r="I203" s="180">
        <v>46195.0</v>
      </c>
      <c r="J203" s="109">
        <f t="shared" ref="J203:K203" si="11">200000+300000+400000</f>
        <v>900000</v>
      </c>
      <c r="K203" s="109">
        <f t="shared" si="11"/>
        <v>900000</v>
      </c>
      <c r="L203" s="208"/>
      <c r="M203" s="78"/>
      <c r="N203" s="75">
        <v>46226.0</v>
      </c>
      <c r="O203" s="110">
        <v>46259.0</v>
      </c>
      <c r="P203" s="69">
        <v>35000.0</v>
      </c>
      <c r="Q203" s="75">
        <v>46288.0</v>
      </c>
      <c r="R203" s="101"/>
      <c r="S203" s="44"/>
      <c r="T203" s="60" t="s">
        <v>100</v>
      </c>
      <c r="U203" s="4"/>
      <c r="V203" s="4"/>
      <c r="W203" s="4"/>
      <c r="X203" s="4"/>
      <c r="Y203" s="4"/>
      <c r="Z203" s="4"/>
    </row>
    <row r="204" ht="34.5" hidden="1" customHeight="1">
      <c r="A204" s="187">
        <v>199.0</v>
      </c>
      <c r="B204" s="213" t="s">
        <v>618</v>
      </c>
      <c r="C204" s="183" t="s">
        <v>369</v>
      </c>
      <c r="D204" s="183" t="s">
        <v>619</v>
      </c>
      <c r="E204" s="214" t="s">
        <v>620</v>
      </c>
      <c r="F204" s="36" t="s">
        <v>26</v>
      </c>
      <c r="G204" s="190">
        <v>6.0</v>
      </c>
      <c r="H204" s="151">
        <v>3600000.0</v>
      </c>
      <c r="I204" s="180">
        <v>46195.0</v>
      </c>
      <c r="J204" s="109">
        <f>200000+300000+400000</f>
        <v>900000</v>
      </c>
      <c r="K204" s="109">
        <f>50000+550000+300000</f>
        <v>900000</v>
      </c>
      <c r="L204" s="208"/>
      <c r="M204" s="78"/>
      <c r="N204" s="75">
        <v>46226.0</v>
      </c>
      <c r="O204" s="110">
        <v>46259.0</v>
      </c>
      <c r="P204" s="69">
        <v>35000.0</v>
      </c>
      <c r="Q204" s="75">
        <v>46284.0</v>
      </c>
      <c r="R204" s="101"/>
      <c r="S204" s="44"/>
      <c r="T204" s="60" t="s">
        <v>621</v>
      </c>
      <c r="U204" s="4"/>
      <c r="V204" s="4"/>
      <c r="W204" s="4"/>
      <c r="X204" s="4"/>
      <c r="Y204" s="4"/>
      <c r="Z204" s="4"/>
    </row>
    <row r="205" ht="34.5" hidden="1" customHeight="1">
      <c r="A205" s="187">
        <v>200.0</v>
      </c>
      <c r="B205" s="20"/>
      <c r="C205" s="185" t="s">
        <v>622</v>
      </c>
      <c r="D205" s="185" t="s">
        <v>623</v>
      </c>
      <c r="E205" s="174"/>
      <c r="F205" s="202" t="s">
        <v>31</v>
      </c>
      <c r="G205" s="190">
        <v>5.0</v>
      </c>
      <c r="H205" s="151">
        <v>950000.0</v>
      </c>
      <c r="I205" s="87"/>
      <c r="J205" s="207">
        <v>950000.0</v>
      </c>
      <c r="K205" s="215">
        <f>50000</f>
        <v>50000</v>
      </c>
      <c r="L205" s="210"/>
      <c r="M205" s="78"/>
      <c r="N205" s="28"/>
      <c r="O205" s="100"/>
      <c r="P205" s="30"/>
      <c r="Q205" s="180">
        <v>46200.0</v>
      </c>
      <c r="R205" s="101"/>
      <c r="S205" s="44"/>
      <c r="T205" s="45" t="s">
        <v>562</v>
      </c>
      <c r="U205" s="4"/>
      <c r="V205" s="4"/>
      <c r="W205" s="4"/>
      <c r="X205" s="4"/>
      <c r="Y205" s="4"/>
      <c r="Z205" s="4"/>
    </row>
    <row r="206" ht="34.5" hidden="1" customHeight="1">
      <c r="A206" s="187">
        <v>201.0</v>
      </c>
      <c r="B206" s="62" t="s">
        <v>624</v>
      </c>
      <c r="C206" s="185" t="s">
        <v>604</v>
      </c>
      <c r="D206" s="185" t="s">
        <v>625</v>
      </c>
      <c r="E206" s="174"/>
      <c r="F206" s="202" t="s">
        <v>31</v>
      </c>
      <c r="G206" s="190">
        <v>2.0</v>
      </c>
      <c r="H206" s="151">
        <v>850000.0</v>
      </c>
      <c r="I206" s="180">
        <v>46200.0</v>
      </c>
      <c r="J206" s="158">
        <v>100000.0</v>
      </c>
      <c r="K206" s="109">
        <f>10000+90000</f>
        <v>100000</v>
      </c>
      <c r="L206" s="208"/>
      <c r="M206" s="78"/>
      <c r="N206" s="180">
        <v>46203.0</v>
      </c>
      <c r="O206" s="100"/>
      <c r="P206" s="30"/>
      <c r="Q206" s="180">
        <v>46203.0</v>
      </c>
      <c r="R206" s="101"/>
      <c r="S206" s="44"/>
      <c r="T206" s="156" t="s">
        <v>470</v>
      </c>
      <c r="U206" s="4"/>
      <c r="V206" s="4"/>
      <c r="W206" s="4"/>
      <c r="X206" s="4"/>
      <c r="Y206" s="4"/>
      <c r="Z206" s="4"/>
    </row>
    <row r="207" ht="34.5" hidden="1" customHeight="1">
      <c r="A207" s="187">
        <v>202.0</v>
      </c>
      <c r="B207" s="62" t="s">
        <v>626</v>
      </c>
      <c r="C207" s="183" t="s">
        <v>373</v>
      </c>
      <c r="D207" s="183" t="s">
        <v>627</v>
      </c>
      <c r="E207" s="169" t="s">
        <v>628</v>
      </c>
      <c r="F207" s="202" t="s">
        <v>31</v>
      </c>
      <c r="G207" s="190">
        <v>1.0</v>
      </c>
      <c r="H207" s="151">
        <v>550000.0</v>
      </c>
      <c r="I207" s="180">
        <v>46202.0</v>
      </c>
      <c r="J207" s="158">
        <v>60000.0</v>
      </c>
      <c r="K207" s="94">
        <f>20000+20000+20000+20000</f>
        <v>80000</v>
      </c>
      <c r="L207" s="208"/>
      <c r="M207" s="78"/>
      <c r="N207" s="180">
        <v>46243.0</v>
      </c>
      <c r="O207" s="197">
        <v>46341.0</v>
      </c>
      <c r="P207" s="69">
        <v>8000.0</v>
      </c>
      <c r="Q207" s="180">
        <v>46274.0</v>
      </c>
      <c r="R207" s="101"/>
      <c r="S207" s="44"/>
      <c r="T207" s="60" t="s">
        <v>629</v>
      </c>
      <c r="U207" s="4"/>
      <c r="V207" s="4"/>
      <c r="W207" s="4"/>
      <c r="X207" s="4"/>
      <c r="Y207" s="4"/>
      <c r="Z207" s="4"/>
    </row>
    <row r="208" ht="34.5" hidden="1" customHeight="1">
      <c r="A208" s="187">
        <v>203.0</v>
      </c>
      <c r="B208" s="62" t="s">
        <v>630</v>
      </c>
      <c r="C208" s="183" t="s">
        <v>198</v>
      </c>
      <c r="D208" s="183" t="s">
        <v>510</v>
      </c>
      <c r="E208" s="169" t="s">
        <v>631</v>
      </c>
      <c r="F208" s="36" t="s">
        <v>26</v>
      </c>
      <c r="G208" s="190">
        <v>5.0</v>
      </c>
      <c r="H208" s="151">
        <v>5000000.0</v>
      </c>
      <c r="I208" s="180">
        <v>46203.0</v>
      </c>
      <c r="J208" s="109">
        <v>1000000.0</v>
      </c>
      <c r="K208" s="109">
        <f>100000+300000+100000+200000</f>
        <v>700000</v>
      </c>
      <c r="L208" s="193"/>
      <c r="M208" s="144"/>
      <c r="N208" s="55">
        <v>46219.0</v>
      </c>
      <c r="O208" s="110">
        <v>46346.0</v>
      </c>
      <c r="P208" s="69">
        <v>60000.0</v>
      </c>
      <c r="Q208" s="180">
        <v>46257.0</v>
      </c>
      <c r="R208" s="216"/>
      <c r="S208" s="44"/>
      <c r="T208" s="60" t="s">
        <v>632</v>
      </c>
      <c r="U208" s="4"/>
      <c r="V208" s="4"/>
      <c r="W208" s="4"/>
      <c r="X208" s="4"/>
      <c r="Y208" s="4"/>
      <c r="Z208" s="4"/>
    </row>
    <row r="209" ht="34.5" hidden="1" customHeight="1">
      <c r="A209" s="187">
        <v>204.0</v>
      </c>
      <c r="B209" s="20"/>
      <c r="C209" s="185" t="s">
        <v>317</v>
      </c>
      <c r="D209" s="185" t="s">
        <v>633</v>
      </c>
      <c r="E209" s="174"/>
      <c r="F209" s="36" t="s">
        <v>26</v>
      </c>
      <c r="G209" s="190">
        <v>5.0</v>
      </c>
      <c r="H209" s="211"/>
      <c r="I209" s="180">
        <v>46203.0</v>
      </c>
      <c r="J209" s="114"/>
      <c r="K209" s="73">
        <f>200000+1900000</f>
        <v>2100000</v>
      </c>
      <c r="L209" s="210" t="s">
        <v>22</v>
      </c>
      <c r="M209" s="78"/>
      <c r="N209" s="28"/>
      <c r="O209" s="100"/>
      <c r="P209" s="30"/>
      <c r="Q209" s="180">
        <v>46205.0</v>
      </c>
      <c r="R209" s="101"/>
      <c r="S209" s="44"/>
      <c r="T209" s="36"/>
      <c r="U209" s="4"/>
      <c r="V209" s="4"/>
      <c r="W209" s="4"/>
      <c r="X209" s="4"/>
      <c r="Y209" s="4"/>
      <c r="Z209" s="4"/>
    </row>
    <row r="210" ht="34.5" hidden="1" customHeight="1">
      <c r="A210" s="187">
        <v>205.0</v>
      </c>
      <c r="B210" s="20"/>
      <c r="C210" s="185" t="s">
        <v>559</v>
      </c>
      <c r="D210" s="185" t="s">
        <v>634</v>
      </c>
      <c r="E210" s="174"/>
      <c r="F210" s="202" t="s">
        <v>31</v>
      </c>
      <c r="G210" s="190">
        <v>1.0</v>
      </c>
      <c r="H210" s="151">
        <v>500000.0</v>
      </c>
      <c r="I210" s="180">
        <v>46207.0</v>
      </c>
      <c r="J210" s="191">
        <v>500000.0</v>
      </c>
      <c r="K210" s="27">
        <f>50000</f>
        <v>50000</v>
      </c>
      <c r="L210" s="26"/>
      <c r="M210" s="78"/>
      <c r="N210" s="28"/>
      <c r="O210" s="100"/>
      <c r="P210" s="30"/>
      <c r="Q210" s="180">
        <v>46207.0</v>
      </c>
      <c r="R210" s="101"/>
      <c r="S210" s="44"/>
      <c r="T210" s="45" t="s">
        <v>562</v>
      </c>
      <c r="U210" s="4"/>
      <c r="V210" s="4"/>
      <c r="W210" s="4"/>
      <c r="X210" s="4"/>
      <c r="Y210" s="4"/>
      <c r="Z210" s="4"/>
    </row>
    <row r="211" ht="34.5" hidden="1" customHeight="1">
      <c r="A211" s="187">
        <v>206.0</v>
      </c>
      <c r="B211" s="62" t="s">
        <v>635</v>
      </c>
      <c r="C211" s="183" t="s">
        <v>53</v>
      </c>
      <c r="D211" s="183" t="s">
        <v>636</v>
      </c>
      <c r="E211" s="169" t="s">
        <v>637</v>
      </c>
      <c r="F211" s="202" t="s">
        <v>31</v>
      </c>
      <c r="G211" s="190">
        <v>1.0</v>
      </c>
      <c r="H211" s="151">
        <v>300000.0</v>
      </c>
      <c r="I211" s="180">
        <v>46209.0</v>
      </c>
      <c r="J211" s="152">
        <v>300000.0</v>
      </c>
      <c r="K211" s="152">
        <v>300000.0</v>
      </c>
      <c r="L211" s="205"/>
      <c r="M211" s="144"/>
      <c r="N211" s="180">
        <v>46219.0</v>
      </c>
      <c r="O211" s="100"/>
      <c r="P211" s="30"/>
      <c r="Q211" s="180">
        <v>46289.0</v>
      </c>
      <c r="R211" s="101"/>
      <c r="S211" s="44"/>
      <c r="T211" s="65" t="s">
        <v>117</v>
      </c>
      <c r="U211" s="4"/>
      <c r="V211" s="4"/>
      <c r="W211" s="4"/>
      <c r="X211" s="4"/>
      <c r="Y211" s="4"/>
      <c r="Z211" s="4"/>
    </row>
    <row r="212" ht="34.5" hidden="1" customHeight="1">
      <c r="A212" s="187">
        <v>207.0</v>
      </c>
      <c r="B212" s="20"/>
      <c r="C212" s="185" t="s">
        <v>564</v>
      </c>
      <c r="D212" s="201" t="s">
        <v>565</v>
      </c>
      <c r="E212" s="174"/>
      <c r="F212" s="36" t="s">
        <v>26</v>
      </c>
      <c r="G212" s="190">
        <v>3.0</v>
      </c>
      <c r="H212" s="151">
        <v>2700000.0</v>
      </c>
      <c r="I212" s="180">
        <v>46210.0</v>
      </c>
      <c r="J212" s="151">
        <v>2700000.0</v>
      </c>
      <c r="K212" s="27">
        <f>50000</f>
        <v>50000</v>
      </c>
      <c r="L212" s="26"/>
      <c r="M212" s="78"/>
      <c r="N212" s="28"/>
      <c r="O212" s="100"/>
      <c r="P212" s="30"/>
      <c r="Q212" s="180">
        <v>46210.0</v>
      </c>
      <c r="R212" s="101"/>
      <c r="S212" s="44"/>
      <c r="T212" s="45" t="s">
        <v>562</v>
      </c>
      <c r="U212" s="4"/>
      <c r="V212" s="4"/>
      <c r="W212" s="4"/>
      <c r="X212" s="4"/>
      <c r="Y212" s="4"/>
      <c r="Z212" s="4"/>
    </row>
    <row r="213" ht="34.5" hidden="1" customHeight="1">
      <c r="A213" s="187">
        <v>208.0</v>
      </c>
      <c r="B213" s="62" t="s">
        <v>638</v>
      </c>
      <c r="C213" s="185" t="s">
        <v>639</v>
      </c>
      <c r="D213" s="185" t="s">
        <v>640</v>
      </c>
      <c r="E213" s="174"/>
      <c r="F213" s="202" t="s">
        <v>150</v>
      </c>
      <c r="G213" s="190">
        <v>3.0</v>
      </c>
      <c r="H213" s="151">
        <v>400000.0</v>
      </c>
      <c r="I213" s="180">
        <v>46212.0</v>
      </c>
      <c r="J213" s="158">
        <v>50000.0</v>
      </c>
      <c r="K213" s="158">
        <v>50000.0</v>
      </c>
      <c r="L213" s="97"/>
      <c r="M213" s="78"/>
      <c r="N213" s="180">
        <v>46212.0</v>
      </c>
      <c r="O213" s="100"/>
      <c r="P213" s="30"/>
      <c r="Q213" s="180">
        <v>46212.0</v>
      </c>
      <c r="R213" s="101"/>
      <c r="S213" s="44"/>
      <c r="T213" s="60" t="s">
        <v>641</v>
      </c>
      <c r="U213" s="4"/>
      <c r="V213" s="4"/>
      <c r="W213" s="4"/>
      <c r="X213" s="4"/>
      <c r="Y213" s="4"/>
      <c r="Z213" s="4"/>
    </row>
    <row r="214" ht="34.5" hidden="1" customHeight="1">
      <c r="A214" s="187">
        <v>209.0</v>
      </c>
      <c r="B214" s="62" t="s">
        <v>642</v>
      </c>
      <c r="C214" s="21" t="s">
        <v>639</v>
      </c>
      <c r="D214" s="21" t="s">
        <v>643</v>
      </c>
      <c r="E214" s="169" t="s">
        <v>644</v>
      </c>
      <c r="F214" s="202" t="s">
        <v>150</v>
      </c>
      <c r="G214" s="190">
        <v>3.0</v>
      </c>
      <c r="H214" s="151">
        <v>400000.0</v>
      </c>
      <c r="I214" s="180">
        <v>46100.0</v>
      </c>
      <c r="J214" s="158">
        <v>30000.0</v>
      </c>
      <c r="K214" s="109">
        <v>30000.0</v>
      </c>
      <c r="L214" s="97"/>
      <c r="M214" s="78"/>
      <c r="N214" s="180">
        <v>46100.0</v>
      </c>
      <c r="O214" s="110">
        <v>46194.0</v>
      </c>
      <c r="P214" s="69">
        <v>14800.0</v>
      </c>
      <c r="Q214" s="180">
        <v>46212.0</v>
      </c>
      <c r="R214" s="101"/>
      <c r="S214" s="44"/>
      <c r="T214" s="60" t="s">
        <v>645</v>
      </c>
      <c r="U214" s="4"/>
      <c r="V214" s="4"/>
      <c r="W214" s="4"/>
      <c r="X214" s="4"/>
      <c r="Y214" s="4"/>
      <c r="Z214" s="4"/>
    </row>
    <row r="215" ht="34.5" hidden="1" customHeight="1">
      <c r="A215" s="187">
        <v>210.0</v>
      </c>
      <c r="B215" s="62" t="s">
        <v>646</v>
      </c>
      <c r="C215" s="21" t="s">
        <v>639</v>
      </c>
      <c r="D215" s="21" t="s">
        <v>643</v>
      </c>
      <c r="E215" s="169" t="s">
        <v>644</v>
      </c>
      <c r="F215" s="202" t="s">
        <v>31</v>
      </c>
      <c r="G215" s="190">
        <v>1.0</v>
      </c>
      <c r="H215" s="151">
        <v>500000.0</v>
      </c>
      <c r="I215" s="180">
        <v>45972.0</v>
      </c>
      <c r="J215" s="158">
        <v>100000.0</v>
      </c>
      <c r="K215" s="94">
        <f>10000+90000</f>
        <v>100000</v>
      </c>
      <c r="L215" s="97"/>
      <c r="M215" s="78"/>
      <c r="N215" s="180">
        <v>45998.0</v>
      </c>
      <c r="O215" s="110">
        <v>46183.0</v>
      </c>
      <c r="P215" s="69">
        <v>40000.0</v>
      </c>
      <c r="Q215" s="180">
        <v>46212.0</v>
      </c>
      <c r="R215" s="101"/>
      <c r="S215" s="44"/>
      <c r="T215" s="60" t="s">
        <v>292</v>
      </c>
      <c r="U215" s="4"/>
      <c r="V215" s="4"/>
      <c r="W215" s="4"/>
      <c r="X215" s="4"/>
      <c r="Y215" s="4"/>
      <c r="Z215" s="4"/>
    </row>
    <row r="216" ht="34.5" hidden="1" customHeight="1">
      <c r="A216" s="187">
        <v>211.0</v>
      </c>
      <c r="B216" s="62" t="s">
        <v>647</v>
      </c>
      <c r="C216" s="21" t="s">
        <v>639</v>
      </c>
      <c r="D216" s="21" t="s">
        <v>643</v>
      </c>
      <c r="E216" s="169" t="s">
        <v>644</v>
      </c>
      <c r="F216" s="202" t="s">
        <v>480</v>
      </c>
      <c r="G216" s="190">
        <v>1.0</v>
      </c>
      <c r="H216" s="151">
        <v>300000.0</v>
      </c>
      <c r="I216" s="180">
        <v>45977.0</v>
      </c>
      <c r="J216" s="158">
        <v>10000.0</v>
      </c>
      <c r="K216" s="158">
        <v>10000.0</v>
      </c>
      <c r="L216" s="97"/>
      <c r="M216" s="78"/>
      <c r="N216" s="180">
        <v>45977.0</v>
      </c>
      <c r="O216" s="110">
        <v>46183.0</v>
      </c>
      <c r="P216" s="69">
        <v>29000.0</v>
      </c>
      <c r="Q216" s="180">
        <v>46212.0</v>
      </c>
      <c r="R216" s="101"/>
      <c r="S216" s="44"/>
      <c r="T216" s="60" t="s">
        <v>292</v>
      </c>
      <c r="U216" s="4"/>
      <c r="V216" s="4"/>
      <c r="W216" s="4"/>
      <c r="X216" s="4"/>
      <c r="Y216" s="4"/>
      <c r="Z216" s="4"/>
    </row>
    <row r="217" ht="34.5" hidden="1" customHeight="1">
      <c r="A217" s="187">
        <v>212.0</v>
      </c>
      <c r="B217" s="62" t="s">
        <v>648</v>
      </c>
      <c r="C217" s="21" t="s">
        <v>639</v>
      </c>
      <c r="D217" s="21" t="s">
        <v>649</v>
      </c>
      <c r="E217" s="169" t="s">
        <v>650</v>
      </c>
      <c r="F217" s="202" t="s">
        <v>150</v>
      </c>
      <c r="G217" s="190">
        <v>3.0</v>
      </c>
      <c r="H217" s="151">
        <v>400000.0</v>
      </c>
      <c r="I217" s="180">
        <v>46100.0</v>
      </c>
      <c r="J217" s="158">
        <v>30000.0</v>
      </c>
      <c r="K217" s="109">
        <v>30000.0</v>
      </c>
      <c r="L217" s="97"/>
      <c r="M217" s="78"/>
      <c r="N217" s="180">
        <v>46100.0</v>
      </c>
      <c r="O217" s="110">
        <v>46193.0</v>
      </c>
      <c r="P217" s="69">
        <v>14800.0</v>
      </c>
      <c r="Q217" s="180">
        <v>46212.0</v>
      </c>
      <c r="R217" s="101"/>
      <c r="S217" s="44"/>
      <c r="T217" s="60" t="s">
        <v>645</v>
      </c>
      <c r="U217" s="4"/>
      <c r="V217" s="4"/>
      <c r="W217" s="4"/>
      <c r="X217" s="4"/>
      <c r="Y217" s="4"/>
      <c r="Z217" s="4"/>
    </row>
    <row r="218" ht="34.5" hidden="1" customHeight="1">
      <c r="A218" s="187">
        <v>213.0</v>
      </c>
      <c r="B218" s="62" t="s">
        <v>651</v>
      </c>
      <c r="C218" s="21" t="s">
        <v>639</v>
      </c>
      <c r="D218" s="21" t="s">
        <v>649</v>
      </c>
      <c r="E218" s="169" t="s">
        <v>650</v>
      </c>
      <c r="F218" s="202" t="s">
        <v>31</v>
      </c>
      <c r="G218" s="190">
        <v>1.0</v>
      </c>
      <c r="H218" s="151">
        <v>500000.0</v>
      </c>
      <c r="I218" s="180">
        <v>45974.0</v>
      </c>
      <c r="J218" s="158">
        <v>100000.0</v>
      </c>
      <c r="K218" s="94">
        <f>10000+90000</f>
        <v>100000</v>
      </c>
      <c r="L218" s="97"/>
      <c r="M218" s="78"/>
      <c r="N218" s="180">
        <v>45997.0</v>
      </c>
      <c r="O218" s="110">
        <v>46183.0</v>
      </c>
      <c r="P218" s="69">
        <v>40000.0</v>
      </c>
      <c r="Q218" s="180">
        <v>46212.0</v>
      </c>
      <c r="R218" s="101"/>
      <c r="S218" s="44"/>
      <c r="T218" s="60" t="s">
        <v>292</v>
      </c>
      <c r="U218" s="4"/>
      <c r="V218" s="4"/>
      <c r="W218" s="4"/>
      <c r="X218" s="4"/>
      <c r="Y218" s="4"/>
      <c r="Z218" s="4"/>
    </row>
    <row r="219" ht="34.5" hidden="1" customHeight="1">
      <c r="A219" s="187">
        <v>214.0</v>
      </c>
      <c r="B219" s="62" t="s">
        <v>652</v>
      </c>
      <c r="C219" s="21" t="s">
        <v>639</v>
      </c>
      <c r="D219" s="21" t="s">
        <v>649</v>
      </c>
      <c r="E219" s="169" t="s">
        <v>650</v>
      </c>
      <c r="F219" s="202" t="s">
        <v>480</v>
      </c>
      <c r="G219" s="190">
        <v>1.0</v>
      </c>
      <c r="H219" s="151">
        <v>300000.0</v>
      </c>
      <c r="I219" s="180">
        <v>45977.0</v>
      </c>
      <c r="J219" s="158">
        <v>10000.0</v>
      </c>
      <c r="K219" s="158">
        <v>10000.0</v>
      </c>
      <c r="L219" s="97"/>
      <c r="M219" s="78"/>
      <c r="N219" s="180">
        <v>45977.0</v>
      </c>
      <c r="O219" s="110">
        <v>46183.0</v>
      </c>
      <c r="P219" s="69">
        <v>29000.0</v>
      </c>
      <c r="Q219" s="180">
        <v>46212.0</v>
      </c>
      <c r="R219" s="101"/>
      <c r="S219" s="44"/>
      <c r="T219" s="60" t="s">
        <v>292</v>
      </c>
      <c r="U219" s="4"/>
      <c r="V219" s="4"/>
      <c r="W219" s="4"/>
      <c r="X219" s="4"/>
      <c r="Y219" s="4"/>
      <c r="Z219" s="4"/>
    </row>
    <row r="220" ht="34.5" hidden="1" customHeight="1">
      <c r="A220" s="187">
        <v>215.0</v>
      </c>
      <c r="B220" s="20"/>
      <c r="C220" s="185" t="s">
        <v>653</v>
      </c>
      <c r="D220" s="201" t="s">
        <v>654</v>
      </c>
      <c r="E220" s="174"/>
      <c r="F220" s="202" t="s">
        <v>150</v>
      </c>
      <c r="G220" s="190">
        <v>2.0</v>
      </c>
      <c r="H220" s="151">
        <v>400000.0</v>
      </c>
      <c r="I220" s="180">
        <v>46212.0</v>
      </c>
      <c r="J220" s="114"/>
      <c r="K220" s="49">
        <f>25000</f>
        <v>25000</v>
      </c>
      <c r="L220" s="87"/>
      <c r="M220" s="78"/>
      <c r="N220" s="28"/>
      <c r="O220" s="100"/>
      <c r="P220" s="30"/>
      <c r="Q220" s="180">
        <v>46212.0</v>
      </c>
      <c r="R220" s="101"/>
      <c r="S220" s="44"/>
      <c r="T220" s="36"/>
      <c r="U220" s="4"/>
      <c r="V220" s="4"/>
      <c r="W220" s="4"/>
      <c r="X220" s="4"/>
      <c r="Y220" s="4"/>
      <c r="Z220" s="4"/>
    </row>
    <row r="221" ht="34.5" hidden="1" customHeight="1">
      <c r="A221" s="187">
        <v>216.0</v>
      </c>
      <c r="B221" s="62" t="s">
        <v>655</v>
      </c>
      <c r="C221" s="21" t="s">
        <v>639</v>
      </c>
      <c r="D221" s="21" t="s">
        <v>656</v>
      </c>
      <c r="E221" s="169" t="s">
        <v>657</v>
      </c>
      <c r="F221" s="202" t="s">
        <v>31</v>
      </c>
      <c r="G221" s="190">
        <v>1.0</v>
      </c>
      <c r="H221" s="151">
        <v>500000.0</v>
      </c>
      <c r="I221" s="180">
        <v>46014.0</v>
      </c>
      <c r="J221" s="158">
        <v>100000.0</v>
      </c>
      <c r="K221" s="158">
        <v>100000.0</v>
      </c>
      <c r="L221" s="97"/>
      <c r="M221" s="78"/>
      <c r="N221" s="180">
        <v>46072.0</v>
      </c>
      <c r="O221" s="110">
        <v>46183.0</v>
      </c>
      <c r="P221" s="69">
        <v>25000.0</v>
      </c>
      <c r="Q221" s="180">
        <v>46215.0</v>
      </c>
      <c r="R221" s="101"/>
      <c r="S221" s="44"/>
      <c r="T221" s="60" t="s">
        <v>645</v>
      </c>
      <c r="U221" s="4"/>
      <c r="V221" s="4"/>
      <c r="W221" s="4"/>
      <c r="X221" s="4"/>
      <c r="Y221" s="4"/>
      <c r="Z221" s="4"/>
    </row>
    <row r="222" ht="34.5" hidden="1" customHeight="1">
      <c r="A222" s="187">
        <v>217.0</v>
      </c>
      <c r="B222" s="62" t="s">
        <v>658</v>
      </c>
      <c r="C222" s="21" t="s">
        <v>444</v>
      </c>
      <c r="D222" s="21" t="s">
        <v>659</v>
      </c>
      <c r="E222" s="169" t="s">
        <v>660</v>
      </c>
      <c r="F222" s="202" t="s">
        <v>31</v>
      </c>
      <c r="G222" s="190">
        <v>1.0</v>
      </c>
      <c r="H222" s="151">
        <v>500000.0</v>
      </c>
      <c r="I222" s="180">
        <v>45915.0</v>
      </c>
      <c r="J222" s="158">
        <v>100000.0</v>
      </c>
      <c r="K222" s="158">
        <v>100000.0</v>
      </c>
      <c r="L222" s="97"/>
      <c r="M222" s="78"/>
      <c r="N222" s="180">
        <v>45915.0</v>
      </c>
      <c r="O222" s="110">
        <v>45950.0</v>
      </c>
      <c r="P222" s="69">
        <v>10000.0</v>
      </c>
      <c r="Q222" s="180">
        <v>46215.0</v>
      </c>
      <c r="R222" s="101"/>
      <c r="S222" s="44"/>
      <c r="T222" s="60" t="s">
        <v>228</v>
      </c>
      <c r="U222" s="4"/>
      <c r="V222" s="4"/>
      <c r="W222" s="4"/>
      <c r="X222" s="4"/>
      <c r="Y222" s="4"/>
      <c r="Z222" s="4"/>
    </row>
    <row r="223" ht="34.5" hidden="1" customHeight="1">
      <c r="A223" s="187">
        <v>218.0</v>
      </c>
      <c r="B223" s="217" t="s">
        <v>661</v>
      </c>
      <c r="C223" s="185" t="s">
        <v>622</v>
      </c>
      <c r="D223" s="185" t="s">
        <v>662</v>
      </c>
      <c r="E223" s="218"/>
      <c r="F223" s="219" t="s">
        <v>31</v>
      </c>
      <c r="G223" s="220">
        <v>1.0</v>
      </c>
      <c r="H223" s="221">
        <v>500000.0</v>
      </c>
      <c r="I223" s="222">
        <v>45974.0</v>
      </c>
      <c r="J223" s="158">
        <v>100000.0</v>
      </c>
      <c r="K223" s="158">
        <v>100000.0</v>
      </c>
      <c r="L223" s="97"/>
      <c r="M223" s="78"/>
      <c r="N223" s="223">
        <v>45991.0</v>
      </c>
      <c r="O223" s="110">
        <v>46042.0</v>
      </c>
      <c r="P223" s="69">
        <v>6600.0</v>
      </c>
      <c r="Q223" s="180">
        <v>46217.0</v>
      </c>
      <c r="R223" s="101"/>
      <c r="S223" s="44"/>
      <c r="T223" s="60" t="s">
        <v>139</v>
      </c>
      <c r="U223" s="4"/>
      <c r="V223" s="4"/>
      <c r="W223" s="4"/>
      <c r="X223" s="4"/>
      <c r="Y223" s="4"/>
      <c r="Z223" s="4"/>
    </row>
    <row r="224" ht="34.5" hidden="1" customHeight="1">
      <c r="A224" s="187">
        <v>219.0</v>
      </c>
      <c r="B224" s="213" t="s">
        <v>663</v>
      </c>
      <c r="C224" s="183" t="s">
        <v>250</v>
      </c>
      <c r="D224" s="183" t="s">
        <v>311</v>
      </c>
      <c r="E224" s="169" t="s">
        <v>423</v>
      </c>
      <c r="F224" s="224" t="s">
        <v>31</v>
      </c>
      <c r="G224" s="225">
        <v>1.0</v>
      </c>
      <c r="H224" s="151">
        <v>500000.0</v>
      </c>
      <c r="I224" s="226">
        <v>46219.0</v>
      </c>
      <c r="J224" s="109">
        <v>500000.0</v>
      </c>
      <c r="K224" s="39">
        <f>30000+270000+100000</f>
        <v>400000</v>
      </c>
      <c r="L224" s="226"/>
      <c r="M224" s="144"/>
      <c r="N224" s="28"/>
      <c r="O224" s="100"/>
      <c r="P224" s="30"/>
      <c r="Q224" s="86">
        <v>46286.0</v>
      </c>
      <c r="R224" s="101"/>
      <c r="S224" s="44"/>
      <c r="T224" s="45" t="s">
        <v>562</v>
      </c>
      <c r="U224" s="4"/>
      <c r="V224" s="4"/>
      <c r="W224" s="4"/>
      <c r="X224" s="4"/>
      <c r="Y224" s="4"/>
      <c r="Z224" s="4"/>
    </row>
    <row r="225" ht="34.5" hidden="1" customHeight="1">
      <c r="A225" s="187">
        <v>220.0</v>
      </c>
      <c r="B225" s="20"/>
      <c r="C225" s="185" t="s">
        <v>53</v>
      </c>
      <c r="D225" s="185" t="s">
        <v>664</v>
      </c>
      <c r="E225" s="218"/>
      <c r="F225" s="219" t="s">
        <v>31</v>
      </c>
      <c r="G225" s="220">
        <v>1.0</v>
      </c>
      <c r="H225" s="227"/>
      <c r="I225" s="228">
        <v>46219.0</v>
      </c>
      <c r="J225" s="227"/>
      <c r="K225" s="27">
        <f>40000+30000+4000+10000+20000+8000+2000</f>
        <v>114000</v>
      </c>
      <c r="L225" s="26"/>
      <c r="M225" s="78"/>
      <c r="N225" s="28"/>
      <c r="O225" s="100"/>
      <c r="P225" s="30"/>
      <c r="Q225" s="84">
        <v>46289.0</v>
      </c>
      <c r="R225" s="101"/>
      <c r="S225" s="44"/>
      <c r="T225" s="36"/>
      <c r="U225" s="4"/>
      <c r="V225" s="4"/>
      <c r="W225" s="4"/>
      <c r="X225" s="4"/>
      <c r="Y225" s="4"/>
      <c r="Z225" s="4"/>
    </row>
    <row r="226" ht="34.5" hidden="1" customHeight="1">
      <c r="A226" s="187">
        <v>221.0</v>
      </c>
      <c r="B226" s="20"/>
      <c r="C226" s="185" t="s">
        <v>559</v>
      </c>
      <c r="D226" s="185" t="s">
        <v>665</v>
      </c>
      <c r="E226" s="218"/>
      <c r="F226" s="202" t="s">
        <v>150</v>
      </c>
      <c r="G226" s="190">
        <v>1.0</v>
      </c>
      <c r="H226" s="227"/>
      <c r="I226" s="228">
        <v>46219.0</v>
      </c>
      <c r="J226" s="227"/>
      <c r="K226" s="27">
        <f>100000+20000</f>
        <v>120000</v>
      </c>
      <c r="L226" s="26"/>
      <c r="M226" s="78"/>
      <c r="N226" s="28"/>
      <c r="O226" s="100"/>
      <c r="P226" s="30"/>
      <c r="Q226" s="228">
        <v>46244.0</v>
      </c>
      <c r="R226" s="101"/>
      <c r="S226" s="44"/>
      <c r="T226" s="36"/>
      <c r="U226" s="4"/>
      <c r="V226" s="4"/>
      <c r="W226" s="4"/>
      <c r="X226" s="4"/>
      <c r="Y226" s="4"/>
      <c r="Z226" s="4"/>
    </row>
    <row r="227" ht="34.5" hidden="1" customHeight="1">
      <c r="A227" s="187">
        <v>222.0</v>
      </c>
      <c r="B227" s="229" t="s">
        <v>666</v>
      </c>
      <c r="C227" s="185" t="s">
        <v>639</v>
      </c>
      <c r="D227" s="201" t="s">
        <v>667</v>
      </c>
      <c r="E227" s="218"/>
      <c r="F227" s="219" t="s">
        <v>31</v>
      </c>
      <c r="G227" s="190">
        <v>1.0</v>
      </c>
      <c r="H227" s="151">
        <v>500000.0</v>
      </c>
      <c r="I227" s="228">
        <v>45950.0</v>
      </c>
      <c r="J227" s="158">
        <v>200000.0</v>
      </c>
      <c r="K227" s="158">
        <v>200000.0</v>
      </c>
      <c r="L227" s="97"/>
      <c r="M227" s="78"/>
      <c r="N227" s="28"/>
      <c r="O227" s="110">
        <v>46032.0</v>
      </c>
      <c r="P227" s="69">
        <v>5000.0</v>
      </c>
      <c r="Q227" s="228">
        <v>46240.0</v>
      </c>
      <c r="R227" s="101"/>
      <c r="S227" s="44"/>
      <c r="T227" s="60" t="s">
        <v>42</v>
      </c>
      <c r="U227" s="4"/>
      <c r="V227" s="4"/>
      <c r="W227" s="4"/>
      <c r="X227" s="4"/>
      <c r="Y227" s="4"/>
      <c r="Z227" s="4"/>
    </row>
    <row r="228" ht="34.5" hidden="1" customHeight="1">
      <c r="A228" s="187">
        <v>223.0</v>
      </c>
      <c r="B228" s="229" t="s">
        <v>668</v>
      </c>
      <c r="C228" s="185" t="s">
        <v>639</v>
      </c>
      <c r="D228" s="185" t="s">
        <v>669</v>
      </c>
      <c r="E228" s="218"/>
      <c r="F228" s="219" t="s">
        <v>31</v>
      </c>
      <c r="G228" s="190">
        <v>1.0</v>
      </c>
      <c r="H228" s="151">
        <v>500000.0</v>
      </c>
      <c r="I228" s="228">
        <v>45965.0</v>
      </c>
      <c r="J228" s="158">
        <v>100000.0</v>
      </c>
      <c r="K228" s="109">
        <v>100000.0</v>
      </c>
      <c r="L228" s="97"/>
      <c r="M228" s="78"/>
      <c r="N228" s="28"/>
      <c r="O228" s="110">
        <v>46123.0</v>
      </c>
      <c r="P228" s="69">
        <v>20000.0</v>
      </c>
      <c r="Q228" s="55">
        <v>46223.0</v>
      </c>
      <c r="R228" s="101"/>
      <c r="S228" s="44"/>
      <c r="T228" s="60" t="s">
        <v>144</v>
      </c>
      <c r="U228" s="4"/>
      <c r="V228" s="4"/>
      <c r="W228" s="4"/>
      <c r="X228" s="4"/>
      <c r="Y228" s="4"/>
      <c r="Z228" s="4"/>
    </row>
    <row r="229" ht="34.5" hidden="1" customHeight="1">
      <c r="A229" s="187">
        <v>224.0</v>
      </c>
      <c r="B229" s="20"/>
      <c r="C229" s="185" t="s">
        <v>39</v>
      </c>
      <c r="D229" s="185" t="s">
        <v>670</v>
      </c>
      <c r="E229" s="174"/>
      <c r="F229" s="202" t="s">
        <v>26</v>
      </c>
      <c r="G229" s="190">
        <v>5.0</v>
      </c>
      <c r="H229" s="196">
        <v>4000000.0</v>
      </c>
      <c r="I229" s="230">
        <v>46224.0</v>
      </c>
      <c r="J229" s="114"/>
      <c r="K229" s="27">
        <f>10000</f>
        <v>10000</v>
      </c>
      <c r="L229" s="26"/>
      <c r="M229" s="78"/>
      <c r="N229" s="28"/>
      <c r="O229" s="100"/>
      <c r="P229" s="30"/>
      <c r="Q229" s="55">
        <v>46224.0</v>
      </c>
      <c r="R229" s="101"/>
      <c r="S229" s="44"/>
      <c r="T229" s="36"/>
      <c r="U229" s="4"/>
      <c r="V229" s="4"/>
      <c r="W229" s="4"/>
      <c r="X229" s="4"/>
      <c r="Y229" s="4"/>
      <c r="Z229" s="4"/>
    </row>
    <row r="230" ht="34.5" hidden="1" customHeight="1">
      <c r="A230" s="187">
        <v>225.0</v>
      </c>
      <c r="B230" s="62" t="s">
        <v>671</v>
      </c>
      <c r="C230" s="201" t="s">
        <v>639</v>
      </c>
      <c r="D230" s="201" t="s">
        <v>672</v>
      </c>
      <c r="E230" s="174"/>
      <c r="F230" s="202" t="s">
        <v>150</v>
      </c>
      <c r="G230" s="190">
        <v>3.0</v>
      </c>
      <c r="H230" s="151">
        <v>450000.0</v>
      </c>
      <c r="I230" s="230">
        <v>46071.0</v>
      </c>
      <c r="J230" s="158">
        <v>100000.0</v>
      </c>
      <c r="K230" s="109">
        <v>100000.0</v>
      </c>
      <c r="L230" s="97"/>
      <c r="M230" s="78"/>
      <c r="N230" s="230">
        <v>46071.0</v>
      </c>
      <c r="O230" s="110">
        <v>46093.0</v>
      </c>
      <c r="P230" s="69">
        <v>58500.0</v>
      </c>
      <c r="Q230" s="55">
        <v>46272.0</v>
      </c>
      <c r="R230" s="101"/>
      <c r="S230" s="44"/>
      <c r="T230" s="60" t="s">
        <v>673</v>
      </c>
      <c r="U230" s="4"/>
      <c r="V230" s="4"/>
      <c r="W230" s="4"/>
      <c r="X230" s="4"/>
      <c r="Y230" s="4"/>
      <c r="Z230" s="4"/>
    </row>
    <row r="231" ht="34.5" hidden="1" customHeight="1">
      <c r="A231" s="187">
        <v>226.0</v>
      </c>
      <c r="B231" s="20"/>
      <c r="C231" s="185" t="s">
        <v>587</v>
      </c>
      <c r="D231" s="185" t="s">
        <v>674</v>
      </c>
      <c r="E231" s="174"/>
      <c r="F231" s="219" t="s">
        <v>31</v>
      </c>
      <c r="G231" s="190">
        <v>1.0</v>
      </c>
      <c r="H231" s="151">
        <v>500000.0</v>
      </c>
      <c r="I231" s="55">
        <v>46226.0</v>
      </c>
      <c r="J231" s="151">
        <v>500000.0</v>
      </c>
      <c r="K231" s="27">
        <f>10000</f>
        <v>10000</v>
      </c>
      <c r="L231" s="26"/>
      <c r="M231" s="78"/>
      <c r="N231" s="28"/>
      <c r="O231" s="100"/>
      <c r="P231" s="30"/>
      <c r="Q231" s="55">
        <v>46226.0</v>
      </c>
      <c r="R231" s="101"/>
      <c r="S231" s="44"/>
      <c r="T231" s="45" t="s">
        <v>562</v>
      </c>
      <c r="U231" s="4"/>
      <c r="V231" s="4"/>
      <c r="W231" s="4"/>
      <c r="X231" s="4"/>
      <c r="Y231" s="4"/>
      <c r="Z231" s="4"/>
    </row>
    <row r="232" ht="34.5" hidden="1" customHeight="1">
      <c r="A232" s="187">
        <v>227.0</v>
      </c>
      <c r="B232" s="231" t="s">
        <v>675</v>
      </c>
      <c r="C232" s="183" t="s">
        <v>639</v>
      </c>
      <c r="D232" s="183" t="s">
        <v>676</v>
      </c>
      <c r="E232" s="169" t="s">
        <v>677</v>
      </c>
      <c r="F232" s="219" t="s">
        <v>31</v>
      </c>
      <c r="G232" s="190">
        <v>1.0</v>
      </c>
      <c r="H232" s="151">
        <v>400000.0</v>
      </c>
      <c r="I232" s="55">
        <v>46228.0</v>
      </c>
      <c r="J232" s="109">
        <v>100000.0</v>
      </c>
      <c r="K232" s="39">
        <f>20000+80000</f>
        <v>100000</v>
      </c>
      <c r="L232" s="97"/>
      <c r="M232" s="78"/>
      <c r="N232" s="55">
        <v>46232.0</v>
      </c>
      <c r="O232" s="110">
        <v>46249.0</v>
      </c>
      <c r="P232" s="69">
        <v>6000.0</v>
      </c>
      <c r="Q232" s="55">
        <v>46251.0</v>
      </c>
      <c r="R232" s="101"/>
      <c r="S232" s="44"/>
      <c r="T232" s="60" t="s">
        <v>292</v>
      </c>
      <c r="U232" s="4"/>
      <c r="V232" s="4"/>
      <c r="W232" s="4"/>
      <c r="X232" s="4"/>
      <c r="Y232" s="4"/>
      <c r="Z232" s="4"/>
    </row>
    <row r="233" ht="34.5" hidden="1" customHeight="1">
      <c r="A233" s="187">
        <v>228.0</v>
      </c>
      <c r="B233" s="62" t="s">
        <v>678</v>
      </c>
      <c r="C233" s="183" t="s">
        <v>653</v>
      </c>
      <c r="D233" s="183" t="s">
        <v>679</v>
      </c>
      <c r="E233" s="169" t="s">
        <v>680</v>
      </c>
      <c r="F233" s="202" t="s">
        <v>150</v>
      </c>
      <c r="G233" s="190">
        <v>2.0</v>
      </c>
      <c r="H233" s="151">
        <v>200000.0</v>
      </c>
      <c r="I233" s="55">
        <v>46230.0</v>
      </c>
      <c r="J233" s="158">
        <v>200000.0</v>
      </c>
      <c r="K233" s="158">
        <v>200000.0</v>
      </c>
      <c r="L233" s="96" t="s">
        <v>183</v>
      </c>
      <c r="M233" s="78"/>
      <c r="N233" s="55">
        <v>46230.0</v>
      </c>
      <c r="O233" s="100"/>
      <c r="P233" s="30"/>
      <c r="Q233" s="55">
        <v>46230.0</v>
      </c>
      <c r="R233" s="101"/>
      <c r="S233" s="44"/>
      <c r="T233" s="65" t="s">
        <v>117</v>
      </c>
      <c r="U233" s="4"/>
      <c r="V233" s="4"/>
      <c r="W233" s="4"/>
      <c r="X233" s="4"/>
      <c r="Y233" s="4"/>
      <c r="Z233" s="4"/>
    </row>
    <row r="234" ht="34.5" hidden="1" customHeight="1">
      <c r="A234" s="187">
        <v>229.0</v>
      </c>
      <c r="B234" s="20"/>
      <c r="C234" s="185" t="s">
        <v>681</v>
      </c>
      <c r="D234" s="185" t="s">
        <v>370</v>
      </c>
      <c r="E234" s="174"/>
      <c r="F234" s="219" t="s">
        <v>31</v>
      </c>
      <c r="G234" s="190">
        <v>1.0</v>
      </c>
      <c r="H234" s="151">
        <v>500000.0</v>
      </c>
      <c r="I234" s="55">
        <v>46230.0</v>
      </c>
      <c r="J234" s="114"/>
      <c r="K234" s="27">
        <f>5000</f>
        <v>5000</v>
      </c>
      <c r="L234" s="26"/>
      <c r="M234" s="78"/>
      <c r="N234" s="55"/>
      <c r="O234" s="100"/>
      <c r="P234" s="30"/>
      <c r="Q234" s="55">
        <v>46230.0</v>
      </c>
      <c r="R234" s="101"/>
      <c r="S234" s="44"/>
      <c r="T234" s="36"/>
      <c r="U234" s="4"/>
      <c r="V234" s="4"/>
      <c r="W234" s="4"/>
      <c r="X234" s="4"/>
      <c r="Y234" s="4"/>
      <c r="Z234" s="4"/>
    </row>
    <row r="235" ht="34.5" hidden="1" customHeight="1">
      <c r="A235" s="187">
        <v>230.0</v>
      </c>
      <c r="B235" s="62" t="s">
        <v>682</v>
      </c>
      <c r="C235" s="183" t="s">
        <v>622</v>
      </c>
      <c r="D235" s="183" t="s">
        <v>683</v>
      </c>
      <c r="E235" s="169" t="s">
        <v>684</v>
      </c>
      <c r="F235" s="202" t="s">
        <v>150</v>
      </c>
      <c r="G235" s="190">
        <v>1.0</v>
      </c>
      <c r="H235" s="151">
        <v>200000.0</v>
      </c>
      <c r="I235" s="55">
        <v>46232.0</v>
      </c>
      <c r="J235" s="39">
        <f t="shared" ref="J235:K235" si="12">50000+100000+20000+30000</f>
        <v>200000</v>
      </c>
      <c r="K235" s="39">
        <f t="shared" si="12"/>
        <v>200000</v>
      </c>
      <c r="L235" s="97"/>
      <c r="M235" s="78"/>
      <c r="N235" s="177">
        <v>46244.0</v>
      </c>
      <c r="O235" s="100"/>
      <c r="P235" s="30"/>
      <c r="Q235" s="55">
        <v>46244.0</v>
      </c>
      <c r="R235" s="101"/>
      <c r="S235" s="44"/>
      <c r="T235" s="232" t="s">
        <v>117</v>
      </c>
      <c r="U235" s="4"/>
      <c r="V235" s="4"/>
      <c r="W235" s="4"/>
      <c r="X235" s="4"/>
      <c r="Y235" s="4"/>
      <c r="Z235" s="4"/>
    </row>
    <row r="236" ht="34.5" hidden="1" customHeight="1">
      <c r="A236" s="187">
        <v>231.0</v>
      </c>
      <c r="B236" s="20"/>
      <c r="C236" s="185" t="s">
        <v>444</v>
      </c>
      <c r="D236" s="185" t="s">
        <v>685</v>
      </c>
      <c r="E236" s="174"/>
      <c r="F236" s="202" t="s">
        <v>150</v>
      </c>
      <c r="G236" s="190">
        <v>5.0</v>
      </c>
      <c r="H236" s="151">
        <v>500000.0</v>
      </c>
      <c r="I236" s="55">
        <v>46232.0</v>
      </c>
      <c r="J236" s="151">
        <v>500000.0</v>
      </c>
      <c r="K236" s="27">
        <f>50000</f>
        <v>50000</v>
      </c>
      <c r="L236" s="26"/>
      <c r="M236" s="78"/>
      <c r="N236" s="28"/>
      <c r="O236" s="100"/>
      <c r="P236" s="30"/>
      <c r="Q236" s="55">
        <v>46232.0</v>
      </c>
      <c r="R236" s="101"/>
      <c r="S236" s="44"/>
      <c r="T236" s="45" t="s">
        <v>562</v>
      </c>
      <c r="U236" s="4"/>
      <c r="V236" s="4"/>
      <c r="W236" s="4"/>
      <c r="X236" s="4"/>
      <c r="Y236" s="4"/>
      <c r="Z236" s="4"/>
    </row>
    <row r="237" ht="34.5" hidden="1" customHeight="1">
      <c r="A237" s="187">
        <v>232.0</v>
      </c>
      <c r="B237" s="20"/>
      <c r="C237" s="185" t="s">
        <v>559</v>
      </c>
      <c r="D237" s="185" t="s">
        <v>686</v>
      </c>
      <c r="E237" s="174"/>
      <c r="F237" s="202" t="s">
        <v>150</v>
      </c>
      <c r="G237" s="190">
        <v>1.0</v>
      </c>
      <c r="H237" s="151">
        <v>250000.0</v>
      </c>
      <c r="I237" s="55">
        <v>46232.0</v>
      </c>
      <c r="J237" s="151">
        <v>250000.0</v>
      </c>
      <c r="K237" s="27">
        <f>15000</f>
        <v>15000</v>
      </c>
      <c r="L237" s="26"/>
      <c r="M237" s="78"/>
      <c r="N237" s="28"/>
      <c r="O237" s="100"/>
      <c r="P237" s="30"/>
      <c r="Q237" s="55">
        <v>46232.0</v>
      </c>
      <c r="R237" s="101"/>
      <c r="S237" s="44"/>
      <c r="T237" s="45" t="s">
        <v>562</v>
      </c>
      <c r="U237" s="4"/>
      <c r="V237" s="4"/>
      <c r="W237" s="4"/>
      <c r="X237" s="4"/>
      <c r="Y237" s="4"/>
      <c r="Z237" s="4"/>
    </row>
    <row r="238" ht="34.5" hidden="1" customHeight="1">
      <c r="A238" s="187">
        <v>233.0</v>
      </c>
      <c r="B238" s="213" t="s">
        <v>687</v>
      </c>
      <c r="C238" s="183" t="s">
        <v>39</v>
      </c>
      <c r="D238" s="183" t="s">
        <v>688</v>
      </c>
      <c r="E238" s="169" t="s">
        <v>451</v>
      </c>
      <c r="F238" s="202" t="s">
        <v>26</v>
      </c>
      <c r="G238" s="190">
        <v>3.0</v>
      </c>
      <c r="H238" s="196">
        <v>3000000.0</v>
      </c>
      <c r="I238" s="55">
        <v>46235.0</v>
      </c>
      <c r="J238" s="39">
        <f t="shared" ref="J238:K238" si="13">1000000</f>
        <v>1000000</v>
      </c>
      <c r="K238" s="39">
        <f t="shared" si="13"/>
        <v>1000000</v>
      </c>
      <c r="L238" s="97"/>
      <c r="M238" s="78"/>
      <c r="N238" s="28"/>
      <c r="O238" s="110">
        <v>46249.0</v>
      </c>
      <c r="P238" s="69">
        <v>22000.0</v>
      </c>
      <c r="Q238" s="55">
        <v>46269.0</v>
      </c>
      <c r="R238" s="101"/>
      <c r="S238" s="44"/>
      <c r="T238" s="60" t="s">
        <v>100</v>
      </c>
      <c r="U238" s="4"/>
      <c r="V238" s="4"/>
      <c r="W238" s="4"/>
      <c r="X238" s="4"/>
      <c r="Y238" s="4"/>
      <c r="Z238" s="4"/>
    </row>
    <row r="239" ht="34.5" hidden="1" customHeight="1">
      <c r="A239" s="187">
        <v>234.0</v>
      </c>
      <c r="B239" s="213" t="s">
        <v>689</v>
      </c>
      <c r="C239" s="203" t="s">
        <v>690</v>
      </c>
      <c r="D239" s="203" t="s">
        <v>691</v>
      </c>
      <c r="E239" s="169" t="s">
        <v>692</v>
      </c>
      <c r="F239" s="219" t="s">
        <v>31</v>
      </c>
      <c r="G239" s="190">
        <v>1.0</v>
      </c>
      <c r="H239" s="151">
        <v>500000.0</v>
      </c>
      <c r="I239" s="55">
        <v>46235.0</v>
      </c>
      <c r="J239" s="39">
        <f t="shared" ref="J239:K239" si="14">20000+180000</f>
        <v>200000</v>
      </c>
      <c r="K239" s="39">
        <f t="shared" si="14"/>
        <v>200000</v>
      </c>
      <c r="L239" s="97"/>
      <c r="M239" s="78"/>
      <c r="N239" s="28"/>
      <c r="O239" s="110">
        <v>46285.0</v>
      </c>
      <c r="P239" s="69">
        <v>5000.0</v>
      </c>
      <c r="Q239" s="55">
        <v>46281.0</v>
      </c>
      <c r="R239" s="101"/>
      <c r="S239" s="44"/>
      <c r="T239" s="60" t="s">
        <v>292</v>
      </c>
      <c r="U239" s="4"/>
      <c r="V239" s="4"/>
      <c r="W239" s="4"/>
      <c r="X239" s="4"/>
      <c r="Y239" s="4"/>
      <c r="Z239" s="4"/>
    </row>
    <row r="240" ht="34.5" hidden="1" customHeight="1">
      <c r="A240" s="187">
        <v>235.0</v>
      </c>
      <c r="B240" s="213" t="s">
        <v>693</v>
      </c>
      <c r="C240" s="183" t="s">
        <v>564</v>
      </c>
      <c r="D240" s="183" t="s">
        <v>694</v>
      </c>
      <c r="E240" s="169" t="s">
        <v>695</v>
      </c>
      <c r="F240" s="219" t="s">
        <v>31</v>
      </c>
      <c r="G240" s="190">
        <v>1.0</v>
      </c>
      <c r="H240" s="151">
        <v>300000.0</v>
      </c>
      <c r="I240" s="55">
        <v>46236.0</v>
      </c>
      <c r="J240" s="158">
        <v>100000.0</v>
      </c>
      <c r="K240" s="39">
        <f>10000+76000+14000</f>
        <v>100000</v>
      </c>
      <c r="L240" s="97"/>
      <c r="M240" s="78"/>
      <c r="N240" s="55">
        <v>46237.0</v>
      </c>
      <c r="O240" s="110">
        <v>46272.0</v>
      </c>
      <c r="P240" s="69">
        <v>8000.0</v>
      </c>
      <c r="Q240" s="55">
        <v>46237.0</v>
      </c>
      <c r="R240" s="101"/>
      <c r="S240" s="44"/>
      <c r="T240" s="36"/>
      <c r="U240" s="4"/>
      <c r="V240" s="4"/>
      <c r="W240" s="4"/>
      <c r="X240" s="4"/>
      <c r="Y240" s="4"/>
      <c r="Z240" s="4"/>
    </row>
    <row r="241" ht="34.5" hidden="1" customHeight="1">
      <c r="A241" s="187">
        <v>236.0</v>
      </c>
      <c r="B241" s="20"/>
      <c r="C241" s="185" t="s">
        <v>559</v>
      </c>
      <c r="D241" s="185" t="s">
        <v>696</v>
      </c>
      <c r="E241" s="174"/>
      <c r="F241" s="202" t="s">
        <v>150</v>
      </c>
      <c r="G241" s="190">
        <v>1.0</v>
      </c>
      <c r="H241" s="151">
        <v>200000.0</v>
      </c>
      <c r="I241" s="55">
        <v>46240.0</v>
      </c>
      <c r="J241" s="151">
        <v>200000.0</v>
      </c>
      <c r="K241" s="27">
        <f t="shared" ref="K241:K242" si="15">10000</f>
        <v>10000</v>
      </c>
      <c r="L241" s="26"/>
      <c r="M241" s="78"/>
      <c r="N241" s="28"/>
      <c r="O241" s="100"/>
      <c r="P241" s="30"/>
      <c r="Q241" s="55">
        <v>46240.0</v>
      </c>
      <c r="R241" s="101"/>
      <c r="S241" s="44"/>
      <c r="T241" s="45" t="s">
        <v>562</v>
      </c>
      <c r="U241" s="4"/>
      <c r="V241" s="4"/>
      <c r="W241" s="4"/>
      <c r="X241" s="4"/>
      <c r="Y241" s="4"/>
      <c r="Z241" s="4"/>
    </row>
    <row r="242" ht="34.5" hidden="1" customHeight="1">
      <c r="A242" s="187">
        <v>237.0</v>
      </c>
      <c r="B242" s="20"/>
      <c r="C242" s="185" t="s">
        <v>559</v>
      </c>
      <c r="D242" s="185" t="s">
        <v>697</v>
      </c>
      <c r="E242" s="174"/>
      <c r="F242" s="219" t="s">
        <v>31</v>
      </c>
      <c r="G242" s="190">
        <v>1.0</v>
      </c>
      <c r="H242" s="151">
        <v>350000.0</v>
      </c>
      <c r="I242" s="55">
        <v>46243.0</v>
      </c>
      <c r="J242" s="151">
        <v>350000.0</v>
      </c>
      <c r="K242" s="27">
        <f t="shared" si="15"/>
        <v>10000</v>
      </c>
      <c r="L242" s="26"/>
      <c r="M242" s="78"/>
      <c r="N242" s="28"/>
      <c r="O242" s="100"/>
      <c r="P242" s="30"/>
      <c r="Q242" s="55">
        <v>46243.0</v>
      </c>
      <c r="R242" s="101"/>
      <c r="S242" s="44"/>
      <c r="T242" s="45" t="s">
        <v>562</v>
      </c>
      <c r="U242" s="4"/>
      <c r="V242" s="4"/>
      <c r="W242" s="4"/>
      <c r="X242" s="4"/>
      <c r="Y242" s="4"/>
      <c r="Z242" s="4"/>
    </row>
    <row r="243" ht="34.5" hidden="1" customHeight="1">
      <c r="A243" s="187">
        <v>238.0</v>
      </c>
      <c r="B243" s="20"/>
      <c r="C243" s="185" t="s">
        <v>444</v>
      </c>
      <c r="D243" s="185" t="s">
        <v>698</v>
      </c>
      <c r="E243" s="174"/>
      <c r="F243" s="219" t="s">
        <v>31</v>
      </c>
      <c r="G243" s="190">
        <v>1.0</v>
      </c>
      <c r="H243" s="151">
        <v>500000.0</v>
      </c>
      <c r="I243" s="55">
        <v>46247.0</v>
      </c>
      <c r="J243" s="114"/>
      <c r="K243" s="27">
        <f>7000</f>
        <v>7000</v>
      </c>
      <c r="L243" s="26"/>
      <c r="M243" s="78"/>
      <c r="N243" s="28"/>
      <c r="O243" s="100"/>
      <c r="P243" s="30"/>
      <c r="Q243" s="55">
        <v>46247.0</v>
      </c>
      <c r="R243" s="101"/>
      <c r="S243" s="44"/>
      <c r="T243" s="36"/>
      <c r="U243" s="4"/>
      <c r="V243" s="4"/>
      <c r="W243" s="4"/>
      <c r="X243" s="4"/>
      <c r="Y243" s="4"/>
      <c r="Z243" s="4"/>
    </row>
    <row r="244" ht="34.5" hidden="1" customHeight="1">
      <c r="A244" s="187">
        <v>239.0</v>
      </c>
      <c r="B244" s="20"/>
      <c r="C244" s="185" t="s">
        <v>622</v>
      </c>
      <c r="D244" s="185" t="s">
        <v>683</v>
      </c>
      <c r="E244" s="169" t="s">
        <v>684</v>
      </c>
      <c r="F244" s="219" t="s">
        <v>31</v>
      </c>
      <c r="G244" s="190">
        <v>1.0</v>
      </c>
      <c r="H244" s="151">
        <v>250000.0</v>
      </c>
      <c r="I244" s="55">
        <v>46252.0</v>
      </c>
      <c r="J244" s="151">
        <v>250000.0</v>
      </c>
      <c r="K244" s="27">
        <f>30000+20000+30000</f>
        <v>80000</v>
      </c>
      <c r="L244" s="26"/>
      <c r="M244" s="78"/>
      <c r="N244" s="28"/>
      <c r="O244" s="100"/>
      <c r="P244" s="30"/>
      <c r="Q244" s="55">
        <v>46275.0</v>
      </c>
      <c r="R244" s="101"/>
      <c r="S244" s="44"/>
      <c r="T244" s="45" t="s">
        <v>562</v>
      </c>
      <c r="U244" s="4"/>
      <c r="V244" s="4"/>
      <c r="W244" s="4"/>
      <c r="X244" s="4"/>
      <c r="Y244" s="4"/>
      <c r="Z244" s="4"/>
    </row>
    <row r="245" ht="34.5" hidden="1" customHeight="1">
      <c r="A245" s="187">
        <v>240.0</v>
      </c>
      <c r="B245" s="20"/>
      <c r="C245" s="185" t="s">
        <v>369</v>
      </c>
      <c r="D245" s="185" t="s">
        <v>699</v>
      </c>
      <c r="E245" s="174"/>
      <c r="F245" s="202" t="s">
        <v>26</v>
      </c>
      <c r="G245" s="190">
        <v>6.0</v>
      </c>
      <c r="H245" s="151">
        <v>3600000.0</v>
      </c>
      <c r="I245" s="230">
        <v>46253.0</v>
      </c>
      <c r="J245" s="191">
        <v>900000.0</v>
      </c>
      <c r="K245" s="27">
        <f>50000+350000+200000</f>
        <v>600000</v>
      </c>
      <c r="L245" s="26"/>
      <c r="M245" s="78"/>
      <c r="N245" s="28"/>
      <c r="O245" s="100"/>
      <c r="P245" s="30"/>
      <c r="Q245" s="55">
        <v>46274.0</v>
      </c>
      <c r="R245" s="101"/>
      <c r="S245" s="44"/>
      <c r="T245" s="36"/>
      <c r="U245" s="4"/>
      <c r="V245" s="4"/>
      <c r="W245" s="4"/>
      <c r="X245" s="4"/>
      <c r="Y245" s="4"/>
      <c r="Z245" s="4"/>
    </row>
    <row r="246" ht="34.5" hidden="1" customHeight="1">
      <c r="A246" s="187">
        <v>241.0</v>
      </c>
      <c r="B246" s="213" t="s">
        <v>700</v>
      </c>
      <c r="C246" s="52" t="s">
        <v>639</v>
      </c>
      <c r="D246" s="104" t="s">
        <v>701</v>
      </c>
      <c r="E246" s="169" t="s">
        <v>702</v>
      </c>
      <c r="F246" s="219" t="s">
        <v>31</v>
      </c>
      <c r="G246" s="190">
        <v>1.0</v>
      </c>
      <c r="H246" s="151">
        <v>400000.0</v>
      </c>
      <c r="I246" s="55">
        <v>46201.0</v>
      </c>
      <c r="J246" s="151">
        <v>350000.0</v>
      </c>
      <c r="K246" s="78">
        <f t="shared" ref="K246:K247" si="16">50000</f>
        <v>50000</v>
      </c>
      <c r="L246" s="74">
        <v>46418.0</v>
      </c>
      <c r="M246" s="233">
        <v>350000.0</v>
      </c>
      <c r="N246" s="55">
        <v>46201.0</v>
      </c>
      <c r="O246" s="100"/>
      <c r="P246" s="30"/>
      <c r="Q246" s="55">
        <v>46201.0</v>
      </c>
      <c r="R246" s="101"/>
      <c r="S246" s="44"/>
      <c r="T246" s="45" t="s">
        <v>562</v>
      </c>
      <c r="U246" s="4"/>
      <c r="V246" s="4"/>
      <c r="W246" s="4"/>
      <c r="X246" s="4"/>
      <c r="Y246" s="4"/>
      <c r="Z246" s="4"/>
    </row>
    <row r="247" ht="34.5" hidden="1" customHeight="1">
      <c r="A247" s="187">
        <v>242.0</v>
      </c>
      <c r="B247" s="213" t="s">
        <v>703</v>
      </c>
      <c r="C247" s="52" t="s">
        <v>639</v>
      </c>
      <c r="D247" s="104" t="s">
        <v>704</v>
      </c>
      <c r="E247" s="169" t="s">
        <v>702</v>
      </c>
      <c r="F247" s="219" t="s">
        <v>31</v>
      </c>
      <c r="G247" s="190">
        <v>1.0</v>
      </c>
      <c r="H247" s="151">
        <v>400000.0</v>
      </c>
      <c r="I247" s="55">
        <v>46201.0</v>
      </c>
      <c r="J247" s="151">
        <v>350000.0</v>
      </c>
      <c r="K247" s="78">
        <f t="shared" si="16"/>
        <v>50000</v>
      </c>
      <c r="L247" s="74">
        <v>46418.0</v>
      </c>
      <c r="M247" s="233">
        <v>350000.0</v>
      </c>
      <c r="N247" s="55">
        <v>46201.0</v>
      </c>
      <c r="O247" s="100"/>
      <c r="P247" s="30"/>
      <c r="Q247" s="55">
        <v>46201.0</v>
      </c>
      <c r="R247" s="101"/>
      <c r="S247" s="44"/>
      <c r="T247" s="45" t="s">
        <v>562</v>
      </c>
      <c r="U247" s="4"/>
      <c r="V247" s="4"/>
      <c r="W247" s="4"/>
      <c r="X247" s="4"/>
      <c r="Y247" s="4"/>
      <c r="Z247" s="4"/>
    </row>
    <row r="248" ht="34.5" hidden="1" customHeight="1">
      <c r="A248" s="187">
        <v>243.0</v>
      </c>
      <c r="B248" s="20"/>
      <c r="C248" s="185" t="s">
        <v>564</v>
      </c>
      <c r="D248" s="185" t="s">
        <v>705</v>
      </c>
      <c r="E248" s="174"/>
      <c r="F248" s="202" t="s">
        <v>150</v>
      </c>
      <c r="G248" s="190">
        <v>1.0</v>
      </c>
      <c r="H248" s="151">
        <v>100000.0</v>
      </c>
      <c r="I248" s="55">
        <v>46254.0</v>
      </c>
      <c r="J248" s="151">
        <v>100000.0</v>
      </c>
      <c r="K248" s="27">
        <f>90000</f>
        <v>90000</v>
      </c>
      <c r="L248" s="26"/>
      <c r="M248" s="78"/>
      <c r="N248" s="28"/>
      <c r="O248" s="100"/>
      <c r="P248" s="30"/>
      <c r="Q248" s="55">
        <v>46254.0</v>
      </c>
      <c r="R248" s="101"/>
      <c r="S248" s="44"/>
      <c r="T248" s="45" t="s">
        <v>562</v>
      </c>
      <c r="U248" s="4"/>
      <c r="V248" s="4"/>
      <c r="W248" s="4"/>
      <c r="X248" s="4"/>
      <c r="Y248" s="4"/>
      <c r="Z248" s="4"/>
    </row>
    <row r="249" ht="34.5" hidden="1" customHeight="1">
      <c r="A249" s="187">
        <v>244.0</v>
      </c>
      <c r="B249" s="20"/>
      <c r="C249" s="185" t="s">
        <v>342</v>
      </c>
      <c r="D249" s="185" t="s">
        <v>706</v>
      </c>
      <c r="E249" s="174"/>
      <c r="F249" s="202" t="s">
        <v>150</v>
      </c>
      <c r="G249" s="190">
        <v>1.0</v>
      </c>
      <c r="H249" s="151">
        <v>150000.0</v>
      </c>
      <c r="I249" s="55">
        <v>46258.0</v>
      </c>
      <c r="J249" s="151">
        <v>150000.0</v>
      </c>
      <c r="K249" s="27">
        <f>20000</f>
        <v>20000</v>
      </c>
      <c r="L249" s="26"/>
      <c r="M249" s="78"/>
      <c r="N249" s="28"/>
      <c r="O249" s="100"/>
      <c r="P249" s="30"/>
      <c r="Q249" s="55">
        <v>46258.0</v>
      </c>
      <c r="R249" s="101"/>
      <c r="S249" s="44"/>
      <c r="T249" s="45" t="s">
        <v>562</v>
      </c>
      <c r="U249" s="4"/>
      <c r="V249" s="4"/>
      <c r="W249" s="4"/>
      <c r="X249" s="4"/>
      <c r="Y249" s="4"/>
      <c r="Z249" s="4"/>
    </row>
    <row r="250" ht="34.5" customHeight="1">
      <c r="A250" s="187">
        <v>245.0</v>
      </c>
      <c r="B250" s="234" t="s">
        <v>707</v>
      </c>
      <c r="C250" s="21" t="s">
        <v>342</v>
      </c>
      <c r="D250" s="21" t="s">
        <v>413</v>
      </c>
      <c r="E250" s="33" t="s">
        <v>414</v>
      </c>
      <c r="F250" s="202" t="s">
        <v>150</v>
      </c>
      <c r="G250" s="190">
        <v>1.0</v>
      </c>
      <c r="H250" s="151">
        <v>150000.0</v>
      </c>
      <c r="I250" s="55">
        <v>46258.0</v>
      </c>
      <c r="J250" s="152">
        <v>150000.0</v>
      </c>
      <c r="K250" s="109">
        <v>150000.0</v>
      </c>
      <c r="L250" s="96" t="s">
        <v>183</v>
      </c>
      <c r="M250" s="235"/>
      <c r="N250" s="55">
        <v>46258.0</v>
      </c>
      <c r="O250" s="100"/>
      <c r="P250" s="30"/>
      <c r="Q250" s="55">
        <v>46258.0</v>
      </c>
      <c r="R250" s="101"/>
      <c r="S250" s="44"/>
      <c r="T250" s="236" t="s">
        <v>117</v>
      </c>
      <c r="U250" s="4"/>
      <c r="V250" s="4"/>
      <c r="W250" s="4"/>
      <c r="X250" s="4"/>
      <c r="Y250" s="4"/>
      <c r="Z250" s="4"/>
    </row>
    <row r="251" ht="34.5" hidden="1" customHeight="1">
      <c r="A251" s="187">
        <v>246.0</v>
      </c>
      <c r="B251" s="20"/>
      <c r="C251" s="185" t="s">
        <v>639</v>
      </c>
      <c r="D251" s="185" t="s">
        <v>708</v>
      </c>
      <c r="E251" s="174"/>
      <c r="F251" s="219" t="s">
        <v>31</v>
      </c>
      <c r="G251" s="190">
        <v>2.0</v>
      </c>
      <c r="H251" s="151">
        <v>600000.0</v>
      </c>
      <c r="I251" s="55">
        <v>46258.0</v>
      </c>
      <c r="J251" s="114"/>
      <c r="K251" s="27">
        <f>50000</f>
        <v>50000</v>
      </c>
      <c r="L251" s="26"/>
      <c r="M251" s="78"/>
      <c r="N251" s="28"/>
      <c r="O251" s="100"/>
      <c r="P251" s="30"/>
      <c r="Q251" s="55">
        <v>46258.0</v>
      </c>
      <c r="R251" s="101"/>
      <c r="S251" s="44"/>
      <c r="T251" s="36"/>
      <c r="U251" s="4"/>
      <c r="V251" s="4"/>
      <c r="W251" s="4"/>
      <c r="X251" s="4"/>
      <c r="Y251" s="4"/>
      <c r="Z251" s="4"/>
    </row>
    <row r="252" ht="34.5" hidden="1" customHeight="1">
      <c r="A252" s="187">
        <v>247.0</v>
      </c>
      <c r="B252" s="20"/>
      <c r="C252" s="185" t="s">
        <v>317</v>
      </c>
      <c r="D252" s="185" t="s">
        <v>608</v>
      </c>
      <c r="E252" s="174"/>
      <c r="F252" s="202" t="s">
        <v>150</v>
      </c>
      <c r="G252" s="190">
        <v>2.0</v>
      </c>
      <c r="H252" s="211"/>
      <c r="I252" s="87"/>
      <c r="J252" s="114"/>
      <c r="K252" s="114">
        <f>4000</f>
        <v>4000</v>
      </c>
      <c r="L252" s="26"/>
      <c r="M252" s="78"/>
      <c r="N252" s="28"/>
      <c r="O252" s="100"/>
      <c r="P252" s="30"/>
      <c r="Q252" s="55">
        <v>46259.0</v>
      </c>
      <c r="R252" s="101"/>
      <c r="S252" s="44"/>
      <c r="T252" s="36"/>
      <c r="U252" s="4"/>
      <c r="V252" s="4"/>
      <c r="W252" s="4"/>
      <c r="X252" s="4"/>
      <c r="Y252" s="4"/>
      <c r="Z252" s="4"/>
    </row>
    <row r="253" ht="34.5" hidden="1" customHeight="1">
      <c r="A253" s="187">
        <v>248.0</v>
      </c>
      <c r="B253" s="20"/>
      <c r="C253" s="185" t="s">
        <v>639</v>
      </c>
      <c r="D253" s="185" t="s">
        <v>709</v>
      </c>
      <c r="E253" s="174"/>
      <c r="F253" s="202" t="s">
        <v>150</v>
      </c>
      <c r="G253" s="190">
        <v>3.0</v>
      </c>
      <c r="H253" s="151">
        <v>500000.0</v>
      </c>
      <c r="I253" s="55">
        <v>46265.0</v>
      </c>
      <c r="J253" s="151">
        <v>500000.0</v>
      </c>
      <c r="K253" s="27">
        <f>50000</f>
        <v>50000</v>
      </c>
      <c r="L253" s="26"/>
      <c r="M253" s="78"/>
      <c r="N253" s="28"/>
      <c r="O253" s="100"/>
      <c r="P253" s="30"/>
      <c r="Q253" s="55">
        <v>46265.0</v>
      </c>
      <c r="R253" s="101"/>
      <c r="S253" s="44"/>
      <c r="T253" s="45" t="s">
        <v>562</v>
      </c>
      <c r="U253" s="4"/>
      <c r="V253" s="4"/>
      <c r="W253" s="4"/>
      <c r="X253" s="4"/>
      <c r="Y253" s="4"/>
      <c r="Z253" s="4"/>
    </row>
    <row r="254" ht="34.5" hidden="1" customHeight="1">
      <c r="A254" s="187">
        <v>249.0</v>
      </c>
      <c r="B254" s="20"/>
      <c r="C254" s="185" t="s">
        <v>444</v>
      </c>
      <c r="D254" s="185" t="s">
        <v>710</v>
      </c>
      <c r="E254" s="174"/>
      <c r="F254" s="219" t="s">
        <v>31</v>
      </c>
      <c r="G254" s="190">
        <v>10.0</v>
      </c>
      <c r="H254" s="151">
        <v>3500000.0</v>
      </c>
      <c r="I254" s="55">
        <v>46265.0</v>
      </c>
      <c r="J254" s="151">
        <v>3500000.0</v>
      </c>
      <c r="K254" s="27">
        <f>20000</f>
        <v>20000</v>
      </c>
      <c r="L254" s="26"/>
      <c r="M254" s="78"/>
      <c r="N254" s="28"/>
      <c r="O254" s="100"/>
      <c r="P254" s="30"/>
      <c r="Q254" s="55">
        <v>46265.0</v>
      </c>
      <c r="R254" s="101"/>
      <c r="S254" s="44"/>
      <c r="T254" s="45" t="s">
        <v>562</v>
      </c>
      <c r="U254" s="4"/>
      <c r="V254" s="4"/>
      <c r="W254" s="4"/>
      <c r="X254" s="4"/>
      <c r="Y254" s="4"/>
      <c r="Z254" s="4"/>
    </row>
    <row r="255" ht="34.5" hidden="1" customHeight="1">
      <c r="A255" s="187">
        <v>250.0</v>
      </c>
      <c r="B255" s="62" t="s">
        <v>711</v>
      </c>
      <c r="C255" s="183" t="s">
        <v>373</v>
      </c>
      <c r="D255" s="203" t="s">
        <v>712</v>
      </c>
      <c r="E255" s="169" t="s">
        <v>713</v>
      </c>
      <c r="F255" s="219" t="s">
        <v>31</v>
      </c>
      <c r="G255" s="190">
        <v>2.0</v>
      </c>
      <c r="H255" s="151">
        <v>900000.0</v>
      </c>
      <c r="I255" s="55">
        <v>46265.0</v>
      </c>
      <c r="J255" s="233"/>
      <c r="K255" s="27">
        <f>70000+100000</f>
        <v>170000</v>
      </c>
      <c r="L255" s="226"/>
      <c r="M255" s="144"/>
      <c r="N255" s="55">
        <v>46265.0</v>
      </c>
      <c r="O255" s="110">
        <v>46351.0</v>
      </c>
      <c r="P255" s="69">
        <v>10000.0</v>
      </c>
      <c r="Q255" s="55">
        <v>46281.0</v>
      </c>
      <c r="R255" s="101"/>
      <c r="S255" s="44"/>
      <c r="T255" s="36"/>
      <c r="U255" s="4"/>
      <c r="V255" s="4"/>
      <c r="W255" s="4"/>
      <c r="X255" s="4"/>
      <c r="Y255" s="4"/>
      <c r="Z255" s="4"/>
    </row>
    <row r="256" ht="34.5" hidden="1" customHeight="1">
      <c r="A256" s="187">
        <v>251.0</v>
      </c>
      <c r="B256" s="20"/>
      <c r="C256" s="185" t="s">
        <v>559</v>
      </c>
      <c r="D256" s="185" t="s">
        <v>714</v>
      </c>
      <c r="E256" s="174"/>
      <c r="F256" s="202" t="s">
        <v>26</v>
      </c>
      <c r="G256" s="190">
        <v>5.0</v>
      </c>
      <c r="H256" s="196">
        <v>5000000.0</v>
      </c>
      <c r="I256" s="55">
        <v>46264.0</v>
      </c>
      <c r="J256" s="114"/>
      <c r="K256" s="73">
        <f>100000+50000+18000</f>
        <v>168000</v>
      </c>
      <c r="L256" s="26"/>
      <c r="M256" s="78"/>
      <c r="N256" s="28"/>
      <c r="O256" s="100"/>
      <c r="P256" s="30"/>
      <c r="Q256" s="55">
        <v>46267.0</v>
      </c>
      <c r="R256" s="101"/>
      <c r="S256" s="44"/>
      <c r="T256" s="36"/>
      <c r="U256" s="4"/>
      <c r="V256" s="4"/>
      <c r="W256" s="4"/>
      <c r="X256" s="4"/>
      <c r="Y256" s="4"/>
      <c r="Z256" s="4"/>
    </row>
    <row r="257" ht="34.5" hidden="1" customHeight="1">
      <c r="A257" s="187">
        <v>252.0</v>
      </c>
      <c r="B257" s="20"/>
      <c r="C257" s="185" t="s">
        <v>93</v>
      </c>
      <c r="D257" s="185" t="s">
        <v>715</v>
      </c>
      <c r="E257" s="174"/>
      <c r="F257" s="219" t="s">
        <v>31</v>
      </c>
      <c r="G257" s="190">
        <v>1.0</v>
      </c>
      <c r="H257" s="151">
        <v>400000.0</v>
      </c>
      <c r="I257" s="55">
        <v>46266.0</v>
      </c>
      <c r="J257" s="114"/>
      <c r="K257" s="73">
        <f t="shared" ref="K257:K258" si="17">10000</f>
        <v>10000</v>
      </c>
      <c r="L257" s="26"/>
      <c r="M257" s="78"/>
      <c r="N257" s="28"/>
      <c r="O257" s="100"/>
      <c r="P257" s="30"/>
      <c r="Q257" s="55">
        <v>46266.0</v>
      </c>
      <c r="R257" s="101"/>
      <c r="S257" s="44"/>
      <c r="T257" s="36"/>
      <c r="U257" s="4"/>
      <c r="V257" s="4"/>
      <c r="W257" s="4"/>
      <c r="X257" s="4"/>
      <c r="Y257" s="4"/>
      <c r="Z257" s="4"/>
    </row>
    <row r="258" ht="34.5" hidden="1" customHeight="1">
      <c r="A258" s="187">
        <v>253.0</v>
      </c>
      <c r="B258" s="20"/>
      <c r="C258" s="185" t="s">
        <v>93</v>
      </c>
      <c r="D258" s="185" t="s">
        <v>715</v>
      </c>
      <c r="E258" s="174"/>
      <c r="F258" s="219" t="s">
        <v>31</v>
      </c>
      <c r="G258" s="190">
        <v>1.0</v>
      </c>
      <c r="H258" s="151">
        <v>400000.0</v>
      </c>
      <c r="I258" s="55">
        <v>46266.0</v>
      </c>
      <c r="J258" s="114"/>
      <c r="K258" s="73">
        <f t="shared" si="17"/>
        <v>10000</v>
      </c>
      <c r="L258" s="26"/>
      <c r="M258" s="78"/>
      <c r="N258" s="28"/>
      <c r="O258" s="100"/>
      <c r="P258" s="30"/>
      <c r="Q258" s="55">
        <v>46266.0</v>
      </c>
      <c r="R258" s="101"/>
      <c r="S258" s="44"/>
      <c r="T258" s="36"/>
      <c r="U258" s="4"/>
      <c r="V258" s="4"/>
      <c r="W258" s="4"/>
      <c r="X258" s="4"/>
      <c r="Y258" s="4"/>
      <c r="Z258" s="4"/>
    </row>
    <row r="259" ht="34.5" hidden="1" customHeight="1">
      <c r="A259" s="187">
        <v>254.0</v>
      </c>
      <c r="B259" s="62" t="s">
        <v>716</v>
      </c>
      <c r="C259" s="185" t="s">
        <v>559</v>
      </c>
      <c r="D259" s="185" t="s">
        <v>665</v>
      </c>
      <c r="E259" s="218"/>
      <c r="F259" s="219" t="s">
        <v>31</v>
      </c>
      <c r="G259" s="190">
        <v>1.0</v>
      </c>
      <c r="H259" s="151">
        <v>500000.0</v>
      </c>
      <c r="I259" s="177">
        <v>45736.0</v>
      </c>
      <c r="J259" s="73">
        <v>110000.0</v>
      </c>
      <c r="K259" s="73">
        <v>110000.0</v>
      </c>
      <c r="L259" s="26"/>
      <c r="M259" s="78"/>
      <c r="N259" s="177">
        <v>45775.0</v>
      </c>
      <c r="O259" s="110">
        <v>45803.0</v>
      </c>
      <c r="P259" s="69">
        <v>10000.0</v>
      </c>
      <c r="Q259" s="177">
        <v>46268.0</v>
      </c>
      <c r="R259" s="101"/>
      <c r="S259" s="44"/>
      <c r="T259" s="60" t="s">
        <v>717</v>
      </c>
      <c r="U259" s="4"/>
      <c r="V259" s="4"/>
      <c r="W259" s="4"/>
      <c r="X259" s="4"/>
      <c r="Y259" s="4"/>
      <c r="Z259" s="4"/>
    </row>
    <row r="260" ht="34.5" hidden="1" customHeight="1">
      <c r="A260" s="187">
        <v>255.0</v>
      </c>
      <c r="B260" s="62" t="s">
        <v>718</v>
      </c>
      <c r="C260" s="185" t="s">
        <v>559</v>
      </c>
      <c r="D260" s="185" t="s">
        <v>665</v>
      </c>
      <c r="E260" s="218"/>
      <c r="F260" s="219" t="s">
        <v>31</v>
      </c>
      <c r="G260" s="190">
        <v>1.0</v>
      </c>
      <c r="H260" s="151">
        <v>500000.0</v>
      </c>
      <c r="I260" s="177">
        <v>45775.0</v>
      </c>
      <c r="J260" s="73">
        <v>100000.0</v>
      </c>
      <c r="K260" s="73">
        <v>100000.0</v>
      </c>
      <c r="L260" s="26"/>
      <c r="M260" s="78"/>
      <c r="N260" s="177">
        <v>45803.0</v>
      </c>
      <c r="O260" s="110">
        <v>45834.0</v>
      </c>
      <c r="P260" s="69">
        <v>10000.0</v>
      </c>
      <c r="Q260" s="177">
        <v>46268.0</v>
      </c>
      <c r="R260" s="101"/>
      <c r="S260" s="44"/>
      <c r="T260" s="60" t="s">
        <v>719</v>
      </c>
      <c r="U260" s="4"/>
      <c r="V260" s="4"/>
      <c r="W260" s="4"/>
      <c r="X260" s="4"/>
      <c r="Y260" s="4"/>
      <c r="Z260" s="4"/>
    </row>
    <row r="261" ht="34.5" hidden="1" customHeight="1">
      <c r="A261" s="187">
        <v>256.0</v>
      </c>
      <c r="B261" s="20"/>
      <c r="C261" s="183" t="s">
        <v>444</v>
      </c>
      <c r="D261" s="183" t="s">
        <v>720</v>
      </c>
      <c r="E261" s="169" t="s">
        <v>721</v>
      </c>
      <c r="F261" s="202" t="s">
        <v>26</v>
      </c>
      <c r="G261" s="190">
        <v>5.0</v>
      </c>
      <c r="H261" s="151">
        <v>4000000.0</v>
      </c>
      <c r="I261" s="177">
        <v>46271.0</v>
      </c>
      <c r="J261" s="204">
        <v>1200000.0</v>
      </c>
      <c r="K261" s="53">
        <f>100000</f>
        <v>100000</v>
      </c>
      <c r="L261" s="26"/>
      <c r="M261" s="78"/>
      <c r="N261" s="28"/>
      <c r="O261" s="100"/>
      <c r="P261" s="30"/>
      <c r="Q261" s="177">
        <v>46272.0</v>
      </c>
      <c r="R261" s="101"/>
      <c r="S261" s="44"/>
      <c r="T261" s="36"/>
      <c r="U261" s="4"/>
      <c r="V261" s="4"/>
      <c r="W261" s="4"/>
      <c r="X261" s="4"/>
      <c r="Y261" s="4"/>
      <c r="Z261" s="4"/>
    </row>
    <row r="262" ht="34.5" hidden="1" customHeight="1">
      <c r="A262" s="187">
        <v>257.0</v>
      </c>
      <c r="B262" s="20"/>
      <c r="C262" s="185" t="s">
        <v>690</v>
      </c>
      <c r="D262" s="185" t="s">
        <v>722</v>
      </c>
      <c r="E262" s="174"/>
      <c r="F262" s="202" t="s">
        <v>26</v>
      </c>
      <c r="G262" s="190">
        <v>5.0</v>
      </c>
      <c r="H262" s="151">
        <v>5300000.0</v>
      </c>
      <c r="I262" s="177">
        <v>46271.0</v>
      </c>
      <c r="J262" s="151">
        <v>5300000.0</v>
      </c>
      <c r="K262" s="27">
        <f>900000+1000000+300000+2000000</f>
        <v>4200000</v>
      </c>
      <c r="L262" s="237">
        <v>46295.0</v>
      </c>
      <c r="M262" s="191">
        <v>100000.0</v>
      </c>
      <c r="N262" s="28"/>
      <c r="O262" s="100"/>
      <c r="P262" s="30"/>
      <c r="Q262" s="177">
        <v>46282.0</v>
      </c>
      <c r="R262" s="101"/>
      <c r="S262" s="44"/>
      <c r="T262" s="45" t="s">
        <v>562</v>
      </c>
      <c r="U262" s="4"/>
      <c r="V262" s="4"/>
      <c r="W262" s="4"/>
      <c r="X262" s="4"/>
      <c r="Y262" s="4"/>
      <c r="Z262" s="4"/>
    </row>
    <row r="263" ht="34.5" hidden="1" customHeight="1">
      <c r="A263" s="187">
        <v>258.0</v>
      </c>
      <c r="B263" s="194" t="s">
        <v>723</v>
      </c>
      <c r="C263" s="183" t="s">
        <v>444</v>
      </c>
      <c r="D263" s="183" t="s">
        <v>724</v>
      </c>
      <c r="E263" s="169" t="s">
        <v>394</v>
      </c>
      <c r="F263" s="219" t="s">
        <v>31</v>
      </c>
      <c r="G263" s="190">
        <v>1.0</v>
      </c>
      <c r="H263" s="151">
        <v>500000.0</v>
      </c>
      <c r="I263" s="177">
        <v>46273.0</v>
      </c>
      <c r="J263" s="27">
        <f t="shared" ref="J263:K263" si="18">50000</f>
        <v>50000</v>
      </c>
      <c r="K263" s="27">
        <f t="shared" si="18"/>
        <v>50000</v>
      </c>
      <c r="L263" s="26"/>
      <c r="M263" s="78"/>
      <c r="N263" s="177">
        <v>46273.0</v>
      </c>
      <c r="O263" s="197">
        <v>46320.0</v>
      </c>
      <c r="P263" s="69">
        <v>6000.0</v>
      </c>
      <c r="Q263" s="177">
        <v>46273.0</v>
      </c>
      <c r="R263" s="101"/>
      <c r="S263" s="44"/>
      <c r="T263" s="36"/>
      <c r="U263" s="4"/>
      <c r="V263" s="4"/>
      <c r="W263" s="4"/>
      <c r="X263" s="4"/>
      <c r="Y263" s="4"/>
      <c r="Z263" s="4"/>
    </row>
    <row r="264" ht="34.5" hidden="1" customHeight="1">
      <c r="A264" s="187">
        <v>259.0</v>
      </c>
      <c r="B264" s="213" t="s">
        <v>725</v>
      </c>
      <c r="C264" s="201" t="s">
        <v>639</v>
      </c>
      <c r="D264" s="201" t="s">
        <v>672</v>
      </c>
      <c r="E264" s="174"/>
      <c r="F264" s="202" t="s">
        <v>26</v>
      </c>
      <c r="G264" s="190">
        <v>3.0</v>
      </c>
      <c r="H264" s="151">
        <v>2550000.0</v>
      </c>
      <c r="I264" s="177">
        <v>46051.0</v>
      </c>
      <c r="J264" s="191">
        <v>800000.0</v>
      </c>
      <c r="K264" s="191">
        <v>800000.0</v>
      </c>
      <c r="L264" s="26"/>
      <c r="M264" s="78"/>
      <c r="N264" s="177">
        <v>46069.0</v>
      </c>
      <c r="O264" s="110">
        <v>45726.0</v>
      </c>
      <c r="P264" s="69">
        <v>48000.0</v>
      </c>
      <c r="Q264" s="177">
        <v>46286.0</v>
      </c>
      <c r="R264" s="101"/>
      <c r="S264" s="44"/>
      <c r="T264" s="60" t="s">
        <v>726</v>
      </c>
      <c r="U264" s="4"/>
      <c r="V264" s="4"/>
      <c r="W264" s="4"/>
      <c r="X264" s="4"/>
      <c r="Y264" s="4"/>
      <c r="Z264" s="4"/>
    </row>
    <row r="265" ht="34.5" hidden="1" customHeight="1">
      <c r="A265" s="187">
        <v>260.0</v>
      </c>
      <c r="B265" s="20"/>
      <c r="C265" s="185" t="s">
        <v>369</v>
      </c>
      <c r="D265" s="185" t="s">
        <v>727</v>
      </c>
      <c r="E265" s="212"/>
      <c r="F265" s="238" t="s">
        <v>26</v>
      </c>
      <c r="G265" s="239">
        <v>6.0</v>
      </c>
      <c r="H265" s="151">
        <v>3600000.0</v>
      </c>
      <c r="I265" s="237">
        <v>46274.0</v>
      </c>
      <c r="J265" s="114"/>
      <c r="K265" s="27">
        <f t="shared" ref="K265:K266" si="19">100000</f>
        <v>100000</v>
      </c>
      <c r="L265" s="26"/>
      <c r="M265" s="78"/>
      <c r="N265" s="28"/>
      <c r="O265" s="100"/>
      <c r="P265" s="30"/>
      <c r="Q265" s="177">
        <v>46275.0</v>
      </c>
      <c r="R265" s="101"/>
      <c r="S265" s="44"/>
      <c r="T265" s="36"/>
      <c r="U265" s="4"/>
      <c r="V265" s="4"/>
      <c r="W265" s="4"/>
      <c r="X265" s="4"/>
      <c r="Y265" s="4"/>
      <c r="Z265" s="4"/>
    </row>
    <row r="266" ht="34.5" hidden="1" customHeight="1">
      <c r="A266" s="187">
        <v>261.0</v>
      </c>
      <c r="B266" s="20"/>
      <c r="C266" s="185" t="s">
        <v>369</v>
      </c>
      <c r="D266" s="185" t="s">
        <v>728</v>
      </c>
      <c r="E266" s="212"/>
      <c r="F266" s="238" t="s">
        <v>26</v>
      </c>
      <c r="G266" s="239">
        <v>6.0</v>
      </c>
      <c r="H266" s="151">
        <v>3600000.0</v>
      </c>
      <c r="I266" s="237">
        <v>46274.0</v>
      </c>
      <c r="J266" s="114"/>
      <c r="K266" s="27">
        <f t="shared" si="19"/>
        <v>100000</v>
      </c>
      <c r="L266" s="26"/>
      <c r="M266" s="78"/>
      <c r="N266" s="28"/>
      <c r="O266" s="100"/>
      <c r="P266" s="30"/>
      <c r="Q266" s="177">
        <v>46275.0</v>
      </c>
      <c r="R266" s="101"/>
      <c r="S266" s="44"/>
      <c r="T266" s="36"/>
      <c r="U266" s="4"/>
      <c r="V266" s="4"/>
      <c r="W266" s="4"/>
      <c r="X266" s="4"/>
      <c r="Y266" s="4"/>
      <c r="Z266" s="4"/>
    </row>
    <row r="267" ht="34.5" hidden="1" customHeight="1">
      <c r="A267" s="187">
        <v>262.0</v>
      </c>
      <c r="B267" s="62" t="s">
        <v>729</v>
      </c>
      <c r="C267" s="185" t="s">
        <v>559</v>
      </c>
      <c r="D267" s="185" t="s">
        <v>537</v>
      </c>
      <c r="E267" s="174"/>
      <c r="F267" s="202" t="s">
        <v>480</v>
      </c>
      <c r="G267" s="190">
        <v>1.0</v>
      </c>
      <c r="H267" s="151">
        <v>200000.0</v>
      </c>
      <c r="I267" s="237">
        <v>44255.0</v>
      </c>
      <c r="J267" s="158">
        <v>50000.0</v>
      </c>
      <c r="K267" s="158">
        <v>50000.0</v>
      </c>
      <c r="L267" s="97"/>
      <c r="M267" s="78"/>
      <c r="N267" s="237">
        <v>44255.0</v>
      </c>
      <c r="O267" s="110">
        <v>44311.0</v>
      </c>
      <c r="P267" s="69">
        <v>3000.0</v>
      </c>
      <c r="Q267" s="177">
        <v>46278.0</v>
      </c>
      <c r="R267" s="101"/>
      <c r="S267" s="44"/>
      <c r="T267" s="60" t="s">
        <v>730</v>
      </c>
      <c r="U267" s="4"/>
      <c r="V267" s="4"/>
      <c r="W267" s="4"/>
      <c r="X267" s="4"/>
      <c r="Y267" s="4"/>
      <c r="Z267" s="4"/>
    </row>
    <row r="268" ht="34.5" hidden="1" customHeight="1">
      <c r="A268" s="187">
        <v>263.0</v>
      </c>
      <c r="B268" s="62" t="s">
        <v>731</v>
      </c>
      <c r="C268" s="185" t="s">
        <v>559</v>
      </c>
      <c r="D268" s="185" t="s">
        <v>537</v>
      </c>
      <c r="E268" s="174"/>
      <c r="F268" s="202" t="s">
        <v>480</v>
      </c>
      <c r="G268" s="190">
        <v>1.0</v>
      </c>
      <c r="H268" s="151">
        <v>200000.0</v>
      </c>
      <c r="I268" s="237">
        <v>44255.0</v>
      </c>
      <c r="J268" s="158">
        <v>50000.0</v>
      </c>
      <c r="K268" s="158">
        <v>50000.0</v>
      </c>
      <c r="L268" s="97"/>
      <c r="M268" s="78"/>
      <c r="N268" s="237">
        <v>44255.0</v>
      </c>
      <c r="O268" s="110">
        <v>44311.0</v>
      </c>
      <c r="P268" s="69">
        <v>3000.0</v>
      </c>
      <c r="Q268" s="177">
        <v>46278.0</v>
      </c>
      <c r="R268" s="101"/>
      <c r="S268" s="44"/>
      <c r="T268" s="60" t="s">
        <v>730</v>
      </c>
      <c r="U268" s="4"/>
      <c r="V268" s="4"/>
      <c r="W268" s="4"/>
      <c r="X268" s="4"/>
      <c r="Y268" s="4"/>
      <c r="Z268" s="4"/>
    </row>
    <row r="269" ht="34.5" hidden="1" customHeight="1">
      <c r="A269" s="187">
        <v>264.0</v>
      </c>
      <c r="B269" s="20"/>
      <c r="C269" s="185" t="s">
        <v>564</v>
      </c>
      <c r="D269" s="185" t="s">
        <v>732</v>
      </c>
      <c r="E269" s="174"/>
      <c r="F269" s="202" t="s">
        <v>31</v>
      </c>
      <c r="G269" s="190">
        <v>1.0</v>
      </c>
      <c r="H269" s="151">
        <v>300000.0</v>
      </c>
      <c r="I269" s="177">
        <v>46279.0</v>
      </c>
      <c r="J269" s="191">
        <v>200000.0</v>
      </c>
      <c r="K269" s="27">
        <f>10000</f>
        <v>10000</v>
      </c>
      <c r="L269" s="26"/>
      <c r="M269" s="78"/>
      <c r="N269" s="28"/>
      <c r="O269" s="100"/>
      <c r="P269" s="30"/>
      <c r="Q269" s="177">
        <v>46279.0</v>
      </c>
      <c r="R269" s="101"/>
      <c r="S269" s="44"/>
      <c r="T269" s="45" t="s">
        <v>562</v>
      </c>
      <c r="U269" s="4"/>
      <c r="V269" s="4"/>
      <c r="W269" s="4"/>
      <c r="X269" s="4"/>
      <c r="Y269" s="4"/>
      <c r="Z269" s="4"/>
    </row>
    <row r="270" ht="34.5" hidden="1" customHeight="1">
      <c r="A270" s="187">
        <v>265.0</v>
      </c>
      <c r="B270" s="62" t="s">
        <v>733</v>
      </c>
      <c r="C270" s="185" t="s">
        <v>559</v>
      </c>
      <c r="D270" s="185" t="s">
        <v>734</v>
      </c>
      <c r="E270" s="174"/>
      <c r="F270" s="202" t="s">
        <v>31</v>
      </c>
      <c r="G270" s="190">
        <v>1.0</v>
      </c>
      <c r="H270" s="151">
        <v>350000.0</v>
      </c>
      <c r="I270" s="240">
        <v>44605.0</v>
      </c>
      <c r="J270" s="158">
        <v>100000.0</v>
      </c>
      <c r="K270" s="158">
        <v>100000.0</v>
      </c>
      <c r="L270" s="97"/>
      <c r="M270" s="78"/>
      <c r="N270" s="240">
        <v>44616.0</v>
      </c>
      <c r="O270" s="197">
        <v>44647.0</v>
      </c>
      <c r="P270" s="69">
        <v>4100.0</v>
      </c>
      <c r="Q270" s="177">
        <v>46281.0</v>
      </c>
      <c r="R270" s="101"/>
      <c r="S270" s="44"/>
      <c r="T270" s="60" t="s">
        <v>735</v>
      </c>
      <c r="U270" s="4"/>
      <c r="V270" s="4"/>
      <c r="W270" s="4"/>
      <c r="X270" s="4"/>
      <c r="Y270" s="4"/>
      <c r="Z270" s="4"/>
    </row>
    <row r="271" ht="34.5" hidden="1" customHeight="1">
      <c r="A271" s="187">
        <v>266.0</v>
      </c>
      <c r="B271" s="62" t="s">
        <v>736</v>
      </c>
      <c r="C271" s="185" t="s">
        <v>559</v>
      </c>
      <c r="D271" s="185" t="s">
        <v>734</v>
      </c>
      <c r="E271" s="174"/>
      <c r="F271" s="202" t="s">
        <v>31</v>
      </c>
      <c r="G271" s="190">
        <v>1.0</v>
      </c>
      <c r="H271" s="151">
        <v>350000.0</v>
      </c>
      <c r="I271" s="240">
        <v>44605.0</v>
      </c>
      <c r="J271" s="158">
        <v>100000.0</v>
      </c>
      <c r="K271" s="158">
        <v>100000.0</v>
      </c>
      <c r="L271" s="97"/>
      <c r="M271" s="78"/>
      <c r="N271" s="240">
        <v>44616.0</v>
      </c>
      <c r="O271" s="197">
        <v>44647.0</v>
      </c>
      <c r="P271" s="69">
        <v>4100.0</v>
      </c>
      <c r="Q271" s="177">
        <v>46281.0</v>
      </c>
      <c r="R271" s="101"/>
      <c r="S271" s="44"/>
      <c r="T271" s="60" t="s">
        <v>735</v>
      </c>
      <c r="U271" s="4"/>
      <c r="V271" s="4"/>
      <c r="W271" s="4"/>
      <c r="X271" s="4"/>
      <c r="Y271" s="4"/>
      <c r="Z271" s="4"/>
    </row>
    <row r="272" ht="34.5" hidden="1" customHeight="1">
      <c r="A272" s="187">
        <v>267.0</v>
      </c>
      <c r="B272" s="62" t="s">
        <v>737</v>
      </c>
      <c r="C272" s="185" t="s">
        <v>559</v>
      </c>
      <c r="D272" s="185" t="s">
        <v>734</v>
      </c>
      <c r="E272" s="174"/>
      <c r="F272" s="202" t="s">
        <v>31</v>
      </c>
      <c r="G272" s="190">
        <v>1.0</v>
      </c>
      <c r="H272" s="151">
        <v>350000.0</v>
      </c>
      <c r="I272" s="240">
        <v>44605.0</v>
      </c>
      <c r="J272" s="158">
        <v>100000.0</v>
      </c>
      <c r="K272" s="158">
        <v>100000.0</v>
      </c>
      <c r="L272" s="97"/>
      <c r="M272" s="78"/>
      <c r="N272" s="240">
        <v>44616.0</v>
      </c>
      <c r="O272" s="197">
        <v>44647.0</v>
      </c>
      <c r="P272" s="69">
        <v>4100.0</v>
      </c>
      <c r="Q272" s="177">
        <v>46281.0</v>
      </c>
      <c r="R272" s="101"/>
      <c r="S272" s="44"/>
      <c r="T272" s="60" t="s">
        <v>735</v>
      </c>
      <c r="U272" s="4"/>
      <c r="V272" s="4"/>
      <c r="W272" s="4"/>
      <c r="X272" s="4"/>
      <c r="Y272" s="4"/>
      <c r="Z272" s="4"/>
    </row>
    <row r="273" ht="34.5" hidden="1" customHeight="1">
      <c r="A273" s="187">
        <v>268.0</v>
      </c>
      <c r="B273" s="62" t="s">
        <v>738</v>
      </c>
      <c r="C273" s="185" t="s">
        <v>559</v>
      </c>
      <c r="D273" s="185" t="s">
        <v>739</v>
      </c>
      <c r="E273" s="174"/>
      <c r="F273" s="202" t="s">
        <v>31</v>
      </c>
      <c r="G273" s="190">
        <v>1.0</v>
      </c>
      <c r="H273" s="151">
        <v>350000.0</v>
      </c>
      <c r="I273" s="240">
        <v>44605.0</v>
      </c>
      <c r="J273" s="158">
        <v>100000.0</v>
      </c>
      <c r="K273" s="158">
        <v>100000.0</v>
      </c>
      <c r="L273" s="97"/>
      <c r="M273" s="78"/>
      <c r="N273" s="240">
        <v>44616.0</v>
      </c>
      <c r="O273" s="197">
        <v>44647.0</v>
      </c>
      <c r="P273" s="69">
        <v>4100.0</v>
      </c>
      <c r="Q273" s="177">
        <v>46281.0</v>
      </c>
      <c r="R273" s="101"/>
      <c r="S273" s="44"/>
      <c r="T273" s="60" t="s">
        <v>735</v>
      </c>
      <c r="U273" s="4"/>
      <c r="V273" s="4"/>
      <c r="W273" s="4"/>
      <c r="X273" s="4"/>
      <c r="Y273" s="4"/>
      <c r="Z273" s="4"/>
    </row>
    <row r="274" ht="34.5" hidden="1" customHeight="1">
      <c r="A274" s="187">
        <v>269.0</v>
      </c>
      <c r="B274" s="62" t="s">
        <v>740</v>
      </c>
      <c r="C274" s="185" t="s">
        <v>559</v>
      </c>
      <c r="D274" s="185" t="s">
        <v>739</v>
      </c>
      <c r="E274" s="174"/>
      <c r="F274" s="202" t="s">
        <v>31</v>
      </c>
      <c r="G274" s="190">
        <v>1.0</v>
      </c>
      <c r="H274" s="151">
        <v>350000.0</v>
      </c>
      <c r="I274" s="240">
        <v>44605.0</v>
      </c>
      <c r="J274" s="158">
        <v>100000.0</v>
      </c>
      <c r="K274" s="158">
        <v>100000.0</v>
      </c>
      <c r="L274" s="97"/>
      <c r="M274" s="78"/>
      <c r="N274" s="240">
        <v>44616.0</v>
      </c>
      <c r="O274" s="197">
        <v>44647.0</v>
      </c>
      <c r="P274" s="69">
        <v>4100.0</v>
      </c>
      <c r="Q274" s="177">
        <v>46281.0</v>
      </c>
      <c r="R274" s="101"/>
      <c r="S274" s="44"/>
      <c r="T274" s="60" t="s">
        <v>735</v>
      </c>
      <c r="U274" s="4"/>
      <c r="V274" s="4"/>
      <c r="W274" s="4"/>
      <c r="X274" s="4"/>
      <c r="Y274" s="4"/>
      <c r="Z274" s="4"/>
    </row>
    <row r="275" ht="34.5" hidden="1" customHeight="1">
      <c r="A275" s="187">
        <v>270.0</v>
      </c>
      <c r="B275" s="20"/>
      <c r="C275" s="185" t="s">
        <v>639</v>
      </c>
      <c r="D275" s="185" t="s">
        <v>741</v>
      </c>
      <c r="E275" s="174"/>
      <c r="F275" s="202" t="s">
        <v>480</v>
      </c>
      <c r="G275" s="190">
        <v>1.0</v>
      </c>
      <c r="H275" s="151">
        <v>250000.0</v>
      </c>
      <c r="I275" s="177">
        <v>46282.0</v>
      </c>
      <c r="J275" s="114"/>
      <c r="K275" s="27">
        <f>20000</f>
        <v>20000</v>
      </c>
      <c r="L275" s="26"/>
      <c r="M275" s="78"/>
      <c r="N275" s="28"/>
      <c r="O275" s="100"/>
      <c r="P275" s="30"/>
      <c r="Q275" s="177">
        <v>46282.0</v>
      </c>
      <c r="R275" s="101"/>
      <c r="S275" s="44"/>
      <c r="T275" s="36"/>
      <c r="U275" s="4"/>
      <c r="V275" s="4"/>
      <c r="W275" s="4"/>
      <c r="X275" s="4"/>
      <c r="Y275" s="4"/>
      <c r="Z275" s="4"/>
    </row>
    <row r="276" ht="34.5" hidden="1" customHeight="1">
      <c r="A276" s="187">
        <v>271.0</v>
      </c>
      <c r="B276" s="62" t="s">
        <v>742</v>
      </c>
      <c r="C276" s="185" t="s">
        <v>622</v>
      </c>
      <c r="D276" s="188" t="s">
        <v>743</v>
      </c>
      <c r="E276" s="174"/>
      <c r="F276" s="202" t="s">
        <v>31</v>
      </c>
      <c r="G276" s="190">
        <v>1.0</v>
      </c>
      <c r="H276" s="151">
        <v>500000.0</v>
      </c>
      <c r="I276" s="177">
        <v>46042.0</v>
      </c>
      <c r="J276" s="158">
        <v>150000.0</v>
      </c>
      <c r="K276" s="158">
        <v>150000.0</v>
      </c>
      <c r="L276" s="97"/>
      <c r="M276" s="78"/>
      <c r="N276" s="177">
        <v>46049.0</v>
      </c>
      <c r="O276" s="110">
        <v>46073.0</v>
      </c>
      <c r="P276" s="69">
        <v>8000.0</v>
      </c>
      <c r="Q276" s="177">
        <v>46286.0</v>
      </c>
      <c r="R276" s="101"/>
      <c r="S276" s="44"/>
      <c r="T276" s="60" t="s">
        <v>47</v>
      </c>
      <c r="U276" s="4"/>
      <c r="V276" s="4"/>
      <c r="W276" s="4"/>
      <c r="X276" s="4"/>
      <c r="Y276" s="4"/>
      <c r="Z276" s="4"/>
    </row>
    <row r="277" ht="34.5" hidden="1" customHeight="1">
      <c r="A277" s="187">
        <v>272.0</v>
      </c>
      <c r="B277" s="62" t="s">
        <v>744</v>
      </c>
      <c r="C277" s="185" t="s">
        <v>622</v>
      </c>
      <c r="D277" s="185" t="s">
        <v>745</v>
      </c>
      <c r="E277" s="174"/>
      <c r="F277" s="202" t="s">
        <v>31</v>
      </c>
      <c r="G277" s="190">
        <v>1.0</v>
      </c>
      <c r="H277" s="151">
        <v>500000.0</v>
      </c>
      <c r="I277" s="177">
        <v>46023.0</v>
      </c>
      <c r="J277" s="158">
        <v>150000.0</v>
      </c>
      <c r="K277" s="158">
        <v>150000.0</v>
      </c>
      <c r="L277" s="97"/>
      <c r="M277" s="78"/>
      <c r="N277" s="177">
        <v>46049.0</v>
      </c>
      <c r="O277" s="110">
        <v>46082.0</v>
      </c>
      <c r="P277" s="69">
        <v>20000.0</v>
      </c>
      <c r="Q277" s="177">
        <v>46286.0</v>
      </c>
      <c r="R277" s="101"/>
      <c r="S277" s="44"/>
      <c r="T277" s="60" t="s">
        <v>144</v>
      </c>
      <c r="U277" s="4"/>
      <c r="V277" s="4"/>
      <c r="W277" s="4"/>
      <c r="X277" s="4"/>
      <c r="Y277" s="4"/>
      <c r="Z277" s="4"/>
    </row>
    <row r="278" ht="34.5" customHeight="1">
      <c r="A278" s="187">
        <v>273.0</v>
      </c>
      <c r="B278" s="20"/>
      <c r="C278" s="185" t="s">
        <v>342</v>
      </c>
      <c r="D278" s="185" t="s">
        <v>413</v>
      </c>
      <c r="E278" s="22" t="s">
        <v>414</v>
      </c>
      <c r="F278" s="202" t="s">
        <v>586</v>
      </c>
      <c r="G278" s="190">
        <v>2.0</v>
      </c>
      <c r="H278" s="151">
        <v>250000.0</v>
      </c>
      <c r="I278" s="177">
        <v>46288.0</v>
      </c>
      <c r="J278" s="109">
        <f t="shared" ref="J278:K278" si="20">100000+150000</f>
        <v>250000</v>
      </c>
      <c r="K278" s="109">
        <f t="shared" si="20"/>
        <v>250000</v>
      </c>
      <c r="L278" s="96" t="s">
        <v>183</v>
      </c>
      <c r="M278" s="78"/>
      <c r="N278" s="177">
        <v>46291.0</v>
      </c>
      <c r="O278" s="100"/>
      <c r="P278" s="30"/>
      <c r="Q278" s="177">
        <v>46291.0</v>
      </c>
      <c r="R278" s="101"/>
      <c r="S278" s="44"/>
      <c r="T278" s="236" t="s">
        <v>117</v>
      </c>
      <c r="U278" s="4"/>
      <c r="V278" s="4"/>
      <c r="W278" s="4"/>
      <c r="X278" s="4"/>
      <c r="Y278" s="4"/>
      <c r="Z278" s="4"/>
    </row>
    <row r="279" ht="34.5" hidden="1" customHeight="1">
      <c r="A279" s="187">
        <v>274.0</v>
      </c>
      <c r="B279" s="20"/>
      <c r="C279" s="185" t="s">
        <v>198</v>
      </c>
      <c r="D279" s="185" t="s">
        <v>746</v>
      </c>
      <c r="E279" s="174"/>
      <c r="F279" s="202" t="s">
        <v>31</v>
      </c>
      <c r="G279" s="190">
        <v>3.0</v>
      </c>
      <c r="H279" s="151">
        <v>750000.0</v>
      </c>
      <c r="I279" s="177">
        <v>46289.0</v>
      </c>
      <c r="J279" s="78"/>
      <c r="K279" s="73">
        <f>300000+200000</f>
        <v>500000</v>
      </c>
      <c r="L279" s="26"/>
      <c r="M279" s="78"/>
      <c r="N279" s="28"/>
      <c r="O279" s="100"/>
      <c r="P279" s="30"/>
      <c r="Q279" s="177">
        <v>46290.0</v>
      </c>
      <c r="R279" s="101"/>
      <c r="S279" s="44"/>
      <c r="T279" s="45" t="s">
        <v>562</v>
      </c>
      <c r="U279" s="4"/>
      <c r="V279" s="4"/>
      <c r="W279" s="4"/>
      <c r="X279" s="4"/>
      <c r="Y279" s="4"/>
      <c r="Z279" s="4"/>
    </row>
    <row r="280" ht="34.5" hidden="1" customHeight="1">
      <c r="A280" s="187">
        <v>275.0</v>
      </c>
      <c r="B280" s="20"/>
      <c r="C280" s="51"/>
      <c r="D280" s="51"/>
      <c r="E280" s="146"/>
      <c r="F280" s="23"/>
      <c r="G280" s="24"/>
      <c r="H280" s="25"/>
      <c r="I280" s="26"/>
      <c r="J280" s="78"/>
      <c r="K280" s="27"/>
      <c r="L280" s="26"/>
      <c r="M280" s="78"/>
      <c r="N280" s="28"/>
      <c r="O280" s="100"/>
      <c r="P280" s="30"/>
      <c r="Q280" s="28"/>
      <c r="R280" s="101"/>
      <c r="S280" s="44"/>
      <c r="T280" s="36"/>
      <c r="U280" s="4"/>
      <c r="V280" s="4"/>
      <c r="W280" s="4"/>
      <c r="X280" s="4"/>
      <c r="Y280" s="4"/>
      <c r="Z280" s="4"/>
    </row>
    <row r="281" ht="34.5" hidden="1" customHeight="1">
      <c r="A281" s="187">
        <v>276.0</v>
      </c>
      <c r="B281" s="20"/>
      <c r="C281" s="51"/>
      <c r="D281" s="51"/>
      <c r="E281" s="146"/>
      <c r="F281" s="23"/>
      <c r="G281" s="24"/>
      <c r="H281" s="25"/>
      <c r="I281" s="26"/>
      <c r="J281" s="78"/>
      <c r="K281" s="27"/>
      <c r="L281" s="26"/>
      <c r="M281" s="78"/>
      <c r="N281" s="28"/>
      <c r="O281" s="100"/>
      <c r="P281" s="30"/>
      <c r="Q281" s="28"/>
      <c r="R281" s="101"/>
      <c r="S281" s="44"/>
      <c r="T281" s="36"/>
      <c r="U281" s="4"/>
      <c r="V281" s="4"/>
      <c r="W281" s="4"/>
      <c r="X281" s="4"/>
      <c r="Y281" s="4"/>
      <c r="Z281" s="4"/>
    </row>
    <row r="282" ht="34.5" hidden="1" customHeight="1">
      <c r="A282" s="187">
        <v>277.0</v>
      </c>
      <c r="B282" s="20"/>
      <c r="C282" s="51"/>
      <c r="D282" s="51"/>
      <c r="E282" s="146"/>
      <c r="F282" s="23"/>
      <c r="G282" s="24"/>
      <c r="H282" s="25"/>
      <c r="I282" s="26"/>
      <c r="J282" s="78"/>
      <c r="K282" s="27"/>
      <c r="L282" s="26"/>
      <c r="M282" s="78"/>
      <c r="N282" s="28"/>
      <c r="O282" s="100"/>
      <c r="P282" s="30"/>
      <c r="Q282" s="28"/>
      <c r="R282" s="101"/>
      <c r="S282" s="44"/>
      <c r="T282" s="36"/>
      <c r="U282" s="4"/>
      <c r="V282" s="4"/>
      <c r="W282" s="4"/>
      <c r="X282" s="4"/>
      <c r="Y282" s="4"/>
      <c r="Z282" s="4"/>
    </row>
    <row r="283" ht="34.5" hidden="1" customHeight="1">
      <c r="A283" s="187">
        <v>278.0</v>
      </c>
      <c r="B283" s="20"/>
      <c r="C283" s="51"/>
      <c r="D283" s="51"/>
      <c r="E283" s="146"/>
      <c r="F283" s="23"/>
      <c r="G283" s="24"/>
      <c r="H283" s="25"/>
      <c r="I283" s="26"/>
      <c r="J283" s="78"/>
      <c r="K283" s="27"/>
      <c r="L283" s="26"/>
      <c r="M283" s="78"/>
      <c r="N283" s="28"/>
      <c r="O283" s="100"/>
      <c r="P283" s="30"/>
      <c r="Q283" s="28"/>
      <c r="R283" s="101"/>
      <c r="S283" s="44"/>
      <c r="T283" s="36"/>
      <c r="U283" s="4"/>
      <c r="V283" s="4"/>
      <c r="W283" s="4"/>
      <c r="X283" s="4"/>
      <c r="Y283" s="4"/>
      <c r="Z283" s="4"/>
    </row>
    <row r="284" ht="34.5" hidden="1" customHeight="1">
      <c r="A284" s="187">
        <v>279.0</v>
      </c>
      <c r="B284" s="20"/>
      <c r="C284" s="51"/>
      <c r="D284" s="51"/>
      <c r="E284" s="146"/>
      <c r="F284" s="23"/>
      <c r="G284" s="24"/>
      <c r="H284" s="25"/>
      <c r="I284" s="26"/>
      <c r="J284" s="78"/>
      <c r="K284" s="27"/>
      <c r="L284" s="26"/>
      <c r="M284" s="78"/>
      <c r="N284" s="28"/>
      <c r="O284" s="100"/>
      <c r="P284" s="30"/>
      <c r="Q284" s="28"/>
      <c r="R284" s="101"/>
      <c r="S284" s="44"/>
      <c r="T284" s="36"/>
      <c r="U284" s="4"/>
      <c r="V284" s="4"/>
      <c r="W284" s="4"/>
      <c r="X284" s="4"/>
      <c r="Y284" s="4"/>
      <c r="Z284" s="4"/>
    </row>
    <row r="285" ht="34.5" hidden="1" customHeight="1">
      <c r="A285" s="187">
        <v>280.0</v>
      </c>
      <c r="B285" s="20"/>
      <c r="C285" s="51"/>
      <c r="D285" s="51"/>
      <c r="E285" s="146"/>
      <c r="F285" s="23"/>
      <c r="G285" s="24"/>
      <c r="H285" s="25"/>
      <c r="I285" s="26"/>
      <c r="J285" s="78"/>
      <c r="K285" s="27"/>
      <c r="L285" s="26"/>
      <c r="M285" s="78"/>
      <c r="N285" s="28"/>
      <c r="O285" s="100"/>
      <c r="P285" s="30"/>
      <c r="Q285" s="28"/>
      <c r="R285" s="101"/>
      <c r="S285" s="44"/>
      <c r="T285" s="36"/>
      <c r="U285" s="4"/>
      <c r="V285" s="4"/>
      <c r="W285" s="4"/>
      <c r="X285" s="4"/>
      <c r="Y285" s="4"/>
      <c r="Z285" s="4"/>
    </row>
    <row r="286" ht="34.5" hidden="1" customHeight="1">
      <c r="A286" s="187">
        <v>281.0</v>
      </c>
      <c r="B286" s="20"/>
      <c r="C286" s="51"/>
      <c r="D286" s="51"/>
      <c r="E286" s="146"/>
      <c r="F286" s="23"/>
      <c r="G286" s="24"/>
      <c r="H286" s="25"/>
      <c r="I286" s="26"/>
      <c r="J286" s="78"/>
      <c r="K286" s="27"/>
      <c r="L286" s="26"/>
      <c r="M286" s="78"/>
      <c r="N286" s="28"/>
      <c r="O286" s="100"/>
      <c r="P286" s="30"/>
      <c r="Q286" s="28"/>
      <c r="R286" s="101"/>
      <c r="S286" s="44"/>
      <c r="T286" s="36"/>
      <c r="U286" s="4"/>
      <c r="V286" s="4"/>
      <c r="W286" s="4"/>
      <c r="X286" s="4"/>
      <c r="Y286" s="4"/>
      <c r="Z286" s="4"/>
    </row>
    <row r="287" ht="34.5" hidden="1" customHeight="1">
      <c r="A287" s="187">
        <v>282.0</v>
      </c>
      <c r="B287" s="20"/>
      <c r="C287" s="51"/>
      <c r="D287" s="51"/>
      <c r="E287" s="146"/>
      <c r="F287" s="23"/>
      <c r="G287" s="24"/>
      <c r="H287" s="25"/>
      <c r="I287" s="26"/>
      <c r="J287" s="78"/>
      <c r="K287" s="27"/>
      <c r="L287" s="26"/>
      <c r="M287" s="78"/>
      <c r="N287" s="28"/>
      <c r="O287" s="100"/>
      <c r="P287" s="30"/>
      <c r="Q287" s="28"/>
      <c r="R287" s="101"/>
      <c r="S287" s="44"/>
      <c r="T287" s="36"/>
      <c r="U287" s="4"/>
      <c r="V287" s="4"/>
      <c r="W287" s="4"/>
      <c r="X287" s="4"/>
      <c r="Y287" s="4"/>
      <c r="Z287" s="4"/>
    </row>
    <row r="288" ht="34.5" hidden="1" customHeight="1">
      <c r="A288" s="187">
        <v>283.0</v>
      </c>
      <c r="B288" s="20"/>
      <c r="C288" s="51"/>
      <c r="D288" s="51"/>
      <c r="E288" s="146"/>
      <c r="F288" s="23"/>
      <c r="G288" s="24"/>
      <c r="H288" s="25"/>
      <c r="I288" s="26"/>
      <c r="J288" s="78"/>
      <c r="K288" s="27"/>
      <c r="L288" s="26"/>
      <c r="M288" s="78"/>
      <c r="N288" s="28"/>
      <c r="O288" s="100"/>
      <c r="P288" s="30"/>
      <c r="Q288" s="28"/>
      <c r="R288" s="101"/>
      <c r="S288" s="44"/>
      <c r="T288" s="36"/>
      <c r="U288" s="4"/>
      <c r="V288" s="4"/>
      <c r="W288" s="4"/>
      <c r="X288" s="4"/>
      <c r="Y288" s="4"/>
      <c r="Z288" s="4"/>
    </row>
    <row r="289" ht="34.5" hidden="1" customHeight="1">
      <c r="A289" s="187">
        <v>284.0</v>
      </c>
      <c r="B289" s="20"/>
      <c r="C289" s="51"/>
      <c r="D289" s="51"/>
      <c r="E289" s="146"/>
      <c r="F289" s="23"/>
      <c r="G289" s="24"/>
      <c r="H289" s="25"/>
      <c r="I289" s="26"/>
      <c r="J289" s="78"/>
      <c r="K289" s="27"/>
      <c r="L289" s="26"/>
      <c r="M289" s="78"/>
      <c r="N289" s="28"/>
      <c r="O289" s="100"/>
      <c r="P289" s="30"/>
      <c r="Q289" s="28"/>
      <c r="R289" s="101"/>
      <c r="S289" s="44"/>
      <c r="T289" s="36"/>
      <c r="U289" s="4"/>
      <c r="V289" s="4"/>
      <c r="W289" s="4"/>
      <c r="X289" s="4"/>
      <c r="Y289" s="4"/>
      <c r="Z289" s="4"/>
    </row>
    <row r="290" ht="34.5" hidden="1" customHeight="1">
      <c r="A290" s="187">
        <v>285.0</v>
      </c>
      <c r="B290" s="20"/>
      <c r="C290" s="51"/>
      <c r="D290" s="51"/>
      <c r="E290" s="146"/>
      <c r="F290" s="23"/>
      <c r="G290" s="24"/>
      <c r="H290" s="25"/>
      <c r="I290" s="26"/>
      <c r="J290" s="78"/>
      <c r="K290" s="27"/>
      <c r="L290" s="26"/>
      <c r="M290" s="78"/>
      <c r="N290" s="28"/>
      <c r="O290" s="100"/>
      <c r="P290" s="30"/>
      <c r="Q290" s="28"/>
      <c r="R290" s="101"/>
      <c r="S290" s="44"/>
      <c r="T290" s="36"/>
      <c r="U290" s="4"/>
      <c r="V290" s="4"/>
      <c r="W290" s="4"/>
      <c r="X290" s="4"/>
      <c r="Y290" s="4"/>
      <c r="Z290" s="4"/>
    </row>
    <row r="291" ht="34.5" hidden="1" customHeight="1">
      <c r="A291" s="187">
        <v>286.0</v>
      </c>
      <c r="B291" s="20"/>
      <c r="C291" s="51"/>
      <c r="D291" s="51"/>
      <c r="E291" s="146"/>
      <c r="F291" s="23"/>
      <c r="G291" s="24"/>
      <c r="H291" s="25"/>
      <c r="I291" s="26"/>
      <c r="J291" s="78"/>
      <c r="K291" s="27"/>
      <c r="L291" s="26"/>
      <c r="M291" s="78"/>
      <c r="N291" s="28"/>
      <c r="O291" s="100"/>
      <c r="P291" s="30"/>
      <c r="Q291" s="28"/>
      <c r="R291" s="101"/>
      <c r="S291" s="44"/>
      <c r="T291" s="36"/>
      <c r="U291" s="4"/>
      <c r="V291" s="4"/>
      <c r="W291" s="4"/>
      <c r="X291" s="4"/>
      <c r="Y291" s="4"/>
      <c r="Z291" s="4"/>
    </row>
    <row r="292" ht="34.5" hidden="1" customHeight="1">
      <c r="A292" s="187">
        <v>287.0</v>
      </c>
      <c r="B292" s="20"/>
      <c r="C292" s="51"/>
      <c r="D292" s="51"/>
      <c r="E292" s="146"/>
      <c r="F292" s="23"/>
      <c r="G292" s="24"/>
      <c r="H292" s="25"/>
      <c r="I292" s="26"/>
      <c r="J292" s="78"/>
      <c r="K292" s="27"/>
      <c r="L292" s="26"/>
      <c r="M292" s="78"/>
      <c r="N292" s="28"/>
      <c r="O292" s="100"/>
      <c r="P292" s="30"/>
      <c r="Q292" s="28"/>
      <c r="R292" s="101"/>
      <c r="S292" s="44"/>
      <c r="T292" s="36"/>
      <c r="U292" s="4"/>
      <c r="V292" s="4"/>
      <c r="W292" s="4"/>
      <c r="X292" s="4"/>
      <c r="Y292" s="4"/>
      <c r="Z292" s="4"/>
    </row>
    <row r="293" ht="34.5" hidden="1" customHeight="1">
      <c r="A293" s="187">
        <v>288.0</v>
      </c>
      <c r="B293" s="20"/>
      <c r="C293" s="51"/>
      <c r="D293" s="51"/>
      <c r="E293" s="146"/>
      <c r="F293" s="23"/>
      <c r="G293" s="24"/>
      <c r="H293" s="25"/>
      <c r="I293" s="26"/>
      <c r="J293" s="78"/>
      <c r="K293" s="27"/>
      <c r="L293" s="26"/>
      <c r="M293" s="78"/>
      <c r="N293" s="28"/>
      <c r="O293" s="100"/>
      <c r="P293" s="30"/>
      <c r="Q293" s="28"/>
      <c r="R293" s="101"/>
      <c r="S293" s="44"/>
      <c r="T293" s="36"/>
      <c r="U293" s="4"/>
      <c r="V293" s="4"/>
      <c r="W293" s="4"/>
      <c r="X293" s="4"/>
      <c r="Y293" s="4"/>
      <c r="Z293" s="4"/>
    </row>
    <row r="294" ht="34.5" hidden="1" customHeight="1">
      <c r="A294" s="187">
        <v>289.0</v>
      </c>
      <c r="B294" s="20"/>
      <c r="C294" s="51"/>
      <c r="D294" s="51"/>
      <c r="E294" s="146"/>
      <c r="F294" s="23"/>
      <c r="G294" s="24"/>
      <c r="H294" s="25"/>
      <c r="I294" s="26"/>
      <c r="J294" s="78"/>
      <c r="K294" s="27"/>
      <c r="L294" s="26"/>
      <c r="M294" s="78"/>
      <c r="N294" s="28"/>
      <c r="O294" s="100"/>
      <c r="P294" s="30"/>
      <c r="Q294" s="28"/>
      <c r="R294" s="101"/>
      <c r="S294" s="44"/>
      <c r="T294" s="36"/>
      <c r="U294" s="4"/>
      <c r="V294" s="4"/>
      <c r="W294" s="4"/>
      <c r="X294" s="4"/>
      <c r="Y294" s="4"/>
      <c r="Z294" s="4"/>
    </row>
    <row r="295" ht="34.5" hidden="1" customHeight="1">
      <c r="A295" s="187">
        <v>290.0</v>
      </c>
      <c r="B295" s="20"/>
      <c r="C295" s="51"/>
      <c r="D295" s="51"/>
      <c r="E295" s="146"/>
      <c r="F295" s="23"/>
      <c r="G295" s="24"/>
      <c r="H295" s="25"/>
      <c r="I295" s="26"/>
      <c r="J295" s="78"/>
      <c r="K295" s="27"/>
      <c r="L295" s="26"/>
      <c r="M295" s="78"/>
      <c r="N295" s="28"/>
      <c r="O295" s="100"/>
      <c r="P295" s="30"/>
      <c r="Q295" s="28"/>
      <c r="R295" s="101"/>
      <c r="S295" s="44"/>
      <c r="T295" s="36"/>
      <c r="U295" s="4"/>
      <c r="V295" s="4"/>
      <c r="W295" s="4"/>
      <c r="X295" s="4"/>
      <c r="Y295" s="4"/>
      <c r="Z295" s="4"/>
    </row>
    <row r="296" ht="34.5" hidden="1" customHeight="1">
      <c r="A296" s="187">
        <v>291.0</v>
      </c>
      <c r="B296" s="20"/>
      <c r="C296" s="51"/>
      <c r="D296" s="51"/>
      <c r="E296" s="146"/>
      <c r="F296" s="23"/>
      <c r="G296" s="24"/>
      <c r="H296" s="25"/>
      <c r="I296" s="26"/>
      <c r="J296" s="78"/>
      <c r="K296" s="27"/>
      <c r="L296" s="26"/>
      <c r="M296" s="78"/>
      <c r="N296" s="28"/>
      <c r="O296" s="100"/>
      <c r="P296" s="30"/>
      <c r="Q296" s="28"/>
      <c r="R296" s="101"/>
      <c r="S296" s="44"/>
      <c r="T296" s="36"/>
      <c r="U296" s="4"/>
      <c r="V296" s="4"/>
      <c r="W296" s="4"/>
      <c r="X296" s="4"/>
      <c r="Y296" s="4"/>
      <c r="Z296" s="4"/>
    </row>
    <row r="297" ht="34.5" hidden="1" customHeight="1">
      <c r="A297" s="187">
        <v>292.0</v>
      </c>
      <c r="B297" s="20"/>
      <c r="C297" s="51"/>
      <c r="D297" s="51"/>
      <c r="E297" s="146"/>
      <c r="F297" s="23"/>
      <c r="G297" s="24"/>
      <c r="H297" s="25"/>
      <c r="I297" s="26"/>
      <c r="J297" s="78"/>
      <c r="K297" s="27"/>
      <c r="L297" s="26"/>
      <c r="M297" s="78"/>
      <c r="N297" s="28"/>
      <c r="O297" s="100"/>
      <c r="P297" s="30"/>
      <c r="Q297" s="28"/>
      <c r="R297" s="101"/>
      <c r="S297" s="44"/>
      <c r="T297" s="36"/>
      <c r="U297" s="4"/>
      <c r="V297" s="4"/>
      <c r="W297" s="4"/>
      <c r="X297" s="4"/>
      <c r="Y297" s="4"/>
      <c r="Z297" s="4"/>
    </row>
    <row r="298" ht="34.5" hidden="1" customHeight="1">
      <c r="A298" s="187">
        <v>293.0</v>
      </c>
      <c r="B298" s="20"/>
      <c r="C298" s="51"/>
      <c r="D298" s="51"/>
      <c r="E298" s="146"/>
      <c r="F298" s="23"/>
      <c r="G298" s="24"/>
      <c r="H298" s="25"/>
      <c r="I298" s="26"/>
      <c r="J298" s="78"/>
      <c r="K298" s="27"/>
      <c r="L298" s="26"/>
      <c r="M298" s="78"/>
      <c r="N298" s="28"/>
      <c r="O298" s="100"/>
      <c r="P298" s="30"/>
      <c r="Q298" s="28"/>
      <c r="R298" s="101"/>
      <c r="S298" s="44"/>
      <c r="T298" s="36"/>
      <c r="U298" s="4"/>
      <c r="V298" s="4"/>
      <c r="W298" s="4"/>
      <c r="X298" s="4"/>
      <c r="Y298" s="4"/>
      <c r="Z298" s="4"/>
    </row>
    <row r="299" ht="34.5" hidden="1" customHeight="1">
      <c r="A299" s="187">
        <v>294.0</v>
      </c>
      <c r="B299" s="20"/>
      <c r="C299" s="51"/>
      <c r="D299" s="51"/>
      <c r="E299" s="146"/>
      <c r="F299" s="23"/>
      <c r="G299" s="24"/>
      <c r="H299" s="25"/>
      <c r="I299" s="26"/>
      <c r="J299" s="78"/>
      <c r="K299" s="27"/>
      <c r="L299" s="26"/>
      <c r="M299" s="78"/>
      <c r="N299" s="28"/>
      <c r="O299" s="100"/>
      <c r="P299" s="30"/>
      <c r="Q299" s="28"/>
      <c r="R299" s="101"/>
      <c r="S299" s="44"/>
      <c r="T299" s="36"/>
      <c r="U299" s="4"/>
      <c r="V299" s="4"/>
      <c r="W299" s="4"/>
      <c r="X299" s="4"/>
      <c r="Y299" s="4"/>
      <c r="Z299" s="4"/>
    </row>
    <row r="300" ht="34.5" hidden="1" customHeight="1">
      <c r="A300" s="187">
        <v>295.0</v>
      </c>
      <c r="B300" s="20"/>
      <c r="C300" s="51"/>
      <c r="D300" s="51"/>
      <c r="E300" s="146"/>
      <c r="F300" s="23"/>
      <c r="G300" s="24"/>
      <c r="H300" s="25"/>
      <c r="I300" s="26"/>
      <c r="J300" s="78"/>
      <c r="K300" s="27"/>
      <c r="L300" s="26"/>
      <c r="M300" s="78"/>
      <c r="N300" s="28"/>
      <c r="O300" s="100"/>
      <c r="P300" s="30"/>
      <c r="Q300" s="28"/>
      <c r="R300" s="101"/>
      <c r="S300" s="44"/>
      <c r="T300" s="36"/>
      <c r="U300" s="4"/>
      <c r="V300" s="4"/>
      <c r="W300" s="4"/>
      <c r="X300" s="4"/>
      <c r="Y300" s="4"/>
      <c r="Z300" s="4"/>
    </row>
    <row r="301" ht="34.5" hidden="1" customHeight="1">
      <c r="A301" s="187">
        <v>296.0</v>
      </c>
      <c r="B301" s="20"/>
      <c r="C301" s="51"/>
      <c r="D301" s="51"/>
      <c r="E301" s="146"/>
      <c r="F301" s="23"/>
      <c r="G301" s="24"/>
      <c r="H301" s="25"/>
      <c r="I301" s="26"/>
      <c r="J301" s="78"/>
      <c r="K301" s="27"/>
      <c r="L301" s="26"/>
      <c r="M301" s="78"/>
      <c r="N301" s="28"/>
      <c r="O301" s="100"/>
      <c r="P301" s="30"/>
      <c r="Q301" s="28"/>
      <c r="R301" s="101"/>
      <c r="S301" s="44"/>
      <c r="T301" s="36"/>
      <c r="U301" s="4"/>
      <c r="V301" s="4"/>
      <c r="W301" s="4"/>
      <c r="X301" s="4"/>
      <c r="Y301" s="4"/>
      <c r="Z301" s="4"/>
    </row>
    <row r="302" ht="34.5" hidden="1" customHeight="1">
      <c r="A302" s="187">
        <v>297.0</v>
      </c>
      <c r="B302" s="20"/>
      <c r="C302" s="51"/>
      <c r="D302" s="51"/>
      <c r="E302" s="146"/>
      <c r="F302" s="23"/>
      <c r="G302" s="24"/>
      <c r="H302" s="25"/>
      <c r="I302" s="26"/>
      <c r="J302" s="78"/>
      <c r="K302" s="27"/>
      <c r="L302" s="26"/>
      <c r="M302" s="78"/>
      <c r="N302" s="28"/>
      <c r="O302" s="100"/>
      <c r="P302" s="30"/>
      <c r="Q302" s="28"/>
      <c r="R302" s="101"/>
      <c r="S302" s="44"/>
      <c r="T302" s="36"/>
      <c r="U302" s="4"/>
      <c r="V302" s="4"/>
      <c r="W302" s="4"/>
      <c r="X302" s="4"/>
      <c r="Y302" s="4"/>
      <c r="Z302" s="4"/>
    </row>
    <row r="303" ht="34.5" hidden="1" customHeight="1">
      <c r="A303" s="187">
        <v>298.0</v>
      </c>
      <c r="B303" s="20"/>
      <c r="C303" s="51"/>
      <c r="D303" s="51"/>
      <c r="E303" s="146"/>
      <c r="F303" s="23"/>
      <c r="G303" s="24"/>
      <c r="H303" s="25"/>
      <c r="I303" s="26"/>
      <c r="J303" s="78"/>
      <c r="K303" s="27"/>
      <c r="L303" s="26"/>
      <c r="M303" s="78"/>
      <c r="N303" s="28"/>
      <c r="O303" s="100"/>
      <c r="P303" s="30"/>
      <c r="Q303" s="28"/>
      <c r="R303" s="101"/>
      <c r="S303" s="44"/>
      <c r="T303" s="36"/>
      <c r="U303" s="4"/>
      <c r="V303" s="4"/>
      <c r="W303" s="4"/>
      <c r="X303" s="4"/>
      <c r="Y303" s="4"/>
      <c r="Z303" s="4"/>
    </row>
    <row r="304" ht="34.5" hidden="1" customHeight="1">
      <c r="A304" s="187">
        <v>299.0</v>
      </c>
      <c r="B304" s="20"/>
      <c r="C304" s="51"/>
      <c r="D304" s="51"/>
      <c r="E304" s="146"/>
      <c r="F304" s="23"/>
      <c r="G304" s="24"/>
      <c r="H304" s="25"/>
      <c r="I304" s="26"/>
      <c r="J304" s="78"/>
      <c r="K304" s="27"/>
      <c r="L304" s="26"/>
      <c r="M304" s="78"/>
      <c r="N304" s="28"/>
      <c r="O304" s="100"/>
      <c r="P304" s="30"/>
      <c r="Q304" s="28"/>
      <c r="R304" s="101"/>
      <c r="S304" s="44"/>
      <c r="T304" s="36"/>
      <c r="U304" s="4"/>
      <c r="V304" s="4"/>
      <c r="W304" s="4"/>
      <c r="X304" s="4"/>
      <c r="Y304" s="4"/>
      <c r="Z304" s="4"/>
    </row>
    <row r="305" ht="34.5" hidden="1" customHeight="1">
      <c r="A305" s="187">
        <v>300.0</v>
      </c>
      <c r="B305" s="20"/>
      <c r="C305" s="51"/>
      <c r="D305" s="51"/>
      <c r="E305" s="146"/>
      <c r="F305" s="23"/>
      <c r="G305" s="24"/>
      <c r="H305" s="25"/>
      <c r="I305" s="26"/>
      <c r="J305" s="78"/>
      <c r="K305" s="27"/>
      <c r="L305" s="26"/>
      <c r="M305" s="78"/>
      <c r="N305" s="28"/>
      <c r="O305" s="100"/>
      <c r="P305" s="30"/>
      <c r="Q305" s="28"/>
      <c r="R305" s="101"/>
      <c r="S305" s="44"/>
      <c r="T305" s="36"/>
      <c r="U305" s="4"/>
      <c r="V305" s="4"/>
      <c r="W305" s="4"/>
      <c r="X305" s="4"/>
      <c r="Y305" s="4"/>
      <c r="Z305" s="4"/>
    </row>
    <row r="306" ht="19.5" customHeight="1">
      <c r="A306" s="241"/>
      <c r="B306" s="242"/>
      <c r="C306" s="243"/>
      <c r="D306" s="243"/>
      <c r="E306" s="244" t="s">
        <v>747</v>
      </c>
      <c r="F306" s="245"/>
      <c r="G306" s="246"/>
      <c r="H306" s="247">
        <f>SUM(H8:H118)</f>
        <v>126931100</v>
      </c>
      <c r="I306" s="248"/>
      <c r="J306" s="249">
        <f t="shared" ref="J306:K306" si="21">SUM(J8:J118)</f>
        <v>72329500</v>
      </c>
      <c r="K306" s="249">
        <f t="shared" si="21"/>
        <v>43331500</v>
      </c>
      <c r="L306" s="248"/>
      <c r="M306" s="249"/>
      <c r="N306" s="248"/>
      <c r="O306" s="248"/>
      <c r="P306" s="30">
        <f>SUM(P8:P118)</f>
        <v>836600</v>
      </c>
      <c r="Q306" s="248"/>
      <c r="R306" s="248"/>
      <c r="S306" s="249"/>
      <c r="T306" s="250"/>
      <c r="U306" s="4"/>
      <c r="V306" s="4"/>
      <c r="W306" s="4"/>
      <c r="X306" s="4"/>
      <c r="Y306" s="4"/>
      <c r="Z306" s="4"/>
    </row>
    <row r="307" ht="16.5" customHeight="1">
      <c r="A307" s="1"/>
      <c r="B307" s="2"/>
      <c r="C307" s="1"/>
      <c r="D307" s="2"/>
      <c r="E307" s="3"/>
      <c r="F307" s="4"/>
      <c r="G307" s="5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2"/>
      <c r="U307" s="4"/>
      <c r="V307" s="4"/>
      <c r="W307" s="4"/>
      <c r="X307" s="251"/>
      <c r="Y307" s="251"/>
      <c r="Z307" s="251"/>
    </row>
    <row r="308" ht="16.5" customHeight="1">
      <c r="A308" s="1"/>
      <c r="B308" s="2"/>
      <c r="C308" s="1"/>
      <c r="D308" s="2"/>
      <c r="E308" s="3"/>
      <c r="F308" s="4"/>
      <c r="G308" s="5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2"/>
      <c r="U308" s="4"/>
      <c r="V308" s="4"/>
      <c r="W308" s="4"/>
      <c r="X308" s="251"/>
      <c r="Y308" s="251"/>
      <c r="Z308" s="251"/>
    </row>
    <row r="309" ht="16.5" customHeight="1">
      <c r="A309" s="1"/>
      <c r="B309" s="2"/>
      <c r="C309" s="1"/>
      <c r="D309" s="2"/>
      <c r="E309" s="3"/>
      <c r="F309" s="4"/>
      <c r="G309" s="5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2"/>
      <c r="U309" s="4"/>
      <c r="V309" s="4"/>
      <c r="W309" s="4"/>
      <c r="X309" s="251"/>
      <c r="Y309" s="251"/>
      <c r="Z309" s="251"/>
    </row>
    <row r="310" ht="16.5" customHeight="1">
      <c r="A310" s="1"/>
      <c r="B310" s="2"/>
      <c r="C310" s="1"/>
      <c r="D310" s="2"/>
      <c r="E310" s="3"/>
      <c r="F310" s="4"/>
      <c r="G310" s="5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2"/>
      <c r="U310" s="4"/>
      <c r="V310" s="4"/>
      <c r="W310" s="4"/>
      <c r="X310" s="251"/>
      <c r="Y310" s="251"/>
      <c r="Z310" s="251"/>
    </row>
    <row r="311" ht="16.5" customHeight="1">
      <c r="A311" s="1"/>
      <c r="B311" s="2"/>
      <c r="C311" s="1"/>
      <c r="D311" s="2"/>
      <c r="E311" s="3"/>
      <c r="F311" s="4"/>
      <c r="G311" s="5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2"/>
      <c r="U311" s="4"/>
      <c r="V311" s="4"/>
      <c r="W311" s="4"/>
      <c r="X311" s="251"/>
      <c r="Y311" s="251"/>
      <c r="Z311" s="251"/>
    </row>
    <row r="312" ht="16.5" customHeight="1">
      <c r="A312" s="1"/>
      <c r="B312" s="2"/>
      <c r="C312" s="1"/>
      <c r="D312" s="2"/>
      <c r="E312" s="3"/>
      <c r="F312" s="4"/>
      <c r="G312" s="5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2"/>
      <c r="U312" s="4"/>
      <c r="V312" s="4"/>
      <c r="W312" s="4"/>
      <c r="X312" s="251"/>
      <c r="Y312" s="251"/>
      <c r="Z312" s="251"/>
    </row>
    <row r="313" ht="16.5" customHeight="1">
      <c r="A313" s="1"/>
      <c r="B313" s="2"/>
      <c r="C313" s="1"/>
      <c r="D313" s="2"/>
      <c r="E313" s="3"/>
      <c r="F313" s="4"/>
      <c r="G313" s="5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2"/>
      <c r="U313" s="4"/>
      <c r="V313" s="4"/>
      <c r="W313" s="4"/>
      <c r="X313" s="251"/>
      <c r="Y313" s="251"/>
      <c r="Z313" s="251"/>
    </row>
    <row r="314" ht="16.5" customHeight="1">
      <c r="A314" s="1"/>
      <c r="B314" s="2"/>
      <c r="C314" s="1"/>
      <c r="D314" s="2"/>
      <c r="E314" s="3"/>
      <c r="F314" s="4"/>
      <c r="G314" s="5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2"/>
      <c r="U314" s="4"/>
      <c r="V314" s="4"/>
      <c r="W314" s="4"/>
      <c r="X314" s="251"/>
      <c r="Y314" s="251"/>
      <c r="Z314" s="251"/>
    </row>
    <row r="315" ht="16.5" customHeight="1">
      <c r="A315" s="1"/>
      <c r="B315" s="2"/>
      <c r="C315" s="1"/>
      <c r="D315" s="2"/>
      <c r="E315" s="3"/>
      <c r="F315" s="4"/>
      <c r="G315" s="5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2"/>
      <c r="U315" s="4"/>
      <c r="V315" s="4"/>
      <c r="W315" s="4"/>
      <c r="X315" s="251"/>
      <c r="Y315" s="251"/>
      <c r="Z315" s="251"/>
    </row>
    <row r="316" ht="16.5" customHeight="1">
      <c r="A316" s="1"/>
      <c r="B316" s="2"/>
      <c r="C316" s="1"/>
      <c r="D316" s="2"/>
      <c r="E316" s="3"/>
      <c r="F316" s="4"/>
      <c r="G316" s="5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2"/>
      <c r="U316" s="4"/>
      <c r="V316" s="4"/>
      <c r="W316" s="4"/>
      <c r="X316" s="251"/>
      <c r="Y316" s="251"/>
      <c r="Z316" s="251"/>
    </row>
    <row r="317" ht="16.5" customHeight="1">
      <c r="A317" s="1"/>
      <c r="B317" s="2"/>
      <c r="C317" s="1"/>
      <c r="D317" s="2"/>
      <c r="E317" s="3"/>
      <c r="F317" s="4"/>
      <c r="G317" s="5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2"/>
      <c r="U317" s="4"/>
      <c r="V317" s="4"/>
      <c r="W317" s="4"/>
      <c r="X317" s="4"/>
      <c r="Y317" s="4"/>
      <c r="Z317" s="4"/>
    </row>
    <row r="318" ht="16.5" customHeight="1">
      <c r="A318" s="1"/>
      <c r="B318" s="2"/>
      <c r="C318" s="1"/>
      <c r="D318" s="2"/>
      <c r="E318" s="3"/>
      <c r="F318" s="4"/>
      <c r="G318" s="5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2"/>
      <c r="U318" s="4"/>
      <c r="V318" s="4"/>
      <c r="W318" s="4"/>
      <c r="X318" s="4"/>
      <c r="Y318" s="4"/>
      <c r="Z318" s="4"/>
    </row>
    <row r="319" ht="16.5" customHeight="1">
      <c r="A319" s="1"/>
      <c r="B319" s="2"/>
      <c r="C319" s="1"/>
      <c r="D319" s="2"/>
      <c r="E319" s="3"/>
      <c r="F319" s="4"/>
      <c r="G319" s="5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2"/>
      <c r="U319" s="4"/>
      <c r="V319" s="4"/>
      <c r="W319" s="4"/>
      <c r="X319" s="4"/>
      <c r="Y319" s="4"/>
      <c r="Z319" s="4"/>
    </row>
    <row r="320" ht="16.5" customHeight="1">
      <c r="A320" s="1"/>
      <c r="B320" s="2"/>
      <c r="C320" s="1"/>
      <c r="D320" s="2"/>
      <c r="E320" s="3"/>
      <c r="F320" s="4"/>
      <c r="G320" s="5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2"/>
      <c r="U320" s="4"/>
      <c r="V320" s="4"/>
      <c r="W320" s="4"/>
      <c r="X320" s="4"/>
      <c r="Y320" s="4"/>
      <c r="Z320" s="4"/>
    </row>
    <row r="321" ht="16.5" customHeight="1">
      <c r="A321" s="1"/>
      <c r="B321" s="2"/>
      <c r="C321" s="1"/>
      <c r="D321" s="2"/>
      <c r="E321" s="3"/>
      <c r="F321" s="4"/>
      <c r="G321" s="5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2"/>
      <c r="U321" s="4"/>
      <c r="V321" s="4"/>
      <c r="W321" s="4"/>
      <c r="X321" s="4"/>
      <c r="Y321" s="4"/>
      <c r="Z321" s="4"/>
    </row>
    <row r="322" ht="16.5" customHeight="1">
      <c r="A322" s="1"/>
      <c r="B322" s="2"/>
      <c r="C322" s="1"/>
      <c r="D322" s="2"/>
      <c r="E322" s="3"/>
      <c r="F322" s="4"/>
      <c r="G322" s="5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2"/>
      <c r="U322" s="4"/>
      <c r="V322" s="4"/>
      <c r="W322" s="4"/>
      <c r="X322" s="4"/>
      <c r="Y322" s="4"/>
      <c r="Z322" s="4"/>
    </row>
    <row r="323" ht="16.5" customHeight="1">
      <c r="A323" s="1"/>
      <c r="B323" s="2"/>
      <c r="C323" s="1"/>
      <c r="D323" s="2"/>
      <c r="E323" s="3"/>
      <c r="F323" s="4"/>
      <c r="G323" s="5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2"/>
      <c r="U323" s="4"/>
      <c r="V323" s="4"/>
      <c r="W323" s="4"/>
      <c r="X323" s="4"/>
      <c r="Y323" s="4"/>
      <c r="Z323" s="4"/>
    </row>
    <row r="324" ht="16.5" customHeight="1">
      <c r="A324" s="1"/>
      <c r="B324" s="2"/>
      <c r="C324" s="1"/>
      <c r="D324" s="2"/>
      <c r="E324" s="3"/>
      <c r="F324" s="4"/>
      <c r="G324" s="5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2"/>
      <c r="U324" s="4"/>
      <c r="V324" s="4"/>
      <c r="W324" s="4"/>
      <c r="X324" s="4"/>
      <c r="Y324" s="4"/>
      <c r="Z324" s="4"/>
    </row>
    <row r="325" ht="16.5" customHeight="1">
      <c r="A325" s="1"/>
      <c r="B325" s="2"/>
      <c r="C325" s="1"/>
      <c r="D325" s="2"/>
      <c r="E325" s="3"/>
      <c r="F325" s="4"/>
      <c r="G325" s="5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2"/>
      <c r="U325" s="4"/>
      <c r="V325" s="4"/>
      <c r="W325" s="4"/>
      <c r="X325" s="4"/>
      <c r="Y325" s="4"/>
      <c r="Z325" s="4"/>
    </row>
    <row r="326" ht="16.5" customHeight="1">
      <c r="A326" s="1"/>
      <c r="B326" s="2"/>
      <c r="C326" s="1"/>
      <c r="D326" s="2"/>
      <c r="E326" s="3"/>
      <c r="F326" s="4"/>
      <c r="G326" s="5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2"/>
      <c r="U326" s="4"/>
      <c r="V326" s="4"/>
      <c r="W326" s="4"/>
      <c r="X326" s="4"/>
      <c r="Y326" s="4"/>
      <c r="Z326" s="4"/>
    </row>
    <row r="327" ht="16.5" customHeight="1">
      <c r="A327" s="1"/>
      <c r="B327" s="2"/>
      <c r="C327" s="1"/>
      <c r="D327" s="2"/>
      <c r="E327" s="3"/>
      <c r="F327" s="4"/>
      <c r="G327" s="5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2"/>
      <c r="U327" s="4"/>
      <c r="V327" s="4"/>
      <c r="W327" s="4"/>
      <c r="X327" s="4"/>
      <c r="Y327" s="4"/>
      <c r="Z327" s="4"/>
    </row>
    <row r="328" ht="16.5" customHeight="1">
      <c r="A328" s="1"/>
      <c r="B328" s="2"/>
      <c r="C328" s="1"/>
      <c r="D328" s="2"/>
      <c r="E328" s="3"/>
      <c r="F328" s="4"/>
      <c r="G328" s="5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2"/>
      <c r="U328" s="4"/>
      <c r="V328" s="4"/>
      <c r="W328" s="4"/>
      <c r="X328" s="4"/>
      <c r="Y328" s="4"/>
      <c r="Z328" s="4"/>
    </row>
    <row r="329" ht="16.5" customHeight="1">
      <c r="A329" s="1"/>
      <c r="B329" s="2"/>
      <c r="C329" s="1"/>
      <c r="D329" s="2"/>
      <c r="E329" s="3"/>
      <c r="F329" s="4"/>
      <c r="G329" s="5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251"/>
      <c r="U329" s="4"/>
      <c r="V329" s="4"/>
      <c r="W329" s="4"/>
      <c r="X329" s="4"/>
      <c r="Y329" s="4"/>
      <c r="Z329" s="4"/>
    </row>
    <row r="330" ht="16.5" customHeight="1">
      <c r="A330" s="1"/>
      <c r="B330" s="2"/>
      <c r="C330" s="1"/>
      <c r="D330" s="2"/>
      <c r="E330" s="3"/>
      <c r="F330" s="4"/>
      <c r="G330" s="5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251"/>
      <c r="U330" s="4"/>
      <c r="V330" s="4"/>
      <c r="W330" s="4"/>
      <c r="X330" s="4"/>
      <c r="Y330" s="4"/>
      <c r="Z330" s="4"/>
    </row>
    <row r="331" ht="16.5" customHeight="1">
      <c r="A331" s="1"/>
      <c r="B331" s="2"/>
      <c r="C331" s="1"/>
      <c r="D331" s="2"/>
      <c r="E331" s="3"/>
      <c r="F331" s="4"/>
      <c r="G331" s="5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251"/>
      <c r="U331" s="4"/>
      <c r="V331" s="4"/>
      <c r="W331" s="4"/>
      <c r="X331" s="4"/>
      <c r="Y331" s="4"/>
      <c r="Z331" s="4"/>
    </row>
    <row r="332" ht="16.5" customHeight="1">
      <c r="A332" s="1"/>
      <c r="B332" s="2"/>
      <c r="C332" s="1"/>
      <c r="D332" s="2"/>
      <c r="E332" s="3"/>
      <c r="F332" s="4"/>
      <c r="G332" s="5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251"/>
      <c r="U332" s="4"/>
      <c r="V332" s="4"/>
      <c r="W332" s="4"/>
      <c r="X332" s="4"/>
      <c r="Y332" s="4"/>
      <c r="Z332" s="4"/>
    </row>
    <row r="333" ht="16.5" customHeight="1">
      <c r="A333" s="1"/>
      <c r="B333" s="2"/>
      <c r="C333" s="1"/>
      <c r="D333" s="2"/>
      <c r="E333" s="3"/>
      <c r="F333" s="4"/>
      <c r="G333" s="5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251"/>
      <c r="U333" s="4"/>
      <c r="V333" s="4"/>
      <c r="W333" s="4"/>
      <c r="X333" s="4"/>
      <c r="Y333" s="4"/>
      <c r="Z333" s="4"/>
    </row>
    <row r="334" ht="16.5" customHeight="1">
      <c r="A334" s="1"/>
      <c r="B334" s="2"/>
      <c r="C334" s="1"/>
      <c r="D334" s="2"/>
      <c r="E334" s="3"/>
      <c r="F334" s="4"/>
      <c r="G334" s="5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251"/>
      <c r="U334" s="4"/>
      <c r="V334" s="4"/>
      <c r="W334" s="4"/>
      <c r="X334" s="4"/>
      <c r="Y334" s="4"/>
      <c r="Z334" s="4"/>
    </row>
    <row r="335" ht="16.5" customHeight="1">
      <c r="A335" s="1"/>
      <c r="B335" s="2"/>
      <c r="C335" s="1"/>
      <c r="D335" s="2"/>
      <c r="E335" s="3"/>
      <c r="F335" s="4"/>
      <c r="G335" s="5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251"/>
      <c r="U335" s="4"/>
      <c r="V335" s="4"/>
      <c r="W335" s="4"/>
      <c r="X335" s="4"/>
      <c r="Y335" s="4"/>
      <c r="Z335" s="4"/>
    </row>
    <row r="336" ht="16.5" customHeight="1">
      <c r="A336" s="1"/>
      <c r="B336" s="2"/>
      <c r="C336" s="1"/>
      <c r="D336" s="2"/>
      <c r="E336" s="3"/>
      <c r="F336" s="4"/>
      <c r="G336" s="5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251"/>
      <c r="U336" s="4"/>
      <c r="V336" s="4"/>
      <c r="W336" s="4"/>
      <c r="X336" s="4"/>
      <c r="Y336" s="4"/>
      <c r="Z336" s="4"/>
    </row>
    <row r="337" ht="16.5" customHeight="1">
      <c r="A337" s="1"/>
      <c r="B337" s="2"/>
      <c r="C337" s="1"/>
      <c r="D337" s="2"/>
      <c r="E337" s="3"/>
      <c r="F337" s="4"/>
      <c r="G337" s="5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251"/>
      <c r="U337" s="4"/>
      <c r="V337" s="4"/>
      <c r="W337" s="4"/>
      <c r="X337" s="4"/>
      <c r="Y337" s="4"/>
      <c r="Z337" s="4"/>
    </row>
    <row r="338" ht="16.5" customHeight="1">
      <c r="A338" s="1"/>
      <c r="B338" s="2"/>
      <c r="C338" s="1"/>
      <c r="D338" s="2"/>
      <c r="E338" s="3"/>
      <c r="F338" s="4"/>
      <c r="G338" s="5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251"/>
      <c r="U338" s="4"/>
      <c r="V338" s="4"/>
      <c r="W338" s="4"/>
      <c r="X338" s="4"/>
      <c r="Y338" s="4"/>
      <c r="Z338" s="4"/>
    </row>
    <row r="339" ht="16.5" customHeight="1">
      <c r="A339" s="1"/>
      <c r="B339" s="2"/>
      <c r="C339" s="1"/>
      <c r="D339" s="2"/>
      <c r="E339" s="3"/>
      <c r="F339" s="4"/>
      <c r="G339" s="5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251"/>
      <c r="U339" s="4"/>
      <c r="V339" s="4"/>
      <c r="W339" s="4"/>
      <c r="X339" s="4"/>
      <c r="Y339" s="4"/>
      <c r="Z339" s="4"/>
    </row>
    <row r="340" ht="16.5" customHeight="1">
      <c r="A340" s="1"/>
      <c r="B340" s="2"/>
      <c r="C340" s="1"/>
      <c r="D340" s="2"/>
      <c r="E340" s="3"/>
      <c r="F340" s="4"/>
      <c r="G340" s="5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251"/>
      <c r="U340" s="4"/>
      <c r="V340" s="4"/>
      <c r="W340" s="4"/>
      <c r="X340" s="4"/>
      <c r="Y340" s="4"/>
      <c r="Z340" s="4"/>
    </row>
    <row r="341" ht="16.5" customHeight="1">
      <c r="A341" s="1"/>
      <c r="B341" s="2"/>
      <c r="C341" s="1"/>
      <c r="D341" s="2"/>
      <c r="E341" s="3"/>
      <c r="F341" s="4"/>
      <c r="G341" s="5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251"/>
      <c r="U341" s="4"/>
      <c r="V341" s="4"/>
      <c r="W341" s="4"/>
      <c r="X341" s="4"/>
      <c r="Y341" s="4"/>
      <c r="Z341" s="4"/>
    </row>
    <row r="342" ht="16.5" customHeight="1">
      <c r="A342" s="1"/>
      <c r="B342" s="2"/>
      <c r="C342" s="1"/>
      <c r="D342" s="2"/>
      <c r="E342" s="3"/>
      <c r="F342" s="4"/>
      <c r="G342" s="5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251"/>
      <c r="U342" s="4"/>
      <c r="V342" s="4"/>
      <c r="W342" s="4"/>
      <c r="X342" s="4"/>
      <c r="Y342" s="4"/>
      <c r="Z342" s="4"/>
    </row>
    <row r="343" ht="16.5" customHeight="1">
      <c r="A343" s="1"/>
      <c r="B343" s="2"/>
      <c r="C343" s="1"/>
      <c r="D343" s="2"/>
      <c r="E343" s="3"/>
      <c r="F343" s="4"/>
      <c r="G343" s="5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251"/>
      <c r="U343" s="4"/>
      <c r="V343" s="4"/>
      <c r="W343" s="4"/>
      <c r="X343" s="4"/>
      <c r="Y343" s="4"/>
      <c r="Z343" s="4"/>
    </row>
    <row r="344" ht="16.5" customHeight="1">
      <c r="A344" s="1"/>
      <c r="B344" s="2"/>
      <c r="C344" s="1"/>
      <c r="D344" s="2"/>
      <c r="E344" s="3"/>
      <c r="F344" s="4"/>
      <c r="G344" s="5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251"/>
      <c r="U344" s="4"/>
      <c r="V344" s="4"/>
      <c r="W344" s="4"/>
      <c r="X344" s="4"/>
      <c r="Y344" s="4"/>
      <c r="Z344" s="4"/>
    </row>
    <row r="345" ht="16.5" customHeight="1">
      <c r="A345" s="1"/>
      <c r="B345" s="2"/>
      <c r="C345" s="1"/>
      <c r="D345" s="2"/>
      <c r="E345" s="3"/>
      <c r="F345" s="4"/>
      <c r="G345" s="5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251"/>
      <c r="U345" s="4"/>
      <c r="V345" s="4"/>
      <c r="W345" s="4"/>
      <c r="X345" s="4"/>
      <c r="Y345" s="4"/>
      <c r="Z345" s="4"/>
    </row>
    <row r="346" ht="16.5" customHeight="1">
      <c r="A346" s="1"/>
      <c r="B346" s="2"/>
      <c r="C346" s="1"/>
      <c r="D346" s="2"/>
      <c r="E346" s="3"/>
      <c r="F346" s="4"/>
      <c r="G346" s="5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251"/>
      <c r="U346" s="4"/>
      <c r="V346" s="4"/>
      <c r="W346" s="4"/>
      <c r="X346" s="4"/>
      <c r="Y346" s="4"/>
      <c r="Z346" s="4"/>
    </row>
    <row r="347" ht="16.5" customHeight="1">
      <c r="A347" s="1"/>
      <c r="B347" s="2"/>
      <c r="C347" s="1"/>
      <c r="D347" s="2"/>
      <c r="E347" s="3"/>
      <c r="F347" s="4"/>
      <c r="G347" s="5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251"/>
      <c r="U347" s="4"/>
      <c r="V347" s="4"/>
      <c r="W347" s="4"/>
      <c r="X347" s="4"/>
      <c r="Y347" s="4"/>
      <c r="Z347" s="4"/>
    </row>
    <row r="348" ht="16.5" customHeight="1">
      <c r="A348" s="1"/>
      <c r="B348" s="2"/>
      <c r="C348" s="1"/>
      <c r="D348" s="2"/>
      <c r="E348" s="3"/>
      <c r="F348" s="4"/>
      <c r="G348" s="5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251"/>
      <c r="U348" s="4"/>
      <c r="V348" s="4"/>
      <c r="W348" s="4"/>
      <c r="X348" s="4"/>
      <c r="Y348" s="4"/>
      <c r="Z348" s="4"/>
    </row>
    <row r="349" ht="16.5" customHeight="1">
      <c r="A349" s="1"/>
      <c r="B349" s="2"/>
      <c r="C349" s="1"/>
      <c r="D349" s="2"/>
      <c r="E349" s="3"/>
      <c r="F349" s="4"/>
      <c r="G349" s="5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251"/>
      <c r="U349" s="4"/>
      <c r="V349" s="4"/>
      <c r="W349" s="4"/>
      <c r="X349" s="4"/>
      <c r="Y349" s="4"/>
      <c r="Z349" s="4"/>
    </row>
    <row r="350" ht="16.5" customHeight="1">
      <c r="A350" s="1"/>
      <c r="B350" s="2"/>
      <c r="C350" s="1"/>
      <c r="D350" s="2"/>
      <c r="E350" s="3"/>
      <c r="F350" s="4"/>
      <c r="G350" s="5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251"/>
      <c r="U350" s="4"/>
      <c r="V350" s="4"/>
      <c r="W350" s="4"/>
      <c r="X350" s="4"/>
      <c r="Y350" s="4"/>
      <c r="Z350" s="4"/>
    </row>
    <row r="351" ht="16.5" customHeight="1">
      <c r="A351" s="1"/>
      <c r="B351" s="2"/>
      <c r="C351" s="1"/>
      <c r="D351" s="2"/>
      <c r="E351" s="3"/>
      <c r="F351" s="4"/>
      <c r="G351" s="5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251"/>
      <c r="U351" s="4"/>
      <c r="V351" s="4"/>
      <c r="W351" s="4"/>
      <c r="X351" s="4"/>
      <c r="Y351" s="4"/>
      <c r="Z351" s="4"/>
    </row>
    <row r="352" ht="16.5" customHeight="1">
      <c r="A352" s="1"/>
      <c r="B352" s="2"/>
      <c r="C352" s="1"/>
      <c r="D352" s="2"/>
      <c r="E352" s="3"/>
      <c r="F352" s="4"/>
      <c r="G352" s="5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251"/>
      <c r="U352" s="4"/>
      <c r="V352" s="4"/>
      <c r="W352" s="4"/>
      <c r="X352" s="4"/>
      <c r="Y352" s="4"/>
      <c r="Z352" s="4"/>
    </row>
    <row r="353" ht="16.5" customHeight="1">
      <c r="A353" s="1"/>
      <c r="B353" s="2"/>
      <c r="C353" s="1"/>
      <c r="D353" s="2"/>
      <c r="E353" s="3"/>
      <c r="F353" s="4"/>
      <c r="G353" s="5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251"/>
      <c r="U353" s="4"/>
      <c r="V353" s="4"/>
      <c r="W353" s="4"/>
      <c r="X353" s="4"/>
      <c r="Y353" s="4"/>
      <c r="Z353" s="4"/>
    </row>
    <row r="354" ht="16.5" customHeight="1">
      <c r="A354" s="1"/>
      <c r="B354" s="2"/>
      <c r="C354" s="1"/>
      <c r="D354" s="2"/>
      <c r="E354" s="3"/>
      <c r="F354" s="4"/>
      <c r="G354" s="5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251"/>
      <c r="U354" s="4"/>
      <c r="V354" s="4"/>
      <c r="W354" s="4"/>
      <c r="X354" s="4"/>
      <c r="Y354" s="4"/>
      <c r="Z354" s="4"/>
    </row>
    <row r="355" ht="16.5" customHeight="1">
      <c r="A355" s="1"/>
      <c r="B355" s="2"/>
      <c r="C355" s="1"/>
      <c r="D355" s="2"/>
      <c r="E355" s="3"/>
      <c r="F355" s="4"/>
      <c r="G355" s="5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251"/>
      <c r="U355" s="4"/>
      <c r="V355" s="4"/>
      <c r="W355" s="4"/>
      <c r="X355" s="4"/>
      <c r="Y355" s="4"/>
      <c r="Z355" s="4"/>
    </row>
    <row r="356" ht="16.5" customHeight="1">
      <c r="A356" s="1"/>
      <c r="B356" s="2"/>
      <c r="C356" s="1"/>
      <c r="D356" s="2"/>
      <c r="E356" s="3"/>
      <c r="F356" s="4"/>
      <c r="G356" s="5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251"/>
      <c r="U356" s="4"/>
      <c r="V356" s="4"/>
      <c r="W356" s="4"/>
      <c r="X356" s="4"/>
      <c r="Y356" s="4"/>
      <c r="Z356" s="4"/>
    </row>
    <row r="357" ht="16.5" customHeight="1">
      <c r="A357" s="1"/>
      <c r="B357" s="2"/>
      <c r="C357" s="1"/>
      <c r="D357" s="2"/>
      <c r="E357" s="3"/>
      <c r="F357" s="4"/>
      <c r="G357" s="5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251"/>
      <c r="U357" s="4"/>
      <c r="V357" s="4"/>
      <c r="W357" s="4"/>
      <c r="X357" s="4"/>
      <c r="Y357" s="4"/>
      <c r="Z357" s="4"/>
    </row>
    <row r="358" ht="16.5" customHeight="1">
      <c r="A358" s="1"/>
      <c r="B358" s="2"/>
      <c r="C358" s="1"/>
      <c r="D358" s="2"/>
      <c r="E358" s="3"/>
      <c r="F358" s="4"/>
      <c r="G358" s="5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251"/>
      <c r="U358" s="4"/>
      <c r="V358" s="4"/>
      <c r="W358" s="4"/>
      <c r="X358" s="4"/>
      <c r="Y358" s="4"/>
      <c r="Z358" s="4"/>
    </row>
    <row r="359" ht="16.5" customHeight="1">
      <c r="A359" s="1"/>
      <c r="B359" s="2"/>
      <c r="C359" s="1"/>
      <c r="D359" s="2"/>
      <c r="E359" s="3"/>
      <c r="F359" s="4"/>
      <c r="G359" s="5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251"/>
      <c r="U359" s="4"/>
      <c r="V359" s="4"/>
      <c r="W359" s="4"/>
      <c r="X359" s="4"/>
      <c r="Y359" s="4"/>
      <c r="Z359" s="4"/>
    </row>
    <row r="360" ht="16.5" customHeight="1">
      <c r="A360" s="1"/>
      <c r="B360" s="2"/>
      <c r="C360" s="1"/>
      <c r="D360" s="2"/>
      <c r="E360" s="3"/>
      <c r="F360" s="4"/>
      <c r="G360" s="5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251"/>
      <c r="U360" s="4"/>
      <c r="V360" s="4"/>
      <c r="W360" s="4"/>
      <c r="X360" s="4"/>
      <c r="Y360" s="4"/>
      <c r="Z360" s="4"/>
    </row>
    <row r="361" ht="16.5" customHeight="1">
      <c r="A361" s="1"/>
      <c r="B361" s="2"/>
      <c r="C361" s="1"/>
      <c r="D361" s="2"/>
      <c r="E361" s="3"/>
      <c r="F361" s="4"/>
      <c r="G361" s="5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251"/>
      <c r="U361" s="4"/>
      <c r="V361" s="4"/>
      <c r="W361" s="4"/>
      <c r="X361" s="4"/>
      <c r="Y361" s="4"/>
      <c r="Z361" s="4"/>
    </row>
    <row r="362" ht="16.5" customHeight="1">
      <c r="A362" s="1"/>
      <c r="B362" s="2"/>
      <c r="C362" s="1"/>
      <c r="D362" s="2"/>
      <c r="E362" s="3"/>
      <c r="F362" s="4"/>
      <c r="G362" s="5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251"/>
      <c r="U362" s="4"/>
      <c r="V362" s="4"/>
      <c r="W362" s="4"/>
      <c r="X362" s="4"/>
      <c r="Y362" s="4"/>
      <c r="Z362" s="4"/>
    </row>
    <row r="363" ht="16.5" customHeight="1">
      <c r="A363" s="1"/>
      <c r="B363" s="2"/>
      <c r="C363" s="1"/>
      <c r="D363" s="2"/>
      <c r="E363" s="3"/>
      <c r="F363" s="4"/>
      <c r="G363" s="5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251"/>
      <c r="U363" s="4"/>
      <c r="V363" s="4"/>
      <c r="W363" s="4"/>
      <c r="X363" s="4"/>
      <c r="Y363" s="4"/>
      <c r="Z363" s="4"/>
    </row>
    <row r="364" ht="16.5" customHeight="1">
      <c r="A364" s="1"/>
      <c r="B364" s="2"/>
      <c r="C364" s="1"/>
      <c r="D364" s="2"/>
      <c r="E364" s="3"/>
      <c r="F364" s="4"/>
      <c r="G364" s="5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251"/>
      <c r="U364" s="4"/>
      <c r="V364" s="4"/>
      <c r="W364" s="4"/>
      <c r="X364" s="4"/>
      <c r="Y364" s="4"/>
      <c r="Z364" s="4"/>
    </row>
    <row r="365" ht="16.5" customHeight="1">
      <c r="A365" s="1"/>
      <c r="B365" s="2"/>
      <c r="C365" s="1"/>
      <c r="D365" s="2"/>
      <c r="E365" s="3"/>
      <c r="F365" s="4"/>
      <c r="G365" s="5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251"/>
      <c r="U365" s="4"/>
      <c r="V365" s="4"/>
      <c r="W365" s="4"/>
      <c r="X365" s="4"/>
      <c r="Y365" s="4"/>
      <c r="Z365" s="4"/>
    </row>
    <row r="366" ht="16.5" customHeight="1">
      <c r="A366" s="1"/>
      <c r="B366" s="2"/>
      <c r="C366" s="1"/>
      <c r="D366" s="2"/>
      <c r="E366" s="3"/>
      <c r="F366" s="4"/>
      <c r="G366" s="5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251"/>
      <c r="U366" s="4"/>
      <c r="V366" s="4"/>
      <c r="W366" s="4"/>
      <c r="X366" s="4"/>
      <c r="Y366" s="4"/>
      <c r="Z366" s="4"/>
    </row>
    <row r="367" ht="16.5" customHeight="1">
      <c r="A367" s="1"/>
      <c r="B367" s="2"/>
      <c r="C367" s="1"/>
      <c r="D367" s="2"/>
      <c r="E367" s="3"/>
      <c r="F367" s="4"/>
      <c r="G367" s="5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251"/>
      <c r="U367" s="4"/>
      <c r="V367" s="4"/>
      <c r="W367" s="4"/>
      <c r="X367" s="4"/>
      <c r="Y367" s="4"/>
      <c r="Z367" s="4"/>
    </row>
    <row r="368" ht="16.5" customHeight="1">
      <c r="A368" s="1"/>
      <c r="B368" s="2"/>
      <c r="C368" s="1"/>
      <c r="D368" s="2"/>
      <c r="E368" s="3"/>
      <c r="F368" s="4"/>
      <c r="G368" s="5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251"/>
      <c r="U368" s="4"/>
      <c r="V368" s="4"/>
      <c r="W368" s="4"/>
      <c r="X368" s="4"/>
      <c r="Y368" s="4"/>
      <c r="Z368" s="4"/>
    </row>
    <row r="369" ht="16.5" customHeight="1">
      <c r="A369" s="1"/>
      <c r="B369" s="2"/>
      <c r="C369" s="1"/>
      <c r="D369" s="2"/>
      <c r="E369" s="3"/>
      <c r="F369" s="4"/>
      <c r="G369" s="5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251"/>
      <c r="U369" s="4"/>
      <c r="V369" s="4"/>
      <c r="W369" s="4"/>
      <c r="X369" s="4"/>
      <c r="Y369" s="4"/>
      <c r="Z369" s="4"/>
    </row>
    <row r="370" ht="16.5" customHeight="1">
      <c r="A370" s="1"/>
      <c r="B370" s="2"/>
      <c r="C370" s="1"/>
      <c r="D370" s="2"/>
      <c r="E370" s="3"/>
      <c r="F370" s="4"/>
      <c r="G370" s="5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251"/>
      <c r="U370" s="4"/>
      <c r="V370" s="4"/>
      <c r="W370" s="4"/>
      <c r="X370" s="4"/>
      <c r="Y370" s="4"/>
      <c r="Z370" s="4"/>
    </row>
    <row r="371" ht="16.5" customHeight="1">
      <c r="A371" s="1"/>
      <c r="B371" s="2"/>
      <c r="C371" s="1"/>
      <c r="D371" s="2"/>
      <c r="E371" s="3"/>
      <c r="F371" s="4"/>
      <c r="G371" s="5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251"/>
      <c r="U371" s="4"/>
      <c r="V371" s="4"/>
      <c r="W371" s="4"/>
      <c r="X371" s="4"/>
      <c r="Y371" s="4"/>
      <c r="Z371" s="4"/>
    </row>
    <row r="372" ht="16.5" customHeight="1">
      <c r="A372" s="1"/>
      <c r="B372" s="2"/>
      <c r="C372" s="1"/>
      <c r="D372" s="2"/>
      <c r="E372" s="3"/>
      <c r="F372" s="4"/>
      <c r="G372" s="5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251"/>
      <c r="U372" s="4"/>
      <c r="V372" s="4"/>
      <c r="W372" s="4"/>
      <c r="X372" s="4"/>
      <c r="Y372" s="4"/>
      <c r="Z372" s="4"/>
    </row>
    <row r="373" ht="16.5" customHeight="1">
      <c r="A373" s="1"/>
      <c r="B373" s="2"/>
      <c r="C373" s="1"/>
      <c r="D373" s="2"/>
      <c r="E373" s="3"/>
      <c r="F373" s="4"/>
      <c r="G373" s="5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251"/>
      <c r="U373" s="4"/>
      <c r="V373" s="4"/>
      <c r="W373" s="4"/>
      <c r="X373" s="4"/>
      <c r="Y373" s="4"/>
      <c r="Z373" s="4"/>
    </row>
    <row r="374" ht="16.5" customHeight="1">
      <c r="A374" s="1"/>
      <c r="B374" s="2"/>
      <c r="C374" s="1"/>
      <c r="D374" s="2"/>
      <c r="E374" s="3"/>
      <c r="F374" s="4"/>
      <c r="G374" s="5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251"/>
      <c r="U374" s="4"/>
      <c r="V374" s="4"/>
      <c r="W374" s="4"/>
      <c r="X374" s="4"/>
      <c r="Y374" s="4"/>
      <c r="Z374" s="4"/>
    </row>
    <row r="375" ht="16.5" customHeight="1">
      <c r="A375" s="1"/>
      <c r="B375" s="2"/>
      <c r="C375" s="1"/>
      <c r="D375" s="2"/>
      <c r="E375" s="3"/>
      <c r="F375" s="4"/>
      <c r="G375" s="5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251"/>
      <c r="U375" s="4"/>
      <c r="V375" s="4"/>
      <c r="W375" s="4"/>
      <c r="X375" s="4"/>
      <c r="Y375" s="4"/>
      <c r="Z375" s="4"/>
    </row>
    <row r="376" ht="16.5" customHeight="1">
      <c r="A376" s="1"/>
      <c r="B376" s="2"/>
      <c r="C376" s="1"/>
      <c r="D376" s="2"/>
      <c r="E376" s="3"/>
      <c r="F376" s="4"/>
      <c r="G376" s="5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251"/>
      <c r="U376" s="4"/>
      <c r="V376" s="4"/>
      <c r="W376" s="4"/>
      <c r="X376" s="4"/>
      <c r="Y376" s="4"/>
      <c r="Z376" s="4"/>
    </row>
    <row r="377" ht="16.5" customHeight="1">
      <c r="A377" s="1"/>
      <c r="B377" s="2"/>
      <c r="C377" s="1"/>
      <c r="D377" s="2"/>
      <c r="E377" s="3"/>
      <c r="F377" s="4"/>
      <c r="G377" s="5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251"/>
      <c r="U377" s="4"/>
      <c r="V377" s="4"/>
      <c r="W377" s="4"/>
      <c r="X377" s="4"/>
      <c r="Y377" s="4"/>
      <c r="Z377" s="4"/>
    </row>
    <row r="378" ht="16.5" customHeight="1">
      <c r="A378" s="1"/>
      <c r="B378" s="2"/>
      <c r="C378" s="1"/>
      <c r="D378" s="2"/>
      <c r="E378" s="3"/>
      <c r="F378" s="4"/>
      <c r="G378" s="5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251"/>
      <c r="U378" s="4"/>
      <c r="V378" s="4"/>
      <c r="W378" s="4"/>
      <c r="X378" s="4"/>
      <c r="Y378" s="4"/>
      <c r="Z378" s="4"/>
    </row>
    <row r="379" ht="16.5" customHeight="1">
      <c r="A379" s="1"/>
      <c r="B379" s="2"/>
      <c r="C379" s="1"/>
      <c r="D379" s="2"/>
      <c r="E379" s="3"/>
      <c r="F379" s="4"/>
      <c r="G379" s="5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251"/>
      <c r="U379" s="4"/>
      <c r="V379" s="4"/>
      <c r="W379" s="4"/>
      <c r="X379" s="4"/>
      <c r="Y379" s="4"/>
      <c r="Z379" s="4"/>
    </row>
    <row r="380" ht="16.5" customHeight="1">
      <c r="A380" s="1"/>
      <c r="B380" s="2"/>
      <c r="C380" s="1"/>
      <c r="D380" s="2"/>
      <c r="E380" s="3"/>
      <c r="F380" s="4"/>
      <c r="G380" s="5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251"/>
      <c r="U380" s="4"/>
      <c r="V380" s="4"/>
      <c r="W380" s="4"/>
      <c r="X380" s="4"/>
      <c r="Y380" s="4"/>
      <c r="Z380" s="4"/>
    </row>
    <row r="381" ht="16.5" customHeight="1">
      <c r="A381" s="1"/>
      <c r="B381" s="2"/>
      <c r="C381" s="1"/>
      <c r="D381" s="2"/>
      <c r="E381" s="3"/>
      <c r="F381" s="4"/>
      <c r="G381" s="5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251"/>
      <c r="U381" s="4"/>
      <c r="V381" s="4"/>
      <c r="W381" s="4"/>
      <c r="X381" s="4"/>
      <c r="Y381" s="4"/>
      <c r="Z381" s="4"/>
    </row>
    <row r="382" ht="16.5" customHeight="1">
      <c r="A382" s="1"/>
      <c r="B382" s="2"/>
      <c r="C382" s="1"/>
      <c r="D382" s="2"/>
      <c r="E382" s="3"/>
      <c r="F382" s="4"/>
      <c r="G382" s="5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251"/>
      <c r="U382" s="4"/>
      <c r="V382" s="4"/>
      <c r="W382" s="4"/>
      <c r="X382" s="4"/>
      <c r="Y382" s="4"/>
      <c r="Z382" s="4"/>
    </row>
    <row r="383" ht="16.5" customHeight="1">
      <c r="A383" s="1"/>
      <c r="B383" s="2"/>
      <c r="C383" s="1"/>
      <c r="D383" s="2"/>
      <c r="E383" s="3"/>
      <c r="F383" s="4"/>
      <c r="G383" s="5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251"/>
      <c r="U383" s="4"/>
      <c r="V383" s="4"/>
      <c r="W383" s="4"/>
      <c r="X383" s="4"/>
      <c r="Y383" s="4"/>
      <c r="Z383" s="4"/>
    </row>
    <row r="384" ht="16.5" customHeight="1">
      <c r="A384" s="1"/>
      <c r="B384" s="2"/>
      <c r="C384" s="1"/>
      <c r="D384" s="2"/>
      <c r="E384" s="3"/>
      <c r="F384" s="4"/>
      <c r="G384" s="5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251"/>
      <c r="U384" s="4"/>
      <c r="V384" s="4"/>
      <c r="W384" s="4"/>
      <c r="X384" s="4"/>
      <c r="Y384" s="4"/>
      <c r="Z384" s="4"/>
    </row>
    <row r="385" ht="16.5" customHeight="1">
      <c r="A385" s="1"/>
      <c r="B385" s="2"/>
      <c r="C385" s="1"/>
      <c r="D385" s="2"/>
      <c r="E385" s="3"/>
      <c r="F385" s="4"/>
      <c r="G385" s="5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251"/>
      <c r="U385" s="4"/>
      <c r="V385" s="4"/>
      <c r="W385" s="4"/>
      <c r="X385" s="4"/>
      <c r="Y385" s="4"/>
      <c r="Z385" s="4"/>
    </row>
    <row r="386" ht="16.5" customHeight="1">
      <c r="A386" s="1"/>
      <c r="B386" s="2"/>
      <c r="C386" s="1"/>
      <c r="D386" s="2"/>
      <c r="E386" s="3"/>
      <c r="F386" s="4"/>
      <c r="G386" s="5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251"/>
      <c r="U386" s="4"/>
      <c r="V386" s="4"/>
      <c r="W386" s="4"/>
      <c r="X386" s="4"/>
      <c r="Y386" s="4"/>
      <c r="Z386" s="4"/>
    </row>
    <row r="387" ht="16.5" customHeight="1">
      <c r="A387" s="1"/>
      <c r="B387" s="2"/>
      <c r="C387" s="1"/>
      <c r="D387" s="2"/>
      <c r="E387" s="3"/>
      <c r="F387" s="4"/>
      <c r="G387" s="5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251"/>
      <c r="U387" s="4"/>
      <c r="V387" s="4"/>
      <c r="W387" s="4"/>
      <c r="X387" s="4"/>
      <c r="Y387" s="4"/>
      <c r="Z387" s="4"/>
    </row>
    <row r="388" ht="16.5" customHeight="1">
      <c r="A388" s="1"/>
      <c r="B388" s="2"/>
      <c r="C388" s="1"/>
      <c r="D388" s="2"/>
      <c r="E388" s="3"/>
      <c r="F388" s="4"/>
      <c r="G388" s="5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251"/>
      <c r="U388" s="4"/>
      <c r="V388" s="4"/>
      <c r="W388" s="4"/>
      <c r="X388" s="4"/>
      <c r="Y388" s="4"/>
      <c r="Z388" s="4"/>
    </row>
    <row r="389" ht="16.5" customHeight="1">
      <c r="A389" s="1"/>
      <c r="B389" s="2"/>
      <c r="C389" s="1"/>
      <c r="D389" s="2"/>
      <c r="E389" s="3"/>
      <c r="F389" s="4"/>
      <c r="G389" s="5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251"/>
      <c r="U389" s="4"/>
      <c r="V389" s="4"/>
      <c r="W389" s="4"/>
      <c r="X389" s="4"/>
      <c r="Y389" s="4"/>
      <c r="Z389" s="4"/>
    </row>
    <row r="390" ht="16.5" customHeight="1">
      <c r="A390" s="1"/>
      <c r="B390" s="2"/>
      <c r="C390" s="1"/>
      <c r="D390" s="2"/>
      <c r="E390" s="3"/>
      <c r="F390" s="4"/>
      <c r="G390" s="5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251"/>
      <c r="U390" s="4"/>
      <c r="V390" s="4"/>
      <c r="W390" s="4"/>
      <c r="X390" s="4"/>
      <c r="Y390" s="4"/>
      <c r="Z390" s="4"/>
    </row>
    <row r="391" ht="16.5" customHeight="1">
      <c r="A391" s="1"/>
      <c r="B391" s="2"/>
      <c r="C391" s="1"/>
      <c r="D391" s="2"/>
      <c r="E391" s="3"/>
      <c r="F391" s="4"/>
      <c r="G391" s="5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251"/>
      <c r="U391" s="4"/>
      <c r="V391" s="4"/>
      <c r="W391" s="4"/>
      <c r="X391" s="4"/>
      <c r="Y391" s="4"/>
      <c r="Z391" s="4"/>
    </row>
    <row r="392" ht="16.5" customHeight="1">
      <c r="A392" s="1"/>
      <c r="B392" s="2"/>
      <c r="C392" s="1"/>
      <c r="D392" s="2"/>
      <c r="E392" s="3"/>
      <c r="F392" s="4"/>
      <c r="G392" s="5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251"/>
      <c r="U392" s="4"/>
      <c r="V392" s="4"/>
      <c r="W392" s="4"/>
      <c r="X392" s="4"/>
      <c r="Y392" s="4"/>
      <c r="Z392" s="4"/>
    </row>
    <row r="393" ht="16.5" customHeight="1">
      <c r="A393" s="1"/>
      <c r="B393" s="2"/>
      <c r="C393" s="1"/>
      <c r="D393" s="2"/>
      <c r="E393" s="3"/>
      <c r="F393" s="4"/>
      <c r="G393" s="5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251"/>
      <c r="U393" s="4"/>
      <c r="V393" s="4"/>
      <c r="W393" s="4"/>
      <c r="X393" s="4"/>
      <c r="Y393" s="4"/>
      <c r="Z393" s="4"/>
    </row>
    <row r="394" ht="16.5" customHeight="1">
      <c r="A394" s="1"/>
      <c r="B394" s="2"/>
      <c r="C394" s="1"/>
      <c r="D394" s="2"/>
      <c r="E394" s="3"/>
      <c r="F394" s="4"/>
      <c r="G394" s="5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251"/>
      <c r="U394" s="4"/>
      <c r="V394" s="4"/>
      <c r="W394" s="4"/>
      <c r="X394" s="4"/>
      <c r="Y394" s="4"/>
      <c r="Z394" s="4"/>
    </row>
    <row r="395" ht="16.5" customHeight="1">
      <c r="A395" s="1"/>
      <c r="B395" s="2"/>
      <c r="C395" s="1"/>
      <c r="D395" s="2"/>
      <c r="E395" s="3"/>
      <c r="F395" s="4"/>
      <c r="G395" s="5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251"/>
      <c r="U395" s="4"/>
      <c r="V395" s="4"/>
      <c r="W395" s="4"/>
      <c r="X395" s="4"/>
      <c r="Y395" s="4"/>
      <c r="Z395" s="4"/>
    </row>
    <row r="396" ht="16.5" customHeight="1">
      <c r="A396" s="1"/>
      <c r="B396" s="2"/>
      <c r="C396" s="1"/>
      <c r="D396" s="2"/>
      <c r="E396" s="3"/>
      <c r="F396" s="4"/>
      <c r="G396" s="5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251"/>
      <c r="U396" s="4"/>
      <c r="V396" s="4"/>
      <c r="W396" s="4"/>
      <c r="X396" s="4"/>
      <c r="Y396" s="4"/>
      <c r="Z396" s="4"/>
    </row>
    <row r="397" ht="16.5" customHeight="1">
      <c r="A397" s="1"/>
      <c r="B397" s="2"/>
      <c r="C397" s="1"/>
      <c r="D397" s="2"/>
      <c r="E397" s="3"/>
      <c r="F397" s="4"/>
      <c r="G397" s="5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251"/>
      <c r="U397" s="4"/>
      <c r="V397" s="4"/>
      <c r="W397" s="4"/>
      <c r="X397" s="4"/>
      <c r="Y397" s="4"/>
      <c r="Z397" s="4"/>
    </row>
    <row r="398" ht="16.5" customHeight="1">
      <c r="A398" s="1"/>
      <c r="B398" s="2"/>
      <c r="C398" s="1"/>
      <c r="D398" s="2"/>
      <c r="E398" s="3"/>
      <c r="F398" s="4"/>
      <c r="G398" s="5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251"/>
      <c r="U398" s="4"/>
      <c r="V398" s="4"/>
      <c r="W398" s="4"/>
      <c r="X398" s="4"/>
      <c r="Y398" s="4"/>
      <c r="Z398" s="4"/>
    </row>
    <row r="399" ht="16.5" customHeight="1">
      <c r="A399" s="1"/>
      <c r="B399" s="2"/>
      <c r="C399" s="1"/>
      <c r="D399" s="2"/>
      <c r="E399" s="3"/>
      <c r="F399" s="4"/>
      <c r="G399" s="5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251"/>
      <c r="U399" s="4"/>
      <c r="V399" s="4"/>
      <c r="W399" s="4"/>
      <c r="X399" s="4"/>
      <c r="Y399" s="4"/>
      <c r="Z399" s="4"/>
    </row>
    <row r="400" ht="16.5" customHeight="1">
      <c r="A400" s="1"/>
      <c r="B400" s="2"/>
      <c r="C400" s="1"/>
      <c r="D400" s="2"/>
      <c r="E400" s="3"/>
      <c r="F400" s="4"/>
      <c r="G400" s="5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251"/>
      <c r="U400" s="4"/>
      <c r="V400" s="4"/>
      <c r="W400" s="4"/>
      <c r="X400" s="4"/>
      <c r="Y400" s="4"/>
      <c r="Z400" s="4"/>
    </row>
    <row r="401" ht="16.5" customHeight="1">
      <c r="A401" s="1"/>
      <c r="B401" s="2"/>
      <c r="C401" s="1"/>
      <c r="D401" s="2"/>
      <c r="E401" s="3"/>
      <c r="F401" s="4"/>
      <c r="G401" s="5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251"/>
      <c r="U401" s="4"/>
      <c r="V401" s="4"/>
      <c r="W401" s="4"/>
      <c r="X401" s="4"/>
      <c r="Y401" s="4"/>
      <c r="Z401" s="4"/>
    </row>
    <row r="402" ht="16.5" customHeight="1">
      <c r="A402" s="1"/>
      <c r="B402" s="2"/>
      <c r="C402" s="1"/>
      <c r="D402" s="2"/>
      <c r="E402" s="3"/>
      <c r="F402" s="4"/>
      <c r="G402" s="5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251"/>
      <c r="U402" s="4"/>
      <c r="V402" s="4"/>
      <c r="W402" s="4"/>
      <c r="X402" s="4"/>
      <c r="Y402" s="4"/>
      <c r="Z402" s="4"/>
    </row>
    <row r="403" ht="16.5" customHeight="1">
      <c r="A403" s="1"/>
      <c r="B403" s="2"/>
      <c r="C403" s="1"/>
      <c r="D403" s="2"/>
      <c r="E403" s="3"/>
      <c r="F403" s="4"/>
      <c r="G403" s="5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251"/>
      <c r="U403" s="4"/>
      <c r="V403" s="4"/>
      <c r="W403" s="4"/>
      <c r="X403" s="4"/>
      <c r="Y403" s="4"/>
      <c r="Z403" s="4"/>
    </row>
    <row r="404" ht="16.5" customHeight="1">
      <c r="A404" s="1"/>
      <c r="B404" s="2"/>
      <c r="C404" s="1"/>
      <c r="D404" s="2"/>
      <c r="E404" s="3"/>
      <c r="F404" s="4"/>
      <c r="G404" s="5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251"/>
      <c r="U404" s="4"/>
      <c r="V404" s="4"/>
      <c r="W404" s="4"/>
      <c r="X404" s="4"/>
      <c r="Y404" s="4"/>
      <c r="Z404" s="4"/>
    </row>
    <row r="405" ht="16.5" customHeight="1">
      <c r="A405" s="1"/>
      <c r="B405" s="2"/>
      <c r="C405" s="1"/>
      <c r="D405" s="2"/>
      <c r="E405" s="3"/>
      <c r="F405" s="4"/>
      <c r="G405" s="5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251"/>
      <c r="U405" s="4"/>
      <c r="V405" s="4"/>
      <c r="W405" s="4"/>
      <c r="X405" s="4"/>
      <c r="Y405" s="4"/>
      <c r="Z405" s="4"/>
    </row>
    <row r="406" ht="16.5" customHeight="1">
      <c r="A406" s="1"/>
      <c r="B406" s="2"/>
      <c r="C406" s="1"/>
      <c r="D406" s="2"/>
      <c r="E406" s="3"/>
      <c r="F406" s="4"/>
      <c r="G406" s="5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251"/>
      <c r="U406" s="4"/>
      <c r="V406" s="4"/>
      <c r="W406" s="4"/>
      <c r="X406" s="4"/>
      <c r="Y406" s="4"/>
      <c r="Z406" s="4"/>
    </row>
    <row r="407" ht="16.5" customHeight="1">
      <c r="A407" s="1"/>
      <c r="B407" s="2"/>
      <c r="C407" s="1"/>
      <c r="D407" s="2"/>
      <c r="E407" s="3"/>
      <c r="F407" s="4"/>
      <c r="G407" s="5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251"/>
      <c r="U407" s="4"/>
      <c r="V407" s="4"/>
      <c r="W407" s="4"/>
      <c r="X407" s="4"/>
      <c r="Y407" s="4"/>
      <c r="Z407" s="4"/>
    </row>
    <row r="408" ht="16.5" customHeight="1">
      <c r="A408" s="1"/>
      <c r="B408" s="2"/>
      <c r="C408" s="1"/>
      <c r="D408" s="2"/>
      <c r="E408" s="3"/>
      <c r="F408" s="4"/>
      <c r="G408" s="5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251"/>
      <c r="U408" s="4"/>
      <c r="V408" s="4"/>
      <c r="W408" s="4"/>
      <c r="X408" s="4"/>
      <c r="Y408" s="4"/>
      <c r="Z408" s="4"/>
    </row>
    <row r="409" ht="16.5" customHeight="1">
      <c r="A409" s="1"/>
      <c r="B409" s="2"/>
      <c r="C409" s="1"/>
      <c r="D409" s="2"/>
      <c r="E409" s="3"/>
      <c r="F409" s="4"/>
      <c r="G409" s="5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251"/>
      <c r="U409" s="4"/>
      <c r="V409" s="4"/>
      <c r="W409" s="4"/>
      <c r="X409" s="4"/>
      <c r="Y409" s="4"/>
      <c r="Z409" s="4"/>
    </row>
    <row r="410" ht="16.5" customHeight="1">
      <c r="A410" s="1"/>
      <c r="B410" s="2"/>
      <c r="C410" s="1"/>
      <c r="D410" s="2"/>
      <c r="E410" s="3"/>
      <c r="F410" s="4"/>
      <c r="G410" s="5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251"/>
      <c r="U410" s="4"/>
      <c r="V410" s="4"/>
      <c r="W410" s="4"/>
      <c r="X410" s="4"/>
      <c r="Y410" s="4"/>
      <c r="Z410" s="4"/>
    </row>
    <row r="411" ht="16.5" customHeight="1">
      <c r="A411" s="1"/>
      <c r="B411" s="2"/>
      <c r="C411" s="1"/>
      <c r="D411" s="2"/>
      <c r="E411" s="3"/>
      <c r="F411" s="4"/>
      <c r="G411" s="5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251"/>
      <c r="U411" s="4"/>
      <c r="V411" s="4"/>
      <c r="W411" s="4"/>
      <c r="X411" s="4"/>
      <c r="Y411" s="4"/>
      <c r="Z411" s="4"/>
    </row>
    <row r="412" ht="16.5" customHeight="1">
      <c r="A412" s="1"/>
      <c r="B412" s="2"/>
      <c r="C412" s="1"/>
      <c r="D412" s="2"/>
      <c r="E412" s="3"/>
      <c r="F412" s="4"/>
      <c r="G412" s="5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251"/>
      <c r="U412" s="4"/>
      <c r="V412" s="4"/>
      <c r="W412" s="4"/>
      <c r="X412" s="4"/>
      <c r="Y412" s="4"/>
      <c r="Z412" s="4"/>
    </row>
    <row r="413" ht="16.5" customHeight="1">
      <c r="A413" s="1"/>
      <c r="B413" s="2"/>
      <c r="C413" s="1"/>
      <c r="D413" s="2"/>
      <c r="E413" s="3"/>
      <c r="F413" s="4"/>
      <c r="G413" s="5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251"/>
      <c r="U413" s="4"/>
      <c r="V413" s="4"/>
      <c r="W413" s="4"/>
      <c r="X413" s="4"/>
      <c r="Y413" s="4"/>
      <c r="Z413" s="4"/>
    </row>
    <row r="414" ht="16.5" customHeight="1">
      <c r="A414" s="1"/>
      <c r="B414" s="2"/>
      <c r="C414" s="1"/>
      <c r="D414" s="2"/>
      <c r="E414" s="3"/>
      <c r="F414" s="4"/>
      <c r="G414" s="5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251"/>
      <c r="U414" s="4"/>
      <c r="V414" s="4"/>
      <c r="W414" s="4"/>
      <c r="X414" s="4"/>
      <c r="Y414" s="4"/>
      <c r="Z414" s="4"/>
    </row>
    <row r="415" ht="16.5" customHeight="1">
      <c r="A415" s="1"/>
      <c r="B415" s="2"/>
      <c r="C415" s="1"/>
      <c r="D415" s="2"/>
      <c r="E415" s="3"/>
      <c r="F415" s="4"/>
      <c r="G415" s="5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251"/>
      <c r="U415" s="4"/>
      <c r="V415" s="4"/>
      <c r="W415" s="4"/>
      <c r="X415" s="4"/>
      <c r="Y415" s="4"/>
      <c r="Z415" s="4"/>
    </row>
    <row r="416" ht="16.5" customHeight="1">
      <c r="A416" s="1"/>
      <c r="B416" s="2"/>
      <c r="C416" s="1"/>
      <c r="D416" s="2"/>
      <c r="E416" s="3"/>
      <c r="F416" s="4"/>
      <c r="G416" s="5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251"/>
      <c r="U416" s="4"/>
      <c r="V416" s="4"/>
      <c r="W416" s="4"/>
      <c r="X416" s="4"/>
      <c r="Y416" s="4"/>
      <c r="Z416" s="4"/>
    </row>
    <row r="417" ht="16.5" customHeight="1">
      <c r="A417" s="1"/>
      <c r="B417" s="2"/>
      <c r="C417" s="1"/>
      <c r="D417" s="2"/>
      <c r="E417" s="3"/>
      <c r="F417" s="4"/>
      <c r="G417" s="5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251"/>
      <c r="U417" s="4"/>
      <c r="V417" s="4"/>
      <c r="W417" s="4"/>
      <c r="X417" s="4"/>
      <c r="Y417" s="4"/>
      <c r="Z417" s="4"/>
    </row>
    <row r="418" ht="16.5" customHeight="1">
      <c r="A418" s="1"/>
      <c r="B418" s="2"/>
      <c r="C418" s="1"/>
      <c r="D418" s="2"/>
      <c r="E418" s="3"/>
      <c r="F418" s="4"/>
      <c r="G418" s="5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251"/>
      <c r="U418" s="4"/>
      <c r="V418" s="4"/>
      <c r="W418" s="4"/>
      <c r="X418" s="4"/>
      <c r="Y418" s="4"/>
      <c r="Z418" s="4"/>
    </row>
    <row r="419" ht="16.5" customHeight="1">
      <c r="A419" s="1"/>
      <c r="B419" s="2"/>
      <c r="C419" s="1"/>
      <c r="D419" s="2"/>
      <c r="E419" s="3"/>
      <c r="F419" s="4"/>
      <c r="G419" s="5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251"/>
      <c r="U419" s="4"/>
      <c r="V419" s="4"/>
      <c r="W419" s="4"/>
      <c r="X419" s="4"/>
      <c r="Y419" s="4"/>
      <c r="Z419" s="4"/>
    </row>
    <row r="420" ht="16.5" customHeight="1">
      <c r="A420" s="1"/>
      <c r="B420" s="2"/>
      <c r="C420" s="1"/>
      <c r="D420" s="2"/>
      <c r="E420" s="3"/>
      <c r="F420" s="4"/>
      <c r="G420" s="5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251"/>
      <c r="U420" s="4"/>
      <c r="V420" s="4"/>
      <c r="W420" s="4"/>
      <c r="X420" s="4"/>
      <c r="Y420" s="4"/>
      <c r="Z420" s="4"/>
    </row>
    <row r="421" ht="16.5" customHeight="1">
      <c r="A421" s="1"/>
      <c r="B421" s="2"/>
      <c r="C421" s="1"/>
      <c r="D421" s="2"/>
      <c r="E421" s="3"/>
      <c r="F421" s="4"/>
      <c r="G421" s="5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251"/>
      <c r="U421" s="4"/>
      <c r="V421" s="4"/>
      <c r="W421" s="4"/>
      <c r="X421" s="4"/>
      <c r="Y421" s="4"/>
      <c r="Z421" s="4"/>
    </row>
    <row r="422" ht="16.5" customHeight="1">
      <c r="A422" s="1"/>
      <c r="B422" s="2"/>
      <c r="C422" s="1"/>
      <c r="D422" s="2"/>
      <c r="E422" s="3"/>
      <c r="F422" s="4"/>
      <c r="G422" s="5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251"/>
      <c r="U422" s="4"/>
      <c r="V422" s="4"/>
      <c r="W422" s="4"/>
      <c r="X422" s="4"/>
      <c r="Y422" s="4"/>
      <c r="Z422" s="4"/>
    </row>
    <row r="423" ht="16.5" customHeight="1">
      <c r="A423" s="1"/>
      <c r="B423" s="2"/>
      <c r="C423" s="1"/>
      <c r="D423" s="2"/>
      <c r="E423" s="3"/>
      <c r="F423" s="4"/>
      <c r="G423" s="5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251"/>
      <c r="U423" s="4"/>
      <c r="V423" s="4"/>
      <c r="W423" s="4"/>
      <c r="X423" s="4"/>
      <c r="Y423" s="4"/>
      <c r="Z423" s="4"/>
    </row>
    <row r="424" ht="16.5" customHeight="1">
      <c r="A424" s="1"/>
      <c r="B424" s="2"/>
      <c r="C424" s="1"/>
      <c r="D424" s="2"/>
      <c r="E424" s="3"/>
      <c r="F424" s="4"/>
      <c r="G424" s="5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251"/>
      <c r="U424" s="4"/>
      <c r="V424" s="4"/>
      <c r="W424" s="4"/>
      <c r="X424" s="4"/>
      <c r="Y424" s="4"/>
      <c r="Z424" s="4"/>
    </row>
    <row r="425" ht="16.5" customHeight="1">
      <c r="A425" s="1"/>
      <c r="B425" s="2"/>
      <c r="C425" s="1"/>
      <c r="D425" s="2"/>
      <c r="E425" s="3"/>
      <c r="F425" s="4"/>
      <c r="G425" s="5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251"/>
      <c r="U425" s="4"/>
      <c r="V425" s="4"/>
      <c r="W425" s="4"/>
      <c r="X425" s="4"/>
      <c r="Y425" s="4"/>
      <c r="Z425" s="4"/>
    </row>
    <row r="426" ht="16.5" customHeight="1">
      <c r="A426" s="1"/>
      <c r="B426" s="2"/>
      <c r="C426" s="1"/>
      <c r="D426" s="2"/>
      <c r="E426" s="3"/>
      <c r="F426" s="4"/>
      <c r="G426" s="5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251"/>
      <c r="U426" s="4"/>
      <c r="V426" s="4"/>
      <c r="W426" s="4"/>
      <c r="X426" s="4"/>
      <c r="Y426" s="4"/>
      <c r="Z426" s="4"/>
    </row>
    <row r="427" ht="16.5" customHeight="1">
      <c r="A427" s="1"/>
      <c r="B427" s="2"/>
      <c r="C427" s="1"/>
      <c r="D427" s="2"/>
      <c r="E427" s="3"/>
      <c r="F427" s="4"/>
      <c r="G427" s="5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251"/>
      <c r="U427" s="4"/>
      <c r="V427" s="4"/>
      <c r="W427" s="4"/>
      <c r="X427" s="4"/>
      <c r="Y427" s="4"/>
      <c r="Z427" s="4"/>
    </row>
    <row r="428" ht="16.5" customHeight="1">
      <c r="A428" s="1"/>
      <c r="B428" s="2"/>
      <c r="C428" s="1"/>
      <c r="D428" s="2"/>
      <c r="E428" s="3"/>
      <c r="F428" s="4"/>
      <c r="G428" s="5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251"/>
      <c r="U428" s="4"/>
      <c r="V428" s="4"/>
      <c r="W428" s="4"/>
      <c r="X428" s="4"/>
      <c r="Y428" s="4"/>
      <c r="Z428" s="4"/>
    </row>
    <row r="429" ht="16.5" customHeight="1">
      <c r="A429" s="1"/>
      <c r="B429" s="2"/>
      <c r="C429" s="1"/>
      <c r="D429" s="2"/>
      <c r="E429" s="3"/>
      <c r="F429" s="4"/>
      <c r="G429" s="5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251"/>
      <c r="U429" s="4"/>
      <c r="V429" s="4"/>
      <c r="W429" s="4"/>
      <c r="X429" s="4"/>
      <c r="Y429" s="4"/>
      <c r="Z429" s="4"/>
    </row>
    <row r="430" ht="16.5" customHeight="1">
      <c r="A430" s="1"/>
      <c r="B430" s="2"/>
      <c r="C430" s="1"/>
      <c r="D430" s="2"/>
      <c r="E430" s="3"/>
      <c r="F430" s="4"/>
      <c r="G430" s="5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251"/>
      <c r="U430" s="4"/>
      <c r="V430" s="4"/>
      <c r="W430" s="4"/>
      <c r="X430" s="4"/>
      <c r="Y430" s="4"/>
      <c r="Z430" s="4"/>
    </row>
    <row r="431" ht="16.5" customHeight="1">
      <c r="A431" s="1"/>
      <c r="B431" s="2"/>
      <c r="C431" s="1"/>
      <c r="D431" s="2"/>
      <c r="E431" s="3"/>
      <c r="F431" s="4"/>
      <c r="G431" s="5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251"/>
      <c r="U431" s="4"/>
      <c r="V431" s="4"/>
      <c r="W431" s="4"/>
      <c r="X431" s="4"/>
      <c r="Y431" s="4"/>
      <c r="Z431" s="4"/>
    </row>
    <row r="432" ht="16.5" customHeight="1">
      <c r="A432" s="1"/>
      <c r="B432" s="2"/>
      <c r="C432" s="1"/>
      <c r="D432" s="2"/>
      <c r="E432" s="3"/>
      <c r="F432" s="4"/>
      <c r="G432" s="5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251"/>
      <c r="U432" s="4"/>
      <c r="V432" s="4"/>
      <c r="W432" s="4"/>
      <c r="X432" s="4"/>
      <c r="Y432" s="4"/>
      <c r="Z432" s="4"/>
    </row>
    <row r="433" ht="16.5" customHeight="1">
      <c r="A433" s="1"/>
      <c r="B433" s="2"/>
      <c r="C433" s="1"/>
      <c r="D433" s="2"/>
      <c r="E433" s="3"/>
      <c r="F433" s="4"/>
      <c r="G433" s="5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251"/>
      <c r="U433" s="4"/>
      <c r="V433" s="4"/>
      <c r="W433" s="4"/>
      <c r="X433" s="4"/>
      <c r="Y433" s="4"/>
      <c r="Z433" s="4"/>
    </row>
    <row r="434" ht="16.5" customHeight="1">
      <c r="A434" s="1"/>
      <c r="B434" s="2"/>
      <c r="C434" s="1"/>
      <c r="D434" s="2"/>
      <c r="E434" s="3"/>
      <c r="F434" s="4"/>
      <c r="G434" s="5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251"/>
      <c r="U434" s="4"/>
      <c r="V434" s="4"/>
      <c r="W434" s="4"/>
      <c r="X434" s="4"/>
      <c r="Y434" s="4"/>
      <c r="Z434" s="4"/>
    </row>
    <row r="435" ht="16.5" customHeight="1">
      <c r="A435" s="1"/>
      <c r="B435" s="2"/>
      <c r="C435" s="1"/>
      <c r="D435" s="2"/>
      <c r="E435" s="3"/>
      <c r="F435" s="4"/>
      <c r="G435" s="5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251"/>
      <c r="U435" s="4"/>
      <c r="V435" s="4"/>
      <c r="W435" s="4"/>
      <c r="X435" s="4"/>
      <c r="Y435" s="4"/>
      <c r="Z435" s="4"/>
    </row>
    <row r="436" ht="16.5" customHeight="1">
      <c r="A436" s="1"/>
      <c r="B436" s="2"/>
      <c r="C436" s="1"/>
      <c r="D436" s="2"/>
      <c r="E436" s="3"/>
      <c r="F436" s="4"/>
      <c r="G436" s="5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251"/>
      <c r="U436" s="4"/>
      <c r="V436" s="4"/>
      <c r="W436" s="4"/>
      <c r="X436" s="4"/>
      <c r="Y436" s="4"/>
      <c r="Z436" s="4"/>
    </row>
    <row r="437" ht="16.5" customHeight="1">
      <c r="A437" s="1"/>
      <c r="B437" s="2"/>
      <c r="C437" s="1"/>
      <c r="D437" s="2"/>
      <c r="E437" s="3"/>
      <c r="F437" s="4"/>
      <c r="G437" s="5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251"/>
      <c r="U437" s="4"/>
      <c r="V437" s="4"/>
      <c r="W437" s="4"/>
      <c r="X437" s="4"/>
      <c r="Y437" s="4"/>
      <c r="Z437" s="4"/>
    </row>
    <row r="438" ht="16.5" customHeight="1">
      <c r="A438" s="1"/>
      <c r="B438" s="2"/>
      <c r="C438" s="1"/>
      <c r="D438" s="2"/>
      <c r="E438" s="3"/>
      <c r="F438" s="4"/>
      <c r="G438" s="5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251"/>
      <c r="U438" s="4"/>
      <c r="V438" s="4"/>
      <c r="W438" s="4"/>
      <c r="X438" s="4"/>
      <c r="Y438" s="4"/>
      <c r="Z438" s="4"/>
    </row>
    <row r="439" ht="16.5" customHeight="1">
      <c r="A439" s="1"/>
      <c r="B439" s="2"/>
      <c r="C439" s="1"/>
      <c r="D439" s="2"/>
      <c r="E439" s="3"/>
      <c r="F439" s="4"/>
      <c r="G439" s="5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251"/>
      <c r="U439" s="4"/>
      <c r="V439" s="4"/>
      <c r="W439" s="4"/>
      <c r="X439" s="4"/>
      <c r="Y439" s="4"/>
      <c r="Z439" s="4"/>
    </row>
    <row r="440" ht="16.5" customHeight="1">
      <c r="A440" s="1"/>
      <c r="B440" s="2"/>
      <c r="C440" s="1"/>
      <c r="D440" s="2"/>
      <c r="E440" s="3"/>
      <c r="F440" s="4"/>
      <c r="G440" s="5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251"/>
      <c r="U440" s="4"/>
      <c r="V440" s="4"/>
      <c r="W440" s="4"/>
      <c r="X440" s="4"/>
      <c r="Y440" s="4"/>
      <c r="Z440" s="4"/>
    </row>
    <row r="441" ht="16.5" customHeight="1">
      <c r="A441" s="1"/>
      <c r="B441" s="2"/>
      <c r="C441" s="1"/>
      <c r="D441" s="2"/>
      <c r="E441" s="3"/>
      <c r="F441" s="4"/>
      <c r="G441" s="5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251"/>
      <c r="U441" s="4"/>
      <c r="V441" s="4"/>
      <c r="W441" s="4"/>
      <c r="X441" s="4"/>
      <c r="Y441" s="4"/>
      <c r="Z441" s="4"/>
    </row>
    <row r="442" ht="16.5" customHeight="1">
      <c r="A442" s="1"/>
      <c r="B442" s="2"/>
      <c r="C442" s="1"/>
      <c r="D442" s="2"/>
      <c r="E442" s="3"/>
      <c r="F442" s="4"/>
      <c r="G442" s="5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251"/>
      <c r="U442" s="4"/>
      <c r="V442" s="4"/>
      <c r="W442" s="4"/>
      <c r="X442" s="4"/>
      <c r="Y442" s="4"/>
      <c r="Z442" s="4"/>
    </row>
    <row r="443" ht="16.5" customHeight="1">
      <c r="A443" s="1"/>
      <c r="B443" s="2"/>
      <c r="C443" s="1"/>
      <c r="D443" s="2"/>
      <c r="E443" s="3"/>
      <c r="F443" s="4"/>
      <c r="G443" s="5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251"/>
      <c r="U443" s="4"/>
      <c r="V443" s="4"/>
      <c r="W443" s="4"/>
      <c r="X443" s="4"/>
      <c r="Y443" s="4"/>
      <c r="Z443" s="4"/>
    </row>
    <row r="444" ht="16.5" customHeight="1">
      <c r="A444" s="1"/>
      <c r="B444" s="2"/>
      <c r="C444" s="1"/>
      <c r="D444" s="2"/>
      <c r="E444" s="3"/>
      <c r="F444" s="4"/>
      <c r="G444" s="5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251"/>
      <c r="U444" s="4"/>
      <c r="V444" s="4"/>
      <c r="W444" s="4"/>
      <c r="X444" s="4"/>
      <c r="Y444" s="4"/>
      <c r="Z444" s="4"/>
    </row>
    <row r="445" ht="16.5" customHeight="1">
      <c r="A445" s="1"/>
      <c r="B445" s="2"/>
      <c r="C445" s="1"/>
      <c r="D445" s="2"/>
      <c r="E445" s="3"/>
      <c r="F445" s="4"/>
      <c r="G445" s="5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251"/>
      <c r="U445" s="4"/>
      <c r="V445" s="4"/>
      <c r="W445" s="4"/>
      <c r="X445" s="4"/>
      <c r="Y445" s="4"/>
      <c r="Z445" s="4"/>
    </row>
    <row r="446" ht="16.5" customHeight="1">
      <c r="A446" s="1"/>
      <c r="B446" s="2"/>
      <c r="C446" s="1"/>
      <c r="D446" s="2"/>
      <c r="E446" s="3"/>
      <c r="F446" s="4"/>
      <c r="G446" s="5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251"/>
      <c r="U446" s="4"/>
      <c r="V446" s="4"/>
      <c r="W446" s="4"/>
      <c r="X446" s="4"/>
      <c r="Y446" s="4"/>
      <c r="Z446" s="4"/>
    </row>
    <row r="447" ht="16.5" customHeight="1">
      <c r="A447" s="1"/>
      <c r="B447" s="2"/>
      <c r="C447" s="1"/>
      <c r="D447" s="2"/>
      <c r="E447" s="3"/>
      <c r="F447" s="4"/>
      <c r="G447" s="5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251"/>
      <c r="U447" s="4"/>
      <c r="V447" s="4"/>
      <c r="W447" s="4"/>
      <c r="X447" s="4"/>
      <c r="Y447" s="4"/>
      <c r="Z447" s="4"/>
    </row>
    <row r="448" ht="16.5" customHeight="1">
      <c r="A448" s="1"/>
      <c r="B448" s="2"/>
      <c r="C448" s="1"/>
      <c r="D448" s="2"/>
      <c r="E448" s="3"/>
      <c r="F448" s="4"/>
      <c r="G448" s="5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251"/>
      <c r="U448" s="4"/>
      <c r="V448" s="4"/>
      <c r="W448" s="4"/>
      <c r="X448" s="4"/>
      <c r="Y448" s="4"/>
      <c r="Z448" s="4"/>
    </row>
    <row r="449" ht="16.5" customHeight="1">
      <c r="A449" s="1"/>
      <c r="B449" s="2"/>
      <c r="C449" s="1"/>
      <c r="D449" s="2"/>
      <c r="E449" s="3"/>
      <c r="F449" s="4"/>
      <c r="G449" s="5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251"/>
      <c r="U449" s="4"/>
      <c r="V449" s="4"/>
      <c r="W449" s="4"/>
      <c r="X449" s="4"/>
      <c r="Y449" s="4"/>
      <c r="Z449" s="4"/>
    </row>
    <row r="450" ht="16.5" customHeight="1">
      <c r="A450" s="1"/>
      <c r="B450" s="2"/>
      <c r="C450" s="1"/>
      <c r="D450" s="2"/>
      <c r="E450" s="3"/>
      <c r="F450" s="4"/>
      <c r="G450" s="5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251"/>
      <c r="U450" s="4"/>
      <c r="V450" s="4"/>
      <c r="W450" s="4"/>
      <c r="X450" s="4"/>
      <c r="Y450" s="4"/>
      <c r="Z450" s="4"/>
    </row>
    <row r="451" ht="16.5" customHeight="1">
      <c r="A451" s="1"/>
      <c r="B451" s="2"/>
      <c r="C451" s="1"/>
      <c r="D451" s="2"/>
      <c r="E451" s="3"/>
      <c r="F451" s="4"/>
      <c r="G451" s="5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251"/>
      <c r="U451" s="4"/>
      <c r="V451" s="4"/>
      <c r="W451" s="4"/>
      <c r="X451" s="4"/>
      <c r="Y451" s="4"/>
      <c r="Z451" s="4"/>
    </row>
    <row r="452" ht="16.5" customHeight="1">
      <c r="A452" s="1"/>
      <c r="B452" s="2"/>
      <c r="C452" s="1"/>
      <c r="D452" s="2"/>
      <c r="E452" s="3"/>
      <c r="F452" s="4"/>
      <c r="G452" s="5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251"/>
      <c r="U452" s="4"/>
      <c r="V452" s="4"/>
      <c r="W452" s="4"/>
      <c r="X452" s="4"/>
      <c r="Y452" s="4"/>
      <c r="Z452" s="4"/>
    </row>
    <row r="453" ht="16.5" customHeight="1">
      <c r="A453" s="1"/>
      <c r="B453" s="2"/>
      <c r="C453" s="1"/>
      <c r="D453" s="2"/>
      <c r="E453" s="3"/>
      <c r="F453" s="4"/>
      <c r="G453" s="5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251"/>
      <c r="U453" s="4"/>
      <c r="V453" s="4"/>
      <c r="W453" s="4"/>
      <c r="X453" s="4"/>
      <c r="Y453" s="4"/>
      <c r="Z453" s="4"/>
    </row>
    <row r="454" ht="16.5" customHeight="1">
      <c r="A454" s="1"/>
      <c r="B454" s="2"/>
      <c r="C454" s="1"/>
      <c r="D454" s="2"/>
      <c r="E454" s="3"/>
      <c r="F454" s="4"/>
      <c r="G454" s="5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251"/>
      <c r="U454" s="4"/>
      <c r="V454" s="4"/>
      <c r="W454" s="4"/>
      <c r="X454" s="4"/>
      <c r="Y454" s="4"/>
      <c r="Z454" s="4"/>
    </row>
    <row r="455" ht="16.5" customHeight="1">
      <c r="A455" s="1"/>
      <c r="B455" s="2"/>
      <c r="C455" s="1"/>
      <c r="D455" s="2"/>
      <c r="E455" s="3"/>
      <c r="F455" s="4"/>
      <c r="G455" s="5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251"/>
      <c r="U455" s="4"/>
      <c r="V455" s="4"/>
      <c r="W455" s="4"/>
      <c r="X455" s="4"/>
      <c r="Y455" s="4"/>
      <c r="Z455" s="4"/>
    </row>
    <row r="456" ht="16.5" customHeight="1">
      <c r="A456" s="1"/>
      <c r="B456" s="2"/>
      <c r="C456" s="1"/>
      <c r="D456" s="2"/>
      <c r="E456" s="3"/>
      <c r="F456" s="4"/>
      <c r="G456" s="5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251"/>
      <c r="U456" s="4"/>
      <c r="V456" s="4"/>
      <c r="W456" s="4"/>
      <c r="X456" s="4"/>
      <c r="Y456" s="4"/>
      <c r="Z456" s="4"/>
    </row>
    <row r="457" ht="16.5" customHeight="1">
      <c r="A457" s="1"/>
      <c r="B457" s="2"/>
      <c r="C457" s="1"/>
      <c r="D457" s="2"/>
      <c r="E457" s="3"/>
      <c r="F457" s="4"/>
      <c r="G457" s="5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251"/>
      <c r="U457" s="4"/>
      <c r="V457" s="4"/>
      <c r="W457" s="4"/>
      <c r="X457" s="4"/>
      <c r="Y457" s="4"/>
      <c r="Z457" s="4"/>
    </row>
    <row r="458" ht="16.5" customHeight="1">
      <c r="A458" s="1"/>
      <c r="B458" s="2"/>
      <c r="C458" s="1"/>
      <c r="D458" s="2"/>
      <c r="E458" s="3"/>
      <c r="F458" s="4"/>
      <c r="G458" s="5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251"/>
      <c r="U458" s="4"/>
      <c r="V458" s="4"/>
      <c r="W458" s="4"/>
      <c r="X458" s="4"/>
      <c r="Y458" s="4"/>
      <c r="Z458" s="4"/>
    </row>
    <row r="459" ht="16.5" customHeight="1">
      <c r="A459" s="1"/>
      <c r="B459" s="2"/>
      <c r="C459" s="1"/>
      <c r="D459" s="2"/>
      <c r="E459" s="3"/>
      <c r="F459" s="4"/>
      <c r="G459" s="5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251"/>
      <c r="U459" s="4"/>
      <c r="V459" s="4"/>
      <c r="W459" s="4"/>
      <c r="X459" s="4"/>
      <c r="Y459" s="4"/>
      <c r="Z459" s="4"/>
    </row>
    <row r="460" ht="16.5" customHeight="1">
      <c r="A460" s="1"/>
      <c r="B460" s="2"/>
      <c r="C460" s="1"/>
      <c r="D460" s="2"/>
      <c r="E460" s="3"/>
      <c r="F460" s="4"/>
      <c r="G460" s="5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251"/>
      <c r="U460" s="4"/>
      <c r="V460" s="4"/>
      <c r="W460" s="4"/>
      <c r="X460" s="4"/>
      <c r="Y460" s="4"/>
      <c r="Z460" s="4"/>
    </row>
    <row r="461" ht="16.5" customHeight="1">
      <c r="A461" s="1"/>
      <c r="B461" s="2"/>
      <c r="C461" s="1"/>
      <c r="D461" s="2"/>
      <c r="E461" s="3"/>
      <c r="F461" s="4"/>
      <c r="G461" s="5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251"/>
      <c r="U461" s="4"/>
      <c r="V461" s="4"/>
      <c r="W461" s="4"/>
      <c r="X461" s="4"/>
      <c r="Y461" s="4"/>
      <c r="Z461" s="4"/>
    </row>
    <row r="462" ht="16.5" customHeight="1">
      <c r="A462" s="1"/>
      <c r="B462" s="2"/>
      <c r="C462" s="1"/>
      <c r="D462" s="2"/>
      <c r="E462" s="3"/>
      <c r="F462" s="4"/>
      <c r="G462" s="5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251"/>
      <c r="U462" s="4"/>
      <c r="V462" s="4"/>
      <c r="W462" s="4"/>
      <c r="X462" s="4"/>
      <c r="Y462" s="4"/>
      <c r="Z462" s="4"/>
    </row>
    <row r="463" ht="16.5" customHeight="1">
      <c r="A463" s="1"/>
      <c r="B463" s="2"/>
      <c r="C463" s="1"/>
      <c r="D463" s="2"/>
      <c r="E463" s="3"/>
      <c r="F463" s="4"/>
      <c r="G463" s="5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251"/>
      <c r="U463" s="4"/>
      <c r="V463" s="4"/>
      <c r="W463" s="4"/>
      <c r="X463" s="4"/>
      <c r="Y463" s="4"/>
      <c r="Z463" s="4"/>
    </row>
    <row r="464" ht="16.5" customHeight="1">
      <c r="A464" s="1"/>
      <c r="B464" s="2"/>
      <c r="C464" s="1"/>
      <c r="D464" s="2"/>
      <c r="E464" s="3"/>
      <c r="F464" s="4"/>
      <c r="G464" s="5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251"/>
      <c r="U464" s="4"/>
      <c r="V464" s="4"/>
      <c r="W464" s="4"/>
      <c r="X464" s="4"/>
      <c r="Y464" s="4"/>
      <c r="Z464" s="4"/>
    </row>
    <row r="465" ht="16.5" customHeight="1">
      <c r="A465" s="1"/>
      <c r="B465" s="2"/>
      <c r="C465" s="1"/>
      <c r="D465" s="2"/>
      <c r="E465" s="3"/>
      <c r="F465" s="4"/>
      <c r="G465" s="5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251"/>
      <c r="U465" s="4"/>
      <c r="V465" s="4"/>
      <c r="W465" s="4"/>
      <c r="X465" s="4"/>
      <c r="Y465" s="4"/>
      <c r="Z465" s="4"/>
    </row>
    <row r="466" ht="16.5" customHeight="1">
      <c r="A466" s="1"/>
      <c r="B466" s="2"/>
      <c r="C466" s="1"/>
      <c r="D466" s="2"/>
      <c r="E466" s="3"/>
      <c r="F466" s="4"/>
      <c r="G466" s="5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251"/>
      <c r="U466" s="4"/>
      <c r="V466" s="4"/>
      <c r="W466" s="4"/>
      <c r="X466" s="4"/>
      <c r="Y466" s="4"/>
      <c r="Z466" s="4"/>
    </row>
    <row r="467" ht="16.5" customHeight="1">
      <c r="A467" s="1"/>
      <c r="B467" s="2"/>
      <c r="C467" s="1"/>
      <c r="D467" s="2"/>
      <c r="E467" s="3"/>
      <c r="F467" s="4"/>
      <c r="G467" s="5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251"/>
      <c r="U467" s="4"/>
      <c r="V467" s="4"/>
      <c r="W467" s="4"/>
      <c r="X467" s="4"/>
      <c r="Y467" s="4"/>
      <c r="Z467" s="4"/>
    </row>
    <row r="468" ht="16.5" customHeight="1">
      <c r="A468" s="1"/>
      <c r="B468" s="2"/>
      <c r="C468" s="1"/>
      <c r="D468" s="2"/>
      <c r="E468" s="3"/>
      <c r="F468" s="4"/>
      <c r="G468" s="5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251"/>
      <c r="U468" s="4"/>
      <c r="V468" s="4"/>
      <c r="W468" s="4"/>
      <c r="X468" s="4"/>
      <c r="Y468" s="4"/>
      <c r="Z468" s="4"/>
    </row>
    <row r="469" ht="16.5" customHeight="1">
      <c r="A469" s="1"/>
      <c r="B469" s="2"/>
      <c r="C469" s="1"/>
      <c r="D469" s="2"/>
      <c r="E469" s="3"/>
      <c r="F469" s="4"/>
      <c r="G469" s="5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251"/>
      <c r="U469" s="4"/>
      <c r="V469" s="4"/>
      <c r="W469" s="4"/>
      <c r="X469" s="4"/>
      <c r="Y469" s="4"/>
      <c r="Z469" s="4"/>
    </row>
    <row r="470" ht="16.5" customHeight="1">
      <c r="A470" s="1"/>
      <c r="B470" s="2"/>
      <c r="C470" s="1"/>
      <c r="D470" s="2"/>
      <c r="E470" s="3"/>
      <c r="F470" s="4"/>
      <c r="G470" s="5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251"/>
      <c r="U470" s="4"/>
      <c r="V470" s="4"/>
      <c r="W470" s="4"/>
      <c r="X470" s="4"/>
      <c r="Y470" s="4"/>
      <c r="Z470" s="4"/>
    </row>
    <row r="471" ht="16.5" customHeight="1">
      <c r="A471" s="1"/>
      <c r="B471" s="2"/>
      <c r="C471" s="1"/>
      <c r="D471" s="2"/>
      <c r="E471" s="3"/>
      <c r="F471" s="4"/>
      <c r="G471" s="5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251"/>
      <c r="U471" s="4"/>
      <c r="V471" s="4"/>
      <c r="W471" s="4"/>
      <c r="X471" s="4"/>
      <c r="Y471" s="4"/>
      <c r="Z471" s="4"/>
    </row>
    <row r="472" ht="16.5" customHeight="1">
      <c r="A472" s="1"/>
      <c r="B472" s="2"/>
      <c r="C472" s="1"/>
      <c r="D472" s="2"/>
      <c r="E472" s="3"/>
      <c r="F472" s="4"/>
      <c r="G472" s="5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251"/>
      <c r="U472" s="4"/>
      <c r="V472" s="4"/>
      <c r="W472" s="4"/>
      <c r="X472" s="4"/>
      <c r="Y472" s="4"/>
      <c r="Z472" s="4"/>
    </row>
    <row r="473" ht="16.5" customHeight="1">
      <c r="A473" s="1"/>
      <c r="B473" s="2"/>
      <c r="C473" s="1"/>
      <c r="D473" s="2"/>
      <c r="E473" s="3"/>
      <c r="F473" s="4"/>
      <c r="G473" s="5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251"/>
      <c r="U473" s="4"/>
      <c r="V473" s="4"/>
      <c r="W473" s="4"/>
      <c r="X473" s="4"/>
      <c r="Y473" s="4"/>
      <c r="Z473" s="4"/>
    </row>
    <row r="474" ht="16.5" customHeight="1">
      <c r="A474" s="1"/>
      <c r="B474" s="2"/>
      <c r="C474" s="1"/>
      <c r="D474" s="2"/>
      <c r="E474" s="3"/>
      <c r="F474" s="4"/>
      <c r="G474" s="5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251"/>
      <c r="U474" s="4"/>
      <c r="V474" s="4"/>
      <c r="W474" s="4"/>
      <c r="X474" s="4"/>
      <c r="Y474" s="4"/>
      <c r="Z474" s="4"/>
    </row>
    <row r="475" ht="16.5" customHeight="1">
      <c r="A475" s="1"/>
      <c r="B475" s="2"/>
      <c r="C475" s="1"/>
      <c r="D475" s="2"/>
      <c r="E475" s="3"/>
      <c r="F475" s="4"/>
      <c r="G475" s="5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251"/>
      <c r="U475" s="4"/>
      <c r="V475" s="4"/>
      <c r="W475" s="4"/>
      <c r="X475" s="4"/>
      <c r="Y475" s="4"/>
      <c r="Z475" s="4"/>
    </row>
    <row r="476" ht="16.5" customHeight="1">
      <c r="A476" s="1"/>
      <c r="B476" s="2"/>
      <c r="C476" s="1"/>
      <c r="D476" s="2"/>
      <c r="E476" s="3"/>
      <c r="F476" s="4"/>
      <c r="G476" s="5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251"/>
      <c r="U476" s="4"/>
      <c r="V476" s="4"/>
      <c r="W476" s="4"/>
      <c r="X476" s="4"/>
      <c r="Y476" s="4"/>
      <c r="Z476" s="4"/>
    </row>
    <row r="477" ht="16.5" customHeight="1">
      <c r="A477" s="1"/>
      <c r="B477" s="2"/>
      <c r="C477" s="1"/>
      <c r="D477" s="2"/>
      <c r="E477" s="3"/>
      <c r="F477" s="4"/>
      <c r="G477" s="5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251"/>
      <c r="U477" s="4"/>
      <c r="V477" s="4"/>
      <c r="W477" s="4"/>
      <c r="X477" s="4"/>
      <c r="Y477" s="4"/>
      <c r="Z477" s="4"/>
    </row>
    <row r="478" ht="16.5" customHeight="1">
      <c r="A478" s="1"/>
      <c r="B478" s="2"/>
      <c r="C478" s="1"/>
      <c r="D478" s="2"/>
      <c r="E478" s="3"/>
      <c r="F478" s="4"/>
      <c r="G478" s="5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251"/>
      <c r="U478" s="4"/>
      <c r="V478" s="4"/>
      <c r="W478" s="4"/>
      <c r="X478" s="4"/>
      <c r="Y478" s="4"/>
      <c r="Z478" s="4"/>
    </row>
    <row r="479" ht="16.5" customHeight="1">
      <c r="A479" s="1"/>
      <c r="B479" s="2"/>
      <c r="C479" s="1"/>
      <c r="D479" s="2"/>
      <c r="E479" s="3"/>
      <c r="F479" s="4"/>
      <c r="G479" s="5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251"/>
      <c r="U479" s="4"/>
      <c r="V479" s="4"/>
      <c r="W479" s="4"/>
      <c r="X479" s="4"/>
      <c r="Y479" s="4"/>
      <c r="Z479" s="4"/>
    </row>
    <row r="480" ht="16.5" customHeight="1">
      <c r="A480" s="1"/>
      <c r="B480" s="2"/>
      <c r="C480" s="1"/>
      <c r="D480" s="2"/>
      <c r="E480" s="3"/>
      <c r="F480" s="4"/>
      <c r="G480" s="5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251"/>
      <c r="U480" s="4"/>
      <c r="V480" s="4"/>
      <c r="W480" s="4"/>
      <c r="X480" s="4"/>
      <c r="Y480" s="4"/>
      <c r="Z480" s="4"/>
    </row>
    <row r="481" ht="16.5" customHeight="1">
      <c r="A481" s="1"/>
      <c r="B481" s="2"/>
      <c r="C481" s="1"/>
      <c r="D481" s="2"/>
      <c r="E481" s="3"/>
      <c r="F481" s="4"/>
      <c r="G481" s="5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251"/>
      <c r="U481" s="4"/>
      <c r="V481" s="4"/>
      <c r="W481" s="4"/>
      <c r="X481" s="4"/>
      <c r="Y481" s="4"/>
      <c r="Z481" s="4"/>
    </row>
    <row r="482" ht="16.5" customHeight="1">
      <c r="A482" s="1"/>
      <c r="B482" s="2"/>
      <c r="C482" s="1"/>
      <c r="D482" s="2"/>
      <c r="E482" s="3"/>
      <c r="F482" s="4"/>
      <c r="G482" s="5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251"/>
      <c r="U482" s="4"/>
      <c r="V482" s="4"/>
      <c r="W482" s="4"/>
      <c r="X482" s="4"/>
      <c r="Y482" s="4"/>
      <c r="Z482" s="4"/>
    </row>
    <row r="483" ht="16.5" customHeight="1">
      <c r="A483" s="1"/>
      <c r="B483" s="2"/>
      <c r="C483" s="1"/>
      <c r="D483" s="2"/>
      <c r="E483" s="3"/>
      <c r="F483" s="4"/>
      <c r="G483" s="5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251"/>
      <c r="U483" s="4"/>
      <c r="V483" s="4"/>
      <c r="W483" s="4"/>
      <c r="X483" s="4"/>
      <c r="Y483" s="4"/>
      <c r="Z483" s="4"/>
    </row>
    <row r="484" ht="16.5" customHeight="1">
      <c r="A484" s="1"/>
      <c r="B484" s="2"/>
      <c r="C484" s="1"/>
      <c r="D484" s="2"/>
      <c r="E484" s="3"/>
      <c r="F484" s="4"/>
      <c r="G484" s="5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251"/>
      <c r="U484" s="4"/>
      <c r="V484" s="4"/>
      <c r="W484" s="4"/>
      <c r="X484" s="4"/>
      <c r="Y484" s="4"/>
      <c r="Z484" s="4"/>
    </row>
    <row r="485" ht="16.5" customHeight="1">
      <c r="A485" s="1"/>
      <c r="B485" s="2"/>
      <c r="C485" s="1"/>
      <c r="D485" s="2"/>
      <c r="E485" s="3"/>
      <c r="F485" s="4"/>
      <c r="G485" s="5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251"/>
      <c r="U485" s="4"/>
      <c r="V485" s="4"/>
      <c r="W485" s="4"/>
      <c r="X485" s="4"/>
      <c r="Y485" s="4"/>
      <c r="Z485" s="4"/>
    </row>
    <row r="486" ht="16.5" customHeight="1">
      <c r="A486" s="1"/>
      <c r="B486" s="2"/>
      <c r="C486" s="1"/>
      <c r="D486" s="2"/>
      <c r="E486" s="3"/>
      <c r="F486" s="4"/>
      <c r="G486" s="5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251"/>
      <c r="U486" s="4"/>
      <c r="V486" s="4"/>
      <c r="W486" s="4"/>
      <c r="X486" s="4"/>
      <c r="Y486" s="4"/>
      <c r="Z486" s="4"/>
    </row>
    <row r="487" ht="16.5" customHeight="1">
      <c r="A487" s="1"/>
      <c r="B487" s="2"/>
      <c r="C487" s="1"/>
      <c r="D487" s="2"/>
      <c r="E487" s="3"/>
      <c r="F487" s="4"/>
      <c r="G487" s="5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251"/>
      <c r="U487" s="4"/>
      <c r="V487" s="4"/>
      <c r="W487" s="4"/>
      <c r="X487" s="4"/>
      <c r="Y487" s="4"/>
      <c r="Z487" s="4"/>
    </row>
    <row r="488" ht="16.5" customHeight="1">
      <c r="A488" s="1"/>
      <c r="B488" s="2"/>
      <c r="C488" s="1"/>
      <c r="D488" s="2"/>
      <c r="E488" s="3"/>
      <c r="F488" s="4"/>
      <c r="G488" s="5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251"/>
      <c r="U488" s="4"/>
      <c r="V488" s="4"/>
      <c r="W488" s="4"/>
      <c r="X488" s="4"/>
      <c r="Y488" s="4"/>
      <c r="Z488" s="4"/>
    </row>
    <row r="489" ht="16.5" customHeight="1">
      <c r="A489" s="1"/>
      <c r="B489" s="2"/>
      <c r="C489" s="1"/>
      <c r="D489" s="2"/>
      <c r="E489" s="3"/>
      <c r="F489" s="4"/>
      <c r="G489" s="5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251"/>
      <c r="U489" s="4"/>
      <c r="V489" s="4"/>
      <c r="W489" s="4"/>
      <c r="X489" s="4"/>
      <c r="Y489" s="4"/>
      <c r="Z489" s="4"/>
    </row>
    <row r="490" ht="16.5" customHeight="1">
      <c r="A490" s="1"/>
      <c r="B490" s="2"/>
      <c r="C490" s="1"/>
      <c r="D490" s="2"/>
      <c r="E490" s="3"/>
      <c r="F490" s="4"/>
      <c r="G490" s="5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251"/>
      <c r="U490" s="4"/>
      <c r="V490" s="4"/>
      <c r="W490" s="4"/>
      <c r="X490" s="4"/>
      <c r="Y490" s="4"/>
      <c r="Z490" s="4"/>
    </row>
    <row r="491" ht="16.5" customHeight="1">
      <c r="A491" s="1"/>
      <c r="B491" s="2"/>
      <c r="C491" s="1"/>
      <c r="D491" s="2"/>
      <c r="E491" s="3"/>
      <c r="F491" s="4"/>
      <c r="G491" s="5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251"/>
      <c r="U491" s="4"/>
      <c r="V491" s="4"/>
      <c r="W491" s="4"/>
      <c r="X491" s="4"/>
      <c r="Y491" s="4"/>
      <c r="Z491" s="4"/>
    </row>
    <row r="492" ht="16.5" customHeight="1">
      <c r="A492" s="1"/>
      <c r="B492" s="2"/>
      <c r="C492" s="1"/>
      <c r="D492" s="2"/>
      <c r="E492" s="3"/>
      <c r="F492" s="4"/>
      <c r="G492" s="5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251"/>
      <c r="U492" s="4"/>
      <c r="V492" s="4"/>
      <c r="W492" s="4"/>
      <c r="X492" s="4"/>
      <c r="Y492" s="4"/>
      <c r="Z492" s="4"/>
    </row>
    <row r="493" ht="16.5" customHeight="1">
      <c r="A493" s="1"/>
      <c r="B493" s="2"/>
      <c r="C493" s="1"/>
      <c r="D493" s="2"/>
      <c r="E493" s="3"/>
      <c r="F493" s="4"/>
      <c r="G493" s="5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251"/>
      <c r="U493" s="4"/>
      <c r="V493" s="4"/>
      <c r="W493" s="4"/>
      <c r="X493" s="4"/>
      <c r="Y493" s="4"/>
      <c r="Z493" s="4"/>
    </row>
    <row r="494" ht="16.5" customHeight="1">
      <c r="A494" s="1"/>
      <c r="B494" s="2"/>
      <c r="C494" s="1"/>
      <c r="D494" s="2"/>
      <c r="E494" s="3"/>
      <c r="F494" s="4"/>
      <c r="G494" s="5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251"/>
      <c r="U494" s="4"/>
      <c r="V494" s="4"/>
      <c r="W494" s="4"/>
      <c r="X494" s="4"/>
      <c r="Y494" s="4"/>
      <c r="Z494" s="4"/>
    </row>
    <row r="495" ht="16.5" customHeight="1">
      <c r="A495" s="1"/>
      <c r="B495" s="2"/>
      <c r="C495" s="1"/>
      <c r="D495" s="2"/>
      <c r="E495" s="3"/>
      <c r="F495" s="4"/>
      <c r="G495" s="5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251"/>
      <c r="U495" s="4"/>
      <c r="V495" s="4"/>
      <c r="W495" s="4"/>
      <c r="X495" s="4"/>
      <c r="Y495" s="4"/>
      <c r="Z495" s="4"/>
    </row>
    <row r="496" ht="16.5" customHeight="1">
      <c r="A496" s="1"/>
      <c r="B496" s="2"/>
      <c r="C496" s="1"/>
      <c r="D496" s="2"/>
      <c r="E496" s="3"/>
      <c r="F496" s="4"/>
      <c r="G496" s="5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251"/>
      <c r="U496" s="4"/>
      <c r="V496" s="4"/>
      <c r="W496" s="4"/>
      <c r="X496" s="4"/>
      <c r="Y496" s="4"/>
      <c r="Z496" s="4"/>
    </row>
    <row r="497" ht="16.5" customHeight="1">
      <c r="A497" s="1"/>
      <c r="B497" s="2"/>
      <c r="C497" s="1"/>
      <c r="D497" s="2"/>
      <c r="E497" s="3"/>
      <c r="F497" s="4"/>
      <c r="G497" s="5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251"/>
      <c r="U497" s="4"/>
      <c r="V497" s="4"/>
      <c r="W497" s="4"/>
      <c r="X497" s="4"/>
      <c r="Y497" s="4"/>
      <c r="Z497" s="4"/>
    </row>
    <row r="498" ht="16.5" customHeight="1">
      <c r="A498" s="1"/>
      <c r="B498" s="2"/>
      <c r="C498" s="1"/>
      <c r="D498" s="2"/>
      <c r="E498" s="3"/>
      <c r="F498" s="4"/>
      <c r="G498" s="5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251"/>
      <c r="U498" s="4"/>
      <c r="V498" s="4"/>
      <c r="W498" s="4"/>
      <c r="X498" s="4"/>
      <c r="Y498" s="4"/>
      <c r="Z498" s="4"/>
    </row>
    <row r="499" ht="16.5" customHeight="1">
      <c r="A499" s="1"/>
      <c r="B499" s="2"/>
      <c r="C499" s="1"/>
      <c r="D499" s="2"/>
      <c r="E499" s="3"/>
      <c r="F499" s="4"/>
      <c r="G499" s="5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251"/>
      <c r="U499" s="4"/>
      <c r="V499" s="4"/>
      <c r="W499" s="4"/>
      <c r="X499" s="4"/>
      <c r="Y499" s="4"/>
      <c r="Z499" s="4"/>
    </row>
    <row r="500" ht="16.5" customHeight="1">
      <c r="A500" s="1"/>
      <c r="B500" s="2"/>
      <c r="C500" s="1"/>
      <c r="D500" s="2"/>
      <c r="E500" s="3"/>
      <c r="F500" s="4"/>
      <c r="G500" s="5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251"/>
      <c r="U500" s="4"/>
      <c r="V500" s="4"/>
      <c r="W500" s="4"/>
      <c r="X500" s="4"/>
      <c r="Y500" s="4"/>
      <c r="Z500" s="4"/>
    </row>
    <row r="501" ht="16.5" customHeight="1">
      <c r="A501" s="1"/>
      <c r="B501" s="2"/>
      <c r="C501" s="1"/>
      <c r="D501" s="2"/>
      <c r="E501" s="3"/>
      <c r="F501" s="4"/>
      <c r="G501" s="5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251"/>
      <c r="U501" s="4"/>
      <c r="V501" s="4"/>
      <c r="W501" s="4"/>
      <c r="X501" s="4"/>
      <c r="Y501" s="4"/>
      <c r="Z501" s="4"/>
    </row>
    <row r="502" ht="16.5" customHeight="1">
      <c r="A502" s="1"/>
      <c r="B502" s="2"/>
      <c r="C502" s="1"/>
      <c r="D502" s="2"/>
      <c r="E502" s="3"/>
      <c r="F502" s="4"/>
      <c r="G502" s="5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251"/>
      <c r="U502" s="4"/>
      <c r="V502" s="4"/>
      <c r="W502" s="4"/>
      <c r="X502" s="4"/>
      <c r="Y502" s="4"/>
      <c r="Z502" s="4"/>
    </row>
    <row r="503" ht="16.5" customHeight="1">
      <c r="A503" s="1"/>
      <c r="B503" s="2"/>
      <c r="C503" s="1"/>
      <c r="D503" s="2"/>
      <c r="E503" s="3"/>
      <c r="F503" s="4"/>
      <c r="G503" s="5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251"/>
      <c r="U503" s="4"/>
      <c r="V503" s="4"/>
      <c r="W503" s="4"/>
      <c r="X503" s="4"/>
      <c r="Y503" s="4"/>
      <c r="Z503" s="4"/>
    </row>
    <row r="504" ht="16.5" customHeight="1">
      <c r="A504" s="1"/>
      <c r="B504" s="2"/>
      <c r="C504" s="1"/>
      <c r="D504" s="2"/>
      <c r="E504" s="3"/>
      <c r="F504" s="4"/>
      <c r="G504" s="5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251"/>
      <c r="U504" s="4"/>
      <c r="V504" s="4"/>
      <c r="W504" s="4"/>
      <c r="X504" s="4"/>
      <c r="Y504" s="4"/>
      <c r="Z504" s="4"/>
    </row>
    <row r="505" ht="16.5" customHeight="1">
      <c r="A505" s="1"/>
      <c r="B505" s="2"/>
      <c r="C505" s="1"/>
      <c r="D505" s="2"/>
      <c r="E505" s="3"/>
      <c r="F505" s="4"/>
      <c r="G505" s="5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251"/>
      <c r="U505" s="4"/>
      <c r="V505" s="4"/>
      <c r="W505" s="4"/>
      <c r="X505" s="4"/>
      <c r="Y505" s="4"/>
      <c r="Z505" s="4"/>
    </row>
    <row r="506" ht="16.5" customHeight="1">
      <c r="A506" s="1"/>
      <c r="B506" s="2"/>
      <c r="C506" s="1"/>
      <c r="D506" s="2"/>
      <c r="E506" s="3"/>
      <c r="F506" s="4"/>
      <c r="G506" s="5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251"/>
      <c r="U506" s="4"/>
      <c r="V506" s="4"/>
      <c r="W506" s="4"/>
      <c r="X506" s="4"/>
      <c r="Y506" s="4"/>
      <c r="Z506" s="4"/>
    </row>
    <row r="507" ht="15.75" customHeight="1">
      <c r="E507" s="252"/>
      <c r="G507" s="253"/>
      <c r="H507" s="254"/>
    </row>
    <row r="508" ht="15.75" customHeight="1">
      <c r="E508" s="252"/>
      <c r="G508" s="253"/>
      <c r="H508" s="254"/>
    </row>
    <row r="509" ht="15.75" customHeight="1">
      <c r="E509" s="252"/>
      <c r="G509" s="253"/>
      <c r="H509" s="254"/>
    </row>
    <row r="510" ht="15.75" customHeight="1">
      <c r="E510" s="252"/>
      <c r="G510" s="253"/>
      <c r="H510" s="254"/>
    </row>
    <row r="511" ht="15.75" customHeight="1">
      <c r="E511" s="252"/>
      <c r="G511" s="253"/>
      <c r="H511" s="254"/>
    </row>
    <row r="512" ht="15.75" customHeight="1">
      <c r="E512" s="252"/>
      <c r="G512" s="253"/>
      <c r="H512" s="254"/>
    </row>
    <row r="513" ht="15.75" customHeight="1">
      <c r="E513" s="252"/>
      <c r="G513" s="253"/>
      <c r="H513" s="254"/>
    </row>
    <row r="514" ht="15.75" customHeight="1">
      <c r="E514" s="252"/>
      <c r="G514" s="253"/>
      <c r="H514" s="254"/>
    </row>
    <row r="515" ht="15.75" customHeight="1">
      <c r="E515" s="252"/>
      <c r="G515" s="253"/>
      <c r="H515" s="254"/>
    </row>
    <row r="516" ht="15.75" customHeight="1">
      <c r="E516" s="252"/>
      <c r="G516" s="253"/>
      <c r="H516" s="254"/>
    </row>
    <row r="517" ht="15.75" customHeight="1">
      <c r="E517" s="252"/>
      <c r="G517" s="253"/>
      <c r="H517" s="254"/>
    </row>
    <row r="518" ht="15.75" customHeight="1">
      <c r="E518" s="252"/>
      <c r="G518" s="253"/>
      <c r="H518" s="254"/>
    </row>
    <row r="519" ht="15.75" customHeight="1">
      <c r="E519" s="252"/>
      <c r="G519" s="253"/>
      <c r="H519" s="254"/>
    </row>
    <row r="520" ht="15.75" customHeight="1">
      <c r="E520" s="252"/>
      <c r="G520" s="253"/>
      <c r="H520" s="254"/>
    </row>
    <row r="521" ht="15.75" customHeight="1">
      <c r="E521" s="252"/>
      <c r="G521" s="253"/>
      <c r="H521" s="254"/>
    </row>
    <row r="522" ht="15.75" customHeight="1">
      <c r="E522" s="252"/>
      <c r="G522" s="253"/>
      <c r="H522" s="254"/>
    </row>
    <row r="523" ht="15.75" customHeight="1">
      <c r="E523" s="252"/>
      <c r="G523" s="253"/>
      <c r="H523" s="254"/>
    </row>
    <row r="524" ht="15.75" customHeight="1">
      <c r="E524" s="252"/>
      <c r="G524" s="253"/>
      <c r="H524" s="254"/>
    </row>
    <row r="525" ht="15.75" customHeight="1">
      <c r="E525" s="252"/>
      <c r="G525" s="253"/>
      <c r="H525" s="254"/>
    </row>
    <row r="526" ht="15.75" customHeight="1">
      <c r="E526" s="252"/>
      <c r="G526" s="253"/>
      <c r="H526" s="254"/>
    </row>
    <row r="527" ht="15.75" customHeight="1">
      <c r="E527" s="252"/>
      <c r="G527" s="253"/>
      <c r="H527" s="254"/>
    </row>
    <row r="528" ht="15.75" customHeight="1">
      <c r="E528" s="252"/>
      <c r="G528" s="253"/>
      <c r="H528" s="254"/>
    </row>
    <row r="529" ht="15.75" customHeight="1">
      <c r="E529" s="252"/>
      <c r="G529" s="253"/>
      <c r="H529" s="254"/>
    </row>
    <row r="530" ht="15.75" customHeight="1">
      <c r="E530" s="252"/>
      <c r="G530" s="253"/>
      <c r="H530" s="254"/>
    </row>
    <row r="531" ht="15.75" customHeight="1">
      <c r="E531" s="252"/>
      <c r="G531" s="253"/>
      <c r="H531" s="254"/>
    </row>
    <row r="532" ht="15.75" customHeight="1">
      <c r="E532" s="252"/>
      <c r="G532" s="253"/>
      <c r="H532" s="254"/>
    </row>
    <row r="533" ht="15.75" customHeight="1">
      <c r="E533" s="252"/>
      <c r="G533" s="253"/>
      <c r="H533" s="254"/>
    </row>
    <row r="534" ht="15.75" customHeight="1">
      <c r="E534" s="252"/>
      <c r="G534" s="253"/>
      <c r="H534" s="254"/>
    </row>
    <row r="535" ht="15.75" customHeight="1">
      <c r="E535" s="252"/>
      <c r="G535" s="253"/>
      <c r="H535" s="254"/>
    </row>
    <row r="536" ht="15.75" customHeight="1">
      <c r="E536" s="252"/>
      <c r="G536" s="253"/>
      <c r="H536" s="254"/>
    </row>
    <row r="537" ht="15.75" customHeight="1">
      <c r="E537" s="252"/>
      <c r="G537" s="253"/>
      <c r="H537" s="254"/>
    </row>
    <row r="538" ht="15.75" customHeight="1">
      <c r="E538" s="252"/>
      <c r="G538" s="253"/>
      <c r="H538" s="254"/>
    </row>
    <row r="539" ht="15.75" customHeight="1">
      <c r="E539" s="252"/>
      <c r="G539" s="253"/>
      <c r="H539" s="254"/>
    </row>
    <row r="540" ht="15.75" customHeight="1">
      <c r="E540" s="252"/>
      <c r="G540" s="253"/>
      <c r="H540" s="254"/>
    </row>
    <row r="541" ht="15.75" customHeight="1">
      <c r="E541" s="252"/>
      <c r="G541" s="253"/>
      <c r="H541" s="254"/>
    </row>
    <row r="542" ht="15.75" customHeight="1">
      <c r="E542" s="252"/>
      <c r="G542" s="253"/>
      <c r="H542" s="254"/>
    </row>
    <row r="543" ht="15.75" customHeight="1">
      <c r="E543" s="252"/>
      <c r="G543" s="253"/>
      <c r="H543" s="254"/>
    </row>
    <row r="544" ht="15.75" customHeight="1">
      <c r="E544" s="252"/>
      <c r="G544" s="253"/>
      <c r="H544" s="254"/>
    </row>
    <row r="545" ht="15.75" customHeight="1">
      <c r="E545" s="252"/>
      <c r="G545" s="253"/>
      <c r="H545" s="254"/>
    </row>
    <row r="546" ht="15.75" customHeight="1">
      <c r="E546" s="252"/>
      <c r="G546" s="253"/>
      <c r="H546" s="254"/>
    </row>
    <row r="547" ht="15.75" customHeight="1">
      <c r="E547" s="252"/>
      <c r="G547" s="253"/>
      <c r="H547" s="254"/>
    </row>
    <row r="548" ht="15.75" customHeight="1">
      <c r="E548" s="252"/>
      <c r="G548" s="253"/>
      <c r="H548" s="254"/>
    </row>
    <row r="549" ht="15.75" customHeight="1">
      <c r="E549" s="252"/>
      <c r="G549" s="253"/>
      <c r="H549" s="254"/>
    </row>
    <row r="550" ht="15.75" customHeight="1">
      <c r="E550" s="252"/>
      <c r="G550" s="253"/>
      <c r="H550" s="254"/>
    </row>
    <row r="551" ht="15.75" customHeight="1">
      <c r="E551" s="252"/>
      <c r="G551" s="253"/>
      <c r="H551" s="254"/>
    </row>
    <row r="552" ht="15.75" customHeight="1">
      <c r="E552" s="252"/>
      <c r="G552" s="253"/>
      <c r="H552" s="254"/>
    </row>
    <row r="553" ht="15.75" customHeight="1">
      <c r="E553" s="252"/>
      <c r="G553" s="253"/>
      <c r="H553" s="254"/>
    </row>
    <row r="554" ht="15.75" customHeight="1">
      <c r="E554" s="252"/>
      <c r="G554" s="253"/>
      <c r="H554" s="254"/>
    </row>
    <row r="555" ht="15.75" customHeight="1">
      <c r="E555" s="252"/>
      <c r="G555" s="253"/>
      <c r="H555" s="254"/>
    </row>
    <row r="556" ht="15.75" customHeight="1">
      <c r="E556" s="252"/>
      <c r="G556" s="253"/>
      <c r="H556" s="254"/>
    </row>
    <row r="557" ht="15.75" customHeight="1">
      <c r="E557" s="252"/>
      <c r="G557" s="253"/>
      <c r="H557" s="254"/>
    </row>
    <row r="558" ht="15.75" customHeight="1">
      <c r="E558" s="252"/>
      <c r="G558" s="253"/>
      <c r="H558" s="254"/>
    </row>
    <row r="559" ht="15.75" customHeight="1">
      <c r="E559" s="252"/>
      <c r="G559" s="253"/>
      <c r="H559" s="254"/>
    </row>
    <row r="560" ht="15.75" customHeight="1">
      <c r="E560" s="252"/>
      <c r="G560" s="253"/>
      <c r="H560" s="254"/>
    </row>
    <row r="561" ht="15.75" customHeight="1">
      <c r="E561" s="252"/>
      <c r="G561" s="253"/>
      <c r="H561" s="254"/>
    </row>
    <row r="562" ht="15.75" customHeight="1">
      <c r="E562" s="252"/>
      <c r="G562" s="253"/>
      <c r="H562" s="254"/>
    </row>
    <row r="563" ht="15.75" customHeight="1">
      <c r="E563" s="252"/>
      <c r="G563" s="253"/>
      <c r="H563" s="254"/>
    </row>
    <row r="564" ht="15.75" customHeight="1">
      <c r="E564" s="252"/>
      <c r="G564" s="253"/>
      <c r="H564" s="254"/>
    </row>
    <row r="565" ht="15.75" customHeight="1">
      <c r="E565" s="252"/>
      <c r="G565" s="253"/>
      <c r="H565" s="254"/>
    </row>
    <row r="566" ht="15.75" customHeight="1">
      <c r="E566" s="252"/>
      <c r="G566" s="253"/>
      <c r="H566" s="254"/>
    </row>
    <row r="567" ht="15.75" customHeight="1">
      <c r="E567" s="252"/>
      <c r="G567" s="253"/>
      <c r="H567" s="254"/>
    </row>
    <row r="568" ht="15.75" customHeight="1">
      <c r="E568" s="252"/>
      <c r="G568" s="253"/>
      <c r="H568" s="254"/>
    </row>
    <row r="569" ht="15.75" customHeight="1">
      <c r="E569" s="252"/>
      <c r="G569" s="253"/>
      <c r="H569" s="254"/>
    </row>
    <row r="570" ht="15.75" customHeight="1">
      <c r="E570" s="252"/>
      <c r="G570" s="253"/>
      <c r="H570" s="254"/>
    </row>
    <row r="571" ht="15.75" customHeight="1">
      <c r="E571" s="252"/>
      <c r="G571" s="253"/>
      <c r="H571" s="254"/>
    </row>
    <row r="572" ht="15.75" customHeight="1">
      <c r="E572" s="252"/>
      <c r="G572" s="253"/>
      <c r="H572" s="254"/>
    </row>
    <row r="573" ht="15.75" customHeight="1">
      <c r="E573" s="252"/>
      <c r="G573" s="253"/>
      <c r="H573" s="254"/>
    </row>
    <row r="574" ht="15.75" customHeight="1">
      <c r="E574" s="252"/>
      <c r="G574" s="253"/>
      <c r="H574" s="254"/>
    </row>
    <row r="575" ht="15.75" customHeight="1">
      <c r="E575" s="252"/>
      <c r="G575" s="253"/>
      <c r="H575" s="254"/>
    </row>
    <row r="576" ht="15.75" customHeight="1">
      <c r="E576" s="252"/>
      <c r="G576" s="253"/>
      <c r="H576" s="254"/>
    </row>
    <row r="577" ht="15.75" customHeight="1">
      <c r="E577" s="252"/>
      <c r="G577" s="253"/>
      <c r="H577" s="254"/>
    </row>
    <row r="578" ht="15.75" customHeight="1">
      <c r="E578" s="252"/>
      <c r="G578" s="253"/>
      <c r="H578" s="254"/>
    </row>
    <row r="579" ht="15.75" customHeight="1">
      <c r="E579" s="252"/>
      <c r="G579" s="253"/>
      <c r="H579" s="254"/>
    </row>
    <row r="580" ht="15.75" customHeight="1">
      <c r="E580" s="252"/>
      <c r="G580" s="253"/>
      <c r="H580" s="254"/>
    </row>
    <row r="581" ht="15.75" customHeight="1">
      <c r="E581" s="252"/>
      <c r="G581" s="253"/>
      <c r="H581" s="254"/>
    </row>
    <row r="582" ht="15.75" customHeight="1">
      <c r="E582" s="252"/>
      <c r="G582" s="253"/>
      <c r="H582" s="254"/>
    </row>
    <row r="583" ht="15.75" customHeight="1">
      <c r="E583" s="252"/>
      <c r="G583" s="253"/>
      <c r="H583" s="254"/>
    </row>
    <row r="584" ht="15.75" customHeight="1">
      <c r="E584" s="252"/>
      <c r="G584" s="253"/>
      <c r="H584" s="254"/>
    </row>
    <row r="585" ht="15.75" customHeight="1">
      <c r="E585" s="252"/>
      <c r="G585" s="253"/>
      <c r="H585" s="254"/>
    </row>
    <row r="586" ht="15.75" customHeight="1">
      <c r="E586" s="252"/>
      <c r="G586" s="253"/>
      <c r="H586" s="254"/>
    </row>
    <row r="587" ht="15.75" customHeight="1">
      <c r="E587" s="252"/>
      <c r="G587" s="253"/>
      <c r="H587" s="254"/>
    </row>
    <row r="588" ht="15.75" customHeight="1">
      <c r="E588" s="252"/>
      <c r="G588" s="253"/>
      <c r="H588" s="254"/>
    </row>
    <row r="589" ht="15.75" customHeight="1">
      <c r="E589" s="252"/>
      <c r="G589" s="253"/>
      <c r="H589" s="254"/>
    </row>
    <row r="590" ht="15.75" customHeight="1">
      <c r="E590" s="252"/>
      <c r="G590" s="253"/>
      <c r="H590" s="254"/>
    </row>
    <row r="591" ht="15.75" customHeight="1">
      <c r="E591" s="252"/>
      <c r="G591" s="253"/>
      <c r="H591" s="254"/>
    </row>
    <row r="592" ht="15.75" customHeight="1">
      <c r="E592" s="252"/>
      <c r="G592" s="253"/>
      <c r="H592" s="254"/>
    </row>
    <row r="593" ht="15.75" customHeight="1">
      <c r="E593" s="252"/>
      <c r="G593" s="253"/>
      <c r="H593" s="254"/>
    </row>
    <row r="594" ht="15.75" customHeight="1">
      <c r="E594" s="252"/>
      <c r="G594" s="253"/>
      <c r="H594" s="254"/>
    </row>
    <row r="595" ht="15.75" customHeight="1">
      <c r="E595" s="252"/>
      <c r="G595" s="253"/>
      <c r="H595" s="254"/>
    </row>
    <row r="596" ht="15.75" customHeight="1">
      <c r="E596" s="252"/>
      <c r="G596" s="253"/>
      <c r="H596" s="254"/>
    </row>
    <row r="597" ht="15.75" customHeight="1">
      <c r="E597" s="252"/>
      <c r="G597" s="253"/>
      <c r="H597" s="254"/>
    </row>
    <row r="598" ht="15.75" customHeight="1">
      <c r="E598" s="252"/>
      <c r="G598" s="253"/>
      <c r="H598" s="254"/>
    </row>
    <row r="599" ht="15.75" customHeight="1">
      <c r="E599" s="252"/>
      <c r="G599" s="253"/>
      <c r="H599" s="254"/>
    </row>
    <row r="600" ht="15.75" customHeight="1">
      <c r="E600" s="252"/>
      <c r="G600" s="253"/>
      <c r="H600" s="254"/>
    </row>
    <row r="601" ht="15.75" customHeight="1">
      <c r="E601" s="252"/>
      <c r="G601" s="253"/>
      <c r="H601" s="254"/>
    </row>
    <row r="602" ht="15.75" customHeight="1">
      <c r="E602" s="252"/>
      <c r="G602" s="253"/>
      <c r="H602" s="254"/>
    </row>
    <row r="603" ht="15.75" customHeight="1">
      <c r="E603" s="252"/>
      <c r="G603" s="253"/>
      <c r="H603" s="254"/>
    </row>
    <row r="604" ht="15.75" customHeight="1">
      <c r="E604" s="252"/>
      <c r="G604" s="253"/>
      <c r="H604" s="254"/>
    </row>
    <row r="605" ht="15.75" customHeight="1">
      <c r="E605" s="252"/>
      <c r="G605" s="253"/>
      <c r="H605" s="254"/>
    </row>
    <row r="606" ht="15.75" customHeight="1">
      <c r="E606" s="252"/>
      <c r="G606" s="253"/>
      <c r="H606" s="254"/>
    </row>
    <row r="607" ht="15.75" customHeight="1">
      <c r="E607" s="252"/>
      <c r="G607" s="253"/>
      <c r="H607" s="254"/>
    </row>
    <row r="608" ht="15.75" customHeight="1">
      <c r="E608" s="252"/>
      <c r="G608" s="253"/>
      <c r="H608" s="254"/>
    </row>
    <row r="609" ht="15.75" customHeight="1">
      <c r="E609" s="252"/>
      <c r="G609" s="253"/>
      <c r="H609" s="254"/>
    </row>
    <row r="610" ht="15.75" customHeight="1">
      <c r="E610" s="252"/>
      <c r="G610" s="253"/>
      <c r="H610" s="254"/>
    </row>
    <row r="611" ht="15.75" customHeight="1">
      <c r="E611" s="252"/>
      <c r="G611" s="253"/>
      <c r="H611" s="254"/>
    </row>
    <row r="612" ht="15.75" customHeight="1">
      <c r="E612" s="252"/>
      <c r="G612" s="253"/>
      <c r="H612" s="254"/>
    </row>
    <row r="613" ht="15.75" customHeight="1">
      <c r="E613" s="252"/>
      <c r="G613" s="253"/>
      <c r="H613" s="254"/>
    </row>
    <row r="614" ht="15.75" customHeight="1">
      <c r="E614" s="252"/>
      <c r="G614" s="253"/>
      <c r="H614" s="254"/>
    </row>
    <row r="615" ht="15.75" customHeight="1">
      <c r="E615" s="252"/>
      <c r="G615" s="253"/>
      <c r="H615" s="254"/>
    </row>
    <row r="616" ht="15.75" customHeight="1">
      <c r="E616" s="252"/>
      <c r="G616" s="253"/>
      <c r="H616" s="254"/>
    </row>
    <row r="617" ht="15.75" customHeight="1">
      <c r="E617" s="252"/>
      <c r="G617" s="253"/>
      <c r="H617" s="254"/>
    </row>
    <row r="618" ht="15.75" customHeight="1">
      <c r="E618" s="252"/>
      <c r="G618" s="253"/>
      <c r="H618" s="254"/>
    </row>
    <row r="619" ht="15.75" customHeight="1">
      <c r="E619" s="252"/>
      <c r="G619" s="253"/>
      <c r="H619" s="254"/>
    </row>
    <row r="620" ht="15.75" customHeight="1">
      <c r="E620" s="252"/>
      <c r="G620" s="253"/>
      <c r="H620" s="254"/>
    </row>
    <row r="621" ht="15.75" customHeight="1">
      <c r="E621" s="252"/>
      <c r="G621" s="253"/>
      <c r="H621" s="254"/>
    </row>
    <row r="622" ht="15.75" customHeight="1">
      <c r="E622" s="252"/>
      <c r="G622" s="253"/>
      <c r="H622" s="254"/>
    </row>
    <row r="623" ht="15.75" customHeight="1">
      <c r="E623" s="252"/>
      <c r="G623" s="253"/>
      <c r="H623" s="254"/>
    </row>
    <row r="624" ht="15.75" customHeight="1">
      <c r="E624" s="252"/>
      <c r="G624" s="253"/>
      <c r="H624" s="254"/>
    </row>
    <row r="625" ht="15.75" customHeight="1">
      <c r="E625" s="252"/>
      <c r="G625" s="253"/>
      <c r="H625" s="254"/>
    </row>
    <row r="626" ht="15.75" customHeight="1">
      <c r="E626" s="252"/>
      <c r="G626" s="253"/>
      <c r="H626" s="254"/>
    </row>
    <row r="627" ht="15.75" customHeight="1">
      <c r="E627" s="252"/>
      <c r="G627" s="253"/>
      <c r="H627" s="254"/>
    </row>
    <row r="628" ht="15.75" customHeight="1">
      <c r="E628" s="252"/>
      <c r="G628" s="253"/>
      <c r="H628" s="254"/>
    </row>
    <row r="629" ht="15.75" customHeight="1">
      <c r="E629" s="252"/>
      <c r="G629" s="253"/>
      <c r="H629" s="254"/>
    </row>
    <row r="630" ht="15.75" customHeight="1">
      <c r="E630" s="252"/>
      <c r="G630" s="253"/>
      <c r="H630" s="254"/>
    </row>
    <row r="631" ht="15.75" customHeight="1">
      <c r="E631" s="252"/>
      <c r="G631" s="253"/>
      <c r="H631" s="254"/>
    </row>
    <row r="632" ht="15.75" customHeight="1">
      <c r="E632" s="252"/>
      <c r="G632" s="253"/>
      <c r="H632" s="254"/>
    </row>
    <row r="633" ht="15.75" customHeight="1">
      <c r="E633" s="252"/>
      <c r="G633" s="253"/>
      <c r="H633" s="254"/>
    </row>
    <row r="634" ht="15.75" customHeight="1">
      <c r="E634" s="252"/>
      <c r="G634" s="253"/>
      <c r="H634" s="254"/>
    </row>
    <row r="635" ht="15.75" customHeight="1">
      <c r="E635" s="252"/>
      <c r="G635" s="253"/>
      <c r="H635" s="254"/>
    </row>
    <row r="636" ht="15.75" customHeight="1">
      <c r="E636" s="252"/>
      <c r="G636" s="253"/>
      <c r="H636" s="254"/>
    </row>
    <row r="637" ht="15.75" customHeight="1">
      <c r="E637" s="252"/>
      <c r="G637" s="253"/>
      <c r="H637" s="254"/>
    </row>
    <row r="638" ht="15.75" customHeight="1">
      <c r="E638" s="252"/>
      <c r="G638" s="253"/>
      <c r="H638" s="254"/>
    </row>
    <row r="639" ht="15.75" customHeight="1">
      <c r="E639" s="252"/>
      <c r="G639" s="253"/>
      <c r="H639" s="254"/>
    </row>
    <row r="640" ht="15.75" customHeight="1">
      <c r="E640" s="252"/>
      <c r="G640" s="253"/>
      <c r="H640" s="254"/>
    </row>
    <row r="641" ht="15.75" customHeight="1">
      <c r="E641" s="252"/>
      <c r="G641" s="253"/>
      <c r="H641" s="254"/>
    </row>
    <row r="642" ht="15.75" customHeight="1">
      <c r="E642" s="252"/>
      <c r="G642" s="253"/>
      <c r="H642" s="254"/>
    </row>
    <row r="643" ht="15.75" customHeight="1">
      <c r="E643" s="252"/>
      <c r="G643" s="253"/>
      <c r="H643" s="254"/>
    </row>
    <row r="644" ht="15.75" customHeight="1">
      <c r="E644" s="252"/>
      <c r="G644" s="253"/>
      <c r="H644" s="254"/>
    </row>
    <row r="645" ht="15.75" customHeight="1">
      <c r="E645" s="252"/>
      <c r="G645" s="253"/>
      <c r="H645" s="254"/>
    </row>
    <row r="646" ht="15.75" customHeight="1">
      <c r="E646" s="252"/>
      <c r="G646" s="253"/>
      <c r="H646" s="254"/>
    </row>
    <row r="647" ht="15.75" customHeight="1">
      <c r="E647" s="252"/>
      <c r="G647" s="253"/>
      <c r="H647" s="254"/>
    </row>
    <row r="648" ht="15.75" customHeight="1">
      <c r="E648" s="252"/>
      <c r="G648" s="253"/>
      <c r="H648" s="254"/>
    </row>
    <row r="649" ht="15.75" customHeight="1">
      <c r="E649" s="252"/>
      <c r="G649" s="253"/>
      <c r="H649" s="254"/>
    </row>
    <row r="650" ht="15.75" customHeight="1">
      <c r="E650" s="252"/>
      <c r="G650" s="253"/>
      <c r="H650" s="254"/>
    </row>
    <row r="651" ht="15.75" customHeight="1">
      <c r="E651" s="252"/>
      <c r="G651" s="253"/>
      <c r="H651" s="254"/>
    </row>
    <row r="652" ht="15.75" customHeight="1">
      <c r="E652" s="252"/>
      <c r="G652" s="253"/>
      <c r="H652" s="254"/>
    </row>
    <row r="653" ht="15.75" customHeight="1">
      <c r="E653" s="252"/>
      <c r="G653" s="253"/>
      <c r="H653" s="254"/>
    </row>
    <row r="654" ht="15.75" customHeight="1">
      <c r="E654" s="252"/>
      <c r="G654" s="253"/>
      <c r="H654" s="254"/>
    </row>
    <row r="655" ht="15.75" customHeight="1">
      <c r="E655" s="252"/>
      <c r="G655" s="253"/>
      <c r="H655" s="254"/>
    </row>
    <row r="656" ht="15.75" customHeight="1">
      <c r="E656" s="252"/>
      <c r="G656" s="253"/>
      <c r="H656" s="254"/>
    </row>
    <row r="657" ht="15.75" customHeight="1">
      <c r="E657" s="252"/>
      <c r="G657" s="253"/>
      <c r="H657" s="254"/>
    </row>
    <row r="658" ht="15.75" customHeight="1">
      <c r="E658" s="252"/>
      <c r="G658" s="253"/>
      <c r="H658" s="254"/>
    </row>
    <row r="659" ht="15.75" customHeight="1">
      <c r="E659" s="252"/>
      <c r="G659" s="253"/>
      <c r="H659" s="254"/>
    </row>
    <row r="660" ht="15.75" customHeight="1">
      <c r="E660" s="252"/>
      <c r="G660" s="253"/>
      <c r="H660" s="254"/>
    </row>
    <row r="661" ht="15.75" customHeight="1">
      <c r="E661" s="252"/>
      <c r="G661" s="253"/>
      <c r="H661" s="254"/>
    </row>
    <row r="662" ht="15.75" customHeight="1">
      <c r="E662" s="252"/>
      <c r="G662" s="253"/>
      <c r="H662" s="254"/>
    </row>
    <row r="663" ht="15.75" customHeight="1">
      <c r="E663" s="252"/>
      <c r="G663" s="253"/>
      <c r="H663" s="254"/>
    </row>
    <row r="664" ht="15.75" customHeight="1">
      <c r="E664" s="252"/>
      <c r="G664" s="253"/>
      <c r="H664" s="254"/>
    </row>
    <row r="665" ht="15.75" customHeight="1">
      <c r="E665" s="252"/>
      <c r="G665" s="253"/>
      <c r="H665" s="254"/>
    </row>
    <row r="666" ht="15.75" customHeight="1">
      <c r="E666" s="252"/>
      <c r="G666" s="253"/>
      <c r="H666" s="254"/>
    </row>
    <row r="667" ht="15.75" customHeight="1">
      <c r="E667" s="252"/>
      <c r="G667" s="253"/>
      <c r="H667" s="254"/>
    </row>
    <row r="668" ht="15.75" customHeight="1">
      <c r="E668" s="252"/>
      <c r="G668" s="253"/>
      <c r="H668" s="254"/>
    </row>
    <row r="669" ht="15.75" customHeight="1">
      <c r="E669" s="252"/>
      <c r="G669" s="253"/>
      <c r="H669" s="254"/>
    </row>
    <row r="670" ht="15.75" customHeight="1">
      <c r="E670" s="252"/>
      <c r="G670" s="253"/>
      <c r="H670" s="254"/>
    </row>
    <row r="671" ht="15.75" customHeight="1">
      <c r="E671" s="252"/>
      <c r="G671" s="253"/>
      <c r="H671" s="254"/>
    </row>
    <row r="672" ht="15.75" customHeight="1">
      <c r="E672" s="252"/>
      <c r="G672" s="253"/>
      <c r="H672" s="254"/>
    </row>
    <row r="673" ht="15.75" customHeight="1">
      <c r="E673" s="252"/>
      <c r="G673" s="253"/>
      <c r="H673" s="254"/>
    </row>
    <row r="674" ht="15.75" customHeight="1">
      <c r="E674" s="252"/>
      <c r="G674" s="253"/>
      <c r="H674" s="254"/>
    </row>
    <row r="675" ht="15.75" customHeight="1">
      <c r="E675" s="252"/>
      <c r="G675" s="253"/>
      <c r="H675" s="254"/>
    </row>
    <row r="676" ht="15.75" customHeight="1">
      <c r="E676" s="252"/>
      <c r="G676" s="253"/>
      <c r="H676" s="254"/>
    </row>
    <row r="677" ht="15.75" customHeight="1">
      <c r="E677" s="252"/>
      <c r="G677" s="253"/>
      <c r="H677" s="254"/>
    </row>
    <row r="678" ht="15.75" customHeight="1">
      <c r="E678" s="252"/>
      <c r="G678" s="253"/>
      <c r="H678" s="254"/>
    </row>
    <row r="679" ht="15.75" customHeight="1">
      <c r="E679" s="252"/>
      <c r="G679" s="253"/>
      <c r="H679" s="254"/>
    </row>
    <row r="680" ht="15.75" customHeight="1">
      <c r="E680" s="252"/>
      <c r="G680" s="253"/>
      <c r="H680" s="254"/>
    </row>
    <row r="681" ht="15.75" customHeight="1">
      <c r="E681" s="252"/>
      <c r="G681" s="253"/>
      <c r="H681" s="254"/>
    </row>
    <row r="682" ht="15.75" customHeight="1">
      <c r="E682" s="252"/>
      <c r="G682" s="253"/>
      <c r="H682" s="254"/>
    </row>
    <row r="683" ht="15.75" customHeight="1">
      <c r="E683" s="252"/>
      <c r="G683" s="253"/>
      <c r="H683" s="254"/>
    </row>
    <row r="684" ht="15.75" customHeight="1">
      <c r="E684" s="252"/>
      <c r="G684" s="253"/>
      <c r="H684" s="254"/>
    </row>
    <row r="685" ht="15.75" customHeight="1">
      <c r="E685" s="252"/>
      <c r="G685" s="253"/>
      <c r="H685" s="254"/>
    </row>
    <row r="686" ht="15.75" customHeight="1">
      <c r="E686" s="252"/>
      <c r="G686" s="253"/>
      <c r="H686" s="254"/>
    </row>
    <row r="687" ht="15.75" customHeight="1">
      <c r="E687" s="252"/>
      <c r="G687" s="253"/>
      <c r="H687" s="254"/>
    </row>
    <row r="688" ht="15.75" customHeight="1">
      <c r="E688" s="252"/>
      <c r="G688" s="253"/>
      <c r="H688" s="254"/>
    </row>
    <row r="689" ht="15.75" customHeight="1">
      <c r="E689" s="252"/>
      <c r="G689" s="253"/>
      <c r="H689" s="254"/>
    </row>
    <row r="690" ht="15.75" customHeight="1">
      <c r="E690" s="252"/>
      <c r="G690" s="253"/>
      <c r="H690" s="254"/>
    </row>
    <row r="691" ht="15.75" customHeight="1">
      <c r="E691" s="252"/>
      <c r="G691" s="253"/>
      <c r="H691" s="254"/>
    </row>
    <row r="692" ht="15.75" customHeight="1">
      <c r="E692" s="252"/>
      <c r="G692" s="253"/>
      <c r="H692" s="254"/>
    </row>
    <row r="693" ht="15.75" customHeight="1">
      <c r="E693" s="252"/>
      <c r="G693" s="253"/>
      <c r="H693" s="254"/>
    </row>
    <row r="694" ht="15.75" customHeight="1">
      <c r="E694" s="252"/>
      <c r="G694" s="253"/>
      <c r="H694" s="254"/>
    </row>
    <row r="695" ht="15.75" customHeight="1">
      <c r="E695" s="252"/>
      <c r="G695" s="253"/>
      <c r="H695" s="254"/>
    </row>
    <row r="696" ht="15.75" customHeight="1">
      <c r="E696" s="252"/>
      <c r="G696" s="253"/>
      <c r="H696" s="254"/>
    </row>
    <row r="697" ht="15.75" customHeight="1">
      <c r="E697" s="252"/>
      <c r="G697" s="253"/>
      <c r="H697" s="254"/>
    </row>
    <row r="698" ht="15.75" customHeight="1">
      <c r="E698" s="252"/>
      <c r="G698" s="253"/>
      <c r="H698" s="254"/>
    </row>
    <row r="699" ht="15.75" customHeight="1">
      <c r="E699" s="252"/>
      <c r="G699" s="253"/>
      <c r="H699" s="254"/>
    </row>
    <row r="700" ht="15.75" customHeight="1">
      <c r="E700" s="252"/>
      <c r="G700" s="253"/>
      <c r="H700" s="254"/>
    </row>
    <row r="701" ht="15.75" customHeight="1">
      <c r="E701" s="252"/>
      <c r="G701" s="253"/>
      <c r="H701" s="254"/>
    </row>
    <row r="702" ht="15.75" customHeight="1">
      <c r="E702" s="252"/>
      <c r="G702" s="253"/>
      <c r="H702" s="254"/>
    </row>
    <row r="703" ht="15.75" customHeight="1">
      <c r="E703" s="252"/>
      <c r="G703" s="253"/>
      <c r="H703" s="254"/>
    </row>
    <row r="704" ht="15.75" customHeight="1">
      <c r="E704" s="252"/>
      <c r="G704" s="253"/>
      <c r="H704" s="254"/>
    </row>
    <row r="705" ht="15.75" customHeight="1">
      <c r="E705" s="252"/>
      <c r="G705" s="253"/>
      <c r="H705" s="254"/>
    </row>
    <row r="706" ht="15.75" customHeight="1">
      <c r="E706" s="252"/>
      <c r="G706" s="253"/>
      <c r="H706" s="254"/>
    </row>
    <row r="707" ht="15.75" customHeight="1">
      <c r="E707" s="252"/>
      <c r="G707" s="253"/>
      <c r="H707" s="254"/>
    </row>
    <row r="708" ht="15.75" customHeight="1">
      <c r="E708" s="252"/>
      <c r="G708" s="253"/>
      <c r="H708" s="254"/>
    </row>
    <row r="709" ht="15.75" customHeight="1">
      <c r="E709" s="252"/>
      <c r="G709" s="253"/>
      <c r="H709" s="254"/>
    </row>
    <row r="710" ht="15.75" customHeight="1">
      <c r="E710" s="252"/>
      <c r="G710" s="253"/>
      <c r="H710" s="254"/>
    </row>
    <row r="711" ht="15.75" customHeight="1">
      <c r="E711" s="252"/>
      <c r="G711" s="253"/>
      <c r="H711" s="254"/>
    </row>
    <row r="712" ht="15.75" customHeight="1">
      <c r="E712" s="252"/>
      <c r="G712" s="253"/>
      <c r="H712" s="254"/>
    </row>
    <row r="713" ht="15.75" customHeight="1">
      <c r="E713" s="252"/>
      <c r="G713" s="253"/>
      <c r="H713" s="254"/>
    </row>
    <row r="714" ht="15.75" customHeight="1">
      <c r="E714" s="252"/>
      <c r="G714" s="253"/>
      <c r="H714" s="254"/>
    </row>
    <row r="715" ht="15.75" customHeight="1">
      <c r="E715" s="252"/>
      <c r="G715" s="253"/>
      <c r="H715" s="254"/>
    </row>
    <row r="716" ht="15.75" customHeight="1">
      <c r="E716" s="252"/>
      <c r="G716" s="253"/>
      <c r="H716" s="254"/>
    </row>
    <row r="717" ht="15.75" customHeight="1">
      <c r="E717" s="252"/>
      <c r="G717" s="253"/>
      <c r="H717" s="254"/>
    </row>
    <row r="718" ht="15.75" customHeight="1">
      <c r="E718" s="252"/>
      <c r="G718" s="253"/>
      <c r="H718" s="254"/>
    </row>
    <row r="719" ht="15.75" customHeight="1">
      <c r="E719" s="252"/>
      <c r="G719" s="253"/>
      <c r="H719" s="254"/>
    </row>
    <row r="720" ht="15.75" customHeight="1">
      <c r="E720" s="252"/>
      <c r="G720" s="253"/>
      <c r="H720" s="254"/>
    </row>
    <row r="721" ht="15.75" customHeight="1">
      <c r="E721" s="252"/>
      <c r="G721" s="253"/>
      <c r="H721" s="254"/>
    </row>
    <row r="722" ht="15.75" customHeight="1">
      <c r="E722" s="252"/>
      <c r="G722" s="253"/>
      <c r="H722" s="254"/>
    </row>
    <row r="723" ht="15.75" customHeight="1">
      <c r="E723" s="252"/>
      <c r="G723" s="253"/>
      <c r="H723" s="254"/>
    </row>
    <row r="724" ht="15.75" customHeight="1">
      <c r="E724" s="252"/>
      <c r="G724" s="253"/>
      <c r="H724" s="254"/>
    </row>
    <row r="725" ht="15.75" customHeight="1">
      <c r="E725" s="252"/>
      <c r="G725" s="253"/>
      <c r="H725" s="254"/>
    </row>
    <row r="726" ht="15.75" customHeight="1">
      <c r="E726" s="252"/>
      <c r="G726" s="253"/>
      <c r="H726" s="254"/>
    </row>
    <row r="727" ht="15.75" customHeight="1">
      <c r="E727" s="252"/>
      <c r="G727" s="253"/>
      <c r="H727" s="254"/>
    </row>
    <row r="728" ht="15.75" customHeight="1">
      <c r="E728" s="252"/>
      <c r="G728" s="253"/>
      <c r="H728" s="254"/>
    </row>
    <row r="729" ht="15.75" customHeight="1">
      <c r="E729" s="252"/>
      <c r="G729" s="253"/>
      <c r="H729" s="254"/>
    </row>
    <row r="730" ht="15.75" customHeight="1">
      <c r="E730" s="252"/>
      <c r="G730" s="253"/>
      <c r="H730" s="254"/>
    </row>
    <row r="731" ht="15.75" customHeight="1">
      <c r="E731" s="252"/>
      <c r="G731" s="253"/>
      <c r="H731" s="254"/>
    </row>
    <row r="732" ht="15.75" customHeight="1">
      <c r="E732" s="252"/>
      <c r="G732" s="253"/>
      <c r="H732" s="254"/>
    </row>
    <row r="733" ht="15.75" customHeight="1">
      <c r="E733" s="252"/>
      <c r="G733" s="253"/>
      <c r="H733" s="254"/>
    </row>
    <row r="734" ht="15.75" customHeight="1">
      <c r="E734" s="252"/>
      <c r="G734" s="253"/>
      <c r="H734" s="254"/>
    </row>
    <row r="735" ht="15.75" customHeight="1">
      <c r="E735" s="252"/>
      <c r="G735" s="253"/>
      <c r="H735" s="254"/>
    </row>
    <row r="736" ht="15.75" customHeight="1">
      <c r="E736" s="252"/>
      <c r="G736" s="253"/>
      <c r="H736" s="254"/>
    </row>
    <row r="737" ht="15.75" customHeight="1">
      <c r="E737" s="252"/>
      <c r="G737" s="253"/>
      <c r="H737" s="254"/>
    </row>
    <row r="738" ht="15.75" customHeight="1">
      <c r="E738" s="252"/>
      <c r="G738" s="253"/>
      <c r="H738" s="254"/>
    </row>
    <row r="739" ht="15.75" customHeight="1">
      <c r="E739" s="252"/>
      <c r="G739" s="253"/>
      <c r="H739" s="254"/>
    </row>
    <row r="740" ht="15.75" customHeight="1">
      <c r="E740" s="252"/>
      <c r="G740" s="253"/>
      <c r="H740" s="254"/>
    </row>
    <row r="741" ht="15.75" customHeight="1">
      <c r="E741" s="252"/>
      <c r="G741" s="253"/>
      <c r="H741" s="254"/>
    </row>
    <row r="742" ht="15.75" customHeight="1">
      <c r="E742" s="252"/>
      <c r="G742" s="253"/>
      <c r="H742" s="254"/>
    </row>
    <row r="743" ht="15.75" customHeight="1">
      <c r="E743" s="252"/>
      <c r="G743" s="253"/>
      <c r="H743" s="254"/>
    </row>
    <row r="744" ht="15.75" customHeight="1">
      <c r="E744" s="252"/>
      <c r="G744" s="253"/>
      <c r="H744" s="254"/>
    </row>
    <row r="745" ht="15.75" customHeight="1">
      <c r="E745" s="252"/>
      <c r="G745" s="253"/>
      <c r="H745" s="254"/>
    </row>
    <row r="746" ht="15.75" customHeight="1">
      <c r="E746" s="252"/>
      <c r="G746" s="253"/>
      <c r="H746" s="254"/>
    </row>
    <row r="747" ht="15.75" customHeight="1">
      <c r="E747" s="252"/>
      <c r="G747" s="253"/>
      <c r="H747" s="254"/>
    </row>
    <row r="748" ht="15.75" customHeight="1">
      <c r="E748" s="252"/>
      <c r="G748" s="253"/>
      <c r="H748" s="254"/>
    </row>
    <row r="749" ht="15.75" customHeight="1">
      <c r="E749" s="252"/>
      <c r="G749" s="253"/>
      <c r="H749" s="254"/>
    </row>
    <row r="750" ht="15.75" customHeight="1">
      <c r="E750" s="252"/>
      <c r="G750" s="253"/>
      <c r="H750" s="254"/>
    </row>
    <row r="751" ht="15.75" customHeight="1">
      <c r="E751" s="252"/>
      <c r="G751" s="253"/>
      <c r="H751" s="254"/>
    </row>
    <row r="752" ht="15.75" customHeight="1">
      <c r="E752" s="252"/>
      <c r="G752" s="253"/>
      <c r="H752" s="254"/>
    </row>
    <row r="753" ht="15.75" customHeight="1">
      <c r="E753" s="252"/>
      <c r="G753" s="253"/>
      <c r="H753" s="254"/>
    </row>
    <row r="754" ht="15.75" customHeight="1">
      <c r="E754" s="252"/>
      <c r="G754" s="253"/>
      <c r="H754" s="254"/>
    </row>
    <row r="755" ht="15.75" customHeight="1">
      <c r="E755" s="252"/>
      <c r="G755" s="253"/>
      <c r="H755" s="254"/>
    </row>
    <row r="756" ht="15.75" customHeight="1">
      <c r="E756" s="252"/>
      <c r="G756" s="253"/>
      <c r="H756" s="254"/>
    </row>
    <row r="757" ht="15.75" customHeight="1">
      <c r="E757" s="252"/>
      <c r="G757" s="253"/>
      <c r="H757" s="254"/>
    </row>
    <row r="758" ht="15.75" customHeight="1">
      <c r="E758" s="252"/>
      <c r="G758" s="253"/>
      <c r="H758" s="254"/>
    </row>
    <row r="759" ht="15.75" customHeight="1">
      <c r="E759" s="252"/>
      <c r="G759" s="253"/>
      <c r="H759" s="254"/>
    </row>
    <row r="760" ht="15.75" customHeight="1">
      <c r="E760" s="252"/>
      <c r="G760" s="253"/>
      <c r="H760" s="254"/>
    </row>
    <row r="761" ht="15.75" customHeight="1">
      <c r="E761" s="252"/>
      <c r="G761" s="253"/>
      <c r="H761" s="254"/>
    </row>
    <row r="762" ht="15.75" customHeight="1">
      <c r="E762" s="252"/>
      <c r="G762" s="253"/>
      <c r="H762" s="254"/>
    </row>
    <row r="763" ht="15.75" customHeight="1">
      <c r="E763" s="252"/>
      <c r="G763" s="253"/>
      <c r="H763" s="254"/>
    </row>
    <row r="764" ht="15.75" customHeight="1">
      <c r="E764" s="252"/>
      <c r="G764" s="253"/>
      <c r="H764" s="254"/>
    </row>
    <row r="765" ht="15.75" customHeight="1">
      <c r="E765" s="252"/>
      <c r="G765" s="253"/>
      <c r="H765" s="254"/>
    </row>
    <row r="766" ht="15.75" customHeight="1">
      <c r="E766" s="252"/>
      <c r="G766" s="253"/>
      <c r="H766" s="254"/>
    </row>
    <row r="767" ht="15.75" customHeight="1">
      <c r="E767" s="252"/>
      <c r="G767" s="253"/>
      <c r="H767" s="254"/>
    </row>
    <row r="768" ht="15.75" customHeight="1">
      <c r="E768" s="252"/>
      <c r="G768" s="253"/>
      <c r="H768" s="254"/>
    </row>
    <row r="769" ht="15.75" customHeight="1">
      <c r="E769" s="252"/>
      <c r="G769" s="253"/>
      <c r="H769" s="254"/>
    </row>
    <row r="770" ht="15.75" customHeight="1">
      <c r="E770" s="252"/>
      <c r="G770" s="253"/>
      <c r="H770" s="254"/>
    </row>
    <row r="771" ht="15.75" customHeight="1">
      <c r="E771" s="252"/>
      <c r="G771" s="253"/>
      <c r="H771" s="254"/>
    </row>
    <row r="772" ht="15.75" customHeight="1">
      <c r="E772" s="252"/>
      <c r="G772" s="253"/>
      <c r="H772" s="254"/>
    </row>
    <row r="773" ht="15.75" customHeight="1">
      <c r="E773" s="252"/>
      <c r="G773" s="253"/>
      <c r="H773" s="254"/>
    </row>
    <row r="774" ht="15.75" customHeight="1">
      <c r="E774" s="252"/>
      <c r="G774" s="253"/>
      <c r="H774" s="254"/>
    </row>
    <row r="775" ht="15.75" customHeight="1">
      <c r="E775" s="252"/>
      <c r="G775" s="253"/>
      <c r="H775" s="254"/>
    </row>
    <row r="776" ht="15.75" customHeight="1">
      <c r="E776" s="252"/>
      <c r="G776" s="253"/>
      <c r="H776" s="254"/>
    </row>
    <row r="777" ht="15.75" customHeight="1">
      <c r="E777" s="252"/>
      <c r="G777" s="253"/>
      <c r="H777" s="254"/>
    </row>
    <row r="778" ht="15.75" customHeight="1">
      <c r="E778" s="252"/>
      <c r="G778" s="253"/>
      <c r="H778" s="254"/>
    </row>
    <row r="779" ht="15.75" customHeight="1">
      <c r="E779" s="252"/>
      <c r="G779" s="253"/>
      <c r="H779" s="254"/>
    </row>
    <row r="780" ht="15.75" customHeight="1">
      <c r="E780" s="252"/>
      <c r="G780" s="253"/>
      <c r="H780" s="254"/>
    </row>
    <row r="781" ht="15.75" customHeight="1">
      <c r="E781" s="252"/>
      <c r="G781" s="253"/>
      <c r="H781" s="254"/>
    </row>
    <row r="782" ht="15.75" customHeight="1">
      <c r="E782" s="252"/>
      <c r="G782" s="253"/>
      <c r="H782" s="254"/>
    </row>
    <row r="783" ht="15.75" customHeight="1">
      <c r="E783" s="252"/>
      <c r="G783" s="253"/>
      <c r="H783" s="254"/>
    </row>
    <row r="784" ht="15.75" customHeight="1">
      <c r="E784" s="252"/>
      <c r="G784" s="253"/>
      <c r="H784" s="254"/>
    </row>
    <row r="785" ht="15.75" customHeight="1">
      <c r="E785" s="252"/>
      <c r="G785" s="253"/>
      <c r="H785" s="254"/>
    </row>
    <row r="786" ht="15.75" customHeight="1">
      <c r="E786" s="252"/>
      <c r="G786" s="253"/>
      <c r="H786" s="254"/>
    </row>
    <row r="787" ht="15.75" customHeight="1">
      <c r="E787" s="252"/>
      <c r="G787" s="253"/>
      <c r="H787" s="254"/>
    </row>
    <row r="788" ht="15.75" customHeight="1">
      <c r="E788" s="252"/>
      <c r="G788" s="253"/>
      <c r="H788" s="254"/>
    </row>
    <row r="789" ht="15.75" customHeight="1">
      <c r="E789" s="252"/>
      <c r="G789" s="253"/>
      <c r="H789" s="254"/>
    </row>
    <row r="790" ht="15.75" customHeight="1">
      <c r="E790" s="252"/>
      <c r="G790" s="253"/>
      <c r="H790" s="254"/>
    </row>
    <row r="791" ht="15.75" customHeight="1">
      <c r="E791" s="252"/>
      <c r="G791" s="253"/>
      <c r="H791" s="254"/>
    </row>
    <row r="792" ht="15.75" customHeight="1">
      <c r="E792" s="252"/>
      <c r="G792" s="253"/>
      <c r="H792" s="254"/>
    </row>
    <row r="793" ht="15.75" customHeight="1">
      <c r="E793" s="252"/>
      <c r="G793" s="253"/>
      <c r="H793" s="254"/>
    </row>
    <row r="794" ht="15.75" customHeight="1">
      <c r="E794" s="252"/>
      <c r="G794" s="253"/>
      <c r="H794" s="254"/>
    </row>
    <row r="795" ht="15.75" customHeight="1">
      <c r="E795" s="252"/>
      <c r="G795" s="253"/>
      <c r="H795" s="254"/>
    </row>
    <row r="796" ht="15.75" customHeight="1">
      <c r="E796" s="252"/>
      <c r="G796" s="253"/>
      <c r="H796" s="254"/>
    </row>
    <row r="797" ht="15.75" customHeight="1">
      <c r="E797" s="252"/>
      <c r="G797" s="253"/>
      <c r="H797" s="254"/>
    </row>
    <row r="798" ht="15.75" customHeight="1">
      <c r="E798" s="252"/>
      <c r="G798" s="253"/>
      <c r="H798" s="254"/>
    </row>
    <row r="799" ht="15.75" customHeight="1">
      <c r="E799" s="252"/>
      <c r="G799" s="253"/>
      <c r="H799" s="254"/>
    </row>
    <row r="800" ht="15.75" customHeight="1">
      <c r="E800" s="252"/>
      <c r="G800" s="253"/>
      <c r="H800" s="254"/>
    </row>
    <row r="801" ht="15.75" customHeight="1">
      <c r="E801" s="252"/>
      <c r="G801" s="253"/>
      <c r="H801" s="254"/>
    </row>
    <row r="802" ht="15.75" customHeight="1">
      <c r="E802" s="252"/>
      <c r="G802" s="253"/>
      <c r="H802" s="254"/>
    </row>
    <row r="803" ht="15.75" customHeight="1">
      <c r="E803" s="252"/>
      <c r="G803" s="253"/>
      <c r="H803" s="254"/>
    </row>
    <row r="804" ht="15.75" customHeight="1">
      <c r="E804" s="252"/>
      <c r="G804" s="253"/>
      <c r="H804" s="254"/>
    </row>
    <row r="805" ht="15.75" customHeight="1">
      <c r="E805" s="252"/>
      <c r="G805" s="253"/>
      <c r="H805" s="254"/>
    </row>
    <row r="806" ht="15.75" customHeight="1">
      <c r="E806" s="252"/>
      <c r="G806" s="253"/>
      <c r="H806" s="254"/>
    </row>
    <row r="807" ht="15.75" customHeight="1">
      <c r="E807" s="252"/>
      <c r="G807" s="253"/>
      <c r="H807" s="254"/>
    </row>
    <row r="808" ht="15.75" customHeight="1">
      <c r="E808" s="252"/>
      <c r="G808" s="253"/>
      <c r="H808" s="254"/>
    </row>
    <row r="809" ht="15.75" customHeight="1">
      <c r="E809" s="252"/>
      <c r="G809" s="253"/>
      <c r="H809" s="254"/>
    </row>
    <row r="810" ht="15.75" customHeight="1">
      <c r="E810" s="252"/>
      <c r="G810" s="253"/>
      <c r="H810" s="254"/>
    </row>
    <row r="811" ht="15.75" customHeight="1">
      <c r="E811" s="252"/>
      <c r="G811" s="253"/>
      <c r="H811" s="254"/>
    </row>
    <row r="812" ht="15.75" customHeight="1">
      <c r="E812" s="252"/>
      <c r="G812" s="253"/>
      <c r="H812" s="254"/>
    </row>
    <row r="813" ht="15.75" customHeight="1">
      <c r="E813" s="252"/>
      <c r="G813" s="253"/>
      <c r="H813" s="254"/>
    </row>
    <row r="814" ht="15.75" customHeight="1">
      <c r="E814" s="252"/>
      <c r="G814" s="253"/>
      <c r="H814" s="254"/>
    </row>
    <row r="815" ht="15.75" customHeight="1">
      <c r="E815" s="252"/>
      <c r="G815" s="253"/>
      <c r="H815" s="254"/>
    </row>
    <row r="816" ht="15.75" customHeight="1">
      <c r="E816" s="252"/>
      <c r="G816" s="253"/>
      <c r="H816" s="254"/>
    </row>
    <row r="817" ht="15.75" customHeight="1">
      <c r="E817" s="252"/>
      <c r="G817" s="253"/>
      <c r="H817" s="254"/>
    </row>
    <row r="818" ht="15.75" customHeight="1">
      <c r="E818" s="252"/>
      <c r="G818" s="253"/>
      <c r="H818" s="254"/>
    </row>
    <row r="819" ht="15.75" customHeight="1">
      <c r="E819" s="252"/>
      <c r="G819" s="253"/>
      <c r="H819" s="254"/>
    </row>
    <row r="820" ht="15.75" customHeight="1">
      <c r="E820" s="252"/>
      <c r="G820" s="253"/>
      <c r="H820" s="254"/>
    </row>
    <row r="821" ht="15.75" customHeight="1">
      <c r="E821" s="252"/>
      <c r="G821" s="253"/>
      <c r="H821" s="254"/>
    </row>
    <row r="822" ht="15.75" customHeight="1">
      <c r="E822" s="252"/>
      <c r="G822" s="253"/>
      <c r="H822" s="254"/>
    </row>
    <row r="823" ht="15.75" customHeight="1">
      <c r="E823" s="252"/>
      <c r="G823" s="253"/>
      <c r="H823" s="254"/>
    </row>
    <row r="824" ht="15.75" customHeight="1">
      <c r="E824" s="252"/>
      <c r="G824" s="253"/>
      <c r="H824" s="254"/>
    </row>
    <row r="825" ht="15.75" customHeight="1">
      <c r="E825" s="252"/>
      <c r="G825" s="253"/>
      <c r="H825" s="254"/>
    </row>
    <row r="826" ht="15.75" customHeight="1">
      <c r="E826" s="252"/>
      <c r="G826" s="253"/>
      <c r="H826" s="254"/>
    </row>
    <row r="827" ht="15.75" customHeight="1">
      <c r="E827" s="252"/>
      <c r="G827" s="253"/>
      <c r="H827" s="254"/>
    </row>
    <row r="828" ht="15.75" customHeight="1">
      <c r="E828" s="252"/>
      <c r="G828" s="253"/>
      <c r="H828" s="254"/>
    </row>
    <row r="829" ht="15.75" customHeight="1">
      <c r="E829" s="252"/>
      <c r="G829" s="253"/>
      <c r="H829" s="254"/>
    </row>
    <row r="830" ht="15.75" customHeight="1">
      <c r="E830" s="252"/>
      <c r="G830" s="253"/>
      <c r="H830" s="254"/>
    </row>
    <row r="831" ht="15.75" customHeight="1">
      <c r="E831" s="252"/>
      <c r="G831" s="253"/>
      <c r="H831" s="254"/>
    </row>
    <row r="832" ht="15.75" customHeight="1">
      <c r="E832" s="252"/>
      <c r="G832" s="253"/>
      <c r="H832" s="254"/>
    </row>
    <row r="833" ht="15.75" customHeight="1">
      <c r="E833" s="252"/>
      <c r="G833" s="253"/>
      <c r="H833" s="254"/>
    </row>
    <row r="834" ht="15.75" customHeight="1">
      <c r="E834" s="252"/>
      <c r="G834" s="253"/>
      <c r="H834" s="254"/>
    </row>
    <row r="835" ht="15.75" customHeight="1">
      <c r="E835" s="252"/>
      <c r="G835" s="253"/>
      <c r="H835" s="254"/>
    </row>
    <row r="836" ht="15.75" customHeight="1">
      <c r="E836" s="252"/>
      <c r="G836" s="253"/>
      <c r="H836" s="254"/>
    </row>
    <row r="837" ht="15.75" customHeight="1">
      <c r="E837" s="252"/>
      <c r="G837" s="253"/>
      <c r="H837" s="254"/>
    </row>
    <row r="838" ht="15.75" customHeight="1">
      <c r="E838" s="252"/>
      <c r="G838" s="253"/>
      <c r="H838" s="254"/>
    </row>
    <row r="839" ht="15.75" customHeight="1">
      <c r="E839" s="252"/>
      <c r="G839" s="253"/>
      <c r="H839" s="254"/>
    </row>
    <row r="840" ht="15.75" customHeight="1">
      <c r="E840" s="252"/>
      <c r="G840" s="253"/>
      <c r="H840" s="254"/>
    </row>
    <row r="841" ht="15.75" customHeight="1">
      <c r="E841" s="252"/>
      <c r="G841" s="253"/>
      <c r="H841" s="254"/>
    </row>
    <row r="842" ht="15.75" customHeight="1">
      <c r="E842" s="252"/>
      <c r="G842" s="253"/>
      <c r="H842" s="254"/>
    </row>
    <row r="843" ht="15.75" customHeight="1">
      <c r="E843" s="252"/>
      <c r="G843" s="253"/>
      <c r="H843" s="254"/>
    </row>
    <row r="844" ht="15.75" customHeight="1">
      <c r="E844" s="252"/>
      <c r="G844" s="253"/>
      <c r="H844" s="254"/>
    </row>
    <row r="845" ht="15.75" customHeight="1">
      <c r="E845" s="252"/>
      <c r="G845" s="253"/>
      <c r="H845" s="254"/>
    </row>
    <row r="846" ht="15.75" customHeight="1">
      <c r="E846" s="252"/>
      <c r="G846" s="253"/>
      <c r="H846" s="254"/>
    </row>
    <row r="847" ht="15.75" customHeight="1">
      <c r="E847" s="252"/>
      <c r="G847" s="253"/>
      <c r="H847" s="254"/>
    </row>
    <row r="848" ht="15.75" customHeight="1">
      <c r="E848" s="252"/>
      <c r="G848" s="253"/>
      <c r="H848" s="254"/>
    </row>
    <row r="849" ht="15.75" customHeight="1">
      <c r="E849" s="252"/>
      <c r="G849" s="253"/>
      <c r="H849" s="254"/>
    </row>
    <row r="850" ht="15.75" customHeight="1">
      <c r="E850" s="252"/>
      <c r="G850" s="253"/>
      <c r="H850" s="254"/>
    </row>
    <row r="851" ht="15.75" customHeight="1">
      <c r="E851" s="252"/>
      <c r="G851" s="253"/>
      <c r="H851" s="254"/>
    </row>
    <row r="852" ht="15.75" customHeight="1">
      <c r="E852" s="252"/>
      <c r="G852" s="253"/>
      <c r="H852" s="254"/>
    </row>
    <row r="853" ht="15.75" customHeight="1">
      <c r="E853" s="252"/>
      <c r="G853" s="253"/>
      <c r="H853" s="254"/>
    </row>
    <row r="854" ht="15.75" customHeight="1">
      <c r="E854" s="252"/>
      <c r="G854" s="253"/>
      <c r="H854" s="254"/>
    </row>
    <row r="855" ht="15.75" customHeight="1">
      <c r="E855" s="252"/>
      <c r="G855" s="253"/>
      <c r="H855" s="254"/>
    </row>
    <row r="856" ht="15.75" customHeight="1">
      <c r="E856" s="252"/>
      <c r="G856" s="253"/>
      <c r="H856" s="254"/>
    </row>
    <row r="857" ht="15.75" customHeight="1">
      <c r="E857" s="252"/>
      <c r="G857" s="253"/>
      <c r="H857" s="254"/>
    </row>
    <row r="858" ht="15.75" customHeight="1">
      <c r="E858" s="252"/>
      <c r="G858" s="253"/>
      <c r="H858" s="254"/>
    </row>
    <row r="859" ht="15.75" customHeight="1">
      <c r="E859" s="252"/>
      <c r="G859" s="253"/>
      <c r="H859" s="254"/>
    </row>
    <row r="860" ht="15.75" customHeight="1">
      <c r="E860" s="252"/>
      <c r="G860" s="253"/>
      <c r="H860" s="254"/>
    </row>
    <row r="861" ht="15.75" customHeight="1">
      <c r="E861" s="252"/>
      <c r="G861" s="253"/>
      <c r="H861" s="254"/>
    </row>
    <row r="862" ht="15.75" customHeight="1">
      <c r="E862" s="252"/>
      <c r="G862" s="253"/>
      <c r="H862" s="254"/>
    </row>
    <row r="863" ht="15.75" customHeight="1">
      <c r="E863" s="252"/>
      <c r="G863" s="253"/>
      <c r="H863" s="254"/>
    </row>
    <row r="864" ht="15.75" customHeight="1">
      <c r="E864" s="252"/>
      <c r="G864" s="253"/>
      <c r="H864" s="254"/>
    </row>
    <row r="865" ht="15.75" customHeight="1">
      <c r="E865" s="252"/>
      <c r="G865" s="253"/>
      <c r="H865" s="254"/>
    </row>
    <row r="866" ht="15.75" customHeight="1">
      <c r="E866" s="252"/>
      <c r="G866" s="253"/>
      <c r="H866" s="254"/>
    </row>
    <row r="867" ht="15.75" customHeight="1">
      <c r="E867" s="252"/>
      <c r="G867" s="253"/>
      <c r="H867" s="254"/>
    </row>
    <row r="868" ht="15.75" customHeight="1">
      <c r="E868" s="252"/>
      <c r="G868" s="253"/>
      <c r="H868" s="254"/>
    </row>
    <row r="869" ht="15.75" customHeight="1">
      <c r="E869" s="252"/>
      <c r="G869" s="253"/>
      <c r="H869" s="254"/>
    </row>
    <row r="870" ht="15.75" customHeight="1">
      <c r="E870" s="252"/>
      <c r="G870" s="253"/>
      <c r="H870" s="254"/>
    </row>
    <row r="871" ht="15.75" customHeight="1">
      <c r="E871" s="252"/>
      <c r="G871" s="253"/>
      <c r="H871" s="254"/>
    </row>
    <row r="872" ht="15.75" customHeight="1">
      <c r="E872" s="252"/>
      <c r="G872" s="253"/>
      <c r="H872" s="254"/>
    </row>
    <row r="873" ht="15.75" customHeight="1">
      <c r="E873" s="252"/>
      <c r="G873" s="253"/>
      <c r="H873" s="254"/>
    </row>
    <row r="874" ht="15.75" customHeight="1">
      <c r="E874" s="252"/>
      <c r="G874" s="253"/>
      <c r="H874" s="254"/>
    </row>
    <row r="875" ht="15.75" customHeight="1">
      <c r="E875" s="252"/>
      <c r="G875" s="253"/>
      <c r="H875" s="254"/>
    </row>
    <row r="876" ht="15.75" customHeight="1">
      <c r="E876" s="252"/>
      <c r="G876" s="253"/>
      <c r="H876" s="254"/>
    </row>
    <row r="877" ht="15.75" customHeight="1">
      <c r="E877" s="252"/>
      <c r="G877" s="253"/>
      <c r="H877" s="254"/>
    </row>
    <row r="878" ht="15.75" customHeight="1">
      <c r="E878" s="252"/>
      <c r="G878" s="253"/>
      <c r="H878" s="254"/>
    </row>
    <row r="879" ht="15.75" customHeight="1">
      <c r="E879" s="252"/>
      <c r="G879" s="253"/>
      <c r="H879" s="254"/>
    </row>
    <row r="880" ht="15.75" customHeight="1">
      <c r="E880" s="252"/>
      <c r="G880" s="253"/>
      <c r="H880" s="254"/>
    </row>
    <row r="881" ht="15.75" customHeight="1">
      <c r="E881" s="252"/>
      <c r="G881" s="253"/>
      <c r="H881" s="254"/>
    </row>
    <row r="882" ht="15.75" customHeight="1">
      <c r="E882" s="252"/>
      <c r="G882" s="253"/>
      <c r="H882" s="254"/>
    </row>
    <row r="883" ht="15.75" customHeight="1">
      <c r="E883" s="252"/>
      <c r="G883" s="253"/>
      <c r="H883" s="254"/>
    </row>
    <row r="884" ht="15.75" customHeight="1">
      <c r="E884" s="252"/>
      <c r="G884" s="253"/>
      <c r="H884" s="254"/>
    </row>
    <row r="885" ht="15.75" customHeight="1">
      <c r="E885" s="252"/>
      <c r="G885" s="253"/>
      <c r="H885" s="254"/>
    </row>
    <row r="886" ht="15.75" customHeight="1">
      <c r="E886" s="252"/>
      <c r="G886" s="253"/>
      <c r="H886" s="254"/>
    </row>
    <row r="887" ht="15.75" customHeight="1">
      <c r="E887" s="252"/>
      <c r="G887" s="253"/>
      <c r="H887" s="254"/>
    </row>
    <row r="888" ht="15.75" customHeight="1">
      <c r="E888" s="252"/>
      <c r="G888" s="253"/>
      <c r="H888" s="254"/>
    </row>
    <row r="889" ht="15.75" customHeight="1">
      <c r="E889" s="252"/>
      <c r="G889" s="253"/>
      <c r="H889" s="254"/>
    </row>
    <row r="890" ht="15.75" customHeight="1">
      <c r="E890" s="252"/>
      <c r="G890" s="253"/>
      <c r="H890" s="254"/>
    </row>
    <row r="891" ht="15.75" customHeight="1">
      <c r="E891" s="252"/>
      <c r="G891" s="253"/>
      <c r="H891" s="254"/>
    </row>
    <row r="892" ht="15.75" customHeight="1">
      <c r="E892" s="252"/>
      <c r="G892" s="253"/>
      <c r="H892" s="254"/>
    </row>
    <row r="893" ht="15.75" customHeight="1">
      <c r="E893" s="252"/>
      <c r="G893" s="253"/>
      <c r="H893" s="254"/>
    </row>
    <row r="894" ht="15.75" customHeight="1">
      <c r="E894" s="252"/>
      <c r="G894" s="253"/>
      <c r="H894" s="254"/>
    </row>
    <row r="895" ht="15.75" customHeight="1">
      <c r="E895" s="252"/>
      <c r="G895" s="253"/>
      <c r="H895" s="254"/>
    </row>
    <row r="896" ht="15.75" customHeight="1">
      <c r="E896" s="252"/>
      <c r="G896" s="253"/>
      <c r="H896" s="254"/>
    </row>
    <row r="897" ht="15.75" customHeight="1">
      <c r="E897" s="252"/>
      <c r="G897" s="253"/>
      <c r="H897" s="254"/>
    </row>
    <row r="898" ht="15.75" customHeight="1">
      <c r="E898" s="252"/>
      <c r="G898" s="253"/>
      <c r="H898" s="254"/>
    </row>
    <row r="899" ht="15.75" customHeight="1">
      <c r="E899" s="252"/>
      <c r="G899" s="253"/>
      <c r="H899" s="254"/>
    </row>
    <row r="900" ht="15.75" customHeight="1">
      <c r="E900" s="252"/>
      <c r="G900" s="253"/>
      <c r="H900" s="254"/>
    </row>
    <row r="901" ht="15.75" customHeight="1">
      <c r="E901" s="252"/>
      <c r="G901" s="253"/>
      <c r="H901" s="254"/>
    </row>
    <row r="902" ht="15.75" customHeight="1">
      <c r="E902" s="252"/>
      <c r="G902" s="253"/>
      <c r="H902" s="254"/>
    </row>
    <row r="903" ht="15.75" customHeight="1">
      <c r="E903" s="252"/>
      <c r="G903" s="253"/>
      <c r="H903" s="254"/>
    </row>
    <row r="904" ht="15.75" customHeight="1">
      <c r="E904" s="252"/>
      <c r="G904" s="253"/>
      <c r="H904" s="254"/>
    </row>
    <row r="905" ht="15.75" customHeight="1">
      <c r="E905" s="252"/>
      <c r="G905" s="253"/>
      <c r="H905" s="254"/>
    </row>
    <row r="906" ht="15.75" customHeight="1">
      <c r="E906" s="252"/>
      <c r="G906" s="253"/>
      <c r="H906" s="254"/>
    </row>
    <row r="907" ht="15.75" customHeight="1">
      <c r="E907" s="252"/>
      <c r="G907" s="253"/>
      <c r="H907" s="254"/>
    </row>
    <row r="908" ht="15.75" customHeight="1">
      <c r="E908" s="252"/>
      <c r="G908" s="253"/>
      <c r="H908" s="254"/>
    </row>
    <row r="909" ht="15.75" customHeight="1">
      <c r="E909" s="252"/>
      <c r="G909" s="253"/>
      <c r="H909" s="254"/>
    </row>
    <row r="910" ht="15.75" customHeight="1">
      <c r="E910" s="252"/>
      <c r="G910" s="253"/>
      <c r="H910" s="254"/>
    </row>
    <row r="911" ht="15.75" customHeight="1">
      <c r="E911" s="252"/>
      <c r="G911" s="253"/>
      <c r="H911" s="254"/>
    </row>
    <row r="912" ht="15.75" customHeight="1">
      <c r="E912" s="252"/>
      <c r="G912" s="253"/>
      <c r="H912" s="254"/>
    </row>
    <row r="913" ht="15.75" customHeight="1">
      <c r="E913" s="252"/>
      <c r="G913" s="253"/>
      <c r="H913" s="254"/>
    </row>
    <row r="914" ht="15.75" customHeight="1">
      <c r="E914" s="252"/>
      <c r="G914" s="253"/>
      <c r="H914" s="254"/>
    </row>
    <row r="915" ht="15.75" customHeight="1">
      <c r="E915" s="252"/>
      <c r="G915" s="253"/>
      <c r="H915" s="254"/>
    </row>
    <row r="916" ht="15.75" customHeight="1">
      <c r="E916" s="252"/>
      <c r="G916" s="253"/>
      <c r="H916" s="254"/>
    </row>
    <row r="917" ht="15.75" customHeight="1">
      <c r="E917" s="252"/>
      <c r="G917" s="253"/>
      <c r="H917" s="254"/>
    </row>
    <row r="918" ht="15.75" customHeight="1">
      <c r="E918" s="252"/>
      <c r="G918" s="253"/>
      <c r="H918" s="254"/>
    </row>
    <row r="919" ht="15.75" customHeight="1">
      <c r="E919" s="252"/>
      <c r="G919" s="253"/>
      <c r="H919" s="254"/>
    </row>
    <row r="920" ht="15.75" customHeight="1">
      <c r="E920" s="252"/>
      <c r="G920" s="253"/>
      <c r="H920" s="254"/>
    </row>
    <row r="921" ht="15.75" customHeight="1">
      <c r="E921" s="252"/>
      <c r="G921" s="253"/>
      <c r="H921" s="254"/>
    </row>
    <row r="922" ht="15.75" customHeight="1">
      <c r="E922" s="252"/>
      <c r="G922" s="253"/>
      <c r="H922" s="254"/>
    </row>
    <row r="923" ht="15.75" customHeight="1">
      <c r="E923" s="252"/>
      <c r="G923" s="253"/>
      <c r="H923" s="254"/>
    </row>
    <row r="924" ht="15.75" customHeight="1">
      <c r="E924" s="252"/>
      <c r="G924" s="253"/>
      <c r="H924" s="254"/>
    </row>
    <row r="925" ht="15.75" customHeight="1">
      <c r="E925" s="252"/>
      <c r="G925" s="253"/>
      <c r="H925" s="254"/>
    </row>
    <row r="926" ht="15.75" customHeight="1">
      <c r="E926" s="252"/>
      <c r="G926" s="253"/>
      <c r="H926" s="254"/>
    </row>
    <row r="927" ht="15.75" customHeight="1">
      <c r="E927" s="252"/>
      <c r="G927" s="253"/>
      <c r="H927" s="254"/>
    </row>
    <row r="928" ht="15.75" customHeight="1">
      <c r="E928" s="252"/>
      <c r="G928" s="253"/>
      <c r="H928" s="254"/>
    </row>
    <row r="929" ht="15.75" customHeight="1">
      <c r="E929" s="252"/>
      <c r="G929" s="253"/>
      <c r="H929" s="254"/>
    </row>
    <row r="930" ht="15.75" customHeight="1">
      <c r="E930" s="252"/>
      <c r="G930" s="253"/>
      <c r="H930" s="254"/>
    </row>
    <row r="931" ht="15.75" customHeight="1">
      <c r="E931" s="252"/>
      <c r="G931" s="253"/>
      <c r="H931" s="254"/>
    </row>
    <row r="932" ht="15.75" customHeight="1">
      <c r="E932" s="252"/>
      <c r="G932" s="253"/>
      <c r="H932" s="254"/>
    </row>
    <row r="933" ht="15.75" customHeight="1">
      <c r="E933" s="252"/>
      <c r="G933" s="253"/>
      <c r="H933" s="254"/>
    </row>
    <row r="934" ht="15.75" customHeight="1">
      <c r="E934" s="252"/>
      <c r="G934" s="253"/>
      <c r="H934" s="254"/>
    </row>
    <row r="935" ht="15.75" customHeight="1">
      <c r="E935" s="252"/>
      <c r="G935" s="253"/>
      <c r="H935" s="254"/>
    </row>
    <row r="936" ht="15.75" customHeight="1">
      <c r="E936" s="252"/>
      <c r="G936" s="253"/>
      <c r="H936" s="254"/>
    </row>
    <row r="937" ht="15.75" customHeight="1">
      <c r="E937" s="252"/>
      <c r="G937" s="253"/>
      <c r="H937" s="254"/>
    </row>
    <row r="938" ht="15.75" customHeight="1">
      <c r="E938" s="252"/>
      <c r="G938" s="253"/>
      <c r="H938" s="254"/>
    </row>
    <row r="939" ht="15.75" customHeight="1">
      <c r="E939" s="252"/>
      <c r="G939" s="253"/>
      <c r="H939" s="254"/>
    </row>
    <row r="940" ht="15.75" customHeight="1">
      <c r="E940" s="252"/>
      <c r="G940" s="253"/>
      <c r="H940" s="254"/>
    </row>
    <row r="941" ht="15.75" customHeight="1">
      <c r="E941" s="252"/>
      <c r="G941" s="253"/>
      <c r="H941" s="254"/>
    </row>
    <row r="942" ht="15.75" customHeight="1">
      <c r="E942" s="252"/>
      <c r="G942" s="253"/>
      <c r="H942" s="254"/>
    </row>
    <row r="943" ht="15.75" customHeight="1">
      <c r="E943" s="252"/>
      <c r="G943" s="253"/>
      <c r="H943" s="254"/>
    </row>
    <row r="944" ht="15.75" customHeight="1">
      <c r="E944" s="252"/>
      <c r="G944" s="253"/>
      <c r="H944" s="254"/>
    </row>
    <row r="945" ht="15.75" customHeight="1">
      <c r="E945" s="252"/>
      <c r="G945" s="253"/>
      <c r="H945" s="254"/>
    </row>
    <row r="946" ht="15.75" customHeight="1">
      <c r="E946" s="252"/>
      <c r="G946" s="253"/>
      <c r="H946" s="254"/>
    </row>
    <row r="947" ht="15.75" customHeight="1">
      <c r="E947" s="252"/>
      <c r="G947" s="253"/>
      <c r="H947" s="254"/>
    </row>
    <row r="948" ht="15.75" customHeight="1">
      <c r="E948" s="252"/>
      <c r="G948" s="253"/>
      <c r="H948" s="254"/>
    </row>
    <row r="949" ht="15.75" customHeight="1">
      <c r="E949" s="252"/>
      <c r="G949" s="253"/>
      <c r="H949" s="254"/>
    </row>
    <row r="950" ht="15.75" customHeight="1">
      <c r="E950" s="252"/>
      <c r="G950" s="253"/>
      <c r="H950" s="254"/>
    </row>
    <row r="951" ht="15.75" customHeight="1">
      <c r="E951" s="252"/>
      <c r="G951" s="253"/>
      <c r="H951" s="254"/>
    </row>
    <row r="952" ht="15.75" customHeight="1">
      <c r="E952" s="252"/>
      <c r="G952" s="253"/>
      <c r="H952" s="254"/>
    </row>
    <row r="953" ht="15.75" customHeight="1">
      <c r="E953" s="252"/>
      <c r="G953" s="253"/>
      <c r="H953" s="254"/>
    </row>
    <row r="954" ht="15.75" customHeight="1">
      <c r="E954" s="252"/>
      <c r="G954" s="253"/>
      <c r="H954" s="254"/>
    </row>
    <row r="955" ht="15.75" customHeight="1">
      <c r="E955" s="252"/>
      <c r="G955" s="253"/>
      <c r="H955" s="254"/>
    </row>
    <row r="956" ht="15.75" customHeight="1">
      <c r="E956" s="252"/>
      <c r="G956" s="253"/>
      <c r="H956" s="254"/>
    </row>
    <row r="957" ht="15.75" customHeight="1">
      <c r="E957" s="252"/>
      <c r="G957" s="253"/>
      <c r="H957" s="254"/>
    </row>
    <row r="958" ht="15.75" customHeight="1">
      <c r="E958" s="252"/>
      <c r="G958" s="253"/>
      <c r="H958" s="254"/>
    </row>
    <row r="959" ht="15.75" customHeight="1">
      <c r="E959" s="252"/>
      <c r="G959" s="253"/>
      <c r="H959" s="254"/>
    </row>
    <row r="960" ht="15.75" customHeight="1">
      <c r="E960" s="252"/>
      <c r="G960" s="253"/>
      <c r="H960" s="254"/>
    </row>
    <row r="961" ht="15.75" customHeight="1">
      <c r="E961" s="252"/>
      <c r="G961" s="253"/>
      <c r="H961" s="254"/>
    </row>
    <row r="962" ht="15.75" customHeight="1">
      <c r="E962" s="252"/>
      <c r="G962" s="253"/>
      <c r="H962" s="254"/>
    </row>
    <row r="963" ht="15.75" customHeight="1">
      <c r="E963" s="252"/>
      <c r="G963" s="253"/>
      <c r="H963" s="254"/>
    </row>
    <row r="964" ht="15.75" customHeight="1">
      <c r="E964" s="252"/>
      <c r="G964" s="253"/>
      <c r="H964" s="254"/>
    </row>
    <row r="965" ht="15.75" customHeight="1">
      <c r="E965" s="252"/>
      <c r="G965" s="253"/>
      <c r="H965" s="254"/>
    </row>
    <row r="966" ht="15.75" customHeight="1">
      <c r="E966" s="252"/>
      <c r="G966" s="253"/>
      <c r="H966" s="254"/>
    </row>
    <row r="967" ht="15.75" customHeight="1">
      <c r="E967" s="252"/>
      <c r="G967" s="253"/>
      <c r="H967" s="254"/>
    </row>
    <row r="968" ht="15.75" customHeight="1">
      <c r="E968" s="252"/>
      <c r="G968" s="253"/>
      <c r="H968" s="254"/>
    </row>
    <row r="969" ht="15.75" customHeight="1">
      <c r="E969" s="252"/>
      <c r="G969" s="253"/>
      <c r="H969" s="254"/>
    </row>
    <row r="970" ht="15.75" customHeight="1">
      <c r="E970" s="252"/>
      <c r="G970" s="253"/>
      <c r="H970" s="254"/>
    </row>
    <row r="971" ht="15.75" customHeight="1">
      <c r="E971" s="252"/>
      <c r="G971" s="253"/>
      <c r="H971" s="254"/>
    </row>
    <row r="972" ht="15.75" customHeight="1">
      <c r="E972" s="252"/>
      <c r="G972" s="253"/>
      <c r="H972" s="254"/>
    </row>
    <row r="973" ht="15.75" customHeight="1">
      <c r="E973" s="252"/>
      <c r="G973" s="253"/>
      <c r="H973" s="254"/>
    </row>
    <row r="974" ht="15.75" customHeight="1">
      <c r="E974" s="252"/>
      <c r="G974" s="253"/>
      <c r="H974" s="254"/>
    </row>
    <row r="975" ht="15.75" customHeight="1">
      <c r="E975" s="252"/>
      <c r="G975" s="253"/>
      <c r="H975" s="254"/>
    </row>
    <row r="976" ht="15.75" customHeight="1">
      <c r="E976" s="252"/>
      <c r="G976" s="253"/>
      <c r="H976" s="254"/>
    </row>
    <row r="977" ht="15.75" customHeight="1">
      <c r="E977" s="252"/>
      <c r="G977" s="253"/>
      <c r="H977" s="254"/>
    </row>
    <row r="978" ht="15.75" customHeight="1">
      <c r="E978" s="252"/>
      <c r="G978" s="253"/>
      <c r="H978" s="254"/>
    </row>
    <row r="979" ht="15.75" customHeight="1">
      <c r="E979" s="252"/>
      <c r="G979" s="253"/>
      <c r="H979" s="254"/>
    </row>
    <row r="980" ht="15.75" customHeight="1">
      <c r="E980" s="252"/>
      <c r="G980" s="253"/>
      <c r="H980" s="254"/>
    </row>
    <row r="981" ht="15.75" customHeight="1">
      <c r="E981" s="252"/>
      <c r="G981" s="253"/>
      <c r="H981" s="254"/>
    </row>
    <row r="982" ht="15.75" customHeight="1">
      <c r="E982" s="252"/>
      <c r="G982" s="253"/>
      <c r="H982" s="254"/>
    </row>
    <row r="983" ht="15.75" customHeight="1">
      <c r="E983" s="252"/>
      <c r="G983" s="253"/>
      <c r="H983" s="254"/>
    </row>
    <row r="984" ht="15.75" customHeight="1">
      <c r="E984" s="252"/>
      <c r="G984" s="253"/>
      <c r="H984" s="254"/>
    </row>
    <row r="985" ht="15.75" customHeight="1">
      <c r="E985" s="252"/>
      <c r="G985" s="253"/>
      <c r="H985" s="254"/>
    </row>
    <row r="986" ht="15.75" customHeight="1">
      <c r="E986" s="252"/>
      <c r="G986" s="253"/>
      <c r="H986" s="254"/>
    </row>
    <row r="987" ht="15.75" customHeight="1">
      <c r="E987" s="252"/>
      <c r="G987" s="253"/>
      <c r="H987" s="254"/>
    </row>
    <row r="988" ht="15.75" customHeight="1">
      <c r="E988" s="252"/>
      <c r="G988" s="253"/>
      <c r="H988" s="254"/>
    </row>
    <row r="989" ht="15.75" customHeight="1">
      <c r="E989" s="252"/>
      <c r="G989" s="253"/>
      <c r="H989" s="254"/>
    </row>
    <row r="990" ht="15.75" customHeight="1">
      <c r="E990" s="252"/>
      <c r="G990" s="253"/>
      <c r="H990" s="254"/>
    </row>
    <row r="991" ht="15.75" customHeight="1">
      <c r="E991" s="252"/>
      <c r="G991" s="253"/>
      <c r="H991" s="254"/>
    </row>
    <row r="992" ht="15.75" customHeight="1">
      <c r="E992" s="252"/>
      <c r="G992" s="253"/>
      <c r="H992" s="254"/>
    </row>
    <row r="993" ht="15.75" customHeight="1">
      <c r="E993" s="252"/>
      <c r="G993" s="253"/>
      <c r="H993" s="254"/>
    </row>
    <row r="994" ht="15.75" customHeight="1">
      <c r="E994" s="252"/>
      <c r="G994" s="253"/>
      <c r="H994" s="254"/>
    </row>
    <row r="995" ht="15.75" customHeight="1">
      <c r="E995" s="252"/>
      <c r="G995" s="253"/>
      <c r="H995" s="254"/>
    </row>
    <row r="996" ht="15.75" customHeight="1">
      <c r="E996" s="252"/>
      <c r="G996" s="253"/>
      <c r="H996" s="254"/>
    </row>
    <row r="997" ht="15.75" customHeight="1">
      <c r="E997" s="252"/>
      <c r="G997" s="253"/>
      <c r="H997" s="254"/>
    </row>
    <row r="998" ht="15.75" customHeight="1">
      <c r="E998" s="252"/>
      <c r="G998" s="253"/>
      <c r="H998" s="254"/>
    </row>
    <row r="999" ht="15.75" customHeight="1">
      <c r="E999" s="252"/>
      <c r="G999" s="253"/>
      <c r="H999" s="254"/>
    </row>
    <row r="1000" ht="15.75" customHeight="1">
      <c r="E1000" s="252"/>
      <c r="G1000" s="253"/>
      <c r="H1000" s="254"/>
    </row>
    <row r="1001" ht="15.75" customHeight="1">
      <c r="E1001" s="252"/>
      <c r="G1001" s="253"/>
      <c r="H1001" s="254"/>
    </row>
    <row r="1002" ht="15.75" customHeight="1">
      <c r="E1002" s="252"/>
      <c r="G1002" s="253"/>
      <c r="H1002" s="254"/>
    </row>
    <row r="1003" ht="15.75" customHeight="1">
      <c r="E1003" s="252"/>
      <c r="G1003" s="253"/>
      <c r="H1003" s="254"/>
    </row>
    <row r="1004" ht="15.75" customHeight="1">
      <c r="E1004" s="252"/>
      <c r="G1004" s="253"/>
      <c r="H1004" s="254"/>
    </row>
    <row r="1005" ht="15.75" customHeight="1">
      <c r="E1005" s="252"/>
      <c r="G1005" s="253"/>
      <c r="H1005" s="254"/>
    </row>
    <row r="1006" ht="15.75" customHeight="1">
      <c r="E1006" s="252"/>
      <c r="G1006" s="253"/>
      <c r="H1006" s="254"/>
    </row>
    <row r="1007" ht="15.75" customHeight="1">
      <c r="E1007" s="252"/>
      <c r="G1007" s="253"/>
      <c r="H1007" s="254"/>
    </row>
    <row r="1008" ht="15.75" customHeight="1">
      <c r="E1008" s="252"/>
      <c r="G1008" s="253"/>
      <c r="H1008" s="254"/>
    </row>
    <row r="1009" ht="15.75" customHeight="1">
      <c r="E1009" s="252"/>
      <c r="G1009" s="253"/>
      <c r="H1009" s="254"/>
    </row>
    <row r="1010" ht="15.75" customHeight="1">
      <c r="E1010" s="252"/>
      <c r="G1010" s="253"/>
      <c r="H1010" s="254"/>
    </row>
    <row r="1011" ht="15.75" customHeight="1">
      <c r="E1011" s="252"/>
      <c r="G1011" s="253"/>
      <c r="H1011" s="254"/>
    </row>
    <row r="1012" ht="15.75" customHeight="1">
      <c r="E1012" s="252"/>
      <c r="G1012" s="253"/>
      <c r="H1012" s="254"/>
    </row>
    <row r="1013" ht="15.75" customHeight="1">
      <c r="E1013" s="252"/>
      <c r="G1013" s="253"/>
      <c r="H1013" s="254"/>
    </row>
    <row r="1014" ht="15.75" customHeight="1">
      <c r="E1014" s="252"/>
      <c r="G1014" s="253"/>
      <c r="H1014" s="254"/>
    </row>
    <row r="1015" ht="15.75" customHeight="1">
      <c r="E1015" s="252"/>
      <c r="G1015" s="253"/>
      <c r="H1015" s="254"/>
    </row>
    <row r="1016" ht="15.75" customHeight="1">
      <c r="E1016" s="252"/>
      <c r="G1016" s="253"/>
      <c r="H1016" s="254"/>
    </row>
    <row r="1017" ht="15.75" customHeight="1">
      <c r="E1017" s="252"/>
      <c r="G1017" s="253"/>
      <c r="H1017" s="254"/>
    </row>
    <row r="1018" ht="15.75" customHeight="1">
      <c r="E1018" s="252"/>
      <c r="G1018" s="253"/>
      <c r="H1018" s="254"/>
    </row>
    <row r="1019" ht="15.75" customHeight="1">
      <c r="E1019" s="252"/>
      <c r="G1019" s="253"/>
      <c r="H1019" s="254"/>
    </row>
    <row r="1020" ht="15.75" customHeight="1">
      <c r="E1020" s="252"/>
      <c r="G1020" s="253"/>
      <c r="H1020" s="254"/>
    </row>
    <row r="1021" ht="15.75" customHeight="1">
      <c r="E1021" s="252"/>
      <c r="G1021" s="253"/>
      <c r="H1021" s="254"/>
    </row>
    <row r="1022" ht="15.75" customHeight="1">
      <c r="E1022" s="252"/>
      <c r="G1022" s="253"/>
      <c r="H1022" s="254"/>
    </row>
    <row r="1023" ht="15.75" customHeight="1">
      <c r="E1023" s="252"/>
      <c r="G1023" s="253"/>
      <c r="H1023" s="254"/>
    </row>
    <row r="1024" ht="15.75" customHeight="1">
      <c r="E1024" s="252"/>
      <c r="G1024" s="253"/>
      <c r="H1024" s="254"/>
    </row>
    <row r="1025" ht="15.75" customHeight="1">
      <c r="E1025" s="252"/>
      <c r="G1025" s="253"/>
      <c r="H1025" s="254"/>
    </row>
    <row r="1026" ht="15.75" customHeight="1">
      <c r="E1026" s="252"/>
      <c r="G1026" s="253"/>
      <c r="H1026" s="254"/>
    </row>
    <row r="1027" ht="15.75" customHeight="1">
      <c r="E1027" s="252"/>
      <c r="G1027" s="253"/>
      <c r="H1027" s="254"/>
    </row>
    <row r="1028" ht="15.75" customHeight="1">
      <c r="E1028" s="252"/>
      <c r="G1028" s="253"/>
      <c r="H1028" s="254"/>
    </row>
    <row r="1029" ht="15.75" customHeight="1">
      <c r="E1029" s="252"/>
      <c r="G1029" s="253"/>
      <c r="H1029" s="254"/>
    </row>
    <row r="1030" ht="15.75" customHeight="1">
      <c r="E1030" s="252"/>
      <c r="G1030" s="253"/>
      <c r="H1030" s="254"/>
    </row>
    <row r="1031" ht="15.75" customHeight="1">
      <c r="E1031" s="252"/>
      <c r="G1031" s="253"/>
      <c r="H1031" s="254"/>
    </row>
    <row r="1032" ht="15.75" customHeight="1">
      <c r="E1032" s="252"/>
      <c r="G1032" s="253"/>
      <c r="H1032" s="254"/>
    </row>
    <row r="1033" ht="15.75" customHeight="1">
      <c r="E1033" s="252"/>
      <c r="G1033" s="253"/>
      <c r="H1033" s="254"/>
    </row>
    <row r="1034" ht="15.75" customHeight="1">
      <c r="E1034" s="252"/>
      <c r="G1034" s="253"/>
      <c r="H1034" s="254"/>
    </row>
    <row r="1035" ht="15.75" customHeight="1">
      <c r="E1035" s="252"/>
      <c r="G1035" s="253"/>
      <c r="H1035" s="254"/>
    </row>
    <row r="1036" ht="15.75" customHeight="1">
      <c r="E1036" s="252"/>
      <c r="G1036" s="253"/>
      <c r="H1036" s="254"/>
    </row>
    <row r="1037" ht="15.75" customHeight="1">
      <c r="E1037" s="252"/>
      <c r="G1037" s="253"/>
      <c r="H1037" s="254"/>
    </row>
    <row r="1038" ht="15.75" customHeight="1">
      <c r="E1038" s="252"/>
      <c r="G1038" s="253"/>
      <c r="H1038" s="254"/>
    </row>
    <row r="1039" ht="15.75" customHeight="1">
      <c r="E1039" s="252"/>
      <c r="G1039" s="253"/>
      <c r="H1039" s="254"/>
    </row>
    <row r="1040" ht="15.75" customHeight="1">
      <c r="E1040" s="252"/>
      <c r="G1040" s="253"/>
      <c r="H1040" s="254"/>
    </row>
    <row r="1041" ht="15.75" customHeight="1">
      <c r="E1041" s="252"/>
      <c r="G1041" s="253"/>
      <c r="H1041" s="254"/>
    </row>
    <row r="1042" ht="15.75" customHeight="1">
      <c r="E1042" s="252"/>
      <c r="G1042" s="253"/>
      <c r="H1042" s="254"/>
    </row>
    <row r="1043" ht="15.75" customHeight="1">
      <c r="E1043" s="252"/>
      <c r="G1043" s="253"/>
      <c r="H1043" s="254"/>
    </row>
    <row r="1044" ht="15.75" customHeight="1">
      <c r="E1044" s="252"/>
      <c r="G1044" s="253"/>
      <c r="H1044" s="254"/>
    </row>
    <row r="1045" ht="15.75" customHeight="1">
      <c r="E1045" s="252"/>
      <c r="G1045" s="253"/>
      <c r="H1045" s="254"/>
    </row>
    <row r="1046" ht="15.75" customHeight="1">
      <c r="E1046" s="252"/>
      <c r="G1046" s="253"/>
      <c r="H1046" s="254"/>
    </row>
    <row r="1047" ht="15.75" customHeight="1">
      <c r="E1047" s="252"/>
      <c r="G1047" s="253"/>
      <c r="H1047" s="254"/>
    </row>
    <row r="1048" ht="15.75" customHeight="1">
      <c r="E1048" s="252"/>
      <c r="G1048" s="253"/>
      <c r="H1048" s="254"/>
    </row>
    <row r="1049" ht="15.75" customHeight="1">
      <c r="E1049" s="252"/>
      <c r="G1049" s="253"/>
      <c r="H1049" s="254"/>
    </row>
    <row r="1050" ht="15.75" customHeight="1">
      <c r="E1050" s="252"/>
      <c r="G1050" s="253"/>
      <c r="H1050" s="254"/>
    </row>
    <row r="1051" ht="15.75" customHeight="1">
      <c r="E1051" s="252"/>
      <c r="G1051" s="253"/>
      <c r="H1051" s="254"/>
    </row>
    <row r="1052" ht="15.75" customHeight="1">
      <c r="E1052" s="252"/>
      <c r="G1052" s="253"/>
      <c r="H1052" s="254"/>
    </row>
    <row r="1053" ht="15.75" customHeight="1">
      <c r="E1053" s="252"/>
      <c r="G1053" s="253"/>
      <c r="H1053" s="254"/>
    </row>
    <row r="1054" ht="15.75" customHeight="1">
      <c r="E1054" s="252"/>
      <c r="G1054" s="253"/>
      <c r="H1054" s="254"/>
    </row>
    <row r="1055" ht="15.75" customHeight="1">
      <c r="E1055" s="252"/>
      <c r="G1055" s="253"/>
      <c r="H1055" s="254"/>
    </row>
    <row r="1056" ht="15.75" customHeight="1">
      <c r="E1056" s="252"/>
      <c r="G1056" s="253"/>
      <c r="H1056" s="254"/>
    </row>
    <row r="1057" ht="15.75" customHeight="1">
      <c r="E1057" s="252"/>
      <c r="G1057" s="253"/>
      <c r="H1057" s="254"/>
    </row>
    <row r="1058" ht="15.75" customHeight="1">
      <c r="E1058" s="252"/>
      <c r="G1058" s="253"/>
      <c r="H1058" s="254"/>
    </row>
    <row r="1059" ht="15.75" customHeight="1">
      <c r="E1059" s="252"/>
      <c r="G1059" s="253"/>
      <c r="H1059" s="254"/>
    </row>
    <row r="1060" ht="15.75" customHeight="1">
      <c r="E1060" s="252"/>
      <c r="G1060" s="253"/>
      <c r="H1060" s="254"/>
    </row>
    <row r="1061" ht="15.75" customHeight="1">
      <c r="E1061" s="252"/>
      <c r="G1061" s="253"/>
      <c r="H1061" s="254"/>
    </row>
    <row r="1062" ht="15.75" customHeight="1">
      <c r="E1062" s="252"/>
      <c r="G1062" s="253"/>
      <c r="H1062" s="254"/>
    </row>
    <row r="1063" ht="15.75" customHeight="1">
      <c r="E1063" s="252"/>
      <c r="G1063" s="253"/>
      <c r="H1063" s="254"/>
    </row>
    <row r="1064" ht="15.75" customHeight="1">
      <c r="E1064" s="252"/>
      <c r="G1064" s="253"/>
      <c r="H1064" s="254"/>
    </row>
    <row r="1065" ht="15.75" customHeight="1">
      <c r="E1065" s="252"/>
      <c r="G1065" s="253"/>
      <c r="H1065" s="254"/>
    </row>
    <row r="1066" ht="15.75" customHeight="1">
      <c r="E1066" s="252"/>
      <c r="G1066" s="253"/>
      <c r="H1066" s="254"/>
    </row>
    <row r="1067" ht="15.75" customHeight="1">
      <c r="E1067" s="252"/>
      <c r="G1067" s="253"/>
      <c r="H1067" s="254"/>
    </row>
    <row r="1068" ht="15.75" customHeight="1">
      <c r="E1068" s="252"/>
      <c r="G1068" s="253"/>
      <c r="H1068" s="254"/>
    </row>
    <row r="1069" ht="15.75" customHeight="1">
      <c r="E1069" s="252"/>
      <c r="G1069" s="253"/>
      <c r="H1069" s="254"/>
    </row>
    <row r="1070" ht="15.75" customHeight="1">
      <c r="E1070" s="252"/>
      <c r="G1070" s="253"/>
      <c r="H1070" s="254"/>
    </row>
    <row r="1071" ht="15.75" customHeight="1">
      <c r="E1071" s="252"/>
      <c r="G1071" s="253"/>
      <c r="H1071" s="254"/>
    </row>
    <row r="1072" ht="15.75" customHeight="1">
      <c r="E1072" s="252"/>
      <c r="G1072" s="253"/>
      <c r="H1072" s="254"/>
    </row>
    <row r="1073" ht="15.75" customHeight="1">
      <c r="E1073" s="252"/>
      <c r="G1073" s="253"/>
      <c r="H1073" s="254"/>
    </row>
    <row r="1074" ht="15.75" customHeight="1">
      <c r="E1074" s="252"/>
      <c r="G1074" s="253"/>
      <c r="H1074" s="254"/>
    </row>
    <row r="1075" ht="15.75" customHeight="1">
      <c r="E1075" s="252"/>
      <c r="G1075" s="253"/>
      <c r="H1075" s="254"/>
    </row>
    <row r="1076" ht="15.75" customHeight="1">
      <c r="E1076" s="252"/>
      <c r="G1076" s="253"/>
      <c r="H1076" s="254"/>
    </row>
    <row r="1077" ht="15.75" customHeight="1">
      <c r="E1077" s="252"/>
      <c r="G1077" s="253"/>
      <c r="H1077" s="254"/>
    </row>
    <row r="1078" ht="15.75" customHeight="1">
      <c r="E1078" s="252"/>
      <c r="G1078" s="253"/>
      <c r="H1078" s="254"/>
    </row>
    <row r="1079" ht="15.75" customHeight="1">
      <c r="E1079" s="252"/>
      <c r="G1079" s="253"/>
      <c r="H1079" s="254"/>
    </row>
    <row r="1080" ht="15.75" customHeight="1">
      <c r="E1080" s="252"/>
      <c r="G1080" s="253"/>
      <c r="H1080" s="254"/>
    </row>
    <row r="1081" ht="15.75" customHeight="1">
      <c r="E1081" s="252"/>
      <c r="G1081" s="253"/>
      <c r="H1081" s="254"/>
    </row>
    <row r="1082" ht="15.75" customHeight="1">
      <c r="E1082" s="252"/>
      <c r="G1082" s="253"/>
      <c r="H1082" s="254"/>
    </row>
    <row r="1083" ht="15.75" customHeight="1">
      <c r="E1083" s="252"/>
      <c r="G1083" s="253"/>
      <c r="H1083" s="254"/>
    </row>
    <row r="1084" ht="15.75" customHeight="1">
      <c r="E1084" s="252"/>
      <c r="G1084" s="253"/>
      <c r="H1084" s="254"/>
    </row>
    <row r="1085" ht="15.75" customHeight="1">
      <c r="E1085" s="252"/>
      <c r="G1085" s="253"/>
      <c r="H1085" s="254"/>
    </row>
    <row r="1086" ht="15.75" customHeight="1">
      <c r="E1086" s="252"/>
      <c r="G1086" s="253"/>
      <c r="H1086" s="254"/>
    </row>
    <row r="1087" ht="15.75" customHeight="1">
      <c r="E1087" s="252"/>
      <c r="G1087" s="253"/>
      <c r="H1087" s="254"/>
    </row>
    <row r="1088" ht="15.75" customHeight="1">
      <c r="E1088" s="252"/>
      <c r="G1088" s="253"/>
      <c r="H1088" s="254"/>
    </row>
    <row r="1089" ht="15.75" customHeight="1">
      <c r="E1089" s="252"/>
      <c r="G1089" s="253"/>
      <c r="H1089" s="254"/>
    </row>
    <row r="1090" ht="15.75" customHeight="1">
      <c r="E1090" s="252"/>
      <c r="G1090" s="253"/>
      <c r="H1090" s="254"/>
    </row>
    <row r="1091" ht="15.75" customHeight="1">
      <c r="E1091" s="252"/>
      <c r="G1091" s="253"/>
      <c r="H1091" s="254"/>
    </row>
    <row r="1092" ht="15.75" customHeight="1">
      <c r="E1092" s="252"/>
      <c r="G1092" s="253"/>
      <c r="H1092" s="254"/>
    </row>
    <row r="1093" ht="15.75" customHeight="1">
      <c r="E1093" s="252"/>
      <c r="G1093" s="253"/>
      <c r="H1093" s="254"/>
    </row>
    <row r="1094" ht="15.75" customHeight="1">
      <c r="E1094" s="252"/>
      <c r="G1094" s="253"/>
      <c r="H1094" s="254"/>
    </row>
    <row r="1095" ht="15.75" customHeight="1">
      <c r="E1095" s="252"/>
      <c r="G1095" s="253"/>
      <c r="H1095" s="254"/>
    </row>
    <row r="1096" ht="15.75" customHeight="1">
      <c r="E1096" s="252"/>
      <c r="G1096" s="253"/>
      <c r="H1096" s="254"/>
    </row>
    <row r="1097" ht="15.75" customHeight="1">
      <c r="E1097" s="252"/>
      <c r="G1097" s="253"/>
      <c r="H1097" s="254"/>
    </row>
    <row r="1098" ht="15.75" customHeight="1">
      <c r="E1098" s="252"/>
      <c r="G1098" s="253"/>
      <c r="H1098" s="254"/>
    </row>
    <row r="1099" ht="15.75" customHeight="1">
      <c r="E1099" s="252"/>
      <c r="G1099" s="253"/>
      <c r="H1099" s="254"/>
    </row>
    <row r="1100" ht="15.75" customHeight="1">
      <c r="E1100" s="252"/>
      <c r="G1100" s="253"/>
      <c r="H1100" s="254"/>
    </row>
    <row r="1101" ht="15.75" customHeight="1">
      <c r="E1101" s="252"/>
      <c r="G1101" s="253"/>
      <c r="H1101" s="254"/>
    </row>
    <row r="1102" ht="15.75" customHeight="1">
      <c r="E1102" s="252"/>
      <c r="G1102" s="253"/>
      <c r="H1102" s="254"/>
    </row>
    <row r="1103" ht="15.75" customHeight="1">
      <c r="E1103" s="252"/>
      <c r="G1103" s="253"/>
      <c r="H1103" s="254"/>
    </row>
    <row r="1104" ht="15.75" customHeight="1">
      <c r="E1104" s="252"/>
      <c r="G1104" s="253"/>
      <c r="H1104" s="254"/>
    </row>
    <row r="1105" ht="15.75" customHeight="1">
      <c r="E1105" s="252"/>
      <c r="G1105" s="253"/>
      <c r="H1105" s="254"/>
    </row>
    <row r="1106" ht="15.75" customHeight="1">
      <c r="E1106" s="252"/>
      <c r="G1106" s="253"/>
      <c r="H1106" s="254"/>
    </row>
    <row r="1107" ht="15.75" customHeight="1">
      <c r="E1107" s="252"/>
      <c r="G1107" s="253"/>
      <c r="H1107" s="254"/>
    </row>
    <row r="1108" ht="15.75" customHeight="1">
      <c r="E1108" s="252"/>
      <c r="G1108" s="253"/>
      <c r="H1108" s="254"/>
    </row>
    <row r="1109" ht="15.75" customHeight="1">
      <c r="E1109" s="252"/>
      <c r="G1109" s="253"/>
      <c r="H1109" s="254"/>
    </row>
    <row r="1110" ht="15.75" customHeight="1">
      <c r="E1110" s="252"/>
      <c r="G1110" s="253"/>
      <c r="H1110" s="254"/>
    </row>
    <row r="1111" ht="15.75" customHeight="1">
      <c r="E1111" s="252"/>
      <c r="G1111" s="253"/>
      <c r="H1111" s="254"/>
    </row>
    <row r="1112" ht="15.75" customHeight="1">
      <c r="E1112" s="252"/>
      <c r="G1112" s="253"/>
      <c r="H1112" s="254"/>
    </row>
    <row r="1113" ht="15.75" customHeight="1">
      <c r="E1113" s="252"/>
      <c r="G1113" s="253"/>
      <c r="H1113" s="254"/>
    </row>
    <row r="1114" ht="15.75" customHeight="1">
      <c r="E1114" s="252"/>
      <c r="G1114" s="253"/>
      <c r="H1114" s="254"/>
    </row>
    <row r="1115" ht="15.75" customHeight="1">
      <c r="E1115" s="252"/>
      <c r="G1115" s="253"/>
      <c r="H1115" s="254"/>
    </row>
    <row r="1116" ht="15.75" customHeight="1">
      <c r="E1116" s="252"/>
      <c r="G1116" s="253"/>
      <c r="H1116" s="254"/>
    </row>
    <row r="1117" ht="15.75" customHeight="1">
      <c r="E1117" s="252"/>
      <c r="G1117" s="253"/>
      <c r="H1117" s="254"/>
    </row>
    <row r="1118" ht="15.75" customHeight="1">
      <c r="E1118" s="252"/>
      <c r="G1118" s="253"/>
      <c r="H1118" s="254"/>
    </row>
    <row r="1119" ht="15.75" customHeight="1">
      <c r="E1119" s="252"/>
      <c r="G1119" s="253"/>
      <c r="H1119" s="254"/>
    </row>
    <row r="1120" ht="15.75" customHeight="1">
      <c r="E1120" s="252"/>
      <c r="G1120" s="253"/>
      <c r="H1120" s="254"/>
    </row>
    <row r="1121" ht="15.75" customHeight="1">
      <c r="E1121" s="252"/>
      <c r="G1121" s="253"/>
      <c r="H1121" s="254"/>
    </row>
    <row r="1122" ht="15.75" customHeight="1">
      <c r="E1122" s="252"/>
      <c r="G1122" s="253"/>
      <c r="H1122" s="254"/>
    </row>
    <row r="1123" ht="15.75" customHeight="1">
      <c r="E1123" s="252"/>
      <c r="G1123" s="253"/>
      <c r="H1123" s="254"/>
    </row>
    <row r="1124" ht="15.75" customHeight="1">
      <c r="E1124" s="252"/>
      <c r="G1124" s="253"/>
      <c r="H1124" s="254"/>
    </row>
    <row r="1125" ht="15.75" customHeight="1">
      <c r="E1125" s="252"/>
      <c r="G1125" s="253"/>
      <c r="H1125" s="254"/>
    </row>
    <row r="1126" ht="15.75" customHeight="1">
      <c r="E1126" s="252"/>
      <c r="G1126" s="253"/>
      <c r="H1126" s="254"/>
    </row>
    <row r="1127" ht="15.75" customHeight="1">
      <c r="E1127" s="252"/>
      <c r="G1127" s="253"/>
      <c r="H1127" s="254"/>
    </row>
    <row r="1128" ht="15.75" customHeight="1">
      <c r="E1128" s="252"/>
      <c r="G1128" s="253"/>
      <c r="H1128" s="254"/>
    </row>
    <row r="1129" ht="15.75" customHeight="1">
      <c r="E1129" s="252"/>
      <c r="G1129" s="253"/>
      <c r="H1129" s="254"/>
    </row>
    <row r="1130" ht="15.75" customHeight="1">
      <c r="E1130" s="252"/>
      <c r="G1130" s="253"/>
      <c r="H1130" s="254"/>
    </row>
    <row r="1131" ht="15.75" customHeight="1">
      <c r="E1131" s="252"/>
      <c r="G1131" s="253"/>
      <c r="H1131" s="254"/>
    </row>
  </sheetData>
  <autoFilter ref="$A$7:$T$305">
    <filterColumn colId="3">
      <filters>
        <filter val="Mukta Dey"/>
      </filters>
    </filterColumn>
  </autoFilter>
  <mergeCells count="4">
    <mergeCell ref="A3:T3"/>
    <mergeCell ref="A4:T4"/>
    <mergeCell ref="A5:T5"/>
    <mergeCell ref="R7:S7"/>
  </mergeCells>
  <conditionalFormatting sqref="Q41">
    <cfRule type="notContainsBlanks" dxfId="0" priority="1">
      <formula>LEN(TRIM(Q41))&gt;0</formula>
    </cfRule>
  </conditionalFormatting>
  <printOptions/>
  <pageMargins bottom="0.5" footer="0.0" header="0.0" left="0.2" right="0.2" top="0.20426487093153758"/>
  <pageSetup paperSize="5" orientation="landscape"/>
  <drawing r:id="rId2"/>
  <legacyDrawing r:id="rId3"/>
</worksheet>
</file>