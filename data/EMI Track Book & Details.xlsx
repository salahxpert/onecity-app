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I Tracbook Active" sheetId="1" r:id="rId5"/>
    <sheet state="visible" name="Booking Status &amp; EMI" sheetId="2" r:id="rId6"/>
  </sheets>
  <definedNames>
    <definedName hidden="1" localSheetId="0" name="_xlnm._FilterDatabase">'EMI Tracbook Active'!$A$6:$S$115</definedName>
    <definedName hidden="1" localSheetId="1" name="_xlnm._FilterDatabase">'Booking Status &amp; EMI'!$A$6:$S$107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8">
      <text>
        <t xml:space="preserve">Total EMI 60*6000=360,000 TK
Due 40,000 TK , Will Be Paid Last Installment</t>
      </text>
    </comment>
    <comment authorId="0" ref="K66">
      <text>
        <t xml:space="preserve">EMI Every Three Months Later, 10000*3=30000 , He Paid
</t>
      </text>
    </comment>
    <comment authorId="0" ref="J97">
      <text>
        <t xml:space="preserve">01 -Dec -2026
4th Installment Will Be 20,000
</t>
      </text>
    </comment>
    <comment authorId="0" ref="D26">
      <text>
        <t xml:space="preserve">Touhidul Islam's client made the down payment/booking amount (100,000 Tk) at another branch. Going forward, the client will now be making all EMI payments through our branch.</t>
      </text>
    </comment>
    <comment authorId="0" ref="K64">
      <text>
        <t xml:space="preserve">DP Commited Was 250,000 TK, We Received DP : 270,000 TK. So he may pay an EMI of 30,000 TK every three months, not 31,250 TK . Therefore, we will count 30,000 TK for each quarterly EMI from now on.</t>
      </text>
    </comment>
    <comment authorId="0" ref="J95">
      <text>
        <t xml:space="preserve">6000*15=90,000
8000*15=120,000
10,000*15=150,000
Rest Of A =90,000 (25/08/2030)</t>
      </text>
    </comment>
    <comment authorId="0" ref="D23">
      <text>
        <t xml:space="preserve">This Client Paid His EMI to Head Office .
13/07/2026
 Direct Deposit 
(Cash)  MR No  93821</t>
      </text>
    </comment>
    <comment authorId="0" ref="D87">
      <text>
        <t xml:space="preserve">Touhidul Islam's client made the down payment/booking amount at another branch. Going forward, the client will now be making all EMI payments through our branch.</t>
      </text>
    </comment>
    <comment authorId="0" ref="D80">
      <text>
        <t xml:space="preserve">Plot Details:
Project: Amin City Purbachal 
Block: B
Road: 01 (25' Wide)
Plot: 13, 15
Katha: 3+3= 6</t>
      </text>
    </comment>
    <comment authorId="0" ref="D47">
      <text>
        <t xml:space="preserve">He Paid His EMI H.O.
12/08/2026 
Direct Deposit (Cash)         
MR No 95078
</t>
      </text>
    </comment>
    <comment authorId="0" ref="N24">
      <text>
        <t xml:space="preserve">Date Are Not Final Yet</t>
      </text>
    </comment>
    <comment authorId="0" ref="R26">
      <text>
        <t xml:space="preserve">5th Current Due- 42500/-</t>
      </text>
    </comment>
    <comment authorId="0" ref="D74">
      <text>
        <t xml:space="preserve">Touhidul Islam's client made the down payment/booking amount (100,000 Tk) at another branch. Going forward, the client will now be making all EMI payments through our branch.</t>
      </text>
    </comment>
    <comment authorId="0" ref="L17">
      <text>
        <t xml:space="preserve">25/05/2026 Direct Deposit 
cash=10,000  
 MR: 90656 
Paid Adv 1700  TK .
So, 1700 TK will be part of EMI in month of may 
28/06/2026 Direct Deposit 
cash=10,000  
 MR: 90656 
Paid Adv 1700  TK .
So, 1700 TK will be part of EMI in month of may </t>
      </text>
    </comment>
    <comment authorId="0" ref="D9">
      <text>
        <t xml:space="preserve">Md. Safiqul Islam's client made the down payment/booking amount (100,000 Tk) at another branch. Going forward, the client will now be making all EMI payments through our branch.</t>
      </text>
    </comment>
    <comment authorId="0" ref="D73">
      <text>
        <t xml:space="preserve">Touhidul Islam's client made the down payment/booking amount (10,000 Tk, MR No- 73706) at another branch on 16-Nov-25. Going forward, the client will now be making all EMI payments through our branch.</t>
      </text>
    </comment>
    <comment authorId="0" ref="R87">
      <text>
        <t xml:space="preserve">16th Current Due-18000/-</t>
      </text>
    </comment>
    <comment authorId="0" ref="D72">
      <text>
        <t xml:space="preserve">Touhidul Islam's client made the down payment/booking amount (100,000 Tk, MR No- 73596 , 75303 ) at another branch on 13/11/2025 &amp; 06/12/2025 Date . Going forward, the client will now be making all EMI payments through our branch.</t>
      </text>
    </comment>
    <comment authorId="0" ref="D71">
      <text>
        <t xml:space="preserve">Touhidul Islam's client made the down payment/booking amount (30,000 Tk, MR No- 83438) at another branch on March 19, 2026. Going forward, the client will now be making all EMI payments through our branch.</t>
      </text>
    </comment>
    <comment authorId="0" ref="D70">
      <text>
        <t xml:space="preserve">Touhidul Islam's client made the down payment/booking amount (10,000 Tk, MR No- 73705) at another branch on 16-Nov-25. Going forward, the client will now be making all EMI payments through our branch.</t>
      </text>
    </comment>
    <comment authorId="0" ref="R19">
      <text>
        <t xml:space="preserve">Client Monthly EMI 12,000 But He Paid 8000 TK so 5th EMI Due 4000 TK
</t>
      </text>
    </comment>
    <comment authorId="0" ref="D69">
      <text>
        <t xml:space="preserve">Touhidul Islam's client made the down payment/booking amount (100,000 Tk, MR No- 73586 , 75302 ) at another branch on 11/11/2025 &amp; 07/12/2025 Date . Going forward, the client will now be making all EMI payments through our branch.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K73">
      <text>
        <t xml:space="preserve">Total EMI 60*6000=360,000 TK
Due 40,000 TK , Will Be Paid Last Installment</t>
      </text>
    </comment>
    <comment authorId="0" ref="K69">
      <text>
        <t xml:space="preserve">EMI Every Three Months Later, 10000*3=30000 , He Paid
</t>
      </text>
    </comment>
    <comment authorId="0" ref="N70">
      <text>
        <t xml:space="preserve">Date Are Not Final Yet</t>
      </text>
    </comment>
    <comment authorId="0" ref="K61">
      <text>
        <t xml:space="preserve">DP Commited Was 250,000 TK, We Received DP : 270,000 TK. So he may pay an EMI of 30,000 TK every three months, not 31,250 TK . Therefore, we will count 30,000 TK for each quarterly EMI from now on.</t>
      </text>
    </comment>
    <comment authorId="0" ref="D86">
      <text>
        <t xml:space="preserve">Touhidul Islam's client made the down payment/booking amount (100,000 Tk) at another branch. Going forward, the client will now be making all EMI payments through our branch.</t>
      </text>
    </comment>
    <comment authorId="0" ref="D83">
      <text>
        <t xml:space="preserve">Md. Safiqul Islam's client made the down payment/booking amount (100,000 Tk) at another branch. Going forward, the client will now be making all EMI payments through our branch.</t>
      </text>
    </comment>
    <comment authorId="0" ref="D82">
      <text>
        <t xml:space="preserve">Touhidul Islam's client made the down payment/booking amount (100,000 Tk) at another branch. Going forward, the client will now be making all EMI payments through our branch.</t>
      </text>
    </comment>
    <comment authorId="0" ref="D81">
      <text>
        <t xml:space="preserve">Touhidul Islam's client made the down payment/booking amount (10,000 Tk, MR No- 73706) at another branch on 16-Nov-25. Going forward, the client will now be making all EMI payments through our branch.</t>
      </text>
    </comment>
    <comment authorId="0" ref="R30">
      <text>
        <t xml:space="preserve">Client Monthly EMI 12,000 But He Paid 8000 TK so 5th EMI Due 4000 TK
</t>
      </text>
    </comment>
    <comment authorId="0" ref="D80">
      <text>
        <t xml:space="preserve">Touhidul Islam's client made the down payment/booking amount (100,000 Tk, MR No- 73596 , 75303 ) at another branch on 13/11/2025 &amp; 06/12/2025 Date . Going forward, the client will now be making all EMI payments through our branch.</t>
      </text>
    </comment>
    <comment authorId="0" ref="D79">
      <text>
        <t xml:space="preserve">Touhidul Islam's client made the down payment/booking amount (30,000 Tk, MR No- 83438) at another branch on March 19, 2026. Going forward, the client will now be making all EMI payments through our branch.</t>
      </text>
    </comment>
    <comment authorId="0" ref="D78">
      <text>
        <t xml:space="preserve">Touhidul Islam's client made the down payment/booking amount (10,000 Tk, MR No- 73705) at another branch on 16-Nov-25. Going forward, the client will now be making all EMI payments through our branch.</t>
      </text>
    </comment>
    <comment authorId="0" ref="D77">
      <text>
        <t xml:space="preserve">Touhidul Islam's client made the down payment/booking amount (100,000 Tk, MR No- 73586 , 75302 ) at another branch on 11/11/2025 &amp; 07/12/2025 Date . Going forward, the client will now be making all EMI payments through our branch.</t>
      </text>
    </comment>
    <comment authorId="0" ref="L17">
      <text>
        <t xml:space="preserve">25/05/2026 Direct Deposit 
cash=10,000  
 MR: 90656 
Paid Adv 1700  TK .
So, 1700 TK will be part of EMI in month of may 
28/06/2026 Direct Deposit 
cash=10,000  
 MR: 90656 
Paid Adv 1700  TK .
So, 1700 TK will be part of EMI in month of may </t>
      </text>
    </comment>
    <comment authorId="0" ref="R86">
      <text>
        <t xml:space="preserve">Client EMI Paid 50,000 TK ,But His EMI Was  8500 Tk EMI Due This Month. Also Previous Month 8500 Tk Due</t>
      </text>
    </comment>
  </commentList>
</comments>
</file>

<file path=xl/sharedStrings.xml><?xml version="1.0" encoding="utf-8"?>
<sst xmlns="http://schemas.openxmlformats.org/spreadsheetml/2006/main" count="1228" uniqueCount="389">
  <si>
    <t xml:space="preserve"> </t>
  </si>
  <si>
    <t>One City Developers Ltd.</t>
  </si>
  <si>
    <t>Land Sales Office</t>
  </si>
  <si>
    <t xml:space="preserve">      Commercial Cove, House: 56/C, Road: 132, Gulshan-1, Dhaka-1212.</t>
  </si>
  <si>
    <t>SL.</t>
  </si>
  <si>
    <t>File No:</t>
  </si>
  <si>
    <t>Sales Person:</t>
  </si>
  <si>
    <t>Client Name:</t>
  </si>
  <si>
    <t>Contact:</t>
  </si>
  <si>
    <t>Project:</t>
  </si>
  <si>
    <t>Unit/ Plot:</t>
  </si>
  <si>
    <t>Sale Value:</t>
  </si>
  <si>
    <t>Booking Date:</t>
  </si>
  <si>
    <t>EMI Start:</t>
  </si>
  <si>
    <t>Monthly EMI:</t>
  </si>
  <si>
    <t>Last Paid Date:</t>
  </si>
  <si>
    <t>Paid Month</t>
  </si>
  <si>
    <t>Next Installment Date</t>
  </si>
  <si>
    <t>Next
Follow-up
Date</t>
  </si>
  <si>
    <t>Total Due Inst.</t>
  </si>
  <si>
    <t>Total Due Taka</t>
  </si>
  <si>
    <t>Remarkes:</t>
  </si>
  <si>
    <t>Follow Up</t>
  </si>
  <si>
    <t>BS-20217244</t>
  </si>
  <si>
    <t>Most. Liza Akter</t>
  </si>
  <si>
    <t>Kamrunnahar</t>
  </si>
  <si>
    <t>01848323131</t>
  </si>
  <si>
    <t>BS</t>
  </si>
  <si>
    <t>BS-20217450</t>
  </si>
  <si>
    <t>Md. Mehedi Hasan</t>
  </si>
  <si>
    <t>Kazi Mizanur Rahman</t>
  </si>
  <si>
    <t>01716-591435</t>
  </si>
  <si>
    <t>Paid</t>
  </si>
  <si>
    <t>8th EMI Paid</t>
  </si>
  <si>
    <t>BS-20217992</t>
  </si>
  <si>
    <t>3rd EMI Paid</t>
  </si>
  <si>
    <t>Applied for Refund.</t>
  </si>
  <si>
    <t>BS-20217763</t>
  </si>
  <si>
    <t>Md. Yeasin Rasel</t>
  </si>
  <si>
    <t>4rd EMI Paid</t>
  </si>
  <si>
    <t>Monira Akthar</t>
  </si>
  <si>
    <t>01818688606</t>
  </si>
  <si>
    <t>BS-20216628</t>
  </si>
  <si>
    <t>Md. Ridoy Khan</t>
  </si>
  <si>
    <t>Mohammad Al Faisal</t>
  </si>
  <si>
    <t>01932710086</t>
  </si>
  <si>
    <t>1st EMI Due</t>
  </si>
  <si>
    <t>Need to Talk with Client &amp; Sales Person.</t>
  </si>
  <si>
    <t>10th EMI Paid</t>
  </si>
  <si>
    <t>BS-20216913</t>
  </si>
  <si>
    <t>BS-20216493</t>
  </si>
  <si>
    <t>Md. Safiqul Islam</t>
  </si>
  <si>
    <t>Kabita Khatun</t>
  </si>
  <si>
    <t>01705766288</t>
  </si>
  <si>
    <t>14th EMI Paid</t>
  </si>
  <si>
    <t>PAC-235</t>
  </si>
  <si>
    <t>Muhib Ahmed</t>
  </si>
  <si>
    <t>Saida Parvin &amp; Ziaul Hoque</t>
  </si>
  <si>
    <t>01711477221</t>
  </si>
  <si>
    <t>Abdul Barek</t>
  </si>
  <si>
    <t>ACP</t>
  </si>
  <si>
    <t>01781908556</t>
  </si>
  <si>
    <t>PAC-227</t>
  </si>
  <si>
    <t>Md. Abul Khair Yousuf &amp; Others 07</t>
  </si>
  <si>
    <t>01764365674</t>
  </si>
  <si>
    <t>13th EMI Paid</t>
  </si>
  <si>
    <t>BS-20216667</t>
  </si>
  <si>
    <t>Abdul Kaium Sohag</t>
  </si>
  <si>
    <t>Syed Manjur Hossain &amp; Shana Akter Ruma</t>
  </si>
  <si>
    <t>01715424413</t>
  </si>
  <si>
    <t>11th EMI Paid</t>
  </si>
  <si>
    <t>7th EMI Paid</t>
  </si>
  <si>
    <t>Need to Check Ledger</t>
  </si>
  <si>
    <t>BS-20218036</t>
  </si>
  <si>
    <t>BS-20217512</t>
  </si>
  <si>
    <t>Bashir Ahmed</t>
  </si>
  <si>
    <t>Sabuj Barua</t>
  </si>
  <si>
    <t>01636-355540</t>
  </si>
  <si>
    <t>Abu Sufian Shohag</t>
  </si>
  <si>
    <t>5th EMI Paid</t>
  </si>
  <si>
    <t>9 sep. Paid a EMI.
Need to Call 25 Sep'25 Again</t>
  </si>
  <si>
    <t>Md. Akhlaqur Rahman</t>
  </si>
  <si>
    <t>01711-441930</t>
  </si>
  <si>
    <t>2nd EMI Paid</t>
  </si>
  <si>
    <t>BS-20216867</t>
  </si>
  <si>
    <t>Md. Tareq Hasan</t>
  </si>
  <si>
    <t>Rakib Hossain</t>
  </si>
  <si>
    <t>01712627869</t>
  </si>
  <si>
    <t>9th EMI Paid</t>
  </si>
  <si>
    <t>BS-20216752</t>
  </si>
  <si>
    <t>Md. Manir Sikder</t>
  </si>
  <si>
    <t xml:space="preserve">   /</t>
  </si>
  <si>
    <t>Fazle Rabbi</t>
  </si>
  <si>
    <t>01923453577</t>
  </si>
  <si>
    <t>19th EMI Paid</t>
  </si>
  <si>
    <t>BS-20216779</t>
  </si>
  <si>
    <t>Md. Bablur Rahman</t>
  </si>
  <si>
    <t>01730375869</t>
  </si>
  <si>
    <t>Md. Arif Hossain</t>
  </si>
  <si>
    <t>01788591133</t>
  </si>
  <si>
    <t>BM</t>
  </si>
  <si>
    <t>12th EMI Paid</t>
  </si>
  <si>
    <t xml:space="preserve">I have had multiple conversations with the salesperson. He has confirmed that the client will not be coming this week, but will visit next week, at which point the EMI payment will be collected.
</t>
  </si>
  <si>
    <t>DP Due</t>
  </si>
  <si>
    <t>BS-20217214</t>
  </si>
  <si>
    <t>BS-20216866</t>
  </si>
  <si>
    <t>Abrarul Haque Emon</t>
  </si>
  <si>
    <t>Shanaj Chowdhury</t>
  </si>
  <si>
    <t>01767702056</t>
  </si>
  <si>
    <t>Maria Akter Mim</t>
  </si>
  <si>
    <t>Tanbir Hossain</t>
  </si>
  <si>
    <t>BS-20217032</t>
  </si>
  <si>
    <t>Md. Noman Islam</t>
  </si>
  <si>
    <t>Md. Tanif Muktadir</t>
  </si>
  <si>
    <t>01711150885</t>
  </si>
  <si>
    <t>4th EMI Paid</t>
  </si>
  <si>
    <t>BS-20217033</t>
  </si>
  <si>
    <t>Md. Farhad Masum</t>
  </si>
  <si>
    <t>01716199745</t>
  </si>
  <si>
    <t>Called by 13-09-26.
Client will Come Office by 17-09-26</t>
  </si>
  <si>
    <t>BS-20217021</t>
  </si>
  <si>
    <t>Sharowar Hossain</t>
  </si>
  <si>
    <t>Syeda Sultana Nasrin</t>
  </si>
  <si>
    <t>BS-20217155</t>
  </si>
  <si>
    <t>Md. Alamgir Bhuiyan</t>
  </si>
  <si>
    <t>BS-20217118</t>
  </si>
  <si>
    <t>Mst. Umme Afja Limu</t>
  </si>
  <si>
    <t>Md Jaidul Hoque Sarker</t>
  </si>
  <si>
    <t>01710-829922</t>
  </si>
  <si>
    <t>EMI Stop till Dec'26 (Client Application Received)</t>
  </si>
  <si>
    <t>8h EMI Paid</t>
  </si>
  <si>
    <t>BS-20217509</t>
  </si>
  <si>
    <t>Md. Jahir Rayhan</t>
  </si>
  <si>
    <t>Md. Ariful Haque</t>
  </si>
  <si>
    <t>01749287086</t>
  </si>
  <si>
    <t>BS-20217815</t>
  </si>
  <si>
    <t>Labonno Shikder</t>
  </si>
  <si>
    <t>01757636000</t>
  </si>
  <si>
    <t>BS-20217547</t>
  </si>
  <si>
    <t>A. Rajjak Sheikh</t>
  </si>
  <si>
    <t>01615-228504</t>
  </si>
  <si>
    <t>6th EMI Paid</t>
  </si>
  <si>
    <t>Need to Follow up from Branch CR</t>
  </si>
  <si>
    <t>Afia-01335-144139</t>
  </si>
  <si>
    <t>PAC-270</t>
  </si>
  <si>
    <t>Md. Shahinul Islam</t>
  </si>
  <si>
    <t>Rehana Akter &amp; Others (9)</t>
  </si>
  <si>
    <t>01771-224421</t>
  </si>
  <si>
    <t xml:space="preserve">The salesperson has not yet provided an update regarding the EMI matter.
</t>
  </si>
  <si>
    <t>BS-20217550</t>
  </si>
  <si>
    <t>Md Abu Bakar Sarfin</t>
  </si>
  <si>
    <t>Need to Talk with Sufian Sir.</t>
  </si>
  <si>
    <t>+966573236713</t>
  </si>
  <si>
    <t>BS-20217452</t>
  </si>
  <si>
    <t>Mohammad Abu Kalam</t>
  </si>
  <si>
    <t>01842-256878</t>
  </si>
  <si>
    <t>5th  EMI Due 4000 TK</t>
  </si>
  <si>
    <t>BS-20217549</t>
  </si>
  <si>
    <t>Akhi Akter Urmi</t>
  </si>
  <si>
    <t>Md. Mosharrof Hossain (Mizan)</t>
  </si>
  <si>
    <t>BS-20217548</t>
  </si>
  <si>
    <t>Sanjida Sultana</t>
  </si>
  <si>
    <t>BM-20231030</t>
  </si>
  <si>
    <t>Jakir Ahammed Noor</t>
  </si>
  <si>
    <t>Md Uzzal Uddin Ahmmad</t>
  </si>
  <si>
    <t>01711662373</t>
  </si>
  <si>
    <t>BS-20217451</t>
  </si>
  <si>
    <t>Jahangir Alam</t>
  </si>
  <si>
    <t>01837-579819</t>
  </si>
  <si>
    <t>BS-20217543</t>
  </si>
  <si>
    <t>Md. Ariful Islam</t>
  </si>
  <si>
    <t>Follow up by 17-08-26, Client will pay within 25-Aug-26</t>
  </si>
  <si>
    <t>01738-654124</t>
  </si>
  <si>
    <t>8th EMI Paid (Part-10k)</t>
  </si>
  <si>
    <t>BS-20215260</t>
  </si>
  <si>
    <t>BS-20217545</t>
  </si>
  <si>
    <t>Muhammad Asaduzzaman</t>
  </si>
  <si>
    <t>01712-044391</t>
  </si>
  <si>
    <t>Omar Sharif Arman</t>
  </si>
  <si>
    <t>Morshed Alam</t>
  </si>
  <si>
    <t>01764-133852</t>
  </si>
  <si>
    <t>20th EMI Paid</t>
  </si>
  <si>
    <t xml:space="preserve"> Ledger Checking  Done </t>
  </si>
  <si>
    <t>BS-20218152</t>
  </si>
  <si>
    <t>Md Shahadat Husen</t>
  </si>
  <si>
    <t>01912-679629</t>
  </si>
  <si>
    <t>Called with salesperson, client didn't pick up.</t>
  </si>
  <si>
    <t>BS-20217546</t>
  </si>
  <si>
    <t>Md. Alamgir Miah</t>
  </si>
  <si>
    <t>01715-257261</t>
  </si>
  <si>
    <t>BS-20217530</t>
  </si>
  <si>
    <t>Md. Altahid Hossain Ashik</t>
  </si>
  <si>
    <t>Dewan Mahbubur Rahman</t>
  </si>
  <si>
    <t>01762-049699</t>
  </si>
  <si>
    <t>BM-2023976</t>
  </si>
  <si>
    <t>Md Shahriar Nadim Arafat</t>
  </si>
  <si>
    <t>01334-361623</t>
  </si>
  <si>
    <t>1st EMI Paid</t>
  </si>
  <si>
    <t>BS-20217666</t>
  </si>
  <si>
    <t>BS-20218171</t>
  </si>
  <si>
    <t>Syeda Jamila Mahmuda</t>
  </si>
  <si>
    <t>01892727117</t>
  </si>
  <si>
    <t>Mohammad Ziaur Rahman</t>
  </si>
  <si>
    <t>01815-774818</t>
  </si>
  <si>
    <t>2nd DP 
30-july-26 Then EMI Will Start</t>
  </si>
  <si>
    <t>This Client will Pay to Head Office. Need to Check Ledger</t>
  </si>
  <si>
    <t>BS-20217826</t>
  </si>
  <si>
    <t>Anowar Hossain</t>
  </si>
  <si>
    <t>Shahruf Bhuyan</t>
  </si>
  <si>
    <t>01795989844</t>
  </si>
  <si>
    <t>BS-20217349</t>
  </si>
  <si>
    <t>Md. Estiak Mahbub</t>
  </si>
  <si>
    <t>Umme Habiba Prerona</t>
  </si>
  <si>
    <t>BM-20231161</t>
  </si>
  <si>
    <t>Md Abdur Rashid</t>
  </si>
  <si>
    <t xml:space="preserve">BM </t>
  </si>
  <si>
    <t>BS-20217964</t>
  </si>
  <si>
    <t>BM-20231160</t>
  </si>
  <si>
    <t>Rita Khatun</t>
  </si>
  <si>
    <t>BM-20231360</t>
  </si>
  <si>
    <t>01762049699</t>
  </si>
  <si>
    <t>BM-2023988</t>
  </si>
  <si>
    <t>01738654124</t>
  </si>
  <si>
    <t xml:space="preserve">The salesperson has not yet provided an update regarding the EMI matter.
</t>
  </si>
  <si>
    <t>BS-20217729</t>
  </si>
  <si>
    <t>Farjana Akter</t>
  </si>
  <si>
    <t>BM-2023987</t>
  </si>
  <si>
    <t>PAC-286</t>
  </si>
  <si>
    <t>Saleha Begum Lopa</t>
  </si>
  <si>
    <t>Touhidul Islam</t>
  </si>
  <si>
    <t>01819253276</t>
  </si>
  <si>
    <t>Md Ziaul Hoque</t>
  </si>
  <si>
    <t>1st EMI Jan-27</t>
  </si>
  <si>
    <t>BM-20231104</t>
  </si>
  <si>
    <t>Sourav Kundu</t>
  </si>
  <si>
    <t>Md. Jahangir Alam</t>
  </si>
  <si>
    <t>01712084457</t>
  </si>
  <si>
    <t>BM-20231144</t>
  </si>
  <si>
    <t>Hosne Ara</t>
  </si>
  <si>
    <t>019859940</t>
  </si>
  <si>
    <t>5th EMI Part Paid</t>
  </si>
  <si>
    <t>Talked to Touhidul Islam Sir. He will contact about collection.</t>
  </si>
  <si>
    <t>BS-20217850</t>
  </si>
  <si>
    <t>KM Monirul Bin Islam</t>
  </si>
  <si>
    <t>01817538373</t>
  </si>
  <si>
    <t>BS-20217851</t>
  </si>
  <si>
    <t>Md. Sohel Ahmed</t>
  </si>
  <si>
    <t>01914815690</t>
  </si>
  <si>
    <t>BS-20218037</t>
  </si>
  <si>
    <t>Noorjahan Lipi</t>
  </si>
  <si>
    <t>PAC-254</t>
  </si>
  <si>
    <t xml:space="preserve">Ledger Checking Done H.O. Received Adv. Cheque 25 Aug 
2026, 5 Times EMI  </t>
  </si>
  <si>
    <t>17th EMI Paid</t>
  </si>
  <si>
    <t>BS-20217990</t>
  </si>
  <si>
    <t>Md. Bellal Hossain</t>
  </si>
  <si>
    <t>01819-192253</t>
  </si>
  <si>
    <t xml:space="preserve">The salesperson will follow up and ensure the collection is brought in within this week.
</t>
  </si>
  <si>
    <t>BS-20218035</t>
  </si>
  <si>
    <t>Sadem Hossain</t>
  </si>
  <si>
    <t>01851112160</t>
  </si>
  <si>
    <t>BM-20231276</t>
  </si>
  <si>
    <t>Priatosh Deb Nath</t>
  </si>
  <si>
    <t>01811-901281</t>
  </si>
  <si>
    <t>Tiasha-01335-144131</t>
  </si>
  <si>
    <t>Md Bellal Hossain</t>
  </si>
  <si>
    <t>PAC-288</t>
  </si>
  <si>
    <t>Abdul Rashid</t>
  </si>
  <si>
    <t>01710-854370</t>
  </si>
  <si>
    <t>রাশেদ এর টা ২০ তারিখের পরে পাব</t>
  </si>
  <si>
    <t>BM-20231159</t>
  </si>
  <si>
    <t>Mohammed Khoyrul Islam</t>
  </si>
  <si>
    <t>+447917128736</t>
  </si>
  <si>
    <t>BS-20218154</t>
  </si>
  <si>
    <t>01819-253276</t>
  </si>
  <si>
    <t>BS-20218155</t>
  </si>
  <si>
    <t>Md. Noor Uddin Chowdhury</t>
  </si>
  <si>
    <t>01683-805541</t>
  </si>
  <si>
    <t>BS-20218209</t>
  </si>
  <si>
    <t>Hafiza Khanam</t>
  </si>
  <si>
    <t>Md Mahfujur Rahman</t>
  </si>
  <si>
    <t>01718076694</t>
  </si>
  <si>
    <t>Clients Will pay 15-Aug-2026</t>
  </si>
  <si>
    <t>BS-20218226</t>
  </si>
  <si>
    <t>Shahidul Islam</t>
  </si>
  <si>
    <t>01827780824</t>
  </si>
  <si>
    <t>BS-20218334</t>
  </si>
  <si>
    <t>Mukta Dey</t>
  </si>
  <si>
    <t>01715995838</t>
  </si>
  <si>
    <t xml:space="preserve">I have had multiple conversations with the salesperson. He has confirmed that the client will not be coming this week, but will visit next week, at which point the EMI payment will be collected.
</t>
  </si>
  <si>
    <t>Need to Talk with Nasir</t>
  </si>
  <si>
    <t>BB-20202618</t>
  </si>
  <si>
    <t>Md. Jahid Hasan</t>
  </si>
  <si>
    <t>Md. Helal Uddin</t>
  </si>
  <si>
    <t>01721672185</t>
  </si>
  <si>
    <t>BB</t>
  </si>
  <si>
    <t>The client will make all EMI payments directly at the Head Office.</t>
  </si>
  <si>
    <t>BS-20218210</t>
  </si>
  <si>
    <t>Saiful Islam</t>
  </si>
  <si>
    <t>01673319513</t>
  </si>
  <si>
    <t>1st EMI Start Will Be 15-sep-26</t>
  </si>
  <si>
    <t>This client will make all payments directly to the Head Office.</t>
  </si>
  <si>
    <t>Need to Follow up from Branch CR by Nasir</t>
  </si>
  <si>
    <t>1st EMI Start Will Be 15-JUL-26</t>
  </si>
  <si>
    <t>BM-20231407</t>
  </si>
  <si>
    <t>Latifur Rahman</t>
  </si>
  <si>
    <t>01912250273</t>
  </si>
  <si>
    <t>Need Talk with Sales Person.</t>
  </si>
  <si>
    <t>1st EMI Start Will Be 10-Oct-26</t>
  </si>
  <si>
    <t>BM-20231061</t>
  </si>
  <si>
    <t>Abu Zafar Mohammad Shamsl Huda</t>
  </si>
  <si>
    <t>01711907050</t>
  </si>
  <si>
    <t>BS- 20217252</t>
  </si>
  <si>
    <t>BB-20202579</t>
  </si>
  <si>
    <t>BM-20231100</t>
  </si>
  <si>
    <t>Kazi Fauzul Azim</t>
  </si>
  <si>
    <t>01918202806</t>
  </si>
  <si>
    <t>BS-20217251</t>
  </si>
  <si>
    <t>BB-20202580</t>
  </si>
  <si>
    <t>BS-20207683</t>
  </si>
  <si>
    <t>Md Mahfuzur Rahman</t>
  </si>
  <si>
    <t>‌01750000847</t>
  </si>
  <si>
    <t>BS-20217029</t>
  </si>
  <si>
    <t>Mst Rahima Akter</t>
  </si>
  <si>
    <t>Md. Ziaul Hoque</t>
  </si>
  <si>
    <t xml:space="preserve">I have spoken with Touhidul Islaml Sir, and he has confirmed that he will reach out regarding the collection.
</t>
  </si>
  <si>
    <t>PAC-309</t>
  </si>
  <si>
    <t>1680997892</t>
  </si>
  <si>
    <t>1st EMI Start Will Be 20-Nov-26</t>
  </si>
  <si>
    <t>BS-20218420</t>
  </si>
  <si>
    <t>Naymul Islam</t>
  </si>
  <si>
    <t>01601102221</t>
  </si>
  <si>
    <t>1st EMI Start Will Be 15-Nov-26</t>
  </si>
  <si>
    <t>BS-20218421</t>
  </si>
  <si>
    <t>Md Wabaydul Islam</t>
  </si>
  <si>
    <t>01715996959</t>
  </si>
  <si>
    <t>1st EMI Start Will Be 15-Aug-26</t>
  </si>
  <si>
    <t>Mst. Sharmin Akter Nabila</t>
  </si>
  <si>
    <t>Md Selim Hossein</t>
  </si>
  <si>
    <t>01929622742</t>
  </si>
  <si>
    <t>1st EMI Start Will Be7-Sep-26</t>
  </si>
  <si>
    <t>Md Jahangir Alam &amp; Tuhin Perveen Sumi</t>
  </si>
  <si>
    <t>.</t>
  </si>
  <si>
    <t>BS-20218448</t>
  </si>
  <si>
    <t/>
  </si>
  <si>
    <t>PAC-313</t>
  </si>
  <si>
    <t>Sultana Begum</t>
  </si>
  <si>
    <t>01727207520</t>
  </si>
  <si>
    <t>PAC-314</t>
  </si>
  <si>
    <t>Mst Dilara Afroz</t>
  </si>
  <si>
    <t>01711363827</t>
  </si>
  <si>
    <t>BS-20218521</t>
  </si>
  <si>
    <t xml:space="preserve">Abrarul Haque Emon </t>
  </si>
  <si>
    <t>Md Anwar Hossain</t>
  </si>
  <si>
    <t>01818833289</t>
  </si>
  <si>
    <t>PAC-317</t>
  </si>
  <si>
    <t>BS-20216270</t>
  </si>
  <si>
    <t>Masud Shahriar</t>
  </si>
  <si>
    <t>Fowzia Mostafa</t>
  </si>
  <si>
    <t>16th EMI Paid</t>
  </si>
  <si>
    <t>BS-20216436</t>
  </si>
  <si>
    <t>15th EMI Paid</t>
  </si>
  <si>
    <t>BS-20218536</t>
  </si>
  <si>
    <t>Mohammad Nuail Ahmed</t>
  </si>
  <si>
    <t>01760500558</t>
  </si>
  <si>
    <t>1st EMI Will Start  25-Nov-26</t>
  </si>
  <si>
    <t>PAC-273</t>
  </si>
  <si>
    <t>17th EMI Part Paid</t>
  </si>
  <si>
    <t>17th EMI Current Due-16000/-</t>
  </si>
  <si>
    <t>BB-2020223</t>
  </si>
  <si>
    <t xml:space="preserve">01777-786143 </t>
  </si>
  <si>
    <t>25th EMI Paid</t>
  </si>
  <si>
    <t>BB-2020224</t>
  </si>
  <si>
    <t>BS-2021905</t>
  </si>
  <si>
    <t>Umme Habiba Sonya</t>
  </si>
  <si>
    <t>52nd EMI Paid</t>
  </si>
  <si>
    <t>BS-2021906</t>
  </si>
  <si>
    <t>BS-2021907</t>
  </si>
  <si>
    <t>BS-2021908</t>
  </si>
  <si>
    <t>Md Mamun Munshi</t>
  </si>
  <si>
    <t>BS-2021909</t>
  </si>
  <si>
    <t>BS-20218402</t>
  </si>
  <si>
    <t>Amena Begum</t>
  </si>
  <si>
    <t>BM-20231568</t>
  </si>
  <si>
    <t>Mumtahina Ahmed Ria</t>
  </si>
  <si>
    <t>01305608951</t>
  </si>
  <si>
    <t>BS-20217651</t>
  </si>
  <si>
    <t>Mazibar Rahman Howlader</t>
  </si>
  <si>
    <t>BS-20217468</t>
  </si>
  <si>
    <t>Sadia Afreen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</si>
</sst>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_);_(* \(#,##0\);_(* &quot;-&quot;??_);_(@_)"/>
    <numFmt numFmtId="165" formatCode="[$-409]d\-mmm\-yy"/>
    <numFmt numFmtId="166" formatCode="[$-409]mmm\-yy"/>
    <numFmt numFmtId="167" formatCode="[$-409]dd\-mmm\-yy"/>
    <numFmt numFmtId="168" formatCode="d\-mmmm\-yy"/>
    <numFmt numFmtId="169" formatCode="d-mmm-yy"/>
  </numFmts>
  <fonts count="27">
    <font>
      <sz val="11.0"/>
      <color theme="1"/>
      <name val="Calibri"/>
      <scheme val="minor"/>
    </font>
    <font>
      <sz val="11.0"/>
      <color theme="1"/>
      <name val="Times New Roman"/>
    </font>
    <font>
      <sz val="8.0"/>
      <color theme="1"/>
      <name val="Times New Roman"/>
    </font>
    <font>
      <b/>
      <sz val="8.0"/>
      <color theme="1"/>
      <name val="Times New Roman"/>
    </font>
    <font>
      <b/>
      <u/>
      <sz val="20.0"/>
      <color theme="1"/>
      <name val="Times New Roman"/>
    </font>
    <font/>
    <font>
      <b/>
      <u/>
      <sz val="14.0"/>
      <color theme="1"/>
      <name val="Times New Roman"/>
    </font>
    <font>
      <u/>
      <sz val="12.0"/>
      <color theme="1"/>
      <name val="Times New Roman"/>
    </font>
    <font>
      <b/>
      <u/>
      <sz val="9.0"/>
      <color theme="1"/>
      <name val="Times New Roman"/>
    </font>
    <font>
      <b/>
      <u/>
      <sz val="9.0"/>
      <color theme="1"/>
      <name val="Times New Roman"/>
    </font>
    <font>
      <b/>
      <u/>
      <sz val="13.0"/>
      <color theme="1"/>
      <name val="Times New Roman"/>
    </font>
    <font>
      <b/>
      <u/>
      <sz val="9.0"/>
      <color theme="1"/>
      <name val="Times New Roman"/>
    </font>
    <font>
      <sz val="9.0"/>
      <color theme="1"/>
      <name val="Times New Roman"/>
    </font>
    <font>
      <b/>
      <u/>
      <sz val="9.0"/>
      <color theme="1"/>
      <name val="Times New Roman"/>
    </font>
    <font>
      <b/>
      <sz val="9.0"/>
      <color theme="1"/>
      <name val="Times New Roman"/>
    </font>
    <font>
      <sz val="8.0"/>
      <color rgb="FF000000"/>
      <name val="Times New Roman"/>
    </font>
    <font>
      <sz val="8.0"/>
      <color theme="1"/>
      <name val="Calibri"/>
    </font>
    <font>
      <sz val="11.0"/>
      <color theme="1"/>
      <name val="Calibri"/>
    </font>
    <font>
      <sz val="9.0"/>
      <color rgb="FF000000"/>
      <name val="Times New Roman"/>
    </font>
    <font>
      <sz val="10.0"/>
      <color theme="1"/>
      <name val="Times New Roman"/>
    </font>
    <font>
      <b/>
      <sz val="10.0"/>
      <color rgb="FF000000"/>
      <name val="&quot;Times New Roman&quot;"/>
    </font>
    <font>
      <b/>
      <sz val="9.0"/>
      <color rgb="FF000000"/>
      <name val="&quot;Times New Roman&quot;"/>
    </font>
    <font>
      <sz val="13.0"/>
      <color theme="1"/>
      <name val="Times New Roman"/>
    </font>
    <font>
      <b/>
      <sz val="9.0"/>
      <color rgb="FF000000"/>
      <name val="Times New Roman"/>
    </font>
    <font>
      <color theme="1"/>
      <name val="Calibri"/>
      <scheme val="minor"/>
    </font>
    <font>
      <sz val="8.0"/>
      <color theme="1"/>
      <name val="Calibri"/>
      <scheme val="minor"/>
    </font>
    <font>
      <b/>
      <sz val="8.0"/>
      <color theme="1"/>
      <name val="Calibri"/>
      <scheme val="minor"/>
    </font>
  </fonts>
  <fills count="10">
    <fill>
      <patternFill patternType="none"/>
    </fill>
    <fill>
      <patternFill patternType="lightGray"/>
    </fill>
    <fill>
      <patternFill patternType="solid">
        <fgColor theme="0"/>
        <bgColor theme="0"/>
      </patternFill>
    </fill>
    <fill>
      <patternFill patternType="solid">
        <fgColor rgb="FF92D050"/>
        <bgColor rgb="FF92D050"/>
      </patternFill>
    </fill>
    <fill>
      <patternFill patternType="solid">
        <fgColor rgb="FFBDD6EE"/>
        <bgColor rgb="FFBDD6EE"/>
      </patternFill>
    </fill>
    <fill>
      <patternFill patternType="solid">
        <fgColor rgb="FFFF0000"/>
        <bgColor rgb="FFFF0000"/>
      </patternFill>
    </fill>
    <fill>
      <patternFill patternType="solid">
        <fgColor rgb="FFC5E0B3"/>
        <bgColor rgb="FFC5E0B3"/>
      </patternFill>
    </fill>
    <fill>
      <patternFill patternType="solid">
        <fgColor rgb="FFFFFF00"/>
        <bgColor rgb="FFFFFF00"/>
      </patternFill>
    </fill>
    <fill>
      <patternFill patternType="solid">
        <fgColor rgb="FF00B050"/>
        <bgColor rgb="FF00B050"/>
      </patternFill>
    </fill>
    <fill>
      <patternFill patternType="solid">
        <fgColor rgb="FFFFFFFF"/>
        <bgColor rgb="FFFFFFFF"/>
      </patternFill>
    </fill>
  </fills>
  <borders count="10">
    <border/>
    <border>
      <left/>
      <right/>
      <top/>
      <bottom/>
    </border>
    <border>
      <left/>
      <top/>
      <bottom/>
    </border>
    <border>
      <top/>
      <bottom/>
    </border>
    <border>
      <right/>
      <top/>
      <bottom/>
    </border>
    <border>
      <left/>
      <right/>
      <top/>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left/>
      <right/>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1" numFmtId="0" xfId="0" applyAlignment="1" applyBorder="1" applyFill="1" applyFont="1">
      <alignment horizontal="center" vertical="center"/>
    </xf>
    <xf borderId="1" fillId="2" fontId="1" numFmtId="0" xfId="0" applyAlignment="1" applyBorder="1" applyFill="1" applyFont="1">
      <alignment vertical="center"/>
    </xf>
    <xf borderId="1" fillId="2" fontId="1" numFmtId="0" xfId="0" applyBorder="1" applyFill="1" applyFont="1"/>
    <xf borderId="1" fillId="2" fontId="1" numFmtId="49" xfId="0" applyBorder="1" applyFill="1" applyFont="1" applyNumberFormat="1"/>
    <xf borderId="1" fillId="2" fontId="2" numFmtId="0" xfId="0" applyBorder="1" applyFill="1" applyFont="1"/>
    <xf borderId="1" fillId="2" fontId="3" numFmtId="0" xfId="0" applyAlignment="1" applyBorder="1" applyFill="1" applyFont="1">
      <alignment shrinkToFit="0" vertical="center" wrapText="1"/>
    </xf>
    <xf borderId="2" fillId="2" fontId="4" numFmtId="0" xfId="0" applyAlignment="1" applyBorder="1" applyFill="1" applyFont="1">
      <alignment horizontal="center"/>
    </xf>
    <xf borderId="3" fillId="0" fontId="5" numFmtId="0" xfId="0" applyBorder="1" applyFont="1"/>
    <xf borderId="4" fillId="0" fontId="5" numFmtId="0" xfId="0" applyBorder="1" applyFont="1"/>
    <xf borderId="2" fillId="2" fontId="6" numFmtId="0" xfId="0" applyAlignment="1" applyBorder="1" applyFill="1" applyFont="1">
      <alignment horizontal="center" vertical="center"/>
    </xf>
    <xf borderId="2" fillId="2" fontId="7" numFmtId="0" xfId="0" applyAlignment="1" applyBorder="1" applyFill="1" applyFont="1">
      <alignment horizontal="center" readingOrder="0"/>
    </xf>
    <xf borderId="5" fillId="2" fontId="1" numFmtId="0" xfId="0" applyBorder="1" applyFill="1" applyFont="1"/>
    <xf borderId="6" fillId="3" fontId="8" numFmtId="0" xfId="0" applyAlignment="1" applyBorder="1" applyFill="1" applyFont="1">
      <alignment horizontal="center" vertical="center"/>
    </xf>
    <xf borderId="6" fillId="3" fontId="9" numFmtId="0" xfId="0" applyAlignment="1" applyBorder="1" applyFill="1" applyFont="1">
      <alignment horizontal="center" shrinkToFit="0" vertical="center" wrapText="1"/>
    </xf>
    <xf borderId="5" fillId="2" fontId="3" numFmtId="0" xfId="0" applyAlignment="1" applyBorder="1" applyFill="1" applyFont="1">
      <alignment shrinkToFit="0" vertical="center" wrapText="1"/>
    </xf>
    <xf borderId="6" fillId="4" fontId="10" numFmtId="0" xfId="0" applyAlignment="1" applyBorder="1" applyFill="1" applyFont="1">
      <alignment horizontal="center" readingOrder="0" vertical="center"/>
    </xf>
    <xf borderId="4" fillId="2" fontId="1" numFmtId="0" xfId="0" applyAlignment="1" applyBorder="1" applyFill="1" applyFont="1">
      <alignment vertical="center"/>
    </xf>
    <xf borderId="6" fillId="3" fontId="11" numFmtId="49" xfId="0" applyAlignment="1" applyBorder="1" applyFill="1" applyFont="1" applyNumberFormat="1">
      <alignment horizontal="center" shrinkToFit="0" vertical="center" wrapText="1"/>
    </xf>
    <xf borderId="6" fillId="2" fontId="12" numFmtId="0" xfId="0" applyAlignment="1" applyBorder="1" applyFill="1" applyFont="1">
      <alignment horizontal="center" vertical="center"/>
    </xf>
    <xf borderId="6" fillId="2" fontId="3" numFmtId="0" xfId="0" applyAlignment="1" applyBorder="1" applyFill="1" applyFont="1">
      <alignment horizontal="center" vertical="center"/>
    </xf>
    <xf borderId="6" fillId="2" fontId="12" numFmtId="0" xfId="0" applyAlignment="1" applyBorder="1" applyFill="1" applyFont="1">
      <alignment horizontal="left" shrinkToFit="0" vertical="center" wrapText="1"/>
    </xf>
    <xf quotePrefix="1" borderId="6" fillId="2" fontId="2" numFmtId="0" xfId="0" applyAlignment="1" applyBorder="1" applyFill="1" applyFont="1">
      <alignment horizontal="center" vertical="center"/>
    </xf>
    <xf borderId="6" fillId="3" fontId="13" numFmtId="0" xfId="0" applyAlignment="1" applyBorder="1" applyFill="1" applyFont="1">
      <alignment horizontal="center" readingOrder="0" shrinkToFit="0" vertical="center" wrapText="1"/>
    </xf>
    <xf borderId="7" fillId="2" fontId="2" numFmtId="0" xfId="0" applyAlignment="1" applyBorder="1" applyFill="1" applyFont="1">
      <alignment horizontal="center" vertical="center"/>
    </xf>
    <xf borderId="6" fillId="2" fontId="3" numFmtId="164" xfId="0" applyAlignment="1" applyBorder="1" applyFill="1" applyFont="1" applyNumberFormat="1">
      <alignment vertical="center"/>
    </xf>
    <xf borderId="6" fillId="2" fontId="12" numFmtId="0" xfId="0" applyAlignment="1" applyBorder="1" applyFill="1" applyFont="1">
      <alignment horizontal="center" readingOrder="0" vertical="center"/>
    </xf>
    <xf borderId="6" fillId="2" fontId="3" numFmtId="164" xfId="0" applyAlignment="1" applyBorder="1" applyFill="1" applyFont="1" applyNumberFormat="1">
      <alignment horizontal="right" vertical="center"/>
    </xf>
    <xf borderId="6" fillId="2" fontId="2" numFmtId="165" xfId="0" applyAlignment="1" applyBorder="1" applyFill="1" applyFont="1" applyNumberFormat="1">
      <alignment horizontal="right" vertical="center"/>
    </xf>
    <xf borderId="6" fillId="4" fontId="3" numFmtId="165" xfId="0" applyAlignment="1" applyBorder="1" applyFill="1" applyFont="1" applyNumberFormat="1">
      <alignment horizontal="right" vertical="center"/>
    </xf>
    <xf borderId="6" fillId="5" fontId="12" numFmtId="0" xfId="0" applyAlignment="1" applyBorder="1" applyFill="1" applyFont="1">
      <alignment horizontal="left" shrinkToFit="0" vertical="center" wrapText="1"/>
    </xf>
    <xf borderId="6" fillId="4" fontId="3" numFmtId="164" xfId="0" applyAlignment="1" applyBorder="1" applyFill="1" applyFont="1" applyNumberFormat="1">
      <alignment horizontal="right" vertical="center"/>
    </xf>
    <xf quotePrefix="1" borderId="6" fillId="2" fontId="2" numFmtId="49" xfId="0" applyAlignment="1" applyBorder="1" applyFill="1" applyFont="1" applyNumberFormat="1">
      <alignment horizontal="center" vertical="center"/>
    </xf>
    <xf borderId="6" fillId="0" fontId="2" numFmtId="165" xfId="0" applyAlignment="1" applyBorder="1" applyFont="1" applyNumberFormat="1">
      <alignment horizontal="right" readingOrder="0" vertical="center"/>
    </xf>
    <xf borderId="7" fillId="6" fontId="3" numFmtId="166" xfId="0" applyAlignment="1" applyBorder="1" applyFill="1" applyFont="1" applyNumberFormat="1">
      <alignment horizontal="center" readingOrder="0" vertical="center"/>
    </xf>
    <xf borderId="7" fillId="7" fontId="2" numFmtId="165" xfId="0" applyAlignment="1" applyBorder="1" applyFill="1" applyFont="1" applyNumberFormat="1">
      <alignment horizontal="right" readingOrder="0" vertical="center"/>
    </xf>
    <xf borderId="6" fillId="2" fontId="3" numFmtId="3" xfId="0" applyAlignment="1" applyBorder="1" applyFill="1" applyFont="1" applyNumberFormat="1">
      <alignment horizontal="center" readingOrder="0" vertical="center"/>
    </xf>
    <xf borderId="6" fillId="0" fontId="2" numFmtId="165" xfId="0" applyAlignment="1" applyBorder="1" applyFont="1" applyNumberFormat="1">
      <alignment horizontal="right" vertical="center"/>
    </xf>
    <xf quotePrefix="1" borderId="7" fillId="8" fontId="3" numFmtId="165" xfId="0" applyAlignment="1" applyBorder="1" applyFill="1" applyFont="1" applyNumberFormat="1">
      <alignment horizontal="center" vertical="center"/>
    </xf>
    <xf borderId="7" fillId="6" fontId="3" numFmtId="166" xfId="0" applyAlignment="1" applyBorder="1" applyFill="1" applyFont="1" applyNumberFormat="1">
      <alignment horizontal="center" vertical="center"/>
    </xf>
    <xf borderId="6" fillId="2" fontId="2" numFmtId="0" xfId="0" applyAlignment="1" applyBorder="1" applyFill="1" applyFont="1">
      <alignment horizontal="center" readingOrder="0" vertical="center"/>
    </xf>
    <xf borderId="7" fillId="7" fontId="2" numFmtId="165" xfId="0" applyAlignment="1" applyBorder="1" applyFill="1" applyFont="1" applyNumberFormat="1">
      <alignment horizontal="right" vertical="center"/>
    </xf>
    <xf borderId="6" fillId="4" fontId="1" numFmtId="0" xfId="0" applyBorder="1" applyFill="1" applyFont="1"/>
    <xf borderId="4" fillId="2" fontId="1" numFmtId="0" xfId="0" applyBorder="1" applyFill="1" applyFont="1"/>
    <xf borderId="6" fillId="0" fontId="14" numFmtId="0" xfId="0" applyAlignment="1" applyBorder="1" applyFont="1">
      <alignment horizontal="center" vertical="center"/>
    </xf>
    <xf borderId="6" fillId="0" fontId="12" numFmtId="0" xfId="0" applyAlignment="1" applyBorder="1" applyFont="1">
      <alignment shrinkToFit="0" vertical="center" wrapText="1"/>
    </xf>
    <xf quotePrefix="1" borderId="6" fillId="9" fontId="2" numFmtId="0" xfId="0" applyAlignment="1" applyBorder="1" applyFill="1" applyFont="1">
      <alignment horizontal="center" vertical="center"/>
    </xf>
    <xf borderId="7" fillId="9" fontId="2" numFmtId="0" xfId="0" applyAlignment="1" applyBorder="1" applyFill="1" applyFont="1">
      <alignment horizontal="center" vertical="center"/>
    </xf>
    <xf borderId="7" fillId="2" fontId="3" numFmtId="164" xfId="0" applyAlignment="1" applyBorder="1" applyFill="1" applyFont="1" applyNumberFormat="1">
      <alignment vertical="center"/>
    </xf>
    <xf borderId="6" fillId="0" fontId="3" numFmtId="164" xfId="0" applyAlignment="1" applyBorder="1" applyFont="1" applyNumberFormat="1">
      <alignment horizontal="right" vertical="center"/>
    </xf>
    <xf borderId="6" fillId="2" fontId="2" numFmtId="0" xfId="0" applyAlignment="1" applyBorder="1" applyFill="1" applyFont="1">
      <alignment horizontal="center" vertical="center"/>
    </xf>
    <xf borderId="6" fillId="7" fontId="3" numFmtId="0" xfId="0" applyAlignment="1" applyBorder="1" applyFill="1" applyFont="1">
      <alignment readingOrder="0" shrinkToFit="0" vertical="center" wrapText="1"/>
    </xf>
    <xf borderId="6" fillId="4" fontId="3" numFmtId="165" xfId="0" applyAlignment="1" applyBorder="1" applyFill="1" applyFont="1" applyNumberFormat="1">
      <alignment horizontal="right" readingOrder="0" vertical="center"/>
    </xf>
    <xf borderId="6" fillId="2" fontId="3" numFmtId="0" xfId="0" applyAlignment="1" applyBorder="1" applyFill="1" applyFont="1">
      <alignment horizontal="center" shrinkToFit="0" vertical="center" wrapText="1"/>
    </xf>
    <xf borderId="6" fillId="2" fontId="2" numFmtId="0" xfId="0" applyAlignment="1" applyBorder="1" applyFill="1" applyFont="1">
      <alignment horizontal="center" readingOrder="0" shrinkToFit="0" vertical="center" wrapText="1"/>
    </xf>
    <xf borderId="6" fillId="7" fontId="12" numFmtId="0" xfId="0" applyAlignment="1" applyBorder="1" applyFill="1" applyFont="1">
      <alignment horizontal="left" shrinkToFit="0" vertical="center" wrapText="1"/>
    </xf>
    <xf borderId="6" fillId="7" fontId="3" numFmtId="3" xfId="0" applyAlignment="1" applyBorder="1" applyFill="1" applyFont="1" applyNumberFormat="1">
      <alignment horizontal="center" readingOrder="0" vertical="center"/>
    </xf>
    <xf borderId="7" fillId="7" fontId="3" numFmtId="164" xfId="0" applyAlignment="1" applyBorder="1" applyFill="1" applyFont="1" applyNumberFormat="1">
      <alignment vertical="center"/>
    </xf>
    <xf borderId="6" fillId="7" fontId="2" numFmtId="165" xfId="0" applyAlignment="1" applyBorder="1" applyFill="1" applyFont="1" applyNumberFormat="1">
      <alignment horizontal="right" vertical="center"/>
    </xf>
    <xf borderId="6" fillId="7" fontId="2" numFmtId="0" xfId="0" applyAlignment="1" applyBorder="1" applyFill="1" applyFont="1">
      <alignment horizontal="center" readingOrder="0" shrinkToFit="0" vertical="center" wrapText="1"/>
    </xf>
    <xf borderId="6" fillId="2" fontId="3" numFmtId="3" xfId="0" applyAlignment="1" applyBorder="1" applyFill="1" applyFont="1" applyNumberFormat="1">
      <alignment horizontal="center" vertical="center"/>
    </xf>
    <xf borderId="6" fillId="4" fontId="3" numFmtId="0" xfId="0" applyAlignment="1" applyBorder="1" applyFill="1" applyFont="1">
      <alignment readingOrder="0" shrinkToFit="0" vertical="center" wrapText="1"/>
    </xf>
    <xf borderId="7" fillId="7" fontId="3" numFmtId="165" xfId="0" applyAlignment="1" applyBorder="1" applyFill="1" applyFont="1" applyNumberFormat="1">
      <alignment horizontal="center" vertical="center"/>
    </xf>
    <xf borderId="6" fillId="0" fontId="3" numFmtId="0" xfId="0" applyAlignment="1" applyBorder="1" applyFont="1">
      <alignment horizontal="center" vertical="center"/>
    </xf>
    <xf borderId="6" fillId="2" fontId="12" numFmtId="0" xfId="0" applyAlignment="1" applyBorder="1" applyFill="1" applyFont="1">
      <alignment shrinkToFit="0" vertical="center" wrapText="1"/>
    </xf>
    <xf borderId="6" fillId="7" fontId="12" numFmtId="0" xfId="0" applyAlignment="1" applyBorder="1" applyFill="1" applyFont="1">
      <alignment shrinkToFit="0" vertical="center" wrapText="1"/>
    </xf>
    <xf borderId="6" fillId="9" fontId="2" numFmtId="49" xfId="0" applyAlignment="1" applyBorder="1" applyFill="1" applyFont="1" applyNumberFormat="1">
      <alignment horizontal="center" readingOrder="0" vertical="center"/>
    </xf>
    <xf borderId="6" fillId="7" fontId="2" numFmtId="165" xfId="0" applyAlignment="1" applyBorder="1" applyFill="1" applyFont="1" applyNumberFormat="1">
      <alignment horizontal="right" readingOrder="0" vertical="center"/>
    </xf>
    <xf borderId="1" fillId="2" fontId="1" numFmtId="164" xfId="0" applyBorder="1" applyFill="1" applyFont="1" applyNumberFormat="1"/>
    <xf borderId="6" fillId="0" fontId="3" numFmtId="164" xfId="0" applyAlignment="1" applyBorder="1" applyFont="1" applyNumberFormat="1">
      <alignment horizontal="center" vertical="center"/>
    </xf>
    <xf quotePrefix="1" borderId="6" fillId="2" fontId="2" numFmtId="0" xfId="0" applyAlignment="1" applyBorder="1" applyFill="1" applyFont="1">
      <alignment horizontal="center" readingOrder="0" vertical="center"/>
    </xf>
    <xf borderId="6" fillId="0" fontId="15" numFmtId="165" xfId="0" applyAlignment="1" applyBorder="1" applyFont="1" applyNumberFormat="1">
      <alignment horizontal="left" readingOrder="1" vertical="center"/>
    </xf>
    <xf quotePrefix="1" borderId="6" fillId="9" fontId="2" numFmtId="0" xfId="0" applyAlignment="1" applyBorder="1" applyFill="1" applyFont="1">
      <alignment horizontal="center" vertical="center"/>
    </xf>
    <xf borderId="6" fillId="7" fontId="2" numFmtId="165" xfId="0" applyAlignment="1" applyBorder="1" applyFill="1" applyFont="1" applyNumberFormat="1">
      <alignment horizontal="right" readingOrder="0" shrinkToFit="0" vertical="center" wrapText="1"/>
    </xf>
    <xf borderId="6" fillId="0" fontId="12" numFmtId="0" xfId="0" applyAlignment="1" applyBorder="1" applyFont="1">
      <alignment horizontal="left" shrinkToFit="0" vertical="center" wrapText="1"/>
    </xf>
    <xf borderId="6" fillId="9" fontId="12" numFmtId="0" xfId="0" applyAlignment="1" applyBorder="1" applyFill="1" applyFont="1">
      <alignment shrinkToFit="0" vertical="center" wrapText="1"/>
    </xf>
    <xf borderId="6" fillId="9" fontId="16" numFmtId="49" xfId="0" applyAlignment="1" applyBorder="1" applyFill="1" applyFont="1" applyNumberFormat="1">
      <alignment readingOrder="0" shrinkToFit="0" vertical="center" wrapText="1"/>
    </xf>
    <xf borderId="6" fillId="9" fontId="2" numFmtId="0" xfId="0" applyAlignment="1" applyBorder="1" applyFill="1" applyFont="1">
      <alignment horizontal="center" vertical="center"/>
    </xf>
    <xf borderId="7" fillId="9" fontId="2" numFmtId="0" xfId="0" applyAlignment="1" applyBorder="1" applyFill="1" applyFont="1">
      <alignment horizontal="center" shrinkToFit="0" vertical="center" wrapText="1"/>
    </xf>
    <xf borderId="6" fillId="0" fontId="3" numFmtId="164" xfId="0" applyAlignment="1" applyBorder="1" applyFont="1" applyNumberFormat="1">
      <alignment horizontal="right" shrinkToFit="0" vertical="center" wrapText="1"/>
    </xf>
    <xf borderId="6" fillId="2" fontId="14" numFmtId="0" xfId="0" applyAlignment="1" applyBorder="1" applyFill="1" applyFont="1">
      <alignment horizontal="center" shrinkToFit="0" vertical="center" wrapText="1"/>
    </xf>
    <xf borderId="6" fillId="0" fontId="3" numFmtId="164" xfId="0" applyAlignment="1" applyBorder="1" applyFont="1" applyNumberFormat="1">
      <alignment horizontal="center" shrinkToFit="0" vertical="center" wrapText="1"/>
    </xf>
    <xf borderId="6" fillId="0" fontId="2" numFmtId="167" xfId="0" applyAlignment="1" applyBorder="1" applyFont="1" applyNumberFormat="1">
      <alignment horizontal="right" readingOrder="0" vertical="center"/>
    </xf>
    <xf borderId="6" fillId="4" fontId="3" numFmtId="165" xfId="0" applyAlignment="1" applyBorder="1" applyFill="1" applyFont="1" applyNumberFormat="1">
      <alignment horizontal="right" shrinkToFit="0" vertical="center" wrapText="1"/>
    </xf>
    <xf borderId="6" fillId="4" fontId="3" numFmtId="164" xfId="0" applyAlignment="1" applyBorder="1" applyFill="1" applyFont="1" applyNumberFormat="1">
      <alignment horizontal="right" shrinkToFit="0" vertical="center" wrapText="1"/>
    </xf>
    <xf borderId="6" fillId="0" fontId="2" numFmtId="0" xfId="0" applyAlignment="1" applyBorder="1" applyFont="1">
      <alignment horizontal="right" readingOrder="0" vertical="center"/>
    </xf>
    <xf borderId="6" fillId="6" fontId="3" numFmtId="166" xfId="0" applyAlignment="1" applyBorder="1" applyFill="1" applyFont="1" applyNumberFormat="1">
      <alignment horizontal="center" vertical="center"/>
    </xf>
    <xf borderId="6" fillId="7" fontId="3" numFmtId="164" xfId="0" applyAlignment="1" applyBorder="1" applyFill="1" applyFont="1" applyNumberFormat="1">
      <alignment vertical="center"/>
    </xf>
    <xf quotePrefix="1" borderId="6" fillId="9" fontId="2" numFmtId="49" xfId="0" applyAlignment="1" applyBorder="1" applyFill="1" applyFont="1" applyNumberFormat="1">
      <alignment horizontal="center" shrinkToFit="0" vertical="center" wrapText="1"/>
    </xf>
    <xf quotePrefix="1" borderId="6" fillId="0" fontId="2" numFmtId="0" xfId="0" applyAlignment="1" applyBorder="1" applyFont="1">
      <alignment horizontal="center" vertical="center"/>
    </xf>
    <xf borderId="7" fillId="2" fontId="2" numFmtId="0" xfId="0" applyAlignment="1" applyBorder="1" applyFill="1" applyFont="1">
      <alignment horizontal="center" readingOrder="0" vertical="center"/>
    </xf>
    <xf borderId="6" fillId="0" fontId="3" numFmtId="164" xfId="0" applyAlignment="1" applyBorder="1" applyFont="1" applyNumberFormat="1">
      <alignment vertical="center"/>
    </xf>
    <xf borderId="6" fillId="0" fontId="2" numFmtId="167" xfId="0" applyAlignment="1" applyBorder="1" applyFont="1" applyNumberFormat="1">
      <alignment horizontal="right" vertical="center"/>
    </xf>
    <xf borderId="6" fillId="0" fontId="3" numFmtId="164" xfId="0" applyAlignment="1" applyBorder="1" applyFont="1" applyNumberFormat="1">
      <alignment readingOrder="0" vertical="center"/>
    </xf>
    <xf borderId="6" fillId="0" fontId="3" numFmtId="164" xfId="0" applyAlignment="1" applyBorder="1" applyFont="1" applyNumberFormat="1">
      <alignment horizontal="center" readingOrder="0" vertical="center"/>
    </xf>
    <xf borderId="6" fillId="4" fontId="12" numFmtId="0" xfId="0" applyAlignment="1" applyBorder="1" applyFill="1" applyFont="1">
      <alignment readingOrder="0" shrinkToFit="0" wrapText="1"/>
    </xf>
    <xf borderId="6" fillId="0" fontId="3" numFmtId="0" xfId="0" applyAlignment="1" applyBorder="1" applyFont="1">
      <alignment horizontal="center" readingOrder="0" vertical="center"/>
    </xf>
    <xf borderId="6" fillId="4" fontId="12" numFmtId="0" xfId="0" applyAlignment="1" applyBorder="1" applyFill="1" applyFont="1">
      <alignment readingOrder="0" shrinkToFit="0" vertical="center" wrapText="1"/>
    </xf>
    <xf borderId="6" fillId="7" fontId="2" numFmtId="49" xfId="0" applyAlignment="1" applyBorder="1" applyFill="1" applyFont="1" applyNumberFormat="1">
      <alignment horizontal="center" shrinkToFit="0" vertical="center" wrapText="1"/>
    </xf>
    <xf borderId="6" fillId="0" fontId="2" numFmtId="165" xfId="0" applyAlignment="1" applyBorder="1" applyFont="1" applyNumberFormat="1">
      <alignment horizontal="right" readingOrder="0" shrinkToFit="0" vertical="center" wrapText="1"/>
    </xf>
    <xf borderId="6" fillId="0" fontId="3" numFmtId="3" xfId="0" applyAlignment="1" applyBorder="1" applyFont="1" applyNumberFormat="1">
      <alignment horizontal="center" readingOrder="0" vertical="center"/>
    </xf>
    <xf quotePrefix="1" borderId="6" fillId="2" fontId="2" numFmtId="49" xfId="0" applyAlignment="1" applyBorder="1" applyFill="1" applyFont="1" applyNumberFormat="1">
      <alignment horizontal="center" readingOrder="0" vertical="center"/>
    </xf>
    <xf borderId="6" fillId="2" fontId="2" numFmtId="0" xfId="0" applyAlignment="1" applyBorder="1" applyFill="1" applyFont="1">
      <alignment horizontal="center" shrinkToFit="0" vertical="center" wrapText="1"/>
    </xf>
    <xf borderId="6" fillId="6" fontId="3" numFmtId="166" xfId="0" applyAlignment="1" applyBorder="1" applyFill="1" applyFont="1" applyNumberFormat="1">
      <alignment horizontal="center" readingOrder="0" vertical="center"/>
    </xf>
    <xf borderId="1" fillId="7" fontId="2" numFmtId="168" xfId="0" applyAlignment="1" applyBorder="1" applyFill="1" applyFont="1" applyNumberFormat="1">
      <alignment readingOrder="0" vertical="center"/>
    </xf>
    <xf quotePrefix="1" borderId="6" fillId="0" fontId="2" numFmtId="49" xfId="0" applyAlignment="1" applyBorder="1" applyFont="1" applyNumberFormat="1">
      <alignment horizontal="center" vertical="center"/>
    </xf>
    <xf borderId="4" fillId="2" fontId="1" numFmtId="0" xfId="0" applyAlignment="1" applyBorder="1" applyFill="1" applyFont="1">
      <alignment horizontal="left" readingOrder="0" vertical="center"/>
    </xf>
    <xf borderId="1" fillId="7" fontId="2" numFmtId="165" xfId="0" applyAlignment="1" applyBorder="1" applyFill="1" applyFont="1" applyNumberFormat="1">
      <alignment horizontal="right" readingOrder="0" vertical="center"/>
    </xf>
    <xf borderId="6" fillId="7" fontId="12" numFmtId="0" xfId="0" applyAlignment="1" applyBorder="1" applyFill="1" applyFont="1">
      <alignment horizontal="left" readingOrder="0" shrinkToFit="0" vertical="center" wrapText="1"/>
    </xf>
    <xf borderId="6" fillId="2" fontId="3" numFmtId="0" xfId="0" applyAlignment="1" applyBorder="1" applyFill="1" applyFont="1">
      <alignment horizontal="center" readingOrder="0" vertical="center"/>
    </xf>
    <xf borderId="6" fillId="2" fontId="2" numFmtId="49" xfId="0" applyAlignment="1" applyBorder="1" applyFill="1" applyFont="1" applyNumberFormat="1">
      <alignment horizontal="center" vertical="center"/>
    </xf>
    <xf quotePrefix="1" borderId="6" fillId="8" fontId="3" numFmtId="165" xfId="0" applyAlignment="1" applyBorder="1" applyFill="1" applyFont="1" applyNumberFormat="1">
      <alignment horizontal="center" vertical="center"/>
    </xf>
    <xf borderId="6" fillId="9" fontId="2" numFmtId="49" xfId="0" applyAlignment="1" applyBorder="1" applyFill="1" applyFont="1" applyNumberFormat="1">
      <alignment horizontal="center" shrinkToFit="0" vertical="center" wrapText="1"/>
    </xf>
    <xf borderId="6" fillId="2" fontId="3" numFmtId="164" xfId="0" applyAlignment="1" applyBorder="1" applyFill="1" applyFont="1" applyNumberFormat="1">
      <alignment readingOrder="0" vertical="center"/>
    </xf>
    <xf borderId="6" fillId="0" fontId="15" numFmtId="165" xfId="0" applyAlignment="1" applyBorder="1" applyFont="1" applyNumberFormat="1">
      <alignment horizontal="right" readingOrder="1" vertical="center"/>
    </xf>
    <xf borderId="6" fillId="4" fontId="3" numFmtId="164" xfId="0" applyAlignment="1" applyBorder="1" applyFill="1" applyFont="1" applyNumberFormat="1">
      <alignment horizontal="right" readingOrder="0" vertical="center"/>
    </xf>
    <xf borderId="6" fillId="0" fontId="15" numFmtId="165" xfId="0" applyAlignment="1" applyBorder="1" applyFont="1" applyNumberFormat="1">
      <alignment horizontal="left" readingOrder="1" vertical="center"/>
    </xf>
    <xf borderId="6" fillId="0" fontId="3" numFmtId="0" xfId="0" applyAlignment="1" applyBorder="1" applyFont="1">
      <alignment horizontal="center" shrinkToFit="0" vertical="center" wrapText="1"/>
    </xf>
    <xf borderId="8" fillId="0" fontId="2" numFmtId="0" xfId="0" applyAlignment="1" applyBorder="1" applyFont="1">
      <alignment horizontal="center" vertical="center"/>
    </xf>
    <xf borderId="6" fillId="0" fontId="3" numFmtId="166" xfId="0" applyAlignment="1" applyBorder="1" applyFont="1" applyNumberFormat="1">
      <alignment horizontal="center" vertical="center"/>
    </xf>
    <xf borderId="6" fillId="0" fontId="3" numFmtId="3" xfId="0" applyAlignment="1" applyBorder="1" applyFont="1" applyNumberFormat="1">
      <alignment horizontal="center" vertical="center"/>
    </xf>
    <xf borderId="6" fillId="0" fontId="2" numFmtId="0" xfId="0" applyAlignment="1" applyBorder="1" applyFont="1">
      <alignment horizontal="center" readingOrder="0" shrinkToFit="0" vertical="center" wrapText="1"/>
    </xf>
    <xf borderId="6" fillId="7" fontId="17" numFmtId="49" xfId="0" applyAlignment="1" applyBorder="1" applyFill="1" applyFont="1" applyNumberFormat="1">
      <alignment shrinkToFit="0" vertical="center" wrapText="1"/>
    </xf>
    <xf borderId="7" fillId="2" fontId="2" numFmtId="0" xfId="0" applyAlignment="1" applyBorder="1" applyFill="1" applyFont="1">
      <alignment horizontal="center" shrinkToFit="0" vertical="center" wrapText="1"/>
    </xf>
    <xf borderId="6" fillId="0" fontId="2" numFmtId="0" xfId="0" applyAlignment="1" applyBorder="1" applyFont="1">
      <alignment horizontal="center" readingOrder="0" vertical="center"/>
    </xf>
    <xf borderId="6" fillId="2" fontId="3" numFmtId="164" xfId="0" applyAlignment="1" applyBorder="1" applyFill="1" applyFont="1" applyNumberFormat="1">
      <alignment horizontal="right" shrinkToFit="0" vertical="center" wrapText="1"/>
    </xf>
    <xf borderId="6" fillId="2" fontId="2" numFmtId="165" xfId="0" applyAlignment="1" applyBorder="1" applyFill="1" applyFont="1" applyNumberFormat="1">
      <alignment horizontal="right" readingOrder="0" vertical="center"/>
    </xf>
    <xf borderId="6" fillId="2" fontId="15" numFmtId="165" xfId="0" applyAlignment="1" applyBorder="1" applyFill="1" applyFont="1" applyNumberFormat="1">
      <alignment horizontal="left" readingOrder="1" vertical="center"/>
    </xf>
    <xf borderId="6" fillId="7" fontId="12" numFmtId="0" xfId="0" applyAlignment="1" applyBorder="1" applyFill="1" applyFont="1">
      <alignment readingOrder="0" shrinkToFit="0" vertical="center" wrapText="1"/>
    </xf>
    <xf borderId="6" fillId="7" fontId="17" numFmtId="49" xfId="0" applyAlignment="1" applyBorder="1" applyFill="1" applyFont="1" applyNumberFormat="1">
      <alignment vertical="center"/>
    </xf>
    <xf borderId="7" fillId="2" fontId="3" numFmtId="164" xfId="0" applyAlignment="1" applyBorder="1" applyFill="1" applyFont="1" applyNumberFormat="1">
      <alignment readingOrder="0" vertical="center"/>
    </xf>
    <xf borderId="6" fillId="0" fontId="14" numFmtId="0" xfId="0" applyAlignment="1" applyBorder="1" applyFont="1">
      <alignment horizontal="center" readingOrder="0" vertical="center"/>
    </xf>
    <xf borderId="6" fillId="9" fontId="2" numFmtId="0" xfId="0" applyAlignment="1" applyBorder="1" applyFill="1" applyFont="1">
      <alignment horizontal="center" vertical="center"/>
    </xf>
    <xf borderId="6" fillId="0" fontId="14" numFmtId="0" xfId="0" applyAlignment="1" applyBorder="1" applyFont="1">
      <alignment horizontal="center" shrinkToFit="0" vertical="center" wrapText="1"/>
    </xf>
    <xf quotePrefix="1" borderId="6" fillId="9" fontId="2" numFmtId="0" xfId="0" applyAlignment="1" applyBorder="1" applyFill="1" applyFont="1">
      <alignment horizontal="center" readingOrder="0" shrinkToFit="0" vertical="center" wrapText="1"/>
    </xf>
    <xf borderId="6" fillId="0" fontId="3" numFmtId="0" xfId="0" applyAlignment="1" applyBorder="1" applyFont="1">
      <alignment horizontal="center" readingOrder="0" shrinkToFit="0" vertical="center" wrapText="1"/>
    </xf>
    <xf borderId="6" fillId="2" fontId="3" numFmtId="164" xfId="0" applyAlignment="1" applyBorder="1" applyFill="1" applyFont="1" applyNumberFormat="1">
      <alignment horizontal="right" readingOrder="0" vertical="center"/>
    </xf>
    <xf borderId="4" fillId="2" fontId="1" numFmtId="0" xfId="0" applyAlignment="1" applyBorder="1" applyFill="1" applyFont="1">
      <alignment readingOrder="0" vertical="center"/>
    </xf>
    <xf borderId="6" fillId="0" fontId="18" numFmtId="165" xfId="0" applyAlignment="1" applyBorder="1" applyFont="1" applyNumberFormat="1">
      <alignment horizontal="right" readingOrder="1" vertical="center"/>
    </xf>
    <xf borderId="6" fillId="7" fontId="15" numFmtId="165" xfId="0" applyAlignment="1" applyBorder="1" applyFill="1" applyFont="1" applyNumberFormat="1">
      <alignment horizontal="right" readingOrder="1" vertical="center"/>
    </xf>
    <xf borderId="6" fillId="0" fontId="12" numFmtId="0" xfId="0" applyAlignment="1" applyBorder="1" applyFont="1">
      <alignment readingOrder="0" shrinkToFit="0" vertical="center" wrapText="1"/>
    </xf>
    <xf borderId="6" fillId="9" fontId="2" numFmtId="49" xfId="0" applyAlignment="1" applyBorder="1" applyFill="1" applyFont="1" applyNumberFormat="1">
      <alignment horizontal="center" vertical="center"/>
    </xf>
    <xf borderId="8" fillId="9" fontId="2" numFmtId="0" xfId="0" applyAlignment="1" applyBorder="1" applyFill="1" applyFont="1">
      <alignment horizontal="center" vertical="center"/>
    </xf>
    <xf quotePrefix="1" borderId="6" fillId="9" fontId="2" numFmtId="49" xfId="0" applyAlignment="1" applyBorder="1" applyFill="1" applyFont="1" applyNumberFormat="1">
      <alignment horizontal="center" readingOrder="0" shrinkToFit="0" vertical="center" wrapText="1"/>
    </xf>
    <xf quotePrefix="1" borderId="6" fillId="9" fontId="2" numFmtId="0" xfId="0" applyAlignment="1" applyBorder="1" applyFill="1" applyFont="1">
      <alignment horizontal="center" shrinkToFit="0" vertical="center" wrapText="1"/>
    </xf>
    <xf borderId="6" fillId="0" fontId="12" numFmtId="165" xfId="0" applyAlignment="1" applyBorder="1" applyFont="1" applyNumberFormat="1">
      <alignment horizontal="right" readingOrder="0" vertical="center"/>
    </xf>
    <xf borderId="6" fillId="2" fontId="2" numFmtId="165" xfId="0" applyAlignment="1" applyBorder="1" applyFill="1" applyFont="1" applyNumberFormat="1">
      <alignment horizontal="right" readingOrder="0" shrinkToFit="0" vertical="center" wrapText="1"/>
    </xf>
    <xf borderId="6" fillId="9" fontId="2" numFmtId="0" xfId="0" applyAlignment="1" applyBorder="1" applyFill="1" applyFont="1">
      <alignment horizontal="center" shrinkToFit="0" vertical="center" wrapText="1"/>
    </xf>
    <xf borderId="6" fillId="2" fontId="3" numFmtId="164" xfId="0" applyAlignment="1" applyBorder="1" applyFill="1" applyFont="1" applyNumberFormat="1">
      <alignment horizontal="center" shrinkToFit="0" vertical="center" wrapText="1"/>
    </xf>
    <xf borderId="6" fillId="4" fontId="3" numFmtId="165" xfId="0" applyAlignment="1" applyBorder="1" applyFill="1" applyFont="1" applyNumberFormat="1">
      <alignment horizontal="right" readingOrder="0" shrinkToFit="0" vertical="center" wrapText="1"/>
    </xf>
    <xf quotePrefix="1" borderId="6" fillId="9" fontId="2" numFmtId="49" xfId="0" applyAlignment="1" applyBorder="1" applyFill="1" applyFont="1" applyNumberFormat="1">
      <alignment horizontal="center" vertical="center"/>
    </xf>
    <xf borderId="6" fillId="9" fontId="16" numFmtId="0" xfId="0" applyAlignment="1" applyBorder="1" applyFill="1" applyFont="1">
      <alignment readingOrder="0" shrinkToFit="0" vertical="center" wrapText="1"/>
    </xf>
    <xf borderId="6" fillId="4" fontId="3" numFmtId="0" xfId="0" applyAlignment="1" applyBorder="1" applyFill="1" applyFont="1">
      <alignment shrinkToFit="0" vertical="center" wrapText="1"/>
    </xf>
    <xf borderId="6" fillId="7" fontId="3" numFmtId="49" xfId="0" applyAlignment="1" applyBorder="1" applyFill="1" applyFont="1" applyNumberFormat="1">
      <alignment vertical="center"/>
    </xf>
    <xf quotePrefix="1" borderId="6" fillId="9" fontId="2" numFmtId="0" xfId="0" applyAlignment="1" applyBorder="1" applyFill="1" applyFont="1">
      <alignment vertical="center"/>
    </xf>
    <xf borderId="6" fillId="7" fontId="2" numFmtId="168" xfId="0" applyAlignment="1" applyBorder="1" applyFill="1" applyFont="1" applyNumberFormat="1">
      <alignment readingOrder="0" vertical="center"/>
    </xf>
    <xf borderId="6" fillId="7" fontId="14" numFmtId="0" xfId="0" applyAlignment="1" applyBorder="1" applyFill="1" applyFont="1">
      <alignment horizontal="center" shrinkToFit="0" vertical="center" wrapText="1"/>
    </xf>
    <xf borderId="6" fillId="7" fontId="17" numFmtId="0" xfId="0" applyAlignment="1" applyBorder="1" applyFill="1" applyFont="1">
      <alignment shrinkToFit="0" vertical="center" wrapText="1"/>
    </xf>
    <xf borderId="7" fillId="7" fontId="2" numFmtId="0" xfId="0" applyAlignment="1" applyBorder="1" applyFill="1" applyFont="1">
      <alignment horizontal="center" shrinkToFit="0" vertical="center" wrapText="1"/>
    </xf>
    <xf borderId="6" fillId="7" fontId="3" numFmtId="164" xfId="0" applyAlignment="1" applyBorder="1" applyFill="1" applyFont="1" applyNumberFormat="1">
      <alignment horizontal="right" shrinkToFit="0" vertical="center" wrapText="1"/>
    </xf>
    <xf borderId="6" fillId="7" fontId="3" numFmtId="165" xfId="0" applyAlignment="1" applyBorder="1" applyFill="1" applyFont="1" applyNumberFormat="1">
      <alignment horizontal="right" vertical="center"/>
    </xf>
    <xf borderId="6" fillId="7" fontId="3" numFmtId="164" xfId="0" applyAlignment="1" applyBorder="1" applyFill="1" applyFont="1" applyNumberFormat="1">
      <alignment horizontal="right" readingOrder="0" vertical="center"/>
    </xf>
    <xf borderId="6" fillId="7" fontId="18" numFmtId="165" xfId="0" applyAlignment="1" applyBorder="1" applyFill="1" applyFont="1" applyNumberFormat="1">
      <alignment horizontal="left" readingOrder="1" vertical="center"/>
    </xf>
    <xf borderId="6" fillId="7" fontId="3" numFmtId="166" xfId="0" applyAlignment="1" applyBorder="1" applyFill="1" applyFont="1" applyNumberFormat="1">
      <alignment horizontal="center" readingOrder="0" vertical="center"/>
    </xf>
    <xf borderId="6" fillId="4" fontId="19" numFmtId="0" xfId="0" applyAlignment="1" applyBorder="1" applyFill="1" applyFont="1">
      <alignment readingOrder="0" shrinkToFit="0" vertical="center" wrapText="0"/>
    </xf>
    <xf borderId="1" fillId="2" fontId="1" numFmtId="0" xfId="0" applyAlignment="1" applyBorder="1" applyFill="1" applyFont="1">
      <alignment readingOrder="0"/>
    </xf>
    <xf borderId="7" fillId="0" fontId="2" numFmtId="0" xfId="0" applyAlignment="1" applyBorder="1" applyFont="1">
      <alignment horizontal="center" vertical="center"/>
    </xf>
    <xf borderId="6" fillId="4" fontId="3" numFmtId="0" xfId="0" applyAlignment="1" applyBorder="1" applyFill="1" applyFont="1">
      <alignment shrinkToFit="0" vertical="center" wrapText="1"/>
    </xf>
    <xf borderId="6" fillId="2" fontId="2" numFmtId="49" xfId="0" applyAlignment="1" applyBorder="1" applyFill="1" applyFont="1" applyNumberFormat="1">
      <alignment horizontal="center" readingOrder="0" vertical="center"/>
    </xf>
    <xf borderId="6" fillId="9" fontId="3" numFmtId="164" xfId="0" applyAlignment="1" applyBorder="1" applyFill="1" applyFont="1" applyNumberFormat="1">
      <alignment horizontal="right" shrinkToFit="0" vertical="center" wrapText="1"/>
    </xf>
    <xf borderId="6" fillId="9" fontId="3" numFmtId="164" xfId="0" applyAlignment="1" applyBorder="1" applyFill="1" applyFont="1" applyNumberFormat="1">
      <alignment horizontal="center" shrinkToFit="0" vertical="center" wrapText="1"/>
    </xf>
    <xf borderId="8" fillId="2" fontId="3" numFmtId="164" xfId="0" applyAlignment="1" applyBorder="1" applyFill="1" applyFont="1" applyNumberFormat="1">
      <alignment vertical="center"/>
    </xf>
    <xf borderId="6" fillId="0" fontId="14" numFmtId="0" xfId="0" applyAlignment="1" applyBorder="1" applyFont="1">
      <alignment horizontal="center" shrinkToFit="0" vertical="center" wrapText="0"/>
    </xf>
    <xf borderId="7" fillId="9" fontId="2" numFmtId="0" xfId="0" applyAlignment="1" applyBorder="1" applyFill="1" applyFont="1">
      <alignment horizontal="center" shrinkToFit="0" vertical="center" wrapText="0"/>
    </xf>
    <xf borderId="6" fillId="0" fontId="3" numFmtId="164" xfId="0" applyAlignment="1" applyBorder="1" applyFont="1" applyNumberFormat="1">
      <alignment horizontal="right" shrinkToFit="0" vertical="center" wrapText="0"/>
    </xf>
    <xf borderId="6" fillId="0" fontId="3" numFmtId="164" xfId="0" applyAlignment="1" applyBorder="1" applyFont="1" applyNumberFormat="1">
      <alignment horizontal="center" shrinkToFit="0" vertical="center" wrapText="0"/>
    </xf>
    <xf borderId="6" fillId="2" fontId="2" numFmtId="49" xfId="0" applyAlignment="1" applyBorder="1" applyFill="1" applyFont="1" applyNumberFormat="1">
      <alignment horizontal="center" readingOrder="0" shrinkToFit="0" vertical="center" wrapText="1"/>
    </xf>
    <xf borderId="6" fillId="0" fontId="12" numFmtId="165" xfId="0" applyAlignment="1" applyBorder="1" applyFont="1" applyNumberFormat="1">
      <alignment horizontal="right" shrinkToFit="0" vertical="center" wrapText="0"/>
    </xf>
    <xf borderId="6" fillId="0" fontId="18" numFmtId="165" xfId="0" applyAlignment="1" applyBorder="1" applyFont="1" applyNumberFormat="1">
      <alignment horizontal="left" readingOrder="1" vertical="center"/>
    </xf>
    <xf borderId="6" fillId="0" fontId="12" numFmtId="165" xfId="0" applyAlignment="1" applyBorder="1" applyFont="1" applyNumberFormat="1">
      <alignment horizontal="right" vertical="center"/>
    </xf>
    <xf quotePrefix="1" borderId="6" fillId="9" fontId="2" numFmtId="49" xfId="0" applyAlignment="1" applyBorder="1" applyFill="1" applyFont="1" applyNumberFormat="1">
      <alignment vertical="center"/>
    </xf>
    <xf borderId="6" fillId="0" fontId="17" numFmtId="164" xfId="0" applyAlignment="1" applyBorder="1" applyFont="1" applyNumberFormat="1">
      <alignment readingOrder="0" vertical="center"/>
    </xf>
    <xf borderId="6" fillId="7" fontId="2" numFmtId="0" xfId="0" applyAlignment="1" applyBorder="1" applyFill="1" applyFont="1">
      <alignment horizontal="center" shrinkToFit="0" vertical="center" wrapText="1"/>
    </xf>
    <xf borderId="6" fillId="0" fontId="3" numFmtId="0" xfId="0" applyAlignment="1" applyBorder="1" applyFont="1">
      <alignment horizontal="center" shrinkToFit="0" vertical="center" wrapText="0"/>
    </xf>
    <xf borderId="6" fillId="0" fontId="12" numFmtId="165" xfId="0" applyAlignment="1" applyBorder="1" applyFont="1" applyNumberFormat="1">
      <alignment horizontal="right" readingOrder="0" shrinkToFit="0" vertical="center" wrapText="1"/>
    </xf>
    <xf borderId="6" fillId="0" fontId="14" numFmtId="0" xfId="0" applyAlignment="1" applyBorder="1" applyFont="1">
      <alignment horizontal="center" readingOrder="0" shrinkToFit="0" vertical="center" wrapText="0"/>
    </xf>
    <xf borderId="6" fillId="7" fontId="2" numFmtId="0" xfId="0" applyAlignment="1" applyBorder="1" applyFill="1" applyFont="1">
      <alignment horizontal="center" vertical="center"/>
    </xf>
    <xf borderId="6" fillId="0" fontId="2" numFmtId="165" xfId="0" applyAlignment="1" applyBorder="1" applyFont="1" applyNumberFormat="1">
      <alignment horizontal="right" shrinkToFit="0" vertical="center" wrapText="0"/>
    </xf>
    <xf borderId="6" fillId="0" fontId="12" numFmtId="167" xfId="0" applyAlignment="1" applyBorder="1" applyFont="1" applyNumberFormat="1">
      <alignment horizontal="right" readingOrder="0" vertical="center"/>
    </xf>
    <xf borderId="6" fillId="9" fontId="3" numFmtId="164" xfId="0" applyAlignment="1" applyBorder="1" applyFill="1" applyFont="1" applyNumberFormat="1">
      <alignment horizontal="center" vertical="center"/>
    </xf>
    <xf borderId="8" fillId="2" fontId="2" numFmtId="0" xfId="0" applyAlignment="1" applyBorder="1" applyFill="1" applyFont="1">
      <alignment horizontal="center" vertical="center"/>
    </xf>
    <xf borderId="6" fillId="0" fontId="3" numFmtId="0" xfId="0" applyAlignment="1" applyBorder="1" applyFont="1">
      <alignment horizontal="center" readingOrder="0" shrinkToFit="0" vertical="center" wrapText="0"/>
    </xf>
    <xf borderId="6" fillId="7" fontId="2" numFmtId="49" xfId="0" applyAlignment="1" applyBorder="1" applyFill="1" applyFont="1" applyNumberFormat="1">
      <alignment horizontal="center" vertical="center"/>
    </xf>
    <xf quotePrefix="1" borderId="6" fillId="7" fontId="2" numFmtId="165" xfId="0" applyAlignment="1" applyBorder="1" applyFill="1" applyFont="1" applyNumberFormat="1">
      <alignment horizontal="right" vertical="center"/>
    </xf>
    <xf borderId="6" fillId="0" fontId="20" numFmtId="0" xfId="0" applyAlignment="1" applyBorder="1" applyFont="1">
      <alignment horizontal="left" readingOrder="0" shrinkToFit="0" vertical="center" wrapText="0"/>
    </xf>
    <xf borderId="6" fillId="4" fontId="2" numFmtId="0" xfId="0" applyAlignment="1" applyBorder="1" applyFill="1" applyFont="1">
      <alignment horizontal="center" vertical="center"/>
    </xf>
    <xf borderId="6" fillId="4" fontId="3" numFmtId="0" xfId="0" applyAlignment="1" applyBorder="1" applyFill="1" applyFont="1">
      <alignment horizontal="center" vertical="center"/>
    </xf>
    <xf borderId="6" fillId="4" fontId="2" numFmtId="0" xfId="0" applyAlignment="1" applyBorder="1" applyFill="1" applyFont="1">
      <alignment vertical="center"/>
    </xf>
    <xf quotePrefix="1" borderId="6" fillId="4" fontId="2" numFmtId="0" xfId="0" applyAlignment="1" applyBorder="1" applyFill="1" applyFont="1">
      <alignment horizontal="center" vertical="center"/>
    </xf>
    <xf borderId="7" fillId="4" fontId="2" numFmtId="0" xfId="0" applyAlignment="1" applyBorder="1" applyFill="1" applyFont="1">
      <alignment horizontal="center" vertical="center"/>
    </xf>
    <xf borderId="6" fillId="4" fontId="3" numFmtId="164" xfId="0" applyAlignment="1" applyBorder="1" applyFill="1" applyFont="1" applyNumberFormat="1">
      <alignment vertical="center"/>
    </xf>
    <xf borderId="6" fillId="4" fontId="2" numFmtId="14" xfId="0" applyAlignment="1" applyBorder="1" applyFill="1" applyFont="1" applyNumberFormat="1">
      <alignment horizontal="right" vertical="center"/>
    </xf>
    <xf borderId="6" fillId="0" fontId="12" numFmtId="0" xfId="0" applyAlignment="1" applyBorder="1" applyFont="1">
      <alignment horizontal="left" readingOrder="0" shrinkToFit="0" vertical="center" wrapText="1"/>
    </xf>
    <xf borderId="6" fillId="4" fontId="3" numFmtId="14" xfId="0" applyAlignment="1" applyBorder="1" applyFill="1" applyFont="1" applyNumberFormat="1">
      <alignment horizontal="right" vertical="center"/>
    </xf>
    <xf borderId="8" fillId="2" fontId="2" numFmtId="0" xfId="0" applyAlignment="1" applyBorder="1" applyFill="1" applyFont="1">
      <alignment horizontal="center" readingOrder="0" vertical="center"/>
    </xf>
    <xf borderId="6" fillId="4" fontId="12" numFmtId="0" xfId="0" applyAlignment="1" applyBorder="1" applyFill="1" applyFont="1">
      <alignment horizontal="center" shrinkToFit="0" vertical="center" wrapText="1"/>
    </xf>
    <xf borderId="6" fillId="2" fontId="1" numFmtId="0" xfId="0" applyBorder="1" applyFill="1" applyFont="1"/>
    <xf borderId="6" fillId="0" fontId="21" numFmtId="0" xfId="0" applyAlignment="1" applyBorder="1" applyFont="1">
      <alignment horizontal="left" readingOrder="0" shrinkToFit="0" vertical="center" wrapText="0"/>
    </xf>
    <xf borderId="9" fillId="2" fontId="1" numFmtId="0" xfId="0" applyBorder="1" applyFill="1" applyFont="1"/>
    <xf borderId="1" fillId="2" fontId="22" numFmtId="0" xfId="0" applyAlignment="1" applyBorder="1" applyFill="1" applyFont="1">
      <alignment horizontal="center" vertical="center"/>
    </xf>
    <xf borderId="6" fillId="9" fontId="18" numFmtId="169" xfId="0" applyAlignment="1" applyBorder="1" applyFill="1" applyFont="1" applyNumberFormat="1">
      <alignment horizontal="right" readingOrder="0" vertical="center"/>
    </xf>
    <xf borderId="6" fillId="2" fontId="16" numFmtId="49" xfId="0" applyAlignment="1" applyBorder="1" applyFill="1" applyFont="1" applyNumberFormat="1">
      <alignment readingOrder="0" vertical="center"/>
    </xf>
    <xf borderId="6" fillId="0" fontId="15" numFmtId="165" xfId="0" applyAlignment="1" applyBorder="1" applyFont="1" applyNumberFormat="1">
      <alignment horizontal="right" readingOrder="1" shrinkToFit="0" vertical="center" wrapText="0"/>
    </xf>
    <xf borderId="6" fillId="9" fontId="2" numFmtId="0" xfId="0" applyAlignment="1" applyBorder="1" applyFill="1" applyFont="1">
      <alignment horizontal="center" shrinkToFit="0" vertical="center" wrapText="0"/>
    </xf>
    <xf borderId="6" fillId="9" fontId="23" numFmtId="0" xfId="0" applyAlignment="1" applyBorder="1" applyFill="1" applyFont="1">
      <alignment horizontal="left" readingOrder="0" vertical="center"/>
    </xf>
    <xf borderId="8" fillId="6" fontId="3" numFmtId="166" xfId="0" applyAlignment="1" applyBorder="1" applyFill="1" applyFont="1" applyNumberFormat="1">
      <alignment horizontal="center" vertical="center"/>
    </xf>
    <xf borderId="6" fillId="9" fontId="2" numFmtId="49" xfId="0" applyAlignment="1" applyBorder="1" applyFill="1" applyFont="1" applyNumberFormat="1">
      <alignment horizontal="center" shrinkToFit="0" vertical="center" wrapText="0"/>
    </xf>
    <xf borderId="6" fillId="9" fontId="3" numFmtId="164" xfId="0" applyAlignment="1" applyBorder="1" applyFill="1" applyFont="1" applyNumberFormat="1">
      <alignment horizontal="center" shrinkToFit="0" vertical="center" wrapText="0"/>
    </xf>
    <xf borderId="8" fillId="6" fontId="3" numFmtId="166" xfId="0" applyAlignment="1" applyBorder="1" applyFill="1" applyFont="1" applyNumberFormat="1">
      <alignment horizontal="center" readingOrder="0" vertical="center"/>
    </xf>
    <xf quotePrefix="1" borderId="6" fillId="4" fontId="2" numFmtId="49" xfId="0" applyAlignment="1" applyBorder="1" applyFill="1" applyFont="1" applyNumberFormat="1">
      <alignment horizontal="center" vertical="center"/>
    </xf>
    <xf borderId="6" fillId="2" fontId="3" numFmtId="0" xfId="0" applyAlignment="1" applyBorder="1" applyFill="1" applyFont="1">
      <alignment shrinkToFit="0" vertical="center" wrapText="1"/>
    </xf>
    <xf borderId="9" fillId="2" fontId="3" numFmtId="0" xfId="0" applyAlignment="1" applyBorder="1" applyFill="1" applyFont="1">
      <alignment shrinkToFit="0" vertical="center" wrapText="1"/>
    </xf>
    <xf borderId="0" fillId="0" fontId="24" numFmtId="49" xfId="0" applyFont="1" applyNumberFormat="1"/>
    <xf borderId="0" fillId="0" fontId="25" numFmtId="0" xfId="0" applyFont="1"/>
    <xf borderId="0" fillId="0" fontId="2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4</xdr:row>
      <xdr:rowOff>9525</xdr:rowOff>
    </xdr:from>
    <xdr:ext cx="3267075" cy="361950"/>
    <xdr:sp>
      <xdr:nvSpPr>
        <xdr:cNvPr id="3" name="Shape 3"/>
        <xdr:cNvSpPr txBox="1"/>
      </xdr:nvSpPr>
      <xdr:spPr>
        <a:xfrm>
          <a:off x="3717225" y="3603788"/>
          <a:ext cx="3257550" cy="352425"/>
        </a:xfrm>
        <a:prstGeom prst="rect">
          <a:avLst/>
        </a:prstGeom>
        <a:solidFill>
          <a:srgbClr val="BFBFBF"/>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800"/>
            <a:buFont typeface="Times New Roman"/>
            <a:buNone/>
          </a:pPr>
          <a:r>
            <a:rPr b="1" lang="en-US" sz="1800" u="sng">
              <a:solidFill>
                <a:schemeClr val="dk1"/>
              </a:solidFill>
              <a:latin typeface="Times New Roman"/>
              <a:ea typeface="Times New Roman"/>
              <a:cs typeface="Times New Roman"/>
              <a:sym typeface="Times New Roman"/>
            </a:rPr>
            <a:t>Booking Status &amp; EMI Detail:</a:t>
          </a:r>
          <a:endParaRPr b="1" sz="1800" u="sng">
            <a:latin typeface="Times New Roman"/>
            <a:ea typeface="Times New Roman"/>
            <a:cs typeface="Times New Roman"/>
            <a:sym typeface="Times New Roman"/>
          </a:endParaRPr>
        </a:p>
      </xdr:txBody>
    </xdr:sp>
    <xdr:clientData fLocksWithSheet="0"/>
  </xdr:oneCellAnchor>
  <xdr:oneCellAnchor>
    <xdr:from>
      <xdr:col>1</xdr:col>
      <xdr:colOff>533400</xdr:colOff>
      <xdr:row>1</xdr:row>
      <xdr:rowOff>0</xdr:rowOff>
    </xdr:from>
    <xdr:ext cx="1285875" cy="1038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66675</xdr:colOff>
      <xdr:row>4</xdr:row>
      <xdr:rowOff>9525</xdr:rowOff>
    </xdr:from>
    <xdr:ext cx="3267075" cy="361950"/>
    <xdr:sp>
      <xdr:nvSpPr>
        <xdr:cNvPr id="3" name="Shape 3"/>
        <xdr:cNvSpPr txBox="1"/>
      </xdr:nvSpPr>
      <xdr:spPr>
        <a:xfrm>
          <a:off x="3717225" y="3603788"/>
          <a:ext cx="3257550" cy="352425"/>
        </a:xfrm>
        <a:prstGeom prst="rect">
          <a:avLst/>
        </a:prstGeom>
        <a:solidFill>
          <a:srgbClr val="BFBFBF"/>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800"/>
            <a:buFont typeface="Times New Roman"/>
            <a:buNone/>
          </a:pPr>
          <a:r>
            <a:rPr b="1" lang="en-US" sz="1800" u="sng">
              <a:solidFill>
                <a:schemeClr val="dk1"/>
              </a:solidFill>
              <a:latin typeface="Times New Roman"/>
              <a:ea typeface="Times New Roman"/>
              <a:cs typeface="Times New Roman"/>
              <a:sym typeface="Times New Roman"/>
            </a:rPr>
            <a:t>Booking Status &amp; EMI Detail:</a:t>
          </a:r>
          <a:endParaRPr b="1" sz="1800" u="sng">
            <a:latin typeface="Times New Roman"/>
            <a:ea typeface="Times New Roman"/>
            <a:cs typeface="Times New Roman"/>
            <a:sym typeface="Times New Roman"/>
          </a:endParaRPr>
        </a:p>
      </xdr:txBody>
    </xdr:sp>
    <xdr:clientData fLocksWithSheet="0"/>
  </xdr:oneCellAnchor>
  <xdr:oneCellAnchor>
    <xdr:from>
      <xdr:col>1</xdr:col>
      <xdr:colOff>533400</xdr:colOff>
      <xdr:row>1</xdr:row>
      <xdr:rowOff>0</xdr:rowOff>
    </xdr:from>
    <xdr:ext cx="1285875" cy="10382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3.29"/>
    <col customWidth="1" min="2" max="2" width="11.71"/>
    <col customWidth="1" min="3" max="3" width="11.0"/>
    <col customWidth="1" min="4" max="4" width="10.57"/>
    <col customWidth="1" min="5" max="5" width="11.0"/>
    <col customWidth="1" min="6" max="7" width="4.71"/>
    <col customWidth="1" min="8" max="9" width="9.57"/>
    <col customWidth="1" min="10" max="10" width="8.29"/>
    <col customWidth="1" min="11" max="11" width="7.86"/>
    <col customWidth="1" min="12" max="12" width="8.29"/>
    <col customWidth="1" min="13" max="13" width="7.71"/>
    <col customWidth="1" min="14" max="14" width="8.43"/>
    <col customWidth="1" min="15" max="15" width="8.29"/>
    <col customWidth="1" min="16" max="16" width="5.0"/>
    <col customWidth="1" min="17" max="17" width="8.29"/>
    <col customWidth="1" min="18" max="18" width="10.86"/>
    <col customWidth="1" min="19" max="19" width="22.43"/>
    <col customWidth="1" min="20" max="21" width="9.14"/>
    <col customWidth="1" min="22" max="26" width="8.71"/>
  </cols>
  <sheetData>
    <row r="1" ht="12.75" customHeight="1">
      <c r="A1" s="1" t="s">
        <v>0</v>
      </c>
      <c r="B1" s="2"/>
      <c r="C1" s="3"/>
      <c r="D1" s="2"/>
      <c r="E1" s="5"/>
      <c r="F1" s="4"/>
      <c r="G1" s="4"/>
      <c r="H1" s="4"/>
      <c r="I1" s="6"/>
      <c r="J1" s="4"/>
      <c r="K1" s="4"/>
      <c r="L1" s="6"/>
      <c r="M1" s="4"/>
      <c r="N1" s="4"/>
      <c r="O1" s="4"/>
      <c r="P1" s="4"/>
      <c r="Q1" s="4"/>
      <c r="R1" s="2"/>
      <c r="S1" s="7"/>
      <c r="T1" s="4"/>
      <c r="U1" s="4"/>
      <c r="V1" s="4"/>
      <c r="W1" s="4"/>
      <c r="X1" s="4"/>
      <c r="Y1" s="4"/>
      <c r="Z1" s="4"/>
    </row>
    <row r="2" ht="24.0" customHeight="1">
      <c r="A2" s="8" t="s">
        <v>1</v>
      </c>
      <c r="B2" s="9"/>
      <c r="C2" s="9"/>
      <c r="D2" s="9"/>
      <c r="E2" s="9"/>
      <c r="F2" s="9"/>
      <c r="G2" s="9"/>
      <c r="H2" s="9"/>
      <c r="I2" s="9"/>
      <c r="J2" s="9"/>
      <c r="K2" s="9"/>
      <c r="L2" s="9"/>
      <c r="M2" s="9"/>
      <c r="N2" s="9"/>
      <c r="O2" s="9"/>
      <c r="P2" s="9"/>
      <c r="Q2" s="9"/>
      <c r="R2" s="10"/>
      <c r="S2" s="7"/>
      <c r="T2" s="4"/>
      <c r="U2" s="4"/>
      <c r="V2" s="4"/>
      <c r="W2" s="4"/>
      <c r="X2" s="4"/>
      <c r="Y2" s="4"/>
      <c r="Z2" s="4"/>
    </row>
    <row r="3" ht="16.5" customHeight="1">
      <c r="A3" s="11" t="s">
        <v>2</v>
      </c>
      <c r="B3" s="9"/>
      <c r="C3" s="9"/>
      <c r="D3" s="9"/>
      <c r="E3" s="9"/>
      <c r="F3" s="9"/>
      <c r="G3" s="9"/>
      <c r="H3" s="9"/>
      <c r="I3" s="9"/>
      <c r="J3" s="9"/>
      <c r="K3" s="9"/>
      <c r="L3" s="9"/>
      <c r="M3" s="9"/>
      <c r="N3" s="9"/>
      <c r="O3" s="9"/>
      <c r="P3" s="9"/>
      <c r="Q3" s="9"/>
      <c r="R3" s="10"/>
      <c r="S3" s="7"/>
      <c r="T3" s="4"/>
      <c r="U3" s="4"/>
      <c r="V3" s="4"/>
      <c r="W3" s="4"/>
      <c r="X3" s="4"/>
      <c r="Y3" s="4"/>
      <c r="Z3" s="4"/>
    </row>
    <row r="4" ht="16.5" customHeight="1">
      <c r="A4" s="12" t="s">
        <v>3</v>
      </c>
      <c r="B4" s="9"/>
      <c r="C4" s="9"/>
      <c r="D4" s="9"/>
      <c r="E4" s="9"/>
      <c r="F4" s="9"/>
      <c r="G4" s="9"/>
      <c r="H4" s="9"/>
      <c r="I4" s="9"/>
      <c r="J4" s="9"/>
      <c r="K4" s="9"/>
      <c r="L4" s="9"/>
      <c r="M4" s="9"/>
      <c r="N4" s="9"/>
      <c r="O4" s="9"/>
      <c r="P4" s="9"/>
      <c r="Q4" s="9"/>
      <c r="R4" s="10"/>
      <c r="S4" s="7"/>
      <c r="T4" s="4"/>
      <c r="U4" s="4"/>
      <c r="V4" s="4"/>
      <c r="W4" s="4"/>
      <c r="X4" s="4"/>
      <c r="Y4" s="4"/>
      <c r="Z4" s="4"/>
    </row>
    <row r="5" ht="34.5" customHeight="1">
      <c r="A5" s="3"/>
      <c r="B5" s="2"/>
      <c r="C5" s="3"/>
      <c r="D5" s="2"/>
      <c r="E5" s="5"/>
      <c r="F5" s="4"/>
      <c r="G5" s="4"/>
      <c r="H5" s="4"/>
      <c r="I5" s="6"/>
      <c r="J5" s="4"/>
      <c r="K5" s="4"/>
      <c r="L5" s="6"/>
      <c r="M5" s="4"/>
      <c r="N5" s="4"/>
      <c r="O5" s="4"/>
      <c r="P5" s="4"/>
      <c r="Q5" s="4"/>
      <c r="R5" s="2"/>
      <c r="S5" s="16"/>
      <c r="T5" s="4"/>
      <c r="U5" s="4"/>
      <c r="V5" s="4"/>
      <c r="W5" s="4"/>
      <c r="X5" s="4"/>
      <c r="Y5" s="4"/>
      <c r="Z5" s="4"/>
    </row>
    <row r="6" ht="42.0" customHeight="1">
      <c r="A6" s="14" t="s">
        <v>4</v>
      </c>
      <c r="B6" s="15" t="s">
        <v>5</v>
      </c>
      <c r="C6" s="15" t="s">
        <v>6</v>
      </c>
      <c r="D6" s="15" t="s">
        <v>7</v>
      </c>
      <c r="E6" s="19" t="s">
        <v>8</v>
      </c>
      <c r="F6" s="15" t="s">
        <v>9</v>
      </c>
      <c r="G6" s="15" t="s">
        <v>10</v>
      </c>
      <c r="H6" s="15" t="s">
        <v>11</v>
      </c>
      <c r="I6" s="15" t="s">
        <v>12</v>
      </c>
      <c r="J6" s="15" t="s">
        <v>13</v>
      </c>
      <c r="K6" s="15" t="s">
        <v>14</v>
      </c>
      <c r="L6" s="15" t="s">
        <v>15</v>
      </c>
      <c r="M6" s="15" t="s">
        <v>16</v>
      </c>
      <c r="N6" s="15" t="s">
        <v>17</v>
      </c>
      <c r="O6" s="15" t="s">
        <v>18</v>
      </c>
      <c r="P6" s="15" t="s">
        <v>19</v>
      </c>
      <c r="Q6" s="15" t="s">
        <v>20</v>
      </c>
      <c r="R6" s="15" t="s">
        <v>21</v>
      </c>
      <c r="S6" s="24" t="s">
        <v>22</v>
      </c>
      <c r="T6" s="18"/>
      <c r="U6" s="3"/>
      <c r="V6" s="3"/>
      <c r="W6" s="3"/>
      <c r="X6" s="3"/>
      <c r="Y6" s="3"/>
      <c r="Z6" s="3"/>
    </row>
    <row r="7" ht="34.5" customHeight="1">
      <c r="A7" s="27">
        <v>1.0</v>
      </c>
      <c r="B7" s="21" t="s">
        <v>28</v>
      </c>
      <c r="C7" s="22" t="s">
        <v>29</v>
      </c>
      <c r="D7" s="31" t="s">
        <v>30</v>
      </c>
      <c r="E7" s="33" t="s">
        <v>31</v>
      </c>
      <c r="F7" s="25" t="s">
        <v>27</v>
      </c>
      <c r="G7" s="26">
        <v>2.0</v>
      </c>
      <c r="H7" s="28">
        <v>900000.0</v>
      </c>
      <c r="I7" s="29">
        <v>46019.0</v>
      </c>
      <c r="J7" s="30">
        <v>46050.0</v>
      </c>
      <c r="K7" s="32">
        <v>10000.0</v>
      </c>
      <c r="L7" s="38">
        <v>46151.0</v>
      </c>
      <c r="M7" s="40">
        <v>46109.0</v>
      </c>
      <c r="N7" s="42">
        <v>46140.0</v>
      </c>
      <c r="O7" s="36">
        <v>46137.0</v>
      </c>
      <c r="P7" s="37">
        <v>6.0</v>
      </c>
      <c r="Q7" s="49">
        <f t="shared" ref="Q7:Q18" si="1">K7*P7</f>
        <v>60000</v>
      </c>
      <c r="R7" s="51" t="s">
        <v>35</v>
      </c>
      <c r="S7" s="52" t="s">
        <v>36</v>
      </c>
      <c r="T7" s="44"/>
      <c r="U7" s="4"/>
      <c r="V7" s="4"/>
      <c r="W7" s="4"/>
      <c r="X7" s="4"/>
      <c r="Y7" s="4"/>
      <c r="Z7" s="4"/>
    </row>
    <row r="8" ht="34.5" customHeight="1">
      <c r="A8" s="27">
        <v>2.0</v>
      </c>
      <c r="B8" s="54" t="s">
        <v>37</v>
      </c>
      <c r="C8" s="22" t="s">
        <v>38</v>
      </c>
      <c r="D8" s="22" t="s">
        <v>40</v>
      </c>
      <c r="E8" s="33" t="s">
        <v>41</v>
      </c>
      <c r="F8" s="25" t="s">
        <v>27</v>
      </c>
      <c r="G8" s="26">
        <v>1.0</v>
      </c>
      <c r="H8" s="28">
        <v>700000.0</v>
      </c>
      <c r="I8" s="29">
        <v>46044.0</v>
      </c>
      <c r="J8" s="30">
        <v>46127.0</v>
      </c>
      <c r="K8" s="32">
        <v>10000.0</v>
      </c>
      <c r="L8" s="38">
        <v>46051.0</v>
      </c>
      <c r="M8" s="40"/>
      <c r="N8" s="42">
        <v>46127.0</v>
      </c>
      <c r="O8" s="42">
        <v>46124.0</v>
      </c>
      <c r="P8" s="57">
        <v>6.0</v>
      </c>
      <c r="Q8" s="58">
        <f t="shared" si="1"/>
        <v>60000</v>
      </c>
      <c r="R8" s="60" t="s">
        <v>46</v>
      </c>
      <c r="S8" s="62" t="s">
        <v>47</v>
      </c>
      <c r="T8" s="44"/>
      <c r="U8" s="4"/>
      <c r="V8" s="4"/>
      <c r="W8" s="4"/>
      <c r="X8" s="4"/>
      <c r="Y8" s="4"/>
      <c r="Z8" s="4"/>
    </row>
    <row r="9" ht="34.5" customHeight="1">
      <c r="A9" s="27">
        <v>3.0</v>
      </c>
      <c r="B9" s="64" t="s">
        <v>49</v>
      </c>
      <c r="C9" s="46" t="s">
        <v>51</v>
      </c>
      <c r="D9" s="46" t="s">
        <v>59</v>
      </c>
      <c r="E9" s="67" t="s">
        <v>61</v>
      </c>
      <c r="F9" s="48" t="s">
        <v>27</v>
      </c>
      <c r="G9" s="50">
        <v>1.0</v>
      </c>
      <c r="H9" s="70">
        <v>500000.0</v>
      </c>
      <c r="I9" s="38">
        <v>45915.0</v>
      </c>
      <c r="J9" s="30">
        <v>45950.0</v>
      </c>
      <c r="K9" s="32">
        <v>10000.0</v>
      </c>
      <c r="L9" s="72">
        <v>46215.0</v>
      </c>
      <c r="M9" s="35">
        <v>46132.0</v>
      </c>
      <c r="N9" s="74">
        <v>46162.0</v>
      </c>
      <c r="O9" s="74">
        <v>46159.0</v>
      </c>
      <c r="P9" s="37">
        <v>5.0</v>
      </c>
      <c r="Q9" s="49">
        <f t="shared" si="1"/>
        <v>50000</v>
      </c>
      <c r="R9" s="55" t="s">
        <v>71</v>
      </c>
      <c r="S9" s="62" t="s">
        <v>72</v>
      </c>
      <c r="T9" s="44"/>
      <c r="U9" s="69"/>
      <c r="V9" s="4"/>
      <c r="W9" s="4"/>
      <c r="X9" s="4"/>
      <c r="Y9" s="4"/>
      <c r="Z9" s="4"/>
    </row>
    <row r="10" ht="34.5" customHeight="1">
      <c r="A10" s="27">
        <v>4.0</v>
      </c>
      <c r="B10" s="54" t="s">
        <v>74</v>
      </c>
      <c r="C10" s="22" t="s">
        <v>75</v>
      </c>
      <c r="D10" s="22" t="s">
        <v>76</v>
      </c>
      <c r="E10" s="33" t="s">
        <v>77</v>
      </c>
      <c r="F10" s="25" t="s">
        <v>27</v>
      </c>
      <c r="G10" s="26">
        <v>1.0</v>
      </c>
      <c r="H10" s="28">
        <v>400000.0</v>
      </c>
      <c r="I10" s="29">
        <v>46043.0</v>
      </c>
      <c r="J10" s="30">
        <v>46078.0</v>
      </c>
      <c r="K10" s="32">
        <v>5000.0</v>
      </c>
      <c r="L10" s="34">
        <v>46274.0</v>
      </c>
      <c r="M10" s="35">
        <v>46182.0</v>
      </c>
      <c r="N10" s="68">
        <v>46228.0</v>
      </c>
      <c r="O10" s="68">
        <v>46225.0</v>
      </c>
      <c r="P10" s="37">
        <v>3.0</v>
      </c>
      <c r="Q10" s="49">
        <f t="shared" si="1"/>
        <v>15000</v>
      </c>
      <c r="R10" s="41" t="s">
        <v>79</v>
      </c>
      <c r="S10" s="62" t="s">
        <v>80</v>
      </c>
      <c r="T10" s="44"/>
      <c r="U10" s="4"/>
      <c r="V10" s="4"/>
      <c r="W10" s="4"/>
      <c r="X10" s="4"/>
      <c r="Y10" s="4"/>
      <c r="Z10" s="4"/>
    </row>
    <row r="11" ht="34.5" customHeight="1">
      <c r="A11" s="27">
        <v>5.0</v>
      </c>
      <c r="B11" s="64"/>
      <c r="C11" s="46" t="s">
        <v>51</v>
      </c>
      <c r="D11" s="76" t="s">
        <v>81</v>
      </c>
      <c r="E11" s="77" t="s">
        <v>82</v>
      </c>
      <c r="F11" s="79" t="s">
        <v>27</v>
      </c>
      <c r="G11" s="80">
        <v>1.0</v>
      </c>
      <c r="H11" s="82">
        <v>600000.0</v>
      </c>
      <c r="I11" s="83">
        <v>46166.0</v>
      </c>
      <c r="J11" s="84">
        <v>46193.0</v>
      </c>
      <c r="K11" s="85">
        <v>9750.0</v>
      </c>
      <c r="L11" s="86" t="s">
        <v>91</v>
      </c>
      <c r="M11" s="40"/>
      <c r="N11" s="74">
        <v>46193.0</v>
      </c>
      <c r="O11" s="74">
        <v>46190.0</v>
      </c>
      <c r="P11" s="57">
        <v>4.0</v>
      </c>
      <c r="Q11" s="88">
        <f t="shared" si="1"/>
        <v>39000</v>
      </c>
      <c r="R11" s="60" t="s">
        <v>46</v>
      </c>
      <c r="S11" s="62" t="s">
        <v>47</v>
      </c>
      <c r="T11" s="44"/>
      <c r="U11" s="4"/>
      <c r="V11" s="4"/>
      <c r="W11" s="4"/>
      <c r="X11" s="4"/>
      <c r="Y11" s="4"/>
      <c r="Z11" s="4"/>
    </row>
    <row r="12" ht="34.5" customHeight="1">
      <c r="A12" s="27">
        <v>6.0</v>
      </c>
      <c r="B12" s="64"/>
      <c r="C12" s="46" t="s">
        <v>90</v>
      </c>
      <c r="D12" s="76" t="s">
        <v>96</v>
      </c>
      <c r="E12" s="89" t="s">
        <v>97</v>
      </c>
      <c r="F12" s="91" t="s">
        <v>100</v>
      </c>
      <c r="G12" s="94">
        <v>1.0</v>
      </c>
      <c r="H12" s="95">
        <v>250000.0</v>
      </c>
      <c r="I12" s="83">
        <v>46167.0</v>
      </c>
      <c r="J12" s="30">
        <v>46193.0</v>
      </c>
      <c r="K12" s="32">
        <v>5000.0</v>
      </c>
      <c r="L12" s="38"/>
      <c r="M12" s="40"/>
      <c r="N12" s="74">
        <v>46193.0</v>
      </c>
      <c r="O12" s="74">
        <v>46190.0</v>
      </c>
      <c r="P12" s="57">
        <v>4.0</v>
      </c>
      <c r="Q12" s="88">
        <f t="shared" si="1"/>
        <v>20000</v>
      </c>
      <c r="R12" s="60" t="s">
        <v>46</v>
      </c>
      <c r="S12" s="62" t="s">
        <v>103</v>
      </c>
      <c r="T12" s="44"/>
      <c r="U12" s="4"/>
      <c r="V12" s="4"/>
      <c r="W12" s="4"/>
      <c r="X12" s="4"/>
      <c r="Y12" s="4"/>
      <c r="Z12" s="4"/>
    </row>
    <row r="13" ht="34.5" customHeight="1">
      <c r="A13" s="27">
        <v>7.0</v>
      </c>
      <c r="B13" s="97" t="s">
        <v>104</v>
      </c>
      <c r="C13" s="66" t="s">
        <v>109</v>
      </c>
      <c r="D13" s="66" t="s">
        <v>110</v>
      </c>
      <c r="E13" s="99"/>
      <c r="F13" s="48" t="s">
        <v>27</v>
      </c>
      <c r="G13" s="94">
        <v>1.0</v>
      </c>
      <c r="H13" s="94">
        <v>500000.0</v>
      </c>
      <c r="I13" s="100">
        <v>45991.0</v>
      </c>
      <c r="J13" s="30">
        <v>46042.0</v>
      </c>
      <c r="K13" s="32">
        <v>6600.0</v>
      </c>
      <c r="L13" s="72">
        <v>46217.0</v>
      </c>
      <c r="M13" s="35">
        <v>46162.0</v>
      </c>
      <c r="N13" s="68">
        <v>46193.0</v>
      </c>
      <c r="O13" s="68">
        <v>46190.0</v>
      </c>
      <c r="P13" s="37">
        <v>4.0</v>
      </c>
      <c r="Q13" s="26">
        <f t="shared" si="1"/>
        <v>26400</v>
      </c>
      <c r="R13" s="55" t="s">
        <v>79</v>
      </c>
      <c r="S13" s="62" t="s">
        <v>47</v>
      </c>
      <c r="T13" s="44"/>
      <c r="U13" s="4"/>
      <c r="V13" s="4"/>
      <c r="W13" s="4"/>
      <c r="X13" s="4"/>
      <c r="Y13" s="4"/>
      <c r="Z13" s="4"/>
    </row>
    <row r="14" ht="34.5" customHeight="1">
      <c r="A14" s="27">
        <v>8.0</v>
      </c>
      <c r="B14" s="21" t="s">
        <v>66</v>
      </c>
      <c r="C14" s="22" t="s">
        <v>67</v>
      </c>
      <c r="D14" s="65" t="s">
        <v>68</v>
      </c>
      <c r="E14" s="102" t="s">
        <v>69</v>
      </c>
      <c r="F14" s="25" t="s">
        <v>27</v>
      </c>
      <c r="G14" s="26">
        <v>1.0</v>
      </c>
      <c r="H14" s="28">
        <v>400000.0</v>
      </c>
      <c r="I14" s="29">
        <v>45867.0</v>
      </c>
      <c r="J14" s="30">
        <v>45889.0</v>
      </c>
      <c r="K14" s="32">
        <v>4000.0</v>
      </c>
      <c r="L14" s="34">
        <v>46155.0</v>
      </c>
      <c r="M14" s="104">
        <v>46193.0</v>
      </c>
      <c r="N14" s="68">
        <v>46223.0</v>
      </c>
      <c r="O14" s="68">
        <v>46218.0</v>
      </c>
      <c r="P14" s="37">
        <v>3.0</v>
      </c>
      <c r="Q14" s="49">
        <f t="shared" si="1"/>
        <v>12000</v>
      </c>
      <c r="R14" s="73" t="s">
        <v>70</v>
      </c>
      <c r="S14" s="62" t="s">
        <v>119</v>
      </c>
      <c r="T14" s="44"/>
      <c r="U14" s="4"/>
      <c r="V14" s="4"/>
      <c r="W14" s="4"/>
      <c r="X14" s="4"/>
      <c r="Y14" s="4"/>
      <c r="Z14" s="4"/>
    </row>
    <row r="15" ht="34.5" customHeight="1">
      <c r="A15" s="27">
        <v>9.0</v>
      </c>
      <c r="B15" s="64" t="s">
        <v>73</v>
      </c>
      <c r="C15" s="75" t="s">
        <v>78</v>
      </c>
      <c r="D15" s="75" t="s">
        <v>68</v>
      </c>
      <c r="E15" s="102" t="s">
        <v>69</v>
      </c>
      <c r="F15" s="48" t="s">
        <v>27</v>
      </c>
      <c r="G15" s="70">
        <v>1.0</v>
      </c>
      <c r="H15" s="50">
        <v>450000.0</v>
      </c>
      <c r="I15" s="38">
        <v>46146.0</v>
      </c>
      <c r="J15" s="30">
        <v>46162.0</v>
      </c>
      <c r="K15" s="32">
        <v>4000.0</v>
      </c>
      <c r="L15" s="38">
        <v>46155.0</v>
      </c>
      <c r="M15" s="35">
        <v>46193.0</v>
      </c>
      <c r="N15" s="68">
        <v>46223.0</v>
      </c>
      <c r="O15" s="68">
        <v>46218.0</v>
      </c>
      <c r="P15" s="37">
        <v>3.0</v>
      </c>
      <c r="Q15" s="26">
        <f t="shared" si="1"/>
        <v>12000</v>
      </c>
      <c r="R15" s="78" t="s">
        <v>83</v>
      </c>
      <c r="S15" s="62" t="s">
        <v>119</v>
      </c>
      <c r="T15" s="44"/>
      <c r="U15" s="4"/>
      <c r="V15" s="4"/>
      <c r="W15" s="4"/>
      <c r="X15" s="4"/>
      <c r="Y15" s="4"/>
      <c r="Z15" s="4"/>
    </row>
    <row r="16" ht="34.5" customHeight="1">
      <c r="A16" s="27">
        <v>10.0</v>
      </c>
      <c r="B16" s="54" t="s">
        <v>84</v>
      </c>
      <c r="C16" s="22" t="s">
        <v>85</v>
      </c>
      <c r="D16" s="22" t="s">
        <v>86</v>
      </c>
      <c r="E16" s="33" t="s">
        <v>87</v>
      </c>
      <c r="F16" s="25" t="s">
        <v>27</v>
      </c>
      <c r="G16" s="26">
        <v>1.0</v>
      </c>
      <c r="H16" s="28">
        <v>450000.0</v>
      </c>
      <c r="I16" s="29">
        <v>45909.0</v>
      </c>
      <c r="J16" s="30">
        <v>45950.0</v>
      </c>
      <c r="K16" s="32">
        <v>5800.0</v>
      </c>
      <c r="L16" s="34">
        <v>46233.0</v>
      </c>
      <c r="M16" s="35">
        <v>46193.0</v>
      </c>
      <c r="N16" s="68">
        <v>46223.0</v>
      </c>
      <c r="O16" s="68">
        <v>46218.0</v>
      </c>
      <c r="P16" s="37">
        <v>3.0</v>
      </c>
      <c r="Q16" s="49">
        <f t="shared" si="1"/>
        <v>17400</v>
      </c>
      <c r="R16" s="41" t="s">
        <v>88</v>
      </c>
      <c r="S16" s="52" t="s">
        <v>129</v>
      </c>
      <c r="T16" s="44"/>
      <c r="U16" s="4"/>
      <c r="V16" s="4"/>
      <c r="W16" s="4"/>
      <c r="X16" s="4"/>
      <c r="Y16" s="4"/>
      <c r="Z16" s="4"/>
    </row>
    <row r="17" ht="34.5" customHeight="1">
      <c r="A17" s="27">
        <v>11.0</v>
      </c>
      <c r="B17" s="64" t="s">
        <v>95</v>
      </c>
      <c r="C17" s="75" t="s">
        <v>90</v>
      </c>
      <c r="D17" s="75" t="s">
        <v>98</v>
      </c>
      <c r="E17" s="106" t="s">
        <v>99</v>
      </c>
      <c r="F17" s="25" t="s">
        <v>27</v>
      </c>
      <c r="G17" s="92">
        <v>1.0</v>
      </c>
      <c r="H17" s="50">
        <v>600000.0</v>
      </c>
      <c r="I17" s="93">
        <v>45894.0</v>
      </c>
      <c r="J17" s="30">
        <v>45925.0</v>
      </c>
      <c r="K17" s="32">
        <v>8300.0</v>
      </c>
      <c r="L17" s="34">
        <v>46265.0</v>
      </c>
      <c r="M17" s="35">
        <v>46226.0</v>
      </c>
      <c r="N17" s="68">
        <v>46259.0</v>
      </c>
      <c r="O17" s="68">
        <v>46254.0</v>
      </c>
      <c r="P17" s="37">
        <v>2.0</v>
      </c>
      <c r="Q17" s="49">
        <f t="shared" si="1"/>
        <v>16600</v>
      </c>
      <c r="R17" s="55" t="s">
        <v>70</v>
      </c>
      <c r="S17" s="62" t="s">
        <v>142</v>
      </c>
      <c r="T17" s="107" t="s">
        <v>143</v>
      </c>
      <c r="U17" s="4"/>
      <c r="V17" s="4"/>
      <c r="W17" s="4"/>
      <c r="X17" s="4"/>
      <c r="Y17" s="4"/>
      <c r="Z17" s="4"/>
    </row>
    <row r="18" ht="34.5" customHeight="1">
      <c r="A18" s="27">
        <v>12.0</v>
      </c>
      <c r="B18" s="21" t="s">
        <v>144</v>
      </c>
      <c r="C18" s="65" t="s">
        <v>145</v>
      </c>
      <c r="D18" s="22" t="s">
        <v>146</v>
      </c>
      <c r="E18" s="33" t="s">
        <v>147</v>
      </c>
      <c r="F18" s="25" t="s">
        <v>60</v>
      </c>
      <c r="G18" s="26">
        <v>5.0</v>
      </c>
      <c r="H18" s="28">
        <v>5000000.0</v>
      </c>
      <c r="I18" s="29"/>
      <c r="J18" s="30">
        <v>46047.0</v>
      </c>
      <c r="K18" s="32">
        <v>55000.0</v>
      </c>
      <c r="L18" s="34">
        <v>46259.0</v>
      </c>
      <c r="M18" s="35">
        <v>46228.0</v>
      </c>
      <c r="N18" s="108">
        <v>46259.0</v>
      </c>
      <c r="O18" s="68">
        <v>46256.0</v>
      </c>
      <c r="P18" s="37">
        <v>2.0</v>
      </c>
      <c r="Q18" s="49">
        <f t="shared" si="1"/>
        <v>110000</v>
      </c>
      <c r="R18" s="41" t="s">
        <v>71</v>
      </c>
      <c r="S18" s="62" t="s">
        <v>151</v>
      </c>
      <c r="T18" s="44"/>
      <c r="U18" s="4"/>
      <c r="V18" s="4"/>
      <c r="W18" s="4"/>
      <c r="X18" s="4"/>
      <c r="Y18" s="4"/>
      <c r="Z18" s="4"/>
    </row>
    <row r="19" ht="34.5" customHeight="1">
      <c r="A19" s="27">
        <v>13.0</v>
      </c>
      <c r="B19" s="64" t="s">
        <v>153</v>
      </c>
      <c r="C19" s="75" t="s">
        <v>29</v>
      </c>
      <c r="D19" s="75" t="s">
        <v>154</v>
      </c>
      <c r="E19" s="33" t="s">
        <v>155</v>
      </c>
      <c r="F19" s="25" t="s">
        <v>27</v>
      </c>
      <c r="G19" s="92">
        <v>2.0</v>
      </c>
      <c r="H19" s="50">
        <v>1100000.0</v>
      </c>
      <c r="I19" s="38">
        <v>46025.0</v>
      </c>
      <c r="J19" s="30">
        <v>46063.0</v>
      </c>
      <c r="K19" s="32">
        <v>12000.0</v>
      </c>
      <c r="L19" s="34">
        <v>46210.0</v>
      </c>
      <c r="M19" s="35">
        <v>46188.0</v>
      </c>
      <c r="N19" s="68">
        <v>46218.0</v>
      </c>
      <c r="O19" s="68">
        <v>46215.0</v>
      </c>
      <c r="P19" s="101">
        <v>3.0</v>
      </c>
      <c r="Q19" s="49">
        <f>K19*P19+4000</f>
        <v>40000</v>
      </c>
      <c r="R19" s="55" t="s">
        <v>156</v>
      </c>
      <c r="S19" s="62" t="s">
        <v>142</v>
      </c>
      <c r="T19" s="44"/>
      <c r="U19" s="4"/>
      <c r="V19" s="4"/>
      <c r="W19" s="4"/>
      <c r="X19" s="4"/>
      <c r="Y19" s="4"/>
      <c r="Z19" s="4"/>
    </row>
    <row r="20" ht="34.5" customHeight="1">
      <c r="A20" s="27">
        <v>14.0</v>
      </c>
      <c r="B20" s="21" t="s">
        <v>162</v>
      </c>
      <c r="C20" s="22" t="s">
        <v>163</v>
      </c>
      <c r="D20" s="22" t="s">
        <v>164</v>
      </c>
      <c r="E20" s="33" t="s">
        <v>165</v>
      </c>
      <c r="F20" s="25" t="s">
        <v>100</v>
      </c>
      <c r="G20" s="26">
        <v>2.0</v>
      </c>
      <c r="H20" s="28">
        <v>1000000.0</v>
      </c>
      <c r="I20" s="29">
        <v>46076.0</v>
      </c>
      <c r="J20" s="30">
        <v>46101.0</v>
      </c>
      <c r="K20" s="32">
        <v>9000.0</v>
      </c>
      <c r="L20" s="34">
        <v>46203.0</v>
      </c>
      <c r="M20" s="104">
        <v>46203.0</v>
      </c>
      <c r="N20" s="68">
        <v>46228.0</v>
      </c>
      <c r="O20" s="68">
        <v>46225.0</v>
      </c>
      <c r="P20" s="37">
        <v>3.0</v>
      </c>
      <c r="Q20" s="49">
        <f>K20*P20</f>
        <v>27000</v>
      </c>
      <c r="R20" s="55" t="s">
        <v>39</v>
      </c>
      <c r="S20" s="62" t="s">
        <v>171</v>
      </c>
      <c r="T20" s="44"/>
      <c r="U20" s="4"/>
      <c r="V20" s="4"/>
      <c r="W20" s="4"/>
      <c r="X20" s="4"/>
      <c r="Y20" s="4"/>
      <c r="Z20" s="4"/>
    </row>
    <row r="21" ht="34.5" customHeight="1">
      <c r="A21" s="27">
        <v>15.0</v>
      </c>
      <c r="B21" s="110" t="s">
        <v>174</v>
      </c>
      <c r="C21" s="22" t="s">
        <v>178</v>
      </c>
      <c r="D21" s="22" t="s">
        <v>179</v>
      </c>
      <c r="E21" s="111" t="s">
        <v>180</v>
      </c>
      <c r="F21" s="25" t="s">
        <v>27</v>
      </c>
      <c r="G21" s="26">
        <v>1.0</v>
      </c>
      <c r="H21" s="28">
        <v>500000.0</v>
      </c>
      <c r="I21" s="29">
        <v>45591.0</v>
      </c>
      <c r="J21" s="30">
        <v>45708.0</v>
      </c>
      <c r="K21" s="32">
        <v>5000.0</v>
      </c>
      <c r="L21" s="34">
        <v>46278.0</v>
      </c>
      <c r="M21" s="104">
        <v>46278.0</v>
      </c>
      <c r="N21" s="68">
        <v>46244.0</v>
      </c>
      <c r="O21" s="68">
        <v>46241.0</v>
      </c>
      <c r="P21" s="37"/>
      <c r="Q21" s="112" t="s">
        <v>32</v>
      </c>
      <c r="R21" s="41" t="s">
        <v>181</v>
      </c>
      <c r="S21" s="62" t="s">
        <v>182</v>
      </c>
      <c r="T21" s="44"/>
      <c r="U21" s="4"/>
      <c r="V21" s="4"/>
      <c r="W21" s="4"/>
      <c r="X21" s="4"/>
      <c r="Y21" s="4"/>
      <c r="Z21" s="4"/>
    </row>
    <row r="22" ht="34.5" customHeight="1">
      <c r="A22" s="27">
        <v>16.0</v>
      </c>
      <c r="B22" s="97" t="s">
        <v>183</v>
      </c>
      <c r="C22" s="65" t="s">
        <v>106</v>
      </c>
      <c r="D22" s="65" t="s">
        <v>184</v>
      </c>
      <c r="E22" s="113" t="s">
        <v>185</v>
      </c>
      <c r="F22" s="79" t="s">
        <v>27</v>
      </c>
      <c r="G22" s="114">
        <v>1.0</v>
      </c>
      <c r="H22" s="95">
        <v>500000.0</v>
      </c>
      <c r="I22" s="115">
        <v>46165.0</v>
      </c>
      <c r="J22" s="53">
        <v>46193.0</v>
      </c>
      <c r="K22" s="116">
        <v>8900.0</v>
      </c>
      <c r="L22" s="34">
        <v>46212.0</v>
      </c>
      <c r="M22" s="35">
        <v>46193.0</v>
      </c>
      <c r="N22" s="68">
        <v>46223.0</v>
      </c>
      <c r="O22" s="68">
        <v>46220.0</v>
      </c>
      <c r="P22" s="37">
        <v>3.0</v>
      </c>
      <c r="Q22" s="26">
        <f t="shared" ref="Q22:Q24" si="2">K22*P22</f>
        <v>26700</v>
      </c>
      <c r="R22" s="41" t="s">
        <v>197</v>
      </c>
      <c r="S22" s="62" t="s">
        <v>142</v>
      </c>
      <c r="T22" s="44"/>
      <c r="U22" s="4"/>
      <c r="V22" s="4"/>
      <c r="W22" s="4"/>
      <c r="X22" s="4"/>
      <c r="Y22" s="4"/>
      <c r="Z22" s="4"/>
    </row>
    <row r="23" ht="34.5" customHeight="1">
      <c r="A23" s="27">
        <v>17.0</v>
      </c>
      <c r="B23" s="118" t="s">
        <v>199</v>
      </c>
      <c r="C23" s="46" t="s">
        <v>145</v>
      </c>
      <c r="D23" s="66" t="s">
        <v>202</v>
      </c>
      <c r="E23" s="89" t="s">
        <v>203</v>
      </c>
      <c r="F23" s="79" t="s">
        <v>27</v>
      </c>
      <c r="G23" s="50">
        <v>1.0</v>
      </c>
      <c r="H23" s="70">
        <v>500000.0</v>
      </c>
      <c r="I23" s="83">
        <v>46163.0</v>
      </c>
      <c r="J23" s="30">
        <v>46188.0</v>
      </c>
      <c r="K23" s="32">
        <v>7000.0</v>
      </c>
      <c r="L23" s="83">
        <v>46216.0</v>
      </c>
      <c r="M23" s="35">
        <v>46188.0</v>
      </c>
      <c r="N23" s="68">
        <v>46218.0</v>
      </c>
      <c r="O23" s="68">
        <v>46215.0</v>
      </c>
      <c r="P23" s="37">
        <v>3.0</v>
      </c>
      <c r="Q23" s="26">
        <f t="shared" si="2"/>
        <v>21000</v>
      </c>
      <c r="R23" s="55" t="s">
        <v>197</v>
      </c>
      <c r="S23" s="52" t="s">
        <v>205</v>
      </c>
      <c r="T23" s="44"/>
      <c r="U23" s="4"/>
      <c r="V23" s="4"/>
      <c r="W23" s="4"/>
      <c r="X23" s="4"/>
      <c r="Y23" s="4"/>
      <c r="Z23" s="4"/>
    </row>
    <row r="24" ht="34.5" customHeight="1">
      <c r="A24" s="27">
        <v>18.0</v>
      </c>
      <c r="B24" s="54" t="s">
        <v>210</v>
      </c>
      <c r="C24" s="66" t="s">
        <v>211</v>
      </c>
      <c r="D24" s="66" t="s">
        <v>212</v>
      </c>
      <c r="E24" s="123"/>
      <c r="F24" s="124" t="s">
        <v>27</v>
      </c>
      <c r="G24" s="126">
        <v>1.0</v>
      </c>
      <c r="H24" s="114">
        <v>540000.0</v>
      </c>
      <c r="I24" s="127">
        <v>46020.0</v>
      </c>
      <c r="J24" s="30">
        <v>46188.0</v>
      </c>
      <c r="K24" s="116">
        <v>6100.0</v>
      </c>
      <c r="L24" s="128">
        <v>46261.0</v>
      </c>
      <c r="M24" s="35">
        <v>46218.0</v>
      </c>
      <c r="N24" s="68">
        <v>46249.0</v>
      </c>
      <c r="O24" s="68">
        <v>46246.0</v>
      </c>
      <c r="P24" s="37">
        <v>2.0</v>
      </c>
      <c r="Q24" s="26">
        <f t="shared" si="2"/>
        <v>12200</v>
      </c>
      <c r="R24" s="55" t="s">
        <v>83</v>
      </c>
      <c r="S24" s="52" t="s">
        <v>205</v>
      </c>
      <c r="T24" s="44"/>
      <c r="U24" s="4"/>
      <c r="V24" s="4"/>
      <c r="W24" s="4"/>
      <c r="X24" s="4"/>
      <c r="Y24" s="4"/>
      <c r="Z24" s="4"/>
    </row>
    <row r="25" ht="34.5" customHeight="1">
      <c r="A25" s="27">
        <v>19.0</v>
      </c>
      <c r="B25" s="97" t="s">
        <v>219</v>
      </c>
      <c r="C25" s="76" t="s">
        <v>191</v>
      </c>
      <c r="D25" s="76" t="s">
        <v>192</v>
      </c>
      <c r="E25" s="89" t="s">
        <v>220</v>
      </c>
      <c r="F25" s="79" t="s">
        <v>100</v>
      </c>
      <c r="G25" s="80">
        <v>1.0</v>
      </c>
      <c r="H25" s="82">
        <v>300000.0</v>
      </c>
      <c r="I25" s="115">
        <v>46184.0</v>
      </c>
      <c r="J25" s="53">
        <v>46249.0</v>
      </c>
      <c r="K25" s="32">
        <v>3000.0</v>
      </c>
      <c r="L25" s="117">
        <v>46271.0</v>
      </c>
      <c r="M25" s="35">
        <v>46271.0</v>
      </c>
      <c r="N25" s="68">
        <v>46310.0</v>
      </c>
      <c r="O25" s="68">
        <v>46307.0</v>
      </c>
      <c r="P25" s="37"/>
      <c r="Q25" s="112" t="s">
        <v>32</v>
      </c>
      <c r="R25" s="55" t="s">
        <v>83</v>
      </c>
      <c r="S25" s="62" t="s">
        <v>142</v>
      </c>
      <c r="T25" s="44"/>
      <c r="U25" s="4"/>
      <c r="V25" s="4"/>
      <c r="W25" s="4"/>
      <c r="X25" s="4"/>
      <c r="Y25" s="4"/>
      <c r="Z25" s="4"/>
    </row>
    <row r="26" ht="34.5" customHeight="1">
      <c r="A26" s="27">
        <v>20.0</v>
      </c>
      <c r="B26" s="64" t="s">
        <v>226</v>
      </c>
      <c r="C26" s="66" t="s">
        <v>229</v>
      </c>
      <c r="D26" s="129" t="s">
        <v>231</v>
      </c>
      <c r="E26" s="130"/>
      <c r="F26" s="48" t="s">
        <v>100</v>
      </c>
      <c r="G26" s="50">
        <v>3.0</v>
      </c>
      <c r="H26" s="70">
        <v>450000.0</v>
      </c>
      <c r="I26" s="34">
        <v>46071.0</v>
      </c>
      <c r="J26" s="30">
        <v>46093.0</v>
      </c>
      <c r="K26" s="32">
        <v>58500.0</v>
      </c>
      <c r="L26" s="34">
        <v>46272.0</v>
      </c>
      <c r="M26" s="35">
        <v>46213.0</v>
      </c>
      <c r="N26" s="68">
        <v>46215.0</v>
      </c>
      <c r="O26" s="68">
        <v>46213.0</v>
      </c>
      <c r="P26" s="37">
        <v>2.0</v>
      </c>
      <c r="Q26" s="131">
        <v>100000.0</v>
      </c>
      <c r="R26" s="55" t="s">
        <v>240</v>
      </c>
      <c r="S26" s="62" t="s">
        <v>241</v>
      </c>
      <c r="T26" s="44"/>
      <c r="U26" s="4"/>
      <c r="V26" s="4"/>
      <c r="W26" s="4"/>
      <c r="X26" s="4"/>
      <c r="Y26" s="4"/>
      <c r="Z26" s="4"/>
    </row>
    <row r="27" ht="34.5" customHeight="1">
      <c r="A27" s="27">
        <v>21.0</v>
      </c>
      <c r="B27" s="21" t="s">
        <v>138</v>
      </c>
      <c r="C27" s="65" t="s">
        <v>75</v>
      </c>
      <c r="D27" s="65" t="s">
        <v>139</v>
      </c>
      <c r="E27" s="33" t="s">
        <v>140</v>
      </c>
      <c r="F27" s="25" t="s">
        <v>27</v>
      </c>
      <c r="G27" s="26">
        <v>1.0</v>
      </c>
      <c r="H27" s="28">
        <v>500000.0</v>
      </c>
      <c r="I27" s="29">
        <v>46036.0</v>
      </c>
      <c r="J27" s="30">
        <v>46064.0</v>
      </c>
      <c r="K27" s="32">
        <v>7000.0</v>
      </c>
      <c r="L27" s="34">
        <v>46265.0</v>
      </c>
      <c r="M27" s="104">
        <v>46265.0</v>
      </c>
      <c r="N27" s="68">
        <v>46276.0</v>
      </c>
      <c r="O27" s="68">
        <v>46270.0</v>
      </c>
      <c r="P27" s="37">
        <v>1.0</v>
      </c>
      <c r="Q27" s="49">
        <f t="shared" ref="Q27:Q28" si="3">K27*P27</f>
        <v>7000</v>
      </c>
      <c r="R27" s="55" t="s">
        <v>141</v>
      </c>
      <c r="S27" s="62" t="s">
        <v>142</v>
      </c>
      <c r="T27" s="44"/>
      <c r="U27" s="4"/>
      <c r="V27" s="4"/>
      <c r="W27" s="4"/>
      <c r="X27" s="4"/>
      <c r="Y27" s="4"/>
      <c r="Z27" s="4"/>
    </row>
    <row r="28" ht="34.5" customHeight="1">
      <c r="A28" s="27">
        <v>22.0</v>
      </c>
      <c r="B28" s="21" t="s">
        <v>166</v>
      </c>
      <c r="C28" s="65" t="s">
        <v>136</v>
      </c>
      <c r="D28" s="65" t="s">
        <v>167</v>
      </c>
      <c r="E28" s="33" t="s">
        <v>168</v>
      </c>
      <c r="F28" s="25" t="s">
        <v>27</v>
      </c>
      <c r="G28" s="26">
        <v>2.0</v>
      </c>
      <c r="H28" s="28">
        <v>1000000.0</v>
      </c>
      <c r="I28" s="29">
        <v>46021.0</v>
      </c>
      <c r="J28" s="30">
        <v>46042.0</v>
      </c>
      <c r="K28" s="32">
        <v>12500.0</v>
      </c>
      <c r="L28" s="38">
        <v>46092.0</v>
      </c>
      <c r="M28" s="35">
        <v>46226.0</v>
      </c>
      <c r="N28" s="68">
        <v>46254.0</v>
      </c>
      <c r="O28" s="68">
        <v>46249.0</v>
      </c>
      <c r="P28" s="37">
        <v>2.0</v>
      </c>
      <c r="Q28" s="26">
        <f t="shared" si="3"/>
        <v>25000</v>
      </c>
      <c r="R28" s="55" t="s">
        <v>71</v>
      </c>
      <c r="S28" s="62" t="s">
        <v>251</v>
      </c>
      <c r="T28" s="44"/>
      <c r="U28" s="4"/>
      <c r="V28" s="4"/>
      <c r="W28" s="4"/>
      <c r="X28" s="4"/>
      <c r="Y28" s="4"/>
      <c r="Z28" s="4"/>
    </row>
    <row r="29" ht="34.5" customHeight="1">
      <c r="A29" s="27">
        <v>23.0</v>
      </c>
      <c r="B29" s="21" t="s">
        <v>221</v>
      </c>
      <c r="C29" s="22" t="s">
        <v>145</v>
      </c>
      <c r="D29" s="22" t="s">
        <v>170</v>
      </c>
      <c r="E29" s="33" t="s">
        <v>222</v>
      </c>
      <c r="F29" s="25" t="s">
        <v>100</v>
      </c>
      <c r="G29" s="26">
        <v>1.0</v>
      </c>
      <c r="H29" s="28">
        <v>350000.0</v>
      </c>
      <c r="I29" s="29">
        <v>46072.0</v>
      </c>
      <c r="J29" s="30">
        <v>46091.0</v>
      </c>
      <c r="K29" s="32">
        <v>5000.0</v>
      </c>
      <c r="L29" s="34">
        <v>46282.0</v>
      </c>
      <c r="M29" s="104">
        <v>46282.0</v>
      </c>
      <c r="N29" s="68">
        <v>46315.0</v>
      </c>
      <c r="O29" s="68">
        <v>46312.0</v>
      </c>
      <c r="P29" s="61"/>
      <c r="Q29" s="39" t="s">
        <v>32</v>
      </c>
      <c r="R29" s="41" t="s">
        <v>71</v>
      </c>
      <c r="S29" s="62" t="s">
        <v>151</v>
      </c>
      <c r="T29" s="44"/>
      <c r="U29" s="4"/>
      <c r="V29" s="4"/>
      <c r="W29" s="4"/>
      <c r="X29" s="4"/>
      <c r="Y29" s="4"/>
      <c r="Z29" s="4"/>
    </row>
    <row r="30" ht="34.5" customHeight="1">
      <c r="A30" s="27">
        <v>24.0</v>
      </c>
      <c r="B30" s="21" t="s">
        <v>233</v>
      </c>
      <c r="C30" s="22" t="s">
        <v>234</v>
      </c>
      <c r="D30" s="22" t="s">
        <v>235</v>
      </c>
      <c r="E30" s="33" t="s">
        <v>236</v>
      </c>
      <c r="F30" s="25" t="s">
        <v>100</v>
      </c>
      <c r="G30" s="26">
        <v>1.0</v>
      </c>
      <c r="H30" s="28">
        <v>250000.0</v>
      </c>
      <c r="I30" s="29">
        <v>46083.0</v>
      </c>
      <c r="J30" s="30">
        <v>46124.0</v>
      </c>
      <c r="K30" s="32">
        <v>3100.0</v>
      </c>
      <c r="L30" s="34">
        <v>46275.0</v>
      </c>
      <c r="M30" s="104">
        <v>46275.0</v>
      </c>
      <c r="N30" s="68">
        <v>46307.0</v>
      </c>
      <c r="O30" s="68">
        <v>46304.0</v>
      </c>
      <c r="P30" s="37"/>
      <c r="Q30" s="112" t="s">
        <v>32</v>
      </c>
      <c r="R30" s="41" t="s">
        <v>141</v>
      </c>
      <c r="S30" s="62" t="s">
        <v>142</v>
      </c>
      <c r="T30" s="44"/>
      <c r="U30" s="4"/>
      <c r="V30" s="4"/>
      <c r="W30" s="4"/>
      <c r="X30" s="4"/>
      <c r="Y30" s="4"/>
      <c r="Z30" s="4"/>
    </row>
    <row r="31" ht="34.5" customHeight="1">
      <c r="A31" s="27">
        <v>25.0</v>
      </c>
      <c r="B31" s="21" t="s">
        <v>242</v>
      </c>
      <c r="C31" s="22" t="s">
        <v>38</v>
      </c>
      <c r="D31" s="56" t="s">
        <v>243</v>
      </c>
      <c r="E31" s="33" t="s">
        <v>244</v>
      </c>
      <c r="F31" s="25" t="s">
        <v>27</v>
      </c>
      <c r="G31" s="26">
        <v>2.0</v>
      </c>
      <c r="H31" s="28">
        <v>1000000.0</v>
      </c>
      <c r="I31" s="29">
        <v>46098.0</v>
      </c>
      <c r="J31" s="53">
        <v>46167.0</v>
      </c>
      <c r="K31" s="32">
        <v>17500.0</v>
      </c>
      <c r="L31" s="34">
        <v>46259.0</v>
      </c>
      <c r="M31" s="104">
        <v>46259.0</v>
      </c>
      <c r="N31" s="68">
        <v>46290.0</v>
      </c>
      <c r="O31" s="68">
        <v>46287.0</v>
      </c>
      <c r="P31" s="37">
        <v>1.0</v>
      </c>
      <c r="Q31" s="26">
        <f>K31*P31</f>
        <v>17500</v>
      </c>
      <c r="R31" s="55" t="s">
        <v>115</v>
      </c>
      <c r="S31" s="52" t="s">
        <v>205</v>
      </c>
      <c r="T31" s="138" t="s">
        <v>263</v>
      </c>
      <c r="U31" s="4"/>
      <c r="V31" s="4"/>
      <c r="W31" s="4"/>
      <c r="X31" s="4"/>
      <c r="Y31" s="4"/>
      <c r="Z31" s="4"/>
    </row>
    <row r="32" ht="34.5" customHeight="1">
      <c r="A32" s="27">
        <v>26.0</v>
      </c>
      <c r="B32" s="21" t="s">
        <v>250</v>
      </c>
      <c r="C32" s="22" t="s">
        <v>178</v>
      </c>
      <c r="D32" s="22" t="s">
        <v>179</v>
      </c>
      <c r="E32" s="111" t="s">
        <v>180</v>
      </c>
      <c r="F32" s="25" t="s">
        <v>60</v>
      </c>
      <c r="G32" s="26">
        <v>5.0</v>
      </c>
      <c r="H32" s="28">
        <v>3000000.0</v>
      </c>
      <c r="I32" s="29">
        <v>45930.0</v>
      </c>
      <c r="J32" s="30">
        <v>46073.0</v>
      </c>
      <c r="K32" s="32">
        <v>20000.0</v>
      </c>
      <c r="L32" s="34">
        <v>46278.0</v>
      </c>
      <c r="M32" s="104">
        <v>46278.0</v>
      </c>
      <c r="N32" s="68">
        <v>46244.0</v>
      </c>
      <c r="O32" s="68">
        <v>46241.0</v>
      </c>
      <c r="P32" s="37"/>
      <c r="Q32" s="112" t="s">
        <v>32</v>
      </c>
      <c r="R32" s="41" t="s">
        <v>33</v>
      </c>
      <c r="S32" s="62" t="s">
        <v>72</v>
      </c>
      <c r="T32" s="44"/>
      <c r="U32" s="4"/>
      <c r="V32" s="4"/>
      <c r="W32" s="4"/>
      <c r="X32" s="4"/>
      <c r="Y32" s="4"/>
      <c r="Z32" s="4"/>
    </row>
    <row r="33" ht="34.5" customHeight="1">
      <c r="A33" s="27">
        <v>27.0</v>
      </c>
      <c r="B33" s="97" t="s">
        <v>253</v>
      </c>
      <c r="C33" s="46" t="s">
        <v>51</v>
      </c>
      <c r="D33" s="141" t="s">
        <v>264</v>
      </c>
      <c r="E33" s="142" t="s">
        <v>255</v>
      </c>
      <c r="F33" s="143" t="s">
        <v>27</v>
      </c>
      <c r="G33" s="50">
        <v>1.0</v>
      </c>
      <c r="H33" s="50">
        <v>600000.0</v>
      </c>
      <c r="I33" s="38">
        <v>46132.0</v>
      </c>
      <c r="J33" s="30">
        <v>46183.0</v>
      </c>
      <c r="K33" s="32">
        <v>10000.0</v>
      </c>
      <c r="L33" s="34">
        <v>46257.0</v>
      </c>
      <c r="M33" s="104">
        <v>46275.0</v>
      </c>
      <c r="N33" s="68">
        <v>46305.0</v>
      </c>
      <c r="O33" s="68">
        <v>46300.0</v>
      </c>
      <c r="P33" s="37"/>
      <c r="Q33" s="112" t="s">
        <v>32</v>
      </c>
      <c r="R33" s="55" t="s">
        <v>115</v>
      </c>
      <c r="S33" s="62"/>
      <c r="T33" s="44"/>
      <c r="U33" s="4"/>
      <c r="V33" s="4"/>
      <c r="W33" s="4"/>
      <c r="X33" s="4"/>
      <c r="Y33" s="4"/>
      <c r="Z33" s="4"/>
    </row>
    <row r="34" ht="34.5" customHeight="1">
      <c r="A34" s="27">
        <v>28.0</v>
      </c>
      <c r="B34" s="118" t="s">
        <v>265</v>
      </c>
      <c r="C34" s="46" t="s">
        <v>207</v>
      </c>
      <c r="D34" s="46" t="s">
        <v>266</v>
      </c>
      <c r="E34" s="144" t="s">
        <v>267</v>
      </c>
      <c r="F34" s="48" t="s">
        <v>60</v>
      </c>
      <c r="G34" s="50">
        <v>5.0</v>
      </c>
      <c r="H34" s="50">
        <f>1000000*5</f>
        <v>5000000</v>
      </c>
      <c r="I34" s="115">
        <v>46121.0</v>
      </c>
      <c r="J34" s="53">
        <v>46152.0</v>
      </c>
      <c r="K34" s="116">
        <v>50000.0</v>
      </c>
      <c r="L34" s="115">
        <v>46219.0</v>
      </c>
      <c r="M34" s="104">
        <v>46257.0</v>
      </c>
      <c r="N34" s="140">
        <v>46275.0</v>
      </c>
      <c r="O34" s="140">
        <v>46272.0</v>
      </c>
      <c r="P34" s="37">
        <v>1.0</v>
      </c>
      <c r="Q34" s="49">
        <f t="shared" ref="Q34:Q38" si="4">K34*P34</f>
        <v>50000</v>
      </c>
      <c r="R34" s="41" t="s">
        <v>115</v>
      </c>
      <c r="S34" s="62" t="s">
        <v>47</v>
      </c>
      <c r="T34" s="44"/>
      <c r="U34" s="4"/>
      <c r="V34" s="4"/>
      <c r="W34" s="4"/>
      <c r="X34" s="4"/>
      <c r="Y34" s="4"/>
      <c r="Z34" s="4"/>
    </row>
    <row r="35" ht="34.5" customHeight="1">
      <c r="A35" s="27">
        <v>29.0</v>
      </c>
      <c r="B35" s="97" t="s">
        <v>272</v>
      </c>
      <c r="C35" s="46" t="s">
        <v>90</v>
      </c>
      <c r="D35" s="46" t="s">
        <v>228</v>
      </c>
      <c r="E35" s="144" t="s">
        <v>273</v>
      </c>
      <c r="F35" s="79" t="s">
        <v>27</v>
      </c>
      <c r="G35" s="80">
        <v>1.0</v>
      </c>
      <c r="H35" s="70">
        <v>500000.0</v>
      </c>
      <c r="I35" s="34">
        <v>46156.0</v>
      </c>
      <c r="J35" s="84">
        <v>46183.0</v>
      </c>
      <c r="K35" s="85">
        <v>5000.0</v>
      </c>
      <c r="L35" s="147">
        <v>46254.0</v>
      </c>
      <c r="M35" s="104">
        <v>46254.0</v>
      </c>
      <c r="N35" s="74">
        <v>46275.0</v>
      </c>
      <c r="O35" s="74">
        <v>46272.0</v>
      </c>
      <c r="P35" s="37">
        <v>1.0</v>
      </c>
      <c r="Q35" s="49">
        <f t="shared" si="4"/>
        <v>5000</v>
      </c>
      <c r="R35" s="55" t="s">
        <v>35</v>
      </c>
      <c r="S35" s="62" t="s">
        <v>47</v>
      </c>
      <c r="T35" s="44"/>
      <c r="U35" s="4"/>
      <c r="V35" s="4"/>
      <c r="W35" s="4"/>
      <c r="X35" s="4"/>
      <c r="Y35" s="4"/>
      <c r="Z35" s="4"/>
    </row>
    <row r="36" ht="34.5" customHeight="1">
      <c r="A36" s="27">
        <v>30.0</v>
      </c>
      <c r="B36" s="97" t="s">
        <v>274</v>
      </c>
      <c r="C36" s="46" t="s">
        <v>90</v>
      </c>
      <c r="D36" s="46" t="s">
        <v>275</v>
      </c>
      <c r="E36" s="144" t="s">
        <v>276</v>
      </c>
      <c r="F36" s="79" t="s">
        <v>27</v>
      </c>
      <c r="G36" s="80">
        <v>1.0</v>
      </c>
      <c r="H36" s="82">
        <v>500000.0</v>
      </c>
      <c r="I36" s="34">
        <v>46156.0</v>
      </c>
      <c r="J36" s="84">
        <v>46183.0</v>
      </c>
      <c r="K36" s="85">
        <v>5000.0</v>
      </c>
      <c r="L36" s="147">
        <v>46254.0</v>
      </c>
      <c r="M36" s="104">
        <v>46254.0</v>
      </c>
      <c r="N36" s="74">
        <v>46276.0</v>
      </c>
      <c r="O36" s="74">
        <v>46272.0</v>
      </c>
      <c r="P36" s="37">
        <v>1.0</v>
      </c>
      <c r="Q36" s="49">
        <f t="shared" si="4"/>
        <v>5000</v>
      </c>
      <c r="R36" s="55" t="s">
        <v>35</v>
      </c>
      <c r="S36" s="62" t="s">
        <v>47</v>
      </c>
      <c r="T36" s="44"/>
      <c r="U36" s="4"/>
      <c r="V36" s="4"/>
      <c r="W36" s="4"/>
      <c r="X36" s="4"/>
      <c r="Y36" s="4"/>
      <c r="Z36" s="4"/>
    </row>
    <row r="37" ht="34.5" customHeight="1">
      <c r="A37" s="27">
        <v>31.0</v>
      </c>
      <c r="B37" s="97" t="s">
        <v>277</v>
      </c>
      <c r="C37" s="65" t="s">
        <v>278</v>
      </c>
      <c r="D37" s="65" t="s">
        <v>279</v>
      </c>
      <c r="E37" s="102" t="s">
        <v>280</v>
      </c>
      <c r="F37" s="124" t="s">
        <v>27</v>
      </c>
      <c r="G37" s="126">
        <v>1.0</v>
      </c>
      <c r="H37" s="149">
        <v>600000.0</v>
      </c>
      <c r="I37" s="115">
        <v>46190.0</v>
      </c>
      <c r="J37" s="30">
        <v>46228.0</v>
      </c>
      <c r="K37" s="32">
        <v>11500.0</v>
      </c>
      <c r="L37" s="34">
        <v>46264.0</v>
      </c>
      <c r="M37" s="104">
        <v>46264.0</v>
      </c>
      <c r="N37" s="68">
        <v>46282.0</v>
      </c>
      <c r="O37" s="68">
        <v>46277.0</v>
      </c>
      <c r="P37" s="37">
        <v>1.0</v>
      </c>
      <c r="Q37" s="49">
        <f t="shared" si="4"/>
        <v>11500</v>
      </c>
      <c r="R37" s="55" t="s">
        <v>83</v>
      </c>
      <c r="S37" s="62" t="s">
        <v>142</v>
      </c>
      <c r="T37" s="44"/>
      <c r="U37" s="4"/>
      <c r="V37" s="4"/>
      <c r="W37" s="4"/>
      <c r="X37" s="4"/>
      <c r="Y37" s="4"/>
      <c r="Z37" s="4"/>
    </row>
    <row r="38" ht="34.5" customHeight="1">
      <c r="A38" s="27">
        <v>32.0</v>
      </c>
      <c r="B38" s="97" t="s">
        <v>282</v>
      </c>
      <c r="C38" s="76" t="s">
        <v>90</v>
      </c>
      <c r="D38" s="76" t="s">
        <v>283</v>
      </c>
      <c r="E38" s="89" t="s">
        <v>284</v>
      </c>
      <c r="F38" s="79" t="s">
        <v>27</v>
      </c>
      <c r="G38" s="80">
        <v>1.0</v>
      </c>
      <c r="H38" s="82">
        <v>550000.0</v>
      </c>
      <c r="I38" s="115">
        <v>46195.0</v>
      </c>
      <c r="J38" s="53">
        <v>46229.0</v>
      </c>
      <c r="K38" s="116">
        <v>6000.0</v>
      </c>
      <c r="L38" s="34">
        <v>46261.0</v>
      </c>
      <c r="M38" s="35">
        <v>46261.0</v>
      </c>
      <c r="N38" s="68">
        <v>46291.0</v>
      </c>
      <c r="O38" s="68">
        <v>46287.0</v>
      </c>
      <c r="P38" s="37">
        <v>1.0</v>
      </c>
      <c r="Q38" s="49">
        <f t="shared" si="4"/>
        <v>6000</v>
      </c>
      <c r="R38" s="41" t="s">
        <v>83</v>
      </c>
      <c r="S38" s="62" t="s">
        <v>47</v>
      </c>
      <c r="T38" s="44"/>
      <c r="U38" s="4"/>
      <c r="V38" s="4"/>
      <c r="W38" s="4"/>
      <c r="X38" s="4"/>
      <c r="Y38" s="4"/>
      <c r="Z38" s="4"/>
    </row>
    <row r="39" ht="34.5" customHeight="1">
      <c r="A39" s="27">
        <v>33.0</v>
      </c>
      <c r="B39" s="97" t="s">
        <v>285</v>
      </c>
      <c r="C39" s="46" t="s">
        <v>38</v>
      </c>
      <c r="D39" s="46" t="s">
        <v>286</v>
      </c>
      <c r="E39" s="89" t="s">
        <v>287</v>
      </c>
      <c r="F39" s="79" t="s">
        <v>27</v>
      </c>
      <c r="G39" s="80">
        <v>1.0</v>
      </c>
      <c r="H39" s="94">
        <v>600000.0</v>
      </c>
      <c r="I39" s="34">
        <v>46201.0</v>
      </c>
      <c r="J39" s="150">
        <v>46228.0</v>
      </c>
      <c r="K39" s="85">
        <v>10000.0</v>
      </c>
      <c r="L39" s="34">
        <v>46268.0</v>
      </c>
      <c r="M39" s="104">
        <v>46268.0</v>
      </c>
      <c r="N39" s="68">
        <v>46320.0</v>
      </c>
      <c r="O39" s="68">
        <v>46317.0</v>
      </c>
      <c r="P39" s="101"/>
      <c r="Q39" s="39" t="s">
        <v>32</v>
      </c>
      <c r="R39" s="55" t="s">
        <v>35</v>
      </c>
      <c r="S39" s="62" t="s">
        <v>47</v>
      </c>
      <c r="T39" s="44"/>
      <c r="U39" s="4"/>
      <c r="V39" s="4"/>
      <c r="W39" s="4"/>
      <c r="X39" s="4"/>
      <c r="Y39" s="4"/>
      <c r="Z39" s="4"/>
    </row>
    <row r="40" ht="34.5" customHeight="1">
      <c r="A40" s="27">
        <v>34.0</v>
      </c>
      <c r="B40" s="21" t="s">
        <v>23</v>
      </c>
      <c r="C40" s="22" t="s">
        <v>24</v>
      </c>
      <c r="D40" s="22" t="s">
        <v>25</v>
      </c>
      <c r="E40" s="33" t="s">
        <v>26</v>
      </c>
      <c r="F40" s="25" t="s">
        <v>27</v>
      </c>
      <c r="G40" s="26">
        <v>1.0</v>
      </c>
      <c r="H40" s="28">
        <v>500000.0</v>
      </c>
      <c r="I40" s="29">
        <v>45993.0</v>
      </c>
      <c r="J40" s="30">
        <v>46032.0</v>
      </c>
      <c r="K40" s="32">
        <v>8000.0</v>
      </c>
      <c r="L40" s="34">
        <v>46279.0</v>
      </c>
      <c r="M40" s="35">
        <v>46279.0</v>
      </c>
      <c r="N40" s="68">
        <v>46305.0</v>
      </c>
      <c r="O40" s="68">
        <v>46302.0</v>
      </c>
      <c r="P40" s="61"/>
      <c r="Q40" s="112" t="s">
        <v>32</v>
      </c>
      <c r="R40" s="41" t="s">
        <v>88</v>
      </c>
      <c r="S40" s="62" t="s">
        <v>289</v>
      </c>
      <c r="T40" s="44"/>
      <c r="U40" s="4"/>
      <c r="V40" s="4"/>
      <c r="W40" s="4"/>
      <c r="X40" s="4"/>
      <c r="Y40" s="4"/>
      <c r="Z40" s="4"/>
    </row>
    <row r="41" ht="34.5" customHeight="1">
      <c r="A41" s="27">
        <v>35.0</v>
      </c>
      <c r="B41" s="64" t="s">
        <v>34</v>
      </c>
      <c r="C41" s="46" t="s">
        <v>24</v>
      </c>
      <c r="D41" s="46" t="s">
        <v>25</v>
      </c>
      <c r="E41" s="151" t="s">
        <v>26</v>
      </c>
      <c r="F41" s="48" t="s">
        <v>27</v>
      </c>
      <c r="G41" s="50">
        <v>1.0</v>
      </c>
      <c r="H41" s="50">
        <v>600000.0</v>
      </c>
      <c r="I41" s="34">
        <v>46135.0</v>
      </c>
      <c r="J41" s="53">
        <v>46157.0</v>
      </c>
      <c r="K41" s="32">
        <v>10000.0</v>
      </c>
      <c r="L41" s="34">
        <v>46279.0</v>
      </c>
      <c r="M41" s="104">
        <v>46279.0</v>
      </c>
      <c r="N41" s="68">
        <v>46310.0</v>
      </c>
      <c r="O41" s="68">
        <v>46305.0</v>
      </c>
      <c r="P41" s="61"/>
      <c r="Q41" s="112" t="s">
        <v>32</v>
      </c>
      <c r="R41" s="55" t="s">
        <v>79</v>
      </c>
      <c r="S41" s="62" t="s">
        <v>289</v>
      </c>
      <c r="T41" s="44"/>
      <c r="U41" s="4"/>
      <c r="V41" s="4"/>
      <c r="W41" s="4"/>
      <c r="X41" s="4"/>
      <c r="Y41" s="4"/>
      <c r="Z41" s="4"/>
    </row>
    <row r="42" ht="34.5" customHeight="1">
      <c r="A42" s="27">
        <v>36.0</v>
      </c>
      <c r="B42" s="21" t="s">
        <v>55</v>
      </c>
      <c r="C42" s="65" t="s">
        <v>56</v>
      </c>
      <c r="D42" s="65" t="s">
        <v>57</v>
      </c>
      <c r="E42" s="33" t="s">
        <v>58</v>
      </c>
      <c r="F42" s="25" t="s">
        <v>60</v>
      </c>
      <c r="G42" s="26">
        <v>5.0</v>
      </c>
      <c r="H42" s="28">
        <v>4000000.0</v>
      </c>
      <c r="I42" s="29">
        <v>45918.0</v>
      </c>
      <c r="J42" s="30">
        <v>45976.0</v>
      </c>
      <c r="K42" s="32">
        <v>50000.0</v>
      </c>
      <c r="L42" s="34">
        <v>46275.0</v>
      </c>
      <c r="M42" s="104">
        <v>46275.0</v>
      </c>
      <c r="N42" s="68">
        <v>46310.0</v>
      </c>
      <c r="O42" s="68">
        <v>46307.0</v>
      </c>
      <c r="P42" s="61"/>
      <c r="Q42" s="112" t="s">
        <v>32</v>
      </c>
      <c r="R42" s="41" t="s">
        <v>70</v>
      </c>
      <c r="S42" s="62" t="s">
        <v>142</v>
      </c>
      <c r="T42" s="44"/>
      <c r="U42" s="4"/>
      <c r="V42" s="4"/>
      <c r="W42" s="4"/>
      <c r="X42" s="4"/>
      <c r="Y42" s="4"/>
      <c r="Z42" s="4"/>
    </row>
    <row r="43" ht="34.5" customHeight="1">
      <c r="A43" s="27">
        <v>37.0</v>
      </c>
      <c r="B43" s="21" t="s">
        <v>62</v>
      </c>
      <c r="C43" s="65" t="s">
        <v>56</v>
      </c>
      <c r="D43" s="65" t="s">
        <v>63</v>
      </c>
      <c r="E43" s="33" t="s">
        <v>64</v>
      </c>
      <c r="F43" s="25" t="s">
        <v>60</v>
      </c>
      <c r="G43" s="26">
        <v>5.0</v>
      </c>
      <c r="H43" s="28">
        <v>4000000.0</v>
      </c>
      <c r="I43" s="29">
        <v>45853.0</v>
      </c>
      <c r="J43" s="30">
        <v>45884.0</v>
      </c>
      <c r="K43" s="32">
        <v>50000.0</v>
      </c>
      <c r="L43" s="34">
        <v>46281.0</v>
      </c>
      <c r="M43" s="104">
        <v>46281.0</v>
      </c>
      <c r="N43" s="68">
        <v>46310.0</v>
      </c>
      <c r="O43" s="68">
        <v>46307.0</v>
      </c>
      <c r="P43" s="61"/>
      <c r="Q43" s="112" t="s">
        <v>32</v>
      </c>
      <c r="R43" s="41" t="s">
        <v>54</v>
      </c>
      <c r="S43" s="62" t="s">
        <v>142</v>
      </c>
      <c r="T43" s="44"/>
      <c r="U43" s="4"/>
      <c r="V43" s="4"/>
      <c r="W43" s="4"/>
      <c r="X43" s="4"/>
      <c r="Y43" s="4"/>
      <c r="Z43" s="4"/>
    </row>
    <row r="44" ht="34.5" customHeight="1">
      <c r="A44" s="27">
        <v>38.0</v>
      </c>
      <c r="B44" s="21" t="s">
        <v>89</v>
      </c>
      <c r="C44" s="22" t="s">
        <v>90</v>
      </c>
      <c r="D44" s="22" t="s">
        <v>92</v>
      </c>
      <c r="E44" s="33" t="s">
        <v>93</v>
      </c>
      <c r="F44" s="25" t="s">
        <v>27</v>
      </c>
      <c r="G44" s="26">
        <v>1.0</v>
      </c>
      <c r="H44" s="28">
        <v>460000.0</v>
      </c>
      <c r="I44" s="29">
        <v>45893.0</v>
      </c>
      <c r="J44" s="30">
        <v>45894.0</v>
      </c>
      <c r="K44" s="32">
        <v>10000.0</v>
      </c>
      <c r="L44" s="38">
        <v>46097.0</v>
      </c>
      <c r="M44" s="87">
        <v>46419.0</v>
      </c>
      <c r="N44" s="68">
        <v>46471.0</v>
      </c>
      <c r="O44" s="68">
        <v>46466.0</v>
      </c>
      <c r="P44" s="61"/>
      <c r="Q44" s="112" t="s">
        <v>32</v>
      </c>
      <c r="R44" s="51" t="s">
        <v>94</v>
      </c>
      <c r="S44" s="153"/>
      <c r="T44" s="44"/>
      <c r="U44" s="4"/>
      <c r="V44" s="4"/>
      <c r="W44" s="4"/>
      <c r="X44" s="4"/>
      <c r="Y44" s="4"/>
      <c r="Z44" s="4"/>
    </row>
    <row r="45" ht="34.5" customHeight="1">
      <c r="A45" s="27">
        <v>39.0</v>
      </c>
      <c r="B45" s="21" t="s">
        <v>105</v>
      </c>
      <c r="C45" s="22" t="s">
        <v>106</v>
      </c>
      <c r="D45" s="22" t="s">
        <v>107</v>
      </c>
      <c r="E45" s="33" t="s">
        <v>108</v>
      </c>
      <c r="F45" s="25" t="s">
        <v>27</v>
      </c>
      <c r="G45" s="26">
        <v>1.0</v>
      </c>
      <c r="H45" s="28">
        <v>500000.0</v>
      </c>
      <c r="I45" s="38">
        <v>45911.0</v>
      </c>
      <c r="J45" s="30">
        <v>45958.0</v>
      </c>
      <c r="K45" s="32">
        <v>7300.0</v>
      </c>
      <c r="L45" s="34">
        <v>46281.0</v>
      </c>
      <c r="M45" s="104">
        <v>46281.0</v>
      </c>
      <c r="N45" s="68">
        <v>46323.0</v>
      </c>
      <c r="O45" s="68">
        <v>46320.0</v>
      </c>
      <c r="P45" s="61"/>
      <c r="Q45" s="112" t="s">
        <v>32</v>
      </c>
      <c r="R45" s="41" t="s">
        <v>101</v>
      </c>
      <c r="S45" s="62" t="s">
        <v>47</v>
      </c>
      <c r="T45" s="44"/>
      <c r="U45" s="4"/>
      <c r="V45" s="4"/>
      <c r="W45" s="4"/>
      <c r="X45" s="4"/>
      <c r="Y45" s="4"/>
      <c r="Z45" s="4"/>
    </row>
    <row r="46" ht="34.5" customHeight="1">
      <c r="A46" s="27">
        <v>40.0</v>
      </c>
      <c r="B46" s="21" t="s">
        <v>120</v>
      </c>
      <c r="C46" s="66" t="s">
        <v>121</v>
      </c>
      <c r="D46" s="66" t="s">
        <v>122</v>
      </c>
      <c r="E46" s="154"/>
      <c r="F46" s="25" t="s">
        <v>27</v>
      </c>
      <c r="G46" s="26">
        <v>4.0</v>
      </c>
      <c r="H46" s="28">
        <v>2400000.0</v>
      </c>
      <c r="I46" s="29">
        <v>45945.0</v>
      </c>
      <c r="J46" s="30">
        <v>45966.0</v>
      </c>
      <c r="K46" s="32">
        <v>29600.0</v>
      </c>
      <c r="L46" s="34">
        <v>46167.0</v>
      </c>
      <c r="M46" s="104">
        <v>46239.0</v>
      </c>
      <c r="N46" s="68">
        <v>46270.0</v>
      </c>
      <c r="O46" s="68">
        <v>46268.0</v>
      </c>
      <c r="P46" s="37">
        <v>1.0</v>
      </c>
      <c r="Q46" s="49">
        <f t="shared" ref="Q46:Q47" si="5">K46*P46</f>
        <v>29600</v>
      </c>
      <c r="R46" s="41" t="s">
        <v>48</v>
      </c>
      <c r="S46" s="62" t="s">
        <v>142</v>
      </c>
      <c r="T46" s="44"/>
      <c r="U46" s="4"/>
      <c r="V46" s="4"/>
      <c r="W46" s="4"/>
      <c r="X46" s="4"/>
      <c r="Y46" s="4"/>
      <c r="Z46" s="4"/>
    </row>
    <row r="47" ht="34.5" customHeight="1">
      <c r="A47" s="27">
        <v>41.0</v>
      </c>
      <c r="B47" s="54" t="s">
        <v>125</v>
      </c>
      <c r="C47" s="65" t="s">
        <v>126</v>
      </c>
      <c r="D47" s="66" t="s">
        <v>127</v>
      </c>
      <c r="E47" s="33" t="s">
        <v>128</v>
      </c>
      <c r="F47" s="25" t="s">
        <v>27</v>
      </c>
      <c r="G47" s="26">
        <v>2.0</v>
      </c>
      <c r="H47" s="28">
        <v>1000000.0</v>
      </c>
      <c r="I47" s="29">
        <v>45964.0</v>
      </c>
      <c r="J47" s="30">
        <v>46006.0</v>
      </c>
      <c r="K47" s="32">
        <v>16000.0</v>
      </c>
      <c r="L47" s="34">
        <v>46246.0</v>
      </c>
      <c r="M47" s="104">
        <v>46246.0</v>
      </c>
      <c r="N47" s="156">
        <v>46280.0</v>
      </c>
      <c r="O47" s="68">
        <v>46277.0</v>
      </c>
      <c r="P47" s="37">
        <v>1.0</v>
      </c>
      <c r="Q47" s="49">
        <f t="shared" si="5"/>
        <v>16000</v>
      </c>
      <c r="R47" s="41" t="s">
        <v>88</v>
      </c>
      <c r="S47" s="52" t="s">
        <v>205</v>
      </c>
      <c r="T47" s="44"/>
      <c r="U47" s="4"/>
      <c r="V47" s="4"/>
      <c r="W47" s="4"/>
      <c r="X47" s="4"/>
      <c r="Y47" s="4"/>
      <c r="Z47" s="4"/>
    </row>
    <row r="48" ht="34.5" customHeight="1">
      <c r="A48" s="27">
        <v>42.0</v>
      </c>
      <c r="B48" s="64" t="s">
        <v>131</v>
      </c>
      <c r="C48" s="75" t="s">
        <v>132</v>
      </c>
      <c r="D48" s="75" t="s">
        <v>133</v>
      </c>
      <c r="E48" s="33" t="s">
        <v>134</v>
      </c>
      <c r="F48" s="25" t="s">
        <v>27</v>
      </c>
      <c r="G48" s="92">
        <v>1.0</v>
      </c>
      <c r="H48" s="50">
        <v>500000.0</v>
      </c>
      <c r="I48" s="93">
        <v>46009.0</v>
      </c>
      <c r="J48" s="30">
        <v>46037.0</v>
      </c>
      <c r="K48" s="32">
        <v>7500.0</v>
      </c>
      <c r="L48" s="34">
        <v>46263.0</v>
      </c>
      <c r="M48" s="104">
        <v>46294.0</v>
      </c>
      <c r="N48" s="68">
        <v>46325.0</v>
      </c>
      <c r="O48" s="68">
        <v>46322.0</v>
      </c>
      <c r="P48" s="101"/>
      <c r="Q48" s="39" t="s">
        <v>32</v>
      </c>
      <c r="R48" s="55" t="s">
        <v>88</v>
      </c>
      <c r="S48" s="153"/>
      <c r="T48" s="44"/>
      <c r="U48" s="4"/>
      <c r="V48" s="4"/>
      <c r="W48" s="4"/>
      <c r="X48" s="4"/>
      <c r="Y48" s="4"/>
      <c r="Z48" s="4"/>
    </row>
    <row r="49" ht="34.5" customHeight="1">
      <c r="A49" s="27">
        <v>43.0</v>
      </c>
      <c r="B49" s="21" t="s">
        <v>135</v>
      </c>
      <c r="C49" s="22" t="s">
        <v>136</v>
      </c>
      <c r="D49" s="22" t="s">
        <v>136</v>
      </c>
      <c r="E49" s="33" t="s">
        <v>137</v>
      </c>
      <c r="F49" s="25" t="s">
        <v>27</v>
      </c>
      <c r="G49" s="26">
        <v>1.0</v>
      </c>
      <c r="H49" s="28">
        <v>400000.0</v>
      </c>
      <c r="I49" s="29">
        <v>45981.0</v>
      </c>
      <c r="J49" s="30">
        <v>46019.0</v>
      </c>
      <c r="K49" s="32">
        <v>5000.0</v>
      </c>
      <c r="L49" s="34">
        <v>46282.0</v>
      </c>
      <c r="M49" s="104">
        <v>46354.0</v>
      </c>
      <c r="N49" s="68">
        <v>46384.0</v>
      </c>
      <c r="O49" s="68">
        <v>46381.0</v>
      </c>
      <c r="P49" s="61"/>
      <c r="Q49" s="112" t="s">
        <v>32</v>
      </c>
      <c r="R49" s="55" t="s">
        <v>101</v>
      </c>
      <c r="S49" s="153"/>
      <c r="T49" s="44"/>
      <c r="U49" s="4"/>
      <c r="V49" s="4"/>
      <c r="W49" s="4"/>
      <c r="X49" s="4"/>
      <c r="Y49" s="4"/>
      <c r="Z49" s="4"/>
    </row>
    <row r="50" ht="34.5" customHeight="1">
      <c r="A50" s="27">
        <v>44.0</v>
      </c>
      <c r="B50" s="21" t="s">
        <v>169</v>
      </c>
      <c r="C50" s="65" t="s">
        <v>75</v>
      </c>
      <c r="D50" s="65" t="s">
        <v>170</v>
      </c>
      <c r="E50" s="33" t="s">
        <v>172</v>
      </c>
      <c r="F50" s="25" t="s">
        <v>27</v>
      </c>
      <c r="G50" s="26">
        <v>1.0</v>
      </c>
      <c r="H50" s="28">
        <v>500000.0</v>
      </c>
      <c r="I50" s="29">
        <v>46044.0</v>
      </c>
      <c r="J50" s="30">
        <v>46063.0</v>
      </c>
      <c r="K50" s="32">
        <v>15000.0</v>
      </c>
      <c r="L50" s="38">
        <v>46093.0</v>
      </c>
      <c r="M50" s="87">
        <v>46270.0</v>
      </c>
      <c r="N50" s="59">
        <v>46305.0</v>
      </c>
      <c r="O50" s="59">
        <v>46302.0</v>
      </c>
      <c r="P50" s="61"/>
      <c r="Q50" s="39" t="s">
        <v>32</v>
      </c>
      <c r="R50" s="103" t="s">
        <v>173</v>
      </c>
      <c r="S50" s="153"/>
      <c r="T50" s="44"/>
      <c r="U50" s="4"/>
      <c r="V50" s="4"/>
      <c r="W50" s="4"/>
      <c r="X50" s="4"/>
      <c r="Y50" s="4"/>
      <c r="Z50" s="4"/>
    </row>
    <row r="51" ht="34.5" customHeight="1">
      <c r="A51" s="27">
        <v>45.0</v>
      </c>
      <c r="B51" s="54" t="s">
        <v>175</v>
      </c>
      <c r="C51" s="22" t="s">
        <v>121</v>
      </c>
      <c r="D51" s="22" t="s">
        <v>176</v>
      </c>
      <c r="E51" s="33" t="s">
        <v>177</v>
      </c>
      <c r="F51" s="25" t="s">
        <v>27</v>
      </c>
      <c r="G51" s="26">
        <v>1.0</v>
      </c>
      <c r="H51" s="28">
        <v>500000.0</v>
      </c>
      <c r="I51" s="29">
        <v>46047.0</v>
      </c>
      <c r="J51" s="30">
        <v>46063.0</v>
      </c>
      <c r="K51" s="32">
        <v>10000.0</v>
      </c>
      <c r="L51" s="34">
        <v>46277.0</v>
      </c>
      <c r="M51" s="104">
        <v>46277.0</v>
      </c>
      <c r="N51" s="68">
        <v>46305.0</v>
      </c>
      <c r="O51" s="68">
        <v>46302.0</v>
      </c>
      <c r="P51" s="37"/>
      <c r="Q51" s="112" t="s">
        <v>32</v>
      </c>
      <c r="R51" s="41" t="s">
        <v>33</v>
      </c>
      <c r="S51" s="62" t="s">
        <v>289</v>
      </c>
      <c r="T51" s="44"/>
      <c r="U51" s="4"/>
      <c r="V51" s="4"/>
      <c r="W51" s="4"/>
      <c r="X51" s="4"/>
      <c r="Y51" s="4"/>
      <c r="Z51" s="4"/>
    </row>
    <row r="52" ht="34.5" customHeight="1">
      <c r="A52" s="27">
        <v>46.0</v>
      </c>
      <c r="B52" s="21" t="s">
        <v>187</v>
      </c>
      <c r="C52" s="22" t="s">
        <v>112</v>
      </c>
      <c r="D52" s="22" t="s">
        <v>188</v>
      </c>
      <c r="E52" s="33" t="s">
        <v>189</v>
      </c>
      <c r="F52" s="25" t="s">
        <v>27</v>
      </c>
      <c r="G52" s="26">
        <v>1.0</v>
      </c>
      <c r="H52" s="28">
        <v>600000.0</v>
      </c>
      <c r="I52" s="29">
        <v>46047.0</v>
      </c>
      <c r="J52" s="30">
        <v>46068.0</v>
      </c>
      <c r="K52" s="32">
        <v>9000.0</v>
      </c>
      <c r="L52" s="34">
        <v>46275.0</v>
      </c>
      <c r="M52" s="104">
        <v>46275.0</v>
      </c>
      <c r="N52" s="68">
        <v>46310.0</v>
      </c>
      <c r="O52" s="68">
        <v>46307.0</v>
      </c>
      <c r="P52" s="37"/>
      <c r="Q52" s="112" t="s">
        <v>32</v>
      </c>
      <c r="R52" s="41" t="s">
        <v>33</v>
      </c>
      <c r="S52" s="62" t="s">
        <v>301</v>
      </c>
      <c r="T52" s="44"/>
      <c r="U52" s="4"/>
      <c r="V52" s="4"/>
      <c r="W52" s="4"/>
      <c r="X52" s="4"/>
      <c r="Y52" s="4"/>
      <c r="Z52" s="4"/>
    </row>
    <row r="53" ht="34.5" customHeight="1">
      <c r="A53" s="27">
        <v>47.0</v>
      </c>
      <c r="B53" s="21" t="s">
        <v>190</v>
      </c>
      <c r="C53" s="65" t="s">
        <v>191</v>
      </c>
      <c r="D53" s="65" t="s">
        <v>192</v>
      </c>
      <c r="E53" s="33" t="s">
        <v>193</v>
      </c>
      <c r="F53" s="25" t="s">
        <v>27</v>
      </c>
      <c r="G53" s="26">
        <v>1.0</v>
      </c>
      <c r="H53" s="28">
        <v>600000.0</v>
      </c>
      <c r="I53" s="29"/>
      <c r="J53" s="30">
        <v>46068.0</v>
      </c>
      <c r="K53" s="32">
        <v>8500.0</v>
      </c>
      <c r="L53" s="117">
        <v>46271.0</v>
      </c>
      <c r="M53" s="35">
        <v>46271.0</v>
      </c>
      <c r="N53" s="68">
        <v>46307.0</v>
      </c>
      <c r="O53" s="68">
        <v>46307.0</v>
      </c>
      <c r="P53" s="37"/>
      <c r="Q53" s="112" t="s">
        <v>32</v>
      </c>
      <c r="R53" s="41" t="s">
        <v>33</v>
      </c>
      <c r="S53" s="62" t="s">
        <v>301</v>
      </c>
      <c r="T53" s="44"/>
      <c r="U53" s="4"/>
      <c r="V53" s="4"/>
      <c r="W53" s="4"/>
      <c r="X53" s="4"/>
      <c r="Y53" s="4"/>
      <c r="Z53" s="4"/>
    </row>
    <row r="54" ht="34.5" customHeight="1">
      <c r="A54" s="27">
        <v>48.0</v>
      </c>
      <c r="B54" s="54" t="s">
        <v>194</v>
      </c>
      <c r="C54" s="65" t="s">
        <v>136</v>
      </c>
      <c r="D54" s="65" t="s">
        <v>195</v>
      </c>
      <c r="E54" s="33" t="s">
        <v>196</v>
      </c>
      <c r="F54" s="25" t="s">
        <v>100</v>
      </c>
      <c r="G54" s="26">
        <v>1.0</v>
      </c>
      <c r="H54" s="28">
        <v>480000.0</v>
      </c>
      <c r="I54" s="29">
        <v>46063.0</v>
      </c>
      <c r="J54" s="30">
        <v>46091.0</v>
      </c>
      <c r="K54" s="32">
        <v>6000.0</v>
      </c>
      <c r="L54" s="34">
        <v>46247.0</v>
      </c>
      <c r="M54" s="104">
        <v>46247.0</v>
      </c>
      <c r="N54" s="68">
        <v>46275.0</v>
      </c>
      <c r="O54" s="68">
        <v>46270.0</v>
      </c>
      <c r="P54" s="37">
        <v>1.0</v>
      </c>
      <c r="Q54" s="49">
        <f t="shared" ref="Q54:Q55" si="6">K54*P54</f>
        <v>6000</v>
      </c>
      <c r="R54" s="41" t="s">
        <v>141</v>
      </c>
      <c r="S54" s="62" t="s">
        <v>47</v>
      </c>
      <c r="T54" s="44"/>
      <c r="U54" s="4"/>
      <c r="V54" s="4"/>
      <c r="W54" s="4"/>
      <c r="X54" s="4"/>
      <c r="Y54" s="4"/>
      <c r="Z54" s="4"/>
    </row>
    <row r="55" ht="34.5" customHeight="1">
      <c r="A55" s="27">
        <v>49.0</v>
      </c>
      <c r="B55" s="118" t="s">
        <v>198</v>
      </c>
      <c r="C55" s="46" t="s">
        <v>90</v>
      </c>
      <c r="D55" s="46" t="s">
        <v>200</v>
      </c>
      <c r="E55" s="106" t="s">
        <v>201</v>
      </c>
      <c r="F55" s="167" t="s">
        <v>27</v>
      </c>
      <c r="G55" s="92">
        <v>1.0</v>
      </c>
      <c r="H55" s="50">
        <v>700000.0</v>
      </c>
      <c r="I55" s="38">
        <v>46050.0</v>
      </c>
      <c r="J55" s="30">
        <v>46259.0</v>
      </c>
      <c r="K55" s="32">
        <v>15000.0</v>
      </c>
      <c r="L55" s="38">
        <v>46090.0</v>
      </c>
      <c r="M55" s="120"/>
      <c r="N55" s="59">
        <v>46259.0</v>
      </c>
      <c r="O55" s="59">
        <v>46256.0</v>
      </c>
      <c r="P55" s="57">
        <v>2.0</v>
      </c>
      <c r="Q55" s="58">
        <f t="shared" si="6"/>
        <v>30000</v>
      </c>
      <c r="R55" s="60" t="s">
        <v>204</v>
      </c>
      <c r="S55" s="153"/>
      <c r="T55" s="44"/>
      <c r="U55" s="4"/>
      <c r="V55" s="4"/>
      <c r="W55" s="4"/>
      <c r="X55" s="4"/>
      <c r="Y55" s="4"/>
      <c r="Z55" s="4"/>
    </row>
    <row r="56" ht="34.5" customHeight="1">
      <c r="A56" s="27">
        <v>50.0</v>
      </c>
      <c r="B56" s="21" t="s">
        <v>206</v>
      </c>
      <c r="C56" s="22" t="s">
        <v>207</v>
      </c>
      <c r="D56" s="22" t="s">
        <v>208</v>
      </c>
      <c r="E56" s="33" t="s">
        <v>209</v>
      </c>
      <c r="F56" s="25" t="s">
        <v>27</v>
      </c>
      <c r="G56" s="26">
        <v>1.0</v>
      </c>
      <c r="H56" s="28">
        <v>600000.0</v>
      </c>
      <c r="I56" s="29">
        <v>46091.0</v>
      </c>
      <c r="J56" s="30">
        <v>46122.0</v>
      </c>
      <c r="K56" s="32">
        <v>8000.0</v>
      </c>
      <c r="L56" s="83">
        <v>46268.0</v>
      </c>
      <c r="M56" s="104">
        <v>46268.0</v>
      </c>
      <c r="N56" s="68">
        <v>46305.0</v>
      </c>
      <c r="O56" s="68">
        <v>46302.0</v>
      </c>
      <c r="P56" s="61"/>
      <c r="Q56" s="112" t="s">
        <v>32</v>
      </c>
      <c r="R56" s="55" t="s">
        <v>141</v>
      </c>
      <c r="S56" s="168" t="s">
        <v>47</v>
      </c>
      <c r="T56" s="44"/>
      <c r="U56" s="4"/>
      <c r="V56" s="4"/>
      <c r="W56" s="4"/>
      <c r="X56" s="4"/>
      <c r="Y56" s="4"/>
      <c r="Z56" s="4"/>
    </row>
    <row r="57" ht="34.5" customHeight="1">
      <c r="A57" s="27">
        <v>51.0</v>
      </c>
      <c r="B57" s="21" t="s">
        <v>213</v>
      </c>
      <c r="C57" s="56" t="s">
        <v>24</v>
      </c>
      <c r="D57" s="56" t="s">
        <v>214</v>
      </c>
      <c r="E57" s="154"/>
      <c r="F57" s="25" t="s">
        <v>215</v>
      </c>
      <c r="G57" s="26">
        <v>1.0</v>
      </c>
      <c r="H57" s="28">
        <v>500000.0</v>
      </c>
      <c r="I57" s="29">
        <v>46054.0</v>
      </c>
      <c r="J57" s="30">
        <v>46101.0</v>
      </c>
      <c r="K57" s="32">
        <v>5500.0</v>
      </c>
      <c r="L57" s="34">
        <v>46285.0</v>
      </c>
      <c r="M57" s="104">
        <v>46285.0</v>
      </c>
      <c r="N57" s="68">
        <v>46316.0</v>
      </c>
      <c r="O57" s="68">
        <v>46312.0</v>
      </c>
      <c r="P57" s="61"/>
      <c r="Q57" s="112" t="s">
        <v>32</v>
      </c>
      <c r="R57" s="125" t="s">
        <v>71</v>
      </c>
      <c r="S57" s="153" t="s">
        <v>47</v>
      </c>
      <c r="T57" s="44"/>
      <c r="U57" s="4"/>
      <c r="V57" s="4"/>
      <c r="W57" s="4"/>
      <c r="X57" s="4"/>
      <c r="Y57" s="4"/>
      <c r="Z57" s="4"/>
    </row>
    <row r="58" ht="34.5" customHeight="1">
      <c r="A58" s="27">
        <v>52.0</v>
      </c>
      <c r="B58" s="21" t="s">
        <v>216</v>
      </c>
      <c r="C58" s="56" t="s">
        <v>24</v>
      </c>
      <c r="D58" s="56" t="s">
        <v>214</v>
      </c>
      <c r="E58" s="154"/>
      <c r="F58" s="25" t="s">
        <v>27</v>
      </c>
      <c r="G58" s="26">
        <v>1.0</v>
      </c>
      <c r="H58" s="28">
        <v>650000.0</v>
      </c>
      <c r="I58" s="29">
        <v>46054.0</v>
      </c>
      <c r="J58" s="30">
        <v>46101.0</v>
      </c>
      <c r="K58" s="32">
        <v>11000.0</v>
      </c>
      <c r="L58" s="34">
        <v>46285.0</v>
      </c>
      <c r="M58" s="104">
        <v>46285.0</v>
      </c>
      <c r="N58" s="68">
        <v>46316.0</v>
      </c>
      <c r="O58" s="68">
        <v>46312.0</v>
      </c>
      <c r="P58" s="61"/>
      <c r="Q58" s="112" t="s">
        <v>32</v>
      </c>
      <c r="R58" s="125" t="s">
        <v>71</v>
      </c>
      <c r="S58" s="153" t="s">
        <v>47</v>
      </c>
      <c r="T58" s="44"/>
      <c r="U58" s="4"/>
      <c r="V58" s="4"/>
      <c r="W58" s="4"/>
      <c r="X58" s="4"/>
      <c r="Y58" s="4"/>
      <c r="Z58" s="4"/>
    </row>
    <row r="59" ht="34.5" customHeight="1">
      <c r="A59" s="27">
        <v>53.0</v>
      </c>
      <c r="B59" s="21" t="s">
        <v>217</v>
      </c>
      <c r="C59" s="56" t="s">
        <v>24</v>
      </c>
      <c r="D59" s="56" t="s">
        <v>218</v>
      </c>
      <c r="E59" s="154"/>
      <c r="F59" s="25" t="s">
        <v>100</v>
      </c>
      <c r="G59" s="26">
        <v>1.0</v>
      </c>
      <c r="H59" s="28">
        <v>500000.0</v>
      </c>
      <c r="I59" s="29">
        <v>46054.0</v>
      </c>
      <c r="J59" s="30">
        <v>46101.0</v>
      </c>
      <c r="K59" s="32">
        <v>5500.0</v>
      </c>
      <c r="L59" s="34">
        <v>46285.0</v>
      </c>
      <c r="M59" s="104">
        <v>46285.0</v>
      </c>
      <c r="N59" s="68">
        <v>46316.0</v>
      </c>
      <c r="O59" s="68">
        <v>46312.0</v>
      </c>
      <c r="P59" s="61"/>
      <c r="Q59" s="112" t="s">
        <v>32</v>
      </c>
      <c r="R59" s="125" t="s">
        <v>71</v>
      </c>
      <c r="S59" s="153" t="s">
        <v>47</v>
      </c>
      <c r="T59" s="44"/>
      <c r="U59" s="4"/>
      <c r="V59" s="4"/>
      <c r="W59" s="4"/>
      <c r="X59" s="4"/>
      <c r="Y59" s="4"/>
      <c r="Z59" s="4"/>
    </row>
    <row r="60" ht="34.5" customHeight="1">
      <c r="A60" s="27">
        <v>54.0</v>
      </c>
      <c r="B60" s="21" t="s">
        <v>227</v>
      </c>
      <c r="C60" s="22" t="s">
        <v>90</v>
      </c>
      <c r="D60" s="22" t="s">
        <v>228</v>
      </c>
      <c r="E60" s="33" t="s">
        <v>230</v>
      </c>
      <c r="F60" s="25" t="s">
        <v>60</v>
      </c>
      <c r="G60" s="26">
        <v>5.0</v>
      </c>
      <c r="H60" s="28">
        <v>4000000.0</v>
      </c>
      <c r="I60" s="29"/>
      <c r="J60" s="53">
        <v>46397.0</v>
      </c>
      <c r="K60" s="32">
        <v>50000.0</v>
      </c>
      <c r="L60" s="38"/>
      <c r="M60" s="87"/>
      <c r="N60" s="68">
        <v>46397.0</v>
      </c>
      <c r="O60" s="68">
        <v>46394.0</v>
      </c>
      <c r="P60" s="37"/>
      <c r="Q60" s="26"/>
      <c r="R60" s="55" t="s">
        <v>232</v>
      </c>
      <c r="S60" s="62" t="s">
        <v>306</v>
      </c>
      <c r="T60" s="44"/>
      <c r="U60" s="4"/>
      <c r="V60" s="166"/>
      <c r="W60" s="4"/>
      <c r="X60" s="4"/>
      <c r="Y60" s="4"/>
      <c r="Z60" s="4"/>
    </row>
    <row r="61" ht="34.5" customHeight="1">
      <c r="A61" s="27">
        <v>55.0</v>
      </c>
      <c r="B61" s="21" t="s">
        <v>248</v>
      </c>
      <c r="C61" s="56" t="s">
        <v>90</v>
      </c>
      <c r="D61" s="56" t="s">
        <v>249</v>
      </c>
      <c r="E61" s="154"/>
      <c r="F61" s="25" t="s">
        <v>27</v>
      </c>
      <c r="G61" s="26">
        <v>2.0</v>
      </c>
      <c r="H61" s="28">
        <v>100000.0</v>
      </c>
      <c r="I61" s="29">
        <v>46139.0</v>
      </c>
      <c r="J61" s="30">
        <v>46162.0</v>
      </c>
      <c r="K61" s="32">
        <v>15000.0</v>
      </c>
      <c r="L61" s="34">
        <v>46278.0</v>
      </c>
      <c r="M61" s="104">
        <v>46303.0</v>
      </c>
      <c r="N61" s="68">
        <v>46346.0</v>
      </c>
      <c r="O61" s="68">
        <v>46341.0</v>
      </c>
      <c r="P61" s="61"/>
      <c r="Q61" s="112" t="s">
        <v>32</v>
      </c>
      <c r="R61" s="55" t="s">
        <v>141</v>
      </c>
      <c r="S61" s="153" t="s">
        <v>47</v>
      </c>
      <c r="T61" s="44"/>
      <c r="U61" s="4"/>
      <c r="V61" s="166"/>
      <c r="W61" s="4"/>
      <c r="X61" s="4"/>
      <c r="Y61" s="4"/>
      <c r="Z61" s="4"/>
    </row>
    <row r="62" ht="34.5" customHeight="1">
      <c r="A62" s="27">
        <v>56.0</v>
      </c>
      <c r="B62" s="118" t="s">
        <v>257</v>
      </c>
      <c r="C62" s="46" t="s">
        <v>30</v>
      </c>
      <c r="D62" s="76" t="s">
        <v>258</v>
      </c>
      <c r="E62" s="144" t="s">
        <v>259</v>
      </c>
      <c r="F62" s="48" t="s">
        <v>27</v>
      </c>
      <c r="G62" s="50">
        <v>1.0</v>
      </c>
      <c r="H62" s="50">
        <v>700000.0</v>
      </c>
      <c r="I62" s="38">
        <v>46132.0</v>
      </c>
      <c r="J62" s="30">
        <v>46157.0</v>
      </c>
      <c r="K62" s="32">
        <v>10000.0</v>
      </c>
      <c r="L62" s="127">
        <v>46247.0</v>
      </c>
      <c r="M62" s="104">
        <v>46280.0</v>
      </c>
      <c r="N62" s="68">
        <v>46310.0</v>
      </c>
      <c r="O62" s="68">
        <v>46307.0</v>
      </c>
      <c r="P62" s="37"/>
      <c r="Q62" s="112" t="s">
        <v>32</v>
      </c>
      <c r="R62" s="55" t="s">
        <v>79</v>
      </c>
      <c r="S62" s="62" t="s">
        <v>142</v>
      </c>
      <c r="T62" s="44"/>
      <c r="U62" s="4"/>
      <c r="V62" s="166"/>
      <c r="W62" s="4"/>
      <c r="X62" s="4"/>
      <c r="Y62" s="4"/>
      <c r="Z62" s="4"/>
    </row>
    <row r="63" ht="34.5" customHeight="1">
      <c r="A63" s="27">
        <v>57.0</v>
      </c>
      <c r="B63" s="136" t="s">
        <v>260</v>
      </c>
      <c r="C63" s="46" t="s">
        <v>78</v>
      </c>
      <c r="D63" s="65" t="s">
        <v>261</v>
      </c>
      <c r="E63" s="177" t="s">
        <v>262</v>
      </c>
      <c r="F63" s="91" t="s">
        <v>100</v>
      </c>
      <c r="G63" s="114">
        <v>1.0</v>
      </c>
      <c r="H63" s="137">
        <v>350000.0</v>
      </c>
      <c r="I63" s="115">
        <v>46158.0</v>
      </c>
      <c r="J63" s="53">
        <v>46183.0</v>
      </c>
      <c r="K63" s="32">
        <v>5000.0</v>
      </c>
      <c r="L63" s="115">
        <v>46240.0</v>
      </c>
      <c r="M63" s="104">
        <v>46275.0</v>
      </c>
      <c r="N63" s="140">
        <v>46305.0</v>
      </c>
      <c r="O63" s="140">
        <v>46305.0</v>
      </c>
      <c r="P63" s="37"/>
      <c r="Q63" s="112" t="s">
        <v>32</v>
      </c>
      <c r="R63" s="55" t="s">
        <v>115</v>
      </c>
      <c r="S63" s="62" t="s">
        <v>289</v>
      </c>
      <c r="T63" s="44"/>
      <c r="U63" s="4"/>
      <c r="V63" s="166"/>
      <c r="W63" s="4"/>
      <c r="X63" s="4"/>
      <c r="Y63" s="4"/>
      <c r="Z63" s="4"/>
    </row>
    <row r="64" ht="34.5" customHeight="1">
      <c r="A64" s="27">
        <v>58.0</v>
      </c>
      <c r="B64" s="118" t="s">
        <v>269</v>
      </c>
      <c r="C64" s="46" t="s">
        <v>121</v>
      </c>
      <c r="D64" s="76" t="s">
        <v>270</v>
      </c>
      <c r="E64" s="89" t="s">
        <v>271</v>
      </c>
      <c r="F64" s="91" t="s">
        <v>100</v>
      </c>
      <c r="G64" s="114">
        <v>2.0</v>
      </c>
      <c r="H64" s="50">
        <f>375000*2</f>
        <v>750000</v>
      </c>
      <c r="I64" s="38">
        <v>46098.0</v>
      </c>
      <c r="J64" s="53">
        <v>46191.0</v>
      </c>
      <c r="K64" s="116">
        <v>30000.0</v>
      </c>
      <c r="L64" s="34">
        <v>46168.0</v>
      </c>
      <c r="M64" s="104">
        <v>46252.0</v>
      </c>
      <c r="N64" s="68">
        <v>46283.0</v>
      </c>
      <c r="O64" s="68">
        <v>46280.0</v>
      </c>
      <c r="P64" s="37">
        <v>1.0</v>
      </c>
      <c r="Q64" s="49">
        <f>K64*P64</f>
        <v>30000</v>
      </c>
      <c r="R64" s="51" t="s">
        <v>35</v>
      </c>
      <c r="S64" s="62" t="s">
        <v>142</v>
      </c>
      <c r="T64" s="44"/>
      <c r="U64" s="4"/>
      <c r="V64" s="166"/>
      <c r="W64" s="4"/>
      <c r="X64" s="4"/>
      <c r="Y64" s="4"/>
      <c r="Z64" s="4"/>
    </row>
    <row r="65" ht="34.5" customHeight="1">
      <c r="A65" s="27">
        <v>59.0</v>
      </c>
      <c r="B65" s="97" t="s">
        <v>290</v>
      </c>
      <c r="C65" s="76" t="s">
        <v>291</v>
      </c>
      <c r="D65" s="76" t="s">
        <v>292</v>
      </c>
      <c r="E65" s="151" t="s">
        <v>293</v>
      </c>
      <c r="F65" s="48" t="s">
        <v>294</v>
      </c>
      <c r="G65" s="50">
        <v>1.0</v>
      </c>
      <c r="H65" s="70">
        <v>300000.0</v>
      </c>
      <c r="I65" s="115">
        <v>46183.0</v>
      </c>
      <c r="J65" s="53">
        <v>46218.0</v>
      </c>
      <c r="K65" s="32">
        <v>5000.0</v>
      </c>
      <c r="L65" s="115">
        <v>46270.0</v>
      </c>
      <c r="M65" s="104">
        <v>46310.0</v>
      </c>
      <c r="N65" s="68">
        <v>46341.0</v>
      </c>
      <c r="O65" s="68">
        <v>46338.0</v>
      </c>
      <c r="P65" s="37"/>
      <c r="Q65" s="39" t="s">
        <v>32</v>
      </c>
      <c r="R65" s="41" t="s">
        <v>115</v>
      </c>
      <c r="S65" s="153" t="s">
        <v>47</v>
      </c>
      <c r="T65" s="44"/>
      <c r="U65" s="4"/>
      <c r="V65" s="166"/>
      <c r="W65" s="4"/>
      <c r="X65" s="4"/>
      <c r="Y65" s="4"/>
      <c r="Z65" s="4"/>
    </row>
    <row r="66" ht="34.5" customHeight="1">
      <c r="A66" s="27">
        <v>60.0</v>
      </c>
      <c r="B66" s="97" t="s">
        <v>296</v>
      </c>
      <c r="C66" s="76" t="s">
        <v>291</v>
      </c>
      <c r="D66" s="76" t="s">
        <v>297</v>
      </c>
      <c r="E66" s="181" t="s">
        <v>298</v>
      </c>
      <c r="F66" s="48" t="s">
        <v>27</v>
      </c>
      <c r="G66" s="50">
        <v>1.0</v>
      </c>
      <c r="H66" s="95">
        <v>400000.0</v>
      </c>
      <c r="I66" s="115">
        <v>46187.0</v>
      </c>
      <c r="J66" s="30">
        <v>46280.0</v>
      </c>
      <c r="K66" s="32">
        <v>10000.0</v>
      </c>
      <c r="L66" s="38"/>
      <c r="M66" s="87"/>
      <c r="N66" s="68">
        <v>46280.0</v>
      </c>
      <c r="O66" s="68">
        <v>46277.0</v>
      </c>
      <c r="P66" s="37">
        <v>1.0</v>
      </c>
      <c r="Q66" s="49">
        <f>K66*P66</f>
        <v>10000</v>
      </c>
      <c r="R66" s="55" t="s">
        <v>299</v>
      </c>
      <c r="S66" s="153" t="s">
        <v>47</v>
      </c>
      <c r="T66" s="44"/>
      <c r="U66" s="4"/>
      <c r="V66" s="166"/>
      <c r="W66" s="4"/>
      <c r="X66" s="4"/>
      <c r="Y66" s="4"/>
      <c r="Z66" s="4"/>
    </row>
    <row r="67" ht="34.5" customHeight="1">
      <c r="A67" s="27">
        <v>61.0</v>
      </c>
      <c r="B67" s="97" t="s">
        <v>303</v>
      </c>
      <c r="C67" s="76" t="s">
        <v>163</v>
      </c>
      <c r="D67" s="76" t="s">
        <v>304</v>
      </c>
      <c r="E67" s="169" t="s">
        <v>305</v>
      </c>
      <c r="F67" s="79" t="s">
        <v>100</v>
      </c>
      <c r="G67" s="170">
        <v>1.0</v>
      </c>
      <c r="H67" s="171">
        <v>500000.0</v>
      </c>
      <c r="I67" s="34">
        <v>46205.0</v>
      </c>
      <c r="J67" s="30">
        <v>46305.0</v>
      </c>
      <c r="K67" s="32">
        <v>5000.0</v>
      </c>
      <c r="L67" s="38"/>
      <c r="M67" s="87"/>
      <c r="N67" s="68">
        <v>46305.0</v>
      </c>
      <c r="O67" s="68">
        <v>46300.0</v>
      </c>
      <c r="P67" s="121"/>
      <c r="Q67" s="49"/>
      <c r="R67" s="55" t="s">
        <v>307</v>
      </c>
      <c r="S67" s="153"/>
      <c r="T67" s="44"/>
      <c r="U67" s="4"/>
      <c r="V67" s="166"/>
      <c r="W67" s="4"/>
      <c r="X67" s="4"/>
      <c r="Y67" s="4"/>
      <c r="Z67" s="4"/>
    </row>
    <row r="68" ht="34.5" customHeight="1">
      <c r="A68" s="27">
        <v>62.0</v>
      </c>
      <c r="B68" s="184" t="s">
        <v>308</v>
      </c>
      <c r="C68" s="46" t="s">
        <v>229</v>
      </c>
      <c r="D68" s="46" t="s">
        <v>309</v>
      </c>
      <c r="E68" s="169" t="s">
        <v>310</v>
      </c>
      <c r="F68" s="174" t="s">
        <v>100</v>
      </c>
      <c r="G68" s="175">
        <v>3.0</v>
      </c>
      <c r="H68" s="176">
        <v>400000.0</v>
      </c>
      <c r="I68" s="188">
        <v>46100.0</v>
      </c>
      <c r="J68" s="30">
        <v>46194.0</v>
      </c>
      <c r="K68" s="32">
        <v>14800.0</v>
      </c>
      <c r="L68" s="72">
        <v>46212.0</v>
      </c>
      <c r="M68" s="104">
        <v>46286.0</v>
      </c>
      <c r="N68" s="68">
        <v>46377.0</v>
      </c>
      <c r="O68" s="68">
        <v>46374.0</v>
      </c>
      <c r="P68" s="121"/>
      <c r="Q68" s="39" t="s">
        <v>32</v>
      </c>
      <c r="R68" s="55" t="s">
        <v>83</v>
      </c>
      <c r="S68" s="153" t="s">
        <v>47</v>
      </c>
      <c r="T68" s="44"/>
      <c r="U68" s="4"/>
      <c r="V68" s="166"/>
      <c r="W68" s="4"/>
      <c r="X68" s="4"/>
      <c r="Y68" s="4"/>
      <c r="Z68" s="4"/>
    </row>
    <row r="69" ht="34.5" customHeight="1">
      <c r="A69" s="27">
        <v>63.0</v>
      </c>
      <c r="B69" s="64" t="s">
        <v>311</v>
      </c>
      <c r="C69" s="46" t="s">
        <v>229</v>
      </c>
      <c r="D69" s="46" t="s">
        <v>309</v>
      </c>
      <c r="E69" s="169" t="s">
        <v>310</v>
      </c>
      <c r="F69" s="48" t="s">
        <v>27</v>
      </c>
      <c r="G69" s="50">
        <v>1.0</v>
      </c>
      <c r="H69" s="70">
        <v>500000.0</v>
      </c>
      <c r="I69" s="38">
        <v>45972.0</v>
      </c>
      <c r="J69" s="30">
        <v>46183.0</v>
      </c>
      <c r="K69" s="32">
        <v>40000.0</v>
      </c>
      <c r="L69" s="72">
        <v>46212.0</v>
      </c>
      <c r="M69" s="104">
        <v>46187.0</v>
      </c>
      <c r="N69" s="68">
        <v>46366.0</v>
      </c>
      <c r="O69" s="68">
        <v>46361.0</v>
      </c>
      <c r="P69" s="101"/>
      <c r="Q69" s="39" t="s">
        <v>32</v>
      </c>
      <c r="R69" s="55" t="s">
        <v>197</v>
      </c>
      <c r="S69" s="153" t="s">
        <v>47</v>
      </c>
      <c r="T69" s="44"/>
      <c r="U69" s="4"/>
      <c r="V69" s="166"/>
      <c r="W69" s="4"/>
      <c r="X69" s="4"/>
      <c r="Y69" s="4"/>
      <c r="Z69" s="4"/>
    </row>
    <row r="70" ht="34.5" customHeight="1">
      <c r="A70" s="27">
        <v>64.0</v>
      </c>
      <c r="B70" s="64" t="s">
        <v>312</v>
      </c>
      <c r="C70" s="46" t="s">
        <v>229</v>
      </c>
      <c r="D70" s="46" t="s">
        <v>309</v>
      </c>
      <c r="E70" s="142" t="s">
        <v>310</v>
      </c>
      <c r="F70" s="48" t="s">
        <v>294</v>
      </c>
      <c r="G70" s="50">
        <v>1.0</v>
      </c>
      <c r="H70" s="70">
        <v>300000.0</v>
      </c>
      <c r="I70" s="38">
        <v>45977.0</v>
      </c>
      <c r="J70" s="30">
        <v>46183.0</v>
      </c>
      <c r="K70" s="116">
        <v>29000.0</v>
      </c>
      <c r="L70" s="72">
        <v>46212.0</v>
      </c>
      <c r="M70" s="104">
        <v>46187.0</v>
      </c>
      <c r="N70" s="68">
        <v>46366.0</v>
      </c>
      <c r="O70" s="68">
        <v>46361.0</v>
      </c>
      <c r="P70" s="101"/>
      <c r="Q70" s="39" t="s">
        <v>32</v>
      </c>
      <c r="R70" s="55" t="s">
        <v>197</v>
      </c>
      <c r="S70" s="153" t="s">
        <v>47</v>
      </c>
      <c r="T70" s="44"/>
      <c r="U70" s="4"/>
      <c r="V70" s="166"/>
      <c r="W70" s="4"/>
      <c r="X70" s="4"/>
      <c r="Y70" s="4"/>
      <c r="Z70" s="4"/>
    </row>
    <row r="71" ht="34.5" customHeight="1">
      <c r="A71" s="27">
        <v>65.0</v>
      </c>
      <c r="B71" s="64" t="s">
        <v>313</v>
      </c>
      <c r="C71" s="46" t="s">
        <v>229</v>
      </c>
      <c r="D71" s="46" t="s">
        <v>314</v>
      </c>
      <c r="E71" s="142" t="s">
        <v>315</v>
      </c>
      <c r="F71" s="48" t="s">
        <v>100</v>
      </c>
      <c r="G71" s="50">
        <v>3.0</v>
      </c>
      <c r="H71" s="70">
        <v>400000.0</v>
      </c>
      <c r="I71" s="38">
        <v>46100.0</v>
      </c>
      <c r="J71" s="53">
        <v>46193.0</v>
      </c>
      <c r="K71" s="32">
        <v>14800.0</v>
      </c>
      <c r="L71" s="72">
        <v>46212.0</v>
      </c>
      <c r="M71" s="104">
        <v>46286.0</v>
      </c>
      <c r="N71" s="68">
        <v>46376.0</v>
      </c>
      <c r="O71" s="68">
        <v>46373.0</v>
      </c>
      <c r="P71" s="121"/>
      <c r="Q71" s="39" t="s">
        <v>32</v>
      </c>
      <c r="R71" s="55" t="s">
        <v>83</v>
      </c>
      <c r="S71" s="153" t="s">
        <v>47</v>
      </c>
      <c r="T71" s="44"/>
      <c r="U71" s="4"/>
      <c r="V71" s="166"/>
      <c r="W71" s="4"/>
      <c r="X71" s="4"/>
      <c r="Y71" s="4"/>
      <c r="Z71" s="4"/>
    </row>
    <row r="72" ht="34.5" customHeight="1">
      <c r="A72" s="27">
        <v>66.0</v>
      </c>
      <c r="B72" s="64" t="s">
        <v>316</v>
      </c>
      <c r="C72" s="46" t="s">
        <v>229</v>
      </c>
      <c r="D72" s="46" t="s">
        <v>314</v>
      </c>
      <c r="E72" s="142" t="s">
        <v>315</v>
      </c>
      <c r="F72" s="48" t="s">
        <v>27</v>
      </c>
      <c r="G72" s="50">
        <v>1.0</v>
      </c>
      <c r="H72" s="70">
        <v>500000.0</v>
      </c>
      <c r="I72" s="38">
        <v>45974.0</v>
      </c>
      <c r="J72" s="30">
        <v>46183.0</v>
      </c>
      <c r="K72" s="32">
        <v>40000.0</v>
      </c>
      <c r="L72" s="72">
        <v>46212.0</v>
      </c>
      <c r="M72" s="104">
        <v>46187.0</v>
      </c>
      <c r="N72" s="68">
        <v>46366.0</v>
      </c>
      <c r="O72" s="68">
        <v>46361.0</v>
      </c>
      <c r="P72" s="101"/>
      <c r="Q72" s="112" t="s">
        <v>32</v>
      </c>
      <c r="R72" s="55" t="s">
        <v>197</v>
      </c>
      <c r="S72" s="153" t="s">
        <v>47</v>
      </c>
      <c r="T72" s="44"/>
      <c r="U72" s="4"/>
      <c r="V72" s="166"/>
      <c r="W72" s="4"/>
      <c r="X72" s="4"/>
      <c r="Y72" s="4"/>
      <c r="Z72" s="4"/>
    </row>
    <row r="73" ht="34.5" customHeight="1">
      <c r="A73" s="27">
        <v>67.0</v>
      </c>
      <c r="B73" s="64" t="s">
        <v>317</v>
      </c>
      <c r="C73" s="46" t="s">
        <v>229</v>
      </c>
      <c r="D73" s="46" t="s">
        <v>314</v>
      </c>
      <c r="E73" s="142" t="s">
        <v>315</v>
      </c>
      <c r="F73" s="48" t="s">
        <v>294</v>
      </c>
      <c r="G73" s="50">
        <v>1.0</v>
      </c>
      <c r="H73" s="70">
        <v>300000.0</v>
      </c>
      <c r="I73" s="38">
        <v>45977.0</v>
      </c>
      <c r="J73" s="30">
        <v>46183.0</v>
      </c>
      <c r="K73" s="116">
        <v>29000.0</v>
      </c>
      <c r="L73" s="72">
        <v>46212.0</v>
      </c>
      <c r="M73" s="104">
        <v>46187.0</v>
      </c>
      <c r="N73" s="68">
        <v>46366.0</v>
      </c>
      <c r="O73" s="68">
        <v>46361.0</v>
      </c>
      <c r="P73" s="101"/>
      <c r="Q73" s="112" t="s">
        <v>32</v>
      </c>
      <c r="R73" s="55" t="s">
        <v>197</v>
      </c>
      <c r="S73" s="153" t="s">
        <v>47</v>
      </c>
      <c r="T73" s="44"/>
      <c r="U73" s="4"/>
      <c r="V73" s="166"/>
      <c r="W73" s="4"/>
      <c r="X73" s="4"/>
      <c r="Y73" s="4"/>
      <c r="Z73" s="4"/>
    </row>
    <row r="74" ht="34.5" customHeight="1">
      <c r="A74" s="27">
        <v>68.0</v>
      </c>
      <c r="B74" s="64" t="s">
        <v>318</v>
      </c>
      <c r="C74" s="46" t="s">
        <v>229</v>
      </c>
      <c r="D74" s="46" t="s">
        <v>319</v>
      </c>
      <c r="E74" s="142" t="s">
        <v>320</v>
      </c>
      <c r="F74" s="48" t="s">
        <v>27</v>
      </c>
      <c r="G74" s="182">
        <v>1.0</v>
      </c>
      <c r="H74" s="70">
        <v>500000.0</v>
      </c>
      <c r="I74" s="72">
        <v>46072.0</v>
      </c>
      <c r="J74" s="30">
        <v>46183.0</v>
      </c>
      <c r="K74" s="116">
        <v>25000.0</v>
      </c>
      <c r="L74" s="72">
        <v>46215.0</v>
      </c>
      <c r="M74" s="104">
        <v>46275.0</v>
      </c>
      <c r="N74" s="68">
        <v>46366.0</v>
      </c>
      <c r="O74" s="68">
        <v>46361.0</v>
      </c>
      <c r="P74" s="37"/>
      <c r="Q74" s="39" t="s">
        <v>32</v>
      </c>
      <c r="R74" s="55" t="s">
        <v>83</v>
      </c>
      <c r="S74" s="153" t="s">
        <v>47</v>
      </c>
      <c r="T74" s="44"/>
      <c r="U74" s="4"/>
      <c r="V74" s="166"/>
      <c r="W74" s="4"/>
      <c r="X74" s="4"/>
      <c r="Y74" s="4"/>
      <c r="Z74" s="4"/>
    </row>
    <row r="75" ht="34.5" customHeight="1">
      <c r="A75" s="27">
        <v>69.0</v>
      </c>
      <c r="B75" s="192" t="s">
        <v>321</v>
      </c>
      <c r="C75" s="66" t="s">
        <v>229</v>
      </c>
      <c r="D75" s="66" t="s">
        <v>322</v>
      </c>
      <c r="E75" s="193"/>
      <c r="F75" s="79" t="s">
        <v>27</v>
      </c>
      <c r="G75" s="50">
        <v>1.0</v>
      </c>
      <c r="H75" s="70">
        <v>500000.0</v>
      </c>
      <c r="I75" s="38"/>
      <c r="J75" s="30">
        <v>46032.0</v>
      </c>
      <c r="K75" s="32">
        <v>5000.0</v>
      </c>
      <c r="L75" s="83">
        <v>46240.0</v>
      </c>
      <c r="M75" s="104">
        <v>46275.0</v>
      </c>
      <c r="N75" s="68">
        <v>46305.0</v>
      </c>
      <c r="O75" s="68">
        <v>46302.0</v>
      </c>
      <c r="P75" s="37"/>
      <c r="Q75" s="112" t="s">
        <v>32</v>
      </c>
      <c r="R75" s="55" t="s">
        <v>88</v>
      </c>
      <c r="S75" s="153" t="s">
        <v>47</v>
      </c>
      <c r="T75" s="44"/>
      <c r="U75" s="4"/>
      <c r="V75" s="166"/>
      <c r="W75" s="4"/>
      <c r="X75" s="4"/>
      <c r="Y75" s="4"/>
      <c r="Z75" s="4"/>
    </row>
    <row r="76" ht="34.5" customHeight="1">
      <c r="A76" s="27">
        <v>70.0</v>
      </c>
      <c r="B76" s="64" t="s">
        <v>325</v>
      </c>
      <c r="C76" s="76" t="s">
        <v>207</v>
      </c>
      <c r="D76" s="76" t="s">
        <v>266</v>
      </c>
      <c r="E76" s="142" t="s">
        <v>326</v>
      </c>
      <c r="F76" s="133" t="s">
        <v>60</v>
      </c>
      <c r="G76" s="50">
        <v>5.0</v>
      </c>
      <c r="H76" s="70">
        <v>5000000.0</v>
      </c>
      <c r="I76" s="34">
        <v>46219.0</v>
      </c>
      <c r="J76" s="30">
        <v>46346.0</v>
      </c>
      <c r="K76" s="32">
        <v>60000.0</v>
      </c>
      <c r="L76" s="34">
        <v>46219.0</v>
      </c>
      <c r="M76" s="87"/>
      <c r="N76" s="68">
        <v>46346.0</v>
      </c>
      <c r="O76" s="68">
        <v>46341.0</v>
      </c>
      <c r="P76" s="121"/>
      <c r="Q76" s="172"/>
      <c r="R76" s="55" t="s">
        <v>327</v>
      </c>
      <c r="S76" s="62" t="s">
        <v>103</v>
      </c>
      <c r="T76" s="44"/>
      <c r="U76" s="4"/>
      <c r="V76" s="166"/>
      <c r="W76" s="4"/>
      <c r="X76" s="4"/>
      <c r="Y76" s="4"/>
      <c r="Z76" s="4"/>
    </row>
    <row r="77" ht="34.5" customHeight="1">
      <c r="A77" s="27">
        <v>71.0</v>
      </c>
      <c r="B77" s="97" t="s">
        <v>328</v>
      </c>
      <c r="C77" s="76" t="s">
        <v>291</v>
      </c>
      <c r="D77" s="76" t="s">
        <v>329</v>
      </c>
      <c r="E77" s="142" t="s">
        <v>330</v>
      </c>
      <c r="F77" s="48" t="s">
        <v>27</v>
      </c>
      <c r="G77" s="50">
        <v>1.0</v>
      </c>
      <c r="H77" s="70">
        <v>550000.0</v>
      </c>
      <c r="I77" s="34">
        <v>46243.0</v>
      </c>
      <c r="J77" s="53">
        <v>46341.0</v>
      </c>
      <c r="K77" s="32">
        <v>8000.0</v>
      </c>
      <c r="L77" s="38"/>
      <c r="M77" s="87"/>
      <c r="N77" s="68">
        <v>46341.0</v>
      </c>
      <c r="O77" s="68">
        <v>46338.0</v>
      </c>
      <c r="P77" s="121"/>
      <c r="Q77" s="172"/>
      <c r="R77" s="55" t="s">
        <v>331</v>
      </c>
      <c r="S77" s="153"/>
      <c r="T77" s="44"/>
      <c r="U77" s="4"/>
      <c r="V77" s="166"/>
      <c r="W77" s="4"/>
      <c r="X77" s="4"/>
      <c r="Y77" s="4"/>
      <c r="Z77" s="4"/>
    </row>
    <row r="78" ht="34.5" customHeight="1">
      <c r="A78" s="27">
        <v>72.0</v>
      </c>
      <c r="B78" s="97" t="s">
        <v>332</v>
      </c>
      <c r="C78" s="76" t="s">
        <v>229</v>
      </c>
      <c r="D78" s="76" t="s">
        <v>333</v>
      </c>
      <c r="E78" s="142" t="s">
        <v>334</v>
      </c>
      <c r="F78" s="79" t="s">
        <v>27</v>
      </c>
      <c r="G78" s="50">
        <v>1.0</v>
      </c>
      <c r="H78" s="70">
        <v>400000.0</v>
      </c>
      <c r="I78" s="34">
        <v>46232.0</v>
      </c>
      <c r="J78" s="53">
        <v>46249.0</v>
      </c>
      <c r="K78" s="116">
        <v>6000.0</v>
      </c>
      <c r="L78" s="34">
        <v>46251.0</v>
      </c>
      <c r="M78" s="104">
        <v>46251.0</v>
      </c>
      <c r="N78" s="74">
        <v>46280.0</v>
      </c>
      <c r="O78" s="74">
        <v>46277.0</v>
      </c>
      <c r="P78" s="37">
        <v>1.0</v>
      </c>
      <c r="Q78" s="49">
        <f>K78*P78</f>
        <v>6000</v>
      </c>
      <c r="R78" s="55" t="s">
        <v>197</v>
      </c>
      <c r="S78" s="153"/>
      <c r="T78" s="44"/>
      <c r="U78" s="4"/>
      <c r="V78" s="166"/>
      <c r="W78" s="4"/>
      <c r="X78" s="4"/>
      <c r="Y78" s="4"/>
      <c r="Z78" s="4"/>
    </row>
    <row r="79" ht="34.5" customHeight="1">
      <c r="A79" s="27">
        <v>73.0</v>
      </c>
      <c r="B79" s="195" t="s">
        <v>342</v>
      </c>
      <c r="C79" s="76" t="s">
        <v>336</v>
      </c>
      <c r="D79" s="76" t="s">
        <v>337</v>
      </c>
      <c r="E79" s="142" t="s">
        <v>338</v>
      </c>
      <c r="F79" s="79" t="s">
        <v>27</v>
      </c>
      <c r="G79" s="50">
        <v>1.0</v>
      </c>
      <c r="H79" s="95">
        <v>300000.0</v>
      </c>
      <c r="I79" s="34">
        <v>46237.0</v>
      </c>
      <c r="J79" s="53">
        <v>46272.0</v>
      </c>
      <c r="K79" s="116">
        <v>8000.0</v>
      </c>
      <c r="L79" s="115">
        <v>46272.0</v>
      </c>
      <c r="M79" s="104">
        <v>46270.0</v>
      </c>
      <c r="N79" s="74">
        <v>46272.0</v>
      </c>
      <c r="O79" s="74">
        <v>46269.0</v>
      </c>
      <c r="P79" s="37"/>
      <c r="Q79" s="112" t="s">
        <v>32</v>
      </c>
      <c r="R79" s="55" t="s">
        <v>197</v>
      </c>
      <c r="S79" s="153"/>
      <c r="T79" s="44"/>
      <c r="U79" s="4"/>
      <c r="V79" s="166"/>
      <c r="W79" s="4"/>
      <c r="X79" s="4"/>
      <c r="Y79" s="4"/>
      <c r="Z79" s="4"/>
    </row>
    <row r="80" ht="34.5" customHeight="1">
      <c r="A80" s="27">
        <v>74.0</v>
      </c>
      <c r="B80" s="97" t="s">
        <v>344</v>
      </c>
      <c r="C80" s="76" t="s">
        <v>163</v>
      </c>
      <c r="D80" s="76" t="s">
        <v>345</v>
      </c>
      <c r="E80" s="113" t="s">
        <v>346</v>
      </c>
      <c r="F80" s="148" t="s">
        <v>60</v>
      </c>
      <c r="G80" s="80">
        <v>6.0</v>
      </c>
      <c r="H80" s="82">
        <v>3600000.0</v>
      </c>
      <c r="I80" s="115">
        <v>46226.0</v>
      </c>
      <c r="J80" s="30">
        <v>46259.0</v>
      </c>
      <c r="K80" s="32">
        <v>35000.0</v>
      </c>
      <c r="L80" s="115">
        <v>46284.0</v>
      </c>
      <c r="M80" s="104">
        <v>46284.0</v>
      </c>
      <c r="N80" s="74">
        <v>46320.0</v>
      </c>
      <c r="O80" s="74">
        <v>46315.0</v>
      </c>
      <c r="P80" s="37"/>
      <c r="Q80" s="112" t="s">
        <v>32</v>
      </c>
      <c r="R80" s="55" t="s">
        <v>83</v>
      </c>
      <c r="S80" s="153"/>
      <c r="T80" s="44"/>
      <c r="U80" s="4"/>
      <c r="V80" s="166"/>
      <c r="W80" s="4"/>
      <c r="X80" s="4"/>
      <c r="Y80" s="4"/>
      <c r="Z80" s="4"/>
    </row>
    <row r="81" ht="34.5" customHeight="1">
      <c r="A81" s="27">
        <v>75.0</v>
      </c>
      <c r="B81" s="97" t="s">
        <v>347</v>
      </c>
      <c r="C81" s="203" t="s">
        <v>163</v>
      </c>
      <c r="D81" s="203" t="s">
        <v>348</v>
      </c>
      <c r="E81" s="169" t="s">
        <v>349</v>
      </c>
      <c r="F81" s="205" t="s">
        <v>60</v>
      </c>
      <c r="G81" s="94">
        <v>6.0</v>
      </c>
      <c r="H81" s="94">
        <v>3600000.0</v>
      </c>
      <c r="I81" s="34">
        <v>46226.0</v>
      </c>
      <c r="J81" s="30">
        <v>46259.0</v>
      </c>
      <c r="K81" s="32">
        <v>35000.0</v>
      </c>
      <c r="L81" s="115">
        <v>46288.0</v>
      </c>
      <c r="M81" s="104">
        <v>46288.0</v>
      </c>
      <c r="N81" s="74">
        <v>46320.0</v>
      </c>
      <c r="O81" s="74">
        <v>46315.0</v>
      </c>
      <c r="P81" s="37"/>
      <c r="Q81" s="112" t="s">
        <v>32</v>
      </c>
      <c r="R81" s="55" t="s">
        <v>83</v>
      </c>
      <c r="S81" s="153"/>
      <c r="T81" s="44"/>
      <c r="U81" s="4"/>
      <c r="V81" s="166"/>
      <c r="W81" s="4"/>
      <c r="X81" s="4"/>
      <c r="Y81" s="4"/>
      <c r="Z81" s="4"/>
    </row>
    <row r="82" ht="34.5" customHeight="1">
      <c r="A82" s="27">
        <v>76.0</v>
      </c>
      <c r="B82" s="208" t="s">
        <v>350</v>
      </c>
      <c r="C82" s="76" t="s">
        <v>351</v>
      </c>
      <c r="D82" s="76" t="s">
        <v>352</v>
      </c>
      <c r="E82" s="142" t="s">
        <v>353</v>
      </c>
      <c r="F82" s="79" t="s">
        <v>27</v>
      </c>
      <c r="G82" s="50">
        <v>1.0</v>
      </c>
      <c r="H82" s="70">
        <v>500000.0</v>
      </c>
      <c r="I82" s="34">
        <v>46252.0</v>
      </c>
      <c r="J82" s="30">
        <v>46285.0</v>
      </c>
      <c r="K82" s="32">
        <v>5000.0</v>
      </c>
      <c r="L82" s="115">
        <v>46281.0</v>
      </c>
      <c r="M82" s="104">
        <v>46270.0</v>
      </c>
      <c r="N82" s="74">
        <v>46315.0</v>
      </c>
      <c r="O82" s="74">
        <v>46310.0</v>
      </c>
      <c r="P82" s="37"/>
      <c r="Q82" s="112" t="s">
        <v>32</v>
      </c>
      <c r="R82" s="55" t="s">
        <v>197</v>
      </c>
      <c r="S82" s="153"/>
      <c r="T82" s="44"/>
      <c r="U82" s="4"/>
      <c r="V82" s="166"/>
      <c r="W82" s="4"/>
      <c r="X82" s="4"/>
      <c r="Y82" s="4"/>
      <c r="Z82" s="4"/>
    </row>
    <row r="83" ht="34.5" customHeight="1">
      <c r="A83" s="27">
        <v>77.0</v>
      </c>
      <c r="B83" s="118" t="s">
        <v>354</v>
      </c>
      <c r="C83" s="76" t="s">
        <v>24</v>
      </c>
      <c r="D83" s="76" t="s">
        <v>340</v>
      </c>
      <c r="E83" s="113" t="s">
        <v>236</v>
      </c>
      <c r="F83" s="79" t="s">
        <v>60</v>
      </c>
      <c r="G83" s="80">
        <v>3.0</v>
      </c>
      <c r="H83" s="171">
        <v>3000000.0</v>
      </c>
      <c r="I83" s="211">
        <v>46236.0</v>
      </c>
      <c r="J83" s="30">
        <v>46249.0</v>
      </c>
      <c r="K83" s="32">
        <v>22000.0</v>
      </c>
      <c r="L83" s="115">
        <v>46269.0</v>
      </c>
      <c r="M83" s="104">
        <v>46270.0</v>
      </c>
      <c r="N83" s="68">
        <v>46310.0</v>
      </c>
      <c r="O83" s="68">
        <v>46305.0</v>
      </c>
      <c r="P83" s="37"/>
      <c r="Q83" s="112" t="s">
        <v>32</v>
      </c>
      <c r="R83" s="55" t="s">
        <v>83</v>
      </c>
      <c r="S83" s="153"/>
      <c r="T83" s="44"/>
      <c r="U83" s="4"/>
      <c r="V83" s="166"/>
      <c r="W83" s="4"/>
      <c r="X83" s="4"/>
      <c r="Y83" s="4"/>
      <c r="Z83" s="4"/>
    </row>
    <row r="84" ht="34.5" customHeight="1">
      <c r="A84" s="27">
        <v>78.0</v>
      </c>
      <c r="B84" s="45" t="s">
        <v>355</v>
      </c>
      <c r="C84" s="66" t="s">
        <v>356</v>
      </c>
      <c r="D84" s="66" t="s">
        <v>357</v>
      </c>
      <c r="E84" s="130"/>
      <c r="F84" s="79" t="s">
        <v>27</v>
      </c>
      <c r="G84" s="50">
        <v>1.0</v>
      </c>
      <c r="H84" s="70">
        <v>500000.0</v>
      </c>
      <c r="I84" s="38">
        <v>45775.0</v>
      </c>
      <c r="J84" s="30">
        <v>45803.0</v>
      </c>
      <c r="K84" s="32">
        <v>10000.0</v>
      </c>
      <c r="L84" s="38">
        <v>46268.0</v>
      </c>
      <c r="M84" s="104">
        <v>46251.0</v>
      </c>
      <c r="N84" s="74">
        <v>46291.0</v>
      </c>
      <c r="O84" s="74">
        <v>46287.0</v>
      </c>
      <c r="P84" s="37">
        <v>1.0</v>
      </c>
      <c r="Q84" s="49">
        <f t="shared" ref="Q84:Q85" si="7">K84*P84</f>
        <v>10000</v>
      </c>
      <c r="R84" s="148" t="s">
        <v>358</v>
      </c>
      <c r="S84" s="153"/>
      <c r="T84" s="44"/>
      <c r="U84" s="4"/>
      <c r="V84" s="166"/>
      <c r="W84" s="4"/>
      <c r="X84" s="4"/>
      <c r="Y84" s="4"/>
      <c r="Z84" s="4"/>
    </row>
    <row r="85" ht="34.5" customHeight="1">
      <c r="A85" s="27">
        <v>79.0</v>
      </c>
      <c r="B85" s="45" t="s">
        <v>359</v>
      </c>
      <c r="C85" s="66" t="s">
        <v>356</v>
      </c>
      <c r="D85" s="66" t="s">
        <v>357</v>
      </c>
      <c r="E85" s="130"/>
      <c r="F85" s="79" t="s">
        <v>27</v>
      </c>
      <c r="G85" s="50">
        <v>1.0</v>
      </c>
      <c r="H85" s="70">
        <v>500000.0</v>
      </c>
      <c r="I85" s="38">
        <v>45803.0</v>
      </c>
      <c r="J85" s="30">
        <v>45834.0</v>
      </c>
      <c r="K85" s="32">
        <v>10000.0</v>
      </c>
      <c r="L85" s="38">
        <v>46268.0</v>
      </c>
      <c r="M85" s="104">
        <v>46251.0</v>
      </c>
      <c r="N85" s="74">
        <v>46291.0</v>
      </c>
      <c r="O85" s="74">
        <v>46287.0</v>
      </c>
      <c r="P85" s="37">
        <v>1.0</v>
      </c>
      <c r="Q85" s="49">
        <f t="shared" si="7"/>
        <v>10000</v>
      </c>
      <c r="R85" s="148" t="s">
        <v>360</v>
      </c>
      <c r="S85" s="153"/>
      <c r="T85" s="44"/>
      <c r="U85" s="4"/>
      <c r="V85" s="166"/>
      <c r="W85" s="4"/>
      <c r="X85" s="4"/>
      <c r="Y85" s="4"/>
      <c r="Z85" s="4"/>
    </row>
    <row r="86" ht="34.5" customHeight="1">
      <c r="A86" s="27">
        <v>80.0</v>
      </c>
      <c r="B86" s="45" t="s">
        <v>361</v>
      </c>
      <c r="C86" s="76" t="s">
        <v>291</v>
      </c>
      <c r="D86" s="76" t="s">
        <v>362</v>
      </c>
      <c r="E86" s="142" t="s">
        <v>363</v>
      </c>
      <c r="F86" s="79" t="s">
        <v>27</v>
      </c>
      <c r="G86" s="50">
        <v>2.0</v>
      </c>
      <c r="H86" s="70">
        <v>900000.0</v>
      </c>
      <c r="I86" s="34">
        <v>46265.0</v>
      </c>
      <c r="J86" s="30">
        <v>46351.0</v>
      </c>
      <c r="K86" s="32">
        <v>10000.0</v>
      </c>
      <c r="L86" s="38"/>
      <c r="M86" s="87"/>
      <c r="N86" s="74">
        <v>46351.0</v>
      </c>
      <c r="O86" s="74">
        <v>46348.0</v>
      </c>
      <c r="P86" s="121"/>
      <c r="Q86" s="172"/>
      <c r="R86" s="55" t="s">
        <v>364</v>
      </c>
      <c r="S86" s="153"/>
      <c r="T86" s="44"/>
      <c r="U86" s="4"/>
      <c r="V86" s="166"/>
      <c r="W86" s="4"/>
      <c r="X86" s="4"/>
      <c r="Y86" s="4"/>
      <c r="Z86" s="4"/>
    </row>
    <row r="87" ht="34.5" customHeight="1">
      <c r="A87" s="27">
        <v>81.0</v>
      </c>
      <c r="B87" s="64" t="s">
        <v>365</v>
      </c>
      <c r="C87" s="66" t="s">
        <v>229</v>
      </c>
      <c r="D87" s="66" t="s">
        <v>231</v>
      </c>
      <c r="E87" s="130"/>
      <c r="F87" s="48" t="s">
        <v>60</v>
      </c>
      <c r="G87" s="50">
        <v>3.0</v>
      </c>
      <c r="H87" s="70">
        <v>2550000.0</v>
      </c>
      <c r="I87" s="72">
        <v>46069.0</v>
      </c>
      <c r="J87" s="30">
        <v>45726.0</v>
      </c>
      <c r="K87" s="32">
        <v>48000.0</v>
      </c>
      <c r="L87" s="72">
        <v>46286.0</v>
      </c>
      <c r="M87" s="35">
        <v>46204.0</v>
      </c>
      <c r="N87" s="68">
        <v>46244.0</v>
      </c>
      <c r="O87" s="68">
        <v>46241.0</v>
      </c>
      <c r="P87" s="37">
        <v>2.0</v>
      </c>
      <c r="Q87" s="49">
        <f>K87*P87+16000</f>
        <v>112000</v>
      </c>
      <c r="R87" s="55" t="s">
        <v>366</v>
      </c>
      <c r="S87" s="62" t="s">
        <v>367</v>
      </c>
      <c r="T87" s="44"/>
      <c r="U87" s="4"/>
      <c r="V87" s="166"/>
      <c r="W87" s="4"/>
      <c r="X87" s="4"/>
      <c r="Y87" s="4"/>
      <c r="Z87" s="4"/>
    </row>
    <row r="88" ht="34.5" customHeight="1">
      <c r="A88" s="27">
        <v>82.0</v>
      </c>
      <c r="B88" s="45" t="s">
        <v>368</v>
      </c>
      <c r="C88" s="66" t="s">
        <v>356</v>
      </c>
      <c r="D88" s="66" t="s">
        <v>264</v>
      </c>
      <c r="E88" s="212" t="s">
        <v>369</v>
      </c>
      <c r="F88" s="48" t="s">
        <v>294</v>
      </c>
      <c r="G88" s="50">
        <v>1.0</v>
      </c>
      <c r="H88" s="70">
        <v>200000.0</v>
      </c>
      <c r="I88" s="213">
        <v>44255.0</v>
      </c>
      <c r="J88" s="30">
        <v>44311.0</v>
      </c>
      <c r="K88" s="32">
        <v>3000.0</v>
      </c>
      <c r="L88" s="72">
        <v>46278.0</v>
      </c>
      <c r="M88" s="35">
        <v>45224.0</v>
      </c>
      <c r="N88" s="68">
        <v>45255.0</v>
      </c>
      <c r="O88" s="68">
        <v>45250.0</v>
      </c>
      <c r="P88" s="37">
        <v>25.0</v>
      </c>
      <c r="Q88" s="49">
        <f t="shared" ref="Q88:Q94" si="8">K88*P88</f>
        <v>75000</v>
      </c>
      <c r="R88" s="214" t="s">
        <v>370</v>
      </c>
      <c r="S88" s="153"/>
      <c r="T88" s="44"/>
      <c r="U88" s="4"/>
      <c r="V88" s="166"/>
      <c r="W88" s="4"/>
      <c r="X88" s="4"/>
      <c r="Y88" s="4"/>
      <c r="Z88" s="4"/>
    </row>
    <row r="89" ht="34.5" customHeight="1">
      <c r="A89" s="27">
        <v>83.0</v>
      </c>
      <c r="B89" s="45" t="s">
        <v>371</v>
      </c>
      <c r="C89" s="66" t="s">
        <v>356</v>
      </c>
      <c r="D89" s="66" t="s">
        <v>264</v>
      </c>
      <c r="E89" s="212" t="s">
        <v>369</v>
      </c>
      <c r="F89" s="48" t="s">
        <v>294</v>
      </c>
      <c r="G89" s="50">
        <v>1.0</v>
      </c>
      <c r="H89" s="70">
        <v>200000.0</v>
      </c>
      <c r="I89" s="213">
        <v>44255.0</v>
      </c>
      <c r="J89" s="30">
        <v>44311.0</v>
      </c>
      <c r="K89" s="32">
        <v>3000.0</v>
      </c>
      <c r="L89" s="72">
        <v>46278.0</v>
      </c>
      <c r="M89" s="35">
        <v>45224.0</v>
      </c>
      <c r="N89" s="68">
        <v>45255.0</v>
      </c>
      <c r="O89" s="68">
        <v>45250.0</v>
      </c>
      <c r="P89" s="37">
        <v>25.0</v>
      </c>
      <c r="Q89" s="49">
        <f t="shared" si="8"/>
        <v>75000</v>
      </c>
      <c r="R89" s="214" t="s">
        <v>370</v>
      </c>
      <c r="S89" s="153"/>
      <c r="T89" s="44"/>
      <c r="U89" s="4"/>
      <c r="V89" s="166"/>
      <c r="W89" s="4"/>
      <c r="X89" s="4"/>
      <c r="Y89" s="4"/>
      <c r="Z89" s="4"/>
    </row>
    <row r="90" ht="34.5" customHeight="1">
      <c r="A90" s="27">
        <v>84.0</v>
      </c>
      <c r="B90" s="110" t="s">
        <v>372</v>
      </c>
      <c r="C90" s="109" t="s">
        <v>356</v>
      </c>
      <c r="D90" s="109" t="s">
        <v>373</v>
      </c>
      <c r="E90" s="187"/>
      <c r="F90" s="205" t="s">
        <v>27</v>
      </c>
      <c r="G90" s="94">
        <v>1.0</v>
      </c>
      <c r="H90" s="94">
        <v>350000.0</v>
      </c>
      <c r="I90" s="34">
        <v>44616.0</v>
      </c>
      <c r="J90" s="53">
        <v>44647.0</v>
      </c>
      <c r="K90" s="116">
        <v>4100.0</v>
      </c>
      <c r="L90" s="72">
        <v>46281.0</v>
      </c>
      <c r="M90" s="35">
        <v>46193.0</v>
      </c>
      <c r="N90" s="68">
        <v>46230.0</v>
      </c>
      <c r="O90" s="68">
        <v>46228.0</v>
      </c>
      <c r="P90" s="37">
        <v>3.0</v>
      </c>
      <c r="Q90" s="49">
        <f t="shared" si="8"/>
        <v>12300</v>
      </c>
      <c r="R90" s="55" t="s">
        <v>374</v>
      </c>
      <c r="S90" s="153"/>
      <c r="T90" s="44"/>
      <c r="U90" s="4"/>
      <c r="V90" s="166"/>
      <c r="W90" s="4"/>
      <c r="X90" s="4"/>
      <c r="Y90" s="4"/>
      <c r="Z90" s="4"/>
    </row>
    <row r="91" ht="34.5" customHeight="1">
      <c r="A91" s="27">
        <v>85.0</v>
      </c>
      <c r="B91" s="110" t="s">
        <v>375</v>
      </c>
      <c r="C91" s="109" t="s">
        <v>356</v>
      </c>
      <c r="D91" s="109" t="s">
        <v>373</v>
      </c>
      <c r="E91" s="187"/>
      <c r="F91" s="205" t="s">
        <v>27</v>
      </c>
      <c r="G91" s="94">
        <v>1.0</v>
      </c>
      <c r="H91" s="94">
        <v>350000.0</v>
      </c>
      <c r="I91" s="34">
        <v>44616.0</v>
      </c>
      <c r="J91" s="53">
        <v>44647.0</v>
      </c>
      <c r="K91" s="116">
        <v>4100.0</v>
      </c>
      <c r="L91" s="72">
        <v>46281.0</v>
      </c>
      <c r="M91" s="35">
        <v>46193.0</v>
      </c>
      <c r="N91" s="68">
        <v>46230.0</v>
      </c>
      <c r="O91" s="68">
        <v>46228.0</v>
      </c>
      <c r="P91" s="37">
        <v>3.0</v>
      </c>
      <c r="Q91" s="49">
        <f t="shared" si="8"/>
        <v>12300</v>
      </c>
      <c r="R91" s="55" t="s">
        <v>374</v>
      </c>
      <c r="S91" s="153"/>
      <c r="T91" s="44"/>
      <c r="U91" s="4"/>
      <c r="V91" s="166"/>
      <c r="W91" s="4"/>
      <c r="X91" s="4"/>
      <c r="Y91" s="4"/>
      <c r="Z91" s="4"/>
    </row>
    <row r="92" ht="34.5" customHeight="1">
      <c r="A92" s="27">
        <v>86.0</v>
      </c>
      <c r="B92" s="97" t="s">
        <v>376</v>
      </c>
      <c r="C92" s="109" t="s">
        <v>356</v>
      </c>
      <c r="D92" s="109" t="s">
        <v>373</v>
      </c>
      <c r="E92" s="193"/>
      <c r="F92" s="91" t="s">
        <v>27</v>
      </c>
      <c r="G92" s="94">
        <v>1.0</v>
      </c>
      <c r="H92" s="94">
        <v>350000.0</v>
      </c>
      <c r="I92" s="34">
        <v>44616.0</v>
      </c>
      <c r="J92" s="53">
        <v>44647.0</v>
      </c>
      <c r="K92" s="116">
        <v>4100.0</v>
      </c>
      <c r="L92" s="72">
        <v>46281.0</v>
      </c>
      <c r="M92" s="35">
        <v>46193.0</v>
      </c>
      <c r="N92" s="68">
        <v>46230.0</v>
      </c>
      <c r="O92" s="68">
        <v>46228.0</v>
      </c>
      <c r="P92" s="37">
        <v>3.0</v>
      </c>
      <c r="Q92" s="49">
        <f t="shared" si="8"/>
        <v>12300</v>
      </c>
      <c r="R92" s="55" t="s">
        <v>374</v>
      </c>
      <c r="S92" s="153"/>
      <c r="T92" s="44"/>
      <c r="U92" s="4"/>
      <c r="V92" s="166"/>
      <c r="W92" s="4"/>
      <c r="X92" s="4"/>
      <c r="Y92" s="4"/>
      <c r="Z92" s="4"/>
    </row>
    <row r="93" ht="34.5" customHeight="1">
      <c r="A93" s="27">
        <v>87.0</v>
      </c>
      <c r="B93" s="97" t="s">
        <v>377</v>
      </c>
      <c r="C93" s="109" t="s">
        <v>356</v>
      </c>
      <c r="D93" s="109" t="s">
        <v>378</v>
      </c>
      <c r="E93" s="193"/>
      <c r="F93" s="91" t="s">
        <v>27</v>
      </c>
      <c r="G93" s="94">
        <v>1.0</v>
      </c>
      <c r="H93" s="94">
        <v>350000.0</v>
      </c>
      <c r="I93" s="34">
        <v>44616.0</v>
      </c>
      <c r="J93" s="53">
        <v>44647.0</v>
      </c>
      <c r="K93" s="116">
        <v>4100.0</v>
      </c>
      <c r="L93" s="72">
        <v>46281.0</v>
      </c>
      <c r="M93" s="35">
        <v>46193.0</v>
      </c>
      <c r="N93" s="68">
        <v>46230.0</v>
      </c>
      <c r="O93" s="68">
        <v>46228.0</v>
      </c>
      <c r="P93" s="37">
        <v>3.0</v>
      </c>
      <c r="Q93" s="49">
        <f t="shared" si="8"/>
        <v>12300</v>
      </c>
      <c r="R93" s="55" t="s">
        <v>374</v>
      </c>
      <c r="S93" s="153"/>
      <c r="T93" s="44"/>
      <c r="U93" s="4"/>
      <c r="V93" s="166"/>
      <c r="W93" s="4"/>
      <c r="X93" s="4"/>
      <c r="Y93" s="4"/>
      <c r="Z93" s="4"/>
    </row>
    <row r="94" ht="34.5" customHeight="1">
      <c r="A94" s="27">
        <v>88.0</v>
      </c>
      <c r="B94" s="97" t="s">
        <v>379</v>
      </c>
      <c r="C94" s="109" t="s">
        <v>356</v>
      </c>
      <c r="D94" s="109" t="s">
        <v>378</v>
      </c>
      <c r="E94" s="193"/>
      <c r="F94" s="91" t="s">
        <v>27</v>
      </c>
      <c r="G94" s="94">
        <v>1.0</v>
      </c>
      <c r="H94" s="94">
        <v>350000.0</v>
      </c>
      <c r="I94" s="34">
        <v>44616.0</v>
      </c>
      <c r="J94" s="53">
        <v>44647.0</v>
      </c>
      <c r="K94" s="116">
        <v>4100.0</v>
      </c>
      <c r="L94" s="72">
        <v>46281.0</v>
      </c>
      <c r="M94" s="35">
        <v>46193.0</v>
      </c>
      <c r="N94" s="68">
        <v>46230.0</v>
      </c>
      <c r="O94" s="68">
        <v>46228.0</v>
      </c>
      <c r="P94" s="37">
        <v>3.0</v>
      </c>
      <c r="Q94" s="49">
        <f t="shared" si="8"/>
        <v>12300</v>
      </c>
      <c r="R94" s="55" t="s">
        <v>374</v>
      </c>
      <c r="S94" s="153"/>
      <c r="T94" s="44"/>
      <c r="U94" s="4"/>
      <c r="V94" s="166" t="s">
        <v>0</v>
      </c>
      <c r="W94" s="4"/>
      <c r="X94" s="4"/>
      <c r="Y94" s="4"/>
      <c r="Z94" s="4"/>
    </row>
    <row r="95" ht="34.5" customHeight="1">
      <c r="A95" s="27">
        <v>89.0</v>
      </c>
      <c r="B95" s="215" t="s">
        <v>380</v>
      </c>
      <c r="C95" s="76" t="s">
        <v>51</v>
      </c>
      <c r="D95" s="76" t="s">
        <v>381</v>
      </c>
      <c r="E95" s="142" t="s">
        <v>259</v>
      </c>
      <c r="F95" s="79" t="s">
        <v>27</v>
      </c>
      <c r="G95" s="50">
        <v>1.0</v>
      </c>
      <c r="H95" s="70">
        <v>500000.0</v>
      </c>
      <c r="I95" s="34">
        <v>46273.0</v>
      </c>
      <c r="J95" s="53">
        <v>46320.0</v>
      </c>
      <c r="K95" s="116">
        <v>6000.0</v>
      </c>
      <c r="L95" s="38"/>
      <c r="M95" s="216"/>
      <c r="N95" s="68">
        <v>46320.0</v>
      </c>
      <c r="O95" s="68">
        <v>46315.0</v>
      </c>
      <c r="P95" s="121"/>
      <c r="Q95" s="172"/>
      <c r="R95" s="51"/>
      <c r="S95" s="153"/>
      <c r="T95" s="44"/>
      <c r="U95" s="4"/>
      <c r="V95" s="4"/>
      <c r="W95" s="4"/>
      <c r="X95" s="4"/>
      <c r="Y95" s="4"/>
      <c r="Z95" s="4"/>
    </row>
    <row r="96" ht="34.5" customHeight="1">
      <c r="A96" s="27">
        <v>90.0</v>
      </c>
      <c r="B96" s="215" t="s">
        <v>382</v>
      </c>
      <c r="C96" s="76" t="s">
        <v>51</v>
      </c>
      <c r="D96" s="76" t="s">
        <v>383</v>
      </c>
      <c r="E96" s="217" t="s">
        <v>384</v>
      </c>
      <c r="F96" s="174" t="s">
        <v>100</v>
      </c>
      <c r="G96" s="175">
        <v>2.0</v>
      </c>
      <c r="H96" s="218">
        <v>200000.0</v>
      </c>
      <c r="I96" s="34">
        <v>46282.0</v>
      </c>
      <c r="J96" s="53">
        <v>46320.0</v>
      </c>
      <c r="K96" s="116">
        <v>3000.0</v>
      </c>
      <c r="L96" s="38"/>
      <c r="M96" s="216"/>
      <c r="N96" s="68">
        <v>46320.0</v>
      </c>
      <c r="O96" s="68">
        <v>46315.0</v>
      </c>
      <c r="P96" s="121"/>
      <c r="Q96" s="172"/>
      <c r="R96" s="51"/>
      <c r="S96" s="153"/>
      <c r="T96" s="44"/>
      <c r="U96" s="4"/>
      <c r="V96" s="4"/>
      <c r="W96" s="4"/>
      <c r="X96" s="4"/>
      <c r="Y96" s="4"/>
      <c r="Z96" s="4"/>
    </row>
    <row r="97" ht="34.5" customHeight="1">
      <c r="A97" s="27">
        <v>91.0</v>
      </c>
      <c r="B97" s="45" t="s">
        <v>385</v>
      </c>
      <c r="C97" s="66" t="s">
        <v>109</v>
      </c>
      <c r="D97" s="66" t="s">
        <v>386</v>
      </c>
      <c r="E97" s="130"/>
      <c r="F97" s="48" t="s">
        <v>27</v>
      </c>
      <c r="G97" s="50">
        <v>1.0</v>
      </c>
      <c r="H97" s="70">
        <v>500000.0</v>
      </c>
      <c r="I97" s="72">
        <v>46049.0</v>
      </c>
      <c r="J97" s="30">
        <v>46082.0</v>
      </c>
      <c r="K97" s="32">
        <v>20000.0</v>
      </c>
      <c r="L97" s="72">
        <v>46286.0</v>
      </c>
      <c r="M97" s="219">
        <v>46354.0</v>
      </c>
      <c r="N97" s="68">
        <v>46357.0</v>
      </c>
      <c r="O97" s="68">
        <v>46354.0</v>
      </c>
      <c r="P97" s="37"/>
      <c r="Q97" s="112" t="s">
        <v>32</v>
      </c>
      <c r="R97" s="55" t="s">
        <v>35</v>
      </c>
      <c r="S97" s="153"/>
      <c r="T97" s="44"/>
      <c r="U97" s="4"/>
      <c r="V97" s="4"/>
      <c r="W97" s="4"/>
      <c r="X97" s="4"/>
      <c r="Y97" s="4"/>
      <c r="Z97" s="4"/>
    </row>
    <row r="98" ht="34.5" customHeight="1">
      <c r="A98" s="27">
        <v>92.0</v>
      </c>
      <c r="B98" s="45" t="s">
        <v>387</v>
      </c>
      <c r="C98" s="66" t="s">
        <v>109</v>
      </c>
      <c r="D98" s="66" t="s">
        <v>388</v>
      </c>
      <c r="E98" s="130"/>
      <c r="F98" s="48" t="s">
        <v>27</v>
      </c>
      <c r="G98" s="50">
        <v>1.0</v>
      </c>
      <c r="H98" s="70">
        <v>500000.0</v>
      </c>
      <c r="I98" s="72">
        <v>46049.0</v>
      </c>
      <c r="J98" s="30">
        <v>46073.0</v>
      </c>
      <c r="K98" s="32">
        <v>8000.0</v>
      </c>
      <c r="L98" s="72">
        <v>46286.0</v>
      </c>
      <c r="M98" s="104">
        <v>46270.0</v>
      </c>
      <c r="N98" s="68">
        <v>46315.0</v>
      </c>
      <c r="O98" s="68">
        <v>46310.0</v>
      </c>
      <c r="P98" s="37"/>
      <c r="Q98" s="112" t="s">
        <v>32</v>
      </c>
      <c r="R98" s="55" t="s">
        <v>33</v>
      </c>
      <c r="S98" s="153"/>
      <c r="T98" s="44"/>
      <c r="U98" s="4"/>
      <c r="V98" s="4"/>
      <c r="W98" s="4"/>
      <c r="X98" s="4"/>
      <c r="Y98" s="4"/>
      <c r="Z98" s="4"/>
    </row>
    <row r="99" ht="34.5" customHeight="1">
      <c r="A99" s="27">
        <v>93.0</v>
      </c>
      <c r="B99" s="64"/>
      <c r="C99" s="75"/>
      <c r="D99" s="75"/>
      <c r="E99" s="111"/>
      <c r="F99" s="25"/>
      <c r="G99" s="92"/>
      <c r="H99" s="92"/>
      <c r="I99" s="38"/>
      <c r="J99" s="30"/>
      <c r="K99" s="32"/>
      <c r="L99" s="38"/>
      <c r="M99" s="216"/>
      <c r="N99" s="59"/>
      <c r="O99" s="59"/>
      <c r="P99" s="121"/>
      <c r="Q99" s="172"/>
      <c r="R99" s="51"/>
      <c r="S99" s="153"/>
      <c r="T99" s="44"/>
      <c r="U99" s="4"/>
      <c r="V99" s="4"/>
      <c r="W99" s="4"/>
      <c r="X99" s="4"/>
      <c r="Y99" s="4"/>
      <c r="Z99" s="4"/>
    </row>
    <row r="100" ht="34.5" customHeight="1">
      <c r="A100" s="27">
        <v>94.0</v>
      </c>
      <c r="B100" s="64"/>
      <c r="C100" s="75"/>
      <c r="D100" s="75"/>
      <c r="E100" s="111"/>
      <c r="F100" s="25"/>
      <c r="G100" s="92"/>
      <c r="H100" s="92"/>
      <c r="I100" s="38"/>
      <c r="J100" s="30"/>
      <c r="K100" s="32"/>
      <c r="L100" s="38"/>
      <c r="M100" s="216"/>
      <c r="N100" s="59"/>
      <c r="O100" s="59"/>
      <c r="P100" s="121"/>
      <c r="Q100" s="172"/>
      <c r="R100" s="51"/>
      <c r="S100" s="153"/>
      <c r="T100" s="44"/>
      <c r="U100" s="4"/>
      <c r="V100" s="4"/>
      <c r="W100" s="4"/>
      <c r="X100" s="4"/>
      <c r="Y100" s="4"/>
      <c r="Z100" s="4"/>
    </row>
    <row r="101" ht="34.5" customHeight="1">
      <c r="A101" s="27">
        <v>95.0</v>
      </c>
      <c r="B101" s="64"/>
      <c r="C101" s="75"/>
      <c r="D101" s="75"/>
      <c r="E101" s="111"/>
      <c r="F101" s="25"/>
      <c r="G101" s="92"/>
      <c r="H101" s="92"/>
      <c r="I101" s="38"/>
      <c r="J101" s="30"/>
      <c r="K101" s="32"/>
      <c r="L101" s="38"/>
      <c r="M101" s="216"/>
      <c r="N101" s="59"/>
      <c r="O101" s="59"/>
      <c r="P101" s="121"/>
      <c r="Q101" s="172"/>
      <c r="R101" s="51"/>
      <c r="S101" s="153"/>
      <c r="T101" s="44"/>
      <c r="U101" s="4"/>
      <c r="V101" s="4"/>
      <c r="W101" s="4"/>
      <c r="X101" s="4"/>
      <c r="Y101" s="4"/>
      <c r="Z101" s="4"/>
    </row>
    <row r="102" ht="34.5" customHeight="1">
      <c r="A102" s="27">
        <v>96.0</v>
      </c>
      <c r="B102" s="64"/>
      <c r="C102" s="75"/>
      <c r="D102" s="75"/>
      <c r="E102" s="111"/>
      <c r="F102" s="25"/>
      <c r="G102" s="92"/>
      <c r="H102" s="92"/>
      <c r="I102" s="38"/>
      <c r="J102" s="30"/>
      <c r="K102" s="32"/>
      <c r="L102" s="38"/>
      <c r="M102" s="216"/>
      <c r="N102" s="59"/>
      <c r="O102" s="59"/>
      <c r="P102" s="121"/>
      <c r="Q102" s="172"/>
      <c r="R102" s="51"/>
      <c r="S102" s="153"/>
      <c r="T102" s="44"/>
      <c r="U102" s="4"/>
      <c r="V102" s="4"/>
      <c r="W102" s="4"/>
      <c r="X102" s="4"/>
      <c r="Y102" s="4"/>
      <c r="Z102" s="4"/>
    </row>
    <row r="103" ht="34.5" customHeight="1">
      <c r="A103" s="27">
        <v>97.0</v>
      </c>
      <c r="B103" s="64"/>
      <c r="C103" s="75"/>
      <c r="D103" s="75"/>
      <c r="E103" s="111"/>
      <c r="F103" s="25"/>
      <c r="G103" s="92"/>
      <c r="H103" s="92"/>
      <c r="I103" s="38"/>
      <c r="J103" s="30"/>
      <c r="K103" s="32"/>
      <c r="L103" s="38"/>
      <c r="M103" s="216"/>
      <c r="N103" s="59"/>
      <c r="O103" s="59"/>
      <c r="P103" s="121"/>
      <c r="Q103" s="172"/>
      <c r="R103" s="51"/>
      <c r="S103" s="153"/>
      <c r="T103" s="44"/>
      <c r="U103" s="4"/>
      <c r="V103" s="4"/>
      <c r="W103" s="4"/>
      <c r="X103" s="4"/>
      <c r="Y103" s="4"/>
      <c r="Z103" s="4"/>
    </row>
    <row r="104" ht="34.5" customHeight="1">
      <c r="A104" s="27">
        <v>98.0</v>
      </c>
      <c r="B104" s="64"/>
      <c r="C104" s="75"/>
      <c r="D104" s="75"/>
      <c r="E104" s="111"/>
      <c r="F104" s="25"/>
      <c r="G104" s="92"/>
      <c r="H104" s="92"/>
      <c r="I104" s="38"/>
      <c r="J104" s="30"/>
      <c r="K104" s="32"/>
      <c r="L104" s="38"/>
      <c r="M104" s="216"/>
      <c r="N104" s="59"/>
      <c r="O104" s="59"/>
      <c r="P104" s="121"/>
      <c r="Q104" s="172"/>
      <c r="R104" s="51"/>
      <c r="S104" s="153"/>
      <c r="T104" s="44"/>
      <c r="U104" s="4"/>
      <c r="V104" s="4"/>
      <c r="W104" s="4"/>
      <c r="X104" s="4"/>
      <c r="Y104" s="4"/>
      <c r="Z104" s="4"/>
    </row>
    <row r="105" ht="34.5" customHeight="1">
      <c r="A105" s="27">
        <v>99.0</v>
      </c>
      <c r="B105" s="64"/>
      <c r="C105" s="75"/>
      <c r="D105" s="75"/>
      <c r="E105" s="111"/>
      <c r="F105" s="25"/>
      <c r="G105" s="92"/>
      <c r="H105" s="92"/>
      <c r="I105" s="38"/>
      <c r="J105" s="30"/>
      <c r="K105" s="32"/>
      <c r="L105" s="38"/>
      <c r="M105" s="216"/>
      <c r="N105" s="59"/>
      <c r="O105" s="59"/>
      <c r="P105" s="121"/>
      <c r="Q105" s="172"/>
      <c r="R105" s="51"/>
      <c r="S105" s="153"/>
      <c r="T105" s="44"/>
      <c r="U105" s="4"/>
      <c r="V105" s="4"/>
      <c r="W105" s="4"/>
      <c r="X105" s="4"/>
      <c r="Y105" s="4"/>
      <c r="Z105" s="4"/>
    </row>
    <row r="106" ht="34.5" customHeight="1">
      <c r="A106" s="27">
        <v>100.0</v>
      </c>
      <c r="B106" s="64"/>
      <c r="C106" s="75"/>
      <c r="D106" s="75"/>
      <c r="E106" s="111"/>
      <c r="F106" s="25"/>
      <c r="G106" s="92"/>
      <c r="H106" s="92"/>
      <c r="I106" s="38"/>
      <c r="J106" s="30"/>
      <c r="K106" s="32"/>
      <c r="L106" s="38"/>
      <c r="M106" s="216"/>
      <c r="N106" s="59"/>
      <c r="O106" s="59"/>
      <c r="P106" s="121"/>
      <c r="Q106" s="172"/>
      <c r="R106" s="51"/>
      <c r="S106" s="153"/>
      <c r="T106" s="44"/>
      <c r="U106" s="4"/>
      <c r="V106" s="4"/>
      <c r="W106" s="4"/>
      <c r="X106" s="4"/>
      <c r="Y106" s="4"/>
      <c r="Z106" s="4"/>
    </row>
    <row r="107" ht="34.5" customHeight="1">
      <c r="A107" s="27">
        <v>101.0</v>
      </c>
      <c r="B107" s="64"/>
      <c r="C107" s="75"/>
      <c r="D107" s="75"/>
      <c r="E107" s="111"/>
      <c r="F107" s="25"/>
      <c r="G107" s="92"/>
      <c r="H107" s="92"/>
      <c r="I107" s="38"/>
      <c r="J107" s="30"/>
      <c r="K107" s="32"/>
      <c r="L107" s="38"/>
      <c r="M107" s="216"/>
      <c r="N107" s="59"/>
      <c r="O107" s="59"/>
      <c r="P107" s="121"/>
      <c r="Q107" s="172"/>
      <c r="R107" s="51"/>
      <c r="S107" s="153"/>
      <c r="T107" s="44"/>
      <c r="U107" s="4"/>
      <c r="V107" s="4"/>
      <c r="W107" s="4"/>
      <c r="X107" s="4"/>
      <c r="Y107" s="4"/>
      <c r="Z107" s="4"/>
    </row>
    <row r="108" ht="34.5" customHeight="1">
      <c r="A108" s="27">
        <v>102.0</v>
      </c>
      <c r="B108" s="64"/>
      <c r="C108" s="75"/>
      <c r="D108" s="75"/>
      <c r="E108" s="111"/>
      <c r="F108" s="25"/>
      <c r="G108" s="92"/>
      <c r="H108" s="92"/>
      <c r="I108" s="38"/>
      <c r="J108" s="30"/>
      <c r="K108" s="32"/>
      <c r="L108" s="38"/>
      <c r="M108" s="216"/>
      <c r="N108" s="59"/>
      <c r="O108" s="59"/>
      <c r="P108" s="121"/>
      <c r="Q108" s="172"/>
      <c r="R108" s="51"/>
      <c r="S108" s="153"/>
      <c r="T108" s="44"/>
      <c r="U108" s="4"/>
      <c r="V108" s="4"/>
      <c r="W108" s="4"/>
      <c r="X108" s="4"/>
      <c r="Y108" s="4"/>
      <c r="Z108" s="4"/>
    </row>
    <row r="109" ht="34.5" customHeight="1">
      <c r="A109" s="27">
        <v>103.0</v>
      </c>
      <c r="B109" s="64"/>
      <c r="C109" s="75"/>
      <c r="D109" s="75"/>
      <c r="E109" s="111"/>
      <c r="F109" s="25"/>
      <c r="G109" s="92"/>
      <c r="H109" s="92"/>
      <c r="I109" s="38"/>
      <c r="J109" s="30"/>
      <c r="K109" s="32"/>
      <c r="L109" s="38"/>
      <c r="M109" s="216"/>
      <c r="N109" s="59"/>
      <c r="O109" s="59"/>
      <c r="P109" s="121"/>
      <c r="Q109" s="172"/>
      <c r="R109" s="51"/>
      <c r="S109" s="153"/>
      <c r="T109" s="44"/>
      <c r="U109" s="4"/>
      <c r="V109" s="4"/>
      <c r="W109" s="4"/>
      <c r="X109" s="4"/>
      <c r="Y109" s="4"/>
      <c r="Z109" s="4"/>
    </row>
    <row r="110" ht="34.5" customHeight="1">
      <c r="A110" s="27">
        <v>104.0</v>
      </c>
      <c r="B110" s="64"/>
      <c r="C110" s="75"/>
      <c r="D110" s="75"/>
      <c r="E110" s="111"/>
      <c r="F110" s="25"/>
      <c r="G110" s="92"/>
      <c r="H110" s="92"/>
      <c r="I110" s="38"/>
      <c r="J110" s="30"/>
      <c r="K110" s="32"/>
      <c r="L110" s="38"/>
      <c r="M110" s="216"/>
      <c r="N110" s="59"/>
      <c r="O110" s="59"/>
      <c r="P110" s="121"/>
      <c r="Q110" s="172"/>
      <c r="R110" s="51"/>
      <c r="S110" s="153"/>
      <c r="T110" s="44"/>
      <c r="U110" s="4"/>
      <c r="V110" s="4"/>
      <c r="W110" s="4"/>
      <c r="X110" s="4"/>
      <c r="Y110" s="4"/>
      <c r="Z110" s="4"/>
    </row>
    <row r="111" ht="34.5" customHeight="1">
      <c r="A111" s="27">
        <v>105.0</v>
      </c>
      <c r="B111" s="64"/>
      <c r="C111" s="75"/>
      <c r="D111" s="75"/>
      <c r="E111" s="111"/>
      <c r="F111" s="25"/>
      <c r="G111" s="92"/>
      <c r="H111" s="92"/>
      <c r="I111" s="38"/>
      <c r="J111" s="30"/>
      <c r="K111" s="32"/>
      <c r="L111" s="38"/>
      <c r="M111" s="216"/>
      <c r="N111" s="59"/>
      <c r="O111" s="59"/>
      <c r="P111" s="121"/>
      <c r="Q111" s="172"/>
      <c r="R111" s="51"/>
      <c r="S111" s="153"/>
      <c r="T111" s="44"/>
      <c r="U111" s="4"/>
      <c r="V111" s="4"/>
      <c r="W111" s="4"/>
      <c r="X111" s="4"/>
      <c r="Y111" s="4"/>
      <c r="Z111" s="4"/>
    </row>
    <row r="112" ht="34.5" customHeight="1">
      <c r="A112" s="27">
        <v>106.0</v>
      </c>
      <c r="B112" s="64"/>
      <c r="C112" s="75"/>
      <c r="D112" s="75"/>
      <c r="E112" s="111"/>
      <c r="F112" s="25"/>
      <c r="G112" s="92"/>
      <c r="H112" s="92"/>
      <c r="I112" s="38"/>
      <c r="J112" s="30"/>
      <c r="K112" s="32"/>
      <c r="L112" s="38"/>
      <c r="M112" s="216"/>
      <c r="N112" s="59"/>
      <c r="O112" s="59"/>
      <c r="P112" s="121"/>
      <c r="Q112" s="172"/>
      <c r="R112" s="51"/>
      <c r="S112" s="153"/>
      <c r="T112" s="44"/>
      <c r="U112" s="4"/>
      <c r="V112" s="4"/>
      <c r="W112" s="4"/>
      <c r="X112" s="4"/>
      <c r="Y112" s="4"/>
      <c r="Z112" s="4"/>
    </row>
    <row r="113" ht="34.5" customHeight="1">
      <c r="A113" s="27">
        <v>107.0</v>
      </c>
      <c r="B113" s="64"/>
      <c r="C113" s="75"/>
      <c r="D113" s="75"/>
      <c r="E113" s="111"/>
      <c r="F113" s="25"/>
      <c r="G113" s="92"/>
      <c r="H113" s="92"/>
      <c r="I113" s="38"/>
      <c r="J113" s="30"/>
      <c r="K113" s="32"/>
      <c r="L113" s="38"/>
      <c r="M113" s="216"/>
      <c r="N113" s="59"/>
      <c r="O113" s="59"/>
      <c r="P113" s="121"/>
      <c r="Q113" s="172"/>
      <c r="R113" s="51"/>
      <c r="S113" s="153"/>
      <c r="T113" s="44"/>
      <c r="U113" s="4"/>
      <c r="V113" s="4"/>
      <c r="W113" s="4"/>
      <c r="X113" s="4"/>
      <c r="Y113" s="4"/>
      <c r="Z113" s="4"/>
    </row>
    <row r="114" ht="34.5" customHeight="1">
      <c r="A114" s="27">
        <v>108.0</v>
      </c>
      <c r="B114" s="64"/>
      <c r="C114" s="75"/>
      <c r="D114" s="75"/>
      <c r="E114" s="111"/>
      <c r="F114" s="25"/>
      <c r="G114" s="92"/>
      <c r="H114" s="92"/>
      <c r="I114" s="38"/>
      <c r="J114" s="30"/>
      <c r="K114" s="32"/>
      <c r="L114" s="38"/>
      <c r="M114" s="87"/>
      <c r="N114" s="59"/>
      <c r="O114" s="194" t="s">
        <v>341</v>
      </c>
      <c r="P114" s="121"/>
      <c r="Q114" s="26"/>
      <c r="R114" s="51"/>
      <c r="S114" s="153"/>
      <c r="T114" s="44"/>
      <c r="U114" s="4"/>
      <c r="V114" s="4"/>
      <c r="W114" s="4"/>
      <c r="X114" s="4"/>
      <c r="Y114" s="4"/>
      <c r="Z114" s="4"/>
    </row>
    <row r="115" ht="19.5" customHeight="1">
      <c r="A115" s="196"/>
      <c r="B115" s="197"/>
      <c r="C115" s="198"/>
      <c r="D115" s="198"/>
      <c r="E115" s="220" t="s">
        <v>343</v>
      </c>
      <c r="F115" s="200"/>
      <c r="G115" s="201"/>
      <c r="H115" s="32">
        <f>SUM(H7:H114)</f>
        <v>85830000</v>
      </c>
      <c r="I115" s="202"/>
      <c r="J115" s="204"/>
      <c r="K115" s="32">
        <f>SUM(K7:K114)</f>
        <v>1340550</v>
      </c>
      <c r="L115" s="202"/>
      <c r="M115" s="202"/>
      <c r="N115" s="202"/>
      <c r="O115" s="202"/>
      <c r="P115" s="202"/>
      <c r="Q115" s="32">
        <f>SUM(Q7:Q114)</f>
        <v>1263400</v>
      </c>
      <c r="R115" s="206"/>
      <c r="S115" s="221"/>
      <c r="T115" s="44"/>
      <c r="U115" s="4"/>
      <c r="V115" s="4"/>
      <c r="W115" s="4"/>
      <c r="X115" s="4"/>
      <c r="Y115" s="4"/>
      <c r="Z115" s="4"/>
    </row>
    <row r="116" ht="16.5" customHeight="1">
      <c r="A116" s="3"/>
      <c r="B116" s="2"/>
      <c r="C116" s="3"/>
      <c r="D116" s="2"/>
      <c r="E116" s="5"/>
      <c r="F116" s="4"/>
      <c r="G116" s="4"/>
      <c r="H116" s="4"/>
      <c r="I116" s="6"/>
      <c r="J116" s="4"/>
      <c r="K116" s="4"/>
      <c r="L116" s="6"/>
      <c r="M116" s="4"/>
      <c r="N116" s="4"/>
      <c r="O116" s="4"/>
      <c r="P116" s="4"/>
      <c r="Q116" s="4"/>
      <c r="R116" s="2"/>
      <c r="S116" s="222"/>
      <c r="T116" s="4"/>
      <c r="U116" s="4"/>
      <c r="V116" s="210"/>
      <c r="W116" s="210"/>
      <c r="X116" s="210"/>
      <c r="Y116" s="210"/>
      <c r="Z116" s="210"/>
    </row>
    <row r="117" ht="16.5" customHeight="1">
      <c r="A117" s="3"/>
      <c r="B117" s="2"/>
      <c r="C117" s="3"/>
      <c r="D117" s="2"/>
      <c r="E117" s="5"/>
      <c r="F117" s="4"/>
      <c r="G117" s="4"/>
      <c r="H117" s="4"/>
      <c r="I117" s="6"/>
      <c r="J117" s="4"/>
      <c r="K117" s="4"/>
      <c r="L117" s="6"/>
      <c r="M117" s="4"/>
      <c r="N117" s="4"/>
      <c r="O117" s="4"/>
      <c r="P117" s="4"/>
      <c r="Q117" s="4"/>
      <c r="R117" s="2"/>
      <c r="S117" s="7"/>
      <c r="T117" s="4"/>
      <c r="U117" s="4"/>
      <c r="V117" s="210"/>
      <c r="W117" s="210"/>
      <c r="X117" s="210"/>
      <c r="Y117" s="210"/>
      <c r="Z117" s="210"/>
    </row>
    <row r="118" ht="16.5" customHeight="1">
      <c r="A118" s="3"/>
      <c r="B118" s="2"/>
      <c r="C118" s="3"/>
      <c r="D118" s="2"/>
      <c r="E118" s="5"/>
      <c r="F118" s="4"/>
      <c r="G118" s="4"/>
      <c r="H118" s="4"/>
      <c r="I118" s="6"/>
      <c r="J118" s="4"/>
      <c r="K118" s="4"/>
      <c r="L118" s="6"/>
      <c r="M118" s="4"/>
      <c r="N118" s="4"/>
      <c r="O118" s="4"/>
      <c r="P118" s="4"/>
      <c r="Q118" s="4"/>
      <c r="R118" s="2"/>
      <c r="S118" s="7"/>
      <c r="T118" s="4"/>
      <c r="U118" s="4"/>
      <c r="V118" s="210"/>
      <c r="W118" s="210"/>
      <c r="X118" s="210"/>
      <c r="Y118" s="210"/>
      <c r="Z118" s="210"/>
    </row>
    <row r="119" ht="16.5" customHeight="1">
      <c r="A119" s="3"/>
      <c r="B119" s="2"/>
      <c r="C119" s="3"/>
      <c r="D119" s="2"/>
      <c r="E119" s="5"/>
      <c r="F119" s="4"/>
      <c r="G119" s="4"/>
      <c r="H119" s="4"/>
      <c r="I119" s="6"/>
      <c r="J119" s="4"/>
      <c r="K119" s="4"/>
      <c r="L119" s="6"/>
      <c r="M119" s="4"/>
      <c r="N119" s="4"/>
      <c r="O119" s="4"/>
      <c r="P119" s="4"/>
      <c r="Q119" s="4"/>
      <c r="R119" s="2"/>
      <c r="S119" s="7"/>
      <c r="T119" s="4"/>
      <c r="U119" s="4"/>
      <c r="V119" s="210"/>
      <c r="W119" s="210"/>
      <c r="X119" s="210"/>
      <c r="Y119" s="210"/>
      <c r="Z119" s="210"/>
    </row>
    <row r="120" ht="16.5" customHeight="1">
      <c r="A120" s="3"/>
      <c r="B120" s="2"/>
      <c r="C120" s="3"/>
      <c r="D120" s="2"/>
      <c r="E120" s="5"/>
      <c r="F120" s="4"/>
      <c r="G120" s="4"/>
      <c r="H120" s="4"/>
      <c r="I120" s="6"/>
      <c r="J120" s="4"/>
      <c r="K120" s="4"/>
      <c r="L120" s="6"/>
      <c r="M120" s="4"/>
      <c r="N120" s="4"/>
      <c r="O120" s="4"/>
      <c r="P120" s="4"/>
      <c r="Q120" s="4"/>
      <c r="R120" s="2"/>
      <c r="S120" s="7"/>
      <c r="T120" s="4"/>
      <c r="U120" s="4"/>
      <c r="V120" s="210"/>
      <c r="W120" s="210"/>
      <c r="X120" s="210"/>
      <c r="Y120" s="210"/>
      <c r="Z120" s="210"/>
    </row>
    <row r="121" ht="16.5" customHeight="1">
      <c r="A121" s="3"/>
      <c r="B121" s="2"/>
      <c r="C121" s="3"/>
      <c r="D121" s="2"/>
      <c r="E121" s="5"/>
      <c r="F121" s="4"/>
      <c r="G121" s="4"/>
      <c r="H121" s="4"/>
      <c r="I121" s="6"/>
      <c r="J121" s="4"/>
      <c r="K121" s="4"/>
      <c r="L121" s="6"/>
      <c r="M121" s="4"/>
      <c r="N121" s="4"/>
      <c r="O121" s="4"/>
      <c r="P121" s="4"/>
      <c r="Q121" s="4"/>
      <c r="R121" s="2"/>
      <c r="S121" s="7"/>
      <c r="T121" s="4"/>
      <c r="U121" s="4"/>
      <c r="V121" s="210"/>
      <c r="W121" s="210"/>
      <c r="X121" s="210"/>
      <c r="Y121" s="210"/>
      <c r="Z121" s="210"/>
    </row>
    <row r="122" ht="16.5" customHeight="1">
      <c r="A122" s="3"/>
      <c r="B122" s="2"/>
      <c r="C122" s="3"/>
      <c r="D122" s="2"/>
      <c r="E122" s="5"/>
      <c r="F122" s="4"/>
      <c r="G122" s="4"/>
      <c r="H122" s="4"/>
      <c r="I122" s="6"/>
      <c r="J122" s="4"/>
      <c r="K122" s="4"/>
      <c r="L122" s="6"/>
      <c r="M122" s="4"/>
      <c r="N122" s="4"/>
      <c r="O122" s="4"/>
      <c r="P122" s="4"/>
      <c r="Q122" s="4"/>
      <c r="R122" s="2"/>
      <c r="S122" s="7"/>
      <c r="T122" s="4"/>
      <c r="U122" s="4"/>
      <c r="V122" s="210"/>
      <c r="W122" s="210"/>
      <c r="X122" s="210"/>
      <c r="Y122" s="210"/>
      <c r="Z122" s="210"/>
    </row>
    <row r="123" ht="16.5" customHeight="1">
      <c r="A123" s="3"/>
      <c r="B123" s="2"/>
      <c r="C123" s="3"/>
      <c r="D123" s="2"/>
      <c r="E123" s="5"/>
      <c r="F123" s="4"/>
      <c r="G123" s="4"/>
      <c r="H123" s="4"/>
      <c r="I123" s="6"/>
      <c r="J123" s="4"/>
      <c r="K123" s="4"/>
      <c r="L123" s="6"/>
      <c r="M123" s="4"/>
      <c r="N123" s="4"/>
      <c r="O123" s="4"/>
      <c r="P123" s="4"/>
      <c r="Q123" s="4"/>
      <c r="R123" s="2"/>
      <c r="S123" s="7"/>
      <c r="T123" s="4"/>
      <c r="U123" s="4"/>
      <c r="V123" s="210"/>
      <c r="W123" s="210"/>
      <c r="X123" s="210"/>
      <c r="Y123" s="210"/>
      <c r="Z123" s="210"/>
    </row>
    <row r="124" ht="16.5" customHeight="1">
      <c r="A124" s="3"/>
      <c r="B124" s="2"/>
      <c r="C124" s="3"/>
      <c r="D124" s="2"/>
      <c r="E124" s="5"/>
      <c r="F124" s="4"/>
      <c r="G124" s="4"/>
      <c r="H124" s="4"/>
      <c r="I124" s="6"/>
      <c r="J124" s="4"/>
      <c r="K124" s="4"/>
      <c r="L124" s="6"/>
      <c r="M124" s="4"/>
      <c r="N124" s="4"/>
      <c r="O124" s="4"/>
      <c r="P124" s="4"/>
      <c r="Q124" s="4"/>
      <c r="R124" s="2"/>
      <c r="S124" s="7"/>
      <c r="T124" s="4"/>
      <c r="U124" s="4"/>
      <c r="V124" s="210"/>
      <c r="W124" s="210"/>
      <c r="X124" s="210"/>
      <c r="Y124" s="210"/>
      <c r="Z124" s="210"/>
    </row>
    <row r="125" ht="16.5" customHeight="1">
      <c r="A125" s="3"/>
      <c r="B125" s="2"/>
      <c r="C125" s="3"/>
      <c r="D125" s="2"/>
      <c r="E125" s="5"/>
      <c r="F125" s="4"/>
      <c r="G125" s="4"/>
      <c r="H125" s="4"/>
      <c r="I125" s="6"/>
      <c r="J125" s="4"/>
      <c r="K125" s="4"/>
      <c r="L125" s="6"/>
      <c r="M125" s="4"/>
      <c r="N125" s="4"/>
      <c r="O125" s="4"/>
      <c r="P125" s="4"/>
      <c r="Q125" s="4"/>
      <c r="R125" s="2"/>
      <c r="S125" s="7"/>
      <c r="T125" s="4"/>
      <c r="U125" s="4"/>
      <c r="V125" s="210"/>
      <c r="W125" s="210"/>
      <c r="X125" s="210"/>
      <c r="Y125" s="210"/>
      <c r="Z125" s="210"/>
    </row>
    <row r="126" ht="16.5" customHeight="1">
      <c r="A126" s="3"/>
      <c r="B126" s="2"/>
      <c r="C126" s="3"/>
      <c r="D126" s="2"/>
      <c r="E126" s="5"/>
      <c r="F126" s="4"/>
      <c r="G126" s="4"/>
      <c r="H126" s="4"/>
      <c r="I126" s="6"/>
      <c r="J126" s="4"/>
      <c r="K126" s="4"/>
      <c r="L126" s="6"/>
      <c r="M126" s="4"/>
      <c r="N126" s="4"/>
      <c r="O126" s="4"/>
      <c r="P126" s="4"/>
      <c r="Q126" s="4"/>
      <c r="R126" s="2"/>
      <c r="S126" s="7"/>
      <c r="T126" s="4"/>
      <c r="U126" s="4"/>
      <c r="V126" s="4"/>
      <c r="W126" s="4"/>
      <c r="X126" s="4"/>
      <c r="Y126" s="4"/>
      <c r="Z126" s="4"/>
    </row>
    <row r="127" ht="16.5" customHeight="1">
      <c r="A127" s="3"/>
      <c r="B127" s="2"/>
      <c r="C127" s="3"/>
      <c r="D127" s="2"/>
      <c r="E127" s="5"/>
      <c r="F127" s="4"/>
      <c r="G127" s="4"/>
      <c r="H127" s="4"/>
      <c r="I127" s="6"/>
      <c r="J127" s="4"/>
      <c r="K127" s="4"/>
      <c r="L127" s="6"/>
      <c r="M127" s="4"/>
      <c r="N127" s="4"/>
      <c r="O127" s="4"/>
      <c r="P127" s="4"/>
      <c r="Q127" s="4"/>
      <c r="R127" s="2"/>
      <c r="S127" s="7"/>
      <c r="T127" s="4"/>
      <c r="U127" s="4"/>
      <c r="V127" s="4"/>
      <c r="W127" s="4"/>
      <c r="X127" s="4"/>
      <c r="Y127" s="4"/>
      <c r="Z127" s="4"/>
    </row>
    <row r="128" ht="16.5" customHeight="1">
      <c r="A128" s="3"/>
      <c r="B128" s="2"/>
      <c r="C128" s="3"/>
      <c r="D128" s="2"/>
      <c r="E128" s="5"/>
      <c r="F128" s="4"/>
      <c r="G128" s="4"/>
      <c r="H128" s="4"/>
      <c r="I128" s="6"/>
      <c r="J128" s="4"/>
      <c r="K128" s="4"/>
      <c r="L128" s="6"/>
      <c r="M128" s="4"/>
      <c r="N128" s="4"/>
      <c r="O128" s="4"/>
      <c r="P128" s="4"/>
      <c r="Q128" s="4"/>
      <c r="R128" s="2"/>
      <c r="S128" s="7"/>
      <c r="T128" s="4"/>
      <c r="U128" s="4"/>
      <c r="V128" s="4"/>
      <c r="W128" s="4"/>
      <c r="X128" s="4"/>
      <c r="Y128" s="4"/>
      <c r="Z128" s="4"/>
    </row>
    <row r="129" ht="16.5" customHeight="1">
      <c r="A129" s="3"/>
      <c r="B129" s="2"/>
      <c r="C129" s="3"/>
      <c r="D129" s="2"/>
      <c r="E129" s="5"/>
      <c r="F129" s="4"/>
      <c r="G129" s="4"/>
      <c r="H129" s="4"/>
      <c r="I129" s="6"/>
      <c r="J129" s="4"/>
      <c r="K129" s="4"/>
      <c r="L129" s="6"/>
      <c r="M129" s="4"/>
      <c r="N129" s="4"/>
      <c r="O129" s="4"/>
      <c r="P129" s="4"/>
      <c r="Q129" s="4"/>
      <c r="R129" s="2"/>
      <c r="S129" s="7"/>
      <c r="T129" s="4"/>
      <c r="U129" s="4"/>
      <c r="V129" s="4"/>
      <c r="W129" s="4"/>
      <c r="X129" s="4"/>
      <c r="Y129" s="4"/>
      <c r="Z129" s="4"/>
    </row>
    <row r="130" ht="16.5" customHeight="1">
      <c r="A130" s="3"/>
      <c r="B130" s="2"/>
      <c r="C130" s="3"/>
      <c r="D130" s="2"/>
      <c r="E130" s="5"/>
      <c r="F130" s="4"/>
      <c r="G130" s="4"/>
      <c r="H130" s="4"/>
      <c r="I130" s="6"/>
      <c r="J130" s="4"/>
      <c r="K130" s="4"/>
      <c r="L130" s="6"/>
      <c r="M130" s="4"/>
      <c r="N130" s="4"/>
      <c r="O130" s="4"/>
      <c r="P130" s="4"/>
      <c r="Q130" s="4"/>
      <c r="R130" s="2"/>
      <c r="S130" s="7"/>
      <c r="T130" s="4"/>
      <c r="U130" s="4"/>
      <c r="V130" s="4"/>
      <c r="W130" s="4"/>
      <c r="X130" s="4"/>
      <c r="Y130" s="4"/>
      <c r="Z130" s="4"/>
    </row>
    <row r="131" ht="16.5" customHeight="1">
      <c r="A131" s="3"/>
      <c r="B131" s="2"/>
      <c r="C131" s="3"/>
      <c r="D131" s="2"/>
      <c r="E131" s="5"/>
      <c r="F131" s="4"/>
      <c r="G131" s="4"/>
      <c r="H131" s="4"/>
      <c r="I131" s="6"/>
      <c r="J131" s="4"/>
      <c r="K131" s="4"/>
      <c r="L131" s="6"/>
      <c r="M131" s="4"/>
      <c r="N131" s="4"/>
      <c r="O131" s="4"/>
      <c r="P131" s="4"/>
      <c r="Q131" s="4"/>
      <c r="R131" s="2"/>
      <c r="S131" s="7"/>
      <c r="T131" s="4"/>
      <c r="U131" s="4"/>
      <c r="V131" s="4"/>
      <c r="W131" s="4"/>
      <c r="X131" s="4"/>
      <c r="Y131" s="4"/>
      <c r="Z131" s="4"/>
    </row>
    <row r="132" ht="16.5" customHeight="1">
      <c r="A132" s="3"/>
      <c r="B132" s="2"/>
      <c r="C132" s="3"/>
      <c r="D132" s="2"/>
      <c r="E132" s="5"/>
      <c r="F132" s="4"/>
      <c r="G132" s="4"/>
      <c r="H132" s="4"/>
      <c r="I132" s="6"/>
      <c r="J132" s="4"/>
      <c r="K132" s="4"/>
      <c r="L132" s="6"/>
      <c r="M132" s="4"/>
      <c r="N132" s="4"/>
      <c r="O132" s="4"/>
      <c r="P132" s="4"/>
      <c r="Q132" s="4"/>
      <c r="R132" s="2"/>
      <c r="S132" s="7"/>
      <c r="T132" s="4"/>
      <c r="U132" s="4"/>
      <c r="V132" s="4"/>
      <c r="W132" s="4"/>
      <c r="X132" s="4"/>
      <c r="Y132" s="4"/>
      <c r="Z132" s="4"/>
    </row>
    <row r="133" ht="16.5" customHeight="1">
      <c r="A133" s="3"/>
      <c r="B133" s="2"/>
      <c r="C133" s="3"/>
      <c r="D133" s="2"/>
      <c r="E133" s="5"/>
      <c r="F133" s="4"/>
      <c r="G133" s="4"/>
      <c r="H133" s="4"/>
      <c r="I133" s="6"/>
      <c r="J133" s="4"/>
      <c r="K133" s="4"/>
      <c r="L133" s="6"/>
      <c r="M133" s="4"/>
      <c r="N133" s="4"/>
      <c r="O133" s="4"/>
      <c r="P133" s="4"/>
      <c r="Q133" s="4"/>
      <c r="R133" s="2"/>
      <c r="S133" s="7"/>
      <c r="T133" s="4"/>
      <c r="U133" s="4"/>
      <c r="V133" s="4"/>
      <c r="W133" s="4"/>
      <c r="X133" s="4"/>
      <c r="Y133" s="4"/>
      <c r="Z133" s="4"/>
    </row>
    <row r="134" ht="16.5" customHeight="1">
      <c r="A134" s="3"/>
      <c r="B134" s="2"/>
      <c r="C134" s="3"/>
      <c r="D134" s="2"/>
      <c r="E134" s="5"/>
      <c r="F134" s="4"/>
      <c r="G134" s="4"/>
      <c r="H134" s="4"/>
      <c r="I134" s="6"/>
      <c r="J134" s="4"/>
      <c r="K134" s="4"/>
      <c r="L134" s="6"/>
      <c r="M134" s="4"/>
      <c r="N134" s="4"/>
      <c r="O134" s="4"/>
      <c r="P134" s="4"/>
      <c r="Q134" s="4"/>
      <c r="R134" s="2"/>
      <c r="S134" s="7"/>
      <c r="T134" s="4"/>
      <c r="U134" s="4"/>
      <c r="V134" s="4"/>
      <c r="W134" s="4"/>
      <c r="X134" s="4"/>
      <c r="Y134" s="4"/>
      <c r="Z134" s="4"/>
    </row>
    <row r="135" ht="16.5" customHeight="1">
      <c r="A135" s="3"/>
      <c r="B135" s="2"/>
      <c r="C135" s="3"/>
      <c r="D135" s="2"/>
      <c r="E135" s="5"/>
      <c r="F135" s="4"/>
      <c r="G135" s="4"/>
      <c r="H135" s="4"/>
      <c r="I135" s="6"/>
      <c r="J135" s="4"/>
      <c r="K135" s="4"/>
      <c r="L135" s="6"/>
      <c r="M135" s="4"/>
      <c r="N135" s="4"/>
      <c r="O135" s="4"/>
      <c r="P135" s="4"/>
      <c r="Q135" s="4"/>
      <c r="R135" s="2"/>
      <c r="S135" s="7"/>
      <c r="T135" s="4"/>
      <c r="U135" s="4"/>
      <c r="V135" s="4"/>
      <c r="W135" s="4"/>
      <c r="X135" s="4"/>
      <c r="Y135" s="4"/>
      <c r="Z135" s="4"/>
    </row>
    <row r="136" ht="16.5" customHeight="1">
      <c r="A136" s="3"/>
      <c r="B136" s="2"/>
      <c r="C136" s="3"/>
      <c r="D136" s="2"/>
      <c r="E136" s="5"/>
      <c r="F136" s="4"/>
      <c r="G136" s="4"/>
      <c r="H136" s="4"/>
      <c r="I136" s="6"/>
      <c r="J136" s="4"/>
      <c r="K136" s="4"/>
      <c r="L136" s="6"/>
      <c r="M136" s="4"/>
      <c r="N136" s="4"/>
      <c r="O136" s="4"/>
      <c r="P136" s="4"/>
      <c r="Q136" s="4"/>
      <c r="R136" s="2"/>
      <c r="S136" s="7"/>
      <c r="T136" s="4"/>
      <c r="U136" s="4"/>
      <c r="V136" s="4"/>
      <c r="W136" s="4"/>
      <c r="X136" s="4"/>
      <c r="Y136" s="4"/>
      <c r="Z136" s="4"/>
    </row>
    <row r="137" ht="16.5" customHeight="1">
      <c r="A137" s="3"/>
      <c r="B137" s="2"/>
      <c r="C137" s="3"/>
      <c r="D137" s="2"/>
      <c r="E137" s="5"/>
      <c r="F137" s="4"/>
      <c r="G137" s="4"/>
      <c r="H137" s="4"/>
      <c r="I137" s="6"/>
      <c r="J137" s="4"/>
      <c r="K137" s="4"/>
      <c r="L137" s="6"/>
      <c r="M137" s="4"/>
      <c r="N137" s="4"/>
      <c r="O137" s="4"/>
      <c r="P137" s="4"/>
      <c r="Q137" s="4"/>
      <c r="R137" s="2"/>
      <c r="S137" s="7"/>
      <c r="T137" s="4"/>
      <c r="U137" s="4"/>
      <c r="V137" s="4"/>
      <c r="W137" s="4"/>
      <c r="X137" s="4"/>
      <c r="Y137" s="4"/>
      <c r="Z137" s="4"/>
    </row>
    <row r="138" ht="16.5" customHeight="1">
      <c r="A138" s="3"/>
      <c r="B138" s="2"/>
      <c r="C138" s="3"/>
      <c r="D138" s="2"/>
      <c r="E138" s="5"/>
      <c r="F138" s="4"/>
      <c r="G138" s="4"/>
      <c r="H138" s="4"/>
      <c r="I138" s="6"/>
      <c r="J138" s="4"/>
      <c r="K138" s="4"/>
      <c r="L138" s="6"/>
      <c r="M138" s="4"/>
      <c r="N138" s="4"/>
      <c r="O138" s="4"/>
      <c r="P138" s="4"/>
      <c r="Q138" s="4"/>
      <c r="R138" s="210"/>
      <c r="S138" s="7"/>
      <c r="T138" s="4"/>
      <c r="U138" s="4"/>
      <c r="V138" s="4"/>
      <c r="W138" s="4"/>
      <c r="X138" s="4"/>
      <c r="Y138" s="4"/>
      <c r="Z138" s="4"/>
    </row>
    <row r="139" ht="16.5" customHeight="1">
      <c r="A139" s="3"/>
      <c r="B139" s="2"/>
      <c r="C139" s="3"/>
      <c r="D139" s="2"/>
      <c r="E139" s="5"/>
      <c r="F139" s="4"/>
      <c r="G139" s="4"/>
      <c r="H139" s="4"/>
      <c r="I139" s="6"/>
      <c r="J139" s="4"/>
      <c r="K139" s="4"/>
      <c r="L139" s="6"/>
      <c r="M139" s="4"/>
      <c r="N139" s="4"/>
      <c r="O139" s="4"/>
      <c r="P139" s="4"/>
      <c r="Q139" s="4"/>
      <c r="R139" s="210"/>
      <c r="S139" s="7"/>
      <c r="T139" s="4"/>
      <c r="U139" s="4"/>
      <c r="V139" s="4"/>
      <c r="W139" s="4"/>
      <c r="X139" s="4"/>
      <c r="Y139" s="4"/>
      <c r="Z139" s="4"/>
    </row>
    <row r="140" ht="16.5" customHeight="1">
      <c r="A140" s="3"/>
      <c r="B140" s="2"/>
      <c r="C140" s="3"/>
      <c r="D140" s="2"/>
      <c r="E140" s="5"/>
      <c r="F140" s="4"/>
      <c r="G140" s="4"/>
      <c r="H140" s="4"/>
      <c r="I140" s="6"/>
      <c r="J140" s="4"/>
      <c r="K140" s="4"/>
      <c r="L140" s="6"/>
      <c r="M140" s="4"/>
      <c r="N140" s="4"/>
      <c r="O140" s="4"/>
      <c r="P140" s="4"/>
      <c r="Q140" s="4"/>
      <c r="R140" s="210"/>
      <c r="S140" s="7"/>
      <c r="T140" s="4"/>
      <c r="U140" s="4"/>
      <c r="V140" s="4"/>
      <c r="W140" s="4"/>
      <c r="X140" s="4"/>
      <c r="Y140" s="4"/>
      <c r="Z140" s="4"/>
    </row>
    <row r="141" ht="16.5" customHeight="1">
      <c r="A141" s="3"/>
      <c r="B141" s="2"/>
      <c r="C141" s="3"/>
      <c r="D141" s="2"/>
      <c r="E141" s="5"/>
      <c r="F141" s="4"/>
      <c r="G141" s="4"/>
      <c r="H141" s="4"/>
      <c r="I141" s="6"/>
      <c r="J141" s="4"/>
      <c r="K141" s="4"/>
      <c r="L141" s="6"/>
      <c r="M141" s="4"/>
      <c r="N141" s="4"/>
      <c r="O141" s="4"/>
      <c r="P141" s="4"/>
      <c r="Q141" s="4"/>
      <c r="R141" s="210"/>
      <c r="S141" s="7"/>
      <c r="T141" s="4"/>
      <c r="U141" s="4"/>
      <c r="V141" s="4"/>
      <c r="W141" s="4"/>
      <c r="X141" s="4"/>
      <c r="Y141" s="4"/>
      <c r="Z141" s="4"/>
    </row>
    <row r="142" ht="16.5" customHeight="1">
      <c r="A142" s="3"/>
      <c r="B142" s="2"/>
      <c r="C142" s="3"/>
      <c r="D142" s="2"/>
      <c r="E142" s="5"/>
      <c r="F142" s="4"/>
      <c r="G142" s="4"/>
      <c r="H142" s="4"/>
      <c r="I142" s="6"/>
      <c r="J142" s="4"/>
      <c r="K142" s="4"/>
      <c r="L142" s="6"/>
      <c r="M142" s="4"/>
      <c r="N142" s="4"/>
      <c r="O142" s="4"/>
      <c r="P142" s="4"/>
      <c r="Q142" s="4"/>
      <c r="R142" s="210"/>
      <c r="S142" s="7"/>
      <c r="T142" s="4"/>
      <c r="U142" s="4"/>
      <c r="V142" s="4"/>
      <c r="W142" s="4"/>
      <c r="X142" s="4"/>
      <c r="Y142" s="4"/>
      <c r="Z142" s="4"/>
    </row>
    <row r="143" ht="16.5" customHeight="1">
      <c r="A143" s="3"/>
      <c r="B143" s="2"/>
      <c r="C143" s="3"/>
      <c r="D143" s="2"/>
      <c r="E143" s="5"/>
      <c r="F143" s="4"/>
      <c r="G143" s="4"/>
      <c r="H143" s="4"/>
      <c r="I143" s="6"/>
      <c r="J143" s="4"/>
      <c r="K143" s="4"/>
      <c r="L143" s="6"/>
      <c r="M143" s="4"/>
      <c r="N143" s="4"/>
      <c r="O143" s="4"/>
      <c r="P143" s="4"/>
      <c r="Q143" s="4"/>
      <c r="R143" s="210"/>
      <c r="S143" s="7"/>
      <c r="T143" s="4"/>
      <c r="U143" s="4"/>
      <c r="V143" s="4"/>
      <c r="W143" s="4"/>
      <c r="X143" s="4"/>
      <c r="Y143" s="4"/>
      <c r="Z143" s="4"/>
    </row>
    <row r="144" ht="16.5" customHeight="1">
      <c r="A144" s="3"/>
      <c r="B144" s="2"/>
      <c r="C144" s="3"/>
      <c r="D144" s="2"/>
      <c r="E144" s="5"/>
      <c r="F144" s="4"/>
      <c r="G144" s="4"/>
      <c r="H144" s="4"/>
      <c r="I144" s="6"/>
      <c r="J144" s="4"/>
      <c r="K144" s="4"/>
      <c r="L144" s="6"/>
      <c r="M144" s="4"/>
      <c r="N144" s="4"/>
      <c r="O144" s="4"/>
      <c r="P144" s="4"/>
      <c r="Q144" s="4"/>
      <c r="R144" s="210"/>
      <c r="S144" s="7"/>
      <c r="T144" s="4"/>
      <c r="U144" s="4"/>
      <c r="V144" s="4"/>
      <c r="W144" s="4"/>
      <c r="X144" s="4"/>
      <c r="Y144" s="4"/>
      <c r="Z144" s="4"/>
    </row>
    <row r="145" ht="16.5" customHeight="1">
      <c r="A145" s="3"/>
      <c r="B145" s="2"/>
      <c r="C145" s="3"/>
      <c r="D145" s="2"/>
      <c r="E145" s="5"/>
      <c r="F145" s="4"/>
      <c r="G145" s="4"/>
      <c r="H145" s="4"/>
      <c r="I145" s="6"/>
      <c r="J145" s="4"/>
      <c r="K145" s="4"/>
      <c r="L145" s="6"/>
      <c r="M145" s="4"/>
      <c r="N145" s="4"/>
      <c r="O145" s="4"/>
      <c r="P145" s="4"/>
      <c r="Q145" s="4"/>
      <c r="R145" s="210"/>
      <c r="S145" s="7"/>
      <c r="T145" s="4"/>
      <c r="U145" s="4"/>
      <c r="V145" s="4"/>
      <c r="W145" s="4"/>
      <c r="X145" s="4"/>
      <c r="Y145" s="4"/>
      <c r="Z145" s="4"/>
    </row>
    <row r="146" ht="16.5" customHeight="1">
      <c r="A146" s="3"/>
      <c r="B146" s="2"/>
      <c r="C146" s="3"/>
      <c r="D146" s="2"/>
      <c r="E146" s="5"/>
      <c r="F146" s="4"/>
      <c r="G146" s="4"/>
      <c r="H146" s="4"/>
      <c r="I146" s="6"/>
      <c r="J146" s="4"/>
      <c r="K146" s="4"/>
      <c r="L146" s="6"/>
      <c r="M146" s="4"/>
      <c r="N146" s="4"/>
      <c r="O146" s="4"/>
      <c r="P146" s="4"/>
      <c r="Q146" s="4"/>
      <c r="R146" s="210"/>
      <c r="S146" s="7"/>
      <c r="T146" s="4"/>
      <c r="U146" s="4"/>
      <c r="V146" s="4"/>
      <c r="W146" s="4"/>
      <c r="X146" s="4"/>
      <c r="Y146" s="4"/>
      <c r="Z146" s="4"/>
    </row>
    <row r="147" ht="16.5" customHeight="1">
      <c r="A147" s="3"/>
      <c r="B147" s="2"/>
      <c r="C147" s="3"/>
      <c r="D147" s="2"/>
      <c r="E147" s="5"/>
      <c r="F147" s="4"/>
      <c r="G147" s="4"/>
      <c r="H147" s="4"/>
      <c r="I147" s="6"/>
      <c r="J147" s="4"/>
      <c r="K147" s="4"/>
      <c r="L147" s="6"/>
      <c r="M147" s="4"/>
      <c r="N147" s="4"/>
      <c r="O147" s="4"/>
      <c r="P147" s="4"/>
      <c r="Q147" s="4"/>
      <c r="R147" s="210"/>
      <c r="S147" s="7"/>
      <c r="T147" s="4"/>
      <c r="U147" s="4"/>
      <c r="V147" s="4"/>
      <c r="W147" s="4"/>
      <c r="X147" s="4"/>
      <c r="Y147" s="4"/>
      <c r="Z147" s="4"/>
    </row>
    <row r="148" ht="16.5" customHeight="1">
      <c r="A148" s="3"/>
      <c r="B148" s="2"/>
      <c r="C148" s="3"/>
      <c r="D148" s="2"/>
      <c r="E148" s="5"/>
      <c r="F148" s="4"/>
      <c r="G148" s="4"/>
      <c r="H148" s="4"/>
      <c r="I148" s="6"/>
      <c r="J148" s="4"/>
      <c r="K148" s="4"/>
      <c r="L148" s="6"/>
      <c r="M148" s="4"/>
      <c r="N148" s="4"/>
      <c r="O148" s="4"/>
      <c r="P148" s="4"/>
      <c r="Q148" s="4"/>
      <c r="R148" s="210"/>
      <c r="S148" s="7"/>
      <c r="T148" s="4"/>
      <c r="U148" s="4"/>
      <c r="V148" s="4"/>
      <c r="W148" s="4"/>
      <c r="X148" s="4"/>
      <c r="Y148" s="4"/>
      <c r="Z148" s="4"/>
    </row>
    <row r="149" ht="16.5" customHeight="1">
      <c r="A149" s="3"/>
      <c r="B149" s="2"/>
      <c r="C149" s="3"/>
      <c r="D149" s="2"/>
      <c r="E149" s="5"/>
      <c r="F149" s="4"/>
      <c r="G149" s="4"/>
      <c r="H149" s="4"/>
      <c r="I149" s="6"/>
      <c r="J149" s="4"/>
      <c r="K149" s="4"/>
      <c r="L149" s="6"/>
      <c r="M149" s="4"/>
      <c r="N149" s="4"/>
      <c r="O149" s="4"/>
      <c r="P149" s="4"/>
      <c r="Q149" s="4"/>
      <c r="R149" s="210"/>
      <c r="S149" s="7"/>
      <c r="T149" s="4"/>
      <c r="U149" s="4"/>
      <c r="V149" s="4"/>
      <c r="W149" s="4"/>
      <c r="X149" s="4"/>
      <c r="Y149" s="4"/>
      <c r="Z149" s="4"/>
    </row>
    <row r="150" ht="16.5" customHeight="1">
      <c r="A150" s="3"/>
      <c r="B150" s="2"/>
      <c r="C150" s="3"/>
      <c r="D150" s="2"/>
      <c r="E150" s="5"/>
      <c r="F150" s="4"/>
      <c r="G150" s="4"/>
      <c r="H150" s="4"/>
      <c r="I150" s="6"/>
      <c r="J150" s="4"/>
      <c r="K150" s="4"/>
      <c r="L150" s="6"/>
      <c r="M150" s="4"/>
      <c r="N150" s="4"/>
      <c r="O150" s="4"/>
      <c r="P150" s="4"/>
      <c r="Q150" s="4"/>
      <c r="R150" s="210"/>
      <c r="S150" s="7"/>
      <c r="T150" s="4"/>
      <c r="U150" s="4"/>
      <c r="V150" s="4"/>
      <c r="W150" s="4"/>
      <c r="X150" s="4"/>
      <c r="Y150" s="4"/>
      <c r="Z150" s="4"/>
    </row>
    <row r="151" ht="16.5" customHeight="1">
      <c r="A151" s="3"/>
      <c r="B151" s="2"/>
      <c r="C151" s="3"/>
      <c r="D151" s="2"/>
      <c r="E151" s="5"/>
      <c r="F151" s="4"/>
      <c r="G151" s="4"/>
      <c r="H151" s="4"/>
      <c r="I151" s="6"/>
      <c r="J151" s="4"/>
      <c r="K151" s="4"/>
      <c r="L151" s="6"/>
      <c r="M151" s="4"/>
      <c r="N151" s="4"/>
      <c r="O151" s="4"/>
      <c r="P151" s="4"/>
      <c r="Q151" s="4"/>
      <c r="R151" s="210"/>
      <c r="S151" s="7"/>
      <c r="T151" s="4"/>
      <c r="U151" s="4"/>
      <c r="V151" s="4"/>
      <c r="W151" s="4"/>
      <c r="X151" s="4"/>
      <c r="Y151" s="4"/>
      <c r="Z151" s="4"/>
    </row>
    <row r="152" ht="16.5" customHeight="1">
      <c r="A152" s="3"/>
      <c r="B152" s="2"/>
      <c r="C152" s="3"/>
      <c r="D152" s="2"/>
      <c r="E152" s="5"/>
      <c r="F152" s="4"/>
      <c r="G152" s="4"/>
      <c r="H152" s="4"/>
      <c r="I152" s="6"/>
      <c r="J152" s="4"/>
      <c r="K152" s="4"/>
      <c r="L152" s="6"/>
      <c r="M152" s="4"/>
      <c r="N152" s="4"/>
      <c r="O152" s="4"/>
      <c r="P152" s="4"/>
      <c r="Q152" s="4"/>
      <c r="R152" s="210"/>
      <c r="S152" s="7"/>
      <c r="T152" s="4"/>
      <c r="U152" s="4"/>
      <c r="V152" s="4"/>
      <c r="W152" s="4"/>
      <c r="X152" s="4"/>
      <c r="Y152" s="4"/>
      <c r="Z152" s="4"/>
    </row>
    <row r="153" ht="16.5" customHeight="1">
      <c r="A153" s="3"/>
      <c r="B153" s="2"/>
      <c r="C153" s="3"/>
      <c r="D153" s="2"/>
      <c r="E153" s="5"/>
      <c r="F153" s="4"/>
      <c r="G153" s="4"/>
      <c r="H153" s="4"/>
      <c r="I153" s="6"/>
      <c r="J153" s="4"/>
      <c r="K153" s="4"/>
      <c r="L153" s="6"/>
      <c r="M153" s="4"/>
      <c r="N153" s="4"/>
      <c r="O153" s="4"/>
      <c r="P153" s="4"/>
      <c r="Q153" s="4"/>
      <c r="R153" s="210"/>
      <c r="S153" s="7"/>
      <c r="T153" s="4"/>
      <c r="U153" s="4"/>
      <c r="V153" s="4"/>
      <c r="W153" s="4"/>
      <c r="X153" s="4"/>
      <c r="Y153" s="4"/>
      <c r="Z153" s="4"/>
    </row>
    <row r="154" ht="16.5" customHeight="1">
      <c r="A154" s="3"/>
      <c r="B154" s="2"/>
      <c r="C154" s="3"/>
      <c r="D154" s="2"/>
      <c r="E154" s="5"/>
      <c r="F154" s="4"/>
      <c r="G154" s="4"/>
      <c r="H154" s="4"/>
      <c r="I154" s="6"/>
      <c r="J154" s="4"/>
      <c r="K154" s="4"/>
      <c r="L154" s="6"/>
      <c r="M154" s="4"/>
      <c r="N154" s="4"/>
      <c r="O154" s="4"/>
      <c r="P154" s="4"/>
      <c r="Q154" s="4"/>
      <c r="R154" s="210"/>
      <c r="S154" s="7"/>
      <c r="T154" s="4"/>
      <c r="U154" s="4"/>
      <c r="V154" s="4"/>
      <c r="W154" s="4"/>
      <c r="X154" s="4"/>
      <c r="Y154" s="4"/>
      <c r="Z154" s="4"/>
    </row>
    <row r="155" ht="16.5" customHeight="1">
      <c r="A155" s="3"/>
      <c r="B155" s="2"/>
      <c r="C155" s="3"/>
      <c r="D155" s="2"/>
      <c r="E155" s="5"/>
      <c r="F155" s="4"/>
      <c r="G155" s="4"/>
      <c r="H155" s="4"/>
      <c r="I155" s="6"/>
      <c r="J155" s="4"/>
      <c r="K155" s="4"/>
      <c r="L155" s="6"/>
      <c r="M155" s="4"/>
      <c r="N155" s="4"/>
      <c r="O155" s="4"/>
      <c r="P155" s="4"/>
      <c r="Q155" s="4"/>
      <c r="R155" s="210"/>
      <c r="S155" s="7"/>
      <c r="T155" s="4"/>
      <c r="U155" s="4"/>
      <c r="V155" s="4"/>
      <c r="W155" s="4"/>
      <c r="X155" s="4"/>
      <c r="Y155" s="4"/>
      <c r="Z155" s="4"/>
    </row>
    <row r="156" ht="16.5" customHeight="1">
      <c r="A156" s="3"/>
      <c r="B156" s="2"/>
      <c r="C156" s="3"/>
      <c r="D156" s="2"/>
      <c r="E156" s="5"/>
      <c r="F156" s="4"/>
      <c r="G156" s="4"/>
      <c r="H156" s="4"/>
      <c r="I156" s="6"/>
      <c r="J156" s="4"/>
      <c r="K156" s="4"/>
      <c r="L156" s="6"/>
      <c r="M156" s="4"/>
      <c r="N156" s="4"/>
      <c r="O156" s="4"/>
      <c r="P156" s="4"/>
      <c r="Q156" s="4"/>
      <c r="R156" s="210"/>
      <c r="S156" s="7"/>
      <c r="T156" s="4"/>
      <c r="U156" s="4"/>
      <c r="V156" s="4"/>
      <c r="W156" s="4"/>
      <c r="X156" s="4"/>
      <c r="Y156" s="4"/>
      <c r="Z156" s="4"/>
    </row>
    <row r="157" ht="16.5" customHeight="1">
      <c r="A157" s="3"/>
      <c r="B157" s="2"/>
      <c r="C157" s="3"/>
      <c r="D157" s="2"/>
      <c r="E157" s="5"/>
      <c r="F157" s="4"/>
      <c r="G157" s="4"/>
      <c r="H157" s="4"/>
      <c r="I157" s="6"/>
      <c r="J157" s="4"/>
      <c r="K157" s="4"/>
      <c r="L157" s="6"/>
      <c r="M157" s="4"/>
      <c r="N157" s="4"/>
      <c r="O157" s="4"/>
      <c r="P157" s="4"/>
      <c r="Q157" s="4"/>
      <c r="R157" s="210"/>
      <c r="S157" s="7"/>
      <c r="T157" s="4"/>
      <c r="U157" s="4"/>
      <c r="V157" s="4"/>
      <c r="W157" s="4"/>
      <c r="X157" s="4"/>
      <c r="Y157" s="4"/>
      <c r="Z157" s="4"/>
    </row>
    <row r="158" ht="16.5" customHeight="1">
      <c r="A158" s="3"/>
      <c r="B158" s="2"/>
      <c r="C158" s="3"/>
      <c r="D158" s="2"/>
      <c r="E158" s="5"/>
      <c r="F158" s="4"/>
      <c r="G158" s="4"/>
      <c r="H158" s="4"/>
      <c r="I158" s="6"/>
      <c r="J158" s="4"/>
      <c r="K158" s="4"/>
      <c r="L158" s="6"/>
      <c r="M158" s="4"/>
      <c r="N158" s="4"/>
      <c r="O158" s="4"/>
      <c r="P158" s="4"/>
      <c r="Q158" s="4"/>
      <c r="R158" s="210"/>
      <c r="S158" s="7"/>
      <c r="T158" s="4"/>
      <c r="U158" s="4"/>
      <c r="V158" s="4"/>
      <c r="W158" s="4"/>
      <c r="X158" s="4"/>
      <c r="Y158" s="4"/>
      <c r="Z158" s="4"/>
    </row>
    <row r="159" ht="16.5" customHeight="1">
      <c r="A159" s="3"/>
      <c r="B159" s="2"/>
      <c r="C159" s="3"/>
      <c r="D159" s="2"/>
      <c r="E159" s="5"/>
      <c r="F159" s="4"/>
      <c r="G159" s="4"/>
      <c r="H159" s="4"/>
      <c r="I159" s="6"/>
      <c r="J159" s="4"/>
      <c r="K159" s="4"/>
      <c r="L159" s="6"/>
      <c r="M159" s="4"/>
      <c r="N159" s="4"/>
      <c r="O159" s="4"/>
      <c r="P159" s="4"/>
      <c r="Q159" s="4"/>
      <c r="R159" s="210"/>
      <c r="S159" s="7"/>
      <c r="T159" s="4"/>
      <c r="U159" s="4"/>
      <c r="V159" s="4"/>
      <c r="W159" s="4"/>
      <c r="X159" s="4"/>
      <c r="Y159" s="4"/>
      <c r="Z159" s="4"/>
    </row>
    <row r="160" ht="16.5" customHeight="1">
      <c r="A160" s="3"/>
      <c r="B160" s="2"/>
      <c r="C160" s="3"/>
      <c r="D160" s="2"/>
      <c r="E160" s="5"/>
      <c r="F160" s="4"/>
      <c r="G160" s="4"/>
      <c r="H160" s="4"/>
      <c r="I160" s="6"/>
      <c r="J160" s="4"/>
      <c r="K160" s="4"/>
      <c r="L160" s="6"/>
      <c r="M160" s="4"/>
      <c r="N160" s="4"/>
      <c r="O160" s="4"/>
      <c r="P160" s="4"/>
      <c r="Q160" s="4"/>
      <c r="R160" s="210"/>
      <c r="S160" s="7"/>
      <c r="T160" s="4"/>
      <c r="U160" s="4"/>
      <c r="V160" s="4"/>
      <c r="W160" s="4"/>
      <c r="X160" s="4"/>
      <c r="Y160" s="4"/>
      <c r="Z160" s="4"/>
    </row>
    <row r="161" ht="16.5" customHeight="1">
      <c r="A161" s="3"/>
      <c r="B161" s="2"/>
      <c r="C161" s="3"/>
      <c r="D161" s="2"/>
      <c r="E161" s="5"/>
      <c r="F161" s="4"/>
      <c r="G161" s="4"/>
      <c r="H161" s="4"/>
      <c r="I161" s="6"/>
      <c r="J161" s="4"/>
      <c r="K161" s="4"/>
      <c r="L161" s="6"/>
      <c r="M161" s="4"/>
      <c r="N161" s="4"/>
      <c r="O161" s="4"/>
      <c r="P161" s="4"/>
      <c r="Q161" s="4"/>
      <c r="R161" s="210"/>
      <c r="S161" s="7"/>
      <c r="T161" s="4"/>
      <c r="U161" s="4"/>
      <c r="V161" s="4"/>
      <c r="W161" s="4"/>
      <c r="X161" s="4"/>
      <c r="Y161" s="4"/>
      <c r="Z161" s="4"/>
    </row>
    <row r="162" ht="16.5" customHeight="1">
      <c r="A162" s="3"/>
      <c r="B162" s="2"/>
      <c r="C162" s="3"/>
      <c r="D162" s="2"/>
      <c r="E162" s="5"/>
      <c r="F162" s="4"/>
      <c r="G162" s="4"/>
      <c r="H162" s="4"/>
      <c r="I162" s="6"/>
      <c r="J162" s="4"/>
      <c r="K162" s="4"/>
      <c r="L162" s="6"/>
      <c r="M162" s="4"/>
      <c r="N162" s="4"/>
      <c r="O162" s="4"/>
      <c r="P162" s="4"/>
      <c r="Q162" s="4"/>
      <c r="R162" s="210"/>
      <c r="S162" s="7"/>
      <c r="T162" s="4"/>
      <c r="U162" s="4"/>
      <c r="V162" s="4"/>
      <c r="W162" s="4"/>
      <c r="X162" s="4"/>
      <c r="Y162" s="4"/>
      <c r="Z162" s="4"/>
    </row>
    <row r="163" ht="16.5" customHeight="1">
      <c r="A163" s="3"/>
      <c r="B163" s="2"/>
      <c r="C163" s="3"/>
      <c r="D163" s="2"/>
      <c r="E163" s="5"/>
      <c r="F163" s="4"/>
      <c r="G163" s="4"/>
      <c r="H163" s="4"/>
      <c r="I163" s="6"/>
      <c r="J163" s="4"/>
      <c r="K163" s="4"/>
      <c r="L163" s="6"/>
      <c r="M163" s="4"/>
      <c r="N163" s="4"/>
      <c r="O163" s="4"/>
      <c r="P163" s="4"/>
      <c r="Q163" s="4"/>
      <c r="R163" s="210"/>
      <c r="S163" s="7"/>
      <c r="T163" s="4"/>
      <c r="U163" s="4"/>
      <c r="V163" s="4"/>
      <c r="W163" s="4"/>
      <c r="X163" s="4"/>
      <c r="Y163" s="4"/>
      <c r="Z163" s="4"/>
    </row>
    <row r="164" ht="16.5" customHeight="1">
      <c r="A164" s="3"/>
      <c r="B164" s="2"/>
      <c r="C164" s="3"/>
      <c r="D164" s="2"/>
      <c r="E164" s="5"/>
      <c r="F164" s="4"/>
      <c r="G164" s="4"/>
      <c r="H164" s="4"/>
      <c r="I164" s="6"/>
      <c r="J164" s="4"/>
      <c r="K164" s="4"/>
      <c r="L164" s="6"/>
      <c r="M164" s="4"/>
      <c r="N164" s="4"/>
      <c r="O164" s="4"/>
      <c r="P164" s="4"/>
      <c r="Q164" s="4"/>
      <c r="R164" s="210"/>
      <c r="S164" s="7"/>
      <c r="T164" s="4"/>
      <c r="U164" s="4"/>
      <c r="V164" s="4"/>
      <c r="W164" s="4"/>
      <c r="X164" s="4"/>
      <c r="Y164" s="4"/>
      <c r="Z164" s="4"/>
    </row>
    <row r="165" ht="16.5" customHeight="1">
      <c r="A165" s="3"/>
      <c r="B165" s="2"/>
      <c r="C165" s="3"/>
      <c r="D165" s="2"/>
      <c r="E165" s="5"/>
      <c r="F165" s="4"/>
      <c r="G165" s="4"/>
      <c r="H165" s="4"/>
      <c r="I165" s="6"/>
      <c r="J165" s="4"/>
      <c r="K165" s="4"/>
      <c r="L165" s="6"/>
      <c r="M165" s="4"/>
      <c r="N165" s="4"/>
      <c r="O165" s="4"/>
      <c r="P165" s="4"/>
      <c r="Q165" s="4"/>
      <c r="R165" s="210"/>
      <c r="S165" s="7"/>
      <c r="T165" s="4"/>
      <c r="U165" s="4"/>
      <c r="V165" s="4"/>
      <c r="W165" s="4"/>
      <c r="X165" s="4"/>
      <c r="Y165" s="4"/>
      <c r="Z165" s="4"/>
    </row>
    <row r="166" ht="16.5" customHeight="1">
      <c r="A166" s="3"/>
      <c r="B166" s="2"/>
      <c r="C166" s="3"/>
      <c r="D166" s="2"/>
      <c r="E166" s="5"/>
      <c r="F166" s="4"/>
      <c r="G166" s="4"/>
      <c r="H166" s="4"/>
      <c r="I166" s="6"/>
      <c r="J166" s="4"/>
      <c r="K166" s="4"/>
      <c r="L166" s="6"/>
      <c r="M166" s="4"/>
      <c r="N166" s="4"/>
      <c r="O166" s="4"/>
      <c r="P166" s="4"/>
      <c r="Q166" s="4"/>
      <c r="R166" s="210"/>
      <c r="S166" s="7"/>
      <c r="T166" s="4"/>
      <c r="U166" s="4"/>
      <c r="V166" s="4"/>
      <c r="W166" s="4"/>
      <c r="X166" s="4"/>
      <c r="Y166" s="4"/>
      <c r="Z166" s="4"/>
    </row>
    <row r="167" ht="16.5" customHeight="1">
      <c r="A167" s="3"/>
      <c r="B167" s="2"/>
      <c r="C167" s="3"/>
      <c r="D167" s="2"/>
      <c r="E167" s="5"/>
      <c r="F167" s="4"/>
      <c r="G167" s="4"/>
      <c r="H167" s="4"/>
      <c r="I167" s="6"/>
      <c r="J167" s="4"/>
      <c r="K167" s="4"/>
      <c r="L167" s="6"/>
      <c r="M167" s="4"/>
      <c r="N167" s="4"/>
      <c r="O167" s="4"/>
      <c r="P167" s="4"/>
      <c r="Q167" s="4"/>
      <c r="R167" s="210"/>
      <c r="S167" s="7"/>
      <c r="T167" s="4"/>
      <c r="U167" s="4"/>
      <c r="V167" s="4"/>
      <c r="W167" s="4"/>
      <c r="X167" s="4"/>
      <c r="Y167" s="4"/>
      <c r="Z167" s="4"/>
    </row>
    <row r="168" ht="16.5" customHeight="1">
      <c r="A168" s="3"/>
      <c r="B168" s="2"/>
      <c r="C168" s="3"/>
      <c r="D168" s="2"/>
      <c r="E168" s="5"/>
      <c r="F168" s="4"/>
      <c r="G168" s="4"/>
      <c r="H168" s="4"/>
      <c r="I168" s="6"/>
      <c r="J168" s="4"/>
      <c r="K168" s="4"/>
      <c r="L168" s="6"/>
      <c r="M168" s="4"/>
      <c r="N168" s="4"/>
      <c r="O168" s="4"/>
      <c r="P168" s="4"/>
      <c r="Q168" s="4"/>
      <c r="R168" s="210"/>
      <c r="S168" s="7"/>
      <c r="T168" s="4"/>
      <c r="U168" s="4"/>
      <c r="V168" s="4"/>
      <c r="W168" s="4"/>
      <c r="X168" s="4"/>
      <c r="Y168" s="4"/>
      <c r="Z168" s="4"/>
    </row>
    <row r="169" ht="16.5" customHeight="1">
      <c r="A169" s="3"/>
      <c r="B169" s="2"/>
      <c r="C169" s="3"/>
      <c r="D169" s="2"/>
      <c r="E169" s="5"/>
      <c r="F169" s="4"/>
      <c r="G169" s="4"/>
      <c r="H169" s="4"/>
      <c r="I169" s="6"/>
      <c r="J169" s="4"/>
      <c r="K169" s="4"/>
      <c r="L169" s="6"/>
      <c r="M169" s="4"/>
      <c r="N169" s="4"/>
      <c r="O169" s="4"/>
      <c r="P169" s="4"/>
      <c r="Q169" s="4"/>
      <c r="R169" s="210"/>
      <c r="S169" s="7"/>
      <c r="T169" s="4"/>
      <c r="U169" s="4"/>
      <c r="V169" s="4"/>
      <c r="W169" s="4"/>
      <c r="X169" s="4"/>
      <c r="Y169" s="4"/>
      <c r="Z169" s="4"/>
    </row>
    <row r="170" ht="16.5" customHeight="1">
      <c r="A170" s="3"/>
      <c r="B170" s="2"/>
      <c r="C170" s="3"/>
      <c r="D170" s="2"/>
      <c r="E170" s="5"/>
      <c r="F170" s="4"/>
      <c r="G170" s="4"/>
      <c r="H170" s="4"/>
      <c r="I170" s="6"/>
      <c r="J170" s="4"/>
      <c r="K170" s="4"/>
      <c r="L170" s="6"/>
      <c r="M170" s="4"/>
      <c r="N170" s="4"/>
      <c r="O170" s="4"/>
      <c r="P170" s="4"/>
      <c r="Q170" s="4"/>
      <c r="R170" s="210"/>
      <c r="S170" s="7"/>
      <c r="T170" s="4"/>
      <c r="U170" s="4"/>
      <c r="V170" s="4"/>
      <c r="W170" s="4"/>
      <c r="X170" s="4"/>
      <c r="Y170" s="4"/>
      <c r="Z170" s="4"/>
    </row>
    <row r="171" ht="16.5" customHeight="1">
      <c r="A171" s="3"/>
      <c r="B171" s="2"/>
      <c r="C171" s="3"/>
      <c r="D171" s="2"/>
      <c r="E171" s="5"/>
      <c r="F171" s="4"/>
      <c r="G171" s="4"/>
      <c r="H171" s="4"/>
      <c r="I171" s="6"/>
      <c r="J171" s="4"/>
      <c r="K171" s="4"/>
      <c r="L171" s="6"/>
      <c r="M171" s="4"/>
      <c r="N171" s="4"/>
      <c r="O171" s="4"/>
      <c r="P171" s="4"/>
      <c r="Q171" s="4"/>
      <c r="R171" s="210"/>
      <c r="S171" s="7"/>
      <c r="T171" s="4"/>
      <c r="U171" s="4"/>
      <c r="V171" s="4"/>
      <c r="W171" s="4"/>
      <c r="X171" s="4"/>
      <c r="Y171" s="4"/>
      <c r="Z171" s="4"/>
    </row>
    <row r="172" ht="16.5" customHeight="1">
      <c r="A172" s="3"/>
      <c r="B172" s="2"/>
      <c r="C172" s="3"/>
      <c r="D172" s="2"/>
      <c r="E172" s="5"/>
      <c r="F172" s="4"/>
      <c r="G172" s="4"/>
      <c r="H172" s="4"/>
      <c r="I172" s="6"/>
      <c r="J172" s="4"/>
      <c r="K172" s="4"/>
      <c r="L172" s="6"/>
      <c r="M172" s="4"/>
      <c r="N172" s="4"/>
      <c r="O172" s="4"/>
      <c r="P172" s="4"/>
      <c r="Q172" s="4"/>
      <c r="R172" s="210"/>
      <c r="S172" s="7"/>
      <c r="T172" s="4"/>
      <c r="U172" s="4"/>
      <c r="V172" s="4"/>
      <c r="W172" s="4"/>
      <c r="X172" s="4"/>
      <c r="Y172" s="4"/>
      <c r="Z172" s="4"/>
    </row>
    <row r="173" ht="16.5" customHeight="1">
      <c r="A173" s="3"/>
      <c r="B173" s="2"/>
      <c r="C173" s="3"/>
      <c r="D173" s="2"/>
      <c r="E173" s="5"/>
      <c r="F173" s="4"/>
      <c r="G173" s="4"/>
      <c r="H173" s="4"/>
      <c r="I173" s="6"/>
      <c r="J173" s="4"/>
      <c r="K173" s="4"/>
      <c r="L173" s="6"/>
      <c r="M173" s="4"/>
      <c r="N173" s="4"/>
      <c r="O173" s="4"/>
      <c r="P173" s="4"/>
      <c r="Q173" s="4"/>
      <c r="R173" s="210"/>
      <c r="S173" s="7"/>
      <c r="T173" s="4"/>
      <c r="U173" s="4"/>
      <c r="V173" s="4"/>
      <c r="W173" s="4"/>
      <c r="X173" s="4"/>
      <c r="Y173" s="4"/>
      <c r="Z173" s="4"/>
    </row>
    <row r="174" ht="16.5" customHeight="1">
      <c r="A174" s="3"/>
      <c r="B174" s="2"/>
      <c r="C174" s="3"/>
      <c r="D174" s="2"/>
      <c r="E174" s="5"/>
      <c r="F174" s="4"/>
      <c r="G174" s="4"/>
      <c r="H174" s="4"/>
      <c r="I174" s="6"/>
      <c r="J174" s="4"/>
      <c r="K174" s="4"/>
      <c r="L174" s="6"/>
      <c r="M174" s="4"/>
      <c r="N174" s="4"/>
      <c r="O174" s="4"/>
      <c r="P174" s="4"/>
      <c r="Q174" s="4"/>
      <c r="R174" s="210"/>
      <c r="S174" s="7"/>
      <c r="T174" s="4"/>
      <c r="U174" s="4"/>
      <c r="V174" s="4"/>
      <c r="W174" s="4"/>
      <c r="X174" s="4"/>
      <c r="Y174" s="4"/>
      <c r="Z174" s="4"/>
    </row>
    <row r="175" ht="16.5" customHeight="1">
      <c r="A175" s="3"/>
      <c r="B175" s="2"/>
      <c r="C175" s="3"/>
      <c r="D175" s="2"/>
      <c r="E175" s="5"/>
      <c r="F175" s="4"/>
      <c r="G175" s="4"/>
      <c r="H175" s="4"/>
      <c r="I175" s="6"/>
      <c r="J175" s="4"/>
      <c r="K175" s="4"/>
      <c r="L175" s="6"/>
      <c r="M175" s="4"/>
      <c r="N175" s="4"/>
      <c r="O175" s="4"/>
      <c r="P175" s="4"/>
      <c r="Q175" s="4"/>
      <c r="R175" s="210"/>
      <c r="S175" s="7"/>
      <c r="T175" s="4"/>
      <c r="U175" s="4"/>
      <c r="V175" s="4"/>
      <c r="W175" s="4"/>
      <c r="X175" s="4"/>
      <c r="Y175" s="4"/>
      <c r="Z175" s="4"/>
    </row>
    <row r="176" ht="16.5" customHeight="1">
      <c r="A176" s="3"/>
      <c r="B176" s="2"/>
      <c r="C176" s="3"/>
      <c r="D176" s="2"/>
      <c r="E176" s="5"/>
      <c r="F176" s="4"/>
      <c r="G176" s="4"/>
      <c r="H176" s="4"/>
      <c r="I176" s="6"/>
      <c r="J176" s="4"/>
      <c r="K176" s="4"/>
      <c r="L176" s="6"/>
      <c r="M176" s="4"/>
      <c r="N176" s="4"/>
      <c r="O176" s="4"/>
      <c r="P176" s="4"/>
      <c r="Q176" s="4"/>
      <c r="R176" s="210"/>
      <c r="S176" s="7"/>
      <c r="T176" s="4"/>
      <c r="U176" s="4"/>
      <c r="V176" s="4"/>
      <c r="W176" s="4"/>
      <c r="X176" s="4"/>
      <c r="Y176" s="4"/>
      <c r="Z176" s="4"/>
    </row>
    <row r="177" ht="16.5" customHeight="1">
      <c r="A177" s="3"/>
      <c r="B177" s="2"/>
      <c r="C177" s="3"/>
      <c r="D177" s="2"/>
      <c r="E177" s="5"/>
      <c r="F177" s="4"/>
      <c r="G177" s="4"/>
      <c r="H177" s="4"/>
      <c r="I177" s="6"/>
      <c r="J177" s="4"/>
      <c r="K177" s="4"/>
      <c r="L177" s="6"/>
      <c r="M177" s="4"/>
      <c r="N177" s="4"/>
      <c r="O177" s="4"/>
      <c r="P177" s="4"/>
      <c r="Q177" s="4"/>
      <c r="R177" s="210"/>
      <c r="S177" s="7"/>
      <c r="T177" s="4"/>
      <c r="U177" s="4"/>
      <c r="V177" s="4"/>
      <c r="W177" s="4"/>
      <c r="X177" s="4"/>
      <c r="Y177" s="4"/>
      <c r="Z177" s="4"/>
    </row>
    <row r="178" ht="16.5" customHeight="1">
      <c r="A178" s="3"/>
      <c r="B178" s="2"/>
      <c r="C178" s="3"/>
      <c r="D178" s="2"/>
      <c r="E178" s="5"/>
      <c r="F178" s="4"/>
      <c r="G178" s="4"/>
      <c r="H178" s="4"/>
      <c r="I178" s="6"/>
      <c r="J178" s="4"/>
      <c r="K178" s="4"/>
      <c r="L178" s="6"/>
      <c r="M178" s="4"/>
      <c r="N178" s="4"/>
      <c r="O178" s="4"/>
      <c r="P178" s="4"/>
      <c r="Q178" s="4"/>
      <c r="R178" s="210"/>
      <c r="S178" s="7"/>
      <c r="T178" s="4"/>
      <c r="U178" s="4"/>
      <c r="V178" s="4"/>
      <c r="W178" s="4"/>
      <c r="X178" s="4"/>
      <c r="Y178" s="4"/>
      <c r="Z178" s="4"/>
    </row>
    <row r="179" ht="16.5" customHeight="1">
      <c r="A179" s="3"/>
      <c r="B179" s="2"/>
      <c r="C179" s="3"/>
      <c r="D179" s="2"/>
      <c r="E179" s="5"/>
      <c r="F179" s="4"/>
      <c r="G179" s="4"/>
      <c r="H179" s="4"/>
      <c r="I179" s="6"/>
      <c r="J179" s="4"/>
      <c r="K179" s="4"/>
      <c r="L179" s="6"/>
      <c r="M179" s="4"/>
      <c r="N179" s="4"/>
      <c r="O179" s="4"/>
      <c r="P179" s="4"/>
      <c r="Q179" s="4"/>
      <c r="R179" s="210"/>
      <c r="S179" s="7"/>
      <c r="T179" s="4"/>
      <c r="U179" s="4"/>
      <c r="V179" s="4"/>
      <c r="W179" s="4"/>
      <c r="X179" s="4"/>
      <c r="Y179" s="4"/>
      <c r="Z179" s="4"/>
    </row>
    <row r="180" ht="16.5" customHeight="1">
      <c r="A180" s="3"/>
      <c r="B180" s="2"/>
      <c r="C180" s="3"/>
      <c r="D180" s="2"/>
      <c r="E180" s="5"/>
      <c r="F180" s="4"/>
      <c r="G180" s="4"/>
      <c r="H180" s="4"/>
      <c r="I180" s="6"/>
      <c r="J180" s="4"/>
      <c r="K180" s="4"/>
      <c r="L180" s="6"/>
      <c r="M180" s="4"/>
      <c r="N180" s="4"/>
      <c r="O180" s="4"/>
      <c r="P180" s="4"/>
      <c r="Q180" s="4"/>
      <c r="R180" s="210"/>
      <c r="S180" s="7"/>
      <c r="T180" s="4"/>
      <c r="U180" s="4"/>
      <c r="V180" s="4"/>
      <c r="W180" s="4"/>
      <c r="X180" s="4"/>
      <c r="Y180" s="4"/>
      <c r="Z180" s="4"/>
    </row>
    <row r="181" ht="16.5" customHeight="1">
      <c r="A181" s="3"/>
      <c r="B181" s="2"/>
      <c r="C181" s="3"/>
      <c r="D181" s="2"/>
      <c r="E181" s="5"/>
      <c r="F181" s="4"/>
      <c r="G181" s="4"/>
      <c r="H181" s="4"/>
      <c r="I181" s="6"/>
      <c r="J181" s="4"/>
      <c r="K181" s="4"/>
      <c r="L181" s="6"/>
      <c r="M181" s="4"/>
      <c r="N181" s="4"/>
      <c r="O181" s="4"/>
      <c r="P181" s="4"/>
      <c r="Q181" s="4"/>
      <c r="R181" s="210"/>
      <c r="S181" s="7"/>
      <c r="T181" s="4"/>
      <c r="U181" s="4"/>
      <c r="V181" s="4"/>
      <c r="W181" s="4"/>
      <c r="X181" s="4"/>
      <c r="Y181" s="4"/>
      <c r="Z181" s="4"/>
    </row>
    <row r="182" ht="16.5" customHeight="1">
      <c r="A182" s="3"/>
      <c r="B182" s="2"/>
      <c r="C182" s="3"/>
      <c r="D182" s="2"/>
      <c r="E182" s="5"/>
      <c r="F182" s="4"/>
      <c r="G182" s="4"/>
      <c r="H182" s="4"/>
      <c r="I182" s="6"/>
      <c r="J182" s="4"/>
      <c r="K182" s="4"/>
      <c r="L182" s="6"/>
      <c r="M182" s="4"/>
      <c r="N182" s="4"/>
      <c r="O182" s="4"/>
      <c r="P182" s="4"/>
      <c r="Q182" s="4"/>
      <c r="R182" s="210"/>
      <c r="S182" s="7"/>
      <c r="T182" s="4"/>
      <c r="U182" s="4"/>
      <c r="V182" s="4"/>
      <c r="W182" s="4"/>
      <c r="X182" s="4"/>
      <c r="Y182" s="4"/>
      <c r="Z182" s="4"/>
    </row>
    <row r="183" ht="16.5" customHeight="1">
      <c r="A183" s="3"/>
      <c r="B183" s="2"/>
      <c r="C183" s="3"/>
      <c r="D183" s="2"/>
      <c r="E183" s="5"/>
      <c r="F183" s="4"/>
      <c r="G183" s="4"/>
      <c r="H183" s="4"/>
      <c r="I183" s="6"/>
      <c r="J183" s="4"/>
      <c r="K183" s="4"/>
      <c r="L183" s="6"/>
      <c r="M183" s="4"/>
      <c r="N183" s="4"/>
      <c r="O183" s="4"/>
      <c r="P183" s="4"/>
      <c r="Q183" s="4"/>
      <c r="R183" s="210"/>
      <c r="S183" s="7"/>
      <c r="T183" s="4"/>
      <c r="U183" s="4"/>
      <c r="V183" s="4"/>
      <c r="W183" s="4"/>
      <c r="X183" s="4"/>
      <c r="Y183" s="4"/>
      <c r="Z183" s="4"/>
    </row>
    <row r="184" ht="16.5" customHeight="1">
      <c r="A184" s="3"/>
      <c r="B184" s="2"/>
      <c r="C184" s="3"/>
      <c r="D184" s="2"/>
      <c r="E184" s="5"/>
      <c r="F184" s="4"/>
      <c r="G184" s="4"/>
      <c r="H184" s="4"/>
      <c r="I184" s="6"/>
      <c r="J184" s="4"/>
      <c r="K184" s="4"/>
      <c r="L184" s="6"/>
      <c r="M184" s="4"/>
      <c r="N184" s="4"/>
      <c r="O184" s="4"/>
      <c r="P184" s="4"/>
      <c r="Q184" s="4"/>
      <c r="R184" s="210"/>
      <c r="S184" s="7"/>
      <c r="T184" s="4"/>
      <c r="U184" s="4"/>
      <c r="V184" s="4"/>
      <c r="W184" s="4"/>
      <c r="X184" s="4"/>
      <c r="Y184" s="4"/>
      <c r="Z184" s="4"/>
    </row>
    <row r="185" ht="16.5" customHeight="1">
      <c r="A185" s="3"/>
      <c r="B185" s="2"/>
      <c r="C185" s="3"/>
      <c r="D185" s="2"/>
      <c r="E185" s="5"/>
      <c r="F185" s="4"/>
      <c r="G185" s="4"/>
      <c r="H185" s="4"/>
      <c r="I185" s="6"/>
      <c r="J185" s="4"/>
      <c r="K185" s="4"/>
      <c r="L185" s="6"/>
      <c r="M185" s="4"/>
      <c r="N185" s="4"/>
      <c r="O185" s="4"/>
      <c r="P185" s="4"/>
      <c r="Q185" s="4"/>
      <c r="R185" s="210"/>
      <c r="S185" s="7"/>
      <c r="T185" s="4"/>
      <c r="U185" s="4"/>
      <c r="V185" s="4"/>
      <c r="W185" s="4"/>
      <c r="X185" s="4"/>
      <c r="Y185" s="4"/>
      <c r="Z185" s="4"/>
    </row>
    <row r="186" ht="16.5" customHeight="1">
      <c r="A186" s="3"/>
      <c r="B186" s="2"/>
      <c r="C186" s="3"/>
      <c r="D186" s="2"/>
      <c r="E186" s="5"/>
      <c r="F186" s="4"/>
      <c r="G186" s="4"/>
      <c r="H186" s="4"/>
      <c r="I186" s="6"/>
      <c r="J186" s="4"/>
      <c r="K186" s="4"/>
      <c r="L186" s="6"/>
      <c r="M186" s="4"/>
      <c r="N186" s="4"/>
      <c r="O186" s="4"/>
      <c r="P186" s="4"/>
      <c r="Q186" s="4"/>
      <c r="R186" s="210"/>
      <c r="S186" s="7"/>
      <c r="T186" s="4"/>
      <c r="U186" s="4"/>
      <c r="V186" s="4"/>
      <c r="W186" s="4"/>
      <c r="X186" s="4"/>
      <c r="Y186" s="4"/>
      <c r="Z186" s="4"/>
    </row>
    <row r="187" ht="16.5" customHeight="1">
      <c r="A187" s="3"/>
      <c r="B187" s="2"/>
      <c r="C187" s="3"/>
      <c r="D187" s="2"/>
      <c r="E187" s="5"/>
      <c r="F187" s="4"/>
      <c r="G187" s="4"/>
      <c r="H187" s="4"/>
      <c r="I187" s="6"/>
      <c r="J187" s="4"/>
      <c r="K187" s="4"/>
      <c r="L187" s="6"/>
      <c r="M187" s="4"/>
      <c r="N187" s="4"/>
      <c r="O187" s="4"/>
      <c r="P187" s="4"/>
      <c r="Q187" s="4"/>
      <c r="R187" s="210"/>
      <c r="S187" s="7"/>
      <c r="T187" s="4"/>
      <c r="U187" s="4"/>
      <c r="V187" s="4"/>
      <c r="W187" s="4"/>
      <c r="X187" s="4"/>
      <c r="Y187" s="4"/>
      <c r="Z187" s="4"/>
    </row>
    <row r="188" ht="16.5" customHeight="1">
      <c r="A188" s="3"/>
      <c r="B188" s="2"/>
      <c r="C188" s="3"/>
      <c r="D188" s="2"/>
      <c r="E188" s="5"/>
      <c r="F188" s="4"/>
      <c r="G188" s="4"/>
      <c r="H188" s="4"/>
      <c r="I188" s="6"/>
      <c r="J188" s="4"/>
      <c r="K188" s="4"/>
      <c r="L188" s="6"/>
      <c r="M188" s="4"/>
      <c r="N188" s="4"/>
      <c r="O188" s="4"/>
      <c r="P188" s="4"/>
      <c r="Q188" s="4"/>
      <c r="R188" s="210"/>
      <c r="S188" s="7"/>
      <c r="T188" s="4"/>
      <c r="U188" s="4"/>
      <c r="V188" s="4"/>
      <c r="W188" s="4"/>
      <c r="X188" s="4"/>
      <c r="Y188" s="4"/>
      <c r="Z188" s="4"/>
    </row>
    <row r="189" ht="16.5" customHeight="1">
      <c r="A189" s="3"/>
      <c r="B189" s="2"/>
      <c r="C189" s="3"/>
      <c r="D189" s="2"/>
      <c r="E189" s="5"/>
      <c r="F189" s="4"/>
      <c r="G189" s="4"/>
      <c r="H189" s="4"/>
      <c r="I189" s="6"/>
      <c r="J189" s="4"/>
      <c r="K189" s="4"/>
      <c r="L189" s="6"/>
      <c r="M189" s="4"/>
      <c r="N189" s="4"/>
      <c r="O189" s="4"/>
      <c r="P189" s="4"/>
      <c r="Q189" s="4"/>
      <c r="R189" s="210"/>
      <c r="S189" s="7"/>
      <c r="T189" s="4"/>
      <c r="U189" s="4"/>
      <c r="V189" s="4"/>
      <c r="W189" s="4"/>
      <c r="X189" s="4"/>
      <c r="Y189" s="4"/>
      <c r="Z189" s="4"/>
    </row>
    <row r="190" ht="16.5" customHeight="1">
      <c r="A190" s="3"/>
      <c r="B190" s="2"/>
      <c r="C190" s="3"/>
      <c r="D190" s="2"/>
      <c r="E190" s="5"/>
      <c r="F190" s="4"/>
      <c r="G190" s="4"/>
      <c r="H190" s="4"/>
      <c r="I190" s="6"/>
      <c r="J190" s="4"/>
      <c r="K190" s="4"/>
      <c r="L190" s="6"/>
      <c r="M190" s="4"/>
      <c r="N190" s="4"/>
      <c r="O190" s="4"/>
      <c r="P190" s="4"/>
      <c r="Q190" s="4"/>
      <c r="R190" s="210"/>
      <c r="S190" s="7"/>
      <c r="T190" s="4"/>
      <c r="U190" s="4"/>
      <c r="V190" s="4"/>
      <c r="W190" s="4"/>
      <c r="X190" s="4"/>
      <c r="Y190" s="4"/>
      <c r="Z190" s="4"/>
    </row>
    <row r="191" ht="16.5" customHeight="1">
      <c r="A191" s="3"/>
      <c r="B191" s="2"/>
      <c r="C191" s="3"/>
      <c r="D191" s="2"/>
      <c r="E191" s="5"/>
      <c r="F191" s="4"/>
      <c r="G191" s="4"/>
      <c r="H191" s="4"/>
      <c r="I191" s="6"/>
      <c r="J191" s="4"/>
      <c r="K191" s="4"/>
      <c r="L191" s="6"/>
      <c r="M191" s="4"/>
      <c r="N191" s="4"/>
      <c r="O191" s="4"/>
      <c r="P191" s="4"/>
      <c r="Q191" s="4"/>
      <c r="R191" s="210"/>
      <c r="S191" s="7"/>
      <c r="T191" s="4"/>
      <c r="U191" s="4"/>
      <c r="V191" s="4"/>
      <c r="W191" s="4"/>
      <c r="X191" s="4"/>
      <c r="Y191" s="4"/>
      <c r="Z191" s="4"/>
    </row>
    <row r="192" ht="16.5" customHeight="1">
      <c r="A192" s="3"/>
      <c r="B192" s="2"/>
      <c r="C192" s="3"/>
      <c r="D192" s="2"/>
      <c r="E192" s="5"/>
      <c r="F192" s="4"/>
      <c r="G192" s="4"/>
      <c r="H192" s="4"/>
      <c r="I192" s="6"/>
      <c r="J192" s="4"/>
      <c r="K192" s="4"/>
      <c r="L192" s="6"/>
      <c r="M192" s="4"/>
      <c r="N192" s="4"/>
      <c r="O192" s="4"/>
      <c r="P192" s="4"/>
      <c r="Q192" s="4"/>
      <c r="R192" s="210"/>
      <c r="S192" s="7"/>
      <c r="T192" s="4"/>
      <c r="U192" s="4"/>
      <c r="V192" s="4"/>
      <c r="W192" s="4"/>
      <c r="X192" s="4"/>
      <c r="Y192" s="4"/>
      <c r="Z192" s="4"/>
    </row>
    <row r="193" ht="16.5" customHeight="1">
      <c r="A193" s="3"/>
      <c r="B193" s="2"/>
      <c r="C193" s="3"/>
      <c r="D193" s="2"/>
      <c r="E193" s="5"/>
      <c r="F193" s="4"/>
      <c r="G193" s="4"/>
      <c r="H193" s="4"/>
      <c r="I193" s="6"/>
      <c r="J193" s="4"/>
      <c r="K193" s="4"/>
      <c r="L193" s="6"/>
      <c r="M193" s="4"/>
      <c r="N193" s="4"/>
      <c r="O193" s="4"/>
      <c r="P193" s="4"/>
      <c r="Q193" s="4"/>
      <c r="R193" s="210"/>
      <c r="S193" s="7"/>
      <c r="T193" s="4"/>
      <c r="U193" s="4"/>
      <c r="V193" s="4"/>
      <c r="W193" s="4"/>
      <c r="X193" s="4"/>
      <c r="Y193" s="4"/>
      <c r="Z193" s="4"/>
    </row>
    <row r="194" ht="16.5" customHeight="1">
      <c r="A194" s="3"/>
      <c r="B194" s="2"/>
      <c r="C194" s="3"/>
      <c r="D194" s="2"/>
      <c r="E194" s="5"/>
      <c r="F194" s="4"/>
      <c r="G194" s="4"/>
      <c r="H194" s="4"/>
      <c r="I194" s="6"/>
      <c r="J194" s="4"/>
      <c r="K194" s="4"/>
      <c r="L194" s="6"/>
      <c r="M194" s="4"/>
      <c r="N194" s="4"/>
      <c r="O194" s="4"/>
      <c r="P194" s="4"/>
      <c r="Q194" s="4"/>
      <c r="R194" s="210"/>
      <c r="S194" s="7"/>
      <c r="T194" s="4"/>
      <c r="U194" s="4"/>
      <c r="V194" s="4"/>
      <c r="W194" s="4"/>
      <c r="X194" s="4"/>
      <c r="Y194" s="4"/>
      <c r="Z194" s="4"/>
    </row>
    <row r="195" ht="16.5" customHeight="1">
      <c r="A195" s="3"/>
      <c r="B195" s="2"/>
      <c r="C195" s="3"/>
      <c r="D195" s="2"/>
      <c r="E195" s="5"/>
      <c r="F195" s="4"/>
      <c r="G195" s="4"/>
      <c r="H195" s="4"/>
      <c r="I195" s="6"/>
      <c r="J195" s="4"/>
      <c r="K195" s="4"/>
      <c r="L195" s="6"/>
      <c r="M195" s="4"/>
      <c r="N195" s="4"/>
      <c r="O195" s="4"/>
      <c r="P195" s="4"/>
      <c r="Q195" s="4"/>
      <c r="R195" s="210"/>
      <c r="S195" s="7"/>
      <c r="T195" s="4"/>
      <c r="U195" s="4"/>
      <c r="V195" s="4"/>
      <c r="W195" s="4"/>
      <c r="X195" s="4"/>
      <c r="Y195" s="4"/>
      <c r="Z195" s="4"/>
    </row>
    <row r="196" ht="16.5" customHeight="1">
      <c r="A196" s="3"/>
      <c r="B196" s="2"/>
      <c r="C196" s="3"/>
      <c r="D196" s="2"/>
      <c r="E196" s="5"/>
      <c r="F196" s="4"/>
      <c r="G196" s="4"/>
      <c r="H196" s="4"/>
      <c r="I196" s="6"/>
      <c r="J196" s="4"/>
      <c r="K196" s="4"/>
      <c r="L196" s="6"/>
      <c r="M196" s="4"/>
      <c r="N196" s="4"/>
      <c r="O196" s="4"/>
      <c r="P196" s="4"/>
      <c r="Q196" s="4"/>
      <c r="R196" s="210"/>
      <c r="S196" s="7"/>
      <c r="T196" s="4"/>
      <c r="U196" s="4"/>
      <c r="V196" s="4"/>
      <c r="W196" s="4"/>
      <c r="X196" s="4"/>
      <c r="Y196" s="4"/>
      <c r="Z196" s="4"/>
    </row>
    <row r="197" ht="16.5" customHeight="1">
      <c r="A197" s="3"/>
      <c r="B197" s="2"/>
      <c r="C197" s="3"/>
      <c r="D197" s="2"/>
      <c r="E197" s="5"/>
      <c r="F197" s="4"/>
      <c r="G197" s="4"/>
      <c r="H197" s="4"/>
      <c r="I197" s="6"/>
      <c r="J197" s="4"/>
      <c r="K197" s="4"/>
      <c r="L197" s="6"/>
      <c r="M197" s="4"/>
      <c r="N197" s="4"/>
      <c r="O197" s="4"/>
      <c r="P197" s="4"/>
      <c r="Q197" s="4"/>
      <c r="R197" s="210"/>
      <c r="S197" s="7"/>
      <c r="T197" s="4"/>
      <c r="U197" s="4"/>
      <c r="V197" s="4"/>
      <c r="W197" s="4"/>
      <c r="X197" s="4"/>
      <c r="Y197" s="4"/>
      <c r="Z197" s="4"/>
    </row>
    <row r="198" ht="16.5" customHeight="1">
      <c r="A198" s="3"/>
      <c r="B198" s="2"/>
      <c r="C198" s="3"/>
      <c r="D198" s="2"/>
      <c r="E198" s="5"/>
      <c r="F198" s="4"/>
      <c r="G198" s="4"/>
      <c r="H198" s="4"/>
      <c r="I198" s="6"/>
      <c r="J198" s="4"/>
      <c r="K198" s="4"/>
      <c r="L198" s="6"/>
      <c r="M198" s="4"/>
      <c r="N198" s="4"/>
      <c r="O198" s="4"/>
      <c r="P198" s="4"/>
      <c r="Q198" s="4"/>
      <c r="R198" s="210"/>
      <c r="S198" s="7"/>
      <c r="T198" s="4"/>
      <c r="U198" s="4"/>
      <c r="V198" s="4"/>
      <c r="W198" s="4"/>
      <c r="X198" s="4"/>
      <c r="Y198" s="4"/>
      <c r="Z198" s="4"/>
    </row>
    <row r="199" ht="16.5" customHeight="1">
      <c r="A199" s="3"/>
      <c r="B199" s="2"/>
      <c r="C199" s="3"/>
      <c r="D199" s="2"/>
      <c r="E199" s="5"/>
      <c r="F199" s="4"/>
      <c r="G199" s="4"/>
      <c r="H199" s="4"/>
      <c r="I199" s="6"/>
      <c r="J199" s="4"/>
      <c r="K199" s="4"/>
      <c r="L199" s="6"/>
      <c r="M199" s="4"/>
      <c r="N199" s="4"/>
      <c r="O199" s="4"/>
      <c r="P199" s="4"/>
      <c r="Q199" s="4"/>
      <c r="R199" s="210"/>
      <c r="S199" s="7"/>
      <c r="T199" s="4"/>
      <c r="U199" s="4"/>
      <c r="V199" s="4"/>
      <c r="W199" s="4"/>
      <c r="X199" s="4"/>
      <c r="Y199" s="4"/>
      <c r="Z199" s="4"/>
    </row>
    <row r="200" ht="16.5" customHeight="1">
      <c r="A200" s="3"/>
      <c r="B200" s="2"/>
      <c r="C200" s="3"/>
      <c r="D200" s="2"/>
      <c r="E200" s="5"/>
      <c r="F200" s="4"/>
      <c r="G200" s="4"/>
      <c r="H200" s="4"/>
      <c r="I200" s="6"/>
      <c r="J200" s="4"/>
      <c r="K200" s="4"/>
      <c r="L200" s="6"/>
      <c r="M200" s="4"/>
      <c r="N200" s="4"/>
      <c r="O200" s="4"/>
      <c r="P200" s="4"/>
      <c r="Q200" s="4"/>
      <c r="R200" s="210"/>
      <c r="S200" s="7"/>
      <c r="T200" s="4"/>
      <c r="U200" s="4"/>
      <c r="V200" s="4"/>
      <c r="W200" s="4"/>
      <c r="X200" s="4"/>
      <c r="Y200" s="4"/>
      <c r="Z200" s="4"/>
    </row>
    <row r="201" ht="16.5" customHeight="1">
      <c r="A201" s="3"/>
      <c r="B201" s="2"/>
      <c r="C201" s="3"/>
      <c r="D201" s="2"/>
      <c r="E201" s="5"/>
      <c r="F201" s="4"/>
      <c r="G201" s="4"/>
      <c r="H201" s="4"/>
      <c r="I201" s="6"/>
      <c r="J201" s="4"/>
      <c r="K201" s="4"/>
      <c r="L201" s="6"/>
      <c r="M201" s="4"/>
      <c r="N201" s="4"/>
      <c r="O201" s="4"/>
      <c r="P201" s="4"/>
      <c r="Q201" s="4"/>
      <c r="R201" s="210"/>
      <c r="S201" s="7"/>
      <c r="T201" s="4"/>
      <c r="U201" s="4"/>
      <c r="V201" s="4"/>
      <c r="W201" s="4"/>
      <c r="X201" s="4"/>
      <c r="Y201" s="4"/>
      <c r="Z201" s="4"/>
    </row>
    <row r="202" ht="16.5" customHeight="1">
      <c r="A202" s="3"/>
      <c r="B202" s="2"/>
      <c r="C202" s="3"/>
      <c r="D202" s="2"/>
      <c r="E202" s="5"/>
      <c r="F202" s="4"/>
      <c r="G202" s="4"/>
      <c r="H202" s="4"/>
      <c r="I202" s="6"/>
      <c r="J202" s="4"/>
      <c r="K202" s="4"/>
      <c r="L202" s="6"/>
      <c r="M202" s="4"/>
      <c r="N202" s="4"/>
      <c r="O202" s="4"/>
      <c r="P202" s="4"/>
      <c r="Q202" s="4"/>
      <c r="R202" s="210"/>
      <c r="S202" s="7"/>
      <c r="T202" s="4"/>
      <c r="U202" s="4"/>
      <c r="V202" s="4"/>
      <c r="W202" s="4"/>
      <c r="X202" s="4"/>
      <c r="Y202" s="4"/>
      <c r="Z202" s="4"/>
    </row>
    <row r="203" ht="16.5" customHeight="1">
      <c r="A203" s="3"/>
      <c r="B203" s="2"/>
      <c r="C203" s="3"/>
      <c r="D203" s="2"/>
      <c r="E203" s="5"/>
      <c r="F203" s="4"/>
      <c r="G203" s="4"/>
      <c r="H203" s="4"/>
      <c r="I203" s="6"/>
      <c r="J203" s="4"/>
      <c r="K203" s="4"/>
      <c r="L203" s="6"/>
      <c r="M203" s="4"/>
      <c r="N203" s="4"/>
      <c r="O203" s="4"/>
      <c r="P203" s="4"/>
      <c r="Q203" s="4"/>
      <c r="R203" s="210"/>
      <c r="S203" s="7"/>
      <c r="T203" s="4"/>
      <c r="U203" s="4"/>
      <c r="V203" s="4"/>
      <c r="W203" s="4"/>
      <c r="X203" s="4"/>
      <c r="Y203" s="4"/>
      <c r="Z203" s="4"/>
    </row>
    <row r="204" ht="16.5" customHeight="1">
      <c r="A204" s="3"/>
      <c r="B204" s="2"/>
      <c r="C204" s="3"/>
      <c r="D204" s="2"/>
      <c r="E204" s="5"/>
      <c r="F204" s="4"/>
      <c r="G204" s="4"/>
      <c r="H204" s="4"/>
      <c r="I204" s="6"/>
      <c r="J204" s="4"/>
      <c r="K204" s="4"/>
      <c r="L204" s="6"/>
      <c r="M204" s="4"/>
      <c r="N204" s="4"/>
      <c r="O204" s="4"/>
      <c r="P204" s="4"/>
      <c r="Q204" s="4"/>
      <c r="R204" s="210"/>
      <c r="S204" s="7"/>
      <c r="T204" s="4"/>
      <c r="U204" s="4"/>
      <c r="V204" s="4"/>
      <c r="W204" s="4"/>
      <c r="X204" s="4"/>
      <c r="Y204" s="4"/>
      <c r="Z204" s="4"/>
    </row>
    <row r="205" ht="16.5" customHeight="1">
      <c r="A205" s="3"/>
      <c r="B205" s="2"/>
      <c r="C205" s="3"/>
      <c r="D205" s="2"/>
      <c r="E205" s="5"/>
      <c r="F205" s="4"/>
      <c r="G205" s="4"/>
      <c r="H205" s="4"/>
      <c r="I205" s="6"/>
      <c r="J205" s="4"/>
      <c r="K205" s="4"/>
      <c r="L205" s="6"/>
      <c r="M205" s="4"/>
      <c r="N205" s="4"/>
      <c r="O205" s="4"/>
      <c r="P205" s="4"/>
      <c r="Q205" s="4"/>
      <c r="R205" s="210"/>
      <c r="S205" s="7"/>
      <c r="T205" s="4"/>
      <c r="U205" s="4"/>
      <c r="V205" s="4"/>
      <c r="W205" s="4"/>
      <c r="X205" s="4"/>
      <c r="Y205" s="4"/>
      <c r="Z205" s="4"/>
    </row>
    <row r="206" ht="16.5" customHeight="1">
      <c r="A206" s="3"/>
      <c r="B206" s="2"/>
      <c r="C206" s="3"/>
      <c r="D206" s="2"/>
      <c r="E206" s="5"/>
      <c r="F206" s="4"/>
      <c r="G206" s="4"/>
      <c r="H206" s="4"/>
      <c r="I206" s="6"/>
      <c r="J206" s="4"/>
      <c r="K206" s="4"/>
      <c r="L206" s="6"/>
      <c r="M206" s="4"/>
      <c r="N206" s="4"/>
      <c r="O206" s="4"/>
      <c r="P206" s="4"/>
      <c r="Q206" s="4"/>
      <c r="R206" s="210"/>
      <c r="S206" s="7"/>
      <c r="T206" s="4"/>
      <c r="U206" s="4"/>
      <c r="V206" s="4"/>
      <c r="W206" s="4"/>
      <c r="X206" s="4"/>
      <c r="Y206" s="4"/>
      <c r="Z206" s="4"/>
    </row>
    <row r="207" ht="16.5" customHeight="1">
      <c r="A207" s="3"/>
      <c r="B207" s="2"/>
      <c r="C207" s="3"/>
      <c r="D207" s="2"/>
      <c r="E207" s="5"/>
      <c r="F207" s="4"/>
      <c r="G207" s="4"/>
      <c r="H207" s="4"/>
      <c r="I207" s="6"/>
      <c r="J207" s="4"/>
      <c r="K207" s="4"/>
      <c r="L207" s="6"/>
      <c r="M207" s="4"/>
      <c r="N207" s="4"/>
      <c r="O207" s="4"/>
      <c r="P207" s="4"/>
      <c r="Q207" s="4"/>
      <c r="R207" s="210"/>
      <c r="S207" s="7"/>
      <c r="T207" s="4"/>
      <c r="U207" s="4"/>
      <c r="V207" s="4"/>
      <c r="W207" s="4"/>
      <c r="X207" s="4"/>
      <c r="Y207" s="4"/>
      <c r="Z207" s="4"/>
    </row>
    <row r="208" ht="16.5" customHeight="1">
      <c r="A208" s="3"/>
      <c r="B208" s="2"/>
      <c r="C208" s="3"/>
      <c r="D208" s="2"/>
      <c r="E208" s="5"/>
      <c r="F208" s="4"/>
      <c r="G208" s="4"/>
      <c r="H208" s="4"/>
      <c r="I208" s="6"/>
      <c r="J208" s="4"/>
      <c r="K208" s="4"/>
      <c r="L208" s="6"/>
      <c r="M208" s="4"/>
      <c r="N208" s="4"/>
      <c r="O208" s="4"/>
      <c r="P208" s="4"/>
      <c r="Q208" s="4"/>
      <c r="R208" s="210"/>
      <c r="S208" s="7"/>
      <c r="T208" s="4"/>
      <c r="U208" s="4"/>
      <c r="V208" s="4"/>
      <c r="W208" s="4"/>
      <c r="X208" s="4"/>
      <c r="Y208" s="4"/>
      <c r="Z208" s="4"/>
    </row>
    <row r="209" ht="16.5" customHeight="1">
      <c r="A209" s="3"/>
      <c r="B209" s="2"/>
      <c r="C209" s="3"/>
      <c r="D209" s="2"/>
      <c r="E209" s="5"/>
      <c r="F209" s="4"/>
      <c r="G209" s="4"/>
      <c r="H209" s="4"/>
      <c r="I209" s="6"/>
      <c r="J209" s="4"/>
      <c r="K209" s="4"/>
      <c r="L209" s="6"/>
      <c r="M209" s="4"/>
      <c r="N209" s="4"/>
      <c r="O209" s="4"/>
      <c r="P209" s="4"/>
      <c r="Q209" s="4"/>
      <c r="R209" s="210"/>
      <c r="S209" s="7"/>
      <c r="T209" s="4"/>
      <c r="U209" s="4"/>
      <c r="V209" s="4"/>
      <c r="W209" s="4"/>
      <c r="X209" s="4"/>
      <c r="Y209" s="4"/>
      <c r="Z209" s="4"/>
    </row>
    <row r="210" ht="16.5" customHeight="1">
      <c r="A210" s="3"/>
      <c r="B210" s="2"/>
      <c r="C210" s="3"/>
      <c r="D210" s="2"/>
      <c r="E210" s="5"/>
      <c r="F210" s="4"/>
      <c r="G210" s="4"/>
      <c r="H210" s="4"/>
      <c r="I210" s="6"/>
      <c r="J210" s="4"/>
      <c r="K210" s="4"/>
      <c r="L210" s="6"/>
      <c r="M210" s="4"/>
      <c r="N210" s="4"/>
      <c r="O210" s="4"/>
      <c r="P210" s="4"/>
      <c r="Q210" s="4"/>
      <c r="R210" s="210"/>
      <c r="S210" s="7"/>
      <c r="T210" s="4"/>
      <c r="U210" s="4"/>
      <c r="V210" s="4"/>
      <c r="W210" s="4"/>
      <c r="X210" s="4"/>
      <c r="Y210" s="4"/>
      <c r="Z210" s="4"/>
    </row>
    <row r="211" ht="16.5" customHeight="1">
      <c r="A211" s="3"/>
      <c r="B211" s="2"/>
      <c r="C211" s="3"/>
      <c r="D211" s="2"/>
      <c r="E211" s="5"/>
      <c r="F211" s="4"/>
      <c r="G211" s="4"/>
      <c r="H211" s="4"/>
      <c r="I211" s="6"/>
      <c r="J211" s="4"/>
      <c r="K211" s="4"/>
      <c r="L211" s="6"/>
      <c r="M211" s="4"/>
      <c r="N211" s="4"/>
      <c r="O211" s="4"/>
      <c r="P211" s="4"/>
      <c r="Q211" s="4"/>
      <c r="R211" s="210"/>
      <c r="S211" s="7"/>
      <c r="T211" s="4"/>
      <c r="U211" s="4"/>
      <c r="V211" s="4"/>
      <c r="W211" s="4"/>
      <c r="X211" s="4"/>
      <c r="Y211" s="4"/>
      <c r="Z211" s="4"/>
    </row>
    <row r="212" ht="16.5" customHeight="1">
      <c r="A212" s="3"/>
      <c r="B212" s="2"/>
      <c r="C212" s="3"/>
      <c r="D212" s="2"/>
      <c r="E212" s="5"/>
      <c r="F212" s="4"/>
      <c r="G212" s="4"/>
      <c r="H212" s="4"/>
      <c r="I212" s="6"/>
      <c r="J212" s="4"/>
      <c r="K212" s="4"/>
      <c r="L212" s="6"/>
      <c r="M212" s="4"/>
      <c r="N212" s="4"/>
      <c r="O212" s="4"/>
      <c r="P212" s="4"/>
      <c r="Q212" s="4"/>
      <c r="R212" s="210"/>
      <c r="S212" s="7"/>
      <c r="T212" s="4"/>
      <c r="U212" s="4"/>
      <c r="V212" s="4"/>
      <c r="W212" s="4"/>
      <c r="X212" s="4"/>
      <c r="Y212" s="4"/>
      <c r="Z212" s="4"/>
    </row>
    <row r="213" ht="16.5" customHeight="1">
      <c r="A213" s="3"/>
      <c r="B213" s="2"/>
      <c r="C213" s="3"/>
      <c r="D213" s="2"/>
      <c r="E213" s="5"/>
      <c r="F213" s="4"/>
      <c r="G213" s="4"/>
      <c r="H213" s="4"/>
      <c r="I213" s="6"/>
      <c r="J213" s="4"/>
      <c r="K213" s="4"/>
      <c r="L213" s="6"/>
      <c r="M213" s="4"/>
      <c r="N213" s="4"/>
      <c r="O213" s="4"/>
      <c r="P213" s="4"/>
      <c r="Q213" s="4"/>
      <c r="R213" s="210"/>
      <c r="S213" s="7"/>
      <c r="T213" s="4"/>
      <c r="U213" s="4"/>
      <c r="V213" s="4"/>
      <c r="W213" s="4"/>
      <c r="X213" s="4"/>
      <c r="Y213" s="4"/>
      <c r="Z213" s="4"/>
    </row>
    <row r="214" ht="16.5" customHeight="1">
      <c r="A214" s="3"/>
      <c r="B214" s="2"/>
      <c r="C214" s="3"/>
      <c r="D214" s="2"/>
      <c r="E214" s="5"/>
      <c r="F214" s="4"/>
      <c r="G214" s="4"/>
      <c r="H214" s="4"/>
      <c r="I214" s="6"/>
      <c r="J214" s="4"/>
      <c r="K214" s="4"/>
      <c r="L214" s="6"/>
      <c r="M214" s="4"/>
      <c r="N214" s="4"/>
      <c r="O214" s="4"/>
      <c r="P214" s="4"/>
      <c r="Q214" s="4"/>
      <c r="R214" s="210"/>
      <c r="S214" s="7"/>
      <c r="T214" s="4"/>
      <c r="U214" s="4"/>
      <c r="V214" s="4"/>
      <c r="W214" s="4"/>
      <c r="X214" s="4"/>
      <c r="Y214" s="4"/>
      <c r="Z214" s="4"/>
    </row>
    <row r="215" ht="16.5" customHeight="1">
      <c r="A215" s="3"/>
      <c r="B215" s="2"/>
      <c r="C215" s="3"/>
      <c r="D215" s="2"/>
      <c r="E215" s="5"/>
      <c r="F215" s="4"/>
      <c r="G215" s="4"/>
      <c r="H215" s="4"/>
      <c r="I215" s="6"/>
      <c r="J215" s="4"/>
      <c r="K215" s="4"/>
      <c r="L215" s="6"/>
      <c r="M215" s="4"/>
      <c r="N215" s="4"/>
      <c r="O215" s="4"/>
      <c r="P215" s="4"/>
      <c r="Q215" s="4"/>
      <c r="R215" s="210"/>
      <c r="S215" s="7"/>
      <c r="T215" s="4"/>
      <c r="U215" s="4"/>
      <c r="V215" s="4"/>
      <c r="W215" s="4"/>
      <c r="X215" s="4"/>
      <c r="Y215" s="4"/>
      <c r="Z215" s="4"/>
    </row>
    <row r="216" ht="16.5" customHeight="1">
      <c r="A216" s="3"/>
      <c r="B216" s="2"/>
      <c r="C216" s="3"/>
      <c r="D216" s="2"/>
      <c r="E216" s="5"/>
      <c r="F216" s="4"/>
      <c r="G216" s="4"/>
      <c r="H216" s="4"/>
      <c r="I216" s="6"/>
      <c r="J216" s="4"/>
      <c r="K216" s="4"/>
      <c r="L216" s="6"/>
      <c r="M216" s="4"/>
      <c r="N216" s="4"/>
      <c r="O216" s="4"/>
      <c r="P216" s="4"/>
      <c r="Q216" s="4"/>
      <c r="R216" s="210"/>
      <c r="S216" s="7"/>
      <c r="T216" s="4"/>
      <c r="U216" s="4"/>
      <c r="V216" s="4"/>
      <c r="W216" s="4"/>
      <c r="X216" s="4"/>
      <c r="Y216" s="4"/>
      <c r="Z216" s="4"/>
    </row>
    <row r="217" ht="16.5" customHeight="1">
      <c r="A217" s="3"/>
      <c r="B217" s="2"/>
      <c r="C217" s="3"/>
      <c r="D217" s="2"/>
      <c r="E217" s="5"/>
      <c r="F217" s="4"/>
      <c r="G217" s="4"/>
      <c r="H217" s="4"/>
      <c r="I217" s="6"/>
      <c r="J217" s="4"/>
      <c r="K217" s="4"/>
      <c r="L217" s="6"/>
      <c r="M217" s="4"/>
      <c r="N217" s="4"/>
      <c r="O217" s="4"/>
      <c r="P217" s="4"/>
      <c r="Q217" s="4"/>
      <c r="R217" s="210"/>
      <c r="S217" s="7"/>
      <c r="T217" s="4"/>
      <c r="U217" s="4"/>
      <c r="V217" s="4"/>
      <c r="W217" s="4"/>
      <c r="X217" s="4"/>
      <c r="Y217" s="4"/>
      <c r="Z217" s="4"/>
    </row>
    <row r="218" ht="16.5" customHeight="1">
      <c r="A218" s="3"/>
      <c r="B218" s="2"/>
      <c r="C218" s="3"/>
      <c r="D218" s="2"/>
      <c r="E218" s="5"/>
      <c r="F218" s="4"/>
      <c r="G218" s="4"/>
      <c r="H218" s="4"/>
      <c r="I218" s="6"/>
      <c r="J218" s="4"/>
      <c r="K218" s="4"/>
      <c r="L218" s="6"/>
      <c r="M218" s="4"/>
      <c r="N218" s="4"/>
      <c r="O218" s="4"/>
      <c r="P218" s="4"/>
      <c r="Q218" s="4"/>
      <c r="R218" s="210"/>
      <c r="S218" s="7"/>
      <c r="T218" s="4"/>
      <c r="U218" s="4"/>
      <c r="V218" s="4"/>
      <c r="W218" s="4"/>
      <c r="X218" s="4"/>
      <c r="Y218" s="4"/>
      <c r="Z218" s="4"/>
    </row>
    <row r="219" ht="16.5" customHeight="1">
      <c r="A219" s="3"/>
      <c r="B219" s="2"/>
      <c r="C219" s="3"/>
      <c r="D219" s="2"/>
      <c r="E219" s="5"/>
      <c r="F219" s="4"/>
      <c r="G219" s="4"/>
      <c r="H219" s="4"/>
      <c r="I219" s="6"/>
      <c r="J219" s="4"/>
      <c r="K219" s="4"/>
      <c r="L219" s="6"/>
      <c r="M219" s="4"/>
      <c r="N219" s="4"/>
      <c r="O219" s="4"/>
      <c r="P219" s="4"/>
      <c r="Q219" s="4"/>
      <c r="R219" s="210"/>
      <c r="S219" s="7"/>
      <c r="T219" s="4"/>
      <c r="U219" s="4"/>
      <c r="V219" s="4"/>
      <c r="W219" s="4"/>
      <c r="X219" s="4"/>
      <c r="Y219" s="4"/>
      <c r="Z219" s="4"/>
    </row>
    <row r="220" ht="16.5" customHeight="1">
      <c r="A220" s="3"/>
      <c r="B220" s="2"/>
      <c r="C220" s="3"/>
      <c r="D220" s="2"/>
      <c r="E220" s="5"/>
      <c r="F220" s="4"/>
      <c r="G220" s="4"/>
      <c r="H220" s="4"/>
      <c r="I220" s="6"/>
      <c r="J220" s="4"/>
      <c r="K220" s="4"/>
      <c r="L220" s="6"/>
      <c r="M220" s="4"/>
      <c r="N220" s="4"/>
      <c r="O220" s="4"/>
      <c r="P220" s="4"/>
      <c r="Q220" s="4"/>
      <c r="R220" s="210"/>
      <c r="S220" s="7"/>
      <c r="T220" s="4"/>
      <c r="U220" s="4"/>
      <c r="V220" s="4"/>
      <c r="W220" s="4"/>
      <c r="X220" s="4"/>
      <c r="Y220" s="4"/>
      <c r="Z220" s="4"/>
    </row>
    <row r="221" ht="16.5" customHeight="1">
      <c r="A221" s="3"/>
      <c r="B221" s="2"/>
      <c r="C221" s="3"/>
      <c r="D221" s="2"/>
      <c r="E221" s="5"/>
      <c r="F221" s="4"/>
      <c r="G221" s="4"/>
      <c r="H221" s="4"/>
      <c r="I221" s="6"/>
      <c r="J221" s="4"/>
      <c r="K221" s="4"/>
      <c r="L221" s="6"/>
      <c r="M221" s="4"/>
      <c r="N221" s="4"/>
      <c r="O221" s="4"/>
      <c r="P221" s="4"/>
      <c r="Q221" s="4"/>
      <c r="R221" s="210"/>
      <c r="S221" s="7"/>
      <c r="T221" s="4"/>
      <c r="U221" s="4"/>
      <c r="V221" s="4"/>
      <c r="W221" s="4"/>
      <c r="X221" s="4"/>
      <c r="Y221" s="4"/>
      <c r="Z221" s="4"/>
    </row>
    <row r="222" ht="16.5" customHeight="1">
      <c r="A222" s="3"/>
      <c r="B222" s="2"/>
      <c r="C222" s="3"/>
      <c r="D222" s="2"/>
      <c r="E222" s="5"/>
      <c r="F222" s="4"/>
      <c r="G222" s="4"/>
      <c r="H222" s="4"/>
      <c r="I222" s="6"/>
      <c r="J222" s="4"/>
      <c r="K222" s="4"/>
      <c r="L222" s="6"/>
      <c r="M222" s="4"/>
      <c r="N222" s="4"/>
      <c r="O222" s="4"/>
      <c r="P222" s="4"/>
      <c r="Q222" s="4"/>
      <c r="R222" s="210"/>
      <c r="S222" s="7"/>
      <c r="T222" s="4"/>
      <c r="U222" s="4"/>
      <c r="V222" s="4"/>
      <c r="W222" s="4"/>
      <c r="X222" s="4"/>
      <c r="Y222" s="4"/>
      <c r="Z222" s="4"/>
    </row>
    <row r="223" ht="16.5" customHeight="1">
      <c r="A223" s="3"/>
      <c r="B223" s="2"/>
      <c r="C223" s="3"/>
      <c r="D223" s="2"/>
      <c r="E223" s="5"/>
      <c r="F223" s="4"/>
      <c r="G223" s="4"/>
      <c r="H223" s="4"/>
      <c r="I223" s="6"/>
      <c r="J223" s="4"/>
      <c r="K223" s="4"/>
      <c r="L223" s="6"/>
      <c r="M223" s="4"/>
      <c r="N223" s="4"/>
      <c r="O223" s="4"/>
      <c r="P223" s="4"/>
      <c r="Q223" s="4"/>
      <c r="R223" s="210"/>
      <c r="S223" s="7"/>
      <c r="T223" s="4"/>
      <c r="U223" s="4"/>
      <c r="V223" s="4"/>
      <c r="W223" s="4"/>
      <c r="X223" s="4"/>
      <c r="Y223" s="4"/>
      <c r="Z223" s="4"/>
    </row>
    <row r="224" ht="16.5" customHeight="1">
      <c r="A224" s="3"/>
      <c r="B224" s="2"/>
      <c r="C224" s="3"/>
      <c r="D224" s="2"/>
      <c r="E224" s="5"/>
      <c r="F224" s="4"/>
      <c r="G224" s="4"/>
      <c r="H224" s="4"/>
      <c r="I224" s="6"/>
      <c r="J224" s="4"/>
      <c r="K224" s="4"/>
      <c r="L224" s="6"/>
      <c r="M224" s="4"/>
      <c r="N224" s="4"/>
      <c r="O224" s="4"/>
      <c r="P224" s="4"/>
      <c r="Q224" s="4"/>
      <c r="R224" s="210"/>
      <c r="S224" s="7"/>
      <c r="T224" s="4"/>
      <c r="U224" s="4"/>
      <c r="V224" s="4"/>
      <c r="W224" s="4"/>
      <c r="X224" s="4"/>
      <c r="Y224" s="4"/>
      <c r="Z224" s="4"/>
    </row>
    <row r="225" ht="16.5" customHeight="1">
      <c r="A225" s="3"/>
      <c r="B225" s="2"/>
      <c r="C225" s="3"/>
      <c r="D225" s="2"/>
      <c r="E225" s="5"/>
      <c r="F225" s="4"/>
      <c r="G225" s="4"/>
      <c r="H225" s="4"/>
      <c r="I225" s="6"/>
      <c r="J225" s="4"/>
      <c r="K225" s="4"/>
      <c r="L225" s="6"/>
      <c r="M225" s="4"/>
      <c r="N225" s="4"/>
      <c r="O225" s="4"/>
      <c r="P225" s="4"/>
      <c r="Q225" s="4"/>
      <c r="R225" s="210"/>
      <c r="S225" s="7"/>
      <c r="T225" s="4"/>
      <c r="U225" s="4"/>
      <c r="V225" s="4"/>
      <c r="W225" s="4"/>
      <c r="X225" s="4"/>
      <c r="Y225" s="4"/>
      <c r="Z225" s="4"/>
    </row>
    <row r="226" ht="16.5" customHeight="1">
      <c r="A226" s="3"/>
      <c r="B226" s="2"/>
      <c r="C226" s="3"/>
      <c r="D226" s="2"/>
      <c r="E226" s="5"/>
      <c r="F226" s="4"/>
      <c r="G226" s="4"/>
      <c r="H226" s="4"/>
      <c r="I226" s="6"/>
      <c r="J226" s="4"/>
      <c r="K226" s="4"/>
      <c r="L226" s="6"/>
      <c r="M226" s="4"/>
      <c r="N226" s="4"/>
      <c r="O226" s="4"/>
      <c r="P226" s="4"/>
      <c r="Q226" s="4"/>
      <c r="R226" s="210"/>
      <c r="S226" s="7"/>
      <c r="T226" s="4"/>
      <c r="U226" s="4"/>
      <c r="V226" s="4"/>
      <c r="W226" s="4"/>
      <c r="X226" s="4"/>
      <c r="Y226" s="4"/>
      <c r="Z226" s="4"/>
    </row>
    <row r="227" ht="16.5" customHeight="1">
      <c r="A227" s="3"/>
      <c r="B227" s="2"/>
      <c r="C227" s="3"/>
      <c r="D227" s="2"/>
      <c r="E227" s="5"/>
      <c r="F227" s="4"/>
      <c r="G227" s="4"/>
      <c r="H227" s="4"/>
      <c r="I227" s="6"/>
      <c r="J227" s="4"/>
      <c r="K227" s="4"/>
      <c r="L227" s="6"/>
      <c r="M227" s="4"/>
      <c r="N227" s="4"/>
      <c r="O227" s="4"/>
      <c r="P227" s="4"/>
      <c r="Q227" s="4"/>
      <c r="R227" s="210"/>
      <c r="S227" s="7"/>
      <c r="T227" s="4"/>
      <c r="U227" s="4"/>
      <c r="V227" s="4"/>
      <c r="W227" s="4"/>
      <c r="X227" s="4"/>
      <c r="Y227" s="4"/>
      <c r="Z227" s="4"/>
    </row>
    <row r="228" ht="16.5" customHeight="1">
      <c r="A228" s="3"/>
      <c r="B228" s="2"/>
      <c r="C228" s="3"/>
      <c r="D228" s="2"/>
      <c r="E228" s="5"/>
      <c r="F228" s="4"/>
      <c r="G228" s="4"/>
      <c r="H228" s="4"/>
      <c r="I228" s="6"/>
      <c r="J228" s="4"/>
      <c r="K228" s="4"/>
      <c r="L228" s="6"/>
      <c r="M228" s="4"/>
      <c r="N228" s="4"/>
      <c r="O228" s="4"/>
      <c r="P228" s="4"/>
      <c r="Q228" s="4"/>
      <c r="R228" s="210"/>
      <c r="S228" s="7"/>
      <c r="T228" s="4"/>
      <c r="U228" s="4"/>
      <c r="V228" s="4"/>
      <c r="W228" s="4"/>
      <c r="X228" s="4"/>
      <c r="Y228" s="4"/>
      <c r="Z228" s="4"/>
    </row>
    <row r="229" ht="16.5" customHeight="1">
      <c r="A229" s="3"/>
      <c r="B229" s="2"/>
      <c r="C229" s="3"/>
      <c r="D229" s="2"/>
      <c r="E229" s="5"/>
      <c r="F229" s="4"/>
      <c r="G229" s="4"/>
      <c r="H229" s="4"/>
      <c r="I229" s="6"/>
      <c r="J229" s="4"/>
      <c r="K229" s="4"/>
      <c r="L229" s="6"/>
      <c r="M229" s="4"/>
      <c r="N229" s="4"/>
      <c r="O229" s="4"/>
      <c r="P229" s="4"/>
      <c r="Q229" s="4"/>
      <c r="R229" s="210"/>
      <c r="S229" s="7"/>
      <c r="T229" s="4"/>
      <c r="U229" s="4"/>
      <c r="V229" s="4"/>
      <c r="W229" s="4"/>
      <c r="X229" s="4"/>
      <c r="Y229" s="4"/>
      <c r="Z229" s="4"/>
    </row>
    <row r="230" ht="16.5" customHeight="1">
      <c r="A230" s="3"/>
      <c r="B230" s="2"/>
      <c r="C230" s="3"/>
      <c r="D230" s="2"/>
      <c r="E230" s="5"/>
      <c r="F230" s="4"/>
      <c r="G230" s="4"/>
      <c r="H230" s="4"/>
      <c r="I230" s="6"/>
      <c r="J230" s="4"/>
      <c r="K230" s="4"/>
      <c r="L230" s="6"/>
      <c r="M230" s="4"/>
      <c r="N230" s="4"/>
      <c r="O230" s="4"/>
      <c r="P230" s="4"/>
      <c r="Q230" s="4"/>
      <c r="R230" s="210"/>
      <c r="S230" s="7"/>
      <c r="T230" s="4"/>
      <c r="U230" s="4"/>
      <c r="V230" s="4"/>
      <c r="W230" s="4"/>
      <c r="X230" s="4"/>
      <c r="Y230" s="4"/>
      <c r="Z230" s="4"/>
    </row>
    <row r="231" ht="16.5" customHeight="1">
      <c r="A231" s="3"/>
      <c r="B231" s="2"/>
      <c r="C231" s="3"/>
      <c r="D231" s="2"/>
      <c r="E231" s="5"/>
      <c r="F231" s="4"/>
      <c r="G231" s="4"/>
      <c r="H231" s="4"/>
      <c r="I231" s="6"/>
      <c r="J231" s="4"/>
      <c r="K231" s="4"/>
      <c r="L231" s="6"/>
      <c r="M231" s="4"/>
      <c r="N231" s="4"/>
      <c r="O231" s="4"/>
      <c r="P231" s="4"/>
      <c r="Q231" s="4"/>
      <c r="R231" s="210"/>
      <c r="S231" s="7"/>
      <c r="T231" s="4"/>
      <c r="U231" s="4"/>
      <c r="V231" s="4"/>
      <c r="W231" s="4"/>
      <c r="X231" s="4"/>
      <c r="Y231" s="4"/>
      <c r="Z231" s="4"/>
    </row>
    <row r="232" ht="16.5" customHeight="1">
      <c r="A232" s="3"/>
      <c r="B232" s="2"/>
      <c r="C232" s="3"/>
      <c r="D232" s="2"/>
      <c r="E232" s="5"/>
      <c r="F232" s="4"/>
      <c r="G232" s="4"/>
      <c r="H232" s="4"/>
      <c r="I232" s="6"/>
      <c r="J232" s="4"/>
      <c r="K232" s="4"/>
      <c r="L232" s="6"/>
      <c r="M232" s="4"/>
      <c r="N232" s="4"/>
      <c r="O232" s="4"/>
      <c r="P232" s="4"/>
      <c r="Q232" s="4"/>
      <c r="R232" s="210"/>
      <c r="S232" s="7"/>
      <c r="T232" s="4"/>
      <c r="U232" s="4"/>
      <c r="V232" s="4"/>
      <c r="W232" s="4"/>
      <c r="X232" s="4"/>
      <c r="Y232" s="4"/>
      <c r="Z232" s="4"/>
    </row>
    <row r="233" ht="16.5" customHeight="1">
      <c r="A233" s="3"/>
      <c r="B233" s="2"/>
      <c r="C233" s="3"/>
      <c r="D233" s="2"/>
      <c r="E233" s="5"/>
      <c r="F233" s="4"/>
      <c r="G233" s="4"/>
      <c r="H233" s="4"/>
      <c r="I233" s="6"/>
      <c r="J233" s="4"/>
      <c r="K233" s="4"/>
      <c r="L233" s="6"/>
      <c r="M233" s="4"/>
      <c r="N233" s="4"/>
      <c r="O233" s="4"/>
      <c r="P233" s="4"/>
      <c r="Q233" s="4"/>
      <c r="R233" s="210"/>
      <c r="S233" s="7"/>
      <c r="T233" s="4"/>
      <c r="U233" s="4"/>
      <c r="V233" s="4"/>
      <c r="W233" s="4"/>
      <c r="X233" s="4"/>
      <c r="Y233" s="4"/>
      <c r="Z233" s="4"/>
    </row>
    <row r="234" ht="16.5" customHeight="1">
      <c r="A234" s="3"/>
      <c r="B234" s="2"/>
      <c r="C234" s="3"/>
      <c r="D234" s="2"/>
      <c r="E234" s="5"/>
      <c r="F234" s="4"/>
      <c r="G234" s="4"/>
      <c r="H234" s="4"/>
      <c r="I234" s="6"/>
      <c r="J234" s="4"/>
      <c r="K234" s="4"/>
      <c r="L234" s="6"/>
      <c r="M234" s="4"/>
      <c r="N234" s="4"/>
      <c r="O234" s="4"/>
      <c r="P234" s="4"/>
      <c r="Q234" s="4"/>
      <c r="R234" s="210"/>
      <c r="S234" s="7"/>
      <c r="T234" s="4"/>
      <c r="U234" s="4"/>
      <c r="V234" s="4"/>
      <c r="W234" s="4"/>
      <c r="X234" s="4"/>
      <c r="Y234" s="4"/>
      <c r="Z234" s="4"/>
    </row>
    <row r="235" ht="16.5" customHeight="1">
      <c r="A235" s="3"/>
      <c r="B235" s="2"/>
      <c r="C235" s="3"/>
      <c r="D235" s="2"/>
      <c r="E235" s="5"/>
      <c r="F235" s="4"/>
      <c r="G235" s="4"/>
      <c r="H235" s="4"/>
      <c r="I235" s="6"/>
      <c r="J235" s="4"/>
      <c r="K235" s="4"/>
      <c r="L235" s="6"/>
      <c r="M235" s="4"/>
      <c r="N235" s="4"/>
      <c r="O235" s="4"/>
      <c r="P235" s="4"/>
      <c r="Q235" s="4"/>
      <c r="R235" s="210"/>
      <c r="S235" s="7"/>
      <c r="T235" s="4"/>
      <c r="U235" s="4"/>
      <c r="V235" s="4"/>
      <c r="W235" s="4"/>
      <c r="X235" s="4"/>
      <c r="Y235" s="4"/>
      <c r="Z235" s="4"/>
    </row>
    <row r="236" ht="16.5" customHeight="1">
      <c r="A236" s="3"/>
      <c r="B236" s="2"/>
      <c r="C236" s="3"/>
      <c r="D236" s="2"/>
      <c r="E236" s="5"/>
      <c r="F236" s="4"/>
      <c r="G236" s="4"/>
      <c r="H236" s="4"/>
      <c r="I236" s="6"/>
      <c r="J236" s="4"/>
      <c r="K236" s="4"/>
      <c r="L236" s="6"/>
      <c r="M236" s="4"/>
      <c r="N236" s="4"/>
      <c r="O236" s="4"/>
      <c r="P236" s="4"/>
      <c r="Q236" s="4"/>
      <c r="R236" s="210"/>
      <c r="S236" s="7"/>
      <c r="T236" s="4"/>
      <c r="U236" s="4"/>
      <c r="V236" s="4"/>
      <c r="W236" s="4"/>
      <c r="X236" s="4"/>
      <c r="Y236" s="4"/>
      <c r="Z236" s="4"/>
    </row>
    <row r="237" ht="16.5" customHeight="1">
      <c r="A237" s="3"/>
      <c r="B237" s="2"/>
      <c r="C237" s="3"/>
      <c r="D237" s="2"/>
      <c r="E237" s="5"/>
      <c r="F237" s="4"/>
      <c r="G237" s="4"/>
      <c r="H237" s="4"/>
      <c r="I237" s="6"/>
      <c r="J237" s="4"/>
      <c r="K237" s="4"/>
      <c r="L237" s="6"/>
      <c r="M237" s="4"/>
      <c r="N237" s="4"/>
      <c r="O237" s="4"/>
      <c r="P237" s="4"/>
      <c r="Q237" s="4"/>
      <c r="R237" s="210"/>
      <c r="S237" s="7"/>
      <c r="T237" s="4"/>
      <c r="U237" s="4"/>
      <c r="V237" s="4"/>
      <c r="W237" s="4"/>
      <c r="X237" s="4"/>
      <c r="Y237" s="4"/>
      <c r="Z237" s="4"/>
    </row>
    <row r="238" ht="16.5" customHeight="1">
      <c r="A238" s="3"/>
      <c r="B238" s="2"/>
      <c r="C238" s="3"/>
      <c r="D238" s="2"/>
      <c r="E238" s="5"/>
      <c r="F238" s="4"/>
      <c r="G238" s="4"/>
      <c r="H238" s="4"/>
      <c r="I238" s="6"/>
      <c r="J238" s="4"/>
      <c r="K238" s="4"/>
      <c r="L238" s="6"/>
      <c r="M238" s="4"/>
      <c r="N238" s="4"/>
      <c r="O238" s="4"/>
      <c r="P238" s="4"/>
      <c r="Q238" s="4"/>
      <c r="R238" s="210"/>
      <c r="S238" s="7"/>
      <c r="T238" s="4"/>
      <c r="U238" s="4"/>
      <c r="V238" s="4"/>
      <c r="W238" s="4"/>
      <c r="X238" s="4"/>
      <c r="Y238" s="4"/>
      <c r="Z238" s="4"/>
    </row>
    <row r="239" ht="16.5" customHeight="1">
      <c r="A239" s="3"/>
      <c r="B239" s="2"/>
      <c r="C239" s="3"/>
      <c r="D239" s="2"/>
      <c r="E239" s="5"/>
      <c r="F239" s="4"/>
      <c r="G239" s="4"/>
      <c r="H239" s="4"/>
      <c r="I239" s="6"/>
      <c r="J239" s="4"/>
      <c r="K239" s="4"/>
      <c r="L239" s="6"/>
      <c r="M239" s="4"/>
      <c r="N239" s="4"/>
      <c r="O239" s="4"/>
      <c r="P239" s="4"/>
      <c r="Q239" s="4"/>
      <c r="R239" s="210"/>
      <c r="S239" s="7"/>
      <c r="T239" s="4"/>
      <c r="U239" s="4"/>
      <c r="V239" s="4"/>
      <c r="W239" s="4"/>
      <c r="X239" s="4"/>
      <c r="Y239" s="4"/>
      <c r="Z239" s="4"/>
    </row>
    <row r="240" ht="16.5" customHeight="1">
      <c r="A240" s="3"/>
      <c r="B240" s="2"/>
      <c r="C240" s="3"/>
      <c r="D240" s="2"/>
      <c r="E240" s="5"/>
      <c r="F240" s="4"/>
      <c r="G240" s="4"/>
      <c r="H240" s="4"/>
      <c r="I240" s="6"/>
      <c r="J240" s="4"/>
      <c r="K240" s="4"/>
      <c r="L240" s="6"/>
      <c r="M240" s="4"/>
      <c r="N240" s="4"/>
      <c r="O240" s="4"/>
      <c r="P240" s="4"/>
      <c r="Q240" s="4"/>
      <c r="R240" s="210"/>
      <c r="S240" s="7"/>
      <c r="T240" s="4"/>
      <c r="U240" s="4"/>
      <c r="V240" s="4"/>
      <c r="W240" s="4"/>
      <c r="X240" s="4"/>
      <c r="Y240" s="4"/>
      <c r="Z240" s="4"/>
    </row>
    <row r="241" ht="16.5" customHeight="1">
      <c r="A241" s="3"/>
      <c r="B241" s="2"/>
      <c r="C241" s="3"/>
      <c r="D241" s="2"/>
      <c r="E241" s="5"/>
      <c r="F241" s="4"/>
      <c r="G241" s="4"/>
      <c r="H241" s="4"/>
      <c r="I241" s="6"/>
      <c r="J241" s="4"/>
      <c r="K241" s="4"/>
      <c r="L241" s="6"/>
      <c r="M241" s="4"/>
      <c r="N241" s="4"/>
      <c r="O241" s="4"/>
      <c r="P241" s="4"/>
      <c r="Q241" s="4"/>
      <c r="R241" s="210"/>
      <c r="S241" s="7"/>
      <c r="T241" s="4"/>
      <c r="U241" s="4"/>
      <c r="V241" s="4"/>
      <c r="W241" s="4"/>
      <c r="X241" s="4"/>
      <c r="Y241" s="4"/>
      <c r="Z241" s="4"/>
    </row>
    <row r="242" ht="16.5" customHeight="1">
      <c r="A242" s="3"/>
      <c r="B242" s="2"/>
      <c r="C242" s="3"/>
      <c r="D242" s="2"/>
      <c r="E242" s="5"/>
      <c r="F242" s="4"/>
      <c r="G242" s="4"/>
      <c r="H242" s="4"/>
      <c r="I242" s="6"/>
      <c r="J242" s="4"/>
      <c r="K242" s="4"/>
      <c r="L242" s="6"/>
      <c r="M242" s="4"/>
      <c r="N242" s="4"/>
      <c r="O242" s="4"/>
      <c r="P242" s="4"/>
      <c r="Q242" s="4"/>
      <c r="R242" s="210"/>
      <c r="S242" s="7"/>
      <c r="T242" s="4"/>
      <c r="U242" s="4"/>
      <c r="V242" s="4"/>
      <c r="W242" s="4"/>
      <c r="X242" s="4"/>
      <c r="Y242" s="4"/>
      <c r="Z242" s="4"/>
    </row>
    <row r="243" ht="16.5" customHeight="1">
      <c r="A243" s="3"/>
      <c r="B243" s="2"/>
      <c r="C243" s="3"/>
      <c r="D243" s="2"/>
      <c r="E243" s="5"/>
      <c r="F243" s="4"/>
      <c r="G243" s="4"/>
      <c r="H243" s="4"/>
      <c r="I243" s="6"/>
      <c r="J243" s="4"/>
      <c r="K243" s="4"/>
      <c r="L243" s="6"/>
      <c r="M243" s="4"/>
      <c r="N243" s="4"/>
      <c r="O243" s="4"/>
      <c r="P243" s="4"/>
      <c r="Q243" s="4"/>
      <c r="R243" s="210"/>
      <c r="S243" s="7"/>
      <c r="T243" s="4"/>
      <c r="U243" s="4"/>
      <c r="V243" s="4"/>
      <c r="W243" s="4"/>
      <c r="X243" s="4"/>
      <c r="Y243" s="4"/>
      <c r="Z243" s="4"/>
    </row>
    <row r="244" ht="16.5" customHeight="1">
      <c r="A244" s="3"/>
      <c r="B244" s="2"/>
      <c r="C244" s="3"/>
      <c r="D244" s="2"/>
      <c r="E244" s="5"/>
      <c r="F244" s="4"/>
      <c r="G244" s="4"/>
      <c r="H244" s="4"/>
      <c r="I244" s="6"/>
      <c r="J244" s="4"/>
      <c r="K244" s="4"/>
      <c r="L244" s="6"/>
      <c r="M244" s="4"/>
      <c r="N244" s="4"/>
      <c r="O244" s="4"/>
      <c r="P244" s="4"/>
      <c r="Q244" s="4"/>
      <c r="R244" s="210"/>
      <c r="S244" s="7"/>
      <c r="T244" s="4"/>
      <c r="U244" s="4"/>
      <c r="V244" s="4"/>
      <c r="W244" s="4"/>
      <c r="X244" s="4"/>
      <c r="Y244" s="4"/>
      <c r="Z244" s="4"/>
    </row>
    <row r="245" ht="16.5" customHeight="1">
      <c r="A245" s="3"/>
      <c r="B245" s="2"/>
      <c r="C245" s="3"/>
      <c r="D245" s="2"/>
      <c r="E245" s="5"/>
      <c r="F245" s="4"/>
      <c r="G245" s="4"/>
      <c r="H245" s="4"/>
      <c r="I245" s="6"/>
      <c r="J245" s="4"/>
      <c r="K245" s="4"/>
      <c r="L245" s="6"/>
      <c r="M245" s="4"/>
      <c r="N245" s="4"/>
      <c r="O245" s="4"/>
      <c r="P245" s="4"/>
      <c r="Q245" s="4"/>
      <c r="R245" s="210"/>
      <c r="S245" s="7"/>
      <c r="T245" s="4"/>
      <c r="U245" s="4"/>
      <c r="V245" s="4"/>
      <c r="W245" s="4"/>
      <c r="X245" s="4"/>
      <c r="Y245" s="4"/>
      <c r="Z245" s="4"/>
    </row>
    <row r="246" ht="16.5" customHeight="1">
      <c r="A246" s="3"/>
      <c r="B246" s="2"/>
      <c r="C246" s="3"/>
      <c r="D246" s="2"/>
      <c r="E246" s="5"/>
      <c r="F246" s="4"/>
      <c r="G246" s="4"/>
      <c r="H246" s="4"/>
      <c r="I246" s="6"/>
      <c r="J246" s="4"/>
      <c r="K246" s="4"/>
      <c r="L246" s="6"/>
      <c r="M246" s="4"/>
      <c r="N246" s="4"/>
      <c r="O246" s="4"/>
      <c r="P246" s="4"/>
      <c r="Q246" s="4"/>
      <c r="R246" s="210"/>
      <c r="S246" s="7"/>
      <c r="T246" s="4"/>
      <c r="U246" s="4"/>
      <c r="V246" s="4"/>
      <c r="W246" s="4"/>
      <c r="X246" s="4"/>
      <c r="Y246" s="4"/>
      <c r="Z246" s="4"/>
    </row>
    <row r="247" ht="16.5" customHeight="1">
      <c r="A247" s="3"/>
      <c r="B247" s="2"/>
      <c r="C247" s="3"/>
      <c r="D247" s="2"/>
      <c r="E247" s="5"/>
      <c r="F247" s="4"/>
      <c r="G247" s="4"/>
      <c r="H247" s="4"/>
      <c r="I247" s="6"/>
      <c r="J247" s="4"/>
      <c r="K247" s="4"/>
      <c r="L247" s="6"/>
      <c r="M247" s="4"/>
      <c r="N247" s="4"/>
      <c r="O247" s="4"/>
      <c r="P247" s="4"/>
      <c r="Q247" s="4"/>
      <c r="R247" s="210"/>
      <c r="S247" s="7"/>
      <c r="T247" s="4"/>
      <c r="U247" s="4"/>
      <c r="V247" s="4"/>
      <c r="W247" s="4"/>
      <c r="X247" s="4"/>
      <c r="Y247" s="4"/>
      <c r="Z247" s="4"/>
    </row>
    <row r="248" ht="16.5" customHeight="1">
      <c r="A248" s="3"/>
      <c r="B248" s="2"/>
      <c r="C248" s="3"/>
      <c r="D248" s="2"/>
      <c r="E248" s="5"/>
      <c r="F248" s="4"/>
      <c r="G248" s="4"/>
      <c r="H248" s="4"/>
      <c r="I248" s="6"/>
      <c r="J248" s="4"/>
      <c r="K248" s="4"/>
      <c r="L248" s="6"/>
      <c r="M248" s="4"/>
      <c r="N248" s="4"/>
      <c r="O248" s="4"/>
      <c r="P248" s="4"/>
      <c r="Q248" s="4"/>
      <c r="R248" s="210"/>
      <c r="S248" s="7"/>
      <c r="T248" s="4"/>
      <c r="U248" s="4"/>
      <c r="V248" s="4"/>
      <c r="W248" s="4"/>
      <c r="X248" s="4"/>
      <c r="Y248" s="4"/>
      <c r="Z248" s="4"/>
    </row>
    <row r="249" ht="16.5" customHeight="1">
      <c r="A249" s="3"/>
      <c r="B249" s="2"/>
      <c r="C249" s="3"/>
      <c r="D249" s="2"/>
      <c r="E249" s="5"/>
      <c r="F249" s="4"/>
      <c r="G249" s="4"/>
      <c r="H249" s="4"/>
      <c r="I249" s="6"/>
      <c r="J249" s="4"/>
      <c r="K249" s="4"/>
      <c r="L249" s="6"/>
      <c r="M249" s="4"/>
      <c r="N249" s="4"/>
      <c r="O249" s="4"/>
      <c r="P249" s="4"/>
      <c r="Q249" s="4"/>
      <c r="R249" s="210"/>
      <c r="S249" s="7"/>
      <c r="T249" s="4"/>
      <c r="U249" s="4"/>
      <c r="V249" s="4"/>
      <c r="W249" s="4"/>
      <c r="X249" s="4"/>
      <c r="Y249" s="4"/>
      <c r="Z249" s="4"/>
    </row>
    <row r="250" ht="16.5" customHeight="1">
      <c r="A250" s="3"/>
      <c r="B250" s="2"/>
      <c r="C250" s="3"/>
      <c r="D250" s="2"/>
      <c r="E250" s="5"/>
      <c r="F250" s="4"/>
      <c r="G250" s="4"/>
      <c r="H250" s="4"/>
      <c r="I250" s="6"/>
      <c r="J250" s="4"/>
      <c r="K250" s="4"/>
      <c r="L250" s="6"/>
      <c r="M250" s="4"/>
      <c r="N250" s="4"/>
      <c r="O250" s="4"/>
      <c r="P250" s="4"/>
      <c r="Q250" s="4"/>
      <c r="R250" s="210"/>
      <c r="S250" s="7"/>
      <c r="T250" s="4"/>
      <c r="U250" s="4"/>
      <c r="V250" s="4"/>
      <c r="W250" s="4"/>
      <c r="X250" s="4"/>
      <c r="Y250" s="4"/>
      <c r="Z250" s="4"/>
    </row>
    <row r="251" ht="16.5" customHeight="1">
      <c r="A251" s="3"/>
      <c r="B251" s="2"/>
      <c r="C251" s="3"/>
      <c r="D251" s="2"/>
      <c r="E251" s="5"/>
      <c r="F251" s="4"/>
      <c r="G251" s="4"/>
      <c r="H251" s="4"/>
      <c r="I251" s="6"/>
      <c r="J251" s="4"/>
      <c r="K251" s="4"/>
      <c r="L251" s="6"/>
      <c r="M251" s="4"/>
      <c r="N251" s="4"/>
      <c r="O251" s="4"/>
      <c r="P251" s="4"/>
      <c r="Q251" s="4"/>
      <c r="R251" s="210"/>
      <c r="S251" s="7"/>
      <c r="T251" s="4"/>
      <c r="U251" s="4"/>
      <c r="V251" s="4"/>
      <c r="W251" s="4"/>
      <c r="X251" s="4"/>
      <c r="Y251" s="4"/>
      <c r="Z251" s="4"/>
    </row>
    <row r="252" ht="16.5" customHeight="1">
      <c r="A252" s="3"/>
      <c r="B252" s="2"/>
      <c r="C252" s="3"/>
      <c r="D252" s="2"/>
      <c r="E252" s="5"/>
      <c r="F252" s="4"/>
      <c r="G252" s="4"/>
      <c r="H252" s="4"/>
      <c r="I252" s="6"/>
      <c r="J252" s="4"/>
      <c r="K252" s="4"/>
      <c r="L252" s="6"/>
      <c r="M252" s="4"/>
      <c r="N252" s="4"/>
      <c r="O252" s="4"/>
      <c r="P252" s="4"/>
      <c r="Q252" s="4"/>
      <c r="R252" s="210"/>
      <c r="S252" s="7"/>
      <c r="T252" s="4"/>
      <c r="U252" s="4"/>
      <c r="V252" s="4"/>
      <c r="W252" s="4"/>
      <c r="X252" s="4"/>
      <c r="Y252" s="4"/>
      <c r="Z252" s="4"/>
    </row>
    <row r="253" ht="16.5" customHeight="1">
      <c r="A253" s="3"/>
      <c r="B253" s="2"/>
      <c r="C253" s="3"/>
      <c r="D253" s="2"/>
      <c r="E253" s="5"/>
      <c r="F253" s="4"/>
      <c r="G253" s="4"/>
      <c r="H253" s="4"/>
      <c r="I253" s="6"/>
      <c r="J253" s="4"/>
      <c r="K253" s="4"/>
      <c r="L253" s="6"/>
      <c r="M253" s="4"/>
      <c r="N253" s="4"/>
      <c r="O253" s="4"/>
      <c r="P253" s="4"/>
      <c r="Q253" s="4"/>
      <c r="R253" s="210"/>
      <c r="S253" s="7"/>
      <c r="T253" s="4"/>
      <c r="U253" s="4"/>
      <c r="V253" s="4"/>
      <c r="W253" s="4"/>
      <c r="X253" s="4"/>
      <c r="Y253" s="4"/>
      <c r="Z253" s="4"/>
    </row>
    <row r="254" ht="16.5" customHeight="1">
      <c r="A254" s="3"/>
      <c r="B254" s="2"/>
      <c r="C254" s="3"/>
      <c r="D254" s="2"/>
      <c r="E254" s="5"/>
      <c r="F254" s="4"/>
      <c r="G254" s="4"/>
      <c r="H254" s="4"/>
      <c r="I254" s="6"/>
      <c r="J254" s="4"/>
      <c r="K254" s="4"/>
      <c r="L254" s="6"/>
      <c r="M254" s="4"/>
      <c r="N254" s="4"/>
      <c r="O254" s="4"/>
      <c r="P254" s="4"/>
      <c r="Q254" s="4"/>
      <c r="R254" s="210"/>
      <c r="S254" s="7"/>
      <c r="T254" s="4"/>
      <c r="U254" s="4"/>
      <c r="V254" s="4"/>
      <c r="W254" s="4"/>
      <c r="X254" s="4"/>
      <c r="Y254" s="4"/>
      <c r="Z254" s="4"/>
    </row>
    <row r="255" ht="16.5" customHeight="1">
      <c r="A255" s="3"/>
      <c r="B255" s="2"/>
      <c r="C255" s="3"/>
      <c r="D255" s="2"/>
      <c r="E255" s="5"/>
      <c r="F255" s="4"/>
      <c r="G255" s="4"/>
      <c r="H255" s="4"/>
      <c r="I255" s="6"/>
      <c r="J255" s="4"/>
      <c r="K255" s="4"/>
      <c r="L255" s="6"/>
      <c r="M255" s="4"/>
      <c r="N255" s="4"/>
      <c r="O255" s="4"/>
      <c r="P255" s="4"/>
      <c r="Q255" s="4"/>
      <c r="R255" s="210"/>
      <c r="S255" s="7"/>
      <c r="T255" s="4"/>
      <c r="U255" s="4"/>
      <c r="V255" s="4"/>
      <c r="W255" s="4"/>
      <c r="X255" s="4"/>
      <c r="Y255" s="4"/>
      <c r="Z255" s="4"/>
    </row>
    <row r="256" ht="16.5" customHeight="1">
      <c r="A256" s="3"/>
      <c r="B256" s="2"/>
      <c r="C256" s="3"/>
      <c r="D256" s="2"/>
      <c r="E256" s="5"/>
      <c r="F256" s="4"/>
      <c r="G256" s="4"/>
      <c r="H256" s="4"/>
      <c r="I256" s="6"/>
      <c r="J256" s="4"/>
      <c r="K256" s="4"/>
      <c r="L256" s="6"/>
      <c r="M256" s="4"/>
      <c r="N256" s="4"/>
      <c r="O256" s="4"/>
      <c r="P256" s="4"/>
      <c r="Q256" s="4"/>
      <c r="R256" s="210"/>
      <c r="S256" s="7"/>
      <c r="T256" s="4"/>
      <c r="U256" s="4"/>
      <c r="V256" s="4"/>
      <c r="W256" s="4"/>
      <c r="X256" s="4"/>
      <c r="Y256" s="4"/>
      <c r="Z256" s="4"/>
    </row>
    <row r="257" ht="16.5" customHeight="1">
      <c r="A257" s="3"/>
      <c r="B257" s="2"/>
      <c r="C257" s="3"/>
      <c r="D257" s="2"/>
      <c r="E257" s="5"/>
      <c r="F257" s="4"/>
      <c r="G257" s="4"/>
      <c r="H257" s="4"/>
      <c r="I257" s="6"/>
      <c r="J257" s="4"/>
      <c r="K257" s="4"/>
      <c r="L257" s="6"/>
      <c r="M257" s="4"/>
      <c r="N257" s="4"/>
      <c r="O257" s="4"/>
      <c r="P257" s="4"/>
      <c r="Q257" s="4"/>
      <c r="R257" s="210"/>
      <c r="S257" s="7"/>
      <c r="T257" s="4"/>
      <c r="U257" s="4"/>
      <c r="V257" s="4"/>
      <c r="W257" s="4"/>
      <c r="X257" s="4"/>
      <c r="Y257" s="4"/>
      <c r="Z257" s="4"/>
    </row>
    <row r="258" ht="16.5" customHeight="1">
      <c r="A258" s="3"/>
      <c r="B258" s="2"/>
      <c r="C258" s="3"/>
      <c r="D258" s="2"/>
      <c r="E258" s="5"/>
      <c r="F258" s="4"/>
      <c r="G258" s="4"/>
      <c r="H258" s="4"/>
      <c r="I258" s="6"/>
      <c r="J258" s="4"/>
      <c r="K258" s="4"/>
      <c r="L258" s="6"/>
      <c r="M258" s="4"/>
      <c r="N258" s="4"/>
      <c r="O258" s="4"/>
      <c r="P258" s="4"/>
      <c r="Q258" s="4"/>
      <c r="R258" s="210"/>
      <c r="S258" s="7"/>
      <c r="T258" s="4"/>
      <c r="U258" s="4"/>
      <c r="V258" s="4"/>
      <c r="W258" s="4"/>
      <c r="X258" s="4"/>
      <c r="Y258" s="4"/>
      <c r="Z258" s="4"/>
    </row>
    <row r="259" ht="16.5" customHeight="1">
      <c r="A259" s="3"/>
      <c r="B259" s="2"/>
      <c r="C259" s="3"/>
      <c r="D259" s="2"/>
      <c r="E259" s="5"/>
      <c r="F259" s="4"/>
      <c r="G259" s="4"/>
      <c r="H259" s="4"/>
      <c r="I259" s="6"/>
      <c r="J259" s="4"/>
      <c r="K259" s="4"/>
      <c r="L259" s="6"/>
      <c r="M259" s="4"/>
      <c r="N259" s="4"/>
      <c r="O259" s="4"/>
      <c r="P259" s="4"/>
      <c r="Q259" s="4"/>
      <c r="R259" s="210"/>
      <c r="S259" s="7"/>
      <c r="T259" s="4"/>
      <c r="U259" s="4"/>
      <c r="V259" s="4"/>
      <c r="W259" s="4"/>
      <c r="X259" s="4"/>
      <c r="Y259" s="4"/>
      <c r="Z259" s="4"/>
    </row>
    <row r="260" ht="16.5" customHeight="1">
      <c r="A260" s="3"/>
      <c r="B260" s="2"/>
      <c r="C260" s="3"/>
      <c r="D260" s="2"/>
      <c r="E260" s="5"/>
      <c r="F260" s="4"/>
      <c r="G260" s="4"/>
      <c r="H260" s="4"/>
      <c r="I260" s="6"/>
      <c r="J260" s="4"/>
      <c r="K260" s="4"/>
      <c r="L260" s="6"/>
      <c r="M260" s="4"/>
      <c r="N260" s="4"/>
      <c r="O260" s="4"/>
      <c r="P260" s="4"/>
      <c r="Q260" s="4"/>
      <c r="R260" s="210"/>
      <c r="S260" s="7"/>
      <c r="T260" s="4"/>
      <c r="U260" s="4"/>
      <c r="V260" s="4"/>
      <c r="W260" s="4"/>
      <c r="X260" s="4"/>
      <c r="Y260" s="4"/>
      <c r="Z260" s="4"/>
    </row>
    <row r="261" ht="16.5" customHeight="1">
      <c r="A261" s="3"/>
      <c r="B261" s="2"/>
      <c r="C261" s="3"/>
      <c r="D261" s="2"/>
      <c r="E261" s="5"/>
      <c r="F261" s="4"/>
      <c r="G261" s="4"/>
      <c r="H261" s="4"/>
      <c r="I261" s="6"/>
      <c r="J261" s="4"/>
      <c r="K261" s="4"/>
      <c r="L261" s="6"/>
      <c r="M261" s="4"/>
      <c r="N261" s="4"/>
      <c r="O261" s="4"/>
      <c r="P261" s="4"/>
      <c r="Q261" s="4"/>
      <c r="R261" s="210"/>
      <c r="S261" s="7"/>
      <c r="T261" s="4"/>
      <c r="U261" s="4"/>
      <c r="V261" s="4"/>
      <c r="W261" s="4"/>
      <c r="X261" s="4"/>
      <c r="Y261" s="4"/>
      <c r="Z261" s="4"/>
    </row>
    <row r="262" ht="16.5" customHeight="1">
      <c r="A262" s="3"/>
      <c r="B262" s="2"/>
      <c r="C262" s="3"/>
      <c r="D262" s="2"/>
      <c r="E262" s="5"/>
      <c r="F262" s="4"/>
      <c r="G262" s="4"/>
      <c r="H262" s="4"/>
      <c r="I262" s="6"/>
      <c r="J262" s="4"/>
      <c r="K262" s="4"/>
      <c r="L262" s="6"/>
      <c r="M262" s="4"/>
      <c r="N262" s="4"/>
      <c r="O262" s="4"/>
      <c r="P262" s="4"/>
      <c r="Q262" s="4"/>
      <c r="R262" s="210"/>
      <c r="S262" s="7"/>
      <c r="T262" s="4"/>
      <c r="U262" s="4"/>
      <c r="V262" s="4"/>
      <c r="W262" s="4"/>
      <c r="X262" s="4"/>
      <c r="Y262" s="4"/>
      <c r="Z262" s="4"/>
    </row>
    <row r="263" ht="16.5" customHeight="1">
      <c r="A263" s="3"/>
      <c r="B263" s="2"/>
      <c r="C263" s="3"/>
      <c r="D263" s="2"/>
      <c r="E263" s="5"/>
      <c r="F263" s="4"/>
      <c r="G263" s="4"/>
      <c r="H263" s="4"/>
      <c r="I263" s="6"/>
      <c r="J263" s="4"/>
      <c r="K263" s="4"/>
      <c r="L263" s="6"/>
      <c r="M263" s="4"/>
      <c r="N263" s="4"/>
      <c r="O263" s="4"/>
      <c r="P263" s="4"/>
      <c r="Q263" s="4"/>
      <c r="R263" s="210"/>
      <c r="S263" s="7"/>
      <c r="T263" s="4"/>
      <c r="U263" s="4"/>
      <c r="V263" s="4"/>
      <c r="W263" s="4"/>
      <c r="X263" s="4"/>
      <c r="Y263" s="4"/>
      <c r="Z263" s="4"/>
    </row>
    <row r="264" ht="16.5" customHeight="1">
      <c r="A264" s="3"/>
      <c r="B264" s="2"/>
      <c r="C264" s="3"/>
      <c r="D264" s="2"/>
      <c r="E264" s="5"/>
      <c r="F264" s="4"/>
      <c r="G264" s="4"/>
      <c r="H264" s="4"/>
      <c r="I264" s="6"/>
      <c r="J264" s="4"/>
      <c r="K264" s="4"/>
      <c r="L264" s="6"/>
      <c r="M264" s="4"/>
      <c r="N264" s="4"/>
      <c r="O264" s="4"/>
      <c r="P264" s="4"/>
      <c r="Q264" s="4"/>
      <c r="R264" s="210"/>
      <c r="S264" s="7"/>
      <c r="T264" s="4"/>
      <c r="U264" s="4"/>
      <c r="V264" s="4"/>
      <c r="W264" s="4"/>
      <c r="X264" s="4"/>
      <c r="Y264" s="4"/>
      <c r="Z264" s="4"/>
    </row>
    <row r="265" ht="16.5" customHeight="1">
      <c r="A265" s="3"/>
      <c r="B265" s="2"/>
      <c r="C265" s="3"/>
      <c r="D265" s="2"/>
      <c r="E265" s="5"/>
      <c r="F265" s="4"/>
      <c r="G265" s="4"/>
      <c r="H265" s="4"/>
      <c r="I265" s="6"/>
      <c r="J265" s="4"/>
      <c r="K265" s="4"/>
      <c r="L265" s="6"/>
      <c r="M265" s="4"/>
      <c r="N265" s="4"/>
      <c r="O265" s="4"/>
      <c r="P265" s="4"/>
      <c r="Q265" s="4"/>
      <c r="R265" s="210"/>
      <c r="S265" s="7"/>
      <c r="T265" s="4"/>
      <c r="U265" s="4"/>
      <c r="V265" s="4"/>
      <c r="W265" s="4"/>
      <c r="X265" s="4"/>
      <c r="Y265" s="4"/>
      <c r="Z265" s="4"/>
    </row>
    <row r="266" ht="16.5" customHeight="1">
      <c r="A266" s="3"/>
      <c r="B266" s="2"/>
      <c r="C266" s="3"/>
      <c r="D266" s="2"/>
      <c r="E266" s="5"/>
      <c r="F266" s="4"/>
      <c r="G266" s="4"/>
      <c r="H266" s="4"/>
      <c r="I266" s="6"/>
      <c r="J266" s="4"/>
      <c r="K266" s="4"/>
      <c r="L266" s="6"/>
      <c r="M266" s="4"/>
      <c r="N266" s="4"/>
      <c r="O266" s="4"/>
      <c r="P266" s="4"/>
      <c r="Q266" s="4"/>
      <c r="R266" s="210"/>
      <c r="S266" s="7"/>
      <c r="T266" s="4"/>
      <c r="U266" s="4"/>
      <c r="V266" s="4"/>
      <c r="W266" s="4"/>
      <c r="X266" s="4"/>
      <c r="Y266" s="4"/>
      <c r="Z266" s="4"/>
    </row>
    <row r="267" ht="16.5" customHeight="1">
      <c r="A267" s="3"/>
      <c r="B267" s="2"/>
      <c r="C267" s="3"/>
      <c r="D267" s="2"/>
      <c r="E267" s="5"/>
      <c r="F267" s="4"/>
      <c r="G267" s="4"/>
      <c r="H267" s="4"/>
      <c r="I267" s="6"/>
      <c r="J267" s="4"/>
      <c r="K267" s="4"/>
      <c r="L267" s="6"/>
      <c r="M267" s="4"/>
      <c r="N267" s="4"/>
      <c r="O267" s="4"/>
      <c r="P267" s="4"/>
      <c r="Q267" s="4"/>
      <c r="R267" s="210"/>
      <c r="S267" s="7"/>
      <c r="T267" s="4"/>
      <c r="U267" s="4"/>
      <c r="V267" s="4"/>
      <c r="W267" s="4"/>
      <c r="X267" s="4"/>
      <c r="Y267" s="4"/>
      <c r="Z267" s="4"/>
    </row>
    <row r="268" ht="16.5" customHeight="1">
      <c r="A268" s="3"/>
      <c r="B268" s="2"/>
      <c r="C268" s="3"/>
      <c r="D268" s="2"/>
      <c r="E268" s="5"/>
      <c r="F268" s="4"/>
      <c r="G268" s="4"/>
      <c r="H268" s="4"/>
      <c r="I268" s="6"/>
      <c r="J268" s="4"/>
      <c r="K268" s="4"/>
      <c r="L268" s="6"/>
      <c r="M268" s="4"/>
      <c r="N268" s="4"/>
      <c r="O268" s="4"/>
      <c r="P268" s="4"/>
      <c r="Q268" s="4"/>
      <c r="R268" s="210"/>
      <c r="S268" s="7"/>
      <c r="T268" s="4"/>
      <c r="U268" s="4"/>
      <c r="V268" s="4"/>
      <c r="W268" s="4"/>
      <c r="X268" s="4"/>
      <c r="Y268" s="4"/>
      <c r="Z268" s="4"/>
    </row>
    <row r="269" ht="16.5" customHeight="1">
      <c r="A269" s="3"/>
      <c r="B269" s="2"/>
      <c r="C269" s="3"/>
      <c r="D269" s="2"/>
      <c r="E269" s="5"/>
      <c r="F269" s="4"/>
      <c r="G269" s="4"/>
      <c r="H269" s="4"/>
      <c r="I269" s="6"/>
      <c r="J269" s="4"/>
      <c r="K269" s="4"/>
      <c r="L269" s="6"/>
      <c r="M269" s="4"/>
      <c r="N269" s="4"/>
      <c r="O269" s="4"/>
      <c r="P269" s="4"/>
      <c r="Q269" s="4"/>
      <c r="R269" s="210"/>
      <c r="S269" s="7"/>
      <c r="T269" s="4"/>
      <c r="U269" s="4"/>
      <c r="V269" s="4"/>
      <c r="W269" s="4"/>
      <c r="X269" s="4"/>
      <c r="Y269" s="4"/>
      <c r="Z269" s="4"/>
    </row>
    <row r="270" ht="16.5" customHeight="1">
      <c r="A270" s="3"/>
      <c r="B270" s="2"/>
      <c r="C270" s="3"/>
      <c r="D270" s="2"/>
      <c r="E270" s="5"/>
      <c r="F270" s="4"/>
      <c r="G270" s="4"/>
      <c r="H270" s="4"/>
      <c r="I270" s="6"/>
      <c r="J270" s="4"/>
      <c r="K270" s="4"/>
      <c r="L270" s="6"/>
      <c r="M270" s="4"/>
      <c r="N270" s="4"/>
      <c r="O270" s="4"/>
      <c r="P270" s="4"/>
      <c r="Q270" s="4"/>
      <c r="R270" s="210"/>
      <c r="S270" s="7"/>
      <c r="T270" s="4"/>
      <c r="U270" s="4"/>
      <c r="V270" s="4"/>
      <c r="W270" s="4"/>
      <c r="X270" s="4"/>
      <c r="Y270" s="4"/>
      <c r="Z270" s="4"/>
    </row>
    <row r="271" ht="16.5" customHeight="1">
      <c r="A271" s="3"/>
      <c r="B271" s="2"/>
      <c r="C271" s="3"/>
      <c r="D271" s="2"/>
      <c r="E271" s="5"/>
      <c r="F271" s="4"/>
      <c r="G271" s="4"/>
      <c r="H271" s="4"/>
      <c r="I271" s="6"/>
      <c r="J271" s="4"/>
      <c r="K271" s="4"/>
      <c r="L271" s="6"/>
      <c r="M271" s="4"/>
      <c r="N271" s="4"/>
      <c r="O271" s="4"/>
      <c r="P271" s="4"/>
      <c r="Q271" s="4"/>
      <c r="R271" s="210"/>
      <c r="S271" s="7"/>
      <c r="T271" s="4"/>
      <c r="U271" s="4"/>
      <c r="V271" s="4"/>
      <c r="W271" s="4"/>
      <c r="X271" s="4"/>
      <c r="Y271" s="4"/>
      <c r="Z271" s="4"/>
    </row>
    <row r="272" ht="16.5" customHeight="1">
      <c r="A272" s="3"/>
      <c r="B272" s="2"/>
      <c r="C272" s="3"/>
      <c r="D272" s="2"/>
      <c r="E272" s="5"/>
      <c r="F272" s="4"/>
      <c r="G272" s="4"/>
      <c r="H272" s="4"/>
      <c r="I272" s="6"/>
      <c r="J272" s="4"/>
      <c r="K272" s="4"/>
      <c r="L272" s="6"/>
      <c r="M272" s="4"/>
      <c r="N272" s="4"/>
      <c r="O272" s="4"/>
      <c r="P272" s="4"/>
      <c r="Q272" s="4"/>
      <c r="R272" s="210"/>
      <c r="S272" s="7"/>
      <c r="T272" s="4"/>
      <c r="U272" s="4"/>
      <c r="V272" s="4"/>
      <c r="W272" s="4"/>
      <c r="X272" s="4"/>
      <c r="Y272" s="4"/>
      <c r="Z272" s="4"/>
    </row>
    <row r="273" ht="16.5" customHeight="1">
      <c r="A273" s="3"/>
      <c r="B273" s="2"/>
      <c r="C273" s="3"/>
      <c r="D273" s="2"/>
      <c r="E273" s="5"/>
      <c r="F273" s="4"/>
      <c r="G273" s="4"/>
      <c r="H273" s="4"/>
      <c r="I273" s="6"/>
      <c r="J273" s="4"/>
      <c r="K273" s="4"/>
      <c r="L273" s="6"/>
      <c r="M273" s="4"/>
      <c r="N273" s="4"/>
      <c r="O273" s="4"/>
      <c r="P273" s="4"/>
      <c r="Q273" s="4"/>
      <c r="R273" s="210"/>
      <c r="S273" s="7"/>
      <c r="T273" s="4"/>
      <c r="U273" s="4"/>
      <c r="V273" s="4"/>
      <c r="W273" s="4"/>
      <c r="X273" s="4"/>
      <c r="Y273" s="4"/>
      <c r="Z273" s="4"/>
    </row>
    <row r="274" ht="16.5" customHeight="1">
      <c r="A274" s="3"/>
      <c r="B274" s="2"/>
      <c r="C274" s="3"/>
      <c r="D274" s="2"/>
      <c r="E274" s="5"/>
      <c r="F274" s="4"/>
      <c r="G274" s="4"/>
      <c r="H274" s="4"/>
      <c r="I274" s="6"/>
      <c r="J274" s="4"/>
      <c r="K274" s="4"/>
      <c r="L274" s="6"/>
      <c r="M274" s="4"/>
      <c r="N274" s="4"/>
      <c r="O274" s="4"/>
      <c r="P274" s="4"/>
      <c r="Q274" s="4"/>
      <c r="R274" s="210"/>
      <c r="S274" s="7"/>
      <c r="T274" s="4"/>
      <c r="U274" s="4"/>
      <c r="V274" s="4"/>
      <c r="W274" s="4"/>
      <c r="X274" s="4"/>
      <c r="Y274" s="4"/>
      <c r="Z274" s="4"/>
    </row>
    <row r="275" ht="16.5" customHeight="1">
      <c r="A275" s="3"/>
      <c r="B275" s="2"/>
      <c r="C275" s="3"/>
      <c r="D275" s="2"/>
      <c r="E275" s="5"/>
      <c r="F275" s="4"/>
      <c r="G275" s="4"/>
      <c r="H275" s="4"/>
      <c r="I275" s="6"/>
      <c r="J275" s="4"/>
      <c r="K275" s="4"/>
      <c r="L275" s="6"/>
      <c r="M275" s="4"/>
      <c r="N275" s="4"/>
      <c r="O275" s="4"/>
      <c r="P275" s="4"/>
      <c r="Q275" s="4"/>
      <c r="R275" s="210"/>
      <c r="S275" s="7"/>
      <c r="T275" s="4"/>
      <c r="U275" s="4"/>
      <c r="V275" s="4"/>
      <c r="W275" s="4"/>
      <c r="X275" s="4"/>
      <c r="Y275" s="4"/>
      <c r="Z275" s="4"/>
    </row>
    <row r="276" ht="16.5" customHeight="1">
      <c r="A276" s="3"/>
      <c r="B276" s="2"/>
      <c r="C276" s="3"/>
      <c r="D276" s="2"/>
      <c r="E276" s="5"/>
      <c r="F276" s="4"/>
      <c r="G276" s="4"/>
      <c r="H276" s="4"/>
      <c r="I276" s="6"/>
      <c r="J276" s="4"/>
      <c r="K276" s="4"/>
      <c r="L276" s="6"/>
      <c r="M276" s="4"/>
      <c r="N276" s="4"/>
      <c r="O276" s="4"/>
      <c r="P276" s="4"/>
      <c r="Q276" s="4"/>
      <c r="R276" s="210"/>
      <c r="S276" s="7"/>
      <c r="T276" s="4"/>
      <c r="U276" s="4"/>
      <c r="V276" s="4"/>
      <c r="W276" s="4"/>
      <c r="X276" s="4"/>
      <c r="Y276" s="4"/>
      <c r="Z276" s="4"/>
    </row>
    <row r="277" ht="16.5" customHeight="1">
      <c r="A277" s="3"/>
      <c r="B277" s="2"/>
      <c r="C277" s="3"/>
      <c r="D277" s="2"/>
      <c r="E277" s="5"/>
      <c r="F277" s="4"/>
      <c r="G277" s="4"/>
      <c r="H277" s="4"/>
      <c r="I277" s="6"/>
      <c r="J277" s="4"/>
      <c r="K277" s="4"/>
      <c r="L277" s="6"/>
      <c r="M277" s="4"/>
      <c r="N277" s="4"/>
      <c r="O277" s="4"/>
      <c r="P277" s="4"/>
      <c r="Q277" s="4"/>
      <c r="R277" s="210"/>
      <c r="S277" s="7"/>
      <c r="T277" s="4"/>
      <c r="U277" s="4"/>
      <c r="V277" s="4"/>
      <c r="W277" s="4"/>
      <c r="X277" s="4"/>
      <c r="Y277" s="4"/>
      <c r="Z277" s="4"/>
    </row>
    <row r="278" ht="16.5" customHeight="1">
      <c r="A278" s="3"/>
      <c r="B278" s="2"/>
      <c r="C278" s="3"/>
      <c r="D278" s="2"/>
      <c r="E278" s="5"/>
      <c r="F278" s="4"/>
      <c r="G278" s="4"/>
      <c r="H278" s="4"/>
      <c r="I278" s="6"/>
      <c r="J278" s="4"/>
      <c r="K278" s="4"/>
      <c r="L278" s="6"/>
      <c r="M278" s="4"/>
      <c r="N278" s="4"/>
      <c r="O278" s="4"/>
      <c r="P278" s="4"/>
      <c r="Q278" s="4"/>
      <c r="R278" s="210"/>
      <c r="S278" s="7"/>
      <c r="T278" s="4"/>
      <c r="U278" s="4"/>
      <c r="V278" s="4"/>
      <c r="W278" s="4"/>
      <c r="X278" s="4"/>
      <c r="Y278" s="4"/>
      <c r="Z278" s="4"/>
    </row>
    <row r="279" ht="16.5" customHeight="1">
      <c r="A279" s="3"/>
      <c r="B279" s="2"/>
      <c r="C279" s="3"/>
      <c r="D279" s="2"/>
      <c r="E279" s="5"/>
      <c r="F279" s="4"/>
      <c r="G279" s="4"/>
      <c r="H279" s="4"/>
      <c r="I279" s="6"/>
      <c r="J279" s="4"/>
      <c r="K279" s="4"/>
      <c r="L279" s="6"/>
      <c r="M279" s="4"/>
      <c r="N279" s="4"/>
      <c r="O279" s="4"/>
      <c r="P279" s="4"/>
      <c r="Q279" s="4"/>
      <c r="R279" s="210"/>
      <c r="S279" s="7"/>
      <c r="T279" s="4"/>
      <c r="U279" s="4"/>
      <c r="V279" s="4"/>
      <c r="W279" s="4"/>
      <c r="X279" s="4"/>
      <c r="Y279" s="4"/>
      <c r="Z279" s="4"/>
    </row>
    <row r="280" ht="16.5" customHeight="1">
      <c r="A280" s="3"/>
      <c r="B280" s="2"/>
      <c r="C280" s="3"/>
      <c r="D280" s="2"/>
      <c r="E280" s="5"/>
      <c r="F280" s="4"/>
      <c r="G280" s="4"/>
      <c r="H280" s="4"/>
      <c r="I280" s="6"/>
      <c r="J280" s="4"/>
      <c r="K280" s="4"/>
      <c r="L280" s="6"/>
      <c r="M280" s="4"/>
      <c r="N280" s="4"/>
      <c r="O280" s="4"/>
      <c r="P280" s="4"/>
      <c r="Q280" s="4"/>
      <c r="R280" s="210"/>
      <c r="S280" s="7"/>
      <c r="T280" s="4"/>
      <c r="U280" s="4"/>
      <c r="V280" s="4"/>
      <c r="W280" s="4"/>
      <c r="X280" s="4"/>
      <c r="Y280" s="4"/>
      <c r="Z280" s="4"/>
    </row>
    <row r="281" ht="16.5" customHeight="1">
      <c r="A281" s="3"/>
      <c r="B281" s="2"/>
      <c r="C281" s="3"/>
      <c r="D281" s="2"/>
      <c r="E281" s="5"/>
      <c r="F281" s="4"/>
      <c r="G281" s="4"/>
      <c r="H281" s="4"/>
      <c r="I281" s="6"/>
      <c r="J281" s="4"/>
      <c r="K281" s="4"/>
      <c r="L281" s="6"/>
      <c r="M281" s="4"/>
      <c r="N281" s="4"/>
      <c r="O281" s="4"/>
      <c r="P281" s="4"/>
      <c r="Q281" s="4"/>
      <c r="R281" s="210"/>
      <c r="S281" s="7"/>
      <c r="T281" s="4"/>
      <c r="U281" s="4"/>
      <c r="V281" s="4"/>
      <c r="W281" s="4"/>
      <c r="X281" s="4"/>
      <c r="Y281" s="4"/>
      <c r="Z281" s="4"/>
    </row>
    <row r="282" ht="16.5" customHeight="1">
      <c r="A282" s="3"/>
      <c r="B282" s="2"/>
      <c r="C282" s="3"/>
      <c r="D282" s="2"/>
      <c r="E282" s="5"/>
      <c r="F282" s="4"/>
      <c r="G282" s="4"/>
      <c r="H282" s="4"/>
      <c r="I282" s="6"/>
      <c r="J282" s="4"/>
      <c r="K282" s="4"/>
      <c r="L282" s="6"/>
      <c r="M282" s="4"/>
      <c r="N282" s="4"/>
      <c r="O282" s="4"/>
      <c r="P282" s="4"/>
      <c r="Q282" s="4"/>
      <c r="R282" s="210"/>
      <c r="S282" s="7"/>
      <c r="T282" s="4"/>
      <c r="U282" s="4"/>
      <c r="V282" s="4"/>
      <c r="W282" s="4"/>
      <c r="X282" s="4"/>
      <c r="Y282" s="4"/>
      <c r="Z282" s="4"/>
    </row>
    <row r="283" ht="16.5" customHeight="1">
      <c r="A283" s="3"/>
      <c r="B283" s="2"/>
      <c r="C283" s="3"/>
      <c r="D283" s="2"/>
      <c r="E283" s="5"/>
      <c r="F283" s="4"/>
      <c r="G283" s="4"/>
      <c r="H283" s="4"/>
      <c r="I283" s="6"/>
      <c r="J283" s="4"/>
      <c r="K283" s="4"/>
      <c r="L283" s="6"/>
      <c r="M283" s="4"/>
      <c r="N283" s="4"/>
      <c r="O283" s="4"/>
      <c r="P283" s="4"/>
      <c r="Q283" s="4"/>
      <c r="R283" s="210"/>
      <c r="S283" s="7"/>
      <c r="T283" s="4"/>
      <c r="U283" s="4"/>
      <c r="V283" s="4"/>
      <c r="W283" s="4"/>
      <c r="X283" s="4"/>
      <c r="Y283" s="4"/>
      <c r="Z283" s="4"/>
    </row>
    <row r="284" ht="16.5" customHeight="1">
      <c r="A284" s="3"/>
      <c r="B284" s="2"/>
      <c r="C284" s="3"/>
      <c r="D284" s="2"/>
      <c r="E284" s="5"/>
      <c r="F284" s="4"/>
      <c r="G284" s="4"/>
      <c r="H284" s="4"/>
      <c r="I284" s="6"/>
      <c r="J284" s="4"/>
      <c r="K284" s="4"/>
      <c r="L284" s="6"/>
      <c r="M284" s="4"/>
      <c r="N284" s="4"/>
      <c r="O284" s="4"/>
      <c r="P284" s="4"/>
      <c r="Q284" s="4"/>
      <c r="R284" s="210"/>
      <c r="S284" s="7"/>
      <c r="T284" s="4"/>
      <c r="U284" s="4"/>
      <c r="V284" s="4"/>
      <c r="W284" s="4"/>
      <c r="X284" s="4"/>
      <c r="Y284" s="4"/>
      <c r="Z284" s="4"/>
    </row>
    <row r="285" ht="16.5" customHeight="1">
      <c r="A285" s="3"/>
      <c r="B285" s="2"/>
      <c r="C285" s="3"/>
      <c r="D285" s="2"/>
      <c r="E285" s="5"/>
      <c r="F285" s="4"/>
      <c r="G285" s="4"/>
      <c r="H285" s="4"/>
      <c r="I285" s="6"/>
      <c r="J285" s="4"/>
      <c r="K285" s="4"/>
      <c r="L285" s="6"/>
      <c r="M285" s="4"/>
      <c r="N285" s="4"/>
      <c r="O285" s="4"/>
      <c r="P285" s="4"/>
      <c r="Q285" s="4"/>
      <c r="R285" s="210"/>
      <c r="S285" s="7"/>
      <c r="T285" s="4"/>
      <c r="U285" s="4"/>
      <c r="V285" s="4"/>
      <c r="W285" s="4"/>
      <c r="X285" s="4"/>
      <c r="Y285" s="4"/>
      <c r="Z285" s="4"/>
    </row>
    <row r="286" ht="16.5" customHeight="1">
      <c r="A286" s="3"/>
      <c r="B286" s="2"/>
      <c r="C286" s="3"/>
      <c r="D286" s="2"/>
      <c r="E286" s="5"/>
      <c r="F286" s="4"/>
      <c r="G286" s="4"/>
      <c r="H286" s="4"/>
      <c r="I286" s="6"/>
      <c r="J286" s="4"/>
      <c r="K286" s="4"/>
      <c r="L286" s="6"/>
      <c r="M286" s="4"/>
      <c r="N286" s="4"/>
      <c r="O286" s="4"/>
      <c r="P286" s="4"/>
      <c r="Q286" s="4"/>
      <c r="R286" s="210"/>
      <c r="S286" s="7"/>
      <c r="T286" s="4"/>
      <c r="U286" s="4"/>
      <c r="V286" s="4"/>
      <c r="W286" s="4"/>
      <c r="X286" s="4"/>
      <c r="Y286" s="4"/>
      <c r="Z286" s="4"/>
    </row>
    <row r="287" ht="16.5" customHeight="1">
      <c r="A287" s="3"/>
      <c r="B287" s="2"/>
      <c r="C287" s="3"/>
      <c r="D287" s="2"/>
      <c r="E287" s="5"/>
      <c r="F287" s="4"/>
      <c r="G287" s="4"/>
      <c r="H287" s="4"/>
      <c r="I287" s="6"/>
      <c r="J287" s="4"/>
      <c r="K287" s="4"/>
      <c r="L287" s="6"/>
      <c r="M287" s="4"/>
      <c r="N287" s="4"/>
      <c r="O287" s="4"/>
      <c r="P287" s="4"/>
      <c r="Q287" s="4"/>
      <c r="R287" s="210"/>
      <c r="S287" s="7"/>
      <c r="T287" s="4"/>
      <c r="U287" s="4"/>
      <c r="V287" s="4"/>
      <c r="W287" s="4"/>
      <c r="X287" s="4"/>
      <c r="Y287" s="4"/>
      <c r="Z287" s="4"/>
    </row>
    <row r="288" ht="16.5" customHeight="1">
      <c r="A288" s="3"/>
      <c r="B288" s="2"/>
      <c r="C288" s="3"/>
      <c r="D288" s="2"/>
      <c r="E288" s="5"/>
      <c r="F288" s="4"/>
      <c r="G288" s="4"/>
      <c r="H288" s="4"/>
      <c r="I288" s="6"/>
      <c r="J288" s="4"/>
      <c r="K288" s="4"/>
      <c r="L288" s="6"/>
      <c r="M288" s="4"/>
      <c r="N288" s="4"/>
      <c r="O288" s="4"/>
      <c r="P288" s="4"/>
      <c r="Q288" s="4"/>
      <c r="R288" s="210"/>
      <c r="S288" s="7"/>
      <c r="T288" s="4"/>
      <c r="U288" s="4"/>
      <c r="V288" s="4"/>
      <c r="W288" s="4"/>
      <c r="X288" s="4"/>
      <c r="Y288" s="4"/>
      <c r="Z288" s="4"/>
    </row>
    <row r="289" ht="16.5" customHeight="1">
      <c r="A289" s="3"/>
      <c r="B289" s="2"/>
      <c r="C289" s="3"/>
      <c r="D289" s="2"/>
      <c r="E289" s="5"/>
      <c r="F289" s="4"/>
      <c r="G289" s="4"/>
      <c r="H289" s="4"/>
      <c r="I289" s="6"/>
      <c r="J289" s="4"/>
      <c r="K289" s="4"/>
      <c r="L289" s="6"/>
      <c r="M289" s="4"/>
      <c r="N289" s="4"/>
      <c r="O289" s="4"/>
      <c r="P289" s="4"/>
      <c r="Q289" s="4"/>
      <c r="R289" s="210"/>
      <c r="S289" s="7"/>
      <c r="T289" s="4"/>
      <c r="U289" s="4"/>
      <c r="V289" s="4"/>
      <c r="W289" s="4"/>
      <c r="X289" s="4"/>
      <c r="Y289" s="4"/>
      <c r="Z289" s="4"/>
    </row>
    <row r="290" ht="16.5" customHeight="1">
      <c r="A290" s="3"/>
      <c r="B290" s="2"/>
      <c r="C290" s="3"/>
      <c r="D290" s="2"/>
      <c r="E290" s="5"/>
      <c r="F290" s="4"/>
      <c r="G290" s="4"/>
      <c r="H290" s="4"/>
      <c r="I290" s="6"/>
      <c r="J290" s="4"/>
      <c r="K290" s="4"/>
      <c r="L290" s="6"/>
      <c r="M290" s="4"/>
      <c r="N290" s="4"/>
      <c r="O290" s="4"/>
      <c r="P290" s="4"/>
      <c r="Q290" s="4"/>
      <c r="R290" s="210"/>
      <c r="S290" s="7"/>
      <c r="T290" s="4"/>
      <c r="U290" s="4"/>
      <c r="V290" s="4"/>
      <c r="W290" s="4"/>
      <c r="X290" s="4"/>
      <c r="Y290" s="4"/>
      <c r="Z290" s="4"/>
    </row>
    <row r="291" ht="16.5" customHeight="1">
      <c r="A291" s="3"/>
      <c r="B291" s="2"/>
      <c r="C291" s="3"/>
      <c r="D291" s="2"/>
      <c r="E291" s="5"/>
      <c r="F291" s="4"/>
      <c r="G291" s="4"/>
      <c r="H291" s="4"/>
      <c r="I291" s="6"/>
      <c r="J291" s="4"/>
      <c r="K291" s="4"/>
      <c r="L291" s="6"/>
      <c r="M291" s="4"/>
      <c r="N291" s="4"/>
      <c r="O291" s="4"/>
      <c r="P291" s="4"/>
      <c r="Q291" s="4"/>
      <c r="R291" s="210"/>
      <c r="S291" s="7"/>
      <c r="T291" s="4"/>
      <c r="U291" s="4"/>
      <c r="V291" s="4"/>
      <c r="W291" s="4"/>
      <c r="X291" s="4"/>
      <c r="Y291" s="4"/>
      <c r="Z291" s="4"/>
    </row>
    <row r="292" ht="16.5" customHeight="1">
      <c r="A292" s="3"/>
      <c r="B292" s="2"/>
      <c r="C292" s="3"/>
      <c r="D292" s="2"/>
      <c r="E292" s="5"/>
      <c r="F292" s="4"/>
      <c r="G292" s="4"/>
      <c r="H292" s="4"/>
      <c r="I292" s="6"/>
      <c r="J292" s="4"/>
      <c r="K292" s="4"/>
      <c r="L292" s="6"/>
      <c r="M292" s="4"/>
      <c r="N292" s="4"/>
      <c r="O292" s="4"/>
      <c r="P292" s="4"/>
      <c r="Q292" s="4"/>
      <c r="R292" s="210"/>
      <c r="S292" s="7"/>
      <c r="T292" s="4"/>
      <c r="U292" s="4"/>
      <c r="V292" s="4"/>
      <c r="W292" s="4"/>
      <c r="X292" s="4"/>
      <c r="Y292" s="4"/>
      <c r="Z292" s="4"/>
    </row>
    <row r="293" ht="16.5" customHeight="1">
      <c r="A293" s="3"/>
      <c r="B293" s="2"/>
      <c r="C293" s="3"/>
      <c r="D293" s="2"/>
      <c r="E293" s="5"/>
      <c r="F293" s="4"/>
      <c r="G293" s="4"/>
      <c r="H293" s="4"/>
      <c r="I293" s="6"/>
      <c r="J293" s="4"/>
      <c r="K293" s="4"/>
      <c r="L293" s="6"/>
      <c r="M293" s="4"/>
      <c r="N293" s="4"/>
      <c r="O293" s="4"/>
      <c r="P293" s="4"/>
      <c r="Q293" s="4"/>
      <c r="R293" s="210"/>
      <c r="S293" s="7"/>
      <c r="T293" s="4"/>
      <c r="U293" s="4"/>
      <c r="V293" s="4"/>
      <c r="W293" s="4"/>
      <c r="X293" s="4"/>
      <c r="Y293" s="4"/>
      <c r="Z293" s="4"/>
    </row>
    <row r="294" ht="16.5" customHeight="1">
      <c r="A294" s="3"/>
      <c r="B294" s="2"/>
      <c r="C294" s="3"/>
      <c r="D294" s="2"/>
      <c r="E294" s="5"/>
      <c r="F294" s="4"/>
      <c r="G294" s="4"/>
      <c r="H294" s="4"/>
      <c r="I294" s="6"/>
      <c r="J294" s="4"/>
      <c r="K294" s="4"/>
      <c r="L294" s="6"/>
      <c r="M294" s="4"/>
      <c r="N294" s="4"/>
      <c r="O294" s="4"/>
      <c r="P294" s="4"/>
      <c r="Q294" s="4"/>
      <c r="R294" s="210"/>
      <c r="S294" s="7"/>
      <c r="T294" s="4"/>
      <c r="U294" s="4"/>
      <c r="V294" s="4"/>
      <c r="W294" s="4"/>
      <c r="X294" s="4"/>
      <c r="Y294" s="4"/>
      <c r="Z294" s="4"/>
    </row>
    <row r="295" ht="16.5" customHeight="1">
      <c r="A295" s="3"/>
      <c r="B295" s="2"/>
      <c r="C295" s="3"/>
      <c r="D295" s="2"/>
      <c r="E295" s="5"/>
      <c r="F295" s="4"/>
      <c r="G295" s="4"/>
      <c r="H295" s="4"/>
      <c r="I295" s="6"/>
      <c r="J295" s="4"/>
      <c r="K295" s="4"/>
      <c r="L295" s="6"/>
      <c r="M295" s="4"/>
      <c r="N295" s="4"/>
      <c r="O295" s="4"/>
      <c r="P295" s="4"/>
      <c r="Q295" s="4"/>
      <c r="R295" s="210"/>
      <c r="S295" s="7"/>
      <c r="T295" s="4"/>
      <c r="U295" s="4"/>
      <c r="V295" s="4"/>
      <c r="W295" s="4"/>
      <c r="X295" s="4"/>
      <c r="Y295" s="4"/>
      <c r="Z295" s="4"/>
    </row>
    <row r="296" ht="16.5" customHeight="1">
      <c r="A296" s="3"/>
      <c r="B296" s="2"/>
      <c r="C296" s="3"/>
      <c r="D296" s="2"/>
      <c r="E296" s="5"/>
      <c r="F296" s="4"/>
      <c r="G296" s="4"/>
      <c r="H296" s="4"/>
      <c r="I296" s="6"/>
      <c r="J296" s="4"/>
      <c r="K296" s="4"/>
      <c r="L296" s="6"/>
      <c r="M296" s="4"/>
      <c r="N296" s="4"/>
      <c r="O296" s="4"/>
      <c r="P296" s="4"/>
      <c r="Q296" s="4"/>
      <c r="R296" s="210"/>
      <c r="S296" s="7"/>
      <c r="T296" s="4"/>
      <c r="U296" s="4"/>
      <c r="V296" s="4"/>
      <c r="W296" s="4"/>
      <c r="X296" s="4"/>
      <c r="Y296" s="4"/>
      <c r="Z296" s="4"/>
    </row>
    <row r="297" ht="16.5" customHeight="1">
      <c r="A297" s="3"/>
      <c r="B297" s="2"/>
      <c r="C297" s="3"/>
      <c r="D297" s="2"/>
      <c r="E297" s="5"/>
      <c r="F297" s="4"/>
      <c r="G297" s="4"/>
      <c r="H297" s="4"/>
      <c r="I297" s="6"/>
      <c r="J297" s="4"/>
      <c r="K297" s="4"/>
      <c r="L297" s="6"/>
      <c r="M297" s="4"/>
      <c r="N297" s="4"/>
      <c r="O297" s="4"/>
      <c r="P297" s="4"/>
      <c r="Q297" s="4"/>
      <c r="R297" s="210"/>
      <c r="S297" s="7"/>
      <c r="T297" s="4"/>
      <c r="U297" s="4"/>
      <c r="V297" s="4"/>
      <c r="W297" s="4"/>
      <c r="X297" s="4"/>
      <c r="Y297" s="4"/>
      <c r="Z297" s="4"/>
    </row>
    <row r="298" ht="16.5" customHeight="1">
      <c r="A298" s="3"/>
      <c r="B298" s="2"/>
      <c r="C298" s="3"/>
      <c r="D298" s="2"/>
      <c r="E298" s="5"/>
      <c r="F298" s="4"/>
      <c r="G298" s="4"/>
      <c r="H298" s="4"/>
      <c r="I298" s="6"/>
      <c r="J298" s="4"/>
      <c r="K298" s="4"/>
      <c r="L298" s="6"/>
      <c r="M298" s="4"/>
      <c r="N298" s="4"/>
      <c r="O298" s="4"/>
      <c r="P298" s="4"/>
      <c r="Q298" s="4"/>
      <c r="R298" s="210"/>
      <c r="S298" s="7"/>
      <c r="T298" s="4"/>
      <c r="U298" s="4"/>
      <c r="V298" s="4"/>
      <c r="W298" s="4"/>
      <c r="X298" s="4"/>
      <c r="Y298" s="4"/>
      <c r="Z298" s="4"/>
    </row>
    <row r="299" ht="16.5" customHeight="1">
      <c r="A299" s="3"/>
      <c r="B299" s="2"/>
      <c r="C299" s="3"/>
      <c r="D299" s="2"/>
      <c r="E299" s="5"/>
      <c r="F299" s="4"/>
      <c r="G299" s="4"/>
      <c r="H299" s="4"/>
      <c r="I299" s="6"/>
      <c r="J299" s="4"/>
      <c r="K299" s="4"/>
      <c r="L299" s="6"/>
      <c r="M299" s="4"/>
      <c r="N299" s="4"/>
      <c r="O299" s="4"/>
      <c r="P299" s="4"/>
      <c r="Q299" s="4"/>
      <c r="R299" s="210"/>
      <c r="S299" s="7"/>
      <c r="T299" s="4"/>
      <c r="U299" s="4"/>
      <c r="V299" s="4"/>
      <c r="W299" s="4"/>
      <c r="X299" s="4"/>
      <c r="Y299" s="4"/>
      <c r="Z299" s="4"/>
    </row>
    <row r="300" ht="16.5" customHeight="1">
      <c r="A300" s="3"/>
      <c r="B300" s="2"/>
      <c r="C300" s="3"/>
      <c r="D300" s="2"/>
      <c r="E300" s="5"/>
      <c r="F300" s="4"/>
      <c r="G300" s="4"/>
      <c r="H300" s="4"/>
      <c r="I300" s="6"/>
      <c r="J300" s="4"/>
      <c r="K300" s="4"/>
      <c r="L300" s="6"/>
      <c r="M300" s="4"/>
      <c r="N300" s="4"/>
      <c r="O300" s="4"/>
      <c r="P300" s="4"/>
      <c r="Q300" s="4"/>
      <c r="R300" s="210"/>
      <c r="S300" s="7"/>
      <c r="T300" s="4"/>
      <c r="U300" s="4"/>
      <c r="V300" s="4"/>
      <c r="W300" s="4"/>
      <c r="X300" s="4"/>
      <c r="Y300" s="4"/>
      <c r="Z300" s="4"/>
    </row>
    <row r="301" ht="16.5" customHeight="1">
      <c r="A301" s="3"/>
      <c r="B301" s="2"/>
      <c r="C301" s="3"/>
      <c r="D301" s="2"/>
      <c r="E301" s="5"/>
      <c r="F301" s="4"/>
      <c r="G301" s="4"/>
      <c r="H301" s="4"/>
      <c r="I301" s="6"/>
      <c r="J301" s="4"/>
      <c r="K301" s="4"/>
      <c r="L301" s="6"/>
      <c r="M301" s="4"/>
      <c r="N301" s="4"/>
      <c r="O301" s="4"/>
      <c r="P301" s="4"/>
      <c r="Q301" s="4"/>
      <c r="R301" s="210"/>
      <c r="S301" s="7"/>
      <c r="T301" s="4"/>
      <c r="U301" s="4"/>
      <c r="V301" s="4"/>
      <c r="W301" s="4"/>
      <c r="X301" s="4"/>
      <c r="Y301" s="4"/>
      <c r="Z301" s="4"/>
    </row>
    <row r="302" ht="16.5" customHeight="1">
      <c r="A302" s="3"/>
      <c r="B302" s="2"/>
      <c r="C302" s="3"/>
      <c r="D302" s="2"/>
      <c r="E302" s="5"/>
      <c r="F302" s="4"/>
      <c r="G302" s="4"/>
      <c r="H302" s="4"/>
      <c r="I302" s="6"/>
      <c r="J302" s="4"/>
      <c r="K302" s="4"/>
      <c r="L302" s="6"/>
      <c r="M302" s="4"/>
      <c r="N302" s="4"/>
      <c r="O302" s="4"/>
      <c r="P302" s="4"/>
      <c r="Q302" s="4"/>
      <c r="R302" s="210"/>
      <c r="S302" s="7"/>
      <c r="T302" s="4"/>
      <c r="U302" s="4"/>
      <c r="V302" s="4"/>
      <c r="W302" s="4"/>
      <c r="X302" s="4"/>
      <c r="Y302" s="4"/>
      <c r="Z302" s="4"/>
    </row>
    <row r="303" ht="16.5" customHeight="1">
      <c r="A303" s="3"/>
      <c r="B303" s="2"/>
      <c r="C303" s="3"/>
      <c r="D303" s="2"/>
      <c r="E303" s="5"/>
      <c r="F303" s="4"/>
      <c r="G303" s="4"/>
      <c r="H303" s="4"/>
      <c r="I303" s="6"/>
      <c r="J303" s="4"/>
      <c r="K303" s="4"/>
      <c r="L303" s="6"/>
      <c r="M303" s="4"/>
      <c r="N303" s="4"/>
      <c r="O303" s="4"/>
      <c r="P303" s="4"/>
      <c r="Q303" s="4"/>
      <c r="R303" s="210"/>
      <c r="S303" s="7"/>
      <c r="T303" s="4"/>
      <c r="U303" s="4"/>
      <c r="V303" s="4"/>
      <c r="W303" s="4"/>
      <c r="X303" s="4"/>
      <c r="Y303" s="4"/>
      <c r="Z303" s="4"/>
    </row>
    <row r="304" ht="16.5" customHeight="1">
      <c r="A304" s="3"/>
      <c r="B304" s="2"/>
      <c r="C304" s="3"/>
      <c r="D304" s="2"/>
      <c r="E304" s="5"/>
      <c r="F304" s="4"/>
      <c r="G304" s="4"/>
      <c r="H304" s="4"/>
      <c r="I304" s="6"/>
      <c r="J304" s="4"/>
      <c r="K304" s="4"/>
      <c r="L304" s="6"/>
      <c r="M304" s="4"/>
      <c r="N304" s="4"/>
      <c r="O304" s="4"/>
      <c r="P304" s="4"/>
      <c r="Q304" s="4"/>
      <c r="R304" s="210"/>
      <c r="S304" s="7"/>
      <c r="T304" s="4"/>
      <c r="U304" s="4"/>
      <c r="V304" s="4"/>
      <c r="W304" s="4"/>
      <c r="X304" s="4"/>
      <c r="Y304" s="4"/>
      <c r="Z304" s="4"/>
    </row>
    <row r="305" ht="16.5" customHeight="1">
      <c r="A305" s="3"/>
      <c r="B305" s="2"/>
      <c r="C305" s="3"/>
      <c r="D305" s="2"/>
      <c r="E305" s="5"/>
      <c r="F305" s="4"/>
      <c r="G305" s="4"/>
      <c r="H305" s="4"/>
      <c r="I305" s="6"/>
      <c r="J305" s="4"/>
      <c r="K305" s="4"/>
      <c r="L305" s="6"/>
      <c r="M305" s="4"/>
      <c r="N305" s="4"/>
      <c r="O305" s="4"/>
      <c r="P305" s="4"/>
      <c r="Q305" s="4"/>
      <c r="R305" s="210"/>
      <c r="S305" s="7"/>
      <c r="T305" s="4"/>
      <c r="U305" s="4"/>
      <c r="V305" s="4"/>
      <c r="W305" s="4"/>
      <c r="X305" s="4"/>
      <c r="Y305" s="4"/>
      <c r="Z305" s="4"/>
    </row>
    <row r="306" ht="16.5" customHeight="1">
      <c r="A306" s="3"/>
      <c r="B306" s="2"/>
      <c r="C306" s="3"/>
      <c r="D306" s="2"/>
      <c r="E306" s="5"/>
      <c r="F306" s="4"/>
      <c r="G306" s="4"/>
      <c r="H306" s="4"/>
      <c r="I306" s="6"/>
      <c r="J306" s="4"/>
      <c r="K306" s="4"/>
      <c r="L306" s="6"/>
      <c r="M306" s="4"/>
      <c r="N306" s="4"/>
      <c r="O306" s="4"/>
      <c r="P306" s="4"/>
      <c r="Q306" s="4"/>
      <c r="R306" s="210"/>
      <c r="S306" s="7"/>
      <c r="T306" s="4"/>
      <c r="U306" s="4"/>
      <c r="V306" s="4"/>
      <c r="W306" s="4"/>
      <c r="X306" s="4"/>
      <c r="Y306" s="4"/>
      <c r="Z306" s="4"/>
    </row>
    <row r="307" ht="16.5" customHeight="1">
      <c r="A307" s="3"/>
      <c r="B307" s="2"/>
      <c r="C307" s="3"/>
      <c r="D307" s="2"/>
      <c r="E307" s="5"/>
      <c r="F307" s="4"/>
      <c r="G307" s="4"/>
      <c r="H307" s="4"/>
      <c r="I307" s="6"/>
      <c r="J307" s="4"/>
      <c r="K307" s="4"/>
      <c r="L307" s="6"/>
      <c r="M307" s="4"/>
      <c r="N307" s="4"/>
      <c r="O307" s="4"/>
      <c r="P307" s="4"/>
      <c r="Q307" s="4"/>
      <c r="R307" s="210"/>
      <c r="S307" s="7"/>
      <c r="T307" s="4"/>
      <c r="U307" s="4"/>
      <c r="V307" s="4"/>
      <c r="W307" s="4"/>
      <c r="X307" s="4"/>
      <c r="Y307" s="4"/>
      <c r="Z307" s="4"/>
    </row>
    <row r="308" ht="16.5" customHeight="1">
      <c r="A308" s="3"/>
      <c r="B308" s="2"/>
      <c r="C308" s="3"/>
      <c r="D308" s="2"/>
      <c r="E308" s="5"/>
      <c r="F308" s="4"/>
      <c r="G308" s="4"/>
      <c r="H308" s="4"/>
      <c r="I308" s="6"/>
      <c r="J308" s="4"/>
      <c r="K308" s="4"/>
      <c r="L308" s="6"/>
      <c r="M308" s="4"/>
      <c r="N308" s="4"/>
      <c r="O308" s="4"/>
      <c r="P308" s="4"/>
      <c r="Q308" s="4"/>
      <c r="R308" s="210"/>
      <c r="S308" s="7"/>
      <c r="T308" s="4"/>
      <c r="U308" s="4"/>
      <c r="V308" s="4"/>
      <c r="W308" s="4"/>
      <c r="X308" s="4"/>
      <c r="Y308" s="4"/>
      <c r="Z308" s="4"/>
    </row>
    <row r="309" ht="16.5" customHeight="1">
      <c r="A309" s="3"/>
      <c r="B309" s="2"/>
      <c r="C309" s="3"/>
      <c r="D309" s="2"/>
      <c r="E309" s="5"/>
      <c r="F309" s="4"/>
      <c r="G309" s="4"/>
      <c r="H309" s="4"/>
      <c r="I309" s="6"/>
      <c r="J309" s="4"/>
      <c r="K309" s="4"/>
      <c r="L309" s="6"/>
      <c r="M309" s="4"/>
      <c r="N309" s="4"/>
      <c r="O309" s="4"/>
      <c r="P309" s="4"/>
      <c r="Q309" s="4"/>
      <c r="R309" s="210"/>
      <c r="S309" s="7"/>
      <c r="T309" s="4"/>
      <c r="U309" s="4"/>
      <c r="V309" s="4"/>
      <c r="W309" s="4"/>
      <c r="X309" s="4"/>
      <c r="Y309" s="4"/>
      <c r="Z309" s="4"/>
    </row>
    <row r="310" ht="16.5" customHeight="1">
      <c r="A310" s="3"/>
      <c r="B310" s="2"/>
      <c r="C310" s="3"/>
      <c r="D310" s="2"/>
      <c r="E310" s="5"/>
      <c r="F310" s="4"/>
      <c r="G310" s="4"/>
      <c r="H310" s="4"/>
      <c r="I310" s="6"/>
      <c r="J310" s="4"/>
      <c r="K310" s="4"/>
      <c r="L310" s="6"/>
      <c r="M310" s="4"/>
      <c r="N310" s="4"/>
      <c r="O310" s="4"/>
      <c r="P310" s="4"/>
      <c r="Q310" s="4"/>
      <c r="R310" s="210"/>
      <c r="S310" s="7"/>
      <c r="T310" s="4"/>
      <c r="U310" s="4"/>
      <c r="V310" s="4"/>
      <c r="W310" s="4"/>
      <c r="X310" s="4"/>
      <c r="Y310" s="4"/>
      <c r="Z310" s="4"/>
    </row>
    <row r="311" ht="16.5" customHeight="1">
      <c r="A311" s="3"/>
      <c r="B311" s="2"/>
      <c r="C311" s="3"/>
      <c r="D311" s="2"/>
      <c r="E311" s="5"/>
      <c r="F311" s="4"/>
      <c r="G311" s="4"/>
      <c r="H311" s="4"/>
      <c r="I311" s="6"/>
      <c r="J311" s="4"/>
      <c r="K311" s="4"/>
      <c r="L311" s="6"/>
      <c r="M311" s="4"/>
      <c r="N311" s="4"/>
      <c r="O311" s="4"/>
      <c r="P311" s="4"/>
      <c r="Q311" s="4"/>
      <c r="R311" s="210"/>
      <c r="S311" s="7"/>
      <c r="T311" s="4"/>
      <c r="U311" s="4"/>
      <c r="V311" s="4"/>
      <c r="W311" s="4"/>
      <c r="X311" s="4"/>
      <c r="Y311" s="4"/>
      <c r="Z311" s="4"/>
    </row>
    <row r="312" ht="16.5" customHeight="1">
      <c r="A312" s="3"/>
      <c r="B312" s="2"/>
      <c r="C312" s="3"/>
      <c r="D312" s="2"/>
      <c r="E312" s="5"/>
      <c r="F312" s="4"/>
      <c r="G312" s="4"/>
      <c r="H312" s="4"/>
      <c r="I312" s="6"/>
      <c r="J312" s="4"/>
      <c r="K312" s="4"/>
      <c r="L312" s="6"/>
      <c r="M312" s="4"/>
      <c r="N312" s="4"/>
      <c r="O312" s="4"/>
      <c r="P312" s="4"/>
      <c r="Q312" s="4"/>
      <c r="R312" s="210"/>
      <c r="S312" s="7"/>
      <c r="T312" s="4"/>
      <c r="U312" s="4"/>
      <c r="V312" s="4"/>
      <c r="W312" s="4"/>
      <c r="X312" s="4"/>
      <c r="Y312" s="4"/>
      <c r="Z312" s="4"/>
    </row>
    <row r="313" ht="16.5" customHeight="1">
      <c r="A313" s="3"/>
      <c r="B313" s="2"/>
      <c r="C313" s="3"/>
      <c r="D313" s="2"/>
      <c r="E313" s="5"/>
      <c r="F313" s="4"/>
      <c r="G313" s="4"/>
      <c r="H313" s="4"/>
      <c r="I313" s="6"/>
      <c r="J313" s="4"/>
      <c r="K313" s="4"/>
      <c r="L313" s="6"/>
      <c r="M313" s="4"/>
      <c r="N313" s="4"/>
      <c r="O313" s="4"/>
      <c r="P313" s="4"/>
      <c r="Q313" s="4"/>
      <c r="R313" s="210"/>
      <c r="S313" s="7"/>
      <c r="T313" s="4"/>
      <c r="U313" s="4"/>
      <c r="V313" s="4"/>
      <c r="W313" s="4"/>
      <c r="X313" s="4"/>
      <c r="Y313" s="4"/>
      <c r="Z313" s="4"/>
    </row>
    <row r="314" ht="16.5" customHeight="1">
      <c r="A314" s="3"/>
      <c r="B314" s="2"/>
      <c r="C314" s="3"/>
      <c r="D314" s="2"/>
      <c r="E314" s="5"/>
      <c r="F314" s="4"/>
      <c r="G314" s="4"/>
      <c r="H314" s="4"/>
      <c r="I314" s="6"/>
      <c r="J314" s="4"/>
      <c r="K314" s="4"/>
      <c r="L314" s="6"/>
      <c r="M314" s="4"/>
      <c r="N314" s="4"/>
      <c r="O314" s="4"/>
      <c r="P314" s="4"/>
      <c r="Q314" s="4"/>
      <c r="R314" s="210"/>
      <c r="S314" s="7"/>
      <c r="T314" s="4"/>
      <c r="U314" s="4"/>
      <c r="V314" s="4"/>
      <c r="W314" s="4"/>
      <c r="X314" s="4"/>
      <c r="Y314" s="4"/>
      <c r="Z314" s="4"/>
    </row>
    <row r="315" ht="16.5" customHeight="1">
      <c r="A315" s="3"/>
      <c r="B315" s="2"/>
      <c r="C315" s="3"/>
      <c r="D315" s="2"/>
      <c r="E315" s="5"/>
      <c r="F315" s="4"/>
      <c r="G315" s="4"/>
      <c r="H315" s="4"/>
      <c r="I315" s="6"/>
      <c r="J315" s="4"/>
      <c r="K315" s="4"/>
      <c r="L315" s="6"/>
      <c r="M315" s="4"/>
      <c r="N315" s="4"/>
      <c r="O315" s="4"/>
      <c r="P315" s="4"/>
      <c r="Q315" s="4"/>
      <c r="R315" s="210"/>
      <c r="S315" s="7"/>
      <c r="T315" s="4"/>
      <c r="U315" s="4"/>
      <c r="V315" s="4"/>
      <c r="W315" s="4"/>
      <c r="X315" s="4"/>
      <c r="Y315" s="4"/>
      <c r="Z315" s="4"/>
    </row>
    <row r="316" ht="15.75" customHeight="1">
      <c r="E316" s="223"/>
      <c r="I316" s="224"/>
      <c r="L316" s="224"/>
      <c r="S316" s="225"/>
    </row>
    <row r="317" ht="15.75" customHeight="1">
      <c r="E317" s="223"/>
      <c r="I317" s="224"/>
      <c r="L317" s="224"/>
      <c r="S317" s="225"/>
    </row>
    <row r="318" ht="15.75" customHeight="1">
      <c r="E318" s="223"/>
      <c r="I318" s="224"/>
      <c r="L318" s="224"/>
      <c r="S318" s="225"/>
    </row>
    <row r="319" ht="15.75" customHeight="1">
      <c r="E319" s="223"/>
      <c r="I319" s="224"/>
      <c r="L319" s="224"/>
      <c r="S319" s="225"/>
    </row>
    <row r="320" ht="15.75" customHeight="1">
      <c r="E320" s="223"/>
      <c r="I320" s="224"/>
      <c r="L320" s="224"/>
      <c r="S320" s="225"/>
    </row>
    <row r="321" ht="15.75" customHeight="1">
      <c r="E321" s="223"/>
      <c r="I321" s="224"/>
      <c r="L321" s="224"/>
      <c r="S321" s="225"/>
    </row>
    <row r="322" ht="15.75" customHeight="1">
      <c r="E322" s="223"/>
      <c r="I322" s="224"/>
      <c r="L322" s="224"/>
      <c r="S322" s="225"/>
    </row>
    <row r="323" ht="15.75" customHeight="1">
      <c r="E323" s="223"/>
      <c r="I323" s="224"/>
      <c r="L323" s="224"/>
      <c r="S323" s="225"/>
    </row>
    <row r="324" ht="15.75" customHeight="1">
      <c r="E324" s="223"/>
      <c r="I324" s="224"/>
      <c r="L324" s="224"/>
      <c r="S324" s="225"/>
    </row>
    <row r="325" ht="15.75" customHeight="1">
      <c r="E325" s="223"/>
      <c r="I325" s="224"/>
      <c r="L325" s="224"/>
      <c r="S325" s="225"/>
    </row>
    <row r="326" ht="15.75" customHeight="1">
      <c r="E326" s="223"/>
      <c r="I326" s="224"/>
      <c r="L326" s="224"/>
      <c r="S326" s="225"/>
    </row>
    <row r="327" ht="15.75" customHeight="1">
      <c r="E327" s="223"/>
      <c r="I327" s="224"/>
      <c r="L327" s="224"/>
      <c r="S327" s="225"/>
    </row>
    <row r="328" ht="15.75" customHeight="1">
      <c r="E328" s="223"/>
      <c r="I328" s="224"/>
      <c r="L328" s="224"/>
      <c r="S328" s="225"/>
    </row>
    <row r="329" ht="15.75" customHeight="1">
      <c r="E329" s="223"/>
      <c r="I329" s="224"/>
      <c r="L329" s="224"/>
      <c r="S329" s="225"/>
    </row>
    <row r="330" ht="15.75" customHeight="1">
      <c r="E330" s="223"/>
      <c r="I330" s="224"/>
      <c r="L330" s="224"/>
      <c r="S330" s="225"/>
    </row>
    <row r="331" ht="15.75" customHeight="1">
      <c r="E331" s="223"/>
      <c r="I331" s="224"/>
      <c r="L331" s="224"/>
      <c r="S331" s="225"/>
    </row>
    <row r="332" ht="15.75" customHeight="1">
      <c r="E332" s="223"/>
      <c r="I332" s="224"/>
      <c r="L332" s="224"/>
      <c r="S332" s="225"/>
    </row>
    <row r="333" ht="15.75" customHeight="1">
      <c r="E333" s="223"/>
      <c r="I333" s="224"/>
      <c r="L333" s="224"/>
      <c r="S333" s="225"/>
    </row>
    <row r="334" ht="15.75" customHeight="1">
      <c r="E334" s="223"/>
      <c r="I334" s="224"/>
      <c r="L334" s="224"/>
      <c r="S334" s="225"/>
    </row>
    <row r="335" ht="15.75" customHeight="1">
      <c r="E335" s="223"/>
      <c r="I335" s="224"/>
      <c r="L335" s="224"/>
      <c r="S335" s="225"/>
    </row>
    <row r="336" ht="15.75" customHeight="1">
      <c r="E336" s="223"/>
      <c r="I336" s="224"/>
      <c r="L336" s="224"/>
      <c r="S336" s="225"/>
    </row>
    <row r="337" ht="15.75" customHeight="1">
      <c r="E337" s="223"/>
      <c r="I337" s="224"/>
      <c r="L337" s="224"/>
      <c r="S337" s="225"/>
    </row>
    <row r="338" ht="15.75" customHeight="1">
      <c r="E338" s="223"/>
      <c r="I338" s="224"/>
      <c r="L338" s="224"/>
      <c r="S338" s="225"/>
    </row>
    <row r="339" ht="15.75" customHeight="1">
      <c r="E339" s="223"/>
      <c r="I339" s="224"/>
      <c r="L339" s="224"/>
      <c r="S339" s="225"/>
    </row>
    <row r="340" ht="15.75" customHeight="1">
      <c r="E340" s="223"/>
      <c r="I340" s="224"/>
      <c r="L340" s="224"/>
      <c r="S340" s="225"/>
    </row>
    <row r="341" ht="15.75" customHeight="1">
      <c r="E341" s="223"/>
      <c r="I341" s="224"/>
      <c r="L341" s="224"/>
      <c r="S341" s="225"/>
    </row>
    <row r="342" ht="15.75" customHeight="1">
      <c r="E342" s="223"/>
      <c r="I342" s="224"/>
      <c r="L342" s="224"/>
      <c r="S342" s="225"/>
    </row>
    <row r="343" ht="15.75" customHeight="1">
      <c r="E343" s="223"/>
      <c r="I343" s="224"/>
      <c r="L343" s="224"/>
      <c r="S343" s="225"/>
    </row>
    <row r="344" ht="15.75" customHeight="1">
      <c r="E344" s="223"/>
      <c r="I344" s="224"/>
      <c r="L344" s="224"/>
      <c r="S344" s="225"/>
    </row>
    <row r="345" ht="15.75" customHeight="1">
      <c r="E345" s="223"/>
      <c r="I345" s="224"/>
      <c r="L345" s="224"/>
      <c r="S345" s="225"/>
    </row>
    <row r="346" ht="15.75" customHeight="1">
      <c r="E346" s="223"/>
      <c r="I346" s="224"/>
      <c r="L346" s="224"/>
      <c r="S346" s="225"/>
    </row>
    <row r="347" ht="15.75" customHeight="1">
      <c r="E347" s="223"/>
      <c r="I347" s="224"/>
      <c r="L347" s="224"/>
      <c r="S347" s="225"/>
    </row>
    <row r="348" ht="15.75" customHeight="1">
      <c r="E348" s="223"/>
      <c r="I348" s="224"/>
      <c r="L348" s="224"/>
      <c r="S348" s="225"/>
    </row>
    <row r="349" ht="15.75" customHeight="1">
      <c r="E349" s="223"/>
      <c r="I349" s="224"/>
      <c r="L349" s="224"/>
      <c r="S349" s="225"/>
    </row>
    <row r="350" ht="15.75" customHeight="1">
      <c r="E350" s="223"/>
      <c r="I350" s="224"/>
      <c r="L350" s="224"/>
      <c r="S350" s="225"/>
    </row>
    <row r="351" ht="15.75" customHeight="1">
      <c r="E351" s="223"/>
      <c r="I351" s="224"/>
      <c r="L351" s="224"/>
      <c r="S351" s="225"/>
    </row>
    <row r="352" ht="15.75" customHeight="1">
      <c r="E352" s="223"/>
      <c r="I352" s="224"/>
      <c r="L352" s="224"/>
      <c r="S352" s="225"/>
    </row>
    <row r="353" ht="15.75" customHeight="1">
      <c r="E353" s="223"/>
      <c r="I353" s="224"/>
      <c r="L353" s="224"/>
      <c r="S353" s="225"/>
    </row>
    <row r="354" ht="15.75" customHeight="1">
      <c r="E354" s="223"/>
      <c r="I354" s="224"/>
      <c r="L354" s="224"/>
      <c r="S354" s="225"/>
    </row>
    <row r="355" ht="15.75" customHeight="1">
      <c r="E355" s="223"/>
      <c r="I355" s="224"/>
      <c r="L355" s="224"/>
      <c r="S355" s="225"/>
    </row>
    <row r="356" ht="15.75" customHeight="1">
      <c r="E356" s="223"/>
      <c r="I356" s="224"/>
      <c r="L356" s="224"/>
      <c r="S356" s="225"/>
    </row>
    <row r="357" ht="15.75" customHeight="1">
      <c r="E357" s="223"/>
      <c r="I357" s="224"/>
      <c r="L357" s="224"/>
      <c r="S357" s="225"/>
    </row>
    <row r="358" ht="15.75" customHeight="1">
      <c r="E358" s="223"/>
      <c r="I358" s="224"/>
      <c r="L358" s="224"/>
      <c r="S358" s="225"/>
    </row>
    <row r="359" ht="15.75" customHeight="1">
      <c r="E359" s="223"/>
      <c r="I359" s="224"/>
      <c r="L359" s="224"/>
      <c r="S359" s="225"/>
    </row>
    <row r="360" ht="15.75" customHeight="1">
      <c r="E360" s="223"/>
      <c r="I360" s="224"/>
      <c r="L360" s="224"/>
      <c r="S360" s="225"/>
    </row>
    <row r="361" ht="15.75" customHeight="1">
      <c r="E361" s="223"/>
      <c r="I361" s="224"/>
      <c r="L361" s="224"/>
      <c r="S361" s="225"/>
    </row>
    <row r="362" ht="15.75" customHeight="1">
      <c r="E362" s="223"/>
      <c r="I362" s="224"/>
      <c r="L362" s="224"/>
      <c r="S362" s="225"/>
    </row>
    <row r="363" ht="15.75" customHeight="1">
      <c r="E363" s="223"/>
      <c r="I363" s="224"/>
      <c r="L363" s="224"/>
      <c r="S363" s="225"/>
    </row>
    <row r="364" ht="15.75" customHeight="1">
      <c r="E364" s="223"/>
      <c r="I364" s="224"/>
      <c r="L364" s="224"/>
      <c r="S364" s="225"/>
    </row>
    <row r="365" ht="15.75" customHeight="1">
      <c r="E365" s="223"/>
      <c r="I365" s="224"/>
      <c r="L365" s="224"/>
      <c r="S365" s="225"/>
    </row>
    <row r="366" ht="15.75" customHeight="1">
      <c r="E366" s="223"/>
      <c r="I366" s="224"/>
      <c r="L366" s="224"/>
      <c r="S366" s="225"/>
    </row>
    <row r="367" ht="15.75" customHeight="1">
      <c r="E367" s="223"/>
      <c r="I367" s="224"/>
      <c r="L367" s="224"/>
      <c r="S367" s="225"/>
    </row>
    <row r="368" ht="15.75" customHeight="1">
      <c r="E368" s="223"/>
      <c r="I368" s="224"/>
      <c r="L368" s="224"/>
      <c r="S368" s="225"/>
    </row>
    <row r="369" ht="15.75" customHeight="1">
      <c r="E369" s="223"/>
      <c r="I369" s="224"/>
      <c r="L369" s="224"/>
      <c r="S369" s="225"/>
    </row>
    <row r="370" ht="15.75" customHeight="1">
      <c r="E370" s="223"/>
      <c r="I370" s="224"/>
      <c r="L370" s="224"/>
      <c r="S370" s="225"/>
    </row>
    <row r="371" ht="15.75" customHeight="1">
      <c r="E371" s="223"/>
      <c r="I371" s="224"/>
      <c r="L371" s="224"/>
      <c r="S371" s="225"/>
    </row>
    <row r="372" ht="15.75" customHeight="1">
      <c r="E372" s="223"/>
      <c r="I372" s="224"/>
      <c r="L372" s="224"/>
      <c r="S372" s="225"/>
    </row>
    <row r="373" ht="15.75" customHeight="1">
      <c r="E373" s="223"/>
      <c r="I373" s="224"/>
      <c r="L373" s="224"/>
      <c r="S373" s="225"/>
    </row>
    <row r="374" ht="15.75" customHeight="1">
      <c r="E374" s="223"/>
      <c r="I374" s="224"/>
      <c r="L374" s="224"/>
      <c r="S374" s="225"/>
    </row>
    <row r="375" ht="15.75" customHeight="1">
      <c r="E375" s="223"/>
      <c r="I375" s="224"/>
      <c r="L375" s="224"/>
      <c r="S375" s="225"/>
    </row>
    <row r="376" ht="15.75" customHeight="1">
      <c r="E376" s="223"/>
      <c r="I376" s="224"/>
      <c r="L376" s="224"/>
      <c r="S376" s="225"/>
    </row>
    <row r="377" ht="15.75" customHeight="1">
      <c r="E377" s="223"/>
      <c r="I377" s="224"/>
      <c r="L377" s="224"/>
      <c r="S377" s="225"/>
    </row>
    <row r="378" ht="15.75" customHeight="1">
      <c r="E378" s="223"/>
      <c r="I378" s="224"/>
      <c r="L378" s="224"/>
      <c r="S378" s="225"/>
    </row>
    <row r="379" ht="15.75" customHeight="1">
      <c r="E379" s="223"/>
      <c r="I379" s="224"/>
      <c r="L379" s="224"/>
      <c r="S379" s="225"/>
    </row>
    <row r="380" ht="15.75" customHeight="1">
      <c r="E380" s="223"/>
      <c r="I380" s="224"/>
      <c r="L380" s="224"/>
      <c r="S380" s="225"/>
    </row>
    <row r="381" ht="15.75" customHeight="1">
      <c r="E381" s="223"/>
      <c r="I381" s="224"/>
      <c r="L381" s="224"/>
      <c r="S381" s="225"/>
    </row>
    <row r="382" ht="15.75" customHeight="1">
      <c r="E382" s="223"/>
      <c r="I382" s="224"/>
      <c r="L382" s="224"/>
      <c r="S382" s="225"/>
    </row>
    <row r="383" ht="15.75" customHeight="1">
      <c r="E383" s="223"/>
      <c r="I383" s="224"/>
      <c r="L383" s="224"/>
      <c r="S383" s="225"/>
    </row>
    <row r="384" ht="15.75" customHeight="1">
      <c r="E384" s="223"/>
      <c r="I384" s="224"/>
      <c r="L384" s="224"/>
      <c r="S384" s="225"/>
    </row>
    <row r="385" ht="15.75" customHeight="1">
      <c r="E385" s="223"/>
      <c r="I385" s="224"/>
      <c r="L385" s="224"/>
      <c r="S385" s="225"/>
    </row>
    <row r="386" ht="15.75" customHeight="1">
      <c r="E386" s="223"/>
      <c r="I386" s="224"/>
      <c r="L386" s="224"/>
      <c r="S386" s="225"/>
    </row>
    <row r="387" ht="15.75" customHeight="1">
      <c r="E387" s="223"/>
      <c r="I387" s="224"/>
      <c r="L387" s="224"/>
      <c r="S387" s="225"/>
    </row>
    <row r="388" ht="15.75" customHeight="1">
      <c r="E388" s="223"/>
      <c r="I388" s="224"/>
      <c r="L388" s="224"/>
      <c r="S388" s="225"/>
    </row>
    <row r="389" ht="15.75" customHeight="1">
      <c r="E389" s="223"/>
      <c r="I389" s="224"/>
      <c r="L389" s="224"/>
      <c r="S389" s="225"/>
    </row>
    <row r="390" ht="15.75" customHeight="1">
      <c r="E390" s="223"/>
      <c r="I390" s="224"/>
      <c r="L390" s="224"/>
      <c r="S390" s="225"/>
    </row>
    <row r="391" ht="15.75" customHeight="1">
      <c r="E391" s="223"/>
      <c r="I391" s="224"/>
      <c r="L391" s="224"/>
      <c r="S391" s="225"/>
    </row>
    <row r="392" ht="15.75" customHeight="1">
      <c r="E392" s="223"/>
      <c r="I392" s="224"/>
      <c r="L392" s="224"/>
      <c r="S392" s="225"/>
    </row>
    <row r="393" ht="15.75" customHeight="1">
      <c r="E393" s="223"/>
      <c r="I393" s="224"/>
      <c r="L393" s="224"/>
      <c r="S393" s="225"/>
    </row>
    <row r="394" ht="15.75" customHeight="1">
      <c r="E394" s="223"/>
      <c r="I394" s="224"/>
      <c r="L394" s="224"/>
      <c r="S394" s="225"/>
    </row>
    <row r="395" ht="15.75" customHeight="1">
      <c r="E395" s="223"/>
      <c r="I395" s="224"/>
      <c r="L395" s="224"/>
      <c r="S395" s="225"/>
    </row>
    <row r="396" ht="15.75" customHeight="1">
      <c r="E396" s="223"/>
      <c r="I396" s="224"/>
      <c r="L396" s="224"/>
      <c r="S396" s="225"/>
    </row>
    <row r="397" ht="15.75" customHeight="1">
      <c r="E397" s="223"/>
      <c r="I397" s="224"/>
      <c r="L397" s="224"/>
      <c r="S397" s="225"/>
    </row>
    <row r="398" ht="15.75" customHeight="1">
      <c r="E398" s="223"/>
      <c r="I398" s="224"/>
      <c r="L398" s="224"/>
      <c r="S398" s="225"/>
    </row>
    <row r="399" ht="15.75" customHeight="1">
      <c r="E399" s="223"/>
      <c r="I399" s="224"/>
      <c r="L399" s="224"/>
      <c r="S399" s="225"/>
    </row>
    <row r="400" ht="15.75" customHeight="1">
      <c r="E400" s="223"/>
      <c r="I400" s="224"/>
      <c r="L400" s="224"/>
      <c r="S400" s="225"/>
    </row>
    <row r="401" ht="15.75" customHeight="1">
      <c r="E401" s="223"/>
      <c r="I401" s="224"/>
      <c r="L401" s="224"/>
      <c r="S401" s="225"/>
    </row>
    <row r="402" ht="15.75" customHeight="1">
      <c r="E402" s="223"/>
      <c r="I402" s="224"/>
      <c r="L402" s="224"/>
      <c r="S402" s="225"/>
    </row>
    <row r="403" ht="15.75" customHeight="1">
      <c r="E403" s="223"/>
      <c r="I403" s="224"/>
      <c r="L403" s="224"/>
      <c r="S403" s="225"/>
    </row>
    <row r="404" ht="15.75" customHeight="1">
      <c r="E404" s="223"/>
      <c r="I404" s="224"/>
      <c r="L404" s="224"/>
      <c r="S404" s="225"/>
    </row>
    <row r="405" ht="15.75" customHeight="1">
      <c r="E405" s="223"/>
      <c r="I405" s="224"/>
      <c r="L405" s="224"/>
      <c r="S405" s="225"/>
    </row>
    <row r="406" ht="15.75" customHeight="1">
      <c r="E406" s="223"/>
      <c r="I406" s="224"/>
      <c r="L406" s="224"/>
      <c r="S406" s="225"/>
    </row>
    <row r="407" ht="15.75" customHeight="1">
      <c r="E407" s="223"/>
      <c r="I407" s="224"/>
      <c r="L407" s="224"/>
      <c r="S407" s="225"/>
    </row>
    <row r="408" ht="15.75" customHeight="1">
      <c r="E408" s="223"/>
      <c r="I408" s="224"/>
      <c r="L408" s="224"/>
      <c r="S408" s="225"/>
    </row>
    <row r="409" ht="15.75" customHeight="1">
      <c r="E409" s="223"/>
      <c r="I409" s="224"/>
      <c r="L409" s="224"/>
      <c r="S409" s="225"/>
    </row>
    <row r="410" ht="15.75" customHeight="1">
      <c r="E410" s="223"/>
      <c r="I410" s="224"/>
      <c r="L410" s="224"/>
      <c r="S410" s="225"/>
    </row>
    <row r="411" ht="15.75" customHeight="1">
      <c r="E411" s="223"/>
      <c r="I411" s="224"/>
      <c r="L411" s="224"/>
      <c r="S411" s="225"/>
    </row>
    <row r="412" ht="15.75" customHeight="1">
      <c r="E412" s="223"/>
      <c r="I412" s="224"/>
      <c r="L412" s="224"/>
      <c r="S412" s="225"/>
    </row>
    <row r="413" ht="15.75" customHeight="1">
      <c r="E413" s="223"/>
      <c r="I413" s="224"/>
      <c r="L413" s="224"/>
      <c r="S413" s="225"/>
    </row>
    <row r="414" ht="15.75" customHeight="1">
      <c r="E414" s="223"/>
      <c r="I414" s="224"/>
      <c r="L414" s="224"/>
      <c r="S414" s="225"/>
    </row>
    <row r="415" ht="15.75" customHeight="1">
      <c r="E415" s="223"/>
      <c r="I415" s="224"/>
      <c r="L415" s="224"/>
      <c r="S415" s="225"/>
    </row>
    <row r="416" ht="15.75" customHeight="1">
      <c r="E416" s="223"/>
      <c r="I416" s="224"/>
      <c r="L416" s="224"/>
      <c r="S416" s="225"/>
    </row>
    <row r="417" ht="15.75" customHeight="1">
      <c r="E417" s="223"/>
      <c r="I417" s="224"/>
      <c r="L417" s="224"/>
      <c r="S417" s="225"/>
    </row>
    <row r="418" ht="15.75" customHeight="1">
      <c r="E418" s="223"/>
      <c r="I418" s="224"/>
      <c r="L418" s="224"/>
      <c r="S418" s="225"/>
    </row>
    <row r="419" ht="15.75" customHeight="1">
      <c r="E419" s="223"/>
      <c r="I419" s="224"/>
      <c r="L419" s="224"/>
      <c r="S419" s="225"/>
    </row>
    <row r="420" ht="15.75" customHeight="1">
      <c r="E420" s="223"/>
      <c r="I420" s="224"/>
      <c r="L420" s="224"/>
      <c r="S420" s="225"/>
    </row>
    <row r="421" ht="15.75" customHeight="1">
      <c r="E421" s="223"/>
      <c r="I421" s="224"/>
      <c r="L421" s="224"/>
      <c r="S421" s="225"/>
    </row>
    <row r="422" ht="15.75" customHeight="1">
      <c r="E422" s="223"/>
      <c r="I422" s="224"/>
      <c r="L422" s="224"/>
      <c r="S422" s="225"/>
    </row>
    <row r="423" ht="15.75" customHeight="1">
      <c r="E423" s="223"/>
      <c r="I423" s="224"/>
      <c r="L423" s="224"/>
      <c r="S423" s="225"/>
    </row>
    <row r="424" ht="15.75" customHeight="1">
      <c r="E424" s="223"/>
      <c r="I424" s="224"/>
      <c r="L424" s="224"/>
      <c r="S424" s="225"/>
    </row>
    <row r="425" ht="15.75" customHeight="1">
      <c r="E425" s="223"/>
      <c r="I425" s="224"/>
      <c r="L425" s="224"/>
      <c r="S425" s="225"/>
    </row>
    <row r="426" ht="15.75" customHeight="1">
      <c r="E426" s="223"/>
      <c r="I426" s="224"/>
      <c r="L426" s="224"/>
      <c r="S426" s="225"/>
    </row>
    <row r="427" ht="15.75" customHeight="1">
      <c r="E427" s="223"/>
      <c r="I427" s="224"/>
      <c r="L427" s="224"/>
      <c r="S427" s="225"/>
    </row>
    <row r="428" ht="15.75" customHeight="1">
      <c r="E428" s="223"/>
      <c r="I428" s="224"/>
      <c r="L428" s="224"/>
      <c r="S428" s="225"/>
    </row>
    <row r="429" ht="15.75" customHeight="1">
      <c r="E429" s="223"/>
      <c r="I429" s="224"/>
      <c r="L429" s="224"/>
      <c r="S429" s="225"/>
    </row>
    <row r="430" ht="15.75" customHeight="1">
      <c r="E430" s="223"/>
      <c r="I430" s="224"/>
      <c r="L430" s="224"/>
      <c r="S430" s="225"/>
    </row>
    <row r="431" ht="15.75" customHeight="1">
      <c r="E431" s="223"/>
      <c r="I431" s="224"/>
      <c r="L431" s="224"/>
      <c r="S431" s="225"/>
    </row>
    <row r="432" ht="15.75" customHeight="1">
      <c r="E432" s="223"/>
      <c r="I432" s="224"/>
      <c r="L432" s="224"/>
      <c r="S432" s="225"/>
    </row>
    <row r="433" ht="15.75" customHeight="1">
      <c r="E433" s="223"/>
      <c r="I433" s="224"/>
      <c r="L433" s="224"/>
      <c r="S433" s="225"/>
    </row>
    <row r="434" ht="15.75" customHeight="1">
      <c r="E434" s="223"/>
      <c r="I434" s="224"/>
      <c r="L434" s="224"/>
      <c r="S434" s="225"/>
    </row>
    <row r="435" ht="15.75" customHeight="1">
      <c r="E435" s="223"/>
      <c r="I435" s="224"/>
      <c r="L435" s="224"/>
      <c r="S435" s="225"/>
    </row>
    <row r="436" ht="15.75" customHeight="1">
      <c r="E436" s="223"/>
      <c r="I436" s="224"/>
      <c r="L436" s="224"/>
      <c r="S436" s="225"/>
    </row>
    <row r="437" ht="15.75" customHeight="1">
      <c r="E437" s="223"/>
      <c r="I437" s="224"/>
      <c r="L437" s="224"/>
      <c r="S437" s="225"/>
    </row>
    <row r="438" ht="15.75" customHeight="1">
      <c r="E438" s="223"/>
      <c r="I438" s="224"/>
      <c r="L438" s="224"/>
      <c r="S438" s="225"/>
    </row>
    <row r="439" ht="15.75" customHeight="1">
      <c r="E439" s="223"/>
      <c r="I439" s="224"/>
      <c r="L439" s="224"/>
      <c r="S439" s="225"/>
    </row>
    <row r="440" ht="15.75" customHeight="1">
      <c r="E440" s="223"/>
      <c r="I440" s="224"/>
      <c r="L440" s="224"/>
      <c r="S440" s="225"/>
    </row>
    <row r="441" ht="15.75" customHeight="1">
      <c r="E441" s="223"/>
      <c r="I441" s="224"/>
      <c r="L441" s="224"/>
      <c r="S441" s="225"/>
    </row>
    <row r="442" ht="15.75" customHeight="1">
      <c r="E442" s="223"/>
      <c r="I442" s="224"/>
      <c r="L442" s="224"/>
      <c r="S442" s="225"/>
    </row>
    <row r="443" ht="15.75" customHeight="1">
      <c r="E443" s="223"/>
      <c r="I443" s="224"/>
      <c r="L443" s="224"/>
      <c r="S443" s="225"/>
    </row>
    <row r="444" ht="15.75" customHeight="1">
      <c r="E444" s="223"/>
      <c r="I444" s="224"/>
      <c r="L444" s="224"/>
      <c r="S444" s="225"/>
    </row>
    <row r="445" ht="15.75" customHeight="1">
      <c r="E445" s="223"/>
      <c r="I445" s="224"/>
      <c r="L445" s="224"/>
      <c r="S445" s="225"/>
    </row>
    <row r="446" ht="15.75" customHeight="1">
      <c r="E446" s="223"/>
      <c r="I446" s="224"/>
      <c r="L446" s="224"/>
      <c r="S446" s="225"/>
    </row>
    <row r="447" ht="15.75" customHeight="1">
      <c r="E447" s="223"/>
      <c r="I447" s="224"/>
      <c r="L447" s="224"/>
      <c r="S447" s="225"/>
    </row>
    <row r="448" ht="15.75" customHeight="1">
      <c r="E448" s="223"/>
      <c r="I448" s="224"/>
      <c r="L448" s="224"/>
      <c r="S448" s="225"/>
    </row>
    <row r="449" ht="15.75" customHeight="1">
      <c r="E449" s="223"/>
      <c r="I449" s="224"/>
      <c r="L449" s="224"/>
      <c r="S449" s="225"/>
    </row>
    <row r="450" ht="15.75" customHeight="1">
      <c r="E450" s="223"/>
      <c r="I450" s="224"/>
      <c r="L450" s="224"/>
      <c r="S450" s="225"/>
    </row>
    <row r="451" ht="15.75" customHeight="1">
      <c r="E451" s="223"/>
      <c r="I451" s="224"/>
      <c r="L451" s="224"/>
      <c r="S451" s="225"/>
    </row>
    <row r="452" ht="15.75" customHeight="1">
      <c r="E452" s="223"/>
      <c r="I452" s="224"/>
      <c r="L452" s="224"/>
      <c r="S452" s="225"/>
    </row>
    <row r="453" ht="15.75" customHeight="1">
      <c r="E453" s="223"/>
      <c r="I453" s="224"/>
      <c r="L453" s="224"/>
      <c r="S453" s="225"/>
    </row>
    <row r="454" ht="15.75" customHeight="1">
      <c r="E454" s="223"/>
      <c r="I454" s="224"/>
      <c r="L454" s="224"/>
      <c r="S454" s="225"/>
    </row>
    <row r="455" ht="15.75" customHeight="1">
      <c r="E455" s="223"/>
      <c r="I455" s="224"/>
      <c r="L455" s="224"/>
      <c r="S455" s="225"/>
    </row>
    <row r="456" ht="15.75" customHeight="1">
      <c r="E456" s="223"/>
      <c r="I456" s="224"/>
      <c r="L456" s="224"/>
      <c r="S456" s="225"/>
    </row>
    <row r="457" ht="15.75" customHeight="1">
      <c r="E457" s="223"/>
      <c r="I457" s="224"/>
      <c r="L457" s="224"/>
      <c r="S457" s="225"/>
    </row>
    <row r="458" ht="15.75" customHeight="1">
      <c r="E458" s="223"/>
      <c r="I458" s="224"/>
      <c r="L458" s="224"/>
      <c r="S458" s="225"/>
    </row>
    <row r="459" ht="15.75" customHeight="1">
      <c r="E459" s="223"/>
      <c r="I459" s="224"/>
      <c r="L459" s="224"/>
      <c r="S459" s="225"/>
    </row>
    <row r="460" ht="15.75" customHeight="1">
      <c r="E460" s="223"/>
      <c r="I460" s="224"/>
      <c r="L460" s="224"/>
      <c r="S460" s="225"/>
    </row>
    <row r="461" ht="15.75" customHeight="1">
      <c r="E461" s="223"/>
      <c r="I461" s="224"/>
      <c r="L461" s="224"/>
      <c r="S461" s="225"/>
    </row>
    <row r="462" ht="15.75" customHeight="1">
      <c r="E462" s="223"/>
      <c r="I462" s="224"/>
      <c r="L462" s="224"/>
      <c r="S462" s="225"/>
    </row>
    <row r="463" ht="15.75" customHeight="1">
      <c r="E463" s="223"/>
      <c r="I463" s="224"/>
      <c r="L463" s="224"/>
      <c r="S463" s="225"/>
    </row>
    <row r="464" ht="15.75" customHeight="1">
      <c r="E464" s="223"/>
      <c r="I464" s="224"/>
      <c r="L464" s="224"/>
      <c r="S464" s="225"/>
    </row>
    <row r="465" ht="15.75" customHeight="1">
      <c r="E465" s="223"/>
      <c r="I465" s="224"/>
      <c r="L465" s="224"/>
      <c r="S465" s="225"/>
    </row>
    <row r="466" ht="15.75" customHeight="1">
      <c r="E466" s="223"/>
      <c r="I466" s="224"/>
      <c r="L466" s="224"/>
      <c r="S466" s="225"/>
    </row>
    <row r="467" ht="15.75" customHeight="1">
      <c r="E467" s="223"/>
      <c r="I467" s="224"/>
      <c r="L467" s="224"/>
      <c r="S467" s="225"/>
    </row>
    <row r="468" ht="15.75" customHeight="1">
      <c r="E468" s="223"/>
      <c r="I468" s="224"/>
      <c r="L468" s="224"/>
      <c r="S468" s="225"/>
    </row>
    <row r="469" ht="15.75" customHeight="1">
      <c r="E469" s="223"/>
      <c r="I469" s="224"/>
      <c r="L469" s="224"/>
      <c r="S469" s="225"/>
    </row>
    <row r="470" ht="15.75" customHeight="1">
      <c r="E470" s="223"/>
      <c r="I470" s="224"/>
      <c r="L470" s="224"/>
      <c r="S470" s="225"/>
    </row>
    <row r="471" ht="15.75" customHeight="1">
      <c r="E471" s="223"/>
      <c r="I471" s="224"/>
      <c r="L471" s="224"/>
      <c r="S471" s="225"/>
    </row>
    <row r="472" ht="15.75" customHeight="1">
      <c r="E472" s="223"/>
      <c r="I472" s="224"/>
      <c r="L472" s="224"/>
      <c r="S472" s="225"/>
    </row>
    <row r="473" ht="15.75" customHeight="1">
      <c r="E473" s="223"/>
      <c r="I473" s="224"/>
      <c r="L473" s="224"/>
      <c r="S473" s="225"/>
    </row>
    <row r="474" ht="15.75" customHeight="1">
      <c r="E474" s="223"/>
      <c r="I474" s="224"/>
      <c r="L474" s="224"/>
      <c r="S474" s="225"/>
    </row>
    <row r="475" ht="15.75" customHeight="1">
      <c r="E475" s="223"/>
      <c r="I475" s="224"/>
      <c r="L475" s="224"/>
      <c r="S475" s="225"/>
    </row>
    <row r="476" ht="15.75" customHeight="1">
      <c r="E476" s="223"/>
      <c r="I476" s="224"/>
      <c r="L476" s="224"/>
      <c r="S476" s="225"/>
    </row>
    <row r="477" ht="15.75" customHeight="1">
      <c r="E477" s="223"/>
      <c r="I477" s="224"/>
      <c r="L477" s="224"/>
      <c r="S477" s="225"/>
    </row>
    <row r="478" ht="15.75" customHeight="1">
      <c r="E478" s="223"/>
      <c r="I478" s="224"/>
      <c r="L478" s="224"/>
      <c r="S478" s="225"/>
    </row>
    <row r="479" ht="15.75" customHeight="1">
      <c r="E479" s="223"/>
      <c r="I479" s="224"/>
      <c r="L479" s="224"/>
      <c r="S479" s="225"/>
    </row>
    <row r="480" ht="15.75" customHeight="1">
      <c r="E480" s="223"/>
      <c r="I480" s="224"/>
      <c r="L480" s="224"/>
      <c r="S480" s="225"/>
    </row>
    <row r="481" ht="15.75" customHeight="1">
      <c r="E481" s="223"/>
      <c r="I481" s="224"/>
      <c r="L481" s="224"/>
      <c r="S481" s="225"/>
    </row>
    <row r="482" ht="15.75" customHeight="1">
      <c r="E482" s="223"/>
      <c r="I482" s="224"/>
      <c r="L482" s="224"/>
      <c r="S482" s="225"/>
    </row>
    <row r="483" ht="15.75" customHeight="1">
      <c r="E483" s="223"/>
      <c r="I483" s="224"/>
      <c r="L483" s="224"/>
      <c r="S483" s="225"/>
    </row>
    <row r="484" ht="15.75" customHeight="1">
      <c r="E484" s="223"/>
      <c r="I484" s="224"/>
      <c r="L484" s="224"/>
      <c r="S484" s="225"/>
    </row>
    <row r="485" ht="15.75" customHeight="1">
      <c r="E485" s="223"/>
      <c r="I485" s="224"/>
      <c r="L485" s="224"/>
      <c r="S485" s="225"/>
    </row>
    <row r="486" ht="15.75" customHeight="1">
      <c r="E486" s="223"/>
      <c r="I486" s="224"/>
      <c r="L486" s="224"/>
      <c r="S486" s="225"/>
    </row>
    <row r="487" ht="15.75" customHeight="1">
      <c r="E487" s="223"/>
      <c r="I487" s="224"/>
      <c r="L487" s="224"/>
      <c r="S487" s="225"/>
    </row>
    <row r="488" ht="15.75" customHeight="1">
      <c r="E488" s="223"/>
      <c r="I488" s="224"/>
      <c r="L488" s="224"/>
      <c r="S488" s="225"/>
    </row>
    <row r="489" ht="15.75" customHeight="1">
      <c r="E489" s="223"/>
      <c r="I489" s="224"/>
      <c r="L489" s="224"/>
      <c r="S489" s="225"/>
    </row>
    <row r="490" ht="15.75" customHeight="1">
      <c r="E490" s="223"/>
      <c r="I490" s="224"/>
      <c r="L490" s="224"/>
      <c r="S490" s="225"/>
    </row>
    <row r="491" ht="15.75" customHeight="1">
      <c r="E491" s="223"/>
      <c r="I491" s="224"/>
      <c r="L491" s="224"/>
      <c r="S491" s="225"/>
    </row>
    <row r="492" ht="15.75" customHeight="1">
      <c r="E492" s="223"/>
      <c r="I492" s="224"/>
      <c r="L492" s="224"/>
      <c r="S492" s="225"/>
    </row>
    <row r="493" ht="15.75" customHeight="1">
      <c r="E493" s="223"/>
      <c r="I493" s="224"/>
      <c r="L493" s="224"/>
      <c r="S493" s="225"/>
    </row>
    <row r="494" ht="15.75" customHeight="1">
      <c r="E494" s="223"/>
      <c r="I494" s="224"/>
      <c r="L494" s="224"/>
      <c r="S494" s="225"/>
    </row>
    <row r="495" ht="15.75" customHeight="1">
      <c r="E495" s="223"/>
      <c r="I495" s="224"/>
      <c r="L495" s="224"/>
      <c r="S495" s="225"/>
    </row>
    <row r="496" ht="15.75" customHeight="1">
      <c r="E496" s="223"/>
      <c r="I496" s="224"/>
      <c r="L496" s="224"/>
      <c r="S496" s="225"/>
    </row>
    <row r="497" ht="15.75" customHeight="1">
      <c r="E497" s="223"/>
      <c r="I497" s="224"/>
      <c r="L497" s="224"/>
      <c r="S497" s="225"/>
    </row>
    <row r="498" ht="15.75" customHeight="1">
      <c r="E498" s="223"/>
      <c r="I498" s="224"/>
      <c r="L498" s="224"/>
      <c r="S498" s="225"/>
    </row>
    <row r="499" ht="15.75" customHeight="1">
      <c r="E499" s="223"/>
      <c r="I499" s="224"/>
      <c r="L499" s="224"/>
      <c r="S499" s="225"/>
    </row>
    <row r="500" ht="15.75" customHeight="1">
      <c r="E500" s="223"/>
      <c r="I500" s="224"/>
      <c r="L500" s="224"/>
      <c r="S500" s="225"/>
    </row>
    <row r="501" ht="15.75" customHeight="1">
      <c r="E501" s="223"/>
      <c r="I501" s="224"/>
      <c r="L501" s="224"/>
      <c r="S501" s="225"/>
    </row>
    <row r="502" ht="15.75" customHeight="1">
      <c r="E502" s="223"/>
      <c r="I502" s="224"/>
      <c r="L502" s="224"/>
      <c r="S502" s="225"/>
    </row>
    <row r="503" ht="15.75" customHeight="1">
      <c r="E503" s="223"/>
      <c r="I503" s="224"/>
      <c r="L503" s="224"/>
      <c r="S503" s="225"/>
    </row>
    <row r="504" ht="15.75" customHeight="1">
      <c r="E504" s="223"/>
      <c r="I504" s="224"/>
      <c r="L504" s="224"/>
      <c r="S504" s="225"/>
    </row>
    <row r="505" ht="15.75" customHeight="1">
      <c r="E505" s="223"/>
      <c r="I505" s="224"/>
      <c r="L505" s="224"/>
      <c r="S505" s="225"/>
    </row>
    <row r="506" ht="15.75" customHeight="1">
      <c r="E506" s="223"/>
      <c r="I506" s="224"/>
      <c r="L506" s="224"/>
      <c r="S506" s="225"/>
    </row>
    <row r="507" ht="15.75" customHeight="1">
      <c r="E507" s="223"/>
      <c r="I507" s="224"/>
      <c r="L507" s="224"/>
      <c r="S507" s="225"/>
    </row>
    <row r="508" ht="15.75" customHeight="1">
      <c r="E508" s="223"/>
      <c r="I508" s="224"/>
      <c r="L508" s="224"/>
      <c r="S508" s="225"/>
    </row>
    <row r="509" ht="15.75" customHeight="1">
      <c r="E509" s="223"/>
      <c r="I509" s="224"/>
      <c r="L509" s="224"/>
      <c r="S509" s="225"/>
    </row>
    <row r="510" ht="15.75" customHeight="1">
      <c r="E510" s="223"/>
      <c r="I510" s="224"/>
      <c r="L510" s="224"/>
      <c r="S510" s="225"/>
    </row>
    <row r="511" ht="15.75" customHeight="1">
      <c r="E511" s="223"/>
      <c r="I511" s="224"/>
      <c r="L511" s="224"/>
      <c r="S511" s="225"/>
    </row>
    <row r="512" ht="15.75" customHeight="1">
      <c r="E512" s="223"/>
      <c r="I512" s="224"/>
      <c r="L512" s="224"/>
      <c r="S512" s="225"/>
    </row>
    <row r="513" ht="15.75" customHeight="1">
      <c r="E513" s="223"/>
      <c r="I513" s="224"/>
      <c r="L513" s="224"/>
      <c r="S513" s="225"/>
    </row>
    <row r="514" ht="15.75" customHeight="1">
      <c r="E514" s="223"/>
      <c r="I514" s="224"/>
      <c r="L514" s="224"/>
      <c r="S514" s="225"/>
    </row>
    <row r="515" ht="15.75" customHeight="1">
      <c r="E515" s="223"/>
      <c r="I515" s="224"/>
      <c r="L515" s="224"/>
      <c r="S515" s="225"/>
    </row>
    <row r="516" ht="15.75" customHeight="1">
      <c r="E516" s="223"/>
      <c r="I516" s="224"/>
      <c r="L516" s="224"/>
      <c r="S516" s="225"/>
    </row>
    <row r="517" ht="15.75" customHeight="1">
      <c r="E517" s="223"/>
      <c r="I517" s="224"/>
      <c r="L517" s="224"/>
      <c r="S517" s="225"/>
    </row>
    <row r="518" ht="15.75" customHeight="1">
      <c r="E518" s="223"/>
      <c r="I518" s="224"/>
      <c r="L518" s="224"/>
      <c r="S518" s="225"/>
    </row>
    <row r="519" ht="15.75" customHeight="1">
      <c r="E519" s="223"/>
      <c r="I519" s="224"/>
      <c r="L519" s="224"/>
      <c r="S519" s="225"/>
    </row>
    <row r="520" ht="15.75" customHeight="1">
      <c r="E520" s="223"/>
      <c r="I520" s="224"/>
      <c r="L520" s="224"/>
      <c r="S520" s="225"/>
    </row>
    <row r="521" ht="15.75" customHeight="1">
      <c r="E521" s="223"/>
      <c r="I521" s="224"/>
      <c r="L521" s="224"/>
      <c r="S521" s="225"/>
    </row>
    <row r="522" ht="15.75" customHeight="1">
      <c r="E522" s="223"/>
      <c r="I522" s="224"/>
      <c r="L522" s="224"/>
      <c r="S522" s="225"/>
    </row>
    <row r="523" ht="15.75" customHeight="1">
      <c r="E523" s="223"/>
      <c r="I523" s="224"/>
      <c r="L523" s="224"/>
      <c r="S523" s="225"/>
    </row>
    <row r="524" ht="15.75" customHeight="1">
      <c r="E524" s="223"/>
      <c r="I524" s="224"/>
      <c r="L524" s="224"/>
      <c r="S524" s="225"/>
    </row>
    <row r="525" ht="15.75" customHeight="1">
      <c r="E525" s="223"/>
      <c r="I525" s="224"/>
      <c r="L525" s="224"/>
      <c r="S525" s="225"/>
    </row>
    <row r="526" ht="15.75" customHeight="1">
      <c r="E526" s="223"/>
      <c r="I526" s="224"/>
      <c r="L526" s="224"/>
      <c r="S526" s="225"/>
    </row>
    <row r="527" ht="15.75" customHeight="1">
      <c r="E527" s="223"/>
      <c r="I527" s="224"/>
      <c r="L527" s="224"/>
      <c r="S527" s="225"/>
    </row>
    <row r="528" ht="15.75" customHeight="1">
      <c r="E528" s="223"/>
      <c r="I528" s="224"/>
      <c r="L528" s="224"/>
      <c r="S528" s="225"/>
    </row>
    <row r="529" ht="15.75" customHeight="1">
      <c r="E529" s="223"/>
      <c r="I529" s="224"/>
      <c r="L529" s="224"/>
      <c r="S529" s="225"/>
    </row>
    <row r="530" ht="15.75" customHeight="1">
      <c r="E530" s="223"/>
      <c r="I530" s="224"/>
      <c r="L530" s="224"/>
      <c r="S530" s="225"/>
    </row>
    <row r="531" ht="15.75" customHeight="1">
      <c r="E531" s="223"/>
      <c r="I531" s="224"/>
      <c r="L531" s="224"/>
      <c r="S531" s="225"/>
    </row>
    <row r="532" ht="15.75" customHeight="1">
      <c r="E532" s="223"/>
      <c r="I532" s="224"/>
      <c r="L532" s="224"/>
      <c r="S532" s="225"/>
    </row>
    <row r="533" ht="15.75" customHeight="1">
      <c r="E533" s="223"/>
      <c r="I533" s="224"/>
      <c r="L533" s="224"/>
      <c r="S533" s="225"/>
    </row>
    <row r="534" ht="15.75" customHeight="1">
      <c r="E534" s="223"/>
      <c r="I534" s="224"/>
      <c r="L534" s="224"/>
      <c r="S534" s="225"/>
    </row>
    <row r="535" ht="15.75" customHeight="1">
      <c r="E535" s="223"/>
      <c r="I535" s="224"/>
      <c r="L535" s="224"/>
      <c r="S535" s="225"/>
    </row>
    <row r="536" ht="15.75" customHeight="1">
      <c r="E536" s="223"/>
      <c r="I536" s="224"/>
      <c r="L536" s="224"/>
      <c r="S536" s="225"/>
    </row>
    <row r="537" ht="15.75" customHeight="1">
      <c r="E537" s="223"/>
      <c r="I537" s="224"/>
      <c r="L537" s="224"/>
      <c r="S537" s="225"/>
    </row>
    <row r="538" ht="15.75" customHeight="1">
      <c r="E538" s="223"/>
      <c r="I538" s="224"/>
      <c r="L538" s="224"/>
      <c r="S538" s="225"/>
    </row>
    <row r="539" ht="15.75" customHeight="1">
      <c r="E539" s="223"/>
      <c r="I539" s="224"/>
      <c r="L539" s="224"/>
      <c r="S539" s="225"/>
    </row>
    <row r="540" ht="15.75" customHeight="1">
      <c r="E540" s="223"/>
      <c r="I540" s="224"/>
      <c r="L540" s="224"/>
      <c r="S540" s="225"/>
    </row>
    <row r="541" ht="15.75" customHeight="1">
      <c r="E541" s="223"/>
      <c r="I541" s="224"/>
      <c r="L541" s="224"/>
      <c r="S541" s="225"/>
    </row>
    <row r="542" ht="15.75" customHeight="1">
      <c r="E542" s="223"/>
      <c r="I542" s="224"/>
      <c r="L542" s="224"/>
      <c r="S542" s="225"/>
    </row>
    <row r="543" ht="15.75" customHeight="1">
      <c r="E543" s="223"/>
      <c r="I543" s="224"/>
      <c r="L543" s="224"/>
      <c r="S543" s="225"/>
    </row>
    <row r="544" ht="15.75" customHeight="1">
      <c r="E544" s="223"/>
      <c r="I544" s="224"/>
      <c r="L544" s="224"/>
      <c r="S544" s="225"/>
    </row>
    <row r="545" ht="15.75" customHeight="1">
      <c r="E545" s="223"/>
      <c r="I545" s="224"/>
      <c r="L545" s="224"/>
      <c r="S545" s="225"/>
    </row>
    <row r="546" ht="15.75" customHeight="1">
      <c r="E546" s="223"/>
      <c r="I546" s="224"/>
      <c r="L546" s="224"/>
      <c r="S546" s="225"/>
    </row>
    <row r="547" ht="15.75" customHeight="1">
      <c r="E547" s="223"/>
      <c r="I547" s="224"/>
      <c r="L547" s="224"/>
      <c r="S547" s="225"/>
    </row>
    <row r="548" ht="15.75" customHeight="1">
      <c r="E548" s="223"/>
      <c r="I548" s="224"/>
      <c r="L548" s="224"/>
      <c r="S548" s="225"/>
    </row>
    <row r="549" ht="15.75" customHeight="1">
      <c r="E549" s="223"/>
      <c r="I549" s="224"/>
      <c r="L549" s="224"/>
      <c r="S549" s="225"/>
    </row>
    <row r="550" ht="15.75" customHeight="1">
      <c r="E550" s="223"/>
      <c r="I550" s="224"/>
      <c r="L550" s="224"/>
      <c r="S550" s="225"/>
    </row>
    <row r="551" ht="15.75" customHeight="1">
      <c r="E551" s="223"/>
      <c r="I551" s="224"/>
      <c r="L551" s="224"/>
      <c r="S551" s="225"/>
    </row>
    <row r="552" ht="15.75" customHeight="1">
      <c r="E552" s="223"/>
      <c r="I552" s="224"/>
      <c r="L552" s="224"/>
      <c r="S552" s="225"/>
    </row>
    <row r="553" ht="15.75" customHeight="1">
      <c r="E553" s="223"/>
      <c r="I553" s="224"/>
      <c r="L553" s="224"/>
      <c r="S553" s="225"/>
    </row>
    <row r="554" ht="15.75" customHeight="1">
      <c r="E554" s="223"/>
      <c r="I554" s="224"/>
      <c r="L554" s="224"/>
      <c r="S554" s="225"/>
    </row>
    <row r="555" ht="15.75" customHeight="1">
      <c r="E555" s="223"/>
      <c r="I555" s="224"/>
      <c r="L555" s="224"/>
      <c r="S555" s="225"/>
    </row>
    <row r="556" ht="15.75" customHeight="1">
      <c r="E556" s="223"/>
      <c r="I556" s="224"/>
      <c r="L556" s="224"/>
      <c r="S556" s="225"/>
    </row>
    <row r="557" ht="15.75" customHeight="1">
      <c r="E557" s="223"/>
      <c r="I557" s="224"/>
      <c r="L557" s="224"/>
      <c r="S557" s="225"/>
    </row>
    <row r="558" ht="15.75" customHeight="1">
      <c r="E558" s="223"/>
      <c r="I558" s="224"/>
      <c r="L558" s="224"/>
      <c r="S558" s="225"/>
    </row>
    <row r="559" ht="15.75" customHeight="1">
      <c r="E559" s="223"/>
      <c r="I559" s="224"/>
      <c r="L559" s="224"/>
      <c r="S559" s="225"/>
    </row>
    <row r="560" ht="15.75" customHeight="1">
      <c r="E560" s="223"/>
      <c r="I560" s="224"/>
      <c r="L560" s="224"/>
      <c r="S560" s="225"/>
    </row>
    <row r="561" ht="15.75" customHeight="1">
      <c r="E561" s="223"/>
      <c r="I561" s="224"/>
      <c r="L561" s="224"/>
      <c r="S561" s="225"/>
    </row>
    <row r="562" ht="15.75" customHeight="1">
      <c r="E562" s="223"/>
      <c r="I562" s="224"/>
      <c r="L562" s="224"/>
      <c r="S562" s="225"/>
    </row>
    <row r="563" ht="15.75" customHeight="1">
      <c r="E563" s="223"/>
      <c r="I563" s="224"/>
      <c r="L563" s="224"/>
      <c r="S563" s="225"/>
    </row>
    <row r="564" ht="15.75" customHeight="1">
      <c r="E564" s="223"/>
      <c r="I564" s="224"/>
      <c r="L564" s="224"/>
      <c r="S564" s="225"/>
    </row>
    <row r="565" ht="15.75" customHeight="1">
      <c r="E565" s="223"/>
      <c r="I565" s="224"/>
      <c r="L565" s="224"/>
      <c r="S565" s="225"/>
    </row>
    <row r="566" ht="15.75" customHeight="1">
      <c r="E566" s="223"/>
      <c r="I566" s="224"/>
      <c r="L566" s="224"/>
      <c r="S566" s="225"/>
    </row>
    <row r="567" ht="15.75" customHeight="1">
      <c r="E567" s="223"/>
      <c r="I567" s="224"/>
      <c r="L567" s="224"/>
      <c r="S567" s="225"/>
    </row>
    <row r="568" ht="15.75" customHeight="1">
      <c r="E568" s="223"/>
      <c r="I568" s="224"/>
      <c r="L568" s="224"/>
      <c r="S568" s="225"/>
    </row>
    <row r="569" ht="15.75" customHeight="1">
      <c r="E569" s="223"/>
      <c r="I569" s="224"/>
      <c r="L569" s="224"/>
      <c r="S569" s="225"/>
    </row>
    <row r="570" ht="15.75" customHeight="1">
      <c r="E570" s="223"/>
      <c r="I570" s="224"/>
      <c r="L570" s="224"/>
      <c r="S570" s="225"/>
    </row>
    <row r="571" ht="15.75" customHeight="1">
      <c r="E571" s="223"/>
      <c r="I571" s="224"/>
      <c r="L571" s="224"/>
      <c r="S571" s="225"/>
    </row>
    <row r="572" ht="15.75" customHeight="1">
      <c r="E572" s="223"/>
      <c r="I572" s="224"/>
      <c r="L572" s="224"/>
      <c r="S572" s="225"/>
    </row>
    <row r="573" ht="15.75" customHeight="1">
      <c r="E573" s="223"/>
      <c r="I573" s="224"/>
      <c r="L573" s="224"/>
      <c r="S573" s="225"/>
    </row>
    <row r="574" ht="15.75" customHeight="1">
      <c r="E574" s="223"/>
      <c r="I574" s="224"/>
      <c r="L574" s="224"/>
      <c r="S574" s="225"/>
    </row>
    <row r="575" ht="15.75" customHeight="1">
      <c r="E575" s="223"/>
      <c r="I575" s="224"/>
      <c r="L575" s="224"/>
      <c r="S575" s="225"/>
    </row>
    <row r="576" ht="15.75" customHeight="1">
      <c r="E576" s="223"/>
      <c r="I576" s="224"/>
      <c r="L576" s="224"/>
      <c r="S576" s="225"/>
    </row>
    <row r="577" ht="15.75" customHeight="1">
      <c r="E577" s="223"/>
      <c r="I577" s="224"/>
      <c r="L577" s="224"/>
      <c r="S577" s="225"/>
    </row>
    <row r="578" ht="15.75" customHeight="1">
      <c r="E578" s="223"/>
      <c r="I578" s="224"/>
      <c r="L578" s="224"/>
      <c r="S578" s="225"/>
    </row>
    <row r="579" ht="15.75" customHeight="1">
      <c r="E579" s="223"/>
      <c r="I579" s="224"/>
      <c r="L579" s="224"/>
      <c r="S579" s="225"/>
    </row>
    <row r="580" ht="15.75" customHeight="1">
      <c r="E580" s="223"/>
      <c r="I580" s="224"/>
      <c r="L580" s="224"/>
      <c r="S580" s="225"/>
    </row>
    <row r="581" ht="15.75" customHeight="1">
      <c r="E581" s="223"/>
      <c r="I581" s="224"/>
      <c r="L581" s="224"/>
      <c r="S581" s="225"/>
    </row>
    <row r="582" ht="15.75" customHeight="1">
      <c r="E582" s="223"/>
      <c r="I582" s="224"/>
      <c r="L582" s="224"/>
      <c r="S582" s="225"/>
    </row>
    <row r="583" ht="15.75" customHeight="1">
      <c r="E583" s="223"/>
      <c r="I583" s="224"/>
      <c r="L583" s="224"/>
      <c r="S583" s="225"/>
    </row>
    <row r="584" ht="15.75" customHeight="1">
      <c r="E584" s="223"/>
      <c r="I584" s="224"/>
      <c r="L584" s="224"/>
      <c r="S584" s="225"/>
    </row>
    <row r="585" ht="15.75" customHeight="1">
      <c r="E585" s="223"/>
      <c r="I585" s="224"/>
      <c r="L585" s="224"/>
      <c r="S585" s="225"/>
    </row>
    <row r="586" ht="15.75" customHeight="1">
      <c r="E586" s="223"/>
      <c r="I586" s="224"/>
      <c r="L586" s="224"/>
      <c r="S586" s="225"/>
    </row>
    <row r="587" ht="15.75" customHeight="1">
      <c r="E587" s="223"/>
      <c r="I587" s="224"/>
      <c r="L587" s="224"/>
      <c r="S587" s="225"/>
    </row>
    <row r="588" ht="15.75" customHeight="1">
      <c r="E588" s="223"/>
      <c r="I588" s="224"/>
      <c r="L588" s="224"/>
      <c r="S588" s="225"/>
    </row>
    <row r="589" ht="15.75" customHeight="1">
      <c r="E589" s="223"/>
      <c r="I589" s="224"/>
      <c r="L589" s="224"/>
      <c r="S589" s="225"/>
    </row>
    <row r="590" ht="15.75" customHeight="1">
      <c r="E590" s="223"/>
      <c r="I590" s="224"/>
      <c r="L590" s="224"/>
      <c r="S590" s="225"/>
    </row>
    <row r="591" ht="15.75" customHeight="1">
      <c r="E591" s="223"/>
      <c r="I591" s="224"/>
      <c r="L591" s="224"/>
      <c r="S591" s="225"/>
    </row>
    <row r="592" ht="15.75" customHeight="1">
      <c r="E592" s="223"/>
      <c r="I592" s="224"/>
      <c r="L592" s="224"/>
      <c r="S592" s="225"/>
    </row>
    <row r="593" ht="15.75" customHeight="1">
      <c r="E593" s="223"/>
      <c r="I593" s="224"/>
      <c r="L593" s="224"/>
      <c r="S593" s="225"/>
    </row>
    <row r="594" ht="15.75" customHeight="1">
      <c r="E594" s="223"/>
      <c r="I594" s="224"/>
      <c r="L594" s="224"/>
      <c r="S594" s="225"/>
    </row>
    <row r="595" ht="15.75" customHeight="1">
      <c r="E595" s="223"/>
      <c r="I595" s="224"/>
      <c r="L595" s="224"/>
      <c r="S595" s="225"/>
    </row>
    <row r="596" ht="15.75" customHeight="1">
      <c r="E596" s="223"/>
      <c r="I596" s="224"/>
      <c r="L596" s="224"/>
      <c r="S596" s="225"/>
    </row>
    <row r="597" ht="15.75" customHeight="1">
      <c r="E597" s="223"/>
      <c r="I597" s="224"/>
      <c r="L597" s="224"/>
      <c r="S597" s="225"/>
    </row>
    <row r="598" ht="15.75" customHeight="1">
      <c r="E598" s="223"/>
      <c r="I598" s="224"/>
      <c r="L598" s="224"/>
      <c r="S598" s="225"/>
    </row>
    <row r="599" ht="15.75" customHeight="1">
      <c r="E599" s="223"/>
      <c r="I599" s="224"/>
      <c r="L599" s="224"/>
      <c r="S599" s="225"/>
    </row>
    <row r="600" ht="15.75" customHeight="1">
      <c r="E600" s="223"/>
      <c r="I600" s="224"/>
      <c r="L600" s="224"/>
      <c r="S600" s="225"/>
    </row>
    <row r="601" ht="15.75" customHeight="1">
      <c r="E601" s="223"/>
      <c r="I601" s="224"/>
      <c r="L601" s="224"/>
      <c r="S601" s="225"/>
    </row>
    <row r="602" ht="15.75" customHeight="1">
      <c r="E602" s="223"/>
      <c r="I602" s="224"/>
      <c r="L602" s="224"/>
      <c r="S602" s="225"/>
    </row>
    <row r="603" ht="15.75" customHeight="1">
      <c r="E603" s="223"/>
      <c r="I603" s="224"/>
      <c r="L603" s="224"/>
      <c r="S603" s="225"/>
    </row>
    <row r="604" ht="15.75" customHeight="1">
      <c r="E604" s="223"/>
      <c r="I604" s="224"/>
      <c r="L604" s="224"/>
      <c r="S604" s="225"/>
    </row>
    <row r="605" ht="15.75" customHeight="1">
      <c r="E605" s="223"/>
      <c r="I605" s="224"/>
      <c r="L605" s="224"/>
      <c r="S605" s="225"/>
    </row>
    <row r="606" ht="15.75" customHeight="1">
      <c r="E606" s="223"/>
      <c r="I606" s="224"/>
      <c r="L606" s="224"/>
      <c r="S606" s="225"/>
    </row>
    <row r="607" ht="15.75" customHeight="1">
      <c r="E607" s="223"/>
      <c r="I607" s="224"/>
      <c r="L607" s="224"/>
      <c r="S607" s="225"/>
    </row>
    <row r="608" ht="15.75" customHeight="1">
      <c r="E608" s="223"/>
      <c r="I608" s="224"/>
      <c r="L608" s="224"/>
      <c r="S608" s="225"/>
    </row>
    <row r="609" ht="15.75" customHeight="1">
      <c r="E609" s="223"/>
      <c r="I609" s="224"/>
      <c r="L609" s="224"/>
      <c r="S609" s="225"/>
    </row>
    <row r="610" ht="15.75" customHeight="1">
      <c r="E610" s="223"/>
      <c r="I610" s="224"/>
      <c r="L610" s="224"/>
      <c r="S610" s="225"/>
    </row>
    <row r="611" ht="15.75" customHeight="1">
      <c r="E611" s="223"/>
      <c r="I611" s="224"/>
      <c r="L611" s="224"/>
      <c r="S611" s="225"/>
    </row>
    <row r="612" ht="15.75" customHeight="1">
      <c r="E612" s="223"/>
      <c r="I612" s="224"/>
      <c r="L612" s="224"/>
      <c r="S612" s="225"/>
    </row>
    <row r="613" ht="15.75" customHeight="1">
      <c r="E613" s="223"/>
      <c r="I613" s="224"/>
      <c r="L613" s="224"/>
      <c r="S613" s="225"/>
    </row>
    <row r="614" ht="15.75" customHeight="1">
      <c r="E614" s="223"/>
      <c r="I614" s="224"/>
      <c r="L614" s="224"/>
      <c r="S614" s="225"/>
    </row>
    <row r="615" ht="15.75" customHeight="1">
      <c r="E615" s="223"/>
      <c r="I615" s="224"/>
      <c r="L615" s="224"/>
      <c r="S615" s="225"/>
    </row>
    <row r="616" ht="15.75" customHeight="1">
      <c r="E616" s="223"/>
      <c r="I616" s="224"/>
      <c r="L616" s="224"/>
      <c r="S616" s="225"/>
    </row>
    <row r="617" ht="15.75" customHeight="1">
      <c r="E617" s="223"/>
      <c r="I617" s="224"/>
      <c r="L617" s="224"/>
      <c r="S617" s="225"/>
    </row>
    <row r="618" ht="15.75" customHeight="1">
      <c r="E618" s="223"/>
      <c r="I618" s="224"/>
      <c r="L618" s="224"/>
      <c r="S618" s="225"/>
    </row>
    <row r="619" ht="15.75" customHeight="1">
      <c r="E619" s="223"/>
      <c r="I619" s="224"/>
      <c r="L619" s="224"/>
      <c r="S619" s="225"/>
    </row>
    <row r="620" ht="15.75" customHeight="1">
      <c r="E620" s="223"/>
      <c r="I620" s="224"/>
      <c r="L620" s="224"/>
      <c r="S620" s="225"/>
    </row>
    <row r="621" ht="15.75" customHeight="1">
      <c r="E621" s="223"/>
      <c r="I621" s="224"/>
      <c r="L621" s="224"/>
      <c r="S621" s="225"/>
    </row>
    <row r="622" ht="15.75" customHeight="1">
      <c r="E622" s="223"/>
      <c r="I622" s="224"/>
      <c r="L622" s="224"/>
      <c r="S622" s="225"/>
    </row>
    <row r="623" ht="15.75" customHeight="1">
      <c r="E623" s="223"/>
      <c r="I623" s="224"/>
      <c r="L623" s="224"/>
      <c r="S623" s="225"/>
    </row>
    <row r="624" ht="15.75" customHeight="1">
      <c r="E624" s="223"/>
      <c r="I624" s="224"/>
      <c r="L624" s="224"/>
      <c r="S624" s="225"/>
    </row>
    <row r="625" ht="15.75" customHeight="1">
      <c r="E625" s="223"/>
      <c r="I625" s="224"/>
      <c r="L625" s="224"/>
      <c r="S625" s="225"/>
    </row>
    <row r="626" ht="15.75" customHeight="1">
      <c r="E626" s="223"/>
      <c r="I626" s="224"/>
      <c r="L626" s="224"/>
      <c r="S626" s="225"/>
    </row>
    <row r="627" ht="15.75" customHeight="1">
      <c r="E627" s="223"/>
      <c r="I627" s="224"/>
      <c r="L627" s="224"/>
      <c r="S627" s="225"/>
    </row>
    <row r="628" ht="15.75" customHeight="1">
      <c r="E628" s="223"/>
      <c r="I628" s="224"/>
      <c r="L628" s="224"/>
      <c r="S628" s="225"/>
    </row>
    <row r="629" ht="15.75" customHeight="1">
      <c r="E629" s="223"/>
      <c r="I629" s="224"/>
      <c r="L629" s="224"/>
      <c r="S629" s="225"/>
    </row>
    <row r="630" ht="15.75" customHeight="1">
      <c r="E630" s="223"/>
      <c r="I630" s="224"/>
      <c r="L630" s="224"/>
      <c r="S630" s="225"/>
    </row>
    <row r="631" ht="15.75" customHeight="1">
      <c r="E631" s="223"/>
      <c r="I631" s="224"/>
      <c r="L631" s="224"/>
      <c r="S631" s="225"/>
    </row>
    <row r="632" ht="15.75" customHeight="1">
      <c r="E632" s="223"/>
      <c r="I632" s="224"/>
      <c r="L632" s="224"/>
      <c r="S632" s="225"/>
    </row>
    <row r="633" ht="15.75" customHeight="1">
      <c r="E633" s="223"/>
      <c r="I633" s="224"/>
      <c r="L633" s="224"/>
      <c r="S633" s="225"/>
    </row>
    <row r="634" ht="15.75" customHeight="1">
      <c r="E634" s="223"/>
      <c r="I634" s="224"/>
      <c r="L634" s="224"/>
      <c r="S634" s="225"/>
    </row>
    <row r="635" ht="15.75" customHeight="1">
      <c r="E635" s="223"/>
      <c r="I635" s="224"/>
      <c r="L635" s="224"/>
      <c r="S635" s="225"/>
    </row>
    <row r="636" ht="15.75" customHeight="1">
      <c r="E636" s="223"/>
      <c r="I636" s="224"/>
      <c r="L636" s="224"/>
      <c r="S636" s="225"/>
    </row>
    <row r="637" ht="15.75" customHeight="1">
      <c r="E637" s="223"/>
      <c r="I637" s="224"/>
      <c r="L637" s="224"/>
      <c r="S637" s="225"/>
    </row>
    <row r="638" ht="15.75" customHeight="1">
      <c r="E638" s="223"/>
      <c r="I638" s="224"/>
      <c r="L638" s="224"/>
      <c r="S638" s="225"/>
    </row>
    <row r="639" ht="15.75" customHeight="1">
      <c r="E639" s="223"/>
      <c r="I639" s="224"/>
      <c r="L639" s="224"/>
      <c r="S639" s="225"/>
    </row>
    <row r="640" ht="15.75" customHeight="1">
      <c r="E640" s="223"/>
      <c r="I640" s="224"/>
      <c r="L640" s="224"/>
      <c r="S640" s="225"/>
    </row>
    <row r="641" ht="15.75" customHeight="1">
      <c r="E641" s="223"/>
      <c r="I641" s="224"/>
      <c r="L641" s="224"/>
      <c r="S641" s="225"/>
    </row>
    <row r="642" ht="15.75" customHeight="1">
      <c r="E642" s="223"/>
      <c r="I642" s="224"/>
      <c r="L642" s="224"/>
      <c r="S642" s="225"/>
    </row>
    <row r="643" ht="15.75" customHeight="1">
      <c r="E643" s="223"/>
      <c r="I643" s="224"/>
      <c r="L643" s="224"/>
      <c r="S643" s="225"/>
    </row>
    <row r="644" ht="15.75" customHeight="1">
      <c r="E644" s="223"/>
      <c r="I644" s="224"/>
      <c r="L644" s="224"/>
      <c r="S644" s="225"/>
    </row>
    <row r="645" ht="15.75" customHeight="1">
      <c r="E645" s="223"/>
      <c r="I645" s="224"/>
      <c r="L645" s="224"/>
      <c r="S645" s="225"/>
    </row>
    <row r="646" ht="15.75" customHeight="1">
      <c r="E646" s="223"/>
      <c r="I646" s="224"/>
      <c r="L646" s="224"/>
      <c r="S646" s="225"/>
    </row>
    <row r="647" ht="15.75" customHeight="1">
      <c r="E647" s="223"/>
      <c r="I647" s="224"/>
      <c r="L647" s="224"/>
      <c r="S647" s="225"/>
    </row>
    <row r="648" ht="15.75" customHeight="1">
      <c r="E648" s="223"/>
      <c r="I648" s="224"/>
      <c r="L648" s="224"/>
      <c r="S648" s="225"/>
    </row>
    <row r="649" ht="15.75" customHeight="1">
      <c r="E649" s="223"/>
      <c r="I649" s="224"/>
      <c r="L649" s="224"/>
      <c r="S649" s="225"/>
    </row>
    <row r="650" ht="15.75" customHeight="1">
      <c r="E650" s="223"/>
      <c r="I650" s="224"/>
      <c r="L650" s="224"/>
      <c r="S650" s="225"/>
    </row>
    <row r="651" ht="15.75" customHeight="1">
      <c r="E651" s="223"/>
      <c r="I651" s="224"/>
      <c r="L651" s="224"/>
      <c r="S651" s="225"/>
    </row>
    <row r="652" ht="15.75" customHeight="1">
      <c r="E652" s="223"/>
      <c r="I652" s="224"/>
      <c r="L652" s="224"/>
      <c r="S652" s="225"/>
    </row>
    <row r="653" ht="15.75" customHeight="1">
      <c r="E653" s="223"/>
      <c r="I653" s="224"/>
      <c r="L653" s="224"/>
      <c r="S653" s="225"/>
    </row>
    <row r="654" ht="15.75" customHeight="1">
      <c r="E654" s="223"/>
      <c r="I654" s="224"/>
      <c r="L654" s="224"/>
      <c r="S654" s="225"/>
    </row>
    <row r="655" ht="15.75" customHeight="1">
      <c r="E655" s="223"/>
      <c r="I655" s="224"/>
      <c r="L655" s="224"/>
      <c r="S655" s="225"/>
    </row>
    <row r="656" ht="15.75" customHeight="1">
      <c r="E656" s="223"/>
      <c r="I656" s="224"/>
      <c r="L656" s="224"/>
      <c r="S656" s="225"/>
    </row>
    <row r="657" ht="15.75" customHeight="1">
      <c r="E657" s="223"/>
      <c r="I657" s="224"/>
      <c r="L657" s="224"/>
      <c r="S657" s="225"/>
    </row>
    <row r="658" ht="15.75" customHeight="1">
      <c r="E658" s="223"/>
      <c r="I658" s="224"/>
      <c r="L658" s="224"/>
      <c r="S658" s="225"/>
    </row>
    <row r="659" ht="15.75" customHeight="1">
      <c r="E659" s="223"/>
      <c r="I659" s="224"/>
      <c r="L659" s="224"/>
      <c r="S659" s="225"/>
    </row>
    <row r="660" ht="15.75" customHeight="1">
      <c r="E660" s="223"/>
      <c r="I660" s="224"/>
      <c r="L660" s="224"/>
      <c r="S660" s="225"/>
    </row>
    <row r="661" ht="15.75" customHeight="1">
      <c r="E661" s="223"/>
      <c r="I661" s="224"/>
      <c r="L661" s="224"/>
      <c r="S661" s="225"/>
    </row>
    <row r="662" ht="15.75" customHeight="1">
      <c r="E662" s="223"/>
      <c r="I662" s="224"/>
      <c r="L662" s="224"/>
      <c r="S662" s="225"/>
    </row>
    <row r="663" ht="15.75" customHeight="1">
      <c r="E663" s="223"/>
      <c r="I663" s="224"/>
      <c r="L663" s="224"/>
      <c r="S663" s="225"/>
    </row>
    <row r="664" ht="15.75" customHeight="1">
      <c r="E664" s="223"/>
      <c r="I664" s="224"/>
      <c r="L664" s="224"/>
      <c r="S664" s="225"/>
    </row>
    <row r="665" ht="15.75" customHeight="1">
      <c r="E665" s="223"/>
      <c r="I665" s="224"/>
      <c r="L665" s="224"/>
      <c r="S665" s="225"/>
    </row>
    <row r="666" ht="15.75" customHeight="1">
      <c r="E666" s="223"/>
      <c r="I666" s="224"/>
      <c r="L666" s="224"/>
      <c r="S666" s="225"/>
    </row>
    <row r="667" ht="15.75" customHeight="1">
      <c r="E667" s="223"/>
      <c r="I667" s="224"/>
      <c r="L667" s="224"/>
      <c r="S667" s="225"/>
    </row>
    <row r="668" ht="15.75" customHeight="1">
      <c r="E668" s="223"/>
      <c r="I668" s="224"/>
      <c r="L668" s="224"/>
      <c r="S668" s="225"/>
    </row>
    <row r="669" ht="15.75" customHeight="1">
      <c r="E669" s="223"/>
      <c r="I669" s="224"/>
      <c r="L669" s="224"/>
      <c r="S669" s="225"/>
    </row>
    <row r="670" ht="15.75" customHeight="1">
      <c r="E670" s="223"/>
      <c r="I670" s="224"/>
      <c r="L670" s="224"/>
      <c r="S670" s="225"/>
    </row>
    <row r="671" ht="15.75" customHeight="1">
      <c r="E671" s="223"/>
      <c r="I671" s="224"/>
      <c r="L671" s="224"/>
      <c r="S671" s="225"/>
    </row>
    <row r="672" ht="15.75" customHeight="1">
      <c r="E672" s="223"/>
      <c r="I672" s="224"/>
      <c r="L672" s="224"/>
      <c r="S672" s="225"/>
    </row>
    <row r="673" ht="15.75" customHeight="1">
      <c r="E673" s="223"/>
      <c r="I673" s="224"/>
      <c r="L673" s="224"/>
      <c r="S673" s="225"/>
    </row>
    <row r="674" ht="15.75" customHeight="1">
      <c r="E674" s="223"/>
      <c r="I674" s="224"/>
      <c r="L674" s="224"/>
      <c r="S674" s="225"/>
    </row>
    <row r="675" ht="15.75" customHeight="1">
      <c r="E675" s="223"/>
      <c r="I675" s="224"/>
      <c r="L675" s="224"/>
      <c r="S675" s="225"/>
    </row>
    <row r="676" ht="15.75" customHeight="1">
      <c r="E676" s="223"/>
      <c r="I676" s="224"/>
      <c r="L676" s="224"/>
      <c r="S676" s="225"/>
    </row>
    <row r="677" ht="15.75" customHeight="1">
      <c r="E677" s="223"/>
      <c r="I677" s="224"/>
      <c r="L677" s="224"/>
      <c r="S677" s="225"/>
    </row>
    <row r="678" ht="15.75" customHeight="1">
      <c r="E678" s="223"/>
      <c r="I678" s="224"/>
      <c r="L678" s="224"/>
      <c r="S678" s="225"/>
    </row>
    <row r="679" ht="15.75" customHeight="1">
      <c r="E679" s="223"/>
      <c r="I679" s="224"/>
      <c r="L679" s="224"/>
      <c r="S679" s="225"/>
    </row>
    <row r="680" ht="15.75" customHeight="1">
      <c r="E680" s="223"/>
      <c r="I680" s="224"/>
      <c r="L680" s="224"/>
      <c r="S680" s="225"/>
    </row>
    <row r="681" ht="15.75" customHeight="1">
      <c r="E681" s="223"/>
      <c r="I681" s="224"/>
      <c r="L681" s="224"/>
      <c r="S681" s="225"/>
    </row>
    <row r="682" ht="15.75" customHeight="1">
      <c r="E682" s="223"/>
      <c r="I682" s="224"/>
      <c r="L682" s="224"/>
      <c r="S682" s="225"/>
    </row>
    <row r="683" ht="15.75" customHeight="1">
      <c r="E683" s="223"/>
      <c r="I683" s="224"/>
      <c r="L683" s="224"/>
      <c r="S683" s="225"/>
    </row>
    <row r="684" ht="15.75" customHeight="1">
      <c r="E684" s="223"/>
      <c r="I684" s="224"/>
      <c r="L684" s="224"/>
      <c r="S684" s="225"/>
    </row>
    <row r="685" ht="15.75" customHeight="1">
      <c r="E685" s="223"/>
      <c r="I685" s="224"/>
      <c r="L685" s="224"/>
      <c r="S685" s="225"/>
    </row>
    <row r="686" ht="15.75" customHeight="1">
      <c r="E686" s="223"/>
      <c r="I686" s="224"/>
      <c r="L686" s="224"/>
      <c r="S686" s="225"/>
    </row>
    <row r="687" ht="15.75" customHeight="1">
      <c r="E687" s="223"/>
      <c r="I687" s="224"/>
      <c r="L687" s="224"/>
      <c r="S687" s="225"/>
    </row>
    <row r="688" ht="15.75" customHeight="1">
      <c r="E688" s="223"/>
      <c r="I688" s="224"/>
      <c r="L688" s="224"/>
      <c r="S688" s="225"/>
    </row>
    <row r="689" ht="15.75" customHeight="1">
      <c r="E689" s="223"/>
      <c r="I689" s="224"/>
      <c r="L689" s="224"/>
      <c r="S689" s="225"/>
    </row>
    <row r="690" ht="15.75" customHeight="1">
      <c r="E690" s="223"/>
      <c r="I690" s="224"/>
      <c r="L690" s="224"/>
      <c r="S690" s="225"/>
    </row>
    <row r="691" ht="15.75" customHeight="1">
      <c r="E691" s="223"/>
      <c r="I691" s="224"/>
      <c r="L691" s="224"/>
      <c r="S691" s="225"/>
    </row>
    <row r="692" ht="15.75" customHeight="1">
      <c r="E692" s="223"/>
      <c r="I692" s="224"/>
      <c r="L692" s="224"/>
      <c r="S692" s="225"/>
    </row>
    <row r="693" ht="15.75" customHeight="1">
      <c r="E693" s="223"/>
      <c r="I693" s="224"/>
      <c r="L693" s="224"/>
      <c r="S693" s="225"/>
    </row>
    <row r="694" ht="15.75" customHeight="1">
      <c r="E694" s="223"/>
      <c r="I694" s="224"/>
      <c r="L694" s="224"/>
      <c r="S694" s="225"/>
    </row>
    <row r="695" ht="15.75" customHeight="1">
      <c r="E695" s="223"/>
      <c r="I695" s="224"/>
      <c r="L695" s="224"/>
      <c r="S695" s="225"/>
    </row>
    <row r="696" ht="15.75" customHeight="1">
      <c r="E696" s="223"/>
      <c r="I696" s="224"/>
      <c r="L696" s="224"/>
      <c r="S696" s="225"/>
    </row>
    <row r="697" ht="15.75" customHeight="1">
      <c r="E697" s="223"/>
      <c r="I697" s="224"/>
      <c r="L697" s="224"/>
      <c r="S697" s="225"/>
    </row>
    <row r="698" ht="15.75" customHeight="1">
      <c r="E698" s="223"/>
      <c r="I698" s="224"/>
      <c r="L698" s="224"/>
      <c r="S698" s="225"/>
    </row>
    <row r="699" ht="15.75" customHeight="1">
      <c r="E699" s="223"/>
      <c r="I699" s="224"/>
      <c r="L699" s="224"/>
      <c r="S699" s="225"/>
    </row>
    <row r="700" ht="15.75" customHeight="1">
      <c r="E700" s="223"/>
      <c r="I700" s="224"/>
      <c r="L700" s="224"/>
      <c r="S700" s="225"/>
    </row>
    <row r="701" ht="15.75" customHeight="1">
      <c r="E701" s="223"/>
      <c r="I701" s="224"/>
      <c r="L701" s="224"/>
      <c r="S701" s="225"/>
    </row>
    <row r="702" ht="15.75" customHeight="1">
      <c r="E702" s="223"/>
      <c r="I702" s="224"/>
      <c r="L702" s="224"/>
      <c r="S702" s="225"/>
    </row>
    <row r="703" ht="15.75" customHeight="1">
      <c r="E703" s="223"/>
      <c r="I703" s="224"/>
      <c r="L703" s="224"/>
      <c r="S703" s="225"/>
    </row>
    <row r="704" ht="15.75" customHeight="1">
      <c r="E704" s="223"/>
      <c r="I704" s="224"/>
      <c r="L704" s="224"/>
      <c r="S704" s="225"/>
    </row>
    <row r="705" ht="15.75" customHeight="1">
      <c r="E705" s="223"/>
      <c r="I705" s="224"/>
      <c r="L705" s="224"/>
      <c r="S705" s="225"/>
    </row>
    <row r="706" ht="15.75" customHeight="1">
      <c r="E706" s="223"/>
      <c r="I706" s="224"/>
      <c r="L706" s="224"/>
      <c r="S706" s="225"/>
    </row>
    <row r="707" ht="15.75" customHeight="1">
      <c r="E707" s="223"/>
      <c r="I707" s="224"/>
      <c r="L707" s="224"/>
      <c r="S707" s="225"/>
    </row>
    <row r="708" ht="15.75" customHeight="1">
      <c r="E708" s="223"/>
      <c r="I708" s="224"/>
      <c r="L708" s="224"/>
      <c r="S708" s="225"/>
    </row>
    <row r="709" ht="15.75" customHeight="1">
      <c r="E709" s="223"/>
      <c r="I709" s="224"/>
      <c r="L709" s="224"/>
      <c r="S709" s="225"/>
    </row>
    <row r="710" ht="15.75" customHeight="1">
      <c r="E710" s="223"/>
      <c r="I710" s="224"/>
      <c r="L710" s="224"/>
      <c r="S710" s="225"/>
    </row>
    <row r="711" ht="15.75" customHeight="1">
      <c r="E711" s="223"/>
      <c r="I711" s="224"/>
      <c r="L711" s="224"/>
      <c r="S711" s="225"/>
    </row>
    <row r="712" ht="15.75" customHeight="1">
      <c r="E712" s="223"/>
      <c r="I712" s="224"/>
      <c r="L712" s="224"/>
      <c r="S712" s="225"/>
    </row>
    <row r="713" ht="15.75" customHeight="1">
      <c r="E713" s="223"/>
      <c r="I713" s="224"/>
      <c r="L713" s="224"/>
      <c r="S713" s="225"/>
    </row>
    <row r="714" ht="15.75" customHeight="1">
      <c r="E714" s="223"/>
      <c r="I714" s="224"/>
      <c r="L714" s="224"/>
      <c r="S714" s="225"/>
    </row>
    <row r="715" ht="15.75" customHeight="1">
      <c r="E715" s="223"/>
      <c r="I715" s="224"/>
      <c r="L715" s="224"/>
      <c r="S715" s="225"/>
    </row>
    <row r="716" ht="15.75" customHeight="1">
      <c r="E716" s="223"/>
      <c r="I716" s="224"/>
      <c r="L716" s="224"/>
      <c r="S716" s="225"/>
    </row>
    <row r="717" ht="15.75" customHeight="1">
      <c r="E717" s="223"/>
      <c r="I717" s="224"/>
      <c r="L717" s="224"/>
      <c r="S717" s="225"/>
    </row>
    <row r="718" ht="15.75" customHeight="1">
      <c r="E718" s="223"/>
      <c r="I718" s="224"/>
      <c r="L718" s="224"/>
      <c r="S718" s="225"/>
    </row>
    <row r="719" ht="15.75" customHeight="1">
      <c r="E719" s="223"/>
      <c r="I719" s="224"/>
      <c r="L719" s="224"/>
      <c r="S719" s="225"/>
    </row>
    <row r="720" ht="15.75" customHeight="1">
      <c r="E720" s="223"/>
      <c r="I720" s="224"/>
      <c r="L720" s="224"/>
      <c r="S720" s="225"/>
    </row>
    <row r="721" ht="15.75" customHeight="1">
      <c r="E721" s="223"/>
      <c r="I721" s="224"/>
      <c r="L721" s="224"/>
      <c r="S721" s="225"/>
    </row>
    <row r="722" ht="15.75" customHeight="1">
      <c r="E722" s="223"/>
      <c r="I722" s="224"/>
      <c r="L722" s="224"/>
      <c r="S722" s="225"/>
    </row>
    <row r="723" ht="15.75" customHeight="1">
      <c r="E723" s="223"/>
      <c r="I723" s="224"/>
      <c r="L723" s="224"/>
      <c r="S723" s="225"/>
    </row>
    <row r="724" ht="15.75" customHeight="1">
      <c r="E724" s="223"/>
      <c r="I724" s="224"/>
      <c r="L724" s="224"/>
      <c r="S724" s="225"/>
    </row>
    <row r="725" ht="15.75" customHeight="1">
      <c r="E725" s="223"/>
      <c r="I725" s="224"/>
      <c r="L725" s="224"/>
      <c r="S725" s="225"/>
    </row>
    <row r="726" ht="15.75" customHeight="1">
      <c r="E726" s="223"/>
      <c r="I726" s="224"/>
      <c r="L726" s="224"/>
      <c r="S726" s="225"/>
    </row>
    <row r="727" ht="15.75" customHeight="1">
      <c r="E727" s="223"/>
      <c r="I727" s="224"/>
      <c r="L727" s="224"/>
      <c r="S727" s="225"/>
    </row>
    <row r="728" ht="15.75" customHeight="1">
      <c r="E728" s="223"/>
      <c r="I728" s="224"/>
      <c r="L728" s="224"/>
      <c r="S728" s="225"/>
    </row>
    <row r="729" ht="15.75" customHeight="1">
      <c r="E729" s="223"/>
      <c r="I729" s="224"/>
      <c r="L729" s="224"/>
      <c r="S729" s="225"/>
    </row>
    <row r="730" ht="15.75" customHeight="1">
      <c r="E730" s="223"/>
      <c r="I730" s="224"/>
      <c r="L730" s="224"/>
      <c r="S730" s="225"/>
    </row>
    <row r="731" ht="15.75" customHeight="1">
      <c r="E731" s="223"/>
      <c r="I731" s="224"/>
      <c r="L731" s="224"/>
      <c r="S731" s="225"/>
    </row>
    <row r="732" ht="15.75" customHeight="1">
      <c r="E732" s="223"/>
      <c r="I732" s="224"/>
      <c r="L732" s="224"/>
      <c r="S732" s="225"/>
    </row>
    <row r="733" ht="15.75" customHeight="1">
      <c r="E733" s="223"/>
      <c r="I733" s="224"/>
      <c r="L733" s="224"/>
      <c r="S733" s="225"/>
    </row>
    <row r="734" ht="15.75" customHeight="1">
      <c r="E734" s="223"/>
      <c r="I734" s="224"/>
      <c r="L734" s="224"/>
      <c r="S734" s="225"/>
    </row>
    <row r="735" ht="15.75" customHeight="1">
      <c r="E735" s="223"/>
      <c r="I735" s="224"/>
      <c r="L735" s="224"/>
      <c r="S735" s="225"/>
    </row>
    <row r="736" ht="15.75" customHeight="1">
      <c r="E736" s="223"/>
      <c r="I736" s="224"/>
      <c r="L736" s="224"/>
      <c r="S736" s="225"/>
    </row>
    <row r="737" ht="15.75" customHeight="1">
      <c r="E737" s="223"/>
      <c r="I737" s="224"/>
      <c r="L737" s="224"/>
      <c r="S737" s="225"/>
    </row>
    <row r="738" ht="15.75" customHeight="1">
      <c r="E738" s="223"/>
      <c r="I738" s="224"/>
      <c r="L738" s="224"/>
      <c r="S738" s="225"/>
    </row>
    <row r="739" ht="15.75" customHeight="1">
      <c r="E739" s="223"/>
      <c r="I739" s="224"/>
      <c r="L739" s="224"/>
      <c r="S739" s="225"/>
    </row>
    <row r="740" ht="15.75" customHeight="1">
      <c r="E740" s="223"/>
      <c r="I740" s="224"/>
      <c r="L740" s="224"/>
      <c r="S740" s="225"/>
    </row>
    <row r="741" ht="15.75" customHeight="1">
      <c r="E741" s="223"/>
      <c r="I741" s="224"/>
      <c r="L741" s="224"/>
      <c r="S741" s="225"/>
    </row>
    <row r="742" ht="15.75" customHeight="1">
      <c r="E742" s="223"/>
      <c r="I742" s="224"/>
      <c r="L742" s="224"/>
      <c r="S742" s="225"/>
    </row>
    <row r="743" ht="15.75" customHeight="1">
      <c r="E743" s="223"/>
      <c r="I743" s="224"/>
      <c r="L743" s="224"/>
      <c r="S743" s="225"/>
    </row>
    <row r="744" ht="15.75" customHeight="1">
      <c r="E744" s="223"/>
      <c r="I744" s="224"/>
      <c r="L744" s="224"/>
      <c r="S744" s="225"/>
    </row>
    <row r="745" ht="15.75" customHeight="1">
      <c r="E745" s="223"/>
      <c r="I745" s="224"/>
      <c r="L745" s="224"/>
      <c r="S745" s="225"/>
    </row>
    <row r="746" ht="15.75" customHeight="1">
      <c r="E746" s="223"/>
      <c r="I746" s="224"/>
      <c r="L746" s="224"/>
      <c r="S746" s="225"/>
    </row>
    <row r="747" ht="15.75" customHeight="1">
      <c r="E747" s="223"/>
      <c r="I747" s="224"/>
      <c r="L747" s="224"/>
      <c r="S747" s="225"/>
    </row>
    <row r="748" ht="15.75" customHeight="1">
      <c r="E748" s="223"/>
      <c r="I748" s="224"/>
      <c r="L748" s="224"/>
      <c r="S748" s="225"/>
    </row>
    <row r="749" ht="15.75" customHeight="1">
      <c r="E749" s="223"/>
      <c r="I749" s="224"/>
      <c r="L749" s="224"/>
      <c r="S749" s="225"/>
    </row>
    <row r="750" ht="15.75" customHeight="1">
      <c r="E750" s="223"/>
      <c r="I750" s="224"/>
      <c r="L750" s="224"/>
      <c r="S750" s="225"/>
    </row>
    <row r="751" ht="15.75" customHeight="1">
      <c r="E751" s="223"/>
      <c r="I751" s="224"/>
      <c r="L751" s="224"/>
      <c r="S751" s="225"/>
    </row>
    <row r="752" ht="15.75" customHeight="1">
      <c r="E752" s="223"/>
      <c r="I752" s="224"/>
      <c r="L752" s="224"/>
      <c r="S752" s="225"/>
    </row>
    <row r="753" ht="15.75" customHeight="1">
      <c r="E753" s="223"/>
      <c r="I753" s="224"/>
      <c r="L753" s="224"/>
      <c r="S753" s="225"/>
    </row>
    <row r="754" ht="15.75" customHeight="1">
      <c r="E754" s="223"/>
      <c r="I754" s="224"/>
      <c r="L754" s="224"/>
      <c r="S754" s="225"/>
    </row>
    <row r="755" ht="15.75" customHeight="1">
      <c r="E755" s="223"/>
      <c r="I755" s="224"/>
      <c r="L755" s="224"/>
      <c r="S755" s="225"/>
    </row>
    <row r="756" ht="15.75" customHeight="1">
      <c r="E756" s="223"/>
      <c r="I756" s="224"/>
      <c r="L756" s="224"/>
      <c r="S756" s="225"/>
    </row>
    <row r="757" ht="15.75" customHeight="1">
      <c r="E757" s="223"/>
      <c r="I757" s="224"/>
      <c r="L757" s="224"/>
      <c r="S757" s="225"/>
    </row>
    <row r="758" ht="15.75" customHeight="1">
      <c r="E758" s="223"/>
      <c r="I758" s="224"/>
      <c r="L758" s="224"/>
      <c r="S758" s="225"/>
    </row>
    <row r="759" ht="15.75" customHeight="1">
      <c r="E759" s="223"/>
      <c r="I759" s="224"/>
      <c r="L759" s="224"/>
      <c r="S759" s="225"/>
    </row>
    <row r="760" ht="15.75" customHeight="1">
      <c r="E760" s="223"/>
      <c r="I760" s="224"/>
      <c r="L760" s="224"/>
      <c r="S760" s="225"/>
    </row>
    <row r="761" ht="15.75" customHeight="1">
      <c r="E761" s="223"/>
      <c r="I761" s="224"/>
      <c r="L761" s="224"/>
      <c r="S761" s="225"/>
    </row>
    <row r="762" ht="15.75" customHeight="1">
      <c r="E762" s="223"/>
      <c r="I762" s="224"/>
      <c r="L762" s="224"/>
      <c r="S762" s="225"/>
    </row>
    <row r="763" ht="15.75" customHeight="1">
      <c r="E763" s="223"/>
      <c r="I763" s="224"/>
      <c r="L763" s="224"/>
      <c r="S763" s="225"/>
    </row>
    <row r="764" ht="15.75" customHeight="1">
      <c r="E764" s="223"/>
      <c r="I764" s="224"/>
      <c r="L764" s="224"/>
      <c r="S764" s="225"/>
    </row>
    <row r="765" ht="15.75" customHeight="1">
      <c r="E765" s="223"/>
      <c r="I765" s="224"/>
      <c r="L765" s="224"/>
      <c r="S765" s="225"/>
    </row>
    <row r="766" ht="15.75" customHeight="1">
      <c r="E766" s="223"/>
      <c r="I766" s="224"/>
      <c r="L766" s="224"/>
      <c r="S766" s="225"/>
    </row>
    <row r="767" ht="15.75" customHeight="1">
      <c r="E767" s="223"/>
      <c r="I767" s="224"/>
      <c r="L767" s="224"/>
      <c r="S767" s="225"/>
    </row>
    <row r="768" ht="15.75" customHeight="1">
      <c r="E768" s="223"/>
      <c r="I768" s="224"/>
      <c r="L768" s="224"/>
      <c r="S768" s="225"/>
    </row>
    <row r="769" ht="15.75" customHeight="1">
      <c r="E769" s="223"/>
      <c r="I769" s="224"/>
      <c r="L769" s="224"/>
      <c r="S769" s="225"/>
    </row>
    <row r="770" ht="15.75" customHeight="1">
      <c r="E770" s="223"/>
      <c r="I770" s="224"/>
      <c r="L770" s="224"/>
      <c r="S770" s="225"/>
    </row>
    <row r="771" ht="15.75" customHeight="1">
      <c r="E771" s="223"/>
      <c r="I771" s="224"/>
      <c r="L771" s="224"/>
      <c r="S771" s="225"/>
    </row>
    <row r="772" ht="15.75" customHeight="1">
      <c r="E772" s="223"/>
      <c r="I772" s="224"/>
      <c r="L772" s="224"/>
      <c r="S772" s="225"/>
    </row>
    <row r="773" ht="15.75" customHeight="1">
      <c r="E773" s="223"/>
      <c r="I773" s="224"/>
      <c r="L773" s="224"/>
      <c r="S773" s="225"/>
    </row>
    <row r="774" ht="15.75" customHeight="1">
      <c r="E774" s="223"/>
      <c r="I774" s="224"/>
      <c r="L774" s="224"/>
      <c r="S774" s="225"/>
    </row>
    <row r="775" ht="15.75" customHeight="1">
      <c r="E775" s="223"/>
      <c r="I775" s="224"/>
      <c r="L775" s="224"/>
      <c r="S775" s="225"/>
    </row>
    <row r="776" ht="15.75" customHeight="1">
      <c r="E776" s="223"/>
      <c r="I776" s="224"/>
      <c r="L776" s="224"/>
      <c r="S776" s="225"/>
    </row>
    <row r="777" ht="15.75" customHeight="1">
      <c r="E777" s="223"/>
      <c r="I777" s="224"/>
      <c r="L777" s="224"/>
      <c r="S777" s="225"/>
    </row>
    <row r="778" ht="15.75" customHeight="1">
      <c r="E778" s="223"/>
      <c r="I778" s="224"/>
      <c r="L778" s="224"/>
      <c r="S778" s="225"/>
    </row>
    <row r="779" ht="15.75" customHeight="1">
      <c r="E779" s="223"/>
      <c r="I779" s="224"/>
      <c r="L779" s="224"/>
      <c r="S779" s="225"/>
    </row>
    <row r="780" ht="15.75" customHeight="1">
      <c r="E780" s="223"/>
      <c r="I780" s="224"/>
      <c r="L780" s="224"/>
      <c r="S780" s="225"/>
    </row>
    <row r="781" ht="15.75" customHeight="1">
      <c r="E781" s="223"/>
      <c r="I781" s="224"/>
      <c r="L781" s="224"/>
      <c r="S781" s="225"/>
    </row>
    <row r="782" ht="15.75" customHeight="1">
      <c r="E782" s="223"/>
      <c r="I782" s="224"/>
      <c r="L782" s="224"/>
      <c r="S782" s="225"/>
    </row>
    <row r="783" ht="15.75" customHeight="1">
      <c r="E783" s="223"/>
      <c r="I783" s="224"/>
      <c r="L783" s="224"/>
      <c r="S783" s="225"/>
    </row>
    <row r="784" ht="15.75" customHeight="1">
      <c r="E784" s="223"/>
      <c r="I784" s="224"/>
      <c r="L784" s="224"/>
      <c r="S784" s="225"/>
    </row>
    <row r="785" ht="15.75" customHeight="1">
      <c r="E785" s="223"/>
      <c r="I785" s="224"/>
      <c r="L785" s="224"/>
      <c r="S785" s="225"/>
    </row>
    <row r="786" ht="15.75" customHeight="1">
      <c r="E786" s="223"/>
      <c r="I786" s="224"/>
      <c r="L786" s="224"/>
      <c r="S786" s="225"/>
    </row>
    <row r="787" ht="15.75" customHeight="1">
      <c r="E787" s="223"/>
      <c r="I787" s="224"/>
      <c r="L787" s="224"/>
      <c r="S787" s="225"/>
    </row>
    <row r="788" ht="15.75" customHeight="1">
      <c r="E788" s="223"/>
      <c r="I788" s="224"/>
      <c r="L788" s="224"/>
      <c r="S788" s="225"/>
    </row>
    <row r="789" ht="15.75" customHeight="1">
      <c r="E789" s="223"/>
      <c r="I789" s="224"/>
      <c r="L789" s="224"/>
      <c r="S789" s="225"/>
    </row>
    <row r="790" ht="15.75" customHeight="1">
      <c r="E790" s="223"/>
      <c r="I790" s="224"/>
      <c r="L790" s="224"/>
      <c r="S790" s="225"/>
    </row>
    <row r="791" ht="15.75" customHeight="1">
      <c r="E791" s="223"/>
      <c r="I791" s="224"/>
      <c r="L791" s="224"/>
      <c r="S791" s="225"/>
    </row>
    <row r="792" ht="15.75" customHeight="1">
      <c r="E792" s="223"/>
      <c r="I792" s="224"/>
      <c r="L792" s="224"/>
      <c r="S792" s="225"/>
    </row>
    <row r="793" ht="15.75" customHeight="1">
      <c r="E793" s="223"/>
      <c r="I793" s="224"/>
      <c r="L793" s="224"/>
      <c r="S793" s="225"/>
    </row>
    <row r="794" ht="15.75" customHeight="1">
      <c r="E794" s="223"/>
      <c r="I794" s="224"/>
      <c r="L794" s="224"/>
      <c r="S794" s="225"/>
    </row>
    <row r="795" ht="15.75" customHeight="1">
      <c r="E795" s="223"/>
      <c r="I795" s="224"/>
      <c r="L795" s="224"/>
      <c r="S795" s="225"/>
    </row>
    <row r="796" ht="15.75" customHeight="1">
      <c r="E796" s="223"/>
      <c r="I796" s="224"/>
      <c r="L796" s="224"/>
      <c r="S796" s="225"/>
    </row>
    <row r="797" ht="15.75" customHeight="1">
      <c r="E797" s="223"/>
      <c r="I797" s="224"/>
      <c r="L797" s="224"/>
      <c r="S797" s="225"/>
    </row>
    <row r="798" ht="15.75" customHeight="1">
      <c r="E798" s="223"/>
      <c r="I798" s="224"/>
      <c r="L798" s="224"/>
      <c r="S798" s="225"/>
    </row>
    <row r="799" ht="15.75" customHeight="1">
      <c r="E799" s="223"/>
      <c r="I799" s="224"/>
      <c r="L799" s="224"/>
      <c r="S799" s="225"/>
    </row>
    <row r="800" ht="15.75" customHeight="1">
      <c r="E800" s="223"/>
      <c r="I800" s="224"/>
      <c r="L800" s="224"/>
      <c r="S800" s="225"/>
    </row>
    <row r="801" ht="15.75" customHeight="1">
      <c r="E801" s="223"/>
      <c r="I801" s="224"/>
      <c r="L801" s="224"/>
      <c r="S801" s="225"/>
    </row>
    <row r="802" ht="15.75" customHeight="1">
      <c r="E802" s="223"/>
      <c r="I802" s="224"/>
      <c r="L802" s="224"/>
      <c r="S802" s="225"/>
    </row>
    <row r="803" ht="15.75" customHeight="1">
      <c r="E803" s="223"/>
      <c r="I803" s="224"/>
      <c r="L803" s="224"/>
      <c r="S803" s="225"/>
    </row>
    <row r="804" ht="15.75" customHeight="1">
      <c r="E804" s="223"/>
      <c r="I804" s="224"/>
      <c r="L804" s="224"/>
      <c r="S804" s="225"/>
    </row>
    <row r="805" ht="15.75" customHeight="1">
      <c r="E805" s="223"/>
      <c r="I805" s="224"/>
      <c r="L805" s="224"/>
      <c r="S805" s="225"/>
    </row>
    <row r="806" ht="15.75" customHeight="1">
      <c r="E806" s="223"/>
      <c r="I806" s="224"/>
      <c r="L806" s="224"/>
      <c r="S806" s="225"/>
    </row>
    <row r="807" ht="15.75" customHeight="1">
      <c r="E807" s="223"/>
      <c r="I807" s="224"/>
      <c r="L807" s="224"/>
      <c r="S807" s="225"/>
    </row>
    <row r="808" ht="15.75" customHeight="1">
      <c r="E808" s="223"/>
      <c r="I808" s="224"/>
      <c r="L808" s="224"/>
      <c r="S808" s="225"/>
    </row>
    <row r="809" ht="15.75" customHeight="1">
      <c r="E809" s="223"/>
      <c r="I809" s="224"/>
      <c r="L809" s="224"/>
      <c r="S809" s="225"/>
    </row>
    <row r="810" ht="15.75" customHeight="1">
      <c r="E810" s="223"/>
      <c r="I810" s="224"/>
      <c r="L810" s="224"/>
      <c r="S810" s="225"/>
    </row>
    <row r="811" ht="15.75" customHeight="1">
      <c r="E811" s="223"/>
      <c r="I811" s="224"/>
      <c r="L811" s="224"/>
      <c r="S811" s="225"/>
    </row>
    <row r="812" ht="15.75" customHeight="1">
      <c r="E812" s="223"/>
      <c r="I812" s="224"/>
      <c r="L812" s="224"/>
      <c r="S812" s="225"/>
    </row>
    <row r="813" ht="15.75" customHeight="1">
      <c r="E813" s="223"/>
      <c r="I813" s="224"/>
      <c r="L813" s="224"/>
      <c r="S813" s="225"/>
    </row>
    <row r="814" ht="15.75" customHeight="1">
      <c r="E814" s="223"/>
      <c r="I814" s="224"/>
      <c r="L814" s="224"/>
      <c r="S814" s="225"/>
    </row>
    <row r="815" ht="15.75" customHeight="1">
      <c r="E815" s="223"/>
      <c r="I815" s="224"/>
      <c r="L815" s="224"/>
      <c r="S815" s="225"/>
    </row>
    <row r="816" ht="15.75" customHeight="1">
      <c r="E816" s="223"/>
      <c r="I816" s="224"/>
      <c r="L816" s="224"/>
      <c r="S816" s="225"/>
    </row>
    <row r="817" ht="15.75" customHeight="1">
      <c r="E817" s="223"/>
      <c r="I817" s="224"/>
      <c r="L817" s="224"/>
      <c r="S817" s="225"/>
    </row>
    <row r="818" ht="15.75" customHeight="1">
      <c r="E818" s="223"/>
      <c r="I818" s="224"/>
      <c r="L818" s="224"/>
      <c r="S818" s="225"/>
    </row>
    <row r="819" ht="15.75" customHeight="1">
      <c r="E819" s="223"/>
      <c r="I819" s="224"/>
      <c r="L819" s="224"/>
      <c r="S819" s="225"/>
    </row>
    <row r="820" ht="15.75" customHeight="1">
      <c r="E820" s="223"/>
      <c r="I820" s="224"/>
      <c r="L820" s="224"/>
      <c r="S820" s="225"/>
    </row>
    <row r="821" ht="15.75" customHeight="1">
      <c r="E821" s="223"/>
      <c r="I821" s="224"/>
      <c r="L821" s="224"/>
      <c r="S821" s="225"/>
    </row>
    <row r="822" ht="15.75" customHeight="1">
      <c r="E822" s="223"/>
      <c r="I822" s="224"/>
      <c r="L822" s="224"/>
      <c r="S822" s="225"/>
    </row>
    <row r="823" ht="15.75" customHeight="1">
      <c r="E823" s="223"/>
      <c r="I823" s="224"/>
      <c r="L823" s="224"/>
      <c r="S823" s="225"/>
    </row>
    <row r="824" ht="15.75" customHeight="1">
      <c r="E824" s="223"/>
      <c r="I824" s="224"/>
      <c r="L824" s="224"/>
      <c r="S824" s="225"/>
    </row>
    <row r="825" ht="15.75" customHeight="1">
      <c r="E825" s="223"/>
      <c r="I825" s="224"/>
      <c r="L825" s="224"/>
      <c r="S825" s="225"/>
    </row>
    <row r="826" ht="15.75" customHeight="1">
      <c r="E826" s="223"/>
      <c r="I826" s="224"/>
      <c r="L826" s="224"/>
      <c r="S826" s="225"/>
    </row>
    <row r="827" ht="15.75" customHeight="1">
      <c r="E827" s="223"/>
      <c r="I827" s="224"/>
      <c r="L827" s="224"/>
      <c r="S827" s="225"/>
    </row>
    <row r="828" ht="15.75" customHeight="1">
      <c r="E828" s="223"/>
      <c r="I828" s="224"/>
      <c r="L828" s="224"/>
      <c r="S828" s="225"/>
    </row>
    <row r="829" ht="15.75" customHeight="1">
      <c r="E829" s="223"/>
      <c r="I829" s="224"/>
      <c r="L829" s="224"/>
      <c r="S829" s="225"/>
    </row>
    <row r="830" ht="15.75" customHeight="1">
      <c r="E830" s="223"/>
      <c r="I830" s="224"/>
      <c r="L830" s="224"/>
      <c r="S830" s="225"/>
    </row>
    <row r="831" ht="15.75" customHeight="1">
      <c r="E831" s="223"/>
      <c r="I831" s="224"/>
      <c r="L831" s="224"/>
      <c r="S831" s="225"/>
    </row>
    <row r="832" ht="15.75" customHeight="1">
      <c r="E832" s="223"/>
      <c r="I832" s="224"/>
      <c r="L832" s="224"/>
      <c r="S832" s="225"/>
    </row>
    <row r="833" ht="15.75" customHeight="1">
      <c r="E833" s="223"/>
      <c r="I833" s="224"/>
      <c r="L833" s="224"/>
      <c r="S833" s="225"/>
    </row>
    <row r="834" ht="15.75" customHeight="1">
      <c r="E834" s="223"/>
      <c r="I834" s="224"/>
      <c r="L834" s="224"/>
      <c r="S834" s="225"/>
    </row>
    <row r="835" ht="15.75" customHeight="1">
      <c r="E835" s="223"/>
      <c r="I835" s="224"/>
      <c r="L835" s="224"/>
      <c r="S835" s="225"/>
    </row>
    <row r="836" ht="15.75" customHeight="1">
      <c r="E836" s="223"/>
      <c r="I836" s="224"/>
      <c r="L836" s="224"/>
      <c r="S836" s="225"/>
    </row>
    <row r="837" ht="15.75" customHeight="1">
      <c r="E837" s="223"/>
      <c r="I837" s="224"/>
      <c r="L837" s="224"/>
      <c r="S837" s="225"/>
    </row>
    <row r="838" ht="15.75" customHeight="1">
      <c r="E838" s="223"/>
      <c r="I838" s="224"/>
      <c r="L838" s="224"/>
      <c r="S838" s="225"/>
    </row>
    <row r="839" ht="15.75" customHeight="1">
      <c r="E839" s="223"/>
      <c r="I839" s="224"/>
      <c r="L839" s="224"/>
      <c r="S839" s="225"/>
    </row>
    <row r="840" ht="15.75" customHeight="1">
      <c r="E840" s="223"/>
      <c r="I840" s="224"/>
      <c r="L840" s="224"/>
      <c r="S840" s="225"/>
    </row>
    <row r="841" ht="15.75" customHeight="1">
      <c r="E841" s="223"/>
      <c r="I841" s="224"/>
      <c r="L841" s="224"/>
      <c r="S841" s="225"/>
    </row>
    <row r="842" ht="15.75" customHeight="1">
      <c r="E842" s="223"/>
      <c r="I842" s="224"/>
      <c r="L842" s="224"/>
      <c r="S842" s="225"/>
    </row>
    <row r="843" ht="15.75" customHeight="1">
      <c r="E843" s="223"/>
      <c r="I843" s="224"/>
      <c r="L843" s="224"/>
      <c r="S843" s="225"/>
    </row>
    <row r="844" ht="15.75" customHeight="1">
      <c r="E844" s="223"/>
      <c r="I844" s="224"/>
      <c r="L844" s="224"/>
      <c r="S844" s="225"/>
    </row>
    <row r="845" ht="15.75" customHeight="1">
      <c r="E845" s="223"/>
      <c r="I845" s="224"/>
      <c r="L845" s="224"/>
      <c r="S845" s="225"/>
    </row>
    <row r="846" ht="15.75" customHeight="1">
      <c r="E846" s="223"/>
      <c r="I846" s="224"/>
      <c r="L846" s="224"/>
      <c r="S846" s="225"/>
    </row>
    <row r="847" ht="15.75" customHeight="1">
      <c r="E847" s="223"/>
      <c r="I847" s="224"/>
      <c r="L847" s="224"/>
      <c r="S847" s="225"/>
    </row>
    <row r="848" ht="15.75" customHeight="1">
      <c r="E848" s="223"/>
      <c r="I848" s="224"/>
      <c r="L848" s="224"/>
      <c r="S848" s="225"/>
    </row>
    <row r="849" ht="15.75" customHeight="1">
      <c r="E849" s="223"/>
      <c r="I849" s="224"/>
      <c r="L849" s="224"/>
      <c r="S849" s="225"/>
    </row>
    <row r="850" ht="15.75" customHeight="1">
      <c r="E850" s="223"/>
      <c r="I850" s="224"/>
      <c r="L850" s="224"/>
      <c r="S850" s="225"/>
    </row>
    <row r="851" ht="15.75" customHeight="1">
      <c r="E851" s="223"/>
      <c r="I851" s="224"/>
      <c r="L851" s="224"/>
      <c r="S851" s="225"/>
    </row>
    <row r="852" ht="15.75" customHeight="1">
      <c r="E852" s="223"/>
      <c r="I852" s="224"/>
      <c r="L852" s="224"/>
      <c r="S852" s="225"/>
    </row>
    <row r="853" ht="15.75" customHeight="1">
      <c r="E853" s="223"/>
      <c r="I853" s="224"/>
      <c r="L853" s="224"/>
      <c r="S853" s="225"/>
    </row>
    <row r="854" ht="15.75" customHeight="1">
      <c r="E854" s="223"/>
      <c r="I854" s="224"/>
      <c r="L854" s="224"/>
      <c r="S854" s="225"/>
    </row>
    <row r="855" ht="15.75" customHeight="1">
      <c r="E855" s="223"/>
      <c r="I855" s="224"/>
      <c r="L855" s="224"/>
      <c r="S855" s="225"/>
    </row>
    <row r="856" ht="15.75" customHeight="1">
      <c r="E856" s="223"/>
      <c r="I856" s="224"/>
      <c r="L856" s="224"/>
      <c r="S856" s="225"/>
    </row>
    <row r="857" ht="15.75" customHeight="1">
      <c r="E857" s="223"/>
      <c r="I857" s="224"/>
      <c r="L857" s="224"/>
      <c r="S857" s="225"/>
    </row>
    <row r="858" ht="15.75" customHeight="1">
      <c r="E858" s="223"/>
      <c r="I858" s="224"/>
      <c r="L858" s="224"/>
      <c r="S858" s="225"/>
    </row>
    <row r="859" ht="15.75" customHeight="1">
      <c r="E859" s="223"/>
      <c r="I859" s="224"/>
      <c r="L859" s="224"/>
      <c r="S859" s="225"/>
    </row>
    <row r="860" ht="15.75" customHeight="1">
      <c r="E860" s="223"/>
      <c r="I860" s="224"/>
      <c r="L860" s="224"/>
      <c r="S860" s="225"/>
    </row>
    <row r="861" ht="15.75" customHeight="1">
      <c r="E861" s="223"/>
      <c r="I861" s="224"/>
      <c r="L861" s="224"/>
      <c r="S861" s="225"/>
    </row>
    <row r="862" ht="15.75" customHeight="1">
      <c r="E862" s="223"/>
      <c r="I862" s="224"/>
      <c r="L862" s="224"/>
      <c r="S862" s="225"/>
    </row>
    <row r="863" ht="15.75" customHeight="1">
      <c r="E863" s="223"/>
      <c r="I863" s="224"/>
      <c r="L863" s="224"/>
      <c r="S863" s="225"/>
    </row>
    <row r="864" ht="15.75" customHeight="1">
      <c r="E864" s="223"/>
      <c r="I864" s="224"/>
      <c r="L864" s="224"/>
      <c r="S864" s="225"/>
    </row>
    <row r="865" ht="15.75" customHeight="1">
      <c r="E865" s="223"/>
      <c r="I865" s="224"/>
      <c r="L865" s="224"/>
      <c r="S865" s="225"/>
    </row>
    <row r="866" ht="15.75" customHeight="1">
      <c r="E866" s="223"/>
      <c r="I866" s="224"/>
      <c r="L866" s="224"/>
      <c r="S866" s="225"/>
    </row>
    <row r="867" ht="15.75" customHeight="1">
      <c r="E867" s="223"/>
      <c r="I867" s="224"/>
      <c r="L867" s="224"/>
      <c r="S867" s="225"/>
    </row>
    <row r="868" ht="15.75" customHeight="1">
      <c r="E868" s="223"/>
      <c r="I868" s="224"/>
      <c r="L868" s="224"/>
      <c r="S868" s="225"/>
    </row>
    <row r="869" ht="15.75" customHeight="1">
      <c r="E869" s="223"/>
      <c r="I869" s="224"/>
      <c r="L869" s="224"/>
      <c r="S869" s="225"/>
    </row>
    <row r="870" ht="15.75" customHeight="1">
      <c r="E870" s="223"/>
      <c r="I870" s="224"/>
      <c r="L870" s="224"/>
      <c r="S870" s="225"/>
    </row>
    <row r="871" ht="15.75" customHeight="1">
      <c r="E871" s="223"/>
      <c r="I871" s="224"/>
      <c r="L871" s="224"/>
      <c r="S871" s="225"/>
    </row>
    <row r="872" ht="15.75" customHeight="1">
      <c r="E872" s="223"/>
      <c r="I872" s="224"/>
      <c r="L872" s="224"/>
      <c r="S872" s="225"/>
    </row>
    <row r="873" ht="15.75" customHeight="1">
      <c r="E873" s="223"/>
      <c r="I873" s="224"/>
      <c r="L873" s="224"/>
      <c r="S873" s="225"/>
    </row>
    <row r="874" ht="15.75" customHeight="1">
      <c r="E874" s="223"/>
      <c r="I874" s="224"/>
      <c r="L874" s="224"/>
      <c r="S874" s="225"/>
    </row>
    <row r="875" ht="15.75" customHeight="1">
      <c r="E875" s="223"/>
      <c r="I875" s="224"/>
      <c r="L875" s="224"/>
      <c r="S875" s="225"/>
    </row>
    <row r="876" ht="15.75" customHeight="1">
      <c r="E876" s="223"/>
      <c r="I876" s="224"/>
      <c r="L876" s="224"/>
      <c r="S876" s="225"/>
    </row>
    <row r="877" ht="15.75" customHeight="1">
      <c r="E877" s="223"/>
      <c r="I877" s="224"/>
      <c r="L877" s="224"/>
      <c r="S877" s="225"/>
    </row>
    <row r="878" ht="15.75" customHeight="1">
      <c r="E878" s="223"/>
      <c r="I878" s="224"/>
      <c r="L878" s="224"/>
      <c r="S878" s="225"/>
    </row>
    <row r="879" ht="15.75" customHeight="1">
      <c r="E879" s="223"/>
      <c r="I879" s="224"/>
      <c r="L879" s="224"/>
      <c r="S879" s="225"/>
    </row>
    <row r="880" ht="15.75" customHeight="1">
      <c r="E880" s="223"/>
      <c r="I880" s="224"/>
      <c r="L880" s="224"/>
      <c r="S880" s="225"/>
    </row>
    <row r="881" ht="15.75" customHeight="1">
      <c r="E881" s="223"/>
      <c r="I881" s="224"/>
      <c r="L881" s="224"/>
      <c r="S881" s="225"/>
    </row>
    <row r="882" ht="15.75" customHeight="1">
      <c r="E882" s="223"/>
      <c r="I882" s="224"/>
      <c r="L882" s="224"/>
      <c r="S882" s="225"/>
    </row>
    <row r="883" ht="15.75" customHeight="1">
      <c r="E883" s="223"/>
      <c r="I883" s="224"/>
      <c r="L883" s="224"/>
      <c r="S883" s="225"/>
    </row>
    <row r="884" ht="15.75" customHeight="1">
      <c r="E884" s="223"/>
      <c r="I884" s="224"/>
      <c r="L884" s="224"/>
      <c r="S884" s="225"/>
    </row>
    <row r="885" ht="15.75" customHeight="1">
      <c r="E885" s="223"/>
      <c r="I885" s="224"/>
      <c r="L885" s="224"/>
      <c r="S885" s="225"/>
    </row>
    <row r="886" ht="15.75" customHeight="1">
      <c r="E886" s="223"/>
      <c r="I886" s="224"/>
      <c r="L886" s="224"/>
      <c r="S886" s="225"/>
    </row>
    <row r="887" ht="15.75" customHeight="1">
      <c r="E887" s="223"/>
      <c r="I887" s="224"/>
      <c r="L887" s="224"/>
      <c r="S887" s="225"/>
    </row>
    <row r="888" ht="15.75" customHeight="1">
      <c r="E888" s="223"/>
      <c r="I888" s="224"/>
      <c r="L888" s="224"/>
      <c r="S888" s="225"/>
    </row>
    <row r="889" ht="15.75" customHeight="1">
      <c r="E889" s="223"/>
      <c r="I889" s="224"/>
      <c r="L889" s="224"/>
      <c r="S889" s="225"/>
    </row>
    <row r="890" ht="15.75" customHeight="1">
      <c r="E890" s="223"/>
      <c r="I890" s="224"/>
      <c r="L890" s="224"/>
      <c r="S890" s="225"/>
    </row>
    <row r="891" ht="15.75" customHeight="1">
      <c r="E891" s="223"/>
      <c r="I891" s="224"/>
      <c r="L891" s="224"/>
      <c r="S891" s="225"/>
    </row>
    <row r="892" ht="15.75" customHeight="1">
      <c r="E892" s="223"/>
      <c r="I892" s="224"/>
      <c r="L892" s="224"/>
      <c r="S892" s="225"/>
    </row>
    <row r="893" ht="15.75" customHeight="1">
      <c r="E893" s="223"/>
      <c r="I893" s="224"/>
      <c r="L893" s="224"/>
      <c r="S893" s="225"/>
    </row>
    <row r="894" ht="15.75" customHeight="1">
      <c r="E894" s="223"/>
      <c r="I894" s="224"/>
      <c r="L894" s="224"/>
      <c r="S894" s="225"/>
    </row>
    <row r="895" ht="15.75" customHeight="1">
      <c r="E895" s="223"/>
      <c r="I895" s="224"/>
      <c r="L895" s="224"/>
      <c r="S895" s="225"/>
    </row>
    <row r="896" ht="15.75" customHeight="1">
      <c r="E896" s="223"/>
      <c r="I896" s="224"/>
      <c r="L896" s="224"/>
      <c r="S896" s="225"/>
    </row>
    <row r="897" ht="15.75" customHeight="1">
      <c r="E897" s="223"/>
      <c r="I897" s="224"/>
      <c r="L897" s="224"/>
      <c r="S897" s="225"/>
    </row>
    <row r="898" ht="15.75" customHeight="1">
      <c r="E898" s="223"/>
      <c r="I898" s="224"/>
      <c r="L898" s="224"/>
      <c r="S898" s="225"/>
    </row>
    <row r="899" ht="15.75" customHeight="1">
      <c r="E899" s="223"/>
      <c r="I899" s="224"/>
      <c r="L899" s="224"/>
      <c r="S899" s="225"/>
    </row>
    <row r="900" ht="15.75" customHeight="1">
      <c r="E900" s="223"/>
      <c r="I900" s="224"/>
      <c r="L900" s="224"/>
      <c r="S900" s="225"/>
    </row>
    <row r="901" ht="15.75" customHeight="1">
      <c r="E901" s="223"/>
      <c r="I901" s="224"/>
      <c r="L901" s="224"/>
      <c r="S901" s="225"/>
    </row>
    <row r="902" ht="15.75" customHeight="1">
      <c r="E902" s="223"/>
      <c r="I902" s="224"/>
      <c r="L902" s="224"/>
      <c r="S902" s="225"/>
    </row>
    <row r="903" ht="15.75" customHeight="1">
      <c r="E903" s="223"/>
      <c r="I903" s="224"/>
      <c r="L903" s="224"/>
      <c r="S903" s="225"/>
    </row>
    <row r="904" ht="15.75" customHeight="1">
      <c r="E904" s="223"/>
      <c r="I904" s="224"/>
      <c r="L904" s="224"/>
      <c r="S904" s="225"/>
    </row>
    <row r="905" ht="15.75" customHeight="1">
      <c r="E905" s="223"/>
      <c r="I905" s="224"/>
      <c r="L905" s="224"/>
      <c r="S905" s="225"/>
    </row>
    <row r="906" ht="15.75" customHeight="1">
      <c r="E906" s="223"/>
      <c r="I906" s="224"/>
      <c r="L906" s="224"/>
      <c r="S906" s="225"/>
    </row>
    <row r="907" ht="15.75" customHeight="1">
      <c r="E907" s="223"/>
      <c r="I907" s="224"/>
      <c r="L907" s="224"/>
      <c r="S907" s="225"/>
    </row>
    <row r="908" ht="15.75" customHeight="1">
      <c r="E908" s="223"/>
      <c r="I908" s="224"/>
      <c r="L908" s="224"/>
      <c r="S908" s="225"/>
    </row>
    <row r="909" ht="15.75" customHeight="1">
      <c r="E909" s="223"/>
      <c r="I909" s="224"/>
      <c r="L909" s="224"/>
      <c r="S909" s="225"/>
    </row>
    <row r="910" ht="15.75" customHeight="1">
      <c r="E910" s="223"/>
      <c r="I910" s="224"/>
      <c r="L910" s="224"/>
      <c r="S910" s="225"/>
    </row>
    <row r="911" ht="15.75" customHeight="1">
      <c r="E911" s="223"/>
      <c r="I911" s="224"/>
      <c r="L911" s="224"/>
      <c r="S911" s="225"/>
    </row>
    <row r="912" ht="15.75" customHeight="1">
      <c r="E912" s="223"/>
      <c r="I912" s="224"/>
      <c r="L912" s="224"/>
      <c r="S912" s="225"/>
    </row>
    <row r="913" ht="15.75" customHeight="1">
      <c r="E913" s="223"/>
      <c r="I913" s="224"/>
      <c r="L913" s="224"/>
      <c r="S913" s="225"/>
    </row>
    <row r="914" ht="15.75" customHeight="1">
      <c r="E914" s="223"/>
      <c r="I914" s="224"/>
      <c r="L914" s="224"/>
      <c r="S914" s="225"/>
    </row>
    <row r="915" ht="15.75" customHeight="1">
      <c r="E915" s="223"/>
      <c r="I915" s="224"/>
      <c r="L915" s="224"/>
      <c r="S915" s="225"/>
    </row>
    <row r="916" ht="15.75" customHeight="1">
      <c r="E916" s="223"/>
      <c r="I916" s="224"/>
      <c r="L916" s="224"/>
      <c r="S916" s="225"/>
    </row>
    <row r="917" ht="15.75" customHeight="1">
      <c r="E917" s="223"/>
      <c r="I917" s="224"/>
      <c r="L917" s="224"/>
      <c r="S917" s="225"/>
    </row>
    <row r="918" ht="15.75" customHeight="1">
      <c r="E918" s="223"/>
      <c r="I918" s="224"/>
      <c r="L918" s="224"/>
      <c r="S918" s="225"/>
    </row>
    <row r="919" ht="15.75" customHeight="1">
      <c r="E919" s="223"/>
      <c r="I919" s="224"/>
      <c r="L919" s="224"/>
      <c r="S919" s="225"/>
    </row>
    <row r="920" ht="15.75" customHeight="1">
      <c r="E920" s="223"/>
      <c r="I920" s="224"/>
      <c r="L920" s="224"/>
      <c r="S920" s="225"/>
    </row>
    <row r="921" ht="15.75" customHeight="1">
      <c r="E921" s="223"/>
      <c r="I921" s="224"/>
      <c r="L921" s="224"/>
      <c r="S921" s="225"/>
    </row>
    <row r="922" ht="15.75" customHeight="1">
      <c r="E922" s="223"/>
      <c r="I922" s="224"/>
      <c r="L922" s="224"/>
      <c r="S922" s="225"/>
    </row>
    <row r="923" ht="15.75" customHeight="1">
      <c r="E923" s="223"/>
      <c r="I923" s="224"/>
      <c r="L923" s="224"/>
      <c r="S923" s="225"/>
    </row>
    <row r="924" ht="15.75" customHeight="1">
      <c r="E924" s="223"/>
      <c r="I924" s="224"/>
      <c r="L924" s="224"/>
      <c r="S924" s="225"/>
    </row>
    <row r="925" ht="15.75" customHeight="1">
      <c r="E925" s="223"/>
      <c r="I925" s="224"/>
      <c r="L925" s="224"/>
      <c r="S925" s="225"/>
    </row>
    <row r="926" ht="15.75" customHeight="1">
      <c r="E926" s="223"/>
      <c r="I926" s="224"/>
      <c r="L926" s="224"/>
      <c r="S926" s="225"/>
    </row>
    <row r="927" ht="15.75" customHeight="1">
      <c r="E927" s="223"/>
      <c r="I927" s="224"/>
      <c r="L927" s="224"/>
      <c r="S927" s="225"/>
    </row>
    <row r="928" ht="15.75" customHeight="1">
      <c r="E928" s="223"/>
      <c r="I928" s="224"/>
      <c r="L928" s="224"/>
      <c r="S928" s="225"/>
    </row>
    <row r="929" ht="15.75" customHeight="1">
      <c r="E929" s="223"/>
      <c r="I929" s="224"/>
      <c r="L929" s="224"/>
      <c r="S929" s="225"/>
    </row>
    <row r="930" ht="15.75" customHeight="1">
      <c r="E930" s="223"/>
      <c r="I930" s="224"/>
      <c r="L930" s="224"/>
      <c r="S930" s="225"/>
    </row>
    <row r="931" ht="15.75" customHeight="1">
      <c r="E931" s="223"/>
      <c r="I931" s="224"/>
      <c r="L931" s="224"/>
      <c r="S931" s="225"/>
    </row>
    <row r="932" ht="15.75" customHeight="1">
      <c r="E932" s="223"/>
      <c r="I932" s="224"/>
      <c r="L932" s="224"/>
      <c r="S932" s="225"/>
    </row>
    <row r="933" ht="15.75" customHeight="1">
      <c r="E933" s="223"/>
      <c r="I933" s="224"/>
      <c r="L933" s="224"/>
      <c r="S933" s="225"/>
    </row>
    <row r="934" ht="15.75" customHeight="1">
      <c r="E934" s="223"/>
      <c r="I934" s="224"/>
      <c r="L934" s="224"/>
      <c r="S934" s="225"/>
    </row>
    <row r="935" ht="15.75" customHeight="1">
      <c r="E935" s="223"/>
      <c r="I935" s="224"/>
      <c r="L935" s="224"/>
      <c r="S935" s="225"/>
    </row>
    <row r="936" ht="15.75" customHeight="1">
      <c r="E936" s="223"/>
      <c r="I936" s="224"/>
      <c r="L936" s="224"/>
      <c r="S936" s="225"/>
    </row>
    <row r="937" ht="15.75" customHeight="1">
      <c r="E937" s="223"/>
      <c r="I937" s="224"/>
      <c r="L937" s="224"/>
      <c r="S937" s="225"/>
    </row>
    <row r="938" ht="15.75" customHeight="1">
      <c r="E938" s="223"/>
      <c r="I938" s="224"/>
      <c r="L938" s="224"/>
      <c r="S938" s="225"/>
    </row>
    <row r="939" ht="15.75" customHeight="1">
      <c r="E939" s="223"/>
      <c r="I939" s="224"/>
      <c r="L939" s="224"/>
      <c r="S939" s="225"/>
    </row>
    <row r="940" ht="15.75" customHeight="1">
      <c r="E940" s="223"/>
      <c r="I940" s="224"/>
      <c r="L940" s="224"/>
      <c r="S940" s="225"/>
    </row>
    <row r="941" ht="15.75" customHeight="1">
      <c r="E941" s="223"/>
      <c r="I941" s="224"/>
      <c r="L941" s="224"/>
      <c r="S941" s="225"/>
    </row>
    <row r="942" ht="15.75" customHeight="1">
      <c r="E942" s="223"/>
      <c r="I942" s="224"/>
      <c r="L942" s="224"/>
      <c r="S942" s="225"/>
    </row>
    <row r="943" ht="15.75" customHeight="1">
      <c r="E943" s="223"/>
      <c r="I943" s="224"/>
      <c r="L943" s="224"/>
      <c r="S943" s="225"/>
    </row>
    <row r="944" ht="15.75" customHeight="1">
      <c r="E944" s="223"/>
      <c r="I944" s="224"/>
      <c r="L944" s="224"/>
      <c r="S944" s="225"/>
    </row>
    <row r="945" ht="15.75" customHeight="1">
      <c r="E945" s="223"/>
      <c r="I945" s="224"/>
      <c r="L945" s="224"/>
      <c r="S945" s="225"/>
    </row>
    <row r="946" ht="15.75" customHeight="1">
      <c r="E946" s="223"/>
      <c r="I946" s="224"/>
      <c r="L946" s="224"/>
      <c r="S946" s="225"/>
    </row>
    <row r="947" ht="15.75" customHeight="1">
      <c r="E947" s="223"/>
      <c r="I947" s="224"/>
      <c r="L947" s="224"/>
      <c r="S947" s="225"/>
    </row>
    <row r="948" ht="15.75" customHeight="1">
      <c r="E948" s="223"/>
      <c r="I948" s="224"/>
      <c r="L948" s="224"/>
      <c r="S948" s="225"/>
    </row>
    <row r="949" ht="15.75" customHeight="1">
      <c r="E949" s="223"/>
      <c r="I949" s="224"/>
      <c r="L949" s="224"/>
      <c r="S949" s="225"/>
    </row>
    <row r="950" ht="15.75" customHeight="1">
      <c r="E950" s="223"/>
      <c r="I950" s="224"/>
      <c r="L950" s="224"/>
      <c r="S950" s="225"/>
    </row>
    <row r="951" ht="15.75" customHeight="1">
      <c r="E951" s="223"/>
      <c r="I951" s="224"/>
      <c r="L951" s="224"/>
      <c r="S951" s="225"/>
    </row>
    <row r="952" ht="15.75" customHeight="1">
      <c r="E952" s="223"/>
      <c r="I952" s="224"/>
      <c r="L952" s="224"/>
      <c r="S952" s="225"/>
    </row>
    <row r="953" ht="15.75" customHeight="1">
      <c r="E953" s="223"/>
      <c r="I953" s="224"/>
      <c r="L953" s="224"/>
      <c r="S953" s="225"/>
    </row>
    <row r="954" ht="15.75" customHeight="1">
      <c r="E954" s="223"/>
      <c r="I954" s="224"/>
      <c r="L954" s="224"/>
      <c r="S954" s="225"/>
    </row>
    <row r="955" ht="15.75" customHeight="1">
      <c r="E955" s="223"/>
      <c r="I955" s="224"/>
      <c r="L955" s="224"/>
      <c r="S955" s="225"/>
    </row>
    <row r="956" ht="15.75" customHeight="1">
      <c r="E956" s="223"/>
      <c r="I956" s="224"/>
      <c r="L956" s="224"/>
      <c r="S956" s="225"/>
    </row>
    <row r="957" ht="15.75" customHeight="1">
      <c r="E957" s="223"/>
      <c r="I957" s="224"/>
      <c r="L957" s="224"/>
      <c r="S957" s="225"/>
    </row>
    <row r="958" ht="15.75" customHeight="1">
      <c r="E958" s="223"/>
      <c r="I958" s="224"/>
      <c r="L958" s="224"/>
      <c r="S958" s="225"/>
    </row>
    <row r="959" ht="15.75" customHeight="1">
      <c r="E959" s="223"/>
      <c r="I959" s="224"/>
      <c r="L959" s="224"/>
      <c r="S959" s="225"/>
    </row>
    <row r="960" ht="15.75" customHeight="1">
      <c r="E960" s="223"/>
      <c r="I960" s="224"/>
      <c r="L960" s="224"/>
      <c r="S960" s="225"/>
    </row>
    <row r="961" ht="15.75" customHeight="1">
      <c r="E961" s="223"/>
      <c r="I961" s="224"/>
      <c r="L961" s="224"/>
      <c r="S961" s="225"/>
    </row>
    <row r="962" ht="15.75" customHeight="1">
      <c r="E962" s="223"/>
      <c r="I962" s="224"/>
      <c r="L962" s="224"/>
      <c r="S962" s="225"/>
    </row>
    <row r="963" ht="15.75" customHeight="1">
      <c r="E963" s="223"/>
      <c r="I963" s="224"/>
      <c r="L963" s="224"/>
      <c r="S963" s="225"/>
    </row>
    <row r="964" ht="15.75" customHeight="1">
      <c r="E964" s="223"/>
      <c r="I964" s="224"/>
      <c r="L964" s="224"/>
      <c r="S964" s="225"/>
    </row>
    <row r="965" ht="15.75" customHeight="1">
      <c r="E965" s="223"/>
      <c r="I965" s="224"/>
      <c r="L965" s="224"/>
      <c r="S965" s="225"/>
    </row>
    <row r="966" ht="15.75" customHeight="1">
      <c r="E966" s="223"/>
      <c r="I966" s="224"/>
      <c r="L966" s="224"/>
      <c r="S966" s="225"/>
    </row>
    <row r="967" ht="15.75" customHeight="1">
      <c r="E967" s="223"/>
      <c r="I967" s="224"/>
      <c r="L967" s="224"/>
      <c r="S967" s="225"/>
    </row>
    <row r="968" ht="15.75" customHeight="1">
      <c r="E968" s="223"/>
      <c r="I968" s="224"/>
      <c r="L968" s="224"/>
      <c r="S968" s="225"/>
    </row>
    <row r="969" ht="15.75" customHeight="1">
      <c r="E969" s="223"/>
      <c r="I969" s="224"/>
      <c r="L969" s="224"/>
      <c r="S969" s="225"/>
    </row>
    <row r="970" ht="15.75" customHeight="1">
      <c r="E970" s="223"/>
      <c r="I970" s="224"/>
      <c r="L970" s="224"/>
      <c r="S970" s="225"/>
    </row>
    <row r="971" ht="15.75" customHeight="1">
      <c r="E971" s="223"/>
      <c r="I971" s="224"/>
      <c r="L971" s="224"/>
      <c r="S971" s="225"/>
    </row>
    <row r="972" ht="15.75" customHeight="1">
      <c r="E972" s="223"/>
      <c r="I972" s="224"/>
      <c r="L972" s="224"/>
      <c r="S972" s="225"/>
    </row>
    <row r="973" ht="15.75" customHeight="1">
      <c r="E973" s="223"/>
      <c r="I973" s="224"/>
      <c r="L973" s="224"/>
      <c r="S973" s="225"/>
    </row>
    <row r="974" ht="15.75" customHeight="1">
      <c r="E974" s="223"/>
      <c r="I974" s="224"/>
      <c r="L974" s="224"/>
      <c r="S974" s="225"/>
    </row>
    <row r="975" ht="15.75" customHeight="1">
      <c r="E975" s="223"/>
      <c r="I975" s="224"/>
      <c r="L975" s="224"/>
      <c r="S975" s="225"/>
    </row>
    <row r="976" ht="15.75" customHeight="1">
      <c r="E976" s="223"/>
      <c r="I976" s="224"/>
      <c r="L976" s="224"/>
      <c r="S976" s="225"/>
    </row>
    <row r="977" ht="15.75" customHeight="1">
      <c r="E977" s="223"/>
      <c r="I977" s="224"/>
      <c r="L977" s="224"/>
      <c r="S977" s="225"/>
    </row>
    <row r="978" ht="15.75" customHeight="1">
      <c r="E978" s="223"/>
      <c r="I978" s="224"/>
      <c r="L978" s="224"/>
      <c r="S978" s="225"/>
    </row>
    <row r="979" ht="15.75" customHeight="1">
      <c r="E979" s="223"/>
      <c r="I979" s="224"/>
      <c r="L979" s="224"/>
      <c r="S979" s="225"/>
    </row>
    <row r="980" ht="15.75" customHeight="1">
      <c r="E980" s="223"/>
      <c r="I980" s="224"/>
      <c r="L980" s="224"/>
      <c r="S980" s="225"/>
    </row>
    <row r="981" ht="15.75" customHeight="1">
      <c r="E981" s="223"/>
      <c r="I981" s="224"/>
      <c r="L981" s="224"/>
      <c r="S981" s="225"/>
    </row>
    <row r="982" ht="15.75" customHeight="1">
      <c r="E982" s="223"/>
      <c r="I982" s="224"/>
      <c r="L982" s="224"/>
      <c r="S982" s="225"/>
    </row>
    <row r="983" ht="15.75" customHeight="1">
      <c r="E983" s="223"/>
      <c r="I983" s="224"/>
      <c r="L983" s="224"/>
      <c r="S983" s="225"/>
    </row>
    <row r="984" ht="15.75" customHeight="1">
      <c r="E984" s="223"/>
      <c r="I984" s="224"/>
      <c r="L984" s="224"/>
      <c r="S984" s="225"/>
    </row>
    <row r="985" ht="15.75" customHeight="1">
      <c r="E985" s="223"/>
      <c r="I985" s="224"/>
      <c r="L985" s="224"/>
      <c r="S985" s="225"/>
    </row>
    <row r="986" ht="15.75" customHeight="1">
      <c r="E986" s="223"/>
      <c r="I986" s="224"/>
      <c r="L986" s="224"/>
      <c r="S986" s="225"/>
    </row>
    <row r="987" ht="15.75" customHeight="1">
      <c r="E987" s="223"/>
      <c r="I987" s="224"/>
      <c r="L987" s="224"/>
      <c r="S987" s="225"/>
    </row>
    <row r="988" ht="15.75" customHeight="1">
      <c r="E988" s="223"/>
      <c r="I988" s="224"/>
      <c r="L988" s="224"/>
      <c r="S988" s="225"/>
    </row>
    <row r="989" ht="15.75" customHeight="1">
      <c r="E989" s="223"/>
      <c r="I989" s="224"/>
      <c r="L989" s="224"/>
      <c r="S989" s="225"/>
    </row>
    <row r="990" ht="15.75" customHeight="1">
      <c r="E990" s="223"/>
      <c r="I990" s="224"/>
      <c r="L990" s="224"/>
      <c r="S990" s="225"/>
    </row>
    <row r="991" ht="15.75" customHeight="1">
      <c r="E991" s="223"/>
      <c r="I991" s="224"/>
      <c r="L991" s="224"/>
      <c r="S991" s="225"/>
    </row>
    <row r="992" ht="15.75" customHeight="1">
      <c r="E992" s="223"/>
      <c r="I992" s="224"/>
      <c r="L992" s="224"/>
      <c r="S992" s="225"/>
    </row>
    <row r="993" ht="15.75" customHeight="1">
      <c r="E993" s="223"/>
      <c r="I993" s="224"/>
      <c r="L993" s="224"/>
      <c r="S993" s="225"/>
    </row>
    <row r="994" ht="15.75" customHeight="1">
      <c r="E994" s="223"/>
      <c r="I994" s="224"/>
      <c r="L994" s="224"/>
      <c r="S994" s="225"/>
    </row>
    <row r="995" ht="15.75" customHeight="1">
      <c r="E995" s="223"/>
      <c r="I995" s="224"/>
      <c r="L995" s="224"/>
      <c r="S995" s="225"/>
    </row>
    <row r="996" ht="15.75" customHeight="1">
      <c r="E996" s="223"/>
      <c r="I996" s="224"/>
      <c r="L996" s="224"/>
      <c r="S996" s="225"/>
    </row>
    <row r="997" ht="15.75" customHeight="1">
      <c r="E997" s="223"/>
      <c r="I997" s="224"/>
      <c r="L997" s="224"/>
      <c r="S997" s="225"/>
    </row>
    <row r="998" ht="15.75" customHeight="1">
      <c r="E998" s="223"/>
      <c r="I998" s="224"/>
      <c r="L998" s="224"/>
      <c r="S998" s="225"/>
    </row>
    <row r="999" ht="15.75" customHeight="1">
      <c r="E999" s="223"/>
      <c r="I999" s="224"/>
      <c r="L999" s="224"/>
      <c r="S999" s="225"/>
    </row>
    <row r="1000" ht="15.75" customHeight="1">
      <c r="E1000" s="223"/>
      <c r="I1000" s="224"/>
      <c r="L1000" s="224"/>
      <c r="S1000" s="225"/>
    </row>
    <row r="1001" ht="15.75" customHeight="1">
      <c r="E1001" s="223"/>
      <c r="I1001" s="224"/>
      <c r="L1001" s="224"/>
      <c r="S1001" s="225"/>
    </row>
    <row r="1002" ht="15.75" customHeight="1">
      <c r="E1002" s="223"/>
      <c r="I1002" s="224"/>
      <c r="L1002" s="224"/>
      <c r="S1002" s="225"/>
    </row>
    <row r="1003" ht="15.75" customHeight="1">
      <c r="E1003" s="223"/>
      <c r="I1003" s="224"/>
      <c r="L1003" s="224"/>
      <c r="S1003" s="225"/>
    </row>
    <row r="1004" ht="15.75" customHeight="1">
      <c r="E1004" s="223"/>
      <c r="I1004" s="224"/>
      <c r="L1004" s="224"/>
      <c r="S1004" s="225"/>
    </row>
    <row r="1005" ht="15.75" customHeight="1">
      <c r="E1005" s="223"/>
      <c r="I1005" s="224"/>
      <c r="L1005" s="224"/>
      <c r="S1005" s="225"/>
    </row>
    <row r="1006" ht="15.75" customHeight="1">
      <c r="E1006" s="223"/>
      <c r="I1006" s="224"/>
      <c r="L1006" s="224"/>
      <c r="S1006" s="225"/>
    </row>
    <row r="1007" ht="15.75" customHeight="1">
      <c r="E1007" s="223"/>
      <c r="I1007" s="224"/>
      <c r="L1007" s="224"/>
      <c r="S1007" s="225"/>
    </row>
    <row r="1008" ht="15.75" customHeight="1">
      <c r="E1008" s="223"/>
      <c r="I1008" s="224"/>
      <c r="L1008" s="224"/>
      <c r="S1008" s="225"/>
    </row>
    <row r="1009" ht="15.75" customHeight="1">
      <c r="E1009" s="223"/>
      <c r="I1009" s="224"/>
      <c r="L1009" s="224"/>
      <c r="S1009" s="225"/>
    </row>
    <row r="1010" ht="15.75" customHeight="1">
      <c r="E1010" s="223"/>
      <c r="I1010" s="224"/>
      <c r="L1010" s="224"/>
      <c r="S1010" s="225"/>
    </row>
    <row r="1011" ht="15.75" customHeight="1">
      <c r="E1011" s="223"/>
      <c r="I1011" s="224"/>
      <c r="L1011" s="224"/>
      <c r="S1011" s="225"/>
    </row>
    <row r="1012" ht="15.75" customHeight="1">
      <c r="E1012" s="223"/>
      <c r="I1012" s="224"/>
      <c r="L1012" s="224"/>
      <c r="S1012" s="225"/>
    </row>
    <row r="1013" ht="15.75" customHeight="1">
      <c r="E1013" s="223"/>
      <c r="I1013" s="224"/>
      <c r="L1013" s="224"/>
      <c r="S1013" s="225"/>
    </row>
    <row r="1014" ht="15.75" customHeight="1">
      <c r="E1014" s="223"/>
      <c r="I1014" s="224"/>
      <c r="L1014" s="224"/>
      <c r="S1014" s="225"/>
    </row>
    <row r="1015" ht="15.75" customHeight="1">
      <c r="E1015" s="223"/>
      <c r="I1015" s="224"/>
      <c r="L1015" s="224"/>
      <c r="S1015" s="225"/>
    </row>
    <row r="1016" ht="15.75" customHeight="1">
      <c r="E1016" s="223"/>
      <c r="I1016" s="224"/>
      <c r="L1016" s="224"/>
      <c r="S1016" s="225"/>
    </row>
    <row r="1017" ht="15.75" customHeight="1">
      <c r="E1017" s="223"/>
      <c r="I1017" s="224"/>
      <c r="L1017" s="224"/>
      <c r="S1017" s="225"/>
    </row>
    <row r="1018" ht="15.75" customHeight="1">
      <c r="E1018" s="223"/>
      <c r="I1018" s="224"/>
      <c r="L1018" s="224"/>
      <c r="S1018" s="225"/>
    </row>
    <row r="1019" ht="15.75" customHeight="1">
      <c r="E1019" s="223"/>
      <c r="I1019" s="224"/>
      <c r="L1019" s="224"/>
      <c r="S1019" s="225"/>
    </row>
    <row r="1020" ht="15.75" customHeight="1">
      <c r="E1020" s="223"/>
      <c r="I1020" s="224"/>
      <c r="L1020" s="224"/>
      <c r="S1020" s="225"/>
    </row>
    <row r="1021" ht="15.75" customHeight="1">
      <c r="E1021" s="223"/>
      <c r="I1021" s="224"/>
      <c r="L1021" s="224"/>
      <c r="S1021" s="225"/>
    </row>
    <row r="1022" ht="15.75" customHeight="1">
      <c r="E1022" s="223"/>
      <c r="I1022" s="224"/>
      <c r="L1022" s="224"/>
      <c r="S1022" s="225"/>
    </row>
    <row r="1023" ht="15.75" customHeight="1">
      <c r="E1023" s="223"/>
      <c r="I1023" s="224"/>
      <c r="L1023" s="224"/>
      <c r="S1023" s="225"/>
    </row>
    <row r="1024" ht="15.75" customHeight="1">
      <c r="E1024" s="223"/>
      <c r="I1024" s="224"/>
      <c r="L1024" s="224"/>
      <c r="S1024" s="225"/>
    </row>
    <row r="1025" ht="15.75" customHeight="1">
      <c r="E1025" s="223"/>
      <c r="I1025" s="224"/>
      <c r="L1025" s="224"/>
      <c r="S1025" s="225"/>
    </row>
    <row r="1026" ht="15.75" customHeight="1">
      <c r="E1026" s="223"/>
      <c r="I1026" s="224"/>
      <c r="L1026" s="224"/>
      <c r="S1026" s="225"/>
    </row>
    <row r="1027" ht="15.75" customHeight="1">
      <c r="E1027" s="223"/>
      <c r="I1027" s="224"/>
      <c r="L1027" s="224"/>
      <c r="S1027" s="225"/>
    </row>
    <row r="1028" ht="15.75" customHeight="1">
      <c r="E1028" s="223"/>
      <c r="I1028" s="224"/>
      <c r="L1028" s="224"/>
      <c r="S1028" s="225"/>
    </row>
    <row r="1029" ht="15.75" customHeight="1">
      <c r="E1029" s="223"/>
      <c r="I1029" s="224"/>
      <c r="L1029" s="224"/>
      <c r="S1029" s="225"/>
    </row>
    <row r="1030" ht="15.75" customHeight="1">
      <c r="E1030" s="223"/>
      <c r="I1030" s="224"/>
      <c r="L1030" s="224"/>
      <c r="S1030" s="225"/>
    </row>
    <row r="1031" ht="15.75" customHeight="1">
      <c r="E1031" s="223"/>
      <c r="I1031" s="224"/>
      <c r="L1031" s="224"/>
      <c r="S1031" s="225"/>
    </row>
    <row r="1032" ht="15.75" customHeight="1">
      <c r="E1032" s="223"/>
      <c r="I1032" s="224"/>
      <c r="L1032" s="224"/>
      <c r="S1032" s="225"/>
    </row>
    <row r="1033" ht="15.75" customHeight="1">
      <c r="E1033" s="223"/>
      <c r="I1033" s="224"/>
      <c r="L1033" s="224"/>
      <c r="S1033" s="225"/>
    </row>
    <row r="1034" ht="15.75" customHeight="1">
      <c r="E1034" s="223"/>
      <c r="I1034" s="224"/>
      <c r="L1034" s="224"/>
      <c r="S1034" s="225"/>
    </row>
    <row r="1035" ht="15.75" customHeight="1">
      <c r="E1035" s="223"/>
      <c r="I1035" s="224"/>
      <c r="L1035" s="224"/>
      <c r="S1035" s="225"/>
    </row>
    <row r="1036" ht="15.75" customHeight="1">
      <c r="E1036" s="223"/>
      <c r="I1036" s="224"/>
      <c r="L1036" s="224"/>
      <c r="S1036" s="225"/>
    </row>
    <row r="1037" ht="15.75" customHeight="1">
      <c r="E1037" s="223"/>
      <c r="I1037" s="224"/>
      <c r="L1037" s="224"/>
      <c r="S1037" s="225"/>
    </row>
    <row r="1038" ht="15.75" customHeight="1">
      <c r="E1038" s="223"/>
      <c r="I1038" s="224"/>
      <c r="L1038" s="224"/>
      <c r="S1038" s="225"/>
    </row>
    <row r="1039" ht="15.75" customHeight="1">
      <c r="E1039" s="223"/>
      <c r="I1039" s="224"/>
      <c r="L1039" s="224"/>
      <c r="S1039" s="225"/>
    </row>
    <row r="1040" ht="15.75" customHeight="1">
      <c r="E1040" s="223"/>
      <c r="I1040" s="224"/>
      <c r="L1040" s="224"/>
      <c r="S1040" s="225"/>
    </row>
    <row r="1041" ht="15.75" customHeight="1">
      <c r="E1041" s="223"/>
      <c r="I1041" s="224"/>
      <c r="L1041" s="224"/>
      <c r="S1041" s="225"/>
    </row>
    <row r="1042" ht="15.75" customHeight="1">
      <c r="E1042" s="223"/>
      <c r="I1042" s="224"/>
      <c r="L1042" s="224"/>
      <c r="S1042" s="225"/>
    </row>
    <row r="1043" ht="15.75" customHeight="1">
      <c r="E1043" s="223"/>
      <c r="I1043" s="224"/>
      <c r="L1043" s="224"/>
      <c r="S1043" s="225"/>
    </row>
    <row r="1044" ht="15.75" customHeight="1">
      <c r="E1044" s="223"/>
      <c r="I1044" s="224"/>
      <c r="L1044" s="224"/>
      <c r="S1044" s="225"/>
    </row>
    <row r="1045" ht="15.75" customHeight="1">
      <c r="E1045" s="223"/>
      <c r="I1045" s="224"/>
      <c r="L1045" s="224"/>
      <c r="S1045" s="225"/>
    </row>
    <row r="1046" ht="15.75" customHeight="1">
      <c r="E1046" s="223"/>
      <c r="I1046" s="224"/>
      <c r="L1046" s="224"/>
      <c r="S1046" s="225"/>
    </row>
    <row r="1047" ht="15.75" customHeight="1">
      <c r="E1047" s="223"/>
      <c r="I1047" s="224"/>
      <c r="L1047" s="224"/>
      <c r="S1047" s="225"/>
    </row>
    <row r="1048" ht="15.75" customHeight="1">
      <c r="E1048" s="223"/>
      <c r="I1048" s="224"/>
      <c r="L1048" s="224"/>
      <c r="S1048" s="225"/>
    </row>
    <row r="1049" ht="15.75" customHeight="1">
      <c r="E1049" s="223"/>
      <c r="I1049" s="224"/>
      <c r="L1049" s="224"/>
      <c r="S1049" s="225"/>
    </row>
    <row r="1050" ht="15.75" customHeight="1">
      <c r="E1050" s="223"/>
      <c r="I1050" s="224"/>
      <c r="L1050" s="224"/>
      <c r="S1050" s="225"/>
    </row>
    <row r="1051" ht="15.75" customHeight="1">
      <c r="E1051" s="223"/>
      <c r="I1051" s="224"/>
      <c r="L1051" s="224"/>
      <c r="S1051" s="225"/>
    </row>
    <row r="1052" ht="15.75" customHeight="1">
      <c r="E1052" s="223"/>
      <c r="I1052" s="224"/>
      <c r="L1052" s="224"/>
      <c r="S1052" s="225"/>
    </row>
    <row r="1053" ht="15.75" customHeight="1">
      <c r="E1053" s="223"/>
      <c r="I1053" s="224"/>
      <c r="L1053" s="224"/>
      <c r="S1053" s="225"/>
    </row>
    <row r="1054" ht="15.75" customHeight="1">
      <c r="E1054" s="223"/>
      <c r="I1054" s="224"/>
      <c r="L1054" s="224"/>
      <c r="S1054" s="225"/>
    </row>
    <row r="1055" ht="15.75" customHeight="1">
      <c r="E1055" s="223"/>
      <c r="I1055" s="224"/>
      <c r="L1055" s="224"/>
      <c r="S1055" s="225"/>
    </row>
  </sheetData>
  <autoFilter ref="$A$6:$S$115">
    <sortState ref="A6:S115">
      <sortCondition descending="1" ref="P6:P115"/>
    </sortState>
  </autoFilter>
  <mergeCells count="3">
    <mergeCell ref="A2:R2"/>
    <mergeCell ref="A3:R3"/>
    <mergeCell ref="A4:R4"/>
  </mergeCells>
  <printOptions/>
  <pageMargins bottom="0.0" footer="0.0" header="0.0" left="0.0" right="0.0" top="0.0"/>
  <pageSetup paperSize="9"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6.0" topLeftCell="E7" activePane="bottomRight" state="frozen"/>
      <selection activeCell="E1" sqref="E1" pane="topRight"/>
      <selection activeCell="A7" sqref="A7" pane="bottomLeft"/>
      <selection activeCell="E7" sqref="E7" pane="bottomRight"/>
    </sheetView>
  </sheetViews>
  <sheetFormatPr customHeight="1" defaultColWidth="14.43" defaultRowHeight="15.0"/>
  <cols>
    <col customWidth="1" min="1" max="1" width="3.29"/>
    <col customWidth="1" min="2" max="2" width="10.57"/>
    <col customWidth="1" min="3" max="3" width="11.0"/>
    <col customWidth="1" min="4" max="4" width="10.57"/>
    <col customWidth="1" min="5" max="5" width="11.0"/>
    <col customWidth="1" min="6" max="7" width="4.71"/>
    <col customWidth="1" min="8" max="9" width="9.57"/>
    <col customWidth="1" min="10" max="10" width="8.29"/>
    <col customWidth="1" min="11" max="11" width="7.86"/>
    <col customWidth="1" min="12" max="12" width="8.29"/>
    <col customWidth="1" min="13" max="13" width="7.71"/>
    <col customWidth="1" min="14" max="14" width="8.43"/>
    <col customWidth="1" min="15" max="15" width="8.29"/>
    <col customWidth="1" min="16" max="16" width="5.0"/>
    <col customWidth="1" min="17" max="17" width="8.29"/>
    <col customWidth="1" min="18" max="18" width="10.14"/>
    <col customWidth="1" min="19" max="19" width="14.71"/>
    <col customWidth="1" min="20" max="21" width="9.14"/>
    <col customWidth="1" min="22" max="26" width="8.71"/>
  </cols>
  <sheetData>
    <row r="1" ht="12.75" customHeight="1">
      <c r="A1" s="1" t="s">
        <v>0</v>
      </c>
      <c r="B1" s="2"/>
      <c r="C1" s="3"/>
      <c r="D1" s="2"/>
      <c r="E1" s="4"/>
      <c r="F1" s="4"/>
      <c r="G1" s="4"/>
      <c r="H1" s="4"/>
      <c r="I1" s="4"/>
      <c r="J1" s="4"/>
      <c r="K1" s="4"/>
      <c r="L1" s="4"/>
      <c r="M1" s="4"/>
      <c r="N1" s="4"/>
      <c r="O1" s="4"/>
      <c r="P1" s="4"/>
      <c r="Q1" s="4"/>
      <c r="R1" s="2"/>
      <c r="S1" s="4"/>
      <c r="T1" s="4"/>
      <c r="U1" s="4"/>
      <c r="V1" s="4"/>
      <c r="W1" s="4"/>
      <c r="X1" s="4"/>
      <c r="Y1" s="4"/>
      <c r="Z1" s="4"/>
    </row>
    <row r="2" ht="24.0" customHeight="1">
      <c r="A2" s="8" t="s">
        <v>1</v>
      </c>
      <c r="B2" s="9"/>
      <c r="C2" s="9"/>
      <c r="D2" s="9"/>
      <c r="E2" s="9"/>
      <c r="F2" s="9"/>
      <c r="G2" s="9"/>
      <c r="H2" s="9"/>
      <c r="I2" s="9"/>
      <c r="J2" s="9"/>
      <c r="K2" s="9"/>
      <c r="L2" s="9"/>
      <c r="M2" s="9"/>
      <c r="N2" s="9"/>
      <c r="O2" s="9"/>
      <c r="P2" s="9"/>
      <c r="Q2" s="9"/>
      <c r="R2" s="10"/>
      <c r="S2" s="4"/>
      <c r="T2" s="4"/>
      <c r="U2" s="4"/>
      <c r="V2" s="4"/>
      <c r="W2" s="4"/>
      <c r="X2" s="4"/>
      <c r="Y2" s="4"/>
      <c r="Z2" s="4"/>
    </row>
    <row r="3" ht="16.5" customHeight="1">
      <c r="A3" s="11" t="s">
        <v>2</v>
      </c>
      <c r="B3" s="9"/>
      <c r="C3" s="9"/>
      <c r="D3" s="9"/>
      <c r="E3" s="9"/>
      <c r="F3" s="9"/>
      <c r="G3" s="9"/>
      <c r="H3" s="9"/>
      <c r="I3" s="9"/>
      <c r="J3" s="9"/>
      <c r="K3" s="9"/>
      <c r="L3" s="9"/>
      <c r="M3" s="9"/>
      <c r="N3" s="9"/>
      <c r="O3" s="9"/>
      <c r="P3" s="9"/>
      <c r="Q3" s="9"/>
      <c r="R3" s="10"/>
      <c r="S3" s="4"/>
      <c r="T3" s="4"/>
      <c r="U3" s="4"/>
      <c r="V3" s="4"/>
      <c r="W3" s="4"/>
      <c r="X3" s="4"/>
      <c r="Y3" s="4"/>
      <c r="Z3" s="4"/>
    </row>
    <row r="4" ht="16.5" customHeight="1">
      <c r="A4" s="12" t="s">
        <v>3</v>
      </c>
      <c r="B4" s="9"/>
      <c r="C4" s="9"/>
      <c r="D4" s="9"/>
      <c r="E4" s="9"/>
      <c r="F4" s="9"/>
      <c r="G4" s="9"/>
      <c r="H4" s="9"/>
      <c r="I4" s="9"/>
      <c r="J4" s="9"/>
      <c r="K4" s="9"/>
      <c r="L4" s="9"/>
      <c r="M4" s="9"/>
      <c r="N4" s="9"/>
      <c r="O4" s="9"/>
      <c r="P4" s="9"/>
      <c r="Q4" s="9"/>
      <c r="R4" s="10"/>
      <c r="S4" s="4"/>
      <c r="T4" s="4"/>
      <c r="U4" s="4"/>
      <c r="V4" s="4"/>
      <c r="W4" s="4"/>
      <c r="X4" s="4"/>
      <c r="Y4" s="4"/>
      <c r="Z4" s="4"/>
    </row>
    <row r="5" ht="34.5" customHeight="1">
      <c r="A5" s="3"/>
      <c r="B5" s="2"/>
      <c r="C5" s="3"/>
      <c r="D5" s="2"/>
      <c r="E5" s="4"/>
      <c r="F5" s="4"/>
      <c r="G5" s="4"/>
      <c r="H5" s="4"/>
      <c r="I5" s="4"/>
      <c r="J5" s="4"/>
      <c r="K5" s="4"/>
      <c r="L5" s="4"/>
      <c r="M5" s="4"/>
      <c r="N5" s="4"/>
      <c r="O5" s="4"/>
      <c r="P5" s="4"/>
      <c r="Q5" s="4"/>
      <c r="R5" s="2"/>
      <c r="S5" s="13"/>
      <c r="T5" s="4"/>
      <c r="U5" s="4"/>
      <c r="V5" s="4"/>
      <c r="W5" s="4"/>
      <c r="X5" s="4"/>
      <c r="Y5" s="4"/>
      <c r="Z5" s="4"/>
    </row>
    <row r="6" ht="42.0" customHeight="1">
      <c r="A6" s="14" t="s">
        <v>4</v>
      </c>
      <c r="B6" s="15" t="s">
        <v>5</v>
      </c>
      <c r="C6" s="15" t="s">
        <v>6</v>
      </c>
      <c r="D6" s="15" t="s">
        <v>7</v>
      </c>
      <c r="E6" s="15" t="s">
        <v>8</v>
      </c>
      <c r="F6" s="15" t="s">
        <v>9</v>
      </c>
      <c r="G6" s="15" t="s">
        <v>10</v>
      </c>
      <c r="H6" s="15" t="s">
        <v>11</v>
      </c>
      <c r="I6" s="15" t="s">
        <v>12</v>
      </c>
      <c r="J6" s="15" t="s">
        <v>13</v>
      </c>
      <c r="K6" s="15" t="s">
        <v>14</v>
      </c>
      <c r="L6" s="15" t="s">
        <v>15</v>
      </c>
      <c r="M6" s="15" t="s">
        <v>16</v>
      </c>
      <c r="N6" s="15" t="s">
        <v>17</v>
      </c>
      <c r="O6" s="15" t="s">
        <v>18</v>
      </c>
      <c r="P6" s="15" t="s">
        <v>19</v>
      </c>
      <c r="Q6" s="15" t="s">
        <v>20</v>
      </c>
      <c r="R6" s="15" t="s">
        <v>21</v>
      </c>
      <c r="S6" s="17" t="s">
        <v>22</v>
      </c>
      <c r="T6" s="18"/>
      <c r="U6" s="3"/>
      <c r="V6" s="3"/>
      <c r="W6" s="3"/>
      <c r="X6" s="3"/>
      <c r="Y6" s="3"/>
      <c r="Z6" s="3"/>
    </row>
    <row r="7" ht="34.5" hidden="1" customHeight="1">
      <c r="A7" s="20">
        <v>1.0</v>
      </c>
      <c r="B7" s="21" t="s">
        <v>23</v>
      </c>
      <c r="C7" s="22" t="s">
        <v>24</v>
      </c>
      <c r="D7" s="22" t="s">
        <v>25</v>
      </c>
      <c r="E7" s="23" t="s">
        <v>26</v>
      </c>
      <c r="F7" s="25" t="s">
        <v>27</v>
      </c>
      <c r="G7" s="26">
        <v>1.0</v>
      </c>
      <c r="H7" s="28">
        <v>500000.0</v>
      </c>
      <c r="I7" s="29">
        <v>45993.0</v>
      </c>
      <c r="J7" s="30">
        <v>46032.0</v>
      </c>
      <c r="K7" s="32">
        <v>8000.0</v>
      </c>
      <c r="L7" s="34">
        <v>46246.0</v>
      </c>
      <c r="M7" s="35">
        <v>46246.0</v>
      </c>
      <c r="N7" s="36">
        <v>46275.0</v>
      </c>
      <c r="O7" s="36">
        <v>46272.0</v>
      </c>
      <c r="P7" s="37"/>
      <c r="Q7" s="39" t="s">
        <v>32</v>
      </c>
      <c r="R7" s="41" t="s">
        <v>33</v>
      </c>
      <c r="S7" s="43"/>
      <c r="T7" s="44"/>
      <c r="U7" s="4"/>
      <c r="V7" s="4"/>
      <c r="W7" s="4"/>
      <c r="X7" s="4"/>
      <c r="Y7" s="4"/>
      <c r="Z7" s="4"/>
    </row>
    <row r="8" ht="34.5" hidden="1" customHeight="1">
      <c r="A8" s="27">
        <v>2.0</v>
      </c>
      <c r="B8" s="45" t="s">
        <v>34</v>
      </c>
      <c r="C8" s="46" t="s">
        <v>24</v>
      </c>
      <c r="D8" s="46" t="s">
        <v>25</v>
      </c>
      <c r="E8" s="47" t="s">
        <v>26</v>
      </c>
      <c r="F8" s="48" t="s">
        <v>27</v>
      </c>
      <c r="G8" s="50">
        <v>1.0</v>
      </c>
      <c r="H8" s="50">
        <v>600000.0</v>
      </c>
      <c r="I8" s="34">
        <v>46135.0</v>
      </c>
      <c r="J8" s="53">
        <v>46157.0</v>
      </c>
      <c r="K8" s="32">
        <v>10000.0</v>
      </c>
      <c r="L8" s="34">
        <v>46246.0</v>
      </c>
      <c r="M8" s="35">
        <v>46246.0</v>
      </c>
      <c r="N8" s="36">
        <v>46280.0</v>
      </c>
      <c r="O8" s="36">
        <v>46275.0</v>
      </c>
      <c r="P8" s="37"/>
      <c r="Q8" s="39" t="s">
        <v>32</v>
      </c>
      <c r="R8" s="55" t="s">
        <v>39</v>
      </c>
      <c r="S8" s="43"/>
      <c r="T8" s="44"/>
      <c r="U8" s="4"/>
      <c r="V8" s="4"/>
      <c r="W8" s="4"/>
      <c r="X8" s="4"/>
      <c r="Y8" s="4"/>
      <c r="Z8" s="4"/>
    </row>
    <row r="9" ht="34.5" hidden="1" customHeight="1">
      <c r="A9" s="20">
        <v>3.0</v>
      </c>
      <c r="B9" s="21" t="s">
        <v>42</v>
      </c>
      <c r="C9" s="22" t="s">
        <v>43</v>
      </c>
      <c r="D9" s="56" t="s">
        <v>44</v>
      </c>
      <c r="E9" s="23" t="s">
        <v>45</v>
      </c>
      <c r="F9" s="25" t="s">
        <v>27</v>
      </c>
      <c r="G9" s="26">
        <v>1.0</v>
      </c>
      <c r="H9" s="28">
        <v>600000.0</v>
      </c>
      <c r="I9" s="29">
        <v>45848.0</v>
      </c>
      <c r="J9" s="30">
        <v>45879.0</v>
      </c>
      <c r="K9" s="32">
        <v>7500.0</v>
      </c>
      <c r="L9" s="38">
        <v>46120.0</v>
      </c>
      <c r="M9" s="40">
        <v>46143.0</v>
      </c>
      <c r="N9" s="42"/>
      <c r="O9" s="59"/>
      <c r="P9" s="61"/>
      <c r="Q9" s="63"/>
      <c r="R9" s="51" t="s">
        <v>48</v>
      </c>
      <c r="S9" s="43"/>
      <c r="T9" s="44"/>
      <c r="U9" s="4"/>
      <c r="V9" s="4"/>
      <c r="W9" s="4"/>
      <c r="X9" s="4"/>
      <c r="Y9" s="4"/>
      <c r="Z9" s="4"/>
    </row>
    <row r="10" ht="34.5" hidden="1" customHeight="1">
      <c r="A10" s="20">
        <v>4.0</v>
      </c>
      <c r="B10" s="21" t="s">
        <v>50</v>
      </c>
      <c r="C10" s="65" t="s">
        <v>43</v>
      </c>
      <c r="D10" s="66" t="s">
        <v>52</v>
      </c>
      <c r="E10" s="23" t="s">
        <v>53</v>
      </c>
      <c r="F10" s="25" t="s">
        <v>27</v>
      </c>
      <c r="G10" s="26">
        <v>2.0</v>
      </c>
      <c r="H10" s="28">
        <v>1000000.0</v>
      </c>
      <c r="I10" s="29">
        <v>45834.0</v>
      </c>
      <c r="J10" s="30">
        <v>45848.0</v>
      </c>
      <c r="K10" s="32">
        <v>17000.0</v>
      </c>
      <c r="L10" s="38">
        <v>46090.0</v>
      </c>
      <c r="M10" s="40">
        <v>46235.0</v>
      </c>
      <c r="N10" s="42"/>
      <c r="O10" s="59"/>
      <c r="P10" s="61"/>
      <c r="Q10" s="63"/>
      <c r="R10" s="51" t="s">
        <v>54</v>
      </c>
      <c r="S10" s="43"/>
      <c r="T10" s="44"/>
      <c r="U10" s="4"/>
      <c r="V10" s="4"/>
      <c r="W10" s="4"/>
      <c r="X10" s="4"/>
      <c r="Y10" s="4"/>
      <c r="Z10" s="4"/>
    </row>
    <row r="11" ht="34.5" hidden="1" customHeight="1">
      <c r="A11" s="27">
        <v>5.0</v>
      </c>
      <c r="B11" s="21" t="s">
        <v>55</v>
      </c>
      <c r="C11" s="65" t="s">
        <v>56</v>
      </c>
      <c r="D11" s="65" t="s">
        <v>57</v>
      </c>
      <c r="E11" s="23" t="s">
        <v>58</v>
      </c>
      <c r="F11" s="25" t="s">
        <v>60</v>
      </c>
      <c r="G11" s="26">
        <v>5.0</v>
      </c>
      <c r="H11" s="28">
        <v>4000000.0</v>
      </c>
      <c r="I11" s="29">
        <v>45918.0</v>
      </c>
      <c r="J11" s="30">
        <v>45976.0</v>
      </c>
      <c r="K11" s="32">
        <v>50000.0</v>
      </c>
      <c r="L11" s="34">
        <v>46243.0</v>
      </c>
      <c r="M11" s="35">
        <v>46243.0</v>
      </c>
      <c r="N11" s="68">
        <v>46280.0</v>
      </c>
      <c r="O11" s="68">
        <v>46277.0</v>
      </c>
      <c r="P11" s="61"/>
      <c r="Q11" s="39" t="s">
        <v>32</v>
      </c>
      <c r="R11" s="41" t="s">
        <v>48</v>
      </c>
      <c r="S11" s="43"/>
      <c r="T11" s="44"/>
      <c r="U11" s="69"/>
      <c r="V11" s="4"/>
      <c r="W11" s="4"/>
      <c r="X11" s="4"/>
      <c r="Y11" s="4"/>
      <c r="Z11" s="4"/>
    </row>
    <row r="12" ht="34.5" hidden="1" customHeight="1">
      <c r="A12" s="20">
        <v>6.0</v>
      </c>
      <c r="B12" s="21" t="s">
        <v>62</v>
      </c>
      <c r="C12" s="65" t="s">
        <v>56</v>
      </c>
      <c r="D12" s="65" t="s">
        <v>63</v>
      </c>
      <c r="E12" s="23" t="s">
        <v>64</v>
      </c>
      <c r="F12" s="25" t="s">
        <v>60</v>
      </c>
      <c r="G12" s="26">
        <v>5.0</v>
      </c>
      <c r="H12" s="28">
        <v>4000000.0</v>
      </c>
      <c r="I12" s="29">
        <v>45853.0</v>
      </c>
      <c r="J12" s="30">
        <v>45884.0</v>
      </c>
      <c r="K12" s="32">
        <v>50000.0</v>
      </c>
      <c r="L12" s="34">
        <v>46250.0</v>
      </c>
      <c r="M12" s="35">
        <v>46250.0</v>
      </c>
      <c r="N12" s="68">
        <v>46280.0</v>
      </c>
      <c r="O12" s="68">
        <v>46277.0</v>
      </c>
      <c r="P12" s="61"/>
      <c r="Q12" s="39" t="s">
        <v>32</v>
      </c>
      <c r="R12" s="41" t="s">
        <v>65</v>
      </c>
      <c r="S12" s="43"/>
      <c r="T12" s="44"/>
      <c r="U12" s="4"/>
      <c r="V12" s="4"/>
      <c r="W12" s="4"/>
      <c r="X12" s="4"/>
      <c r="Y12" s="4"/>
      <c r="Z12" s="4"/>
    </row>
    <row r="13" ht="34.5" hidden="1" customHeight="1">
      <c r="A13" s="20">
        <v>7.0</v>
      </c>
      <c r="B13" s="21" t="s">
        <v>66</v>
      </c>
      <c r="C13" s="22" t="s">
        <v>67</v>
      </c>
      <c r="D13" s="65" t="s">
        <v>68</v>
      </c>
      <c r="E13" s="71" t="s">
        <v>69</v>
      </c>
      <c r="F13" s="25" t="s">
        <v>27</v>
      </c>
      <c r="G13" s="26">
        <v>1.0</v>
      </c>
      <c r="H13" s="28">
        <v>400000.0</v>
      </c>
      <c r="I13" s="29">
        <v>45867.0</v>
      </c>
      <c r="J13" s="30">
        <v>45889.0</v>
      </c>
      <c r="K13" s="32">
        <v>4000.0</v>
      </c>
      <c r="L13" s="34">
        <v>46155.0</v>
      </c>
      <c r="M13" s="35">
        <v>46193.0</v>
      </c>
      <c r="N13" s="68">
        <v>46223.0</v>
      </c>
      <c r="O13" s="68">
        <v>46218.0</v>
      </c>
      <c r="P13" s="37">
        <v>2.0</v>
      </c>
      <c r="Q13" s="26">
        <f t="shared" ref="Q13:Q15" si="1">K13*P13</f>
        <v>8000</v>
      </c>
      <c r="R13" s="73" t="s">
        <v>70</v>
      </c>
      <c r="S13" s="43"/>
      <c r="T13" s="44"/>
      <c r="U13" s="4"/>
      <c r="V13" s="4"/>
      <c r="W13" s="4"/>
      <c r="X13" s="4"/>
      <c r="Y13" s="4"/>
      <c r="Z13" s="4"/>
    </row>
    <row r="14" ht="34.5" hidden="1" customHeight="1">
      <c r="A14" s="27">
        <v>8.0</v>
      </c>
      <c r="B14" s="45" t="s">
        <v>73</v>
      </c>
      <c r="C14" s="75" t="s">
        <v>78</v>
      </c>
      <c r="D14" s="75" t="s">
        <v>68</v>
      </c>
      <c r="E14" s="71" t="s">
        <v>69</v>
      </c>
      <c r="F14" s="48" t="s">
        <v>27</v>
      </c>
      <c r="G14" s="70">
        <v>1.0</v>
      </c>
      <c r="H14" s="50">
        <v>450000.0</v>
      </c>
      <c r="I14" s="38">
        <v>46146.0</v>
      </c>
      <c r="J14" s="30">
        <v>46162.0</v>
      </c>
      <c r="K14" s="32">
        <v>4000.0</v>
      </c>
      <c r="L14" s="38">
        <v>46155.0</v>
      </c>
      <c r="M14" s="35">
        <v>46193.0</v>
      </c>
      <c r="N14" s="68">
        <v>46223.0</v>
      </c>
      <c r="O14" s="68">
        <v>46218.0</v>
      </c>
      <c r="P14" s="37">
        <v>2.0</v>
      </c>
      <c r="Q14" s="26">
        <f t="shared" si="1"/>
        <v>8000</v>
      </c>
      <c r="R14" s="78" t="s">
        <v>83</v>
      </c>
      <c r="S14" s="43"/>
      <c r="T14" s="44"/>
      <c r="U14" s="4"/>
      <c r="V14" s="4"/>
      <c r="W14" s="4"/>
      <c r="X14" s="4"/>
      <c r="Y14" s="4"/>
      <c r="Z14" s="4"/>
    </row>
    <row r="15" ht="34.5" hidden="1" customHeight="1">
      <c r="A15" s="20">
        <v>9.0</v>
      </c>
      <c r="B15" s="81" t="s">
        <v>84</v>
      </c>
      <c r="C15" s="22" t="s">
        <v>85</v>
      </c>
      <c r="D15" s="22" t="s">
        <v>86</v>
      </c>
      <c r="E15" s="23" t="s">
        <v>87</v>
      </c>
      <c r="F15" s="25" t="s">
        <v>27</v>
      </c>
      <c r="G15" s="26">
        <v>1.0</v>
      </c>
      <c r="H15" s="28">
        <v>450000.0</v>
      </c>
      <c r="I15" s="29">
        <v>45909.0</v>
      </c>
      <c r="J15" s="30">
        <v>45950.0</v>
      </c>
      <c r="K15" s="32">
        <v>5800.0</v>
      </c>
      <c r="L15" s="34">
        <v>46233.0</v>
      </c>
      <c r="M15" s="35">
        <v>46193.0</v>
      </c>
      <c r="N15" s="68">
        <v>46223.0</v>
      </c>
      <c r="O15" s="68">
        <v>46218.0</v>
      </c>
      <c r="P15" s="37">
        <v>2.0</v>
      </c>
      <c r="Q15" s="26">
        <f t="shared" si="1"/>
        <v>11600</v>
      </c>
      <c r="R15" s="41" t="s">
        <v>88</v>
      </c>
      <c r="S15" s="43"/>
      <c r="T15" s="44"/>
      <c r="U15" s="4"/>
      <c r="V15" s="4"/>
      <c r="W15" s="4"/>
      <c r="X15" s="4"/>
      <c r="Y15" s="4"/>
      <c r="Z15" s="4"/>
    </row>
    <row r="16" ht="34.5" hidden="1" customHeight="1">
      <c r="A16" s="20">
        <v>10.0</v>
      </c>
      <c r="B16" s="21" t="s">
        <v>89</v>
      </c>
      <c r="C16" s="22" t="s">
        <v>90</v>
      </c>
      <c r="D16" s="22" t="s">
        <v>92</v>
      </c>
      <c r="E16" s="23" t="s">
        <v>93</v>
      </c>
      <c r="F16" s="25" t="s">
        <v>27</v>
      </c>
      <c r="G16" s="26">
        <v>1.0</v>
      </c>
      <c r="H16" s="28">
        <v>460000.0</v>
      </c>
      <c r="I16" s="29">
        <v>45893.0</v>
      </c>
      <c r="J16" s="30">
        <v>45894.0</v>
      </c>
      <c r="K16" s="32">
        <v>10000.0</v>
      </c>
      <c r="L16" s="38">
        <v>46097.0</v>
      </c>
      <c r="M16" s="87">
        <v>46419.0</v>
      </c>
      <c r="N16" s="68">
        <v>46471.0</v>
      </c>
      <c r="O16" s="68">
        <v>46466.0</v>
      </c>
      <c r="P16" s="61"/>
      <c r="Q16" s="39" t="s">
        <v>32</v>
      </c>
      <c r="R16" s="51" t="s">
        <v>94</v>
      </c>
      <c r="S16" s="43"/>
      <c r="T16" s="44"/>
      <c r="U16" s="4"/>
      <c r="V16" s="4"/>
      <c r="W16" s="4"/>
      <c r="X16" s="4"/>
      <c r="Y16" s="4"/>
      <c r="Z16" s="4"/>
    </row>
    <row r="17" ht="34.5" hidden="1" customHeight="1">
      <c r="A17" s="27">
        <v>11.0</v>
      </c>
      <c r="B17" s="64" t="s">
        <v>95</v>
      </c>
      <c r="C17" s="75" t="s">
        <v>90</v>
      </c>
      <c r="D17" s="75" t="s">
        <v>98</v>
      </c>
      <c r="E17" s="90" t="s">
        <v>99</v>
      </c>
      <c r="F17" s="25" t="s">
        <v>27</v>
      </c>
      <c r="G17" s="92">
        <v>1.0</v>
      </c>
      <c r="H17" s="50">
        <v>600000.0</v>
      </c>
      <c r="I17" s="93">
        <v>45894.0</v>
      </c>
      <c r="J17" s="30">
        <v>45925.0</v>
      </c>
      <c r="K17" s="32">
        <v>8300.0</v>
      </c>
      <c r="L17" s="34">
        <v>46284.0</v>
      </c>
      <c r="M17" s="35">
        <v>46228.0</v>
      </c>
      <c r="N17" s="68">
        <v>46259.0</v>
      </c>
      <c r="O17" s="68">
        <v>46254.0</v>
      </c>
      <c r="P17" s="37">
        <v>1.0</v>
      </c>
      <c r="Q17" s="26">
        <f>K17*P17</f>
        <v>8300</v>
      </c>
      <c r="R17" s="55" t="s">
        <v>101</v>
      </c>
      <c r="S17" s="96" t="s">
        <v>102</v>
      </c>
      <c r="T17" s="44"/>
      <c r="U17" s="4"/>
      <c r="V17" s="4"/>
      <c r="W17" s="4"/>
      <c r="X17" s="4"/>
      <c r="Y17" s="4"/>
      <c r="Z17" s="4"/>
    </row>
    <row r="18" ht="34.5" hidden="1" customHeight="1">
      <c r="A18" s="20">
        <v>12.0</v>
      </c>
      <c r="B18" s="21" t="s">
        <v>105</v>
      </c>
      <c r="C18" s="22" t="s">
        <v>106</v>
      </c>
      <c r="D18" s="22" t="s">
        <v>107</v>
      </c>
      <c r="E18" s="23" t="s">
        <v>108</v>
      </c>
      <c r="F18" s="25" t="s">
        <v>27</v>
      </c>
      <c r="G18" s="26">
        <v>1.0</v>
      </c>
      <c r="H18" s="28">
        <v>500000.0</v>
      </c>
      <c r="I18" s="38">
        <v>45911.0</v>
      </c>
      <c r="J18" s="30">
        <v>45958.0</v>
      </c>
      <c r="K18" s="32">
        <v>7300.0</v>
      </c>
      <c r="L18" s="34">
        <v>46246.0</v>
      </c>
      <c r="M18" s="35">
        <v>46246.0</v>
      </c>
      <c r="N18" s="68">
        <v>46293.0</v>
      </c>
      <c r="O18" s="68">
        <v>46290.0</v>
      </c>
      <c r="P18" s="37"/>
      <c r="Q18" s="39" t="s">
        <v>32</v>
      </c>
      <c r="R18" s="41" t="s">
        <v>70</v>
      </c>
      <c r="S18" s="98"/>
      <c r="T18" s="44"/>
      <c r="U18" s="4"/>
      <c r="V18" s="4"/>
      <c r="W18" s="4"/>
      <c r="X18" s="4"/>
      <c r="Y18" s="4"/>
      <c r="Z18" s="4"/>
    </row>
    <row r="19" ht="34.5" hidden="1" customHeight="1">
      <c r="A19" s="20">
        <v>13.0</v>
      </c>
      <c r="B19" s="64" t="s">
        <v>111</v>
      </c>
      <c r="C19" s="75" t="s">
        <v>112</v>
      </c>
      <c r="D19" s="75" t="s">
        <v>113</v>
      </c>
      <c r="E19" s="23" t="s">
        <v>114</v>
      </c>
      <c r="F19" s="25" t="s">
        <v>27</v>
      </c>
      <c r="G19" s="92">
        <v>1.0</v>
      </c>
      <c r="H19" s="50">
        <v>500000.0</v>
      </c>
      <c r="I19" s="38">
        <v>45952.0</v>
      </c>
      <c r="J19" s="30">
        <v>46050.0</v>
      </c>
      <c r="K19" s="32">
        <v>7000.0</v>
      </c>
      <c r="L19" s="38">
        <v>46140.0</v>
      </c>
      <c r="M19" s="40">
        <v>46114.0</v>
      </c>
      <c r="N19" s="59">
        <v>46170.0</v>
      </c>
      <c r="O19" s="59">
        <v>46167.0</v>
      </c>
      <c r="P19" s="101">
        <v>4.0</v>
      </c>
      <c r="Q19" s="26">
        <f t="shared" ref="Q19:Q20" si="2">K19*P19</f>
        <v>28000</v>
      </c>
      <c r="R19" s="103" t="s">
        <v>115</v>
      </c>
      <c r="S19" s="43"/>
      <c r="T19" s="44"/>
      <c r="U19" s="4"/>
      <c r="V19" s="4"/>
      <c r="W19" s="4"/>
      <c r="X19" s="4"/>
      <c r="Y19" s="4"/>
      <c r="Z19" s="4"/>
    </row>
    <row r="20" ht="34.5" hidden="1" customHeight="1">
      <c r="A20" s="27">
        <v>14.0</v>
      </c>
      <c r="B20" s="21" t="s">
        <v>116</v>
      </c>
      <c r="C20" s="22" t="s">
        <v>112</v>
      </c>
      <c r="D20" s="56" t="s">
        <v>117</v>
      </c>
      <c r="E20" s="23" t="s">
        <v>118</v>
      </c>
      <c r="F20" s="25" t="s">
        <v>27</v>
      </c>
      <c r="G20" s="26">
        <v>1.0</v>
      </c>
      <c r="H20" s="28">
        <v>500000.0</v>
      </c>
      <c r="I20" s="29">
        <v>45952.0</v>
      </c>
      <c r="J20" s="30">
        <v>46050.0</v>
      </c>
      <c r="K20" s="32">
        <v>7000.0</v>
      </c>
      <c r="L20" s="38">
        <v>46140.0</v>
      </c>
      <c r="M20" s="40">
        <v>46114.0</v>
      </c>
      <c r="N20" s="59">
        <v>46170.0</v>
      </c>
      <c r="O20" s="59">
        <v>46167.0</v>
      </c>
      <c r="P20" s="37">
        <v>4.0</v>
      </c>
      <c r="Q20" s="26">
        <f t="shared" si="2"/>
        <v>28000</v>
      </c>
      <c r="R20" s="103" t="s">
        <v>115</v>
      </c>
      <c r="S20" s="43"/>
      <c r="T20" s="44"/>
      <c r="U20" s="4"/>
      <c r="V20" s="4"/>
      <c r="W20" s="4"/>
      <c r="X20" s="4"/>
      <c r="Y20" s="4"/>
      <c r="Z20" s="4"/>
    </row>
    <row r="21" ht="34.5" hidden="1" customHeight="1">
      <c r="A21" s="20">
        <v>15.0</v>
      </c>
      <c r="B21" s="21" t="s">
        <v>120</v>
      </c>
      <c r="C21" s="65" t="s">
        <v>121</v>
      </c>
      <c r="D21" s="65" t="s">
        <v>122</v>
      </c>
      <c r="E21" s="88"/>
      <c r="F21" s="25" t="s">
        <v>27</v>
      </c>
      <c r="G21" s="26">
        <v>4.0</v>
      </c>
      <c r="H21" s="28">
        <v>2400000.0</v>
      </c>
      <c r="I21" s="29">
        <v>45945.0</v>
      </c>
      <c r="J21" s="30">
        <v>45966.0</v>
      </c>
      <c r="K21" s="32">
        <v>29600.0</v>
      </c>
      <c r="L21" s="34">
        <v>46167.0</v>
      </c>
      <c r="M21" s="35">
        <v>46239.0</v>
      </c>
      <c r="N21" s="68">
        <v>46270.0</v>
      </c>
      <c r="O21" s="68">
        <v>46268.0</v>
      </c>
      <c r="P21" s="61"/>
      <c r="Q21" s="39" t="s">
        <v>32</v>
      </c>
      <c r="R21" s="41" t="s">
        <v>48</v>
      </c>
      <c r="S21" s="43"/>
      <c r="T21" s="44"/>
      <c r="U21" s="4"/>
      <c r="V21" s="4"/>
      <c r="W21" s="4"/>
      <c r="X21" s="4"/>
      <c r="Y21" s="4"/>
      <c r="Z21" s="4"/>
    </row>
    <row r="22" ht="34.5" hidden="1" customHeight="1">
      <c r="A22" s="20">
        <v>16.0</v>
      </c>
      <c r="B22" s="21" t="s">
        <v>123</v>
      </c>
      <c r="C22" s="65" t="s">
        <v>112</v>
      </c>
      <c r="D22" s="66" t="s">
        <v>124</v>
      </c>
      <c r="E22" s="88"/>
      <c r="F22" s="25" t="s">
        <v>27</v>
      </c>
      <c r="G22" s="26">
        <v>1.0</v>
      </c>
      <c r="H22" s="28">
        <v>500000.0</v>
      </c>
      <c r="I22" s="29">
        <v>45983.0</v>
      </c>
      <c r="J22" s="30">
        <v>46037.0</v>
      </c>
      <c r="K22" s="32">
        <v>6500.0</v>
      </c>
      <c r="L22" s="38">
        <v>46131.0</v>
      </c>
      <c r="M22" s="87">
        <v>46114.0</v>
      </c>
      <c r="N22" s="59">
        <v>46157.0</v>
      </c>
      <c r="O22" s="59">
        <v>46154.0</v>
      </c>
      <c r="P22" s="37">
        <v>4.0</v>
      </c>
      <c r="Q22" s="26">
        <f t="shared" ref="Q22:Q23" si="3">K22*P22</f>
        <v>26000</v>
      </c>
      <c r="R22" s="103" t="s">
        <v>115</v>
      </c>
      <c r="S22" s="43"/>
      <c r="T22" s="44"/>
      <c r="U22" s="4"/>
      <c r="V22" s="4"/>
      <c r="W22" s="4"/>
      <c r="X22" s="4"/>
      <c r="Y22" s="4"/>
      <c r="Z22" s="4"/>
    </row>
    <row r="23" ht="34.5" hidden="1" customHeight="1">
      <c r="A23" s="27">
        <v>17.0</v>
      </c>
      <c r="B23" s="54" t="s">
        <v>125</v>
      </c>
      <c r="C23" s="65" t="s">
        <v>126</v>
      </c>
      <c r="D23" s="66" t="s">
        <v>127</v>
      </c>
      <c r="E23" s="23" t="s">
        <v>128</v>
      </c>
      <c r="F23" s="25" t="s">
        <v>27</v>
      </c>
      <c r="G23" s="26">
        <v>2.0</v>
      </c>
      <c r="H23" s="28">
        <v>1000000.0</v>
      </c>
      <c r="I23" s="29">
        <v>45964.0</v>
      </c>
      <c r="J23" s="30">
        <v>46006.0</v>
      </c>
      <c r="K23" s="32">
        <v>16000.0</v>
      </c>
      <c r="L23" s="34">
        <v>46210.0</v>
      </c>
      <c r="M23" s="35">
        <v>46218.0</v>
      </c>
      <c r="N23" s="105">
        <v>46249.0</v>
      </c>
      <c r="O23" s="68">
        <v>46246.0</v>
      </c>
      <c r="P23" s="37">
        <v>1.0</v>
      </c>
      <c r="Q23" s="26">
        <f t="shared" si="3"/>
        <v>16000</v>
      </c>
      <c r="R23" s="41" t="s">
        <v>130</v>
      </c>
      <c r="S23" s="43"/>
      <c r="T23" s="44"/>
      <c r="U23" s="4"/>
      <c r="V23" s="4"/>
      <c r="W23" s="4"/>
      <c r="X23" s="4"/>
      <c r="Y23" s="4"/>
      <c r="Z23" s="4"/>
    </row>
    <row r="24" ht="34.5" hidden="1" customHeight="1">
      <c r="A24" s="20">
        <v>18.0</v>
      </c>
      <c r="B24" s="64" t="s">
        <v>131</v>
      </c>
      <c r="C24" s="75" t="s">
        <v>132</v>
      </c>
      <c r="D24" s="75" t="s">
        <v>133</v>
      </c>
      <c r="E24" s="23" t="s">
        <v>134</v>
      </c>
      <c r="F24" s="25" t="s">
        <v>27</v>
      </c>
      <c r="G24" s="92">
        <v>1.0</v>
      </c>
      <c r="H24" s="50">
        <v>500000.0</v>
      </c>
      <c r="I24" s="93">
        <v>46009.0</v>
      </c>
      <c r="J24" s="30">
        <v>46037.0</v>
      </c>
      <c r="K24" s="32">
        <v>7500.0</v>
      </c>
      <c r="L24" s="34">
        <v>46230.0</v>
      </c>
      <c r="M24" s="35">
        <v>46264.0</v>
      </c>
      <c r="N24" s="68">
        <v>46295.0</v>
      </c>
      <c r="O24" s="68">
        <v>46292.0</v>
      </c>
      <c r="P24" s="101"/>
      <c r="Q24" s="39" t="s">
        <v>32</v>
      </c>
      <c r="R24" s="55" t="s">
        <v>33</v>
      </c>
      <c r="S24" s="43"/>
      <c r="T24" s="44"/>
      <c r="U24" s="4"/>
      <c r="V24" s="4"/>
      <c r="W24" s="4"/>
      <c r="X24" s="4"/>
      <c r="Y24" s="4"/>
      <c r="Z24" s="4"/>
    </row>
    <row r="25" ht="34.5" hidden="1" customHeight="1">
      <c r="A25" s="20">
        <v>19.0</v>
      </c>
      <c r="B25" s="21" t="s">
        <v>135</v>
      </c>
      <c r="C25" s="22" t="s">
        <v>136</v>
      </c>
      <c r="D25" s="22" t="s">
        <v>136</v>
      </c>
      <c r="E25" s="23" t="s">
        <v>137</v>
      </c>
      <c r="F25" s="25" t="s">
        <v>27</v>
      </c>
      <c r="G25" s="26">
        <v>1.0</v>
      </c>
      <c r="H25" s="28">
        <v>400000.0</v>
      </c>
      <c r="I25" s="29">
        <v>45981.0</v>
      </c>
      <c r="J25" s="30">
        <v>46019.0</v>
      </c>
      <c r="K25" s="32">
        <v>5000.0</v>
      </c>
      <c r="L25" s="34">
        <v>46223.0</v>
      </c>
      <c r="M25" s="104">
        <v>46282.0</v>
      </c>
      <c r="N25" s="68">
        <v>46323.0</v>
      </c>
      <c r="O25" s="68">
        <v>46320.0</v>
      </c>
      <c r="P25" s="61"/>
      <c r="Q25" s="39" t="s">
        <v>32</v>
      </c>
      <c r="R25" s="55" t="s">
        <v>48</v>
      </c>
      <c r="S25" s="43"/>
      <c r="T25" s="44"/>
      <c r="U25" s="4"/>
      <c r="V25" s="4"/>
      <c r="W25" s="4"/>
      <c r="X25" s="4"/>
      <c r="Y25" s="4"/>
      <c r="Z25" s="4"/>
    </row>
    <row r="26" ht="34.5" hidden="1" customHeight="1">
      <c r="A26" s="27">
        <v>20.0</v>
      </c>
      <c r="B26" s="21" t="s">
        <v>138</v>
      </c>
      <c r="C26" s="65" t="s">
        <v>75</v>
      </c>
      <c r="D26" s="65" t="s">
        <v>139</v>
      </c>
      <c r="E26" s="23" t="s">
        <v>140</v>
      </c>
      <c r="F26" s="25" t="s">
        <v>27</v>
      </c>
      <c r="G26" s="26">
        <v>1.0</v>
      </c>
      <c r="H26" s="28">
        <v>500000.0</v>
      </c>
      <c r="I26" s="29">
        <v>46036.0</v>
      </c>
      <c r="J26" s="30">
        <v>46064.0</v>
      </c>
      <c r="K26" s="32">
        <v>7000.0</v>
      </c>
      <c r="L26" s="34">
        <v>46217.0</v>
      </c>
      <c r="M26" s="104">
        <v>46217.0</v>
      </c>
      <c r="N26" s="68">
        <v>46245.0</v>
      </c>
      <c r="O26" s="68">
        <v>46239.0</v>
      </c>
      <c r="P26" s="37">
        <v>1.0</v>
      </c>
      <c r="Q26" s="26">
        <f t="shared" ref="Q26:Q29" si="4">K26*P26</f>
        <v>7000</v>
      </c>
      <c r="R26" s="55" t="s">
        <v>141</v>
      </c>
      <c r="S26" s="43"/>
      <c r="T26" s="44"/>
      <c r="U26" s="4"/>
      <c r="V26" s="4"/>
      <c r="W26" s="4"/>
      <c r="X26" s="4"/>
      <c r="Y26" s="4"/>
      <c r="Z26" s="4"/>
    </row>
    <row r="27" ht="34.5" hidden="1" customHeight="1">
      <c r="A27" s="20">
        <v>21.0</v>
      </c>
      <c r="B27" s="21" t="s">
        <v>28</v>
      </c>
      <c r="C27" s="22" t="s">
        <v>29</v>
      </c>
      <c r="D27" s="22" t="s">
        <v>30</v>
      </c>
      <c r="E27" s="23" t="s">
        <v>31</v>
      </c>
      <c r="F27" s="25" t="s">
        <v>27</v>
      </c>
      <c r="G27" s="26">
        <v>2.0</v>
      </c>
      <c r="H27" s="28">
        <v>900000.0</v>
      </c>
      <c r="I27" s="29">
        <v>46019.0</v>
      </c>
      <c r="J27" s="30">
        <v>46050.0</v>
      </c>
      <c r="K27" s="32">
        <v>10000.0</v>
      </c>
      <c r="L27" s="38">
        <v>46151.0</v>
      </c>
      <c r="M27" s="40">
        <v>46109.0</v>
      </c>
      <c r="N27" s="59">
        <v>46140.0</v>
      </c>
      <c r="O27" s="68">
        <v>46137.0</v>
      </c>
      <c r="P27" s="37">
        <v>5.0</v>
      </c>
      <c r="Q27" s="26">
        <f t="shared" si="4"/>
        <v>50000</v>
      </c>
      <c r="R27" s="51" t="s">
        <v>35</v>
      </c>
      <c r="S27" s="43"/>
      <c r="T27" s="44"/>
      <c r="U27" s="4"/>
      <c r="V27" s="4"/>
      <c r="W27" s="4"/>
      <c r="X27" s="4"/>
      <c r="Y27" s="4"/>
      <c r="Z27" s="4"/>
    </row>
    <row r="28" ht="34.5" hidden="1" customHeight="1">
      <c r="A28" s="20">
        <v>22.0</v>
      </c>
      <c r="B28" s="21" t="s">
        <v>144</v>
      </c>
      <c r="C28" s="65" t="s">
        <v>145</v>
      </c>
      <c r="D28" s="22" t="s">
        <v>146</v>
      </c>
      <c r="E28" s="23" t="s">
        <v>147</v>
      </c>
      <c r="F28" s="25" t="s">
        <v>60</v>
      </c>
      <c r="G28" s="26">
        <v>5.0</v>
      </c>
      <c r="H28" s="28">
        <v>5000000.0</v>
      </c>
      <c r="I28" s="29"/>
      <c r="J28" s="30">
        <v>46047.0</v>
      </c>
      <c r="K28" s="32">
        <v>55000.0</v>
      </c>
      <c r="L28" s="34">
        <v>46236.0</v>
      </c>
      <c r="M28" s="35">
        <v>46198.0</v>
      </c>
      <c r="N28" s="68">
        <v>46228.0</v>
      </c>
      <c r="O28" s="68">
        <v>46225.0</v>
      </c>
      <c r="P28" s="37">
        <v>2.0</v>
      </c>
      <c r="Q28" s="26">
        <f t="shared" si="4"/>
        <v>110000</v>
      </c>
      <c r="R28" s="41" t="s">
        <v>141</v>
      </c>
      <c r="S28" s="96" t="s">
        <v>148</v>
      </c>
      <c r="T28" s="44"/>
      <c r="U28" s="4"/>
      <c r="V28" s="4"/>
      <c r="W28" s="4"/>
      <c r="X28" s="4"/>
      <c r="Y28" s="4"/>
      <c r="Z28" s="4"/>
    </row>
    <row r="29" ht="34.5" hidden="1" customHeight="1">
      <c r="A29" s="27">
        <v>23.0</v>
      </c>
      <c r="B29" s="21" t="s">
        <v>149</v>
      </c>
      <c r="C29" s="65" t="s">
        <v>43</v>
      </c>
      <c r="D29" s="109" t="s">
        <v>150</v>
      </c>
      <c r="E29" s="23" t="s">
        <v>152</v>
      </c>
      <c r="F29" s="25" t="s">
        <v>27</v>
      </c>
      <c r="G29" s="26">
        <v>1.0</v>
      </c>
      <c r="H29" s="28">
        <v>600000.0</v>
      </c>
      <c r="I29" s="29">
        <v>46047.0</v>
      </c>
      <c r="J29" s="30">
        <v>46078.0</v>
      </c>
      <c r="K29" s="32">
        <v>10000.0</v>
      </c>
      <c r="L29" s="34">
        <v>46149.0</v>
      </c>
      <c r="M29" s="35">
        <v>46137.0</v>
      </c>
      <c r="N29" s="68">
        <v>46167.0</v>
      </c>
      <c r="O29" s="68">
        <v>46164.0</v>
      </c>
      <c r="P29" s="37">
        <v>4.0</v>
      </c>
      <c r="Q29" s="26">
        <f t="shared" si="4"/>
        <v>40000</v>
      </c>
      <c r="R29" s="41" t="s">
        <v>35</v>
      </c>
      <c r="S29" s="43"/>
      <c r="T29" s="44"/>
      <c r="U29" s="4"/>
      <c r="V29" s="4"/>
      <c r="W29" s="4"/>
      <c r="X29" s="4"/>
      <c r="Y29" s="4"/>
      <c r="Z29" s="4"/>
    </row>
    <row r="30" ht="34.5" hidden="1" customHeight="1">
      <c r="A30" s="20">
        <v>24.0</v>
      </c>
      <c r="B30" s="64" t="s">
        <v>153</v>
      </c>
      <c r="C30" s="75" t="s">
        <v>29</v>
      </c>
      <c r="D30" s="75" t="s">
        <v>154</v>
      </c>
      <c r="E30" s="23" t="s">
        <v>155</v>
      </c>
      <c r="F30" s="25" t="s">
        <v>27</v>
      </c>
      <c r="G30" s="92">
        <v>2.0</v>
      </c>
      <c r="H30" s="50">
        <v>1100000.0</v>
      </c>
      <c r="I30" s="38">
        <v>46025.0</v>
      </c>
      <c r="J30" s="30">
        <v>46063.0</v>
      </c>
      <c r="K30" s="32">
        <v>12000.0</v>
      </c>
      <c r="L30" s="34">
        <v>46210.0</v>
      </c>
      <c r="M30" s="35">
        <v>46188.0</v>
      </c>
      <c r="N30" s="68">
        <v>46218.0</v>
      </c>
      <c r="O30" s="68">
        <v>46215.0</v>
      </c>
      <c r="P30" s="101">
        <v>2.0</v>
      </c>
      <c r="Q30" s="26">
        <f>K30*P30+4000</f>
        <v>28000</v>
      </c>
      <c r="R30" s="55" t="s">
        <v>156</v>
      </c>
      <c r="S30" s="43"/>
      <c r="T30" s="44"/>
      <c r="U30" s="4"/>
      <c r="V30" s="4"/>
      <c r="W30" s="4"/>
      <c r="X30" s="4"/>
      <c r="Y30" s="4"/>
      <c r="Z30" s="4"/>
    </row>
    <row r="31" ht="34.5" hidden="1" customHeight="1">
      <c r="A31" s="20">
        <v>25.0</v>
      </c>
      <c r="B31" s="21" t="s">
        <v>157</v>
      </c>
      <c r="C31" s="22" t="s">
        <v>158</v>
      </c>
      <c r="D31" s="56" t="s">
        <v>159</v>
      </c>
      <c r="E31" s="88"/>
      <c r="F31" s="51" t="s">
        <v>27</v>
      </c>
      <c r="G31" s="26">
        <v>1.0</v>
      </c>
      <c r="H31" s="28">
        <v>450000.0</v>
      </c>
      <c r="I31" s="29"/>
      <c r="J31" s="30">
        <v>46073.0</v>
      </c>
      <c r="K31" s="32">
        <v>6500.0</v>
      </c>
      <c r="L31" s="38">
        <v>46112.0</v>
      </c>
      <c r="M31" s="40">
        <v>46084.0</v>
      </c>
      <c r="N31" s="59">
        <v>46132.0</v>
      </c>
      <c r="O31" s="59">
        <v>46127.0</v>
      </c>
      <c r="P31" s="37">
        <v>5.0</v>
      </c>
      <c r="Q31" s="26">
        <f t="shared" ref="Q31:Q33" si="5">K31*P31</f>
        <v>32500</v>
      </c>
      <c r="R31" s="51" t="s">
        <v>83</v>
      </c>
      <c r="S31" s="43"/>
      <c r="T31" s="44"/>
      <c r="U31" s="4"/>
      <c r="V31" s="4"/>
      <c r="W31" s="4"/>
      <c r="X31" s="4"/>
      <c r="Y31" s="4"/>
      <c r="Z31" s="4"/>
    </row>
    <row r="32" ht="34.5" hidden="1" customHeight="1">
      <c r="A32" s="27">
        <v>26.0</v>
      </c>
      <c r="B32" s="21" t="s">
        <v>160</v>
      </c>
      <c r="C32" s="22" t="s">
        <v>158</v>
      </c>
      <c r="D32" s="56" t="s">
        <v>161</v>
      </c>
      <c r="E32" s="88"/>
      <c r="F32" s="51" t="s">
        <v>27</v>
      </c>
      <c r="G32" s="26">
        <v>1.0</v>
      </c>
      <c r="H32" s="28">
        <v>450000.0</v>
      </c>
      <c r="I32" s="29"/>
      <c r="J32" s="30">
        <v>46073.0</v>
      </c>
      <c r="K32" s="32">
        <v>6500.0</v>
      </c>
      <c r="L32" s="38">
        <v>46112.0</v>
      </c>
      <c r="M32" s="40">
        <v>46084.0</v>
      </c>
      <c r="N32" s="59">
        <v>46132.0</v>
      </c>
      <c r="O32" s="59">
        <v>46127.0</v>
      </c>
      <c r="P32" s="37">
        <v>5.0</v>
      </c>
      <c r="Q32" s="26">
        <f t="shared" si="5"/>
        <v>32500</v>
      </c>
      <c r="R32" s="51" t="s">
        <v>83</v>
      </c>
      <c r="S32" s="43"/>
      <c r="T32" s="44"/>
      <c r="U32" s="4"/>
      <c r="V32" s="4"/>
      <c r="W32" s="4"/>
      <c r="X32" s="4"/>
      <c r="Y32" s="4"/>
      <c r="Z32" s="4"/>
    </row>
    <row r="33" ht="34.5" hidden="1" customHeight="1">
      <c r="A33" s="20">
        <v>27.0</v>
      </c>
      <c r="B33" s="21" t="s">
        <v>166</v>
      </c>
      <c r="C33" s="65" t="s">
        <v>136</v>
      </c>
      <c r="D33" s="65" t="s">
        <v>167</v>
      </c>
      <c r="E33" s="23" t="s">
        <v>168</v>
      </c>
      <c r="F33" s="25" t="s">
        <v>27</v>
      </c>
      <c r="G33" s="26">
        <v>2.0</v>
      </c>
      <c r="H33" s="28">
        <v>1000000.0</v>
      </c>
      <c r="I33" s="29">
        <v>46021.0</v>
      </c>
      <c r="J33" s="30">
        <v>46042.0</v>
      </c>
      <c r="K33" s="32">
        <v>12500.0</v>
      </c>
      <c r="L33" s="38">
        <v>46092.0</v>
      </c>
      <c r="M33" s="35">
        <v>46226.0</v>
      </c>
      <c r="N33" s="68">
        <v>46254.0</v>
      </c>
      <c r="O33" s="68">
        <v>46249.0</v>
      </c>
      <c r="P33" s="37">
        <v>1.0</v>
      </c>
      <c r="Q33" s="26">
        <f t="shared" si="5"/>
        <v>12500</v>
      </c>
      <c r="R33" s="55" t="s">
        <v>71</v>
      </c>
      <c r="S33" s="43"/>
      <c r="T33" s="44"/>
      <c r="U33" s="4"/>
      <c r="V33" s="4"/>
      <c r="W33" s="4"/>
      <c r="X33" s="4"/>
      <c r="Y33" s="4"/>
      <c r="Z33" s="4"/>
    </row>
    <row r="34" ht="34.5" hidden="1" customHeight="1">
      <c r="A34" s="20">
        <v>28.0</v>
      </c>
      <c r="B34" s="21" t="s">
        <v>169</v>
      </c>
      <c r="C34" s="65" t="s">
        <v>75</v>
      </c>
      <c r="D34" s="65" t="s">
        <v>170</v>
      </c>
      <c r="E34" s="23" t="s">
        <v>172</v>
      </c>
      <c r="F34" s="25" t="s">
        <v>27</v>
      </c>
      <c r="G34" s="26">
        <v>1.0</v>
      </c>
      <c r="H34" s="28">
        <v>500000.0</v>
      </c>
      <c r="I34" s="29">
        <v>46044.0</v>
      </c>
      <c r="J34" s="30">
        <v>46063.0</v>
      </c>
      <c r="K34" s="32">
        <v>15000.0</v>
      </c>
      <c r="L34" s="38">
        <v>46093.0</v>
      </c>
      <c r="M34" s="40">
        <v>46270.0</v>
      </c>
      <c r="N34" s="59">
        <v>46305.0</v>
      </c>
      <c r="O34" s="59">
        <v>46302.0</v>
      </c>
      <c r="P34" s="61"/>
      <c r="Q34" s="39" t="s">
        <v>32</v>
      </c>
      <c r="R34" s="103" t="s">
        <v>173</v>
      </c>
      <c r="S34" s="43"/>
      <c r="T34" s="44"/>
      <c r="U34" s="4"/>
      <c r="V34" s="4"/>
      <c r="W34" s="4"/>
      <c r="X34" s="4"/>
      <c r="Y34" s="4"/>
      <c r="Z34" s="4"/>
    </row>
    <row r="35" ht="34.5" hidden="1" customHeight="1">
      <c r="A35" s="27">
        <v>29.0</v>
      </c>
      <c r="B35" s="54" t="s">
        <v>175</v>
      </c>
      <c r="C35" s="22" t="s">
        <v>121</v>
      </c>
      <c r="D35" s="22" t="s">
        <v>176</v>
      </c>
      <c r="E35" s="23" t="s">
        <v>177</v>
      </c>
      <c r="F35" s="25" t="s">
        <v>27</v>
      </c>
      <c r="G35" s="26">
        <v>1.0</v>
      </c>
      <c r="H35" s="28">
        <v>500000.0</v>
      </c>
      <c r="I35" s="29">
        <v>46047.0</v>
      </c>
      <c r="J35" s="30">
        <v>46063.0</v>
      </c>
      <c r="K35" s="32">
        <v>10000.0</v>
      </c>
      <c r="L35" s="34">
        <v>46247.0</v>
      </c>
      <c r="M35" s="104">
        <v>46247.0</v>
      </c>
      <c r="N35" s="68">
        <v>46275.0</v>
      </c>
      <c r="O35" s="68">
        <v>46272.0</v>
      </c>
      <c r="P35" s="37"/>
      <c r="Q35" s="39" t="s">
        <v>32</v>
      </c>
      <c r="R35" s="41" t="s">
        <v>71</v>
      </c>
      <c r="S35" s="43"/>
      <c r="T35" s="44"/>
      <c r="U35" s="4"/>
      <c r="V35" s="4"/>
      <c r="W35" s="4"/>
      <c r="X35" s="4"/>
      <c r="Y35" s="4"/>
      <c r="Z35" s="4"/>
    </row>
    <row r="36" ht="34.5" hidden="1" customHeight="1">
      <c r="A36" s="20">
        <v>30.0</v>
      </c>
      <c r="B36" s="54" t="s">
        <v>74</v>
      </c>
      <c r="C36" s="22" t="s">
        <v>75</v>
      </c>
      <c r="D36" s="22" t="s">
        <v>76</v>
      </c>
      <c r="E36" s="23" t="s">
        <v>77</v>
      </c>
      <c r="F36" s="25" t="s">
        <v>27</v>
      </c>
      <c r="G36" s="26">
        <v>1.0</v>
      </c>
      <c r="H36" s="28">
        <v>400000.0</v>
      </c>
      <c r="I36" s="29">
        <v>46043.0</v>
      </c>
      <c r="J36" s="30">
        <v>46078.0</v>
      </c>
      <c r="K36" s="32">
        <v>5000.0</v>
      </c>
      <c r="L36" s="34">
        <v>46209.0</v>
      </c>
      <c r="M36" s="35">
        <v>46150.0</v>
      </c>
      <c r="N36" s="68">
        <v>46198.0</v>
      </c>
      <c r="O36" s="68">
        <v>46195.0</v>
      </c>
      <c r="P36" s="37">
        <v>3.0</v>
      </c>
      <c r="Q36" s="26">
        <f t="shared" ref="Q36:Q37" si="6">K36*P36</f>
        <v>15000</v>
      </c>
      <c r="R36" s="41" t="s">
        <v>115</v>
      </c>
      <c r="S36" s="43"/>
      <c r="T36" s="44"/>
      <c r="U36" s="4"/>
      <c r="V36" s="4"/>
      <c r="W36" s="4"/>
      <c r="X36" s="4"/>
      <c r="Y36" s="4"/>
      <c r="Z36" s="4"/>
    </row>
    <row r="37" ht="34.5" hidden="1" customHeight="1">
      <c r="A37" s="20">
        <v>31.0</v>
      </c>
      <c r="B37" s="54" t="s">
        <v>37</v>
      </c>
      <c r="C37" s="22" t="s">
        <v>38</v>
      </c>
      <c r="D37" s="22" t="s">
        <v>40</v>
      </c>
      <c r="E37" s="23" t="s">
        <v>41</v>
      </c>
      <c r="F37" s="25" t="s">
        <v>27</v>
      </c>
      <c r="G37" s="26">
        <v>1.0</v>
      </c>
      <c r="H37" s="28">
        <v>700000.0</v>
      </c>
      <c r="I37" s="29">
        <v>46044.0</v>
      </c>
      <c r="J37" s="30">
        <v>46127.0</v>
      </c>
      <c r="K37" s="32">
        <v>10000.0</v>
      </c>
      <c r="L37" s="38">
        <v>46051.0</v>
      </c>
      <c r="M37" s="87"/>
      <c r="N37" s="59">
        <v>46127.0</v>
      </c>
      <c r="O37" s="59">
        <v>46124.0</v>
      </c>
      <c r="P37" s="37">
        <v>5.0</v>
      </c>
      <c r="Q37" s="26">
        <f t="shared" si="6"/>
        <v>50000</v>
      </c>
      <c r="R37" s="55" t="s">
        <v>46</v>
      </c>
      <c r="S37" s="62" t="s">
        <v>186</v>
      </c>
      <c r="T37" s="44"/>
      <c r="U37" s="4"/>
      <c r="V37" s="4"/>
      <c r="W37" s="4"/>
      <c r="X37" s="4"/>
      <c r="Y37" s="4"/>
      <c r="Z37" s="4"/>
    </row>
    <row r="38" ht="34.5" hidden="1" customHeight="1">
      <c r="A38" s="27">
        <v>32.0</v>
      </c>
      <c r="B38" s="21" t="s">
        <v>187</v>
      </c>
      <c r="C38" s="22" t="s">
        <v>112</v>
      </c>
      <c r="D38" s="22" t="s">
        <v>188</v>
      </c>
      <c r="E38" s="23" t="s">
        <v>189</v>
      </c>
      <c r="F38" s="25" t="s">
        <v>27</v>
      </c>
      <c r="G38" s="26">
        <v>1.0</v>
      </c>
      <c r="H38" s="28">
        <v>600000.0</v>
      </c>
      <c r="I38" s="29">
        <v>46047.0</v>
      </c>
      <c r="J38" s="30">
        <v>46068.0</v>
      </c>
      <c r="K38" s="32">
        <v>9000.0</v>
      </c>
      <c r="L38" s="34">
        <v>46244.0</v>
      </c>
      <c r="M38" s="104">
        <v>46244.0</v>
      </c>
      <c r="N38" s="68">
        <v>46280.0</v>
      </c>
      <c r="O38" s="68">
        <v>46277.0</v>
      </c>
      <c r="P38" s="37"/>
      <c r="Q38" s="39" t="s">
        <v>32</v>
      </c>
      <c r="R38" s="41" t="s">
        <v>71</v>
      </c>
      <c r="S38" s="43"/>
      <c r="T38" s="44"/>
      <c r="U38" s="4"/>
      <c r="V38" s="4"/>
      <c r="W38" s="4"/>
      <c r="X38" s="4"/>
      <c r="Y38" s="4"/>
      <c r="Z38" s="4"/>
    </row>
    <row r="39" ht="34.5" hidden="1" customHeight="1">
      <c r="A39" s="20">
        <v>33.0</v>
      </c>
      <c r="B39" s="21" t="s">
        <v>190</v>
      </c>
      <c r="C39" s="65" t="s">
        <v>191</v>
      </c>
      <c r="D39" s="65" t="s">
        <v>192</v>
      </c>
      <c r="E39" s="23" t="s">
        <v>193</v>
      </c>
      <c r="F39" s="25" t="s">
        <v>27</v>
      </c>
      <c r="G39" s="26">
        <v>1.0</v>
      </c>
      <c r="H39" s="28">
        <v>600000.0</v>
      </c>
      <c r="I39" s="29"/>
      <c r="J39" s="30">
        <v>46068.0</v>
      </c>
      <c r="K39" s="32">
        <v>8500.0</v>
      </c>
      <c r="L39" s="117">
        <v>46230.0</v>
      </c>
      <c r="M39" s="104">
        <v>46249.0</v>
      </c>
      <c r="N39" s="68">
        <v>46280.0</v>
      </c>
      <c r="O39" s="68">
        <v>46277.0</v>
      </c>
      <c r="P39" s="37"/>
      <c r="Q39" s="39" t="s">
        <v>32</v>
      </c>
      <c r="R39" s="41" t="s">
        <v>71</v>
      </c>
      <c r="S39" s="43"/>
      <c r="T39" s="44"/>
      <c r="U39" s="4"/>
      <c r="V39" s="4"/>
      <c r="W39" s="4"/>
      <c r="X39" s="4"/>
      <c r="Y39" s="4"/>
      <c r="Z39" s="4"/>
    </row>
    <row r="40" ht="34.5" hidden="1" customHeight="1">
      <c r="A40" s="20">
        <v>34.0</v>
      </c>
      <c r="B40" s="54" t="s">
        <v>194</v>
      </c>
      <c r="C40" s="65" t="s">
        <v>136</v>
      </c>
      <c r="D40" s="65" t="s">
        <v>195</v>
      </c>
      <c r="E40" s="23" t="s">
        <v>196</v>
      </c>
      <c r="F40" s="25" t="s">
        <v>100</v>
      </c>
      <c r="G40" s="26">
        <v>1.0</v>
      </c>
      <c r="H40" s="28">
        <v>480000.0</v>
      </c>
      <c r="I40" s="29">
        <v>46063.0</v>
      </c>
      <c r="J40" s="30">
        <v>46091.0</v>
      </c>
      <c r="K40" s="32">
        <v>6000.0</v>
      </c>
      <c r="L40" s="34">
        <v>46247.0</v>
      </c>
      <c r="M40" s="104">
        <v>46247.0</v>
      </c>
      <c r="N40" s="68">
        <v>46275.0</v>
      </c>
      <c r="O40" s="68">
        <v>46270.0</v>
      </c>
      <c r="P40" s="37"/>
      <c r="Q40" s="39" t="s">
        <v>32</v>
      </c>
      <c r="R40" s="41" t="s">
        <v>141</v>
      </c>
      <c r="S40" s="43"/>
      <c r="T40" s="44"/>
      <c r="U40" s="4"/>
      <c r="V40" s="4"/>
      <c r="W40" s="4"/>
      <c r="X40" s="4"/>
      <c r="Y40" s="4"/>
      <c r="Z40" s="4"/>
    </row>
    <row r="41" ht="34.5" hidden="1" customHeight="1">
      <c r="A41" s="27">
        <v>35.0</v>
      </c>
      <c r="B41" s="118" t="s">
        <v>198</v>
      </c>
      <c r="C41" s="46" t="s">
        <v>90</v>
      </c>
      <c r="D41" s="46" t="s">
        <v>200</v>
      </c>
      <c r="E41" s="90" t="s">
        <v>201</v>
      </c>
      <c r="F41" s="119" t="s">
        <v>27</v>
      </c>
      <c r="G41" s="92">
        <v>1.0</v>
      </c>
      <c r="H41" s="50">
        <v>700000.0</v>
      </c>
      <c r="I41" s="38">
        <v>46050.0</v>
      </c>
      <c r="J41" s="30">
        <v>46259.0</v>
      </c>
      <c r="K41" s="32">
        <v>15000.0</v>
      </c>
      <c r="L41" s="38">
        <v>46090.0</v>
      </c>
      <c r="M41" s="120"/>
      <c r="N41" s="59">
        <v>46259.0</v>
      </c>
      <c r="O41" s="59">
        <v>46256.0</v>
      </c>
      <c r="P41" s="121"/>
      <c r="Q41" s="92"/>
      <c r="R41" s="122" t="s">
        <v>204</v>
      </c>
      <c r="S41" s="43"/>
      <c r="T41" s="44"/>
      <c r="U41" s="4"/>
      <c r="V41" s="4"/>
      <c r="W41" s="4"/>
      <c r="X41" s="4"/>
      <c r="Y41" s="4"/>
      <c r="Z41" s="4"/>
    </row>
    <row r="42" ht="34.5" hidden="1" customHeight="1">
      <c r="A42" s="20">
        <v>36.0</v>
      </c>
      <c r="B42" s="21" t="s">
        <v>206</v>
      </c>
      <c r="C42" s="22" t="s">
        <v>207</v>
      </c>
      <c r="D42" s="22" t="s">
        <v>208</v>
      </c>
      <c r="E42" s="23" t="s">
        <v>209</v>
      </c>
      <c r="F42" s="25" t="s">
        <v>27</v>
      </c>
      <c r="G42" s="26">
        <v>1.0</v>
      </c>
      <c r="H42" s="28">
        <v>600000.0</v>
      </c>
      <c r="I42" s="29">
        <v>46091.0</v>
      </c>
      <c r="J42" s="30">
        <v>46122.0</v>
      </c>
      <c r="K42" s="32">
        <v>8000.0</v>
      </c>
      <c r="L42" s="83">
        <v>46246.0</v>
      </c>
      <c r="M42" s="104">
        <v>46246.0</v>
      </c>
      <c r="N42" s="68">
        <v>46275.0</v>
      </c>
      <c r="O42" s="68">
        <v>46272.0</v>
      </c>
      <c r="P42" s="37"/>
      <c r="Q42" s="39" t="s">
        <v>32</v>
      </c>
      <c r="R42" s="55" t="s">
        <v>79</v>
      </c>
      <c r="S42" s="98"/>
      <c r="T42" s="44"/>
      <c r="U42" s="4"/>
      <c r="V42" s="4"/>
      <c r="W42" s="4"/>
      <c r="X42" s="4"/>
      <c r="Y42" s="4"/>
      <c r="Z42" s="4"/>
    </row>
    <row r="43" ht="34.5" hidden="1" customHeight="1">
      <c r="A43" s="20">
        <v>37.0</v>
      </c>
      <c r="B43" s="21" t="s">
        <v>213</v>
      </c>
      <c r="C43" s="22" t="s">
        <v>24</v>
      </c>
      <c r="D43" s="22" t="s">
        <v>214</v>
      </c>
      <c r="E43" s="88"/>
      <c r="F43" s="25" t="s">
        <v>215</v>
      </c>
      <c r="G43" s="26">
        <v>1.0</v>
      </c>
      <c r="H43" s="28">
        <v>500000.0</v>
      </c>
      <c r="I43" s="29">
        <v>46054.0</v>
      </c>
      <c r="J43" s="30">
        <v>46101.0</v>
      </c>
      <c r="K43" s="32">
        <v>5500.0</v>
      </c>
      <c r="L43" s="34">
        <v>46247.0</v>
      </c>
      <c r="M43" s="104">
        <v>46247.0</v>
      </c>
      <c r="N43" s="68">
        <v>46285.0</v>
      </c>
      <c r="O43" s="68">
        <v>46282.0</v>
      </c>
      <c r="P43" s="37"/>
      <c r="Q43" s="39" t="s">
        <v>32</v>
      </c>
      <c r="R43" s="125" t="s">
        <v>141</v>
      </c>
      <c r="S43" s="43"/>
      <c r="T43" s="44"/>
      <c r="U43" s="4"/>
      <c r="V43" s="4"/>
      <c r="W43" s="4"/>
      <c r="X43" s="4"/>
      <c r="Y43" s="4"/>
      <c r="Z43" s="4"/>
    </row>
    <row r="44" ht="34.5" hidden="1" customHeight="1">
      <c r="A44" s="27">
        <v>38.0</v>
      </c>
      <c r="B44" s="21" t="s">
        <v>216</v>
      </c>
      <c r="C44" s="22" t="s">
        <v>24</v>
      </c>
      <c r="D44" s="22" t="s">
        <v>214</v>
      </c>
      <c r="E44" s="88"/>
      <c r="F44" s="25" t="s">
        <v>27</v>
      </c>
      <c r="G44" s="26">
        <v>1.0</v>
      </c>
      <c r="H44" s="28">
        <v>650000.0</v>
      </c>
      <c r="I44" s="29">
        <v>46054.0</v>
      </c>
      <c r="J44" s="30">
        <v>46101.0</v>
      </c>
      <c r="K44" s="32">
        <v>11000.0</v>
      </c>
      <c r="L44" s="34">
        <v>46247.0</v>
      </c>
      <c r="M44" s="104">
        <v>46247.0</v>
      </c>
      <c r="N44" s="68">
        <v>46285.0</v>
      </c>
      <c r="O44" s="68">
        <v>46282.0</v>
      </c>
      <c r="P44" s="37"/>
      <c r="Q44" s="39" t="s">
        <v>32</v>
      </c>
      <c r="R44" s="125" t="s">
        <v>141</v>
      </c>
      <c r="S44" s="43"/>
      <c r="T44" s="44"/>
      <c r="U44" s="4"/>
      <c r="V44" s="4"/>
      <c r="W44" s="4"/>
      <c r="X44" s="4"/>
      <c r="Y44" s="4"/>
      <c r="Z44" s="4"/>
    </row>
    <row r="45" ht="34.5" hidden="1" customHeight="1">
      <c r="A45" s="20">
        <v>39.0</v>
      </c>
      <c r="B45" s="21" t="s">
        <v>217</v>
      </c>
      <c r="C45" s="22" t="s">
        <v>24</v>
      </c>
      <c r="D45" s="22" t="s">
        <v>218</v>
      </c>
      <c r="E45" s="88"/>
      <c r="F45" s="25" t="s">
        <v>100</v>
      </c>
      <c r="G45" s="26">
        <v>1.0</v>
      </c>
      <c r="H45" s="28">
        <v>500000.0</v>
      </c>
      <c r="I45" s="29">
        <v>46054.0</v>
      </c>
      <c r="J45" s="30">
        <v>46101.0</v>
      </c>
      <c r="K45" s="32">
        <v>5500.0</v>
      </c>
      <c r="L45" s="34">
        <v>46247.0</v>
      </c>
      <c r="M45" s="104">
        <v>46247.0</v>
      </c>
      <c r="N45" s="68">
        <v>46285.0</v>
      </c>
      <c r="O45" s="68">
        <v>46282.0</v>
      </c>
      <c r="P45" s="37"/>
      <c r="Q45" s="39" t="s">
        <v>32</v>
      </c>
      <c r="R45" s="125" t="s">
        <v>141</v>
      </c>
      <c r="S45" s="43"/>
      <c r="T45" s="44"/>
      <c r="U45" s="4"/>
      <c r="V45" s="4"/>
      <c r="W45" s="4"/>
      <c r="X45" s="4"/>
      <c r="Y45" s="4"/>
      <c r="Z45" s="4"/>
    </row>
    <row r="46" ht="34.5" hidden="1" customHeight="1">
      <c r="A46" s="20">
        <v>40.0</v>
      </c>
      <c r="B46" s="21" t="s">
        <v>162</v>
      </c>
      <c r="C46" s="22" t="s">
        <v>163</v>
      </c>
      <c r="D46" s="22" t="s">
        <v>164</v>
      </c>
      <c r="E46" s="23" t="s">
        <v>165</v>
      </c>
      <c r="F46" s="25" t="s">
        <v>100</v>
      </c>
      <c r="G46" s="26">
        <v>2.0</v>
      </c>
      <c r="H46" s="28">
        <v>1000000.0</v>
      </c>
      <c r="I46" s="29">
        <v>46076.0</v>
      </c>
      <c r="J46" s="30">
        <v>46101.0</v>
      </c>
      <c r="K46" s="32">
        <v>9000.0</v>
      </c>
      <c r="L46" s="34">
        <v>46203.0</v>
      </c>
      <c r="M46" s="35">
        <v>46203.0</v>
      </c>
      <c r="N46" s="68">
        <v>46228.0</v>
      </c>
      <c r="O46" s="68">
        <v>46225.0</v>
      </c>
      <c r="P46" s="37">
        <v>2.0</v>
      </c>
      <c r="Q46" s="26">
        <f t="shared" ref="Q46:Q53" si="7">K46*P46</f>
        <v>18000</v>
      </c>
      <c r="R46" s="55" t="s">
        <v>39</v>
      </c>
      <c r="S46" s="43"/>
      <c r="T46" s="44"/>
      <c r="U46" s="4"/>
      <c r="V46" s="4"/>
      <c r="W46" s="4"/>
      <c r="X46" s="4"/>
      <c r="Y46" s="4"/>
      <c r="Z46" s="4"/>
    </row>
    <row r="47" ht="34.5" hidden="1" customHeight="1">
      <c r="A47" s="27">
        <v>41.0</v>
      </c>
      <c r="B47" s="21" t="s">
        <v>221</v>
      </c>
      <c r="C47" s="22" t="s">
        <v>145</v>
      </c>
      <c r="D47" s="22" t="s">
        <v>170</v>
      </c>
      <c r="E47" s="23" t="s">
        <v>222</v>
      </c>
      <c r="F47" s="25" t="s">
        <v>100</v>
      </c>
      <c r="G47" s="26">
        <v>1.0</v>
      </c>
      <c r="H47" s="28">
        <v>350000.0</v>
      </c>
      <c r="I47" s="29">
        <v>46072.0</v>
      </c>
      <c r="J47" s="30">
        <v>46091.0</v>
      </c>
      <c r="K47" s="32">
        <v>5000.0</v>
      </c>
      <c r="L47" s="34">
        <v>46181.0</v>
      </c>
      <c r="M47" s="104">
        <v>46212.0</v>
      </c>
      <c r="N47" s="68">
        <v>46254.0</v>
      </c>
      <c r="O47" s="68">
        <v>46251.0</v>
      </c>
      <c r="P47" s="37">
        <v>1.0</v>
      </c>
      <c r="Q47" s="26">
        <f t="shared" si="7"/>
        <v>5000</v>
      </c>
      <c r="R47" s="41" t="s">
        <v>79</v>
      </c>
      <c r="S47" s="96" t="s">
        <v>223</v>
      </c>
      <c r="T47" s="44"/>
      <c r="U47" s="4"/>
      <c r="V47" s="4"/>
      <c r="W47" s="4"/>
      <c r="X47" s="4"/>
      <c r="Y47" s="4"/>
      <c r="Z47" s="4"/>
    </row>
    <row r="48" ht="34.5" hidden="1" customHeight="1">
      <c r="A48" s="20">
        <v>42.0</v>
      </c>
      <c r="B48" s="21" t="s">
        <v>224</v>
      </c>
      <c r="C48" s="22" t="s">
        <v>43</v>
      </c>
      <c r="D48" s="22" t="s">
        <v>225</v>
      </c>
      <c r="E48" s="88"/>
      <c r="F48" s="25" t="s">
        <v>27</v>
      </c>
      <c r="G48" s="26">
        <v>1.0</v>
      </c>
      <c r="H48" s="28">
        <v>500000.0</v>
      </c>
      <c r="I48" s="29">
        <v>46076.0</v>
      </c>
      <c r="J48" s="30">
        <v>46130.0</v>
      </c>
      <c r="K48" s="32">
        <v>10000.0</v>
      </c>
      <c r="L48" s="38">
        <v>46130.0</v>
      </c>
      <c r="M48" s="87">
        <v>46114.0</v>
      </c>
      <c r="N48" s="59">
        <v>46160.0</v>
      </c>
      <c r="O48" s="59">
        <v>46157.0</v>
      </c>
      <c r="P48" s="37">
        <v>4.0</v>
      </c>
      <c r="Q48" s="26">
        <f t="shared" si="7"/>
        <v>40000</v>
      </c>
      <c r="R48" s="55" t="s">
        <v>83</v>
      </c>
      <c r="S48" s="43"/>
      <c r="T48" s="44"/>
      <c r="U48" s="4"/>
      <c r="V48" s="4"/>
      <c r="W48" s="4"/>
      <c r="X48" s="4"/>
      <c r="Y48" s="4"/>
      <c r="Z48" s="4"/>
    </row>
    <row r="49" ht="34.5" hidden="1" customHeight="1">
      <c r="A49" s="20">
        <v>43.0</v>
      </c>
      <c r="B49" s="21" t="s">
        <v>227</v>
      </c>
      <c r="C49" s="22" t="s">
        <v>90</v>
      </c>
      <c r="D49" s="22" t="s">
        <v>228</v>
      </c>
      <c r="E49" s="23" t="s">
        <v>230</v>
      </c>
      <c r="F49" s="25" t="s">
        <v>60</v>
      </c>
      <c r="G49" s="26">
        <v>5.0</v>
      </c>
      <c r="H49" s="28">
        <v>4000000.0</v>
      </c>
      <c r="I49" s="29"/>
      <c r="J49" s="53">
        <v>46397.0</v>
      </c>
      <c r="K49" s="32">
        <v>50000.0</v>
      </c>
      <c r="L49" s="38"/>
      <c r="M49" s="40"/>
      <c r="N49" s="68">
        <v>46397.0</v>
      </c>
      <c r="O49" s="68">
        <v>46394.0</v>
      </c>
      <c r="P49" s="37"/>
      <c r="Q49" s="26">
        <f t="shared" si="7"/>
        <v>0</v>
      </c>
      <c r="R49" s="55" t="s">
        <v>232</v>
      </c>
      <c r="S49" s="43"/>
      <c r="T49" s="44"/>
      <c r="U49" s="4"/>
      <c r="V49" s="4"/>
      <c r="W49" s="4"/>
      <c r="X49" s="4"/>
      <c r="Y49" s="4"/>
      <c r="Z49" s="4"/>
    </row>
    <row r="50" ht="34.5" hidden="1" customHeight="1">
      <c r="A50" s="27">
        <v>44.0</v>
      </c>
      <c r="B50" s="21" t="s">
        <v>233</v>
      </c>
      <c r="C50" s="22" t="s">
        <v>234</v>
      </c>
      <c r="D50" s="22" t="s">
        <v>235</v>
      </c>
      <c r="E50" s="23" t="s">
        <v>236</v>
      </c>
      <c r="F50" s="25" t="s">
        <v>100</v>
      </c>
      <c r="G50" s="26">
        <v>1.0</v>
      </c>
      <c r="H50" s="28">
        <v>250000.0</v>
      </c>
      <c r="I50" s="29">
        <v>46083.0</v>
      </c>
      <c r="J50" s="30">
        <v>46124.0</v>
      </c>
      <c r="K50" s="32">
        <v>3100.0</v>
      </c>
      <c r="L50" s="34">
        <v>46212.0</v>
      </c>
      <c r="M50" s="104">
        <v>46212.0</v>
      </c>
      <c r="N50" s="68">
        <v>46246.0</v>
      </c>
      <c r="O50" s="68">
        <v>46243.0</v>
      </c>
      <c r="P50" s="37">
        <v>1.0</v>
      </c>
      <c r="Q50" s="26">
        <f t="shared" si="7"/>
        <v>3100</v>
      </c>
      <c r="R50" s="55" t="s">
        <v>115</v>
      </c>
      <c r="S50" s="43"/>
      <c r="T50" s="44"/>
      <c r="U50" s="4"/>
      <c r="V50" s="4"/>
      <c r="W50" s="4"/>
      <c r="X50" s="4"/>
      <c r="Y50" s="4"/>
      <c r="Z50" s="4"/>
    </row>
    <row r="51" ht="34.5" hidden="1" customHeight="1">
      <c r="A51" s="20">
        <v>45.0</v>
      </c>
      <c r="B51" s="97" t="s">
        <v>237</v>
      </c>
      <c r="C51" s="22" t="s">
        <v>43</v>
      </c>
      <c r="D51" s="22" t="s">
        <v>238</v>
      </c>
      <c r="E51" s="23" t="s">
        <v>239</v>
      </c>
      <c r="F51" s="25" t="s">
        <v>100</v>
      </c>
      <c r="G51" s="26">
        <v>1.0</v>
      </c>
      <c r="H51" s="28">
        <v>250000.0</v>
      </c>
      <c r="I51" s="29"/>
      <c r="J51" s="30">
        <v>46130.0</v>
      </c>
      <c r="K51" s="32">
        <v>1800.0</v>
      </c>
      <c r="L51" s="34">
        <v>46120.0</v>
      </c>
      <c r="M51" s="87"/>
      <c r="N51" s="68">
        <v>46160.0</v>
      </c>
      <c r="O51" s="68">
        <v>46157.0</v>
      </c>
      <c r="P51" s="37">
        <v>4.0</v>
      </c>
      <c r="Q51" s="26">
        <f t="shared" si="7"/>
        <v>7200</v>
      </c>
      <c r="R51" s="55" t="s">
        <v>197</v>
      </c>
      <c r="S51" s="43"/>
      <c r="T51" s="44"/>
      <c r="U51" s="4"/>
      <c r="V51" s="4"/>
      <c r="W51" s="4"/>
      <c r="X51" s="4"/>
      <c r="Y51" s="4"/>
      <c r="Z51" s="4"/>
    </row>
    <row r="52" ht="34.5" hidden="1" customHeight="1">
      <c r="A52" s="20">
        <v>46.0</v>
      </c>
      <c r="B52" s="21" t="s">
        <v>242</v>
      </c>
      <c r="C52" s="22" t="s">
        <v>38</v>
      </c>
      <c r="D52" s="22" t="s">
        <v>243</v>
      </c>
      <c r="E52" s="23" t="s">
        <v>244</v>
      </c>
      <c r="F52" s="25" t="s">
        <v>27</v>
      </c>
      <c r="G52" s="26">
        <v>2.0</v>
      </c>
      <c r="H52" s="28">
        <v>1000000.0</v>
      </c>
      <c r="I52" s="29">
        <v>46098.0</v>
      </c>
      <c r="J52" s="53">
        <v>46167.0</v>
      </c>
      <c r="K52" s="32">
        <v>17500.0</v>
      </c>
      <c r="L52" s="34">
        <v>46229.0</v>
      </c>
      <c r="M52" s="104">
        <v>46229.0</v>
      </c>
      <c r="N52" s="68">
        <v>46259.0</v>
      </c>
      <c r="O52" s="68">
        <v>46256.0</v>
      </c>
      <c r="P52" s="37">
        <v>1.0</v>
      </c>
      <c r="Q52" s="26">
        <f t="shared" si="7"/>
        <v>17500</v>
      </c>
      <c r="R52" s="55" t="s">
        <v>35</v>
      </c>
      <c r="S52" s="43"/>
      <c r="T52" s="44"/>
      <c r="U52" s="4"/>
      <c r="V52" s="4"/>
      <c r="W52" s="4"/>
      <c r="X52" s="4"/>
      <c r="Y52" s="4"/>
      <c r="Z52" s="4"/>
    </row>
    <row r="53" ht="34.5" hidden="1" customHeight="1">
      <c r="A53" s="27">
        <v>47.0</v>
      </c>
      <c r="B53" s="21" t="s">
        <v>245</v>
      </c>
      <c r="C53" s="22" t="s">
        <v>43</v>
      </c>
      <c r="D53" s="22" t="s">
        <v>246</v>
      </c>
      <c r="E53" s="23" t="s">
        <v>247</v>
      </c>
      <c r="F53" s="25" t="s">
        <v>27</v>
      </c>
      <c r="G53" s="26">
        <v>1.0</v>
      </c>
      <c r="H53" s="28">
        <v>350000.0</v>
      </c>
      <c r="I53" s="29"/>
      <c r="J53" s="30">
        <v>46127.0</v>
      </c>
      <c r="K53" s="32">
        <v>10000.0</v>
      </c>
      <c r="L53" s="38">
        <v>46099.0</v>
      </c>
      <c r="M53" s="87"/>
      <c r="N53" s="68">
        <v>46127.0</v>
      </c>
      <c r="O53" s="68">
        <v>46124.0</v>
      </c>
      <c r="P53" s="37">
        <v>5.0</v>
      </c>
      <c r="Q53" s="26">
        <f t="shared" si="7"/>
        <v>50000</v>
      </c>
      <c r="R53" s="55" t="s">
        <v>46</v>
      </c>
      <c r="S53" s="43"/>
      <c r="T53" s="44"/>
      <c r="U53" s="4"/>
      <c r="V53" s="4"/>
      <c r="W53" s="4"/>
      <c r="X53" s="4"/>
      <c r="Y53" s="4"/>
      <c r="Z53" s="4"/>
    </row>
    <row r="54" ht="34.5" hidden="1" customHeight="1">
      <c r="A54" s="20">
        <v>48.0</v>
      </c>
      <c r="B54" s="21" t="s">
        <v>248</v>
      </c>
      <c r="C54" s="22" t="s">
        <v>90</v>
      </c>
      <c r="D54" s="22" t="s">
        <v>249</v>
      </c>
      <c r="E54" s="88"/>
      <c r="F54" s="25" t="s">
        <v>27</v>
      </c>
      <c r="G54" s="26">
        <v>2.0</v>
      </c>
      <c r="H54" s="28">
        <v>100000.0</v>
      </c>
      <c r="I54" s="29">
        <v>46139.0</v>
      </c>
      <c r="J54" s="30">
        <v>46162.0</v>
      </c>
      <c r="K54" s="32">
        <v>15000.0</v>
      </c>
      <c r="L54" s="34">
        <v>46161.0</v>
      </c>
      <c r="M54" s="104">
        <v>46266.0</v>
      </c>
      <c r="N54" s="68">
        <v>46315.0</v>
      </c>
      <c r="O54" s="68">
        <v>46310.0</v>
      </c>
      <c r="P54" s="61"/>
      <c r="Q54" s="39" t="s">
        <v>32</v>
      </c>
      <c r="R54" s="55" t="s">
        <v>79</v>
      </c>
      <c r="S54" s="43"/>
      <c r="T54" s="44"/>
      <c r="U54" s="4"/>
      <c r="V54" s="4"/>
      <c r="W54" s="4"/>
      <c r="X54" s="4"/>
      <c r="Y54" s="4"/>
      <c r="Z54" s="4"/>
    </row>
    <row r="55" ht="34.5" hidden="1" customHeight="1">
      <c r="A55" s="20">
        <v>49.0</v>
      </c>
      <c r="B55" s="21" t="s">
        <v>250</v>
      </c>
      <c r="C55" s="22" t="s">
        <v>178</v>
      </c>
      <c r="D55" s="22" t="s">
        <v>179</v>
      </c>
      <c r="E55" s="51" t="s">
        <v>180</v>
      </c>
      <c r="F55" s="25" t="s">
        <v>60</v>
      </c>
      <c r="G55" s="26">
        <v>5.0</v>
      </c>
      <c r="H55" s="28">
        <v>3000000.0</v>
      </c>
      <c r="I55" s="29">
        <v>45930.0</v>
      </c>
      <c r="J55" s="30">
        <v>46073.0</v>
      </c>
      <c r="K55" s="32">
        <v>20000.0</v>
      </c>
      <c r="L55" s="34">
        <v>46216.0</v>
      </c>
      <c r="M55" s="104">
        <v>46213.0</v>
      </c>
      <c r="N55" s="68">
        <v>46244.0</v>
      </c>
      <c r="O55" s="68">
        <v>46241.0</v>
      </c>
      <c r="P55" s="37">
        <v>1.0</v>
      </c>
      <c r="Q55" s="26">
        <f t="shared" ref="Q55:Q57" si="8">K55*P55</f>
        <v>20000</v>
      </c>
      <c r="R55" s="55" t="s">
        <v>141</v>
      </c>
      <c r="S55" s="43"/>
      <c r="T55" s="44"/>
      <c r="U55" s="4"/>
      <c r="V55" s="4"/>
      <c r="W55" s="4"/>
      <c r="X55" s="4"/>
      <c r="Y55" s="4"/>
      <c r="Z55" s="4"/>
    </row>
    <row r="56" ht="34.5" hidden="1" customHeight="1">
      <c r="A56" s="27">
        <v>50.0</v>
      </c>
      <c r="B56" s="110" t="s">
        <v>174</v>
      </c>
      <c r="C56" s="22" t="s">
        <v>178</v>
      </c>
      <c r="D56" s="22" t="s">
        <v>179</v>
      </c>
      <c r="E56" s="51" t="s">
        <v>180</v>
      </c>
      <c r="F56" s="25" t="s">
        <v>27</v>
      </c>
      <c r="G56" s="26">
        <v>1.0</v>
      </c>
      <c r="H56" s="28">
        <v>500000.0</v>
      </c>
      <c r="I56" s="29">
        <v>45591.0</v>
      </c>
      <c r="J56" s="30">
        <v>45708.0</v>
      </c>
      <c r="K56" s="32">
        <v>5000.0</v>
      </c>
      <c r="L56" s="34">
        <v>46216.0</v>
      </c>
      <c r="M56" s="104">
        <v>46183.0</v>
      </c>
      <c r="N56" s="68">
        <v>46213.0</v>
      </c>
      <c r="O56" s="68">
        <v>46210.0</v>
      </c>
      <c r="P56" s="37">
        <v>2.0</v>
      </c>
      <c r="Q56" s="26">
        <f t="shared" si="8"/>
        <v>10000</v>
      </c>
      <c r="R56" s="55" t="s">
        <v>252</v>
      </c>
      <c r="S56" s="43"/>
      <c r="T56" s="44"/>
      <c r="U56" s="4"/>
      <c r="V56" s="4"/>
      <c r="W56" s="4"/>
      <c r="X56" s="4"/>
      <c r="Y56" s="4"/>
      <c r="Z56" s="4"/>
    </row>
    <row r="57" ht="34.5" hidden="1" customHeight="1">
      <c r="A57" s="20">
        <v>51.0</v>
      </c>
      <c r="B57" s="132" t="s">
        <v>253</v>
      </c>
      <c r="C57" s="46" t="s">
        <v>51</v>
      </c>
      <c r="D57" s="46" t="s">
        <v>254</v>
      </c>
      <c r="E57" s="133" t="s">
        <v>255</v>
      </c>
      <c r="F57" s="48" t="s">
        <v>27</v>
      </c>
      <c r="G57" s="50">
        <v>1.0</v>
      </c>
      <c r="H57" s="50">
        <v>600000.0</v>
      </c>
      <c r="I57" s="38">
        <v>46132.0</v>
      </c>
      <c r="J57" s="30">
        <v>46183.0</v>
      </c>
      <c r="K57" s="32">
        <v>10000.0</v>
      </c>
      <c r="L57" s="34">
        <v>46194.0</v>
      </c>
      <c r="M57" s="104">
        <v>46224.0</v>
      </c>
      <c r="N57" s="68">
        <v>46244.0</v>
      </c>
      <c r="O57" s="68">
        <v>46239.0</v>
      </c>
      <c r="P57" s="37">
        <v>1.0</v>
      </c>
      <c r="Q57" s="26">
        <f t="shared" si="8"/>
        <v>10000</v>
      </c>
      <c r="R57" s="55" t="s">
        <v>83</v>
      </c>
      <c r="S57" s="96" t="s">
        <v>256</v>
      </c>
      <c r="T57" s="44"/>
      <c r="U57" s="4"/>
      <c r="V57" s="4"/>
      <c r="W57" s="4"/>
      <c r="X57" s="4"/>
      <c r="Y57" s="4"/>
      <c r="Z57" s="4"/>
    </row>
    <row r="58" ht="34.5" hidden="1" customHeight="1">
      <c r="A58" s="20">
        <v>52.0</v>
      </c>
      <c r="B58" s="134" t="s">
        <v>257</v>
      </c>
      <c r="C58" s="46" t="s">
        <v>30</v>
      </c>
      <c r="D58" s="76" t="s">
        <v>258</v>
      </c>
      <c r="E58" s="135" t="s">
        <v>259</v>
      </c>
      <c r="F58" s="48" t="s">
        <v>27</v>
      </c>
      <c r="G58" s="50">
        <v>1.0</v>
      </c>
      <c r="H58" s="50">
        <v>700000.0</v>
      </c>
      <c r="I58" s="38">
        <v>46132.0</v>
      </c>
      <c r="J58" s="30">
        <v>46157.0</v>
      </c>
      <c r="K58" s="32">
        <v>10000.0</v>
      </c>
      <c r="L58" s="127">
        <v>46247.0</v>
      </c>
      <c r="M58" s="104">
        <v>46280.0</v>
      </c>
      <c r="N58" s="68">
        <v>46310.0</v>
      </c>
      <c r="O58" s="68">
        <v>46307.0</v>
      </c>
      <c r="P58" s="37"/>
      <c r="Q58" s="39" t="s">
        <v>32</v>
      </c>
      <c r="R58" s="55" t="s">
        <v>79</v>
      </c>
      <c r="S58" s="43"/>
      <c r="T58" s="44"/>
      <c r="U58" s="4"/>
      <c r="V58" s="4"/>
      <c r="W58" s="4"/>
      <c r="X58" s="4"/>
      <c r="Y58" s="4"/>
      <c r="Z58" s="4"/>
    </row>
    <row r="59" ht="34.5" hidden="1" customHeight="1">
      <c r="A59" s="27">
        <v>53.0</v>
      </c>
      <c r="B59" s="136" t="s">
        <v>260</v>
      </c>
      <c r="C59" s="46" t="s">
        <v>78</v>
      </c>
      <c r="D59" s="65" t="s">
        <v>261</v>
      </c>
      <c r="E59" s="55" t="s">
        <v>262</v>
      </c>
      <c r="F59" s="91" t="s">
        <v>100</v>
      </c>
      <c r="G59" s="114">
        <v>1.0</v>
      </c>
      <c r="H59" s="137">
        <v>350000.0</v>
      </c>
      <c r="I59" s="139">
        <v>46158.0</v>
      </c>
      <c r="J59" s="53">
        <v>46183.0</v>
      </c>
      <c r="K59" s="32">
        <v>5000.0</v>
      </c>
      <c r="L59" s="139">
        <v>46240.0</v>
      </c>
      <c r="M59" s="104">
        <v>46275.0</v>
      </c>
      <c r="N59" s="140">
        <v>46305.0</v>
      </c>
      <c r="O59" s="140">
        <v>46305.0</v>
      </c>
      <c r="P59" s="37"/>
      <c r="Q59" s="39" t="s">
        <v>32</v>
      </c>
      <c r="R59" s="55" t="s">
        <v>115</v>
      </c>
      <c r="S59" s="43"/>
      <c r="T59" s="44"/>
      <c r="U59" s="4"/>
      <c r="V59" s="4"/>
      <c r="W59" s="4"/>
      <c r="X59" s="4"/>
      <c r="Y59" s="4"/>
      <c r="Z59" s="4"/>
    </row>
    <row r="60" ht="34.5" hidden="1" customHeight="1">
      <c r="A60" s="20">
        <v>54.0</v>
      </c>
      <c r="B60" s="134" t="s">
        <v>265</v>
      </c>
      <c r="C60" s="46" t="s">
        <v>207</v>
      </c>
      <c r="D60" s="46" t="s">
        <v>266</v>
      </c>
      <c r="E60" s="135" t="s">
        <v>267</v>
      </c>
      <c r="F60" s="48" t="s">
        <v>60</v>
      </c>
      <c r="G60" s="50">
        <v>5.0</v>
      </c>
      <c r="H60" s="50">
        <f>1000000*5</f>
        <v>5000000</v>
      </c>
      <c r="I60" s="115">
        <v>46121.0</v>
      </c>
      <c r="J60" s="53">
        <v>46152.0</v>
      </c>
      <c r="K60" s="116">
        <v>50000.0</v>
      </c>
      <c r="L60" s="139">
        <v>46219.0</v>
      </c>
      <c r="M60" s="104">
        <v>46219.0</v>
      </c>
      <c r="N60" s="140">
        <v>46244.0</v>
      </c>
      <c r="O60" s="140">
        <v>46241.0</v>
      </c>
      <c r="P60" s="37">
        <v>1.0</v>
      </c>
      <c r="Q60" s="26">
        <f>K60*P60</f>
        <v>50000</v>
      </c>
      <c r="R60" s="41" t="s">
        <v>35</v>
      </c>
      <c r="S60" s="98" t="s">
        <v>268</v>
      </c>
      <c r="T60" s="44"/>
      <c r="U60" s="4"/>
      <c r="V60" s="4"/>
      <c r="W60" s="4"/>
      <c r="X60" s="4"/>
      <c r="Y60" s="4"/>
      <c r="Z60" s="4"/>
    </row>
    <row r="61" ht="34.5" hidden="1" customHeight="1">
      <c r="A61" s="20">
        <v>55.0</v>
      </c>
      <c r="B61" s="134" t="s">
        <v>269</v>
      </c>
      <c r="C61" s="46" t="s">
        <v>121</v>
      </c>
      <c r="D61" s="76" t="s">
        <v>270</v>
      </c>
      <c r="E61" s="145" t="s">
        <v>271</v>
      </c>
      <c r="F61" s="91" t="s">
        <v>100</v>
      </c>
      <c r="G61" s="114">
        <v>2.0</v>
      </c>
      <c r="H61" s="50">
        <f>375000*2</f>
        <v>750000</v>
      </c>
      <c r="I61" s="38">
        <v>46098.0</v>
      </c>
      <c r="J61" s="53">
        <v>46191.0</v>
      </c>
      <c r="K61" s="116">
        <v>30000.0</v>
      </c>
      <c r="L61" s="146">
        <v>46168.0</v>
      </c>
      <c r="M61" s="104">
        <v>46252.0</v>
      </c>
      <c r="N61" s="68">
        <v>46283.0</v>
      </c>
      <c r="O61" s="68">
        <v>46280.0</v>
      </c>
      <c r="P61" s="37"/>
      <c r="Q61" s="39" t="s">
        <v>32</v>
      </c>
      <c r="R61" s="51" t="s">
        <v>35</v>
      </c>
      <c r="S61" s="43"/>
      <c r="T61" s="44"/>
      <c r="U61" s="4"/>
      <c r="V61" s="4"/>
      <c r="W61" s="4"/>
      <c r="X61" s="4"/>
      <c r="Y61" s="4"/>
      <c r="Z61" s="4"/>
    </row>
    <row r="62" ht="34.5" hidden="1" customHeight="1">
      <c r="A62" s="27">
        <v>56.0</v>
      </c>
      <c r="B62" s="132" t="s">
        <v>183</v>
      </c>
      <c r="C62" s="65" t="s">
        <v>106</v>
      </c>
      <c r="D62" s="65" t="s">
        <v>184</v>
      </c>
      <c r="E62" s="148" t="s">
        <v>185</v>
      </c>
      <c r="F62" s="79" t="s">
        <v>27</v>
      </c>
      <c r="G62" s="114">
        <v>1.0</v>
      </c>
      <c r="H62" s="95">
        <v>500000.0</v>
      </c>
      <c r="I62" s="115">
        <v>46165.0</v>
      </c>
      <c r="J62" s="53">
        <v>46193.0</v>
      </c>
      <c r="K62" s="116">
        <v>8900.0</v>
      </c>
      <c r="L62" s="34">
        <v>46212.0</v>
      </c>
      <c r="M62" s="104">
        <v>46193.0</v>
      </c>
      <c r="N62" s="68">
        <v>46223.0</v>
      </c>
      <c r="O62" s="68">
        <v>46220.0</v>
      </c>
      <c r="P62" s="37">
        <v>2.0</v>
      </c>
      <c r="Q62" s="26">
        <f t="shared" ref="Q62:Q66" si="9">K62*P62</f>
        <v>17800</v>
      </c>
      <c r="R62" s="41" t="s">
        <v>197</v>
      </c>
      <c r="S62" s="98" t="s">
        <v>281</v>
      </c>
      <c r="T62" s="44"/>
      <c r="U62" s="4"/>
      <c r="V62" s="4"/>
      <c r="W62" s="4"/>
      <c r="X62" s="4"/>
      <c r="Y62" s="4"/>
      <c r="Z62" s="4"/>
    </row>
    <row r="63" ht="34.5" hidden="1" customHeight="1">
      <c r="A63" s="20">
        <v>57.0</v>
      </c>
      <c r="B63" s="132" t="s">
        <v>272</v>
      </c>
      <c r="C63" s="46" t="s">
        <v>90</v>
      </c>
      <c r="D63" s="46" t="s">
        <v>228</v>
      </c>
      <c r="E63" s="135" t="s">
        <v>273</v>
      </c>
      <c r="F63" s="79" t="s">
        <v>27</v>
      </c>
      <c r="G63" s="80">
        <v>1.0</v>
      </c>
      <c r="H63" s="70">
        <v>500000.0</v>
      </c>
      <c r="I63" s="34">
        <v>46156.0</v>
      </c>
      <c r="J63" s="84">
        <v>46183.0</v>
      </c>
      <c r="K63" s="85">
        <v>5000.0</v>
      </c>
      <c r="L63" s="147">
        <v>46223.0</v>
      </c>
      <c r="M63" s="104">
        <v>46223.0</v>
      </c>
      <c r="N63" s="74">
        <v>46244.0</v>
      </c>
      <c r="O63" s="74">
        <v>46241.0</v>
      </c>
      <c r="P63" s="37">
        <v>1.0</v>
      </c>
      <c r="Q63" s="26">
        <f t="shared" si="9"/>
        <v>5000</v>
      </c>
      <c r="R63" s="55" t="s">
        <v>83</v>
      </c>
      <c r="S63" s="96" t="s">
        <v>288</v>
      </c>
      <c r="T63" s="44"/>
      <c r="U63" s="4"/>
      <c r="V63" s="4"/>
      <c r="W63" s="4"/>
      <c r="X63" s="4"/>
      <c r="Y63" s="4"/>
      <c r="Z63" s="4"/>
    </row>
    <row r="64" ht="34.5" hidden="1" customHeight="1">
      <c r="A64" s="20">
        <v>58.0</v>
      </c>
      <c r="B64" s="132" t="s">
        <v>274</v>
      </c>
      <c r="C64" s="46" t="s">
        <v>90</v>
      </c>
      <c r="D64" s="46" t="s">
        <v>275</v>
      </c>
      <c r="E64" s="135" t="s">
        <v>276</v>
      </c>
      <c r="F64" s="79" t="s">
        <v>27</v>
      </c>
      <c r="G64" s="80">
        <v>1.0</v>
      </c>
      <c r="H64" s="82">
        <v>500000.0</v>
      </c>
      <c r="I64" s="34">
        <v>46156.0</v>
      </c>
      <c r="J64" s="84">
        <v>46183.0</v>
      </c>
      <c r="K64" s="85">
        <v>5000.0</v>
      </c>
      <c r="L64" s="147">
        <v>46223.0</v>
      </c>
      <c r="M64" s="104">
        <v>46223.0</v>
      </c>
      <c r="N64" s="74">
        <v>46244.0</v>
      </c>
      <c r="O64" s="74">
        <v>46241.0</v>
      </c>
      <c r="P64" s="37">
        <v>1.0</v>
      </c>
      <c r="Q64" s="26">
        <f t="shared" si="9"/>
        <v>5000</v>
      </c>
      <c r="R64" s="55" t="s">
        <v>197</v>
      </c>
      <c r="S64" s="96" t="s">
        <v>102</v>
      </c>
      <c r="T64" s="44"/>
      <c r="U64" s="4"/>
      <c r="V64" s="4"/>
      <c r="W64" s="4"/>
      <c r="X64" s="4"/>
      <c r="Y64" s="4"/>
      <c r="Z64" s="4"/>
    </row>
    <row r="65" ht="34.5" hidden="1" customHeight="1">
      <c r="A65" s="27">
        <v>59.0</v>
      </c>
      <c r="B65" s="64"/>
      <c r="C65" s="46" t="s">
        <v>51</v>
      </c>
      <c r="D65" s="76" t="s">
        <v>81</v>
      </c>
      <c r="E65" s="152" t="s">
        <v>82</v>
      </c>
      <c r="F65" s="79" t="s">
        <v>27</v>
      </c>
      <c r="G65" s="80">
        <v>1.0</v>
      </c>
      <c r="H65" s="82">
        <v>600000.0</v>
      </c>
      <c r="I65" s="83">
        <v>46166.0</v>
      </c>
      <c r="J65" s="84">
        <v>46193.0</v>
      </c>
      <c r="K65" s="85">
        <v>9750.0</v>
      </c>
      <c r="L65" s="38"/>
      <c r="M65" s="87"/>
      <c r="N65" s="74">
        <v>46193.0</v>
      </c>
      <c r="O65" s="74">
        <v>46190.0</v>
      </c>
      <c r="P65" s="37">
        <v>3.0</v>
      </c>
      <c r="Q65" s="26">
        <f t="shared" si="9"/>
        <v>29250</v>
      </c>
      <c r="R65" s="55" t="s">
        <v>46</v>
      </c>
      <c r="S65" s="96" t="s">
        <v>256</v>
      </c>
      <c r="T65" s="44"/>
      <c r="U65" s="4"/>
      <c r="V65" s="4"/>
      <c r="W65" s="4"/>
      <c r="X65" s="4"/>
      <c r="Y65" s="4"/>
      <c r="Z65" s="4"/>
    </row>
    <row r="66" ht="34.5" hidden="1" customHeight="1">
      <c r="A66" s="20">
        <v>60.0</v>
      </c>
      <c r="B66" s="64"/>
      <c r="C66" s="46" t="s">
        <v>90</v>
      </c>
      <c r="D66" s="76" t="s">
        <v>96</v>
      </c>
      <c r="E66" s="145" t="s">
        <v>97</v>
      </c>
      <c r="F66" s="91" t="s">
        <v>100</v>
      </c>
      <c r="G66" s="94">
        <v>1.0</v>
      </c>
      <c r="H66" s="95">
        <v>250000.0</v>
      </c>
      <c r="I66" s="83">
        <v>46167.0</v>
      </c>
      <c r="J66" s="30">
        <v>46193.0</v>
      </c>
      <c r="K66" s="32">
        <v>5000.0</v>
      </c>
      <c r="L66" s="38"/>
      <c r="M66" s="87"/>
      <c r="N66" s="74">
        <v>46193.0</v>
      </c>
      <c r="O66" s="74">
        <v>46190.0</v>
      </c>
      <c r="P66" s="37">
        <v>3.0</v>
      </c>
      <c r="Q66" s="26">
        <f t="shared" si="9"/>
        <v>15000</v>
      </c>
      <c r="R66" s="55" t="s">
        <v>46</v>
      </c>
      <c r="S66" s="96" t="s">
        <v>288</v>
      </c>
      <c r="T66" s="44"/>
      <c r="U66" s="4"/>
      <c r="V66" s="4"/>
      <c r="W66" s="4"/>
      <c r="X66" s="4"/>
      <c r="Y66" s="4"/>
      <c r="Z66" s="4"/>
    </row>
    <row r="67" ht="34.5" hidden="1" customHeight="1">
      <c r="A67" s="20">
        <v>61.0</v>
      </c>
      <c r="B67" s="132" t="s">
        <v>290</v>
      </c>
      <c r="C67" s="76" t="s">
        <v>291</v>
      </c>
      <c r="D67" s="76" t="s">
        <v>292</v>
      </c>
      <c r="E67" s="47" t="s">
        <v>293</v>
      </c>
      <c r="F67" s="48" t="s">
        <v>294</v>
      </c>
      <c r="G67" s="50">
        <v>1.0</v>
      </c>
      <c r="H67" s="70">
        <v>300000.0</v>
      </c>
      <c r="I67" s="115">
        <v>46183.0</v>
      </c>
      <c r="J67" s="53">
        <v>46218.0</v>
      </c>
      <c r="K67" s="32">
        <v>5000.0</v>
      </c>
      <c r="L67" s="115">
        <v>46247.0</v>
      </c>
      <c r="M67" s="104">
        <v>46280.0</v>
      </c>
      <c r="N67" s="68">
        <v>46310.0</v>
      </c>
      <c r="O67" s="68">
        <v>46307.0</v>
      </c>
      <c r="P67" s="37"/>
      <c r="Q67" s="39" t="s">
        <v>32</v>
      </c>
      <c r="R67" s="55" t="s">
        <v>35</v>
      </c>
      <c r="S67" s="43"/>
      <c r="T67" s="44"/>
      <c r="U67" s="4"/>
      <c r="V67" s="4"/>
      <c r="W67" s="4"/>
      <c r="X67" s="4"/>
      <c r="Y67" s="4"/>
      <c r="Z67" s="4"/>
    </row>
    <row r="68" ht="34.5" hidden="1" customHeight="1">
      <c r="A68" s="27">
        <v>62.0</v>
      </c>
      <c r="B68" s="134" t="s">
        <v>199</v>
      </c>
      <c r="C68" s="46" t="s">
        <v>145</v>
      </c>
      <c r="D68" s="46" t="s">
        <v>202</v>
      </c>
      <c r="E68" s="145" t="s">
        <v>203</v>
      </c>
      <c r="F68" s="79" t="s">
        <v>27</v>
      </c>
      <c r="G68" s="50">
        <v>1.0</v>
      </c>
      <c r="H68" s="70">
        <v>500000.0</v>
      </c>
      <c r="I68" s="83">
        <v>46163.0</v>
      </c>
      <c r="J68" s="30">
        <v>46188.0</v>
      </c>
      <c r="K68" s="32">
        <v>7000.0</v>
      </c>
      <c r="L68" s="38"/>
      <c r="M68" s="87"/>
      <c r="N68" s="68">
        <v>46188.0</v>
      </c>
      <c r="O68" s="68">
        <v>46185.0</v>
      </c>
      <c r="P68" s="37">
        <v>3.0</v>
      </c>
      <c r="Q68" s="26">
        <f>K68*P68</f>
        <v>21000</v>
      </c>
      <c r="R68" s="55" t="s">
        <v>46</v>
      </c>
      <c r="S68" s="96" t="s">
        <v>295</v>
      </c>
      <c r="T68" s="44"/>
      <c r="U68" s="4"/>
      <c r="V68" s="4"/>
      <c r="W68" s="4"/>
      <c r="X68" s="4"/>
      <c r="Y68" s="4"/>
      <c r="Z68" s="4"/>
    </row>
    <row r="69" ht="34.5" hidden="1" customHeight="1">
      <c r="A69" s="20">
        <v>63.0</v>
      </c>
      <c r="B69" s="132" t="s">
        <v>296</v>
      </c>
      <c r="C69" s="76" t="s">
        <v>291</v>
      </c>
      <c r="D69" s="76" t="s">
        <v>297</v>
      </c>
      <c r="E69" s="155" t="s">
        <v>298</v>
      </c>
      <c r="F69" s="48" t="s">
        <v>27</v>
      </c>
      <c r="G69" s="50">
        <v>1.0</v>
      </c>
      <c r="H69" s="95">
        <v>400000.0</v>
      </c>
      <c r="I69" s="115">
        <v>46187.0</v>
      </c>
      <c r="J69" s="30">
        <v>46280.0</v>
      </c>
      <c r="K69" s="32">
        <v>10000.0</v>
      </c>
      <c r="L69" s="38"/>
      <c r="M69" s="87"/>
      <c r="N69" s="68">
        <v>46280.0</v>
      </c>
      <c r="O69" s="68">
        <v>46277.0</v>
      </c>
      <c r="P69" s="121"/>
      <c r="Q69" s="26"/>
      <c r="R69" s="55" t="s">
        <v>299</v>
      </c>
      <c r="S69" s="43"/>
      <c r="T69" s="44"/>
      <c r="U69" s="4"/>
      <c r="V69" s="4"/>
      <c r="W69" s="4"/>
      <c r="X69" s="4"/>
      <c r="Y69" s="4"/>
      <c r="Z69" s="4"/>
    </row>
    <row r="70" ht="34.5" hidden="1" customHeight="1">
      <c r="A70" s="20">
        <v>64.0</v>
      </c>
      <c r="B70" s="157" t="s">
        <v>210</v>
      </c>
      <c r="C70" s="66" t="s">
        <v>211</v>
      </c>
      <c r="D70" s="66" t="s">
        <v>212</v>
      </c>
      <c r="E70" s="158"/>
      <c r="F70" s="159" t="s">
        <v>27</v>
      </c>
      <c r="G70" s="160">
        <v>1.0</v>
      </c>
      <c r="H70" s="88"/>
      <c r="I70" s="59"/>
      <c r="J70" s="161">
        <v>46188.0</v>
      </c>
      <c r="K70" s="162">
        <v>6100.0</v>
      </c>
      <c r="L70" s="163">
        <v>46187.0</v>
      </c>
      <c r="M70" s="164">
        <v>46187.0</v>
      </c>
      <c r="N70" s="68">
        <v>46218.0</v>
      </c>
      <c r="O70" s="68">
        <v>46215.0</v>
      </c>
      <c r="P70" s="57">
        <v>2.0</v>
      </c>
      <c r="Q70" s="88">
        <f t="shared" ref="Q70:Q74" si="10">K70*P70</f>
        <v>12200</v>
      </c>
      <c r="R70" s="60" t="s">
        <v>197</v>
      </c>
      <c r="S70" s="165" t="s">
        <v>300</v>
      </c>
      <c r="T70" s="44"/>
      <c r="U70" s="4"/>
      <c r="V70" s="4"/>
      <c r="W70" s="4"/>
      <c r="X70" s="4"/>
      <c r="Y70" s="4"/>
      <c r="Z70" s="4"/>
    </row>
    <row r="71" ht="34.5" hidden="1" customHeight="1">
      <c r="A71" s="27">
        <v>65.0</v>
      </c>
      <c r="B71" s="97" t="s">
        <v>277</v>
      </c>
      <c r="C71" s="65" t="s">
        <v>278</v>
      </c>
      <c r="D71" s="65" t="s">
        <v>279</v>
      </c>
      <c r="E71" s="71" t="s">
        <v>280</v>
      </c>
      <c r="F71" s="124" t="s">
        <v>27</v>
      </c>
      <c r="G71" s="126">
        <v>1.0</v>
      </c>
      <c r="H71" s="149">
        <v>600000.0</v>
      </c>
      <c r="I71" s="139">
        <v>46190.0</v>
      </c>
      <c r="J71" s="30">
        <v>46228.0</v>
      </c>
      <c r="K71" s="32">
        <v>11500.0</v>
      </c>
      <c r="L71" s="34">
        <v>46231.0</v>
      </c>
      <c r="M71" s="104">
        <v>46226.0</v>
      </c>
      <c r="N71" s="68">
        <v>46251.0</v>
      </c>
      <c r="O71" s="68">
        <v>46246.0</v>
      </c>
      <c r="P71" s="37">
        <v>1.0</v>
      </c>
      <c r="Q71" s="26">
        <f t="shared" si="10"/>
        <v>11500</v>
      </c>
      <c r="R71" s="55" t="s">
        <v>197</v>
      </c>
      <c r="S71" s="43"/>
      <c r="T71" s="44"/>
      <c r="U71" s="4"/>
      <c r="V71" s="166"/>
      <c r="W71" s="4"/>
      <c r="X71" s="4"/>
      <c r="Y71" s="4"/>
      <c r="Z71" s="4"/>
    </row>
    <row r="72" ht="34.5" hidden="1" customHeight="1">
      <c r="A72" s="20">
        <v>66.0</v>
      </c>
      <c r="B72" s="97" t="s">
        <v>219</v>
      </c>
      <c r="C72" s="76" t="s">
        <v>191</v>
      </c>
      <c r="D72" s="76" t="s">
        <v>192</v>
      </c>
      <c r="E72" s="145" t="s">
        <v>220</v>
      </c>
      <c r="F72" s="79" t="s">
        <v>100</v>
      </c>
      <c r="G72" s="80">
        <v>1.0</v>
      </c>
      <c r="H72" s="82">
        <v>300000.0</v>
      </c>
      <c r="I72" s="115">
        <v>46184.0</v>
      </c>
      <c r="J72" s="30">
        <v>46218.0</v>
      </c>
      <c r="K72" s="32">
        <v>3000.0</v>
      </c>
      <c r="L72" s="38"/>
      <c r="M72" s="87"/>
      <c r="N72" s="68">
        <v>46218.0</v>
      </c>
      <c r="O72" s="68">
        <v>46215.0</v>
      </c>
      <c r="P72" s="37">
        <v>2.0</v>
      </c>
      <c r="Q72" s="26">
        <f t="shared" si="10"/>
        <v>6000</v>
      </c>
      <c r="R72" s="55" t="s">
        <v>302</v>
      </c>
      <c r="S72" s="43"/>
      <c r="T72" s="44"/>
      <c r="U72" s="4"/>
      <c r="V72" s="166"/>
      <c r="W72" s="4"/>
      <c r="X72" s="4"/>
      <c r="Y72" s="4"/>
      <c r="Z72" s="4"/>
    </row>
    <row r="73" ht="34.5" hidden="1" customHeight="1">
      <c r="A73" s="20">
        <v>67.0</v>
      </c>
      <c r="B73" s="132" t="s">
        <v>282</v>
      </c>
      <c r="C73" s="76" t="s">
        <v>90</v>
      </c>
      <c r="D73" s="76" t="s">
        <v>283</v>
      </c>
      <c r="E73" s="145" t="s">
        <v>284</v>
      </c>
      <c r="F73" s="79" t="s">
        <v>27</v>
      </c>
      <c r="G73" s="80">
        <v>1.0</v>
      </c>
      <c r="H73" s="82">
        <v>550000.0</v>
      </c>
      <c r="I73" s="115">
        <v>46195.0</v>
      </c>
      <c r="J73" s="53">
        <v>46229.0</v>
      </c>
      <c r="K73" s="116">
        <v>6000.0</v>
      </c>
      <c r="L73" s="38"/>
      <c r="M73" s="104">
        <v>46226.0</v>
      </c>
      <c r="N73" s="68">
        <v>46260.0</v>
      </c>
      <c r="O73" s="68">
        <v>46256.0</v>
      </c>
      <c r="P73" s="37">
        <v>1.0</v>
      </c>
      <c r="Q73" s="26">
        <f t="shared" si="10"/>
        <v>6000</v>
      </c>
      <c r="R73" s="55" t="s">
        <v>197</v>
      </c>
      <c r="S73" s="43"/>
      <c r="T73" s="44"/>
      <c r="U73" s="4"/>
      <c r="V73" s="166"/>
      <c r="W73" s="4"/>
      <c r="X73" s="4"/>
      <c r="Y73" s="4"/>
      <c r="Z73" s="4"/>
    </row>
    <row r="74" ht="34.5" hidden="1" customHeight="1">
      <c r="A74" s="27">
        <v>68.0</v>
      </c>
      <c r="B74" s="132" t="s">
        <v>285</v>
      </c>
      <c r="C74" s="46" t="s">
        <v>38</v>
      </c>
      <c r="D74" s="46" t="s">
        <v>286</v>
      </c>
      <c r="E74" s="145" t="s">
        <v>287</v>
      </c>
      <c r="F74" s="79" t="s">
        <v>27</v>
      </c>
      <c r="G74" s="80">
        <v>1.0</v>
      </c>
      <c r="H74" s="94">
        <v>600000.0</v>
      </c>
      <c r="I74" s="34">
        <v>46201.0</v>
      </c>
      <c r="J74" s="84">
        <v>46127.0</v>
      </c>
      <c r="K74" s="85">
        <v>10000.0</v>
      </c>
      <c r="L74" s="34">
        <v>46228.0</v>
      </c>
      <c r="M74" s="104">
        <v>46228.0</v>
      </c>
      <c r="N74" s="68">
        <v>46259.0</v>
      </c>
      <c r="O74" s="68">
        <v>46256.0</v>
      </c>
      <c r="P74" s="37">
        <v>1.0</v>
      </c>
      <c r="Q74" s="26">
        <f t="shared" si="10"/>
        <v>10000</v>
      </c>
      <c r="R74" s="55" t="s">
        <v>197</v>
      </c>
      <c r="S74" s="43"/>
      <c r="T74" s="44"/>
      <c r="U74" s="4"/>
      <c r="V74" s="166"/>
      <c r="W74" s="4"/>
      <c r="X74" s="4"/>
      <c r="Y74" s="4"/>
      <c r="Z74" s="4"/>
    </row>
    <row r="75" ht="34.5" hidden="1" customHeight="1">
      <c r="A75" s="20">
        <v>69.0</v>
      </c>
      <c r="B75" s="132" t="s">
        <v>303</v>
      </c>
      <c r="C75" s="76" t="s">
        <v>163</v>
      </c>
      <c r="D75" s="76" t="s">
        <v>304</v>
      </c>
      <c r="E75" s="169" t="s">
        <v>305</v>
      </c>
      <c r="F75" s="79" t="s">
        <v>100</v>
      </c>
      <c r="G75" s="170">
        <v>1.0</v>
      </c>
      <c r="H75" s="171">
        <v>500000.0</v>
      </c>
      <c r="I75" s="34">
        <v>46205.0</v>
      </c>
      <c r="J75" s="30">
        <v>46305.0</v>
      </c>
      <c r="K75" s="32">
        <v>5000.0</v>
      </c>
      <c r="L75" s="38"/>
      <c r="M75" s="87"/>
      <c r="N75" s="68">
        <v>46305.0</v>
      </c>
      <c r="O75" s="68">
        <v>46300.0</v>
      </c>
      <c r="P75" s="121"/>
      <c r="Q75" s="172"/>
      <c r="R75" s="55" t="s">
        <v>307</v>
      </c>
      <c r="S75" s="43"/>
      <c r="T75" s="44"/>
      <c r="U75" s="4"/>
      <c r="V75" s="166"/>
      <c r="W75" s="4"/>
      <c r="X75" s="4"/>
      <c r="Y75" s="4"/>
      <c r="Z75" s="4"/>
    </row>
    <row r="76" ht="34.5" hidden="1" customHeight="1">
      <c r="A76" s="27">
        <v>70.0</v>
      </c>
      <c r="B76" s="173" t="s">
        <v>308</v>
      </c>
      <c r="C76" s="46" t="s">
        <v>229</v>
      </c>
      <c r="D76" s="46" t="s">
        <v>309</v>
      </c>
      <c r="E76" s="169" t="s">
        <v>310</v>
      </c>
      <c r="F76" s="174" t="s">
        <v>100</v>
      </c>
      <c r="G76" s="175">
        <v>3.0</v>
      </c>
      <c r="H76" s="176">
        <v>400000.0</v>
      </c>
      <c r="I76" s="178">
        <v>46100.0</v>
      </c>
      <c r="J76" s="30">
        <v>46194.0</v>
      </c>
      <c r="K76" s="32">
        <v>14800.0</v>
      </c>
      <c r="L76" s="179">
        <v>46212.0</v>
      </c>
      <c r="M76" s="104">
        <v>46286.0</v>
      </c>
      <c r="N76" s="68">
        <v>46377.0</v>
      </c>
      <c r="O76" s="68">
        <v>46374.0</v>
      </c>
      <c r="P76" s="121"/>
      <c r="Q76" s="39" t="s">
        <v>32</v>
      </c>
      <c r="R76" s="55" t="s">
        <v>83</v>
      </c>
      <c r="S76" s="43"/>
      <c r="T76" s="44"/>
      <c r="U76" s="4"/>
      <c r="V76" s="166"/>
      <c r="W76" s="4"/>
      <c r="X76" s="4"/>
      <c r="Y76" s="4"/>
      <c r="Z76" s="4"/>
    </row>
    <row r="77" ht="34.5" hidden="1" customHeight="1">
      <c r="A77" s="20">
        <v>71.0</v>
      </c>
      <c r="B77" s="45" t="s">
        <v>311</v>
      </c>
      <c r="C77" s="46" t="s">
        <v>229</v>
      </c>
      <c r="D77" s="46" t="s">
        <v>309</v>
      </c>
      <c r="E77" s="169" t="s">
        <v>310</v>
      </c>
      <c r="F77" s="48" t="s">
        <v>27</v>
      </c>
      <c r="G77" s="50">
        <v>1.0</v>
      </c>
      <c r="H77" s="70">
        <v>500000.0</v>
      </c>
      <c r="I77" s="180">
        <v>45972.0</v>
      </c>
      <c r="J77" s="30">
        <v>46183.0</v>
      </c>
      <c r="K77" s="32">
        <v>40000.0</v>
      </c>
      <c r="L77" s="179">
        <v>46212.0</v>
      </c>
      <c r="M77" s="104">
        <v>46187.0</v>
      </c>
      <c r="N77" s="68">
        <v>46366.0</v>
      </c>
      <c r="O77" s="68">
        <v>46361.0</v>
      </c>
      <c r="P77" s="101"/>
      <c r="Q77" s="39" t="s">
        <v>32</v>
      </c>
      <c r="R77" s="55" t="s">
        <v>197</v>
      </c>
      <c r="S77" s="43"/>
      <c r="T77" s="44"/>
      <c r="U77" s="4"/>
      <c r="V77" s="166"/>
      <c r="W77" s="4"/>
      <c r="X77" s="4"/>
      <c r="Y77" s="4"/>
      <c r="Z77" s="4"/>
    </row>
    <row r="78" ht="34.5" hidden="1" customHeight="1">
      <c r="A78" s="27">
        <v>72.0</v>
      </c>
      <c r="B78" s="45" t="s">
        <v>312</v>
      </c>
      <c r="C78" s="46" t="s">
        <v>229</v>
      </c>
      <c r="D78" s="46" t="s">
        <v>309</v>
      </c>
      <c r="E78" s="142" t="s">
        <v>310</v>
      </c>
      <c r="F78" s="48" t="s">
        <v>294</v>
      </c>
      <c r="G78" s="50">
        <v>1.0</v>
      </c>
      <c r="H78" s="70">
        <v>300000.0</v>
      </c>
      <c r="I78" s="180">
        <v>45977.0</v>
      </c>
      <c r="J78" s="30">
        <v>46183.0</v>
      </c>
      <c r="K78" s="116">
        <v>29000.0</v>
      </c>
      <c r="L78" s="179">
        <v>46212.0</v>
      </c>
      <c r="M78" s="104">
        <v>46187.0</v>
      </c>
      <c r="N78" s="68">
        <v>46366.0</v>
      </c>
      <c r="O78" s="68">
        <v>46361.0</v>
      </c>
      <c r="P78" s="101"/>
      <c r="Q78" s="39" t="s">
        <v>32</v>
      </c>
      <c r="R78" s="55" t="s">
        <v>197</v>
      </c>
      <c r="S78" s="43"/>
      <c r="T78" s="44"/>
      <c r="U78" s="4"/>
      <c r="V78" s="166"/>
      <c r="W78" s="4"/>
      <c r="X78" s="4"/>
      <c r="Y78" s="4"/>
      <c r="Z78" s="4"/>
    </row>
    <row r="79" ht="34.5" hidden="1" customHeight="1">
      <c r="A79" s="20">
        <v>73.0</v>
      </c>
      <c r="B79" s="45" t="s">
        <v>313</v>
      </c>
      <c r="C79" s="46" t="s">
        <v>229</v>
      </c>
      <c r="D79" s="46" t="s">
        <v>314</v>
      </c>
      <c r="E79" s="142" t="s">
        <v>315</v>
      </c>
      <c r="F79" s="48" t="s">
        <v>100</v>
      </c>
      <c r="G79" s="50">
        <v>3.0</v>
      </c>
      <c r="H79" s="70">
        <v>400000.0</v>
      </c>
      <c r="I79" s="180">
        <v>46100.0</v>
      </c>
      <c r="J79" s="53">
        <v>46193.0</v>
      </c>
      <c r="K79" s="32">
        <v>14800.0</v>
      </c>
      <c r="L79" s="179">
        <v>46212.0</v>
      </c>
      <c r="M79" s="104">
        <v>46286.0</v>
      </c>
      <c r="N79" s="68">
        <v>46376.0</v>
      </c>
      <c r="O79" s="68">
        <v>46373.0</v>
      </c>
      <c r="P79" s="121"/>
      <c r="Q79" s="39" t="s">
        <v>32</v>
      </c>
      <c r="R79" s="55" t="s">
        <v>83</v>
      </c>
      <c r="S79" s="43"/>
      <c r="T79" s="44"/>
      <c r="U79" s="4"/>
      <c r="V79" s="166"/>
      <c r="W79" s="4"/>
      <c r="X79" s="4"/>
      <c r="Y79" s="4"/>
      <c r="Z79" s="4"/>
    </row>
    <row r="80" ht="34.5" hidden="1" customHeight="1">
      <c r="A80" s="27">
        <v>74.0</v>
      </c>
      <c r="B80" s="45" t="s">
        <v>316</v>
      </c>
      <c r="C80" s="46" t="s">
        <v>229</v>
      </c>
      <c r="D80" s="46" t="s">
        <v>314</v>
      </c>
      <c r="E80" s="142" t="s">
        <v>315</v>
      </c>
      <c r="F80" s="48" t="s">
        <v>27</v>
      </c>
      <c r="G80" s="50">
        <v>1.0</v>
      </c>
      <c r="H80" s="70">
        <v>500000.0</v>
      </c>
      <c r="I80" s="180">
        <v>45974.0</v>
      </c>
      <c r="J80" s="30">
        <v>46183.0</v>
      </c>
      <c r="K80" s="32">
        <v>40000.0</v>
      </c>
      <c r="L80" s="179">
        <v>46212.0</v>
      </c>
      <c r="M80" s="104">
        <v>46187.0</v>
      </c>
      <c r="N80" s="68">
        <v>46366.0</v>
      </c>
      <c r="O80" s="68">
        <v>46361.0</v>
      </c>
      <c r="P80" s="101"/>
      <c r="Q80" s="39" t="s">
        <v>32</v>
      </c>
      <c r="R80" s="55" t="s">
        <v>197</v>
      </c>
      <c r="S80" s="43"/>
      <c r="T80" s="44"/>
      <c r="U80" s="4"/>
      <c r="V80" s="166"/>
      <c r="W80" s="4"/>
      <c r="X80" s="4"/>
      <c r="Y80" s="4"/>
      <c r="Z80" s="4"/>
    </row>
    <row r="81" ht="34.5" hidden="1" customHeight="1">
      <c r="A81" s="20">
        <v>75.0</v>
      </c>
      <c r="B81" s="45" t="s">
        <v>317</v>
      </c>
      <c r="C81" s="46" t="s">
        <v>229</v>
      </c>
      <c r="D81" s="46" t="s">
        <v>314</v>
      </c>
      <c r="E81" s="142" t="s">
        <v>315</v>
      </c>
      <c r="F81" s="48" t="s">
        <v>294</v>
      </c>
      <c r="G81" s="50">
        <v>1.0</v>
      </c>
      <c r="H81" s="70">
        <v>300000.0</v>
      </c>
      <c r="I81" s="180">
        <v>45977.0</v>
      </c>
      <c r="J81" s="30">
        <v>46183.0</v>
      </c>
      <c r="K81" s="116">
        <v>29000.0</v>
      </c>
      <c r="L81" s="179">
        <v>46212.0</v>
      </c>
      <c r="M81" s="104">
        <v>46187.0</v>
      </c>
      <c r="N81" s="68">
        <v>46366.0</v>
      </c>
      <c r="O81" s="68">
        <v>46361.0</v>
      </c>
      <c r="P81" s="101"/>
      <c r="Q81" s="39" t="s">
        <v>32</v>
      </c>
      <c r="R81" s="55" t="s">
        <v>197</v>
      </c>
      <c r="S81" s="43"/>
      <c r="T81" s="44"/>
      <c r="U81" s="4"/>
      <c r="V81" s="166"/>
      <c r="W81" s="4"/>
      <c r="X81" s="4"/>
      <c r="Y81" s="4"/>
      <c r="Z81" s="4"/>
    </row>
    <row r="82" ht="34.5" hidden="1" customHeight="1">
      <c r="A82" s="27">
        <v>76.0</v>
      </c>
      <c r="B82" s="45" t="s">
        <v>318</v>
      </c>
      <c r="C82" s="46" t="s">
        <v>229</v>
      </c>
      <c r="D82" s="46" t="s">
        <v>319</v>
      </c>
      <c r="E82" s="133" t="s">
        <v>320</v>
      </c>
      <c r="F82" s="48" t="s">
        <v>27</v>
      </c>
      <c r="G82" s="182">
        <v>1.0</v>
      </c>
      <c r="H82" s="70">
        <v>500000.0</v>
      </c>
      <c r="I82" s="179">
        <v>46072.0</v>
      </c>
      <c r="J82" s="30">
        <v>46183.0</v>
      </c>
      <c r="K82" s="116">
        <v>25000.0</v>
      </c>
      <c r="L82" s="179">
        <v>46215.0</v>
      </c>
      <c r="M82" s="104">
        <v>46275.0</v>
      </c>
      <c r="N82" s="68">
        <v>46366.0</v>
      </c>
      <c r="O82" s="68">
        <v>46361.0</v>
      </c>
      <c r="P82" s="37"/>
      <c r="Q82" s="39" t="s">
        <v>32</v>
      </c>
      <c r="R82" s="55" t="s">
        <v>83</v>
      </c>
      <c r="S82" s="43"/>
      <c r="T82" s="44"/>
      <c r="U82" s="4"/>
      <c r="V82" s="166"/>
      <c r="W82" s="4"/>
      <c r="X82" s="4"/>
      <c r="Y82" s="4"/>
      <c r="Z82" s="4"/>
    </row>
    <row r="83" ht="34.5" hidden="1" customHeight="1">
      <c r="A83" s="20">
        <v>77.0</v>
      </c>
      <c r="B83" s="45" t="s">
        <v>49</v>
      </c>
      <c r="C83" s="46" t="s">
        <v>51</v>
      </c>
      <c r="D83" s="46" t="s">
        <v>59</v>
      </c>
      <c r="E83" s="133">
        <v>1.781908556E9</v>
      </c>
      <c r="F83" s="48" t="s">
        <v>27</v>
      </c>
      <c r="G83" s="50">
        <v>1.0</v>
      </c>
      <c r="H83" s="70">
        <v>500000.0</v>
      </c>
      <c r="I83" s="180">
        <v>45915.0</v>
      </c>
      <c r="J83" s="30">
        <v>45950.0</v>
      </c>
      <c r="K83" s="32">
        <v>10000.0</v>
      </c>
      <c r="L83" s="179">
        <v>46215.0</v>
      </c>
      <c r="M83" s="104">
        <v>46132.0</v>
      </c>
      <c r="N83" s="74">
        <v>46162.0</v>
      </c>
      <c r="O83" s="74">
        <v>46159.0</v>
      </c>
      <c r="P83" s="37">
        <v>4.0</v>
      </c>
      <c r="Q83" s="26">
        <f t="shared" ref="Q83:Q84" si="11">K83*P83</f>
        <v>40000</v>
      </c>
      <c r="R83" s="55" t="s">
        <v>71</v>
      </c>
      <c r="S83" s="96" t="s">
        <v>256</v>
      </c>
      <c r="T83" s="44"/>
      <c r="U83" s="4"/>
      <c r="V83" s="166"/>
      <c r="W83" s="4"/>
      <c r="X83" s="4"/>
      <c r="Y83" s="4"/>
      <c r="Z83" s="4"/>
    </row>
    <row r="84" ht="34.5" customHeight="1">
      <c r="A84" s="27">
        <v>78.0</v>
      </c>
      <c r="B84" s="132" t="s">
        <v>104</v>
      </c>
      <c r="C84" s="46" t="s">
        <v>109</v>
      </c>
      <c r="D84" s="46" t="s">
        <v>110</v>
      </c>
      <c r="E84" s="183"/>
      <c r="F84" s="48" t="s">
        <v>27</v>
      </c>
      <c r="G84" s="94">
        <v>1.0</v>
      </c>
      <c r="H84" s="94">
        <v>500000.0</v>
      </c>
      <c r="I84" s="185">
        <v>45991.0</v>
      </c>
      <c r="J84" s="30">
        <v>46042.0</v>
      </c>
      <c r="K84" s="32">
        <v>6600.0</v>
      </c>
      <c r="L84" s="179">
        <v>46217.0</v>
      </c>
      <c r="M84" s="104">
        <v>46162.0</v>
      </c>
      <c r="N84" s="68">
        <v>46193.0</v>
      </c>
      <c r="O84" s="68">
        <v>46190.0</v>
      </c>
      <c r="P84" s="37">
        <v>3.0</v>
      </c>
      <c r="Q84" s="26">
        <f t="shared" si="11"/>
        <v>19800</v>
      </c>
      <c r="R84" s="55" t="s">
        <v>79</v>
      </c>
      <c r="S84" s="96" t="s">
        <v>256</v>
      </c>
      <c r="T84" s="44"/>
      <c r="U84" s="4"/>
      <c r="V84" s="166"/>
      <c r="W84" s="4"/>
      <c r="X84" s="4"/>
      <c r="Y84" s="4"/>
      <c r="Z84" s="4"/>
    </row>
    <row r="85" ht="34.5" hidden="1" customHeight="1">
      <c r="A85" s="20">
        <v>79.0</v>
      </c>
      <c r="B85" s="186" t="s">
        <v>321</v>
      </c>
      <c r="C85" s="46" t="s">
        <v>229</v>
      </c>
      <c r="D85" s="46" t="s">
        <v>322</v>
      </c>
      <c r="E85" s="187"/>
      <c r="F85" s="79" t="s">
        <v>27</v>
      </c>
      <c r="G85" s="50">
        <v>1.0</v>
      </c>
      <c r="H85" s="70">
        <v>500000.0</v>
      </c>
      <c r="I85" s="38"/>
      <c r="J85" s="30">
        <v>46032.0</v>
      </c>
      <c r="K85" s="32">
        <v>5000.0</v>
      </c>
      <c r="L85" s="189">
        <v>46240.0</v>
      </c>
      <c r="M85" s="104">
        <v>46275.0</v>
      </c>
      <c r="N85" s="68">
        <v>46305.0</v>
      </c>
      <c r="O85" s="68">
        <v>46302.0</v>
      </c>
      <c r="P85" s="37"/>
      <c r="Q85" s="39" t="s">
        <v>32</v>
      </c>
      <c r="R85" s="55" t="s">
        <v>88</v>
      </c>
      <c r="S85" s="43"/>
      <c r="T85" s="44"/>
      <c r="U85" s="4"/>
      <c r="V85" s="166"/>
      <c r="W85" s="4"/>
      <c r="X85" s="4"/>
      <c r="Y85" s="4"/>
      <c r="Z85" s="4"/>
    </row>
    <row r="86" ht="34.5" hidden="1" customHeight="1">
      <c r="A86" s="27">
        <v>80.0</v>
      </c>
      <c r="B86" s="45" t="s">
        <v>226</v>
      </c>
      <c r="C86" s="46" t="s">
        <v>229</v>
      </c>
      <c r="D86" s="46" t="s">
        <v>323</v>
      </c>
      <c r="E86" s="130"/>
      <c r="F86" s="48" t="s">
        <v>100</v>
      </c>
      <c r="G86" s="50">
        <v>3.0</v>
      </c>
      <c r="H86" s="70">
        <v>450000.0</v>
      </c>
      <c r="I86" s="146">
        <v>46071.0</v>
      </c>
      <c r="J86" s="30">
        <v>46093.0</v>
      </c>
      <c r="K86" s="32">
        <v>58500.0</v>
      </c>
      <c r="L86" s="34">
        <v>46238.0</v>
      </c>
      <c r="M86" s="104">
        <v>46183.0</v>
      </c>
      <c r="N86" s="68">
        <v>46215.0</v>
      </c>
      <c r="O86" s="68">
        <v>46213.0</v>
      </c>
      <c r="P86" s="37">
        <v>2.0</v>
      </c>
      <c r="Q86" s="26">
        <f>K86*P86</f>
        <v>117000</v>
      </c>
      <c r="R86" s="55" t="s">
        <v>39</v>
      </c>
      <c r="S86" s="98" t="s">
        <v>324</v>
      </c>
      <c r="T86" s="44"/>
      <c r="U86" s="4"/>
      <c r="V86" s="166"/>
      <c r="W86" s="4"/>
      <c r="X86" s="4"/>
      <c r="Y86" s="4"/>
      <c r="Z86" s="4"/>
    </row>
    <row r="87" ht="34.5" hidden="1" customHeight="1">
      <c r="A87" s="20">
        <v>81.0</v>
      </c>
      <c r="B87" s="45" t="s">
        <v>325</v>
      </c>
      <c r="C87" s="76" t="s">
        <v>207</v>
      </c>
      <c r="D87" s="76" t="s">
        <v>266</v>
      </c>
      <c r="E87" s="142" t="s">
        <v>326</v>
      </c>
      <c r="F87" s="133" t="s">
        <v>60</v>
      </c>
      <c r="G87" s="50">
        <v>5.0</v>
      </c>
      <c r="H87" s="70">
        <v>5000000.0</v>
      </c>
      <c r="I87" s="34">
        <v>46219.0</v>
      </c>
      <c r="J87" s="30">
        <v>46346.0</v>
      </c>
      <c r="K87" s="32">
        <v>60000.0</v>
      </c>
      <c r="L87" s="34">
        <v>46219.0</v>
      </c>
      <c r="M87" s="87"/>
      <c r="N87" s="68">
        <v>46346.0</v>
      </c>
      <c r="O87" s="68">
        <v>46341.0</v>
      </c>
      <c r="P87" s="121"/>
      <c r="Q87" s="172"/>
      <c r="R87" s="55" t="s">
        <v>327</v>
      </c>
      <c r="S87" s="43"/>
      <c r="T87" s="44"/>
      <c r="U87" s="4"/>
      <c r="V87" s="166"/>
      <c r="W87" s="4"/>
      <c r="X87" s="4"/>
      <c r="Y87" s="4"/>
      <c r="Z87" s="4"/>
    </row>
    <row r="88" ht="34.5" hidden="1" customHeight="1">
      <c r="A88" s="27">
        <v>82.0</v>
      </c>
      <c r="B88" s="97" t="s">
        <v>328</v>
      </c>
      <c r="C88" s="76" t="s">
        <v>291</v>
      </c>
      <c r="D88" s="76" t="s">
        <v>329</v>
      </c>
      <c r="E88" s="142" t="s">
        <v>330</v>
      </c>
      <c r="F88" s="48" t="s">
        <v>27</v>
      </c>
      <c r="G88" s="50">
        <v>1.0</v>
      </c>
      <c r="H88" s="70">
        <v>550000.0</v>
      </c>
      <c r="I88" s="34">
        <v>46243.0</v>
      </c>
      <c r="J88" s="53">
        <v>46341.0</v>
      </c>
      <c r="K88" s="32">
        <v>8000.0</v>
      </c>
      <c r="L88" s="38"/>
      <c r="M88" s="87"/>
      <c r="N88" s="68">
        <v>46341.0</v>
      </c>
      <c r="O88" s="68">
        <v>46338.0</v>
      </c>
      <c r="P88" s="121"/>
      <c r="Q88" s="172"/>
      <c r="R88" s="55" t="s">
        <v>331</v>
      </c>
      <c r="S88" s="43"/>
      <c r="T88" s="44"/>
      <c r="U88" s="4"/>
      <c r="V88" s="166"/>
      <c r="W88" s="4"/>
      <c r="X88" s="4"/>
      <c r="Y88" s="4"/>
      <c r="Z88" s="4"/>
    </row>
    <row r="89" ht="34.5" hidden="1" customHeight="1">
      <c r="A89" s="20">
        <v>83.0</v>
      </c>
      <c r="B89" s="97" t="s">
        <v>332</v>
      </c>
      <c r="C89" s="76" t="s">
        <v>229</v>
      </c>
      <c r="D89" s="76" t="s">
        <v>333</v>
      </c>
      <c r="E89" s="142" t="s">
        <v>334</v>
      </c>
      <c r="F89" s="79" t="s">
        <v>27</v>
      </c>
      <c r="G89" s="50">
        <v>1.0</v>
      </c>
      <c r="H89" s="70">
        <v>400000.0</v>
      </c>
      <c r="I89" s="34">
        <v>46232.0</v>
      </c>
      <c r="J89" s="53">
        <v>46249.0</v>
      </c>
      <c r="K89" s="116">
        <v>6000.0</v>
      </c>
      <c r="L89" s="38"/>
      <c r="M89" s="87"/>
      <c r="N89" s="74">
        <v>46249.0</v>
      </c>
      <c r="O89" s="74">
        <v>46246.0</v>
      </c>
      <c r="P89" s="121"/>
      <c r="Q89" s="172"/>
      <c r="R89" s="55" t="s">
        <v>335</v>
      </c>
      <c r="S89" s="43"/>
      <c r="T89" s="44"/>
      <c r="U89" s="4"/>
      <c r="V89" s="166"/>
      <c r="W89" s="4"/>
      <c r="X89" s="4"/>
      <c r="Y89" s="4"/>
      <c r="Z89" s="4"/>
    </row>
    <row r="90" ht="34.5" hidden="1" customHeight="1">
      <c r="A90" s="27">
        <v>84.0</v>
      </c>
      <c r="B90" s="64"/>
      <c r="C90" s="76" t="s">
        <v>336</v>
      </c>
      <c r="D90" s="76" t="s">
        <v>337</v>
      </c>
      <c r="E90" s="142" t="s">
        <v>338</v>
      </c>
      <c r="F90" s="79" t="s">
        <v>27</v>
      </c>
      <c r="G90" s="50">
        <v>1.0</v>
      </c>
      <c r="H90" s="95">
        <v>300000.0</v>
      </c>
      <c r="I90" s="34">
        <v>46237.0</v>
      </c>
      <c r="J90" s="53">
        <v>46272.0</v>
      </c>
      <c r="K90" s="116">
        <v>8000.0</v>
      </c>
      <c r="L90" s="38"/>
      <c r="M90" s="87"/>
      <c r="N90" s="74">
        <v>46272.0</v>
      </c>
      <c r="O90" s="74">
        <v>46269.0</v>
      </c>
      <c r="P90" s="121"/>
      <c r="Q90" s="172"/>
      <c r="R90" s="55" t="s">
        <v>339</v>
      </c>
      <c r="S90" s="43"/>
      <c r="T90" s="44"/>
      <c r="U90" s="4"/>
      <c r="V90" s="166"/>
      <c r="W90" s="4"/>
      <c r="X90" s="4"/>
      <c r="Y90" s="4"/>
      <c r="Z90" s="4"/>
    </row>
    <row r="91" ht="34.5" hidden="1" customHeight="1">
      <c r="A91" s="20">
        <v>85.0</v>
      </c>
      <c r="B91" s="64"/>
      <c r="C91" s="76" t="s">
        <v>24</v>
      </c>
      <c r="D91" s="76" t="s">
        <v>340</v>
      </c>
      <c r="E91" s="142" t="s">
        <v>236</v>
      </c>
      <c r="F91" s="48" t="s">
        <v>60</v>
      </c>
      <c r="G91" s="50">
        <v>3.0</v>
      </c>
      <c r="H91" s="190">
        <v>3000000.0</v>
      </c>
      <c r="I91" s="34">
        <v>46236.0</v>
      </c>
      <c r="J91" s="30"/>
      <c r="K91" s="32"/>
      <c r="L91" s="38"/>
      <c r="M91" s="87"/>
      <c r="N91" s="59"/>
      <c r="O91" s="59"/>
      <c r="P91" s="121"/>
      <c r="Q91" s="172"/>
      <c r="R91" s="51"/>
      <c r="S91" s="43"/>
      <c r="T91" s="44"/>
      <c r="U91" s="4"/>
      <c r="V91" s="166"/>
      <c r="W91" s="4"/>
      <c r="X91" s="4"/>
      <c r="Y91" s="4"/>
      <c r="Z91" s="4"/>
    </row>
    <row r="92" ht="34.5" hidden="1" customHeight="1">
      <c r="A92" s="27">
        <v>86.0</v>
      </c>
      <c r="B92" s="64"/>
      <c r="C92" s="75"/>
      <c r="D92" s="75"/>
      <c r="E92" s="51"/>
      <c r="F92" s="191"/>
      <c r="G92" s="92"/>
      <c r="H92" s="92"/>
      <c r="I92" s="38"/>
      <c r="J92" s="30"/>
      <c r="K92" s="32"/>
      <c r="L92" s="38"/>
      <c r="M92" s="87"/>
      <c r="N92" s="59"/>
      <c r="O92" s="59"/>
      <c r="P92" s="121"/>
      <c r="Q92" s="172"/>
      <c r="R92" s="51"/>
      <c r="S92" s="43"/>
      <c r="T92" s="44"/>
      <c r="U92" s="4"/>
      <c r="V92" s="166"/>
      <c r="W92" s="4"/>
      <c r="X92" s="4"/>
      <c r="Y92" s="4"/>
      <c r="Z92" s="4"/>
    </row>
    <row r="93" ht="34.5" hidden="1" customHeight="1">
      <c r="A93" s="20">
        <v>87.0</v>
      </c>
      <c r="B93" s="64"/>
      <c r="C93" s="75"/>
      <c r="D93" s="75"/>
      <c r="E93" s="51"/>
      <c r="F93" s="191"/>
      <c r="G93" s="92"/>
      <c r="H93" s="92"/>
      <c r="I93" s="38"/>
      <c r="J93" s="30"/>
      <c r="K93" s="32"/>
      <c r="L93" s="38"/>
      <c r="M93" s="87"/>
      <c r="N93" s="59"/>
      <c r="O93" s="59"/>
      <c r="P93" s="121"/>
      <c r="Q93" s="172"/>
      <c r="R93" s="51"/>
      <c r="S93" s="43"/>
      <c r="T93" s="44"/>
      <c r="U93" s="4"/>
      <c r="V93" s="166"/>
      <c r="W93" s="4"/>
      <c r="X93" s="4"/>
      <c r="Y93" s="4"/>
      <c r="Z93" s="4"/>
    </row>
    <row r="94" ht="34.5" hidden="1" customHeight="1">
      <c r="A94" s="27">
        <v>88.0</v>
      </c>
      <c r="B94" s="64"/>
      <c r="C94" s="75"/>
      <c r="D94" s="75"/>
      <c r="E94" s="51"/>
      <c r="F94" s="191"/>
      <c r="G94" s="92"/>
      <c r="H94" s="92"/>
      <c r="I94" s="38"/>
      <c r="J94" s="30"/>
      <c r="K94" s="32"/>
      <c r="L94" s="38"/>
      <c r="M94" s="87"/>
      <c r="N94" s="59"/>
      <c r="O94" s="59"/>
      <c r="P94" s="121"/>
      <c r="Q94" s="172"/>
      <c r="R94" s="51"/>
      <c r="S94" s="43"/>
      <c r="T94" s="44"/>
      <c r="U94" s="4"/>
      <c r="V94" s="166"/>
      <c r="W94" s="4"/>
      <c r="X94" s="4"/>
      <c r="Y94" s="4"/>
      <c r="Z94" s="4"/>
    </row>
    <row r="95" ht="34.5" hidden="1" customHeight="1">
      <c r="A95" s="20">
        <v>89.0</v>
      </c>
      <c r="B95" s="64"/>
      <c r="C95" s="75"/>
      <c r="D95" s="75"/>
      <c r="E95" s="51"/>
      <c r="F95" s="191"/>
      <c r="G95" s="92"/>
      <c r="H95" s="92"/>
      <c r="I95" s="38"/>
      <c r="J95" s="30"/>
      <c r="K95" s="32"/>
      <c r="L95" s="38"/>
      <c r="M95" s="87"/>
      <c r="N95" s="59"/>
      <c r="O95" s="59"/>
      <c r="P95" s="121"/>
      <c r="Q95" s="172"/>
      <c r="R95" s="51"/>
      <c r="S95" s="43"/>
      <c r="T95" s="44"/>
      <c r="U95" s="4"/>
      <c r="V95" s="166"/>
      <c r="W95" s="4"/>
      <c r="X95" s="4"/>
      <c r="Y95" s="4"/>
      <c r="Z95" s="4"/>
    </row>
    <row r="96" ht="34.5" hidden="1" customHeight="1">
      <c r="A96" s="27">
        <v>90.0</v>
      </c>
      <c r="B96" s="64"/>
      <c r="C96" s="75"/>
      <c r="D96" s="75"/>
      <c r="E96" s="51"/>
      <c r="F96" s="191"/>
      <c r="G96" s="92"/>
      <c r="H96" s="92"/>
      <c r="I96" s="38"/>
      <c r="J96" s="30"/>
      <c r="K96" s="32"/>
      <c r="L96" s="38"/>
      <c r="M96" s="87"/>
      <c r="N96" s="59"/>
      <c r="O96" s="59"/>
      <c r="P96" s="121"/>
      <c r="Q96" s="172"/>
      <c r="R96" s="51"/>
      <c r="S96" s="43"/>
      <c r="T96" s="44"/>
      <c r="U96" s="4"/>
      <c r="V96" s="166"/>
      <c r="W96" s="4"/>
      <c r="X96" s="4"/>
      <c r="Y96" s="4"/>
      <c r="Z96" s="4"/>
    </row>
    <row r="97" ht="34.5" hidden="1" customHeight="1">
      <c r="A97" s="20">
        <v>91.0</v>
      </c>
      <c r="B97" s="64"/>
      <c r="C97" s="75"/>
      <c r="D97" s="75"/>
      <c r="E97" s="51"/>
      <c r="F97" s="191"/>
      <c r="G97" s="92"/>
      <c r="H97" s="92"/>
      <c r="I97" s="38"/>
      <c r="J97" s="30"/>
      <c r="K97" s="32"/>
      <c r="L97" s="38"/>
      <c r="M97" s="87"/>
      <c r="N97" s="59"/>
      <c r="O97" s="59"/>
      <c r="P97" s="121"/>
      <c r="Q97" s="172"/>
      <c r="R97" s="51"/>
      <c r="S97" s="43"/>
      <c r="T97" s="44"/>
      <c r="U97" s="4"/>
      <c r="V97" s="166"/>
      <c r="W97" s="4"/>
      <c r="X97" s="4"/>
      <c r="Y97" s="4"/>
      <c r="Z97" s="4"/>
    </row>
    <row r="98" ht="34.5" hidden="1" customHeight="1">
      <c r="A98" s="27">
        <v>92.0</v>
      </c>
      <c r="B98" s="64"/>
      <c r="C98" s="75"/>
      <c r="D98" s="75"/>
      <c r="E98" s="51"/>
      <c r="F98" s="191"/>
      <c r="G98" s="92"/>
      <c r="H98" s="92"/>
      <c r="I98" s="38"/>
      <c r="J98" s="30"/>
      <c r="K98" s="32"/>
      <c r="L98" s="38"/>
      <c r="M98" s="87"/>
      <c r="N98" s="59"/>
      <c r="O98" s="59"/>
      <c r="P98" s="121"/>
      <c r="Q98" s="172"/>
      <c r="R98" s="51"/>
      <c r="S98" s="43"/>
      <c r="T98" s="44"/>
      <c r="U98" s="4"/>
      <c r="V98" s="166"/>
      <c r="W98" s="4"/>
      <c r="X98" s="4"/>
      <c r="Y98" s="4"/>
      <c r="Z98" s="4"/>
    </row>
    <row r="99" ht="34.5" hidden="1" customHeight="1">
      <c r="A99" s="20">
        <v>93.0</v>
      </c>
      <c r="B99" s="64"/>
      <c r="C99" s="75"/>
      <c r="D99" s="75"/>
      <c r="E99" s="51"/>
      <c r="F99" s="191"/>
      <c r="G99" s="92"/>
      <c r="H99" s="92"/>
      <c r="I99" s="38"/>
      <c r="J99" s="30"/>
      <c r="K99" s="32"/>
      <c r="L99" s="38"/>
      <c r="M99" s="87"/>
      <c r="N99" s="59"/>
      <c r="O99" s="59"/>
      <c r="P99" s="121"/>
      <c r="Q99" s="172"/>
      <c r="R99" s="51"/>
      <c r="S99" s="43"/>
      <c r="T99" s="44"/>
      <c r="U99" s="4"/>
      <c r="V99" s="166"/>
      <c r="W99" s="4"/>
      <c r="X99" s="4"/>
      <c r="Y99" s="4"/>
      <c r="Z99" s="4"/>
    </row>
    <row r="100" ht="34.5" hidden="1" customHeight="1">
      <c r="A100" s="27">
        <v>94.0</v>
      </c>
      <c r="B100" s="64"/>
      <c r="C100" s="75"/>
      <c r="D100" s="75"/>
      <c r="E100" s="51"/>
      <c r="F100" s="191"/>
      <c r="G100" s="92"/>
      <c r="H100" s="92"/>
      <c r="I100" s="38"/>
      <c r="J100" s="30"/>
      <c r="K100" s="32"/>
      <c r="L100" s="38"/>
      <c r="M100" s="87"/>
      <c r="N100" s="59"/>
      <c r="O100" s="59"/>
      <c r="P100" s="121"/>
      <c r="Q100" s="172"/>
      <c r="R100" s="51"/>
      <c r="S100" s="43"/>
      <c r="T100" s="44"/>
      <c r="U100" s="4"/>
      <c r="V100" s="166"/>
      <c r="W100" s="4"/>
      <c r="X100" s="4"/>
      <c r="Y100" s="4"/>
      <c r="Z100" s="4"/>
    </row>
    <row r="101" ht="34.5" hidden="1" customHeight="1">
      <c r="A101" s="20">
        <v>95.0</v>
      </c>
      <c r="B101" s="64"/>
      <c r="C101" s="75"/>
      <c r="D101" s="75"/>
      <c r="E101" s="51"/>
      <c r="F101" s="191"/>
      <c r="G101" s="92"/>
      <c r="H101" s="92"/>
      <c r="I101" s="38"/>
      <c r="J101" s="30"/>
      <c r="K101" s="32"/>
      <c r="L101" s="38"/>
      <c r="M101" s="87"/>
      <c r="N101" s="59"/>
      <c r="O101" s="59"/>
      <c r="P101" s="121"/>
      <c r="Q101" s="172"/>
      <c r="R101" s="51"/>
      <c r="S101" s="43"/>
      <c r="T101" s="44"/>
      <c r="U101" s="4"/>
      <c r="V101" s="166"/>
      <c r="W101" s="4"/>
      <c r="X101" s="4"/>
      <c r="Y101" s="4"/>
      <c r="Z101" s="4"/>
    </row>
    <row r="102" ht="34.5" hidden="1" customHeight="1">
      <c r="A102" s="27">
        <v>96.0</v>
      </c>
      <c r="B102" s="64"/>
      <c r="C102" s="75"/>
      <c r="D102" s="75"/>
      <c r="E102" s="51"/>
      <c r="F102" s="191"/>
      <c r="G102" s="92"/>
      <c r="H102" s="92"/>
      <c r="I102" s="38"/>
      <c r="J102" s="30"/>
      <c r="K102" s="32"/>
      <c r="L102" s="38"/>
      <c r="M102" s="87"/>
      <c r="N102" s="59"/>
      <c r="O102" s="59"/>
      <c r="P102" s="121"/>
      <c r="Q102" s="172"/>
      <c r="R102" s="51"/>
      <c r="S102" s="43"/>
      <c r="T102" s="44"/>
      <c r="U102" s="4"/>
      <c r="V102" s="166"/>
      <c r="W102" s="4"/>
      <c r="X102" s="4"/>
      <c r="Y102" s="4"/>
      <c r="Z102" s="4"/>
    </row>
    <row r="103" ht="34.5" hidden="1" customHeight="1">
      <c r="A103" s="20">
        <v>97.0</v>
      </c>
      <c r="B103" s="64"/>
      <c r="C103" s="75"/>
      <c r="D103" s="75"/>
      <c r="E103" s="51"/>
      <c r="F103" s="25"/>
      <c r="G103" s="92"/>
      <c r="H103" s="92"/>
      <c r="I103" s="38"/>
      <c r="J103" s="30"/>
      <c r="K103" s="32"/>
      <c r="L103" s="38"/>
      <c r="M103" s="87"/>
      <c r="N103" s="59"/>
      <c r="O103" s="59"/>
      <c r="P103" s="121"/>
      <c r="Q103" s="172"/>
      <c r="R103" s="51"/>
      <c r="S103" s="43"/>
      <c r="T103" s="44"/>
      <c r="U103" s="4"/>
      <c r="V103" s="166"/>
      <c r="W103" s="4"/>
      <c r="X103" s="4"/>
      <c r="Y103" s="4"/>
      <c r="Z103" s="4"/>
    </row>
    <row r="104" ht="34.5" hidden="1" customHeight="1">
      <c r="A104" s="27">
        <v>98.0</v>
      </c>
      <c r="B104" s="64"/>
      <c r="C104" s="75"/>
      <c r="D104" s="75"/>
      <c r="E104" s="51"/>
      <c r="F104" s="25"/>
      <c r="G104" s="92"/>
      <c r="H104" s="92"/>
      <c r="I104" s="38"/>
      <c r="J104" s="30"/>
      <c r="K104" s="32"/>
      <c r="L104" s="38"/>
      <c r="M104" s="87"/>
      <c r="N104" s="59"/>
      <c r="O104" s="59"/>
      <c r="P104" s="121"/>
      <c r="Q104" s="172"/>
      <c r="R104" s="51"/>
      <c r="S104" s="43"/>
      <c r="T104" s="44"/>
      <c r="U104" s="4"/>
      <c r="V104" s="166"/>
      <c r="W104" s="4"/>
      <c r="X104" s="4"/>
      <c r="Y104" s="4"/>
      <c r="Z104" s="4"/>
    </row>
    <row r="105" ht="34.5" hidden="1" customHeight="1">
      <c r="A105" s="20">
        <v>99.0</v>
      </c>
      <c r="B105" s="64"/>
      <c r="C105" s="75"/>
      <c r="D105" s="75"/>
      <c r="E105" s="51"/>
      <c r="F105" s="25"/>
      <c r="G105" s="92"/>
      <c r="H105" s="92"/>
      <c r="I105" s="38"/>
      <c r="J105" s="30"/>
      <c r="K105" s="32"/>
      <c r="L105" s="38"/>
      <c r="M105" s="87"/>
      <c r="N105" s="59"/>
      <c r="O105" s="59"/>
      <c r="P105" s="121"/>
      <c r="Q105" s="26"/>
      <c r="R105" s="51"/>
      <c r="S105" s="43"/>
      <c r="T105" s="44"/>
      <c r="U105" s="4"/>
      <c r="V105" s="166" t="s">
        <v>0</v>
      </c>
      <c r="W105" s="4"/>
      <c r="X105" s="4"/>
      <c r="Y105" s="4"/>
      <c r="Z105" s="4"/>
    </row>
    <row r="106" ht="34.5" hidden="1" customHeight="1">
      <c r="A106" s="27">
        <v>100.0</v>
      </c>
      <c r="B106" s="64"/>
      <c r="C106" s="75"/>
      <c r="D106" s="75"/>
      <c r="E106" s="51"/>
      <c r="F106" s="25"/>
      <c r="G106" s="92"/>
      <c r="H106" s="92"/>
      <c r="I106" s="38"/>
      <c r="J106" s="30"/>
      <c r="K106" s="32"/>
      <c r="L106" s="38"/>
      <c r="M106" s="87"/>
      <c r="N106" s="59"/>
      <c r="O106" s="194" t="s">
        <v>341</v>
      </c>
      <c r="P106" s="121"/>
      <c r="Q106" s="26"/>
      <c r="R106" s="51"/>
      <c r="S106" s="43"/>
      <c r="T106" s="44"/>
      <c r="U106" s="4"/>
      <c r="V106" s="4"/>
      <c r="W106" s="4"/>
      <c r="X106" s="4"/>
      <c r="Y106" s="4"/>
      <c r="Z106" s="4"/>
    </row>
    <row r="107" ht="19.5" hidden="1" customHeight="1">
      <c r="A107" s="196"/>
      <c r="B107" s="197"/>
      <c r="C107" s="198"/>
      <c r="D107" s="198"/>
      <c r="E107" s="199" t="s">
        <v>343</v>
      </c>
      <c r="F107" s="200"/>
      <c r="G107" s="201"/>
      <c r="H107" s="32">
        <f>SUM(H7:H106)</f>
        <v>74990000</v>
      </c>
      <c r="I107" s="202"/>
      <c r="J107" s="204"/>
      <c r="K107" s="32">
        <f>SUM(K7:K106)</f>
        <v>1191850</v>
      </c>
      <c r="L107" s="202"/>
      <c r="M107" s="202"/>
      <c r="N107" s="202"/>
      <c r="O107" s="202"/>
      <c r="P107" s="202"/>
      <c r="Q107" s="32">
        <f>SUM(Q7:Q106)</f>
        <v>1057750</v>
      </c>
      <c r="R107" s="206"/>
      <c r="S107" s="207"/>
      <c r="T107" s="44"/>
      <c r="U107" s="4"/>
      <c r="V107" s="4"/>
      <c r="W107" s="4"/>
      <c r="X107" s="4"/>
      <c r="Y107" s="4"/>
      <c r="Z107" s="4"/>
    </row>
    <row r="108" ht="16.5" customHeight="1">
      <c r="A108" s="3"/>
      <c r="B108" s="2"/>
      <c r="C108" s="3"/>
      <c r="D108" s="2"/>
      <c r="E108" s="4"/>
      <c r="F108" s="4"/>
      <c r="G108" s="4"/>
      <c r="H108" s="4"/>
      <c r="I108" s="4"/>
      <c r="J108" s="4"/>
      <c r="K108" s="4"/>
      <c r="L108" s="4"/>
      <c r="M108" s="4"/>
      <c r="N108" s="4"/>
      <c r="O108" s="4"/>
      <c r="P108" s="4"/>
      <c r="Q108" s="4"/>
      <c r="R108" s="2"/>
      <c r="S108" s="209"/>
      <c r="T108" s="4"/>
      <c r="U108" s="4"/>
      <c r="V108" s="210"/>
      <c r="W108" s="210"/>
      <c r="X108" s="210"/>
      <c r="Y108" s="210"/>
      <c r="Z108" s="210"/>
    </row>
    <row r="109" ht="16.5" customHeight="1">
      <c r="A109" s="3"/>
      <c r="B109" s="2"/>
      <c r="C109" s="3"/>
      <c r="D109" s="2"/>
      <c r="E109" s="4"/>
      <c r="F109" s="4"/>
      <c r="G109" s="4"/>
      <c r="H109" s="4"/>
      <c r="I109" s="4"/>
      <c r="J109" s="4"/>
      <c r="K109" s="4"/>
      <c r="L109" s="4"/>
      <c r="M109" s="4"/>
      <c r="N109" s="4"/>
      <c r="O109" s="4"/>
      <c r="P109" s="4"/>
      <c r="Q109" s="4"/>
      <c r="R109" s="2"/>
      <c r="S109" s="4"/>
      <c r="T109" s="4"/>
      <c r="U109" s="4"/>
      <c r="V109" s="210"/>
      <c r="W109" s="210"/>
      <c r="X109" s="210"/>
      <c r="Y109" s="210"/>
      <c r="Z109" s="210"/>
    </row>
    <row r="110" ht="16.5" customHeight="1">
      <c r="A110" s="3"/>
      <c r="B110" s="2"/>
      <c r="C110" s="3"/>
      <c r="D110" s="2"/>
      <c r="E110" s="4"/>
      <c r="F110" s="4"/>
      <c r="G110" s="4"/>
      <c r="H110" s="4"/>
      <c r="I110" s="4"/>
      <c r="J110" s="4"/>
      <c r="K110" s="4"/>
      <c r="L110" s="4"/>
      <c r="M110" s="4"/>
      <c r="N110" s="4"/>
      <c r="O110" s="4"/>
      <c r="P110" s="4"/>
      <c r="Q110" s="4"/>
      <c r="R110" s="2"/>
      <c r="S110" s="4"/>
      <c r="T110" s="4"/>
      <c r="U110" s="4"/>
      <c r="V110" s="210"/>
      <c r="W110" s="210"/>
      <c r="X110" s="210"/>
      <c r="Y110" s="210"/>
      <c r="Z110" s="210"/>
    </row>
    <row r="111" ht="16.5" customHeight="1">
      <c r="A111" s="3"/>
      <c r="B111" s="2"/>
      <c r="C111" s="3"/>
      <c r="D111" s="2"/>
      <c r="E111" s="4"/>
      <c r="F111" s="4"/>
      <c r="G111" s="4"/>
      <c r="H111" s="4"/>
      <c r="I111" s="4"/>
      <c r="J111" s="4"/>
      <c r="K111" s="4"/>
      <c r="L111" s="4"/>
      <c r="M111" s="4"/>
      <c r="N111" s="4"/>
      <c r="O111" s="4"/>
      <c r="P111" s="4"/>
      <c r="Q111" s="4"/>
      <c r="R111" s="2"/>
      <c r="S111" s="4"/>
      <c r="T111" s="4"/>
      <c r="U111" s="4"/>
      <c r="V111" s="210"/>
      <c r="W111" s="210"/>
      <c r="X111" s="210"/>
      <c r="Y111" s="210"/>
      <c r="Z111" s="210"/>
    </row>
    <row r="112" ht="16.5" customHeight="1">
      <c r="A112" s="3"/>
      <c r="B112" s="2"/>
      <c r="C112" s="3"/>
      <c r="D112" s="2"/>
      <c r="E112" s="4"/>
      <c r="F112" s="4"/>
      <c r="G112" s="4"/>
      <c r="H112" s="4"/>
      <c r="I112" s="4"/>
      <c r="J112" s="4"/>
      <c r="K112" s="4"/>
      <c r="L112" s="4"/>
      <c r="M112" s="4"/>
      <c r="N112" s="4"/>
      <c r="O112" s="4"/>
      <c r="P112" s="4"/>
      <c r="Q112" s="4"/>
      <c r="R112" s="2"/>
      <c r="S112" s="4"/>
      <c r="T112" s="4"/>
      <c r="U112" s="4"/>
      <c r="V112" s="210"/>
      <c r="W112" s="210"/>
      <c r="X112" s="210"/>
      <c r="Y112" s="210"/>
      <c r="Z112" s="210"/>
    </row>
    <row r="113" ht="16.5" customHeight="1">
      <c r="A113" s="3"/>
      <c r="B113" s="2"/>
      <c r="C113" s="3"/>
      <c r="D113" s="2"/>
      <c r="E113" s="4"/>
      <c r="F113" s="4"/>
      <c r="G113" s="4"/>
      <c r="H113" s="4"/>
      <c r="I113" s="4"/>
      <c r="J113" s="4"/>
      <c r="K113" s="4"/>
      <c r="L113" s="4"/>
      <c r="M113" s="4"/>
      <c r="N113" s="4"/>
      <c r="O113" s="4"/>
      <c r="P113" s="4"/>
      <c r="Q113" s="4"/>
      <c r="R113" s="2"/>
      <c r="S113" s="4"/>
      <c r="T113" s="4"/>
      <c r="U113" s="4"/>
      <c r="V113" s="210"/>
      <c r="W113" s="210"/>
      <c r="X113" s="210"/>
      <c r="Y113" s="210"/>
      <c r="Z113" s="210"/>
    </row>
    <row r="114" ht="16.5" customHeight="1">
      <c r="A114" s="3"/>
      <c r="B114" s="2"/>
      <c r="C114" s="3"/>
      <c r="D114" s="2"/>
      <c r="E114" s="4"/>
      <c r="F114" s="4"/>
      <c r="G114" s="4"/>
      <c r="H114" s="4"/>
      <c r="I114" s="4"/>
      <c r="J114" s="4"/>
      <c r="K114" s="4"/>
      <c r="L114" s="4"/>
      <c r="M114" s="4"/>
      <c r="N114" s="4"/>
      <c r="O114" s="4"/>
      <c r="P114" s="4"/>
      <c r="Q114" s="4"/>
      <c r="R114" s="2"/>
      <c r="S114" s="4"/>
      <c r="T114" s="4"/>
      <c r="U114" s="4"/>
      <c r="V114" s="210"/>
      <c r="W114" s="210"/>
      <c r="X114" s="210"/>
      <c r="Y114" s="210"/>
      <c r="Z114" s="210"/>
    </row>
    <row r="115" ht="16.5" customHeight="1">
      <c r="A115" s="3"/>
      <c r="B115" s="2"/>
      <c r="C115" s="3"/>
      <c r="D115" s="2"/>
      <c r="E115" s="4"/>
      <c r="F115" s="4"/>
      <c r="G115" s="4"/>
      <c r="H115" s="4"/>
      <c r="I115" s="4"/>
      <c r="J115" s="4"/>
      <c r="K115" s="4"/>
      <c r="L115" s="4"/>
      <c r="M115" s="4"/>
      <c r="N115" s="4"/>
      <c r="O115" s="4"/>
      <c r="P115" s="4"/>
      <c r="Q115" s="4"/>
      <c r="R115" s="2"/>
      <c r="S115" s="4"/>
      <c r="T115" s="4"/>
      <c r="U115" s="4"/>
      <c r="V115" s="210"/>
      <c r="W115" s="210"/>
      <c r="X115" s="210"/>
      <c r="Y115" s="210"/>
      <c r="Z115" s="210"/>
    </row>
    <row r="116" ht="16.5" customHeight="1">
      <c r="A116" s="3"/>
      <c r="B116" s="2"/>
      <c r="C116" s="3"/>
      <c r="D116" s="2"/>
      <c r="E116" s="4"/>
      <c r="F116" s="4"/>
      <c r="G116" s="4"/>
      <c r="H116" s="4"/>
      <c r="I116" s="4"/>
      <c r="J116" s="4"/>
      <c r="K116" s="4"/>
      <c r="L116" s="4"/>
      <c r="M116" s="4"/>
      <c r="N116" s="4"/>
      <c r="O116" s="4"/>
      <c r="P116" s="4"/>
      <c r="Q116" s="4"/>
      <c r="R116" s="2"/>
      <c r="S116" s="4"/>
      <c r="T116" s="4"/>
      <c r="U116" s="4"/>
      <c r="V116" s="210"/>
      <c r="W116" s="210"/>
      <c r="X116" s="210"/>
      <c r="Y116" s="210"/>
      <c r="Z116" s="210"/>
    </row>
    <row r="117" ht="16.5" customHeight="1">
      <c r="A117" s="3"/>
      <c r="B117" s="2"/>
      <c r="C117" s="3"/>
      <c r="D117" s="2"/>
      <c r="E117" s="4"/>
      <c r="F117" s="4"/>
      <c r="G117" s="4"/>
      <c r="H117" s="4"/>
      <c r="I117" s="4"/>
      <c r="J117" s="4"/>
      <c r="K117" s="4"/>
      <c r="L117" s="4"/>
      <c r="M117" s="4"/>
      <c r="N117" s="4"/>
      <c r="O117" s="4"/>
      <c r="P117" s="4"/>
      <c r="Q117" s="4"/>
      <c r="R117" s="2"/>
      <c r="S117" s="4"/>
      <c r="T117" s="4"/>
      <c r="U117" s="4"/>
      <c r="V117" s="210"/>
      <c r="W117" s="210"/>
      <c r="X117" s="210"/>
      <c r="Y117" s="210"/>
      <c r="Z117" s="210"/>
    </row>
    <row r="118" ht="16.5" customHeight="1">
      <c r="A118" s="3"/>
      <c r="B118" s="2"/>
      <c r="C118" s="3"/>
      <c r="D118" s="2"/>
      <c r="E118" s="4"/>
      <c r="F118" s="4"/>
      <c r="G118" s="4"/>
      <c r="H118" s="4"/>
      <c r="I118" s="4"/>
      <c r="J118" s="4"/>
      <c r="K118" s="4"/>
      <c r="L118" s="4"/>
      <c r="M118" s="4"/>
      <c r="N118" s="4"/>
      <c r="O118" s="4"/>
      <c r="P118" s="4"/>
      <c r="Q118" s="4"/>
      <c r="R118" s="2"/>
      <c r="S118" s="4"/>
      <c r="T118" s="4"/>
      <c r="U118" s="4"/>
      <c r="V118" s="4"/>
      <c r="W118" s="4"/>
      <c r="X118" s="4"/>
      <c r="Y118" s="4"/>
      <c r="Z118" s="4"/>
    </row>
    <row r="119" ht="16.5" customHeight="1">
      <c r="A119" s="3"/>
      <c r="B119" s="2"/>
      <c r="C119" s="3"/>
      <c r="D119" s="2"/>
      <c r="E119" s="4"/>
      <c r="F119" s="4"/>
      <c r="G119" s="4"/>
      <c r="H119" s="4"/>
      <c r="I119" s="4"/>
      <c r="J119" s="4"/>
      <c r="K119" s="4"/>
      <c r="L119" s="4"/>
      <c r="M119" s="4"/>
      <c r="N119" s="4"/>
      <c r="O119" s="4"/>
      <c r="P119" s="4"/>
      <c r="Q119" s="4"/>
      <c r="R119" s="2"/>
      <c r="S119" s="4"/>
      <c r="T119" s="4"/>
      <c r="U119" s="4"/>
      <c r="V119" s="4"/>
      <c r="W119" s="4"/>
      <c r="X119" s="4"/>
      <c r="Y119" s="4"/>
      <c r="Z119" s="4"/>
    </row>
    <row r="120" ht="16.5" customHeight="1">
      <c r="A120" s="3"/>
      <c r="B120" s="2"/>
      <c r="C120" s="3"/>
      <c r="D120" s="2"/>
      <c r="E120" s="4"/>
      <c r="F120" s="4"/>
      <c r="G120" s="4"/>
      <c r="H120" s="4"/>
      <c r="I120" s="4"/>
      <c r="J120" s="4"/>
      <c r="K120" s="4"/>
      <c r="L120" s="4"/>
      <c r="M120" s="4"/>
      <c r="N120" s="4"/>
      <c r="O120" s="4"/>
      <c r="P120" s="4"/>
      <c r="Q120" s="4"/>
      <c r="R120" s="2"/>
      <c r="S120" s="4"/>
      <c r="T120" s="4"/>
      <c r="U120" s="4"/>
      <c r="V120" s="4"/>
      <c r="W120" s="4"/>
      <c r="X120" s="4"/>
      <c r="Y120" s="4"/>
      <c r="Z120" s="4"/>
    </row>
    <row r="121" ht="16.5" customHeight="1">
      <c r="A121" s="3"/>
      <c r="B121" s="2"/>
      <c r="C121" s="3"/>
      <c r="D121" s="2"/>
      <c r="E121" s="4"/>
      <c r="F121" s="4"/>
      <c r="G121" s="4"/>
      <c r="H121" s="4"/>
      <c r="I121" s="4"/>
      <c r="J121" s="4"/>
      <c r="K121" s="4"/>
      <c r="L121" s="4"/>
      <c r="M121" s="4"/>
      <c r="N121" s="4"/>
      <c r="O121" s="4"/>
      <c r="P121" s="4"/>
      <c r="Q121" s="4"/>
      <c r="R121" s="2"/>
      <c r="S121" s="4"/>
      <c r="T121" s="4"/>
      <c r="U121" s="4"/>
      <c r="V121" s="4"/>
      <c r="W121" s="4"/>
      <c r="X121" s="4"/>
      <c r="Y121" s="4"/>
      <c r="Z121" s="4"/>
    </row>
    <row r="122" ht="16.5" customHeight="1">
      <c r="A122" s="3"/>
      <c r="B122" s="2"/>
      <c r="C122" s="3"/>
      <c r="D122" s="2"/>
      <c r="E122" s="4"/>
      <c r="F122" s="4"/>
      <c r="G122" s="4"/>
      <c r="H122" s="4"/>
      <c r="I122" s="4"/>
      <c r="J122" s="4"/>
      <c r="K122" s="4"/>
      <c r="L122" s="4"/>
      <c r="M122" s="4"/>
      <c r="N122" s="4"/>
      <c r="O122" s="4"/>
      <c r="P122" s="4"/>
      <c r="Q122" s="4"/>
      <c r="R122" s="2"/>
      <c r="S122" s="4"/>
      <c r="T122" s="4"/>
      <c r="U122" s="4"/>
      <c r="V122" s="4"/>
      <c r="W122" s="4"/>
      <c r="X122" s="4"/>
      <c r="Y122" s="4"/>
      <c r="Z122" s="4"/>
    </row>
    <row r="123" ht="16.5" customHeight="1">
      <c r="A123" s="3"/>
      <c r="B123" s="2"/>
      <c r="C123" s="3"/>
      <c r="D123" s="2"/>
      <c r="E123" s="4"/>
      <c r="F123" s="4"/>
      <c r="G123" s="4"/>
      <c r="H123" s="4"/>
      <c r="I123" s="4"/>
      <c r="J123" s="4"/>
      <c r="K123" s="4"/>
      <c r="L123" s="4"/>
      <c r="M123" s="4"/>
      <c r="N123" s="4"/>
      <c r="O123" s="4"/>
      <c r="P123" s="4"/>
      <c r="Q123" s="4"/>
      <c r="R123" s="2"/>
      <c r="S123" s="4"/>
      <c r="T123" s="4"/>
      <c r="U123" s="4"/>
      <c r="V123" s="4"/>
      <c r="W123" s="4"/>
      <c r="X123" s="4"/>
      <c r="Y123" s="4"/>
      <c r="Z123" s="4"/>
    </row>
    <row r="124" ht="16.5" customHeight="1">
      <c r="A124" s="3"/>
      <c r="B124" s="2"/>
      <c r="C124" s="3"/>
      <c r="D124" s="2"/>
      <c r="E124" s="4"/>
      <c r="F124" s="4"/>
      <c r="G124" s="4"/>
      <c r="H124" s="4"/>
      <c r="I124" s="4"/>
      <c r="J124" s="4"/>
      <c r="K124" s="4"/>
      <c r="L124" s="4"/>
      <c r="M124" s="4"/>
      <c r="N124" s="4"/>
      <c r="O124" s="4"/>
      <c r="P124" s="4"/>
      <c r="Q124" s="4"/>
      <c r="R124" s="2"/>
      <c r="S124" s="4"/>
      <c r="T124" s="4"/>
      <c r="U124" s="4"/>
      <c r="V124" s="4"/>
      <c r="W124" s="4"/>
      <c r="X124" s="4"/>
      <c r="Y124" s="4"/>
      <c r="Z124" s="4"/>
    </row>
    <row r="125" ht="16.5" customHeight="1">
      <c r="A125" s="3"/>
      <c r="B125" s="2"/>
      <c r="C125" s="3"/>
      <c r="D125" s="2"/>
      <c r="E125" s="4"/>
      <c r="F125" s="4"/>
      <c r="G125" s="4"/>
      <c r="H125" s="4"/>
      <c r="I125" s="4"/>
      <c r="J125" s="4"/>
      <c r="K125" s="4"/>
      <c r="L125" s="4"/>
      <c r="M125" s="4"/>
      <c r="N125" s="4"/>
      <c r="O125" s="4"/>
      <c r="P125" s="4"/>
      <c r="Q125" s="4"/>
      <c r="R125" s="2"/>
      <c r="S125" s="4"/>
      <c r="T125" s="4"/>
      <c r="U125" s="4"/>
      <c r="V125" s="4"/>
      <c r="W125" s="4"/>
      <c r="X125" s="4"/>
      <c r="Y125" s="4"/>
      <c r="Z125" s="4"/>
    </row>
    <row r="126" ht="16.5" customHeight="1">
      <c r="A126" s="3"/>
      <c r="B126" s="2"/>
      <c r="C126" s="3"/>
      <c r="D126" s="2"/>
      <c r="E126" s="4"/>
      <c r="F126" s="4"/>
      <c r="G126" s="4"/>
      <c r="H126" s="4"/>
      <c r="I126" s="4"/>
      <c r="J126" s="4"/>
      <c r="K126" s="4"/>
      <c r="L126" s="4"/>
      <c r="M126" s="4"/>
      <c r="N126" s="4"/>
      <c r="O126" s="4"/>
      <c r="P126" s="4"/>
      <c r="Q126" s="4"/>
      <c r="R126" s="2"/>
      <c r="S126" s="4"/>
      <c r="T126" s="4"/>
      <c r="U126" s="4"/>
      <c r="V126" s="4"/>
      <c r="W126" s="4"/>
      <c r="X126" s="4"/>
      <c r="Y126" s="4"/>
      <c r="Z126" s="4"/>
    </row>
    <row r="127" ht="16.5" customHeight="1">
      <c r="A127" s="3"/>
      <c r="B127" s="2"/>
      <c r="C127" s="3"/>
      <c r="D127" s="2"/>
      <c r="E127" s="4"/>
      <c r="F127" s="4"/>
      <c r="G127" s="4"/>
      <c r="H127" s="4"/>
      <c r="I127" s="4"/>
      <c r="J127" s="4"/>
      <c r="K127" s="4"/>
      <c r="L127" s="4"/>
      <c r="M127" s="4"/>
      <c r="N127" s="4"/>
      <c r="O127" s="4"/>
      <c r="P127" s="4"/>
      <c r="Q127" s="4"/>
      <c r="R127" s="2"/>
      <c r="S127" s="4"/>
      <c r="T127" s="4"/>
      <c r="U127" s="4"/>
      <c r="V127" s="4"/>
      <c r="W127" s="4"/>
      <c r="X127" s="4"/>
      <c r="Y127" s="4"/>
      <c r="Z127" s="4"/>
    </row>
    <row r="128" ht="16.5" customHeight="1">
      <c r="A128" s="3"/>
      <c r="B128" s="2"/>
      <c r="C128" s="3"/>
      <c r="D128" s="2"/>
      <c r="E128" s="4"/>
      <c r="F128" s="4"/>
      <c r="G128" s="4"/>
      <c r="H128" s="4"/>
      <c r="I128" s="4"/>
      <c r="J128" s="4"/>
      <c r="K128" s="4"/>
      <c r="L128" s="4"/>
      <c r="M128" s="4"/>
      <c r="N128" s="4"/>
      <c r="O128" s="4"/>
      <c r="P128" s="4"/>
      <c r="Q128" s="4"/>
      <c r="R128" s="2"/>
      <c r="S128" s="4"/>
      <c r="T128" s="4"/>
      <c r="U128" s="4"/>
      <c r="V128" s="4"/>
      <c r="W128" s="4"/>
      <c r="X128" s="4"/>
      <c r="Y128" s="4"/>
      <c r="Z128" s="4"/>
    </row>
    <row r="129" ht="16.5" customHeight="1">
      <c r="A129" s="3"/>
      <c r="B129" s="2"/>
      <c r="C129" s="3"/>
      <c r="D129" s="2"/>
      <c r="E129" s="4"/>
      <c r="F129" s="4"/>
      <c r="G129" s="4"/>
      <c r="H129" s="4"/>
      <c r="I129" s="4"/>
      <c r="J129" s="4"/>
      <c r="K129" s="4"/>
      <c r="L129" s="4"/>
      <c r="M129" s="4"/>
      <c r="N129" s="4"/>
      <c r="O129" s="4"/>
      <c r="P129" s="4"/>
      <c r="Q129" s="4"/>
      <c r="R129" s="2"/>
      <c r="S129" s="4"/>
      <c r="T129" s="4"/>
      <c r="U129" s="4"/>
      <c r="V129" s="4"/>
      <c r="W129" s="4"/>
      <c r="X129" s="4"/>
      <c r="Y129" s="4"/>
      <c r="Z129" s="4"/>
    </row>
    <row r="130" ht="16.5" customHeight="1">
      <c r="A130" s="3"/>
      <c r="B130" s="2"/>
      <c r="C130" s="3"/>
      <c r="D130" s="2"/>
      <c r="E130" s="4"/>
      <c r="F130" s="4"/>
      <c r="G130" s="4"/>
      <c r="H130" s="4"/>
      <c r="I130" s="4"/>
      <c r="J130" s="4"/>
      <c r="K130" s="4"/>
      <c r="L130" s="4"/>
      <c r="M130" s="4"/>
      <c r="N130" s="4"/>
      <c r="O130" s="4"/>
      <c r="P130" s="4"/>
      <c r="Q130" s="4"/>
      <c r="R130" s="210"/>
      <c r="S130" s="4"/>
      <c r="T130" s="4"/>
      <c r="U130" s="4"/>
      <c r="V130" s="4"/>
      <c r="W130" s="4"/>
      <c r="X130" s="4"/>
      <c r="Y130" s="4"/>
      <c r="Z130" s="4"/>
    </row>
    <row r="131" ht="16.5" customHeight="1">
      <c r="A131" s="3"/>
      <c r="B131" s="2"/>
      <c r="C131" s="3"/>
      <c r="D131" s="2"/>
      <c r="E131" s="4"/>
      <c r="F131" s="4"/>
      <c r="G131" s="4"/>
      <c r="H131" s="4"/>
      <c r="I131" s="4"/>
      <c r="J131" s="4"/>
      <c r="K131" s="4"/>
      <c r="L131" s="4"/>
      <c r="M131" s="4"/>
      <c r="N131" s="4"/>
      <c r="O131" s="4"/>
      <c r="P131" s="4"/>
      <c r="Q131" s="4"/>
      <c r="R131" s="210"/>
      <c r="S131" s="4"/>
      <c r="T131" s="4"/>
      <c r="U131" s="4"/>
      <c r="V131" s="4"/>
      <c r="W131" s="4"/>
      <c r="X131" s="4"/>
      <c r="Y131" s="4"/>
      <c r="Z131" s="4"/>
    </row>
    <row r="132" ht="16.5" customHeight="1">
      <c r="A132" s="3"/>
      <c r="B132" s="2"/>
      <c r="C132" s="3"/>
      <c r="D132" s="2"/>
      <c r="E132" s="4"/>
      <c r="F132" s="4"/>
      <c r="G132" s="4"/>
      <c r="H132" s="4"/>
      <c r="I132" s="4"/>
      <c r="J132" s="4"/>
      <c r="K132" s="4"/>
      <c r="L132" s="4"/>
      <c r="M132" s="4"/>
      <c r="N132" s="4"/>
      <c r="O132" s="4"/>
      <c r="P132" s="4"/>
      <c r="Q132" s="4"/>
      <c r="R132" s="210"/>
      <c r="S132" s="4"/>
      <c r="T132" s="4"/>
      <c r="U132" s="4"/>
      <c r="V132" s="4"/>
      <c r="W132" s="4"/>
      <c r="X132" s="4"/>
      <c r="Y132" s="4"/>
      <c r="Z132" s="4"/>
    </row>
    <row r="133" ht="16.5" customHeight="1">
      <c r="A133" s="3"/>
      <c r="B133" s="2"/>
      <c r="C133" s="3"/>
      <c r="D133" s="2"/>
      <c r="E133" s="4"/>
      <c r="F133" s="4"/>
      <c r="G133" s="4"/>
      <c r="H133" s="4"/>
      <c r="I133" s="4"/>
      <c r="J133" s="4"/>
      <c r="K133" s="4"/>
      <c r="L133" s="4"/>
      <c r="M133" s="4"/>
      <c r="N133" s="4"/>
      <c r="O133" s="4"/>
      <c r="P133" s="4"/>
      <c r="Q133" s="4"/>
      <c r="R133" s="210"/>
      <c r="S133" s="4"/>
      <c r="T133" s="4"/>
      <c r="U133" s="4"/>
      <c r="V133" s="4"/>
      <c r="W133" s="4"/>
      <c r="X133" s="4"/>
      <c r="Y133" s="4"/>
      <c r="Z133" s="4"/>
    </row>
    <row r="134" ht="16.5" customHeight="1">
      <c r="A134" s="3"/>
      <c r="B134" s="2"/>
      <c r="C134" s="3"/>
      <c r="D134" s="2"/>
      <c r="E134" s="4"/>
      <c r="F134" s="4"/>
      <c r="G134" s="4"/>
      <c r="H134" s="4"/>
      <c r="I134" s="4"/>
      <c r="J134" s="4"/>
      <c r="K134" s="4"/>
      <c r="L134" s="4"/>
      <c r="M134" s="4"/>
      <c r="N134" s="4"/>
      <c r="O134" s="4"/>
      <c r="P134" s="4"/>
      <c r="Q134" s="4"/>
      <c r="R134" s="210"/>
      <c r="S134" s="4"/>
      <c r="T134" s="4"/>
      <c r="U134" s="4"/>
      <c r="V134" s="4"/>
      <c r="W134" s="4"/>
      <c r="X134" s="4"/>
      <c r="Y134" s="4"/>
      <c r="Z134" s="4"/>
    </row>
    <row r="135" ht="16.5" customHeight="1">
      <c r="A135" s="3"/>
      <c r="B135" s="2"/>
      <c r="C135" s="3"/>
      <c r="D135" s="2"/>
      <c r="E135" s="4"/>
      <c r="F135" s="4"/>
      <c r="G135" s="4"/>
      <c r="H135" s="4"/>
      <c r="I135" s="4"/>
      <c r="J135" s="4"/>
      <c r="K135" s="4"/>
      <c r="L135" s="4"/>
      <c r="M135" s="4"/>
      <c r="N135" s="4"/>
      <c r="O135" s="4"/>
      <c r="P135" s="4"/>
      <c r="Q135" s="4"/>
      <c r="R135" s="210"/>
      <c r="S135" s="4"/>
      <c r="T135" s="4"/>
      <c r="U135" s="4"/>
      <c r="V135" s="4"/>
      <c r="W135" s="4"/>
      <c r="X135" s="4"/>
      <c r="Y135" s="4"/>
      <c r="Z135" s="4"/>
    </row>
    <row r="136" ht="16.5" customHeight="1">
      <c r="A136" s="3"/>
      <c r="B136" s="2"/>
      <c r="C136" s="3"/>
      <c r="D136" s="2"/>
      <c r="E136" s="4"/>
      <c r="F136" s="4"/>
      <c r="G136" s="4"/>
      <c r="H136" s="4"/>
      <c r="I136" s="4"/>
      <c r="J136" s="4"/>
      <c r="K136" s="4"/>
      <c r="L136" s="4"/>
      <c r="M136" s="4"/>
      <c r="N136" s="4"/>
      <c r="O136" s="4"/>
      <c r="P136" s="4"/>
      <c r="Q136" s="4"/>
      <c r="R136" s="210"/>
      <c r="S136" s="4"/>
      <c r="T136" s="4"/>
      <c r="U136" s="4"/>
      <c r="V136" s="4"/>
      <c r="W136" s="4"/>
      <c r="X136" s="4"/>
      <c r="Y136" s="4"/>
      <c r="Z136" s="4"/>
    </row>
    <row r="137" ht="16.5" customHeight="1">
      <c r="A137" s="3"/>
      <c r="B137" s="2"/>
      <c r="C137" s="3"/>
      <c r="D137" s="2"/>
      <c r="E137" s="4"/>
      <c r="F137" s="4"/>
      <c r="G137" s="4"/>
      <c r="H137" s="4"/>
      <c r="I137" s="4"/>
      <c r="J137" s="4"/>
      <c r="K137" s="4"/>
      <c r="L137" s="4"/>
      <c r="M137" s="4"/>
      <c r="N137" s="4"/>
      <c r="O137" s="4"/>
      <c r="P137" s="4"/>
      <c r="Q137" s="4"/>
      <c r="R137" s="210"/>
      <c r="S137" s="4"/>
      <c r="T137" s="4"/>
      <c r="U137" s="4"/>
      <c r="V137" s="4"/>
      <c r="W137" s="4"/>
      <c r="X137" s="4"/>
      <c r="Y137" s="4"/>
      <c r="Z137" s="4"/>
    </row>
    <row r="138" ht="16.5" customHeight="1">
      <c r="A138" s="3"/>
      <c r="B138" s="2"/>
      <c r="C138" s="3"/>
      <c r="D138" s="2"/>
      <c r="E138" s="4"/>
      <c r="F138" s="4"/>
      <c r="G138" s="4"/>
      <c r="H138" s="4"/>
      <c r="I138" s="4"/>
      <c r="J138" s="4"/>
      <c r="K138" s="4"/>
      <c r="L138" s="4"/>
      <c r="M138" s="4"/>
      <c r="N138" s="4"/>
      <c r="O138" s="4"/>
      <c r="P138" s="4"/>
      <c r="Q138" s="4"/>
      <c r="R138" s="210"/>
      <c r="S138" s="4"/>
      <c r="T138" s="4"/>
      <c r="U138" s="4"/>
      <c r="V138" s="4"/>
      <c r="W138" s="4"/>
      <c r="X138" s="4"/>
      <c r="Y138" s="4"/>
      <c r="Z138" s="4"/>
    </row>
    <row r="139" ht="16.5" customHeight="1">
      <c r="A139" s="3"/>
      <c r="B139" s="2"/>
      <c r="C139" s="3"/>
      <c r="D139" s="2"/>
      <c r="E139" s="4"/>
      <c r="F139" s="4"/>
      <c r="G139" s="4"/>
      <c r="H139" s="4"/>
      <c r="I139" s="4"/>
      <c r="J139" s="4"/>
      <c r="K139" s="4"/>
      <c r="L139" s="4"/>
      <c r="M139" s="4"/>
      <c r="N139" s="4"/>
      <c r="O139" s="4"/>
      <c r="P139" s="4"/>
      <c r="Q139" s="4"/>
      <c r="R139" s="210"/>
      <c r="S139" s="4"/>
      <c r="T139" s="4"/>
      <c r="U139" s="4"/>
      <c r="V139" s="4"/>
      <c r="W139" s="4"/>
      <c r="X139" s="4"/>
      <c r="Y139" s="4"/>
      <c r="Z139" s="4"/>
    </row>
    <row r="140" ht="16.5" customHeight="1">
      <c r="A140" s="3"/>
      <c r="B140" s="2"/>
      <c r="C140" s="3"/>
      <c r="D140" s="2"/>
      <c r="E140" s="4"/>
      <c r="F140" s="4"/>
      <c r="G140" s="4"/>
      <c r="H140" s="4"/>
      <c r="I140" s="4"/>
      <c r="J140" s="4"/>
      <c r="K140" s="4"/>
      <c r="L140" s="4"/>
      <c r="M140" s="4"/>
      <c r="N140" s="4"/>
      <c r="O140" s="4"/>
      <c r="P140" s="4"/>
      <c r="Q140" s="4"/>
      <c r="R140" s="210"/>
      <c r="S140" s="4"/>
      <c r="T140" s="4"/>
      <c r="U140" s="4"/>
      <c r="V140" s="4"/>
      <c r="W140" s="4"/>
      <c r="X140" s="4"/>
      <c r="Y140" s="4"/>
      <c r="Z140" s="4"/>
    </row>
    <row r="141" ht="16.5" customHeight="1">
      <c r="A141" s="3"/>
      <c r="B141" s="2"/>
      <c r="C141" s="3"/>
      <c r="D141" s="2"/>
      <c r="E141" s="4"/>
      <c r="F141" s="4"/>
      <c r="G141" s="4"/>
      <c r="H141" s="4"/>
      <c r="I141" s="4"/>
      <c r="J141" s="4"/>
      <c r="K141" s="4"/>
      <c r="L141" s="4"/>
      <c r="M141" s="4"/>
      <c r="N141" s="4"/>
      <c r="O141" s="4"/>
      <c r="P141" s="4"/>
      <c r="Q141" s="4"/>
      <c r="R141" s="210"/>
      <c r="S141" s="4"/>
      <c r="T141" s="4"/>
      <c r="U141" s="4"/>
      <c r="V141" s="4"/>
      <c r="W141" s="4"/>
      <c r="X141" s="4"/>
      <c r="Y141" s="4"/>
      <c r="Z141" s="4"/>
    </row>
    <row r="142" ht="16.5" customHeight="1">
      <c r="A142" s="3"/>
      <c r="B142" s="2"/>
      <c r="C142" s="3"/>
      <c r="D142" s="2"/>
      <c r="E142" s="4"/>
      <c r="F142" s="4"/>
      <c r="G142" s="4"/>
      <c r="H142" s="4"/>
      <c r="I142" s="4"/>
      <c r="J142" s="4"/>
      <c r="K142" s="4"/>
      <c r="L142" s="4"/>
      <c r="M142" s="4"/>
      <c r="N142" s="4"/>
      <c r="O142" s="4"/>
      <c r="P142" s="4"/>
      <c r="Q142" s="4"/>
      <c r="R142" s="210"/>
      <c r="S142" s="4"/>
      <c r="T142" s="4"/>
      <c r="U142" s="4"/>
      <c r="V142" s="4"/>
      <c r="W142" s="4"/>
      <c r="X142" s="4"/>
      <c r="Y142" s="4"/>
      <c r="Z142" s="4"/>
    </row>
    <row r="143" ht="16.5" customHeight="1">
      <c r="A143" s="3"/>
      <c r="B143" s="2"/>
      <c r="C143" s="3"/>
      <c r="D143" s="2"/>
      <c r="E143" s="4"/>
      <c r="F143" s="4"/>
      <c r="G143" s="4"/>
      <c r="H143" s="4"/>
      <c r="I143" s="4"/>
      <c r="J143" s="4"/>
      <c r="K143" s="4"/>
      <c r="L143" s="4"/>
      <c r="M143" s="4"/>
      <c r="N143" s="4"/>
      <c r="O143" s="4"/>
      <c r="P143" s="4"/>
      <c r="Q143" s="4"/>
      <c r="R143" s="210"/>
      <c r="S143" s="4"/>
      <c r="T143" s="4"/>
      <c r="U143" s="4"/>
      <c r="V143" s="4"/>
      <c r="W143" s="4"/>
      <c r="X143" s="4"/>
      <c r="Y143" s="4"/>
      <c r="Z143" s="4"/>
    </row>
    <row r="144" ht="16.5" customHeight="1">
      <c r="A144" s="3"/>
      <c r="B144" s="2"/>
      <c r="C144" s="3"/>
      <c r="D144" s="2"/>
      <c r="E144" s="4"/>
      <c r="F144" s="4"/>
      <c r="G144" s="4"/>
      <c r="H144" s="4"/>
      <c r="I144" s="4"/>
      <c r="J144" s="4"/>
      <c r="K144" s="4"/>
      <c r="L144" s="4"/>
      <c r="M144" s="4"/>
      <c r="N144" s="4"/>
      <c r="O144" s="4"/>
      <c r="P144" s="4"/>
      <c r="Q144" s="4"/>
      <c r="R144" s="210"/>
      <c r="S144" s="4"/>
      <c r="T144" s="4"/>
      <c r="U144" s="4"/>
      <c r="V144" s="4"/>
      <c r="W144" s="4"/>
      <c r="X144" s="4"/>
      <c r="Y144" s="4"/>
      <c r="Z144" s="4"/>
    </row>
    <row r="145" ht="16.5" customHeight="1">
      <c r="A145" s="3"/>
      <c r="B145" s="2"/>
      <c r="C145" s="3"/>
      <c r="D145" s="2"/>
      <c r="E145" s="4"/>
      <c r="F145" s="4"/>
      <c r="G145" s="4"/>
      <c r="H145" s="4"/>
      <c r="I145" s="4"/>
      <c r="J145" s="4"/>
      <c r="K145" s="4"/>
      <c r="L145" s="4"/>
      <c r="M145" s="4"/>
      <c r="N145" s="4"/>
      <c r="O145" s="4"/>
      <c r="P145" s="4"/>
      <c r="Q145" s="4"/>
      <c r="R145" s="210"/>
      <c r="S145" s="4"/>
      <c r="T145" s="4"/>
      <c r="U145" s="4"/>
      <c r="V145" s="4"/>
      <c r="W145" s="4"/>
      <c r="X145" s="4"/>
      <c r="Y145" s="4"/>
      <c r="Z145" s="4"/>
    </row>
    <row r="146" ht="16.5" customHeight="1">
      <c r="A146" s="3"/>
      <c r="B146" s="2"/>
      <c r="C146" s="3"/>
      <c r="D146" s="2"/>
      <c r="E146" s="4"/>
      <c r="F146" s="4"/>
      <c r="G146" s="4"/>
      <c r="H146" s="4"/>
      <c r="I146" s="4"/>
      <c r="J146" s="4"/>
      <c r="K146" s="4"/>
      <c r="L146" s="4"/>
      <c r="M146" s="4"/>
      <c r="N146" s="4"/>
      <c r="O146" s="4"/>
      <c r="P146" s="4"/>
      <c r="Q146" s="4"/>
      <c r="R146" s="210"/>
      <c r="S146" s="4"/>
      <c r="T146" s="4"/>
      <c r="U146" s="4"/>
      <c r="V146" s="4"/>
      <c r="W146" s="4"/>
      <c r="X146" s="4"/>
      <c r="Y146" s="4"/>
      <c r="Z146" s="4"/>
    </row>
    <row r="147" ht="16.5" customHeight="1">
      <c r="A147" s="3"/>
      <c r="B147" s="2"/>
      <c r="C147" s="3"/>
      <c r="D147" s="2"/>
      <c r="E147" s="4"/>
      <c r="F147" s="4"/>
      <c r="G147" s="4"/>
      <c r="H147" s="4"/>
      <c r="I147" s="4"/>
      <c r="J147" s="4"/>
      <c r="K147" s="4"/>
      <c r="L147" s="4"/>
      <c r="M147" s="4"/>
      <c r="N147" s="4"/>
      <c r="O147" s="4"/>
      <c r="P147" s="4"/>
      <c r="Q147" s="4"/>
      <c r="R147" s="210"/>
      <c r="S147" s="4"/>
      <c r="T147" s="4"/>
      <c r="U147" s="4"/>
      <c r="V147" s="4"/>
      <c r="W147" s="4"/>
      <c r="X147" s="4"/>
      <c r="Y147" s="4"/>
      <c r="Z147" s="4"/>
    </row>
    <row r="148" ht="16.5" customHeight="1">
      <c r="A148" s="3"/>
      <c r="B148" s="2"/>
      <c r="C148" s="3"/>
      <c r="D148" s="2"/>
      <c r="E148" s="4"/>
      <c r="F148" s="4"/>
      <c r="G148" s="4"/>
      <c r="H148" s="4"/>
      <c r="I148" s="4"/>
      <c r="J148" s="4"/>
      <c r="K148" s="4"/>
      <c r="L148" s="4"/>
      <c r="M148" s="4"/>
      <c r="N148" s="4"/>
      <c r="O148" s="4"/>
      <c r="P148" s="4"/>
      <c r="Q148" s="4"/>
      <c r="R148" s="210"/>
      <c r="S148" s="4"/>
      <c r="T148" s="4"/>
      <c r="U148" s="4"/>
      <c r="V148" s="4"/>
      <c r="W148" s="4"/>
      <c r="X148" s="4"/>
      <c r="Y148" s="4"/>
      <c r="Z148" s="4"/>
    </row>
    <row r="149" ht="16.5" customHeight="1">
      <c r="A149" s="3"/>
      <c r="B149" s="2"/>
      <c r="C149" s="3"/>
      <c r="D149" s="2"/>
      <c r="E149" s="4"/>
      <c r="F149" s="4"/>
      <c r="G149" s="4"/>
      <c r="H149" s="4"/>
      <c r="I149" s="4"/>
      <c r="J149" s="4"/>
      <c r="K149" s="4"/>
      <c r="L149" s="4"/>
      <c r="M149" s="4"/>
      <c r="N149" s="4"/>
      <c r="O149" s="4"/>
      <c r="P149" s="4"/>
      <c r="Q149" s="4"/>
      <c r="R149" s="210"/>
      <c r="S149" s="4"/>
      <c r="T149" s="4"/>
      <c r="U149" s="4"/>
      <c r="V149" s="4"/>
      <c r="W149" s="4"/>
      <c r="X149" s="4"/>
      <c r="Y149" s="4"/>
      <c r="Z149" s="4"/>
    </row>
    <row r="150" ht="16.5" customHeight="1">
      <c r="A150" s="3"/>
      <c r="B150" s="2"/>
      <c r="C150" s="3"/>
      <c r="D150" s="2"/>
      <c r="E150" s="4"/>
      <c r="F150" s="4"/>
      <c r="G150" s="4"/>
      <c r="H150" s="4"/>
      <c r="I150" s="4"/>
      <c r="J150" s="4"/>
      <c r="K150" s="4"/>
      <c r="L150" s="4"/>
      <c r="M150" s="4"/>
      <c r="N150" s="4"/>
      <c r="O150" s="4"/>
      <c r="P150" s="4"/>
      <c r="Q150" s="4"/>
      <c r="R150" s="210"/>
      <c r="S150" s="4"/>
      <c r="T150" s="4"/>
      <c r="U150" s="4"/>
      <c r="V150" s="4"/>
      <c r="W150" s="4"/>
      <c r="X150" s="4"/>
      <c r="Y150" s="4"/>
      <c r="Z150" s="4"/>
    </row>
    <row r="151" ht="16.5" customHeight="1">
      <c r="A151" s="3"/>
      <c r="B151" s="2"/>
      <c r="C151" s="3"/>
      <c r="D151" s="2"/>
      <c r="E151" s="4"/>
      <c r="F151" s="4"/>
      <c r="G151" s="4"/>
      <c r="H151" s="4"/>
      <c r="I151" s="4"/>
      <c r="J151" s="4"/>
      <c r="K151" s="4"/>
      <c r="L151" s="4"/>
      <c r="M151" s="4"/>
      <c r="N151" s="4"/>
      <c r="O151" s="4"/>
      <c r="P151" s="4"/>
      <c r="Q151" s="4"/>
      <c r="R151" s="210"/>
      <c r="S151" s="4"/>
      <c r="T151" s="4"/>
      <c r="U151" s="4"/>
      <c r="V151" s="4"/>
      <c r="W151" s="4"/>
      <c r="X151" s="4"/>
      <c r="Y151" s="4"/>
      <c r="Z151" s="4"/>
    </row>
    <row r="152" ht="16.5" customHeight="1">
      <c r="A152" s="3"/>
      <c r="B152" s="2"/>
      <c r="C152" s="3"/>
      <c r="D152" s="2"/>
      <c r="E152" s="4"/>
      <c r="F152" s="4"/>
      <c r="G152" s="4"/>
      <c r="H152" s="4"/>
      <c r="I152" s="4"/>
      <c r="J152" s="4"/>
      <c r="K152" s="4"/>
      <c r="L152" s="4"/>
      <c r="M152" s="4"/>
      <c r="N152" s="4"/>
      <c r="O152" s="4"/>
      <c r="P152" s="4"/>
      <c r="Q152" s="4"/>
      <c r="R152" s="210"/>
      <c r="S152" s="4"/>
      <c r="T152" s="4"/>
      <c r="U152" s="4"/>
      <c r="V152" s="4"/>
      <c r="W152" s="4"/>
      <c r="X152" s="4"/>
      <c r="Y152" s="4"/>
      <c r="Z152" s="4"/>
    </row>
    <row r="153" ht="16.5" customHeight="1">
      <c r="A153" s="3"/>
      <c r="B153" s="2"/>
      <c r="C153" s="3"/>
      <c r="D153" s="2"/>
      <c r="E153" s="4"/>
      <c r="F153" s="4"/>
      <c r="G153" s="4"/>
      <c r="H153" s="4"/>
      <c r="I153" s="4"/>
      <c r="J153" s="4"/>
      <c r="K153" s="4"/>
      <c r="L153" s="4"/>
      <c r="M153" s="4"/>
      <c r="N153" s="4"/>
      <c r="O153" s="4"/>
      <c r="P153" s="4"/>
      <c r="Q153" s="4"/>
      <c r="R153" s="210"/>
      <c r="S153" s="4"/>
      <c r="T153" s="4"/>
      <c r="U153" s="4"/>
      <c r="V153" s="4"/>
      <c r="W153" s="4"/>
      <c r="X153" s="4"/>
      <c r="Y153" s="4"/>
      <c r="Z153" s="4"/>
    </row>
    <row r="154" ht="16.5" customHeight="1">
      <c r="A154" s="3"/>
      <c r="B154" s="2"/>
      <c r="C154" s="3"/>
      <c r="D154" s="2"/>
      <c r="E154" s="4"/>
      <c r="F154" s="4"/>
      <c r="G154" s="4"/>
      <c r="H154" s="4"/>
      <c r="I154" s="4"/>
      <c r="J154" s="4"/>
      <c r="K154" s="4"/>
      <c r="L154" s="4"/>
      <c r="M154" s="4"/>
      <c r="N154" s="4"/>
      <c r="O154" s="4"/>
      <c r="P154" s="4"/>
      <c r="Q154" s="4"/>
      <c r="R154" s="210"/>
      <c r="S154" s="4"/>
      <c r="T154" s="4"/>
      <c r="U154" s="4"/>
      <c r="V154" s="4"/>
      <c r="W154" s="4"/>
      <c r="X154" s="4"/>
      <c r="Y154" s="4"/>
      <c r="Z154" s="4"/>
    </row>
    <row r="155" ht="16.5" customHeight="1">
      <c r="A155" s="3"/>
      <c r="B155" s="2"/>
      <c r="C155" s="3"/>
      <c r="D155" s="2"/>
      <c r="E155" s="4"/>
      <c r="F155" s="4"/>
      <c r="G155" s="4"/>
      <c r="H155" s="4"/>
      <c r="I155" s="4"/>
      <c r="J155" s="4"/>
      <c r="K155" s="4"/>
      <c r="L155" s="4"/>
      <c r="M155" s="4"/>
      <c r="N155" s="4"/>
      <c r="O155" s="4"/>
      <c r="P155" s="4"/>
      <c r="Q155" s="4"/>
      <c r="R155" s="210"/>
      <c r="S155" s="4"/>
      <c r="T155" s="4"/>
      <c r="U155" s="4"/>
      <c r="V155" s="4"/>
      <c r="W155" s="4"/>
      <c r="X155" s="4"/>
      <c r="Y155" s="4"/>
      <c r="Z155" s="4"/>
    </row>
    <row r="156" ht="16.5" customHeight="1">
      <c r="A156" s="3"/>
      <c r="B156" s="2"/>
      <c r="C156" s="3"/>
      <c r="D156" s="2"/>
      <c r="E156" s="4"/>
      <c r="F156" s="4"/>
      <c r="G156" s="4"/>
      <c r="H156" s="4"/>
      <c r="I156" s="4"/>
      <c r="J156" s="4"/>
      <c r="K156" s="4"/>
      <c r="L156" s="4"/>
      <c r="M156" s="4"/>
      <c r="N156" s="4"/>
      <c r="O156" s="4"/>
      <c r="P156" s="4"/>
      <c r="Q156" s="4"/>
      <c r="R156" s="210"/>
      <c r="S156" s="4"/>
      <c r="T156" s="4"/>
      <c r="U156" s="4"/>
      <c r="V156" s="4"/>
      <c r="W156" s="4"/>
      <c r="X156" s="4"/>
      <c r="Y156" s="4"/>
      <c r="Z156" s="4"/>
    </row>
    <row r="157" ht="16.5" customHeight="1">
      <c r="A157" s="3"/>
      <c r="B157" s="2"/>
      <c r="C157" s="3"/>
      <c r="D157" s="2"/>
      <c r="E157" s="4"/>
      <c r="F157" s="4"/>
      <c r="G157" s="4"/>
      <c r="H157" s="4"/>
      <c r="I157" s="4"/>
      <c r="J157" s="4"/>
      <c r="K157" s="4"/>
      <c r="L157" s="4"/>
      <c r="M157" s="4"/>
      <c r="N157" s="4"/>
      <c r="O157" s="4"/>
      <c r="P157" s="4"/>
      <c r="Q157" s="4"/>
      <c r="R157" s="210"/>
      <c r="S157" s="4"/>
      <c r="T157" s="4"/>
      <c r="U157" s="4"/>
      <c r="V157" s="4"/>
      <c r="W157" s="4"/>
      <c r="X157" s="4"/>
      <c r="Y157" s="4"/>
      <c r="Z157" s="4"/>
    </row>
    <row r="158" ht="16.5" customHeight="1">
      <c r="A158" s="3"/>
      <c r="B158" s="2"/>
      <c r="C158" s="3"/>
      <c r="D158" s="2"/>
      <c r="E158" s="4"/>
      <c r="F158" s="4"/>
      <c r="G158" s="4"/>
      <c r="H158" s="4"/>
      <c r="I158" s="4"/>
      <c r="J158" s="4"/>
      <c r="K158" s="4"/>
      <c r="L158" s="4"/>
      <c r="M158" s="4"/>
      <c r="N158" s="4"/>
      <c r="O158" s="4"/>
      <c r="P158" s="4"/>
      <c r="Q158" s="4"/>
      <c r="R158" s="210"/>
      <c r="S158" s="4"/>
      <c r="T158" s="4"/>
      <c r="U158" s="4"/>
      <c r="V158" s="4"/>
      <c r="W158" s="4"/>
      <c r="X158" s="4"/>
      <c r="Y158" s="4"/>
      <c r="Z158" s="4"/>
    </row>
    <row r="159" ht="16.5" customHeight="1">
      <c r="A159" s="3"/>
      <c r="B159" s="2"/>
      <c r="C159" s="3"/>
      <c r="D159" s="2"/>
      <c r="E159" s="4"/>
      <c r="F159" s="4"/>
      <c r="G159" s="4"/>
      <c r="H159" s="4"/>
      <c r="I159" s="4"/>
      <c r="J159" s="4"/>
      <c r="K159" s="4"/>
      <c r="L159" s="4"/>
      <c r="M159" s="4"/>
      <c r="N159" s="4"/>
      <c r="O159" s="4"/>
      <c r="P159" s="4"/>
      <c r="Q159" s="4"/>
      <c r="R159" s="210"/>
      <c r="S159" s="4"/>
      <c r="T159" s="4"/>
      <c r="U159" s="4"/>
      <c r="V159" s="4"/>
      <c r="W159" s="4"/>
      <c r="X159" s="4"/>
      <c r="Y159" s="4"/>
      <c r="Z159" s="4"/>
    </row>
    <row r="160" ht="16.5" customHeight="1">
      <c r="A160" s="3"/>
      <c r="B160" s="2"/>
      <c r="C160" s="3"/>
      <c r="D160" s="2"/>
      <c r="E160" s="4"/>
      <c r="F160" s="4"/>
      <c r="G160" s="4"/>
      <c r="H160" s="4"/>
      <c r="I160" s="4"/>
      <c r="J160" s="4"/>
      <c r="K160" s="4"/>
      <c r="L160" s="4"/>
      <c r="M160" s="4"/>
      <c r="N160" s="4"/>
      <c r="O160" s="4"/>
      <c r="P160" s="4"/>
      <c r="Q160" s="4"/>
      <c r="R160" s="210"/>
      <c r="S160" s="4"/>
      <c r="T160" s="4"/>
      <c r="U160" s="4"/>
      <c r="V160" s="4"/>
      <c r="W160" s="4"/>
      <c r="X160" s="4"/>
      <c r="Y160" s="4"/>
      <c r="Z160" s="4"/>
    </row>
    <row r="161" ht="16.5" customHeight="1">
      <c r="A161" s="3"/>
      <c r="B161" s="2"/>
      <c r="C161" s="3"/>
      <c r="D161" s="2"/>
      <c r="E161" s="4"/>
      <c r="F161" s="4"/>
      <c r="G161" s="4"/>
      <c r="H161" s="4"/>
      <c r="I161" s="4"/>
      <c r="J161" s="4"/>
      <c r="K161" s="4"/>
      <c r="L161" s="4"/>
      <c r="M161" s="4"/>
      <c r="N161" s="4"/>
      <c r="O161" s="4"/>
      <c r="P161" s="4"/>
      <c r="Q161" s="4"/>
      <c r="R161" s="210"/>
      <c r="S161" s="4"/>
      <c r="T161" s="4"/>
      <c r="U161" s="4"/>
      <c r="V161" s="4"/>
      <c r="W161" s="4"/>
      <c r="X161" s="4"/>
      <c r="Y161" s="4"/>
      <c r="Z161" s="4"/>
    </row>
    <row r="162" ht="16.5" customHeight="1">
      <c r="A162" s="3"/>
      <c r="B162" s="2"/>
      <c r="C162" s="3"/>
      <c r="D162" s="2"/>
      <c r="E162" s="4"/>
      <c r="F162" s="4"/>
      <c r="G162" s="4"/>
      <c r="H162" s="4"/>
      <c r="I162" s="4"/>
      <c r="J162" s="4"/>
      <c r="K162" s="4"/>
      <c r="L162" s="4"/>
      <c r="M162" s="4"/>
      <c r="N162" s="4"/>
      <c r="O162" s="4"/>
      <c r="P162" s="4"/>
      <c r="Q162" s="4"/>
      <c r="R162" s="210"/>
      <c r="S162" s="4"/>
      <c r="T162" s="4"/>
      <c r="U162" s="4"/>
      <c r="V162" s="4"/>
      <c r="W162" s="4"/>
      <c r="X162" s="4"/>
      <c r="Y162" s="4"/>
      <c r="Z162" s="4"/>
    </row>
    <row r="163" ht="16.5" customHeight="1">
      <c r="A163" s="3"/>
      <c r="B163" s="2"/>
      <c r="C163" s="3"/>
      <c r="D163" s="2"/>
      <c r="E163" s="4"/>
      <c r="F163" s="4"/>
      <c r="G163" s="4"/>
      <c r="H163" s="4"/>
      <c r="I163" s="4"/>
      <c r="J163" s="4"/>
      <c r="K163" s="4"/>
      <c r="L163" s="4"/>
      <c r="M163" s="4"/>
      <c r="N163" s="4"/>
      <c r="O163" s="4"/>
      <c r="P163" s="4"/>
      <c r="Q163" s="4"/>
      <c r="R163" s="210"/>
      <c r="S163" s="4"/>
      <c r="T163" s="4"/>
      <c r="U163" s="4"/>
      <c r="V163" s="4"/>
      <c r="W163" s="4"/>
      <c r="X163" s="4"/>
      <c r="Y163" s="4"/>
      <c r="Z163" s="4"/>
    </row>
    <row r="164" ht="16.5" customHeight="1">
      <c r="A164" s="3"/>
      <c r="B164" s="2"/>
      <c r="C164" s="3"/>
      <c r="D164" s="2"/>
      <c r="E164" s="4"/>
      <c r="F164" s="4"/>
      <c r="G164" s="4"/>
      <c r="H164" s="4"/>
      <c r="I164" s="4"/>
      <c r="J164" s="4"/>
      <c r="K164" s="4"/>
      <c r="L164" s="4"/>
      <c r="M164" s="4"/>
      <c r="N164" s="4"/>
      <c r="O164" s="4"/>
      <c r="P164" s="4"/>
      <c r="Q164" s="4"/>
      <c r="R164" s="210"/>
      <c r="S164" s="4"/>
      <c r="T164" s="4"/>
      <c r="U164" s="4"/>
      <c r="V164" s="4"/>
      <c r="W164" s="4"/>
      <c r="X164" s="4"/>
      <c r="Y164" s="4"/>
      <c r="Z164" s="4"/>
    </row>
    <row r="165" ht="16.5" customHeight="1">
      <c r="A165" s="3"/>
      <c r="B165" s="2"/>
      <c r="C165" s="3"/>
      <c r="D165" s="2"/>
      <c r="E165" s="4"/>
      <c r="F165" s="4"/>
      <c r="G165" s="4"/>
      <c r="H165" s="4"/>
      <c r="I165" s="4"/>
      <c r="J165" s="4"/>
      <c r="K165" s="4"/>
      <c r="L165" s="4"/>
      <c r="M165" s="4"/>
      <c r="N165" s="4"/>
      <c r="O165" s="4"/>
      <c r="P165" s="4"/>
      <c r="Q165" s="4"/>
      <c r="R165" s="210"/>
      <c r="S165" s="4"/>
      <c r="T165" s="4"/>
      <c r="U165" s="4"/>
      <c r="V165" s="4"/>
      <c r="W165" s="4"/>
      <c r="X165" s="4"/>
      <c r="Y165" s="4"/>
      <c r="Z165" s="4"/>
    </row>
    <row r="166" ht="16.5" customHeight="1">
      <c r="A166" s="3"/>
      <c r="B166" s="2"/>
      <c r="C166" s="3"/>
      <c r="D166" s="2"/>
      <c r="E166" s="4"/>
      <c r="F166" s="4"/>
      <c r="G166" s="4"/>
      <c r="H166" s="4"/>
      <c r="I166" s="4"/>
      <c r="J166" s="4"/>
      <c r="K166" s="4"/>
      <c r="L166" s="4"/>
      <c r="M166" s="4"/>
      <c r="N166" s="4"/>
      <c r="O166" s="4"/>
      <c r="P166" s="4"/>
      <c r="Q166" s="4"/>
      <c r="R166" s="210"/>
      <c r="S166" s="4"/>
      <c r="T166" s="4"/>
      <c r="U166" s="4"/>
      <c r="V166" s="4"/>
      <c r="W166" s="4"/>
      <c r="X166" s="4"/>
      <c r="Y166" s="4"/>
      <c r="Z166" s="4"/>
    </row>
    <row r="167" ht="16.5" customHeight="1">
      <c r="A167" s="3"/>
      <c r="B167" s="2"/>
      <c r="C167" s="3"/>
      <c r="D167" s="2"/>
      <c r="E167" s="4"/>
      <c r="F167" s="4"/>
      <c r="G167" s="4"/>
      <c r="H167" s="4"/>
      <c r="I167" s="4"/>
      <c r="J167" s="4"/>
      <c r="K167" s="4"/>
      <c r="L167" s="4"/>
      <c r="M167" s="4"/>
      <c r="N167" s="4"/>
      <c r="O167" s="4"/>
      <c r="P167" s="4"/>
      <c r="Q167" s="4"/>
      <c r="R167" s="210"/>
      <c r="S167" s="4"/>
      <c r="T167" s="4"/>
      <c r="U167" s="4"/>
      <c r="V167" s="4"/>
      <c r="W167" s="4"/>
      <c r="X167" s="4"/>
      <c r="Y167" s="4"/>
      <c r="Z167" s="4"/>
    </row>
    <row r="168" ht="16.5" customHeight="1">
      <c r="A168" s="3"/>
      <c r="B168" s="2"/>
      <c r="C168" s="3"/>
      <c r="D168" s="2"/>
      <c r="E168" s="4"/>
      <c r="F168" s="4"/>
      <c r="G168" s="4"/>
      <c r="H168" s="4"/>
      <c r="I168" s="4"/>
      <c r="J168" s="4"/>
      <c r="K168" s="4"/>
      <c r="L168" s="4"/>
      <c r="M168" s="4"/>
      <c r="N168" s="4"/>
      <c r="O168" s="4"/>
      <c r="P168" s="4"/>
      <c r="Q168" s="4"/>
      <c r="R168" s="210"/>
      <c r="S168" s="4"/>
      <c r="T168" s="4"/>
      <c r="U168" s="4"/>
      <c r="V168" s="4"/>
      <c r="W168" s="4"/>
      <c r="X168" s="4"/>
      <c r="Y168" s="4"/>
      <c r="Z168" s="4"/>
    </row>
    <row r="169" ht="16.5" customHeight="1">
      <c r="A169" s="3"/>
      <c r="B169" s="2"/>
      <c r="C169" s="3"/>
      <c r="D169" s="2"/>
      <c r="E169" s="4"/>
      <c r="F169" s="4"/>
      <c r="G169" s="4"/>
      <c r="H169" s="4"/>
      <c r="I169" s="4"/>
      <c r="J169" s="4"/>
      <c r="K169" s="4"/>
      <c r="L169" s="4"/>
      <c r="M169" s="4"/>
      <c r="N169" s="4"/>
      <c r="O169" s="4"/>
      <c r="P169" s="4"/>
      <c r="Q169" s="4"/>
      <c r="R169" s="210"/>
      <c r="S169" s="4"/>
      <c r="T169" s="4"/>
      <c r="U169" s="4"/>
      <c r="V169" s="4"/>
      <c r="W169" s="4"/>
      <c r="X169" s="4"/>
      <c r="Y169" s="4"/>
      <c r="Z169" s="4"/>
    </row>
    <row r="170" ht="16.5" customHeight="1">
      <c r="A170" s="3"/>
      <c r="B170" s="2"/>
      <c r="C170" s="3"/>
      <c r="D170" s="2"/>
      <c r="E170" s="4"/>
      <c r="F170" s="4"/>
      <c r="G170" s="4"/>
      <c r="H170" s="4"/>
      <c r="I170" s="4"/>
      <c r="J170" s="4"/>
      <c r="K170" s="4"/>
      <c r="L170" s="4"/>
      <c r="M170" s="4"/>
      <c r="N170" s="4"/>
      <c r="O170" s="4"/>
      <c r="P170" s="4"/>
      <c r="Q170" s="4"/>
      <c r="R170" s="210"/>
      <c r="S170" s="4"/>
      <c r="T170" s="4"/>
      <c r="U170" s="4"/>
      <c r="V170" s="4"/>
      <c r="W170" s="4"/>
      <c r="X170" s="4"/>
      <c r="Y170" s="4"/>
      <c r="Z170" s="4"/>
    </row>
    <row r="171" ht="16.5" customHeight="1">
      <c r="A171" s="3"/>
      <c r="B171" s="2"/>
      <c r="C171" s="3"/>
      <c r="D171" s="2"/>
      <c r="E171" s="4"/>
      <c r="F171" s="4"/>
      <c r="G171" s="4"/>
      <c r="H171" s="4"/>
      <c r="I171" s="4"/>
      <c r="J171" s="4"/>
      <c r="K171" s="4"/>
      <c r="L171" s="4"/>
      <c r="M171" s="4"/>
      <c r="N171" s="4"/>
      <c r="O171" s="4"/>
      <c r="P171" s="4"/>
      <c r="Q171" s="4"/>
      <c r="R171" s="210"/>
      <c r="S171" s="4"/>
      <c r="T171" s="4"/>
      <c r="U171" s="4"/>
      <c r="V171" s="4"/>
      <c r="W171" s="4"/>
      <c r="X171" s="4"/>
      <c r="Y171" s="4"/>
      <c r="Z171" s="4"/>
    </row>
    <row r="172" ht="16.5" customHeight="1">
      <c r="A172" s="3"/>
      <c r="B172" s="2"/>
      <c r="C172" s="3"/>
      <c r="D172" s="2"/>
      <c r="E172" s="4"/>
      <c r="F172" s="4"/>
      <c r="G172" s="4"/>
      <c r="H172" s="4"/>
      <c r="I172" s="4"/>
      <c r="J172" s="4"/>
      <c r="K172" s="4"/>
      <c r="L172" s="4"/>
      <c r="M172" s="4"/>
      <c r="N172" s="4"/>
      <c r="O172" s="4"/>
      <c r="P172" s="4"/>
      <c r="Q172" s="4"/>
      <c r="R172" s="210"/>
      <c r="S172" s="4"/>
      <c r="T172" s="4"/>
      <c r="U172" s="4"/>
      <c r="V172" s="4"/>
      <c r="W172" s="4"/>
      <c r="X172" s="4"/>
      <c r="Y172" s="4"/>
      <c r="Z172" s="4"/>
    </row>
    <row r="173" ht="16.5" customHeight="1">
      <c r="A173" s="3"/>
      <c r="B173" s="2"/>
      <c r="C173" s="3"/>
      <c r="D173" s="2"/>
      <c r="E173" s="4"/>
      <c r="F173" s="4"/>
      <c r="G173" s="4"/>
      <c r="H173" s="4"/>
      <c r="I173" s="4"/>
      <c r="J173" s="4"/>
      <c r="K173" s="4"/>
      <c r="L173" s="4"/>
      <c r="M173" s="4"/>
      <c r="N173" s="4"/>
      <c r="O173" s="4"/>
      <c r="P173" s="4"/>
      <c r="Q173" s="4"/>
      <c r="R173" s="210"/>
      <c r="S173" s="4"/>
      <c r="T173" s="4"/>
      <c r="U173" s="4"/>
      <c r="V173" s="4"/>
      <c r="W173" s="4"/>
      <c r="X173" s="4"/>
      <c r="Y173" s="4"/>
      <c r="Z173" s="4"/>
    </row>
    <row r="174" ht="16.5" customHeight="1">
      <c r="A174" s="3"/>
      <c r="B174" s="2"/>
      <c r="C174" s="3"/>
      <c r="D174" s="2"/>
      <c r="E174" s="4"/>
      <c r="F174" s="4"/>
      <c r="G174" s="4"/>
      <c r="H174" s="4"/>
      <c r="I174" s="4"/>
      <c r="J174" s="4"/>
      <c r="K174" s="4"/>
      <c r="L174" s="4"/>
      <c r="M174" s="4"/>
      <c r="N174" s="4"/>
      <c r="O174" s="4"/>
      <c r="P174" s="4"/>
      <c r="Q174" s="4"/>
      <c r="R174" s="210"/>
      <c r="S174" s="4"/>
      <c r="T174" s="4"/>
      <c r="U174" s="4"/>
      <c r="V174" s="4"/>
      <c r="W174" s="4"/>
      <c r="X174" s="4"/>
      <c r="Y174" s="4"/>
      <c r="Z174" s="4"/>
    </row>
    <row r="175" ht="16.5" customHeight="1">
      <c r="A175" s="3"/>
      <c r="B175" s="2"/>
      <c r="C175" s="3"/>
      <c r="D175" s="2"/>
      <c r="E175" s="4"/>
      <c r="F175" s="4"/>
      <c r="G175" s="4"/>
      <c r="H175" s="4"/>
      <c r="I175" s="4"/>
      <c r="J175" s="4"/>
      <c r="K175" s="4"/>
      <c r="L175" s="4"/>
      <c r="M175" s="4"/>
      <c r="N175" s="4"/>
      <c r="O175" s="4"/>
      <c r="P175" s="4"/>
      <c r="Q175" s="4"/>
      <c r="R175" s="210"/>
      <c r="S175" s="4"/>
      <c r="T175" s="4"/>
      <c r="U175" s="4"/>
      <c r="V175" s="4"/>
      <c r="W175" s="4"/>
      <c r="X175" s="4"/>
      <c r="Y175" s="4"/>
      <c r="Z175" s="4"/>
    </row>
    <row r="176" ht="16.5" customHeight="1">
      <c r="A176" s="3"/>
      <c r="B176" s="2"/>
      <c r="C176" s="3"/>
      <c r="D176" s="2"/>
      <c r="E176" s="4"/>
      <c r="F176" s="4"/>
      <c r="G176" s="4"/>
      <c r="H176" s="4"/>
      <c r="I176" s="4"/>
      <c r="J176" s="4"/>
      <c r="K176" s="4"/>
      <c r="L176" s="4"/>
      <c r="M176" s="4"/>
      <c r="N176" s="4"/>
      <c r="O176" s="4"/>
      <c r="P176" s="4"/>
      <c r="Q176" s="4"/>
      <c r="R176" s="210"/>
      <c r="S176" s="4"/>
      <c r="T176" s="4"/>
      <c r="U176" s="4"/>
      <c r="V176" s="4"/>
      <c r="W176" s="4"/>
      <c r="X176" s="4"/>
      <c r="Y176" s="4"/>
      <c r="Z176" s="4"/>
    </row>
    <row r="177" ht="16.5" customHeight="1">
      <c r="A177" s="3"/>
      <c r="B177" s="2"/>
      <c r="C177" s="3"/>
      <c r="D177" s="2"/>
      <c r="E177" s="4"/>
      <c r="F177" s="4"/>
      <c r="G177" s="4"/>
      <c r="H177" s="4"/>
      <c r="I177" s="4"/>
      <c r="J177" s="4"/>
      <c r="K177" s="4"/>
      <c r="L177" s="4"/>
      <c r="M177" s="4"/>
      <c r="N177" s="4"/>
      <c r="O177" s="4"/>
      <c r="P177" s="4"/>
      <c r="Q177" s="4"/>
      <c r="R177" s="210"/>
      <c r="S177" s="4"/>
      <c r="T177" s="4"/>
      <c r="U177" s="4"/>
      <c r="V177" s="4"/>
      <c r="W177" s="4"/>
      <c r="X177" s="4"/>
      <c r="Y177" s="4"/>
      <c r="Z177" s="4"/>
    </row>
    <row r="178" ht="16.5" customHeight="1">
      <c r="A178" s="3"/>
      <c r="B178" s="2"/>
      <c r="C178" s="3"/>
      <c r="D178" s="2"/>
      <c r="E178" s="4"/>
      <c r="F178" s="4"/>
      <c r="G178" s="4"/>
      <c r="H178" s="4"/>
      <c r="I178" s="4"/>
      <c r="J178" s="4"/>
      <c r="K178" s="4"/>
      <c r="L178" s="4"/>
      <c r="M178" s="4"/>
      <c r="N178" s="4"/>
      <c r="O178" s="4"/>
      <c r="P178" s="4"/>
      <c r="Q178" s="4"/>
      <c r="R178" s="210"/>
      <c r="S178" s="4"/>
      <c r="T178" s="4"/>
      <c r="U178" s="4"/>
      <c r="V178" s="4"/>
      <c r="W178" s="4"/>
      <c r="X178" s="4"/>
      <c r="Y178" s="4"/>
      <c r="Z178" s="4"/>
    </row>
    <row r="179" ht="16.5" customHeight="1">
      <c r="A179" s="3"/>
      <c r="B179" s="2"/>
      <c r="C179" s="3"/>
      <c r="D179" s="2"/>
      <c r="E179" s="4"/>
      <c r="F179" s="4"/>
      <c r="G179" s="4"/>
      <c r="H179" s="4"/>
      <c r="I179" s="4"/>
      <c r="J179" s="4"/>
      <c r="K179" s="4"/>
      <c r="L179" s="4"/>
      <c r="M179" s="4"/>
      <c r="N179" s="4"/>
      <c r="O179" s="4"/>
      <c r="P179" s="4"/>
      <c r="Q179" s="4"/>
      <c r="R179" s="210"/>
      <c r="S179" s="4"/>
      <c r="T179" s="4"/>
      <c r="U179" s="4"/>
      <c r="V179" s="4"/>
      <c r="W179" s="4"/>
      <c r="X179" s="4"/>
      <c r="Y179" s="4"/>
      <c r="Z179" s="4"/>
    </row>
    <row r="180" ht="16.5" customHeight="1">
      <c r="A180" s="3"/>
      <c r="B180" s="2"/>
      <c r="C180" s="3"/>
      <c r="D180" s="2"/>
      <c r="E180" s="4"/>
      <c r="F180" s="4"/>
      <c r="G180" s="4"/>
      <c r="H180" s="4"/>
      <c r="I180" s="4"/>
      <c r="J180" s="4"/>
      <c r="K180" s="4"/>
      <c r="L180" s="4"/>
      <c r="M180" s="4"/>
      <c r="N180" s="4"/>
      <c r="O180" s="4"/>
      <c r="P180" s="4"/>
      <c r="Q180" s="4"/>
      <c r="R180" s="210"/>
      <c r="S180" s="4"/>
      <c r="T180" s="4"/>
      <c r="U180" s="4"/>
      <c r="V180" s="4"/>
      <c r="W180" s="4"/>
      <c r="X180" s="4"/>
      <c r="Y180" s="4"/>
      <c r="Z180" s="4"/>
    </row>
    <row r="181" ht="16.5" customHeight="1">
      <c r="A181" s="3"/>
      <c r="B181" s="2"/>
      <c r="C181" s="3"/>
      <c r="D181" s="2"/>
      <c r="E181" s="4"/>
      <c r="F181" s="4"/>
      <c r="G181" s="4"/>
      <c r="H181" s="4"/>
      <c r="I181" s="4"/>
      <c r="J181" s="4"/>
      <c r="K181" s="4"/>
      <c r="L181" s="4"/>
      <c r="M181" s="4"/>
      <c r="N181" s="4"/>
      <c r="O181" s="4"/>
      <c r="P181" s="4"/>
      <c r="Q181" s="4"/>
      <c r="R181" s="210"/>
      <c r="S181" s="4"/>
      <c r="T181" s="4"/>
      <c r="U181" s="4"/>
      <c r="V181" s="4"/>
      <c r="W181" s="4"/>
      <c r="X181" s="4"/>
      <c r="Y181" s="4"/>
      <c r="Z181" s="4"/>
    </row>
    <row r="182" ht="16.5" customHeight="1">
      <c r="A182" s="3"/>
      <c r="B182" s="2"/>
      <c r="C182" s="3"/>
      <c r="D182" s="2"/>
      <c r="E182" s="4"/>
      <c r="F182" s="4"/>
      <c r="G182" s="4"/>
      <c r="H182" s="4"/>
      <c r="I182" s="4"/>
      <c r="J182" s="4"/>
      <c r="K182" s="4"/>
      <c r="L182" s="4"/>
      <c r="M182" s="4"/>
      <c r="N182" s="4"/>
      <c r="O182" s="4"/>
      <c r="P182" s="4"/>
      <c r="Q182" s="4"/>
      <c r="R182" s="210"/>
      <c r="S182" s="4"/>
      <c r="T182" s="4"/>
      <c r="U182" s="4"/>
      <c r="V182" s="4"/>
      <c r="W182" s="4"/>
      <c r="X182" s="4"/>
      <c r="Y182" s="4"/>
      <c r="Z182" s="4"/>
    </row>
    <row r="183" ht="16.5" customHeight="1">
      <c r="A183" s="3"/>
      <c r="B183" s="2"/>
      <c r="C183" s="3"/>
      <c r="D183" s="2"/>
      <c r="E183" s="4"/>
      <c r="F183" s="4"/>
      <c r="G183" s="4"/>
      <c r="H183" s="4"/>
      <c r="I183" s="4"/>
      <c r="J183" s="4"/>
      <c r="K183" s="4"/>
      <c r="L183" s="4"/>
      <c r="M183" s="4"/>
      <c r="N183" s="4"/>
      <c r="O183" s="4"/>
      <c r="P183" s="4"/>
      <c r="Q183" s="4"/>
      <c r="R183" s="210"/>
      <c r="S183" s="4"/>
      <c r="T183" s="4"/>
      <c r="U183" s="4"/>
      <c r="V183" s="4"/>
      <c r="W183" s="4"/>
      <c r="X183" s="4"/>
      <c r="Y183" s="4"/>
      <c r="Z183" s="4"/>
    </row>
    <row r="184" ht="16.5" customHeight="1">
      <c r="A184" s="3"/>
      <c r="B184" s="2"/>
      <c r="C184" s="3"/>
      <c r="D184" s="2"/>
      <c r="E184" s="4"/>
      <c r="F184" s="4"/>
      <c r="G184" s="4"/>
      <c r="H184" s="4"/>
      <c r="I184" s="4"/>
      <c r="J184" s="4"/>
      <c r="K184" s="4"/>
      <c r="L184" s="4"/>
      <c r="M184" s="4"/>
      <c r="N184" s="4"/>
      <c r="O184" s="4"/>
      <c r="P184" s="4"/>
      <c r="Q184" s="4"/>
      <c r="R184" s="210"/>
      <c r="S184" s="4"/>
      <c r="T184" s="4"/>
      <c r="U184" s="4"/>
      <c r="V184" s="4"/>
      <c r="W184" s="4"/>
      <c r="X184" s="4"/>
      <c r="Y184" s="4"/>
      <c r="Z184" s="4"/>
    </row>
    <row r="185" ht="16.5" customHeight="1">
      <c r="A185" s="3"/>
      <c r="B185" s="2"/>
      <c r="C185" s="3"/>
      <c r="D185" s="2"/>
      <c r="E185" s="4"/>
      <c r="F185" s="4"/>
      <c r="G185" s="4"/>
      <c r="H185" s="4"/>
      <c r="I185" s="4"/>
      <c r="J185" s="4"/>
      <c r="K185" s="4"/>
      <c r="L185" s="4"/>
      <c r="M185" s="4"/>
      <c r="N185" s="4"/>
      <c r="O185" s="4"/>
      <c r="P185" s="4"/>
      <c r="Q185" s="4"/>
      <c r="R185" s="210"/>
      <c r="S185" s="4"/>
      <c r="T185" s="4"/>
      <c r="U185" s="4"/>
      <c r="V185" s="4"/>
      <c r="W185" s="4"/>
      <c r="X185" s="4"/>
      <c r="Y185" s="4"/>
      <c r="Z185" s="4"/>
    </row>
    <row r="186" ht="16.5" customHeight="1">
      <c r="A186" s="3"/>
      <c r="B186" s="2"/>
      <c r="C186" s="3"/>
      <c r="D186" s="2"/>
      <c r="E186" s="4"/>
      <c r="F186" s="4"/>
      <c r="G186" s="4"/>
      <c r="H186" s="4"/>
      <c r="I186" s="4"/>
      <c r="J186" s="4"/>
      <c r="K186" s="4"/>
      <c r="L186" s="4"/>
      <c r="M186" s="4"/>
      <c r="N186" s="4"/>
      <c r="O186" s="4"/>
      <c r="P186" s="4"/>
      <c r="Q186" s="4"/>
      <c r="R186" s="210"/>
      <c r="S186" s="4"/>
      <c r="T186" s="4"/>
      <c r="U186" s="4"/>
      <c r="V186" s="4"/>
      <c r="W186" s="4"/>
      <c r="X186" s="4"/>
      <c r="Y186" s="4"/>
      <c r="Z186" s="4"/>
    </row>
    <row r="187" ht="16.5" customHeight="1">
      <c r="A187" s="3"/>
      <c r="B187" s="2"/>
      <c r="C187" s="3"/>
      <c r="D187" s="2"/>
      <c r="E187" s="4"/>
      <c r="F187" s="4"/>
      <c r="G187" s="4"/>
      <c r="H187" s="4"/>
      <c r="I187" s="4"/>
      <c r="J187" s="4"/>
      <c r="K187" s="4"/>
      <c r="L187" s="4"/>
      <c r="M187" s="4"/>
      <c r="N187" s="4"/>
      <c r="O187" s="4"/>
      <c r="P187" s="4"/>
      <c r="Q187" s="4"/>
      <c r="R187" s="210"/>
      <c r="S187" s="4"/>
      <c r="T187" s="4"/>
      <c r="U187" s="4"/>
      <c r="V187" s="4"/>
      <c r="W187" s="4"/>
      <c r="X187" s="4"/>
      <c r="Y187" s="4"/>
      <c r="Z187" s="4"/>
    </row>
    <row r="188" ht="16.5" customHeight="1">
      <c r="A188" s="3"/>
      <c r="B188" s="2"/>
      <c r="C188" s="3"/>
      <c r="D188" s="2"/>
      <c r="E188" s="4"/>
      <c r="F188" s="4"/>
      <c r="G188" s="4"/>
      <c r="H188" s="4"/>
      <c r="I188" s="4"/>
      <c r="J188" s="4"/>
      <c r="K188" s="4"/>
      <c r="L188" s="4"/>
      <c r="M188" s="4"/>
      <c r="N188" s="4"/>
      <c r="O188" s="4"/>
      <c r="P188" s="4"/>
      <c r="Q188" s="4"/>
      <c r="R188" s="210"/>
      <c r="S188" s="4"/>
      <c r="T188" s="4"/>
      <c r="U188" s="4"/>
      <c r="V188" s="4"/>
      <c r="W188" s="4"/>
      <c r="X188" s="4"/>
      <c r="Y188" s="4"/>
      <c r="Z188" s="4"/>
    </row>
    <row r="189" ht="16.5" customHeight="1">
      <c r="A189" s="3"/>
      <c r="B189" s="2"/>
      <c r="C189" s="3"/>
      <c r="D189" s="2"/>
      <c r="E189" s="4"/>
      <c r="F189" s="4"/>
      <c r="G189" s="4"/>
      <c r="H189" s="4"/>
      <c r="I189" s="4"/>
      <c r="J189" s="4"/>
      <c r="K189" s="4"/>
      <c r="L189" s="4"/>
      <c r="M189" s="4"/>
      <c r="N189" s="4"/>
      <c r="O189" s="4"/>
      <c r="P189" s="4"/>
      <c r="Q189" s="4"/>
      <c r="R189" s="210"/>
      <c r="S189" s="4"/>
      <c r="T189" s="4"/>
      <c r="U189" s="4"/>
      <c r="V189" s="4"/>
      <c r="W189" s="4"/>
      <c r="X189" s="4"/>
      <c r="Y189" s="4"/>
      <c r="Z189" s="4"/>
    </row>
    <row r="190" ht="16.5" customHeight="1">
      <c r="A190" s="3"/>
      <c r="B190" s="2"/>
      <c r="C190" s="3"/>
      <c r="D190" s="2"/>
      <c r="E190" s="4"/>
      <c r="F190" s="4"/>
      <c r="G190" s="4"/>
      <c r="H190" s="4"/>
      <c r="I190" s="4"/>
      <c r="J190" s="4"/>
      <c r="K190" s="4"/>
      <c r="L190" s="4"/>
      <c r="M190" s="4"/>
      <c r="N190" s="4"/>
      <c r="O190" s="4"/>
      <c r="P190" s="4"/>
      <c r="Q190" s="4"/>
      <c r="R190" s="210"/>
      <c r="S190" s="4"/>
      <c r="T190" s="4"/>
      <c r="U190" s="4"/>
      <c r="V190" s="4"/>
      <c r="W190" s="4"/>
      <c r="X190" s="4"/>
      <c r="Y190" s="4"/>
      <c r="Z190" s="4"/>
    </row>
    <row r="191" ht="16.5" customHeight="1">
      <c r="A191" s="3"/>
      <c r="B191" s="2"/>
      <c r="C191" s="3"/>
      <c r="D191" s="2"/>
      <c r="E191" s="4"/>
      <c r="F191" s="4"/>
      <c r="G191" s="4"/>
      <c r="H191" s="4"/>
      <c r="I191" s="4"/>
      <c r="J191" s="4"/>
      <c r="K191" s="4"/>
      <c r="L191" s="4"/>
      <c r="M191" s="4"/>
      <c r="N191" s="4"/>
      <c r="O191" s="4"/>
      <c r="P191" s="4"/>
      <c r="Q191" s="4"/>
      <c r="R191" s="210"/>
      <c r="S191" s="4"/>
      <c r="T191" s="4"/>
      <c r="U191" s="4"/>
      <c r="V191" s="4"/>
      <c r="W191" s="4"/>
      <c r="X191" s="4"/>
      <c r="Y191" s="4"/>
      <c r="Z191" s="4"/>
    </row>
    <row r="192" ht="16.5" customHeight="1">
      <c r="A192" s="3"/>
      <c r="B192" s="2"/>
      <c r="C192" s="3"/>
      <c r="D192" s="2"/>
      <c r="E192" s="4"/>
      <c r="F192" s="4"/>
      <c r="G192" s="4"/>
      <c r="H192" s="4"/>
      <c r="I192" s="4"/>
      <c r="J192" s="4"/>
      <c r="K192" s="4"/>
      <c r="L192" s="4"/>
      <c r="M192" s="4"/>
      <c r="N192" s="4"/>
      <c r="O192" s="4"/>
      <c r="P192" s="4"/>
      <c r="Q192" s="4"/>
      <c r="R192" s="210"/>
      <c r="S192" s="4"/>
      <c r="T192" s="4"/>
      <c r="U192" s="4"/>
      <c r="V192" s="4"/>
      <c r="W192" s="4"/>
      <c r="X192" s="4"/>
      <c r="Y192" s="4"/>
      <c r="Z192" s="4"/>
    </row>
    <row r="193" ht="16.5" customHeight="1">
      <c r="A193" s="3"/>
      <c r="B193" s="2"/>
      <c r="C193" s="3"/>
      <c r="D193" s="2"/>
      <c r="E193" s="4"/>
      <c r="F193" s="4"/>
      <c r="G193" s="4"/>
      <c r="H193" s="4"/>
      <c r="I193" s="4"/>
      <c r="J193" s="4"/>
      <c r="K193" s="4"/>
      <c r="L193" s="4"/>
      <c r="M193" s="4"/>
      <c r="N193" s="4"/>
      <c r="O193" s="4"/>
      <c r="P193" s="4"/>
      <c r="Q193" s="4"/>
      <c r="R193" s="210"/>
      <c r="S193" s="4"/>
      <c r="T193" s="4"/>
      <c r="U193" s="4"/>
      <c r="V193" s="4"/>
      <c r="W193" s="4"/>
      <c r="X193" s="4"/>
      <c r="Y193" s="4"/>
      <c r="Z193" s="4"/>
    </row>
    <row r="194" ht="16.5" customHeight="1">
      <c r="A194" s="3"/>
      <c r="B194" s="2"/>
      <c r="C194" s="3"/>
      <c r="D194" s="2"/>
      <c r="E194" s="4"/>
      <c r="F194" s="4"/>
      <c r="G194" s="4"/>
      <c r="H194" s="4"/>
      <c r="I194" s="4"/>
      <c r="J194" s="4"/>
      <c r="K194" s="4"/>
      <c r="L194" s="4"/>
      <c r="M194" s="4"/>
      <c r="N194" s="4"/>
      <c r="O194" s="4"/>
      <c r="P194" s="4"/>
      <c r="Q194" s="4"/>
      <c r="R194" s="210"/>
      <c r="S194" s="4"/>
      <c r="T194" s="4"/>
      <c r="U194" s="4"/>
      <c r="V194" s="4"/>
      <c r="W194" s="4"/>
      <c r="X194" s="4"/>
      <c r="Y194" s="4"/>
      <c r="Z194" s="4"/>
    </row>
    <row r="195" ht="16.5" customHeight="1">
      <c r="A195" s="3"/>
      <c r="B195" s="2"/>
      <c r="C195" s="3"/>
      <c r="D195" s="2"/>
      <c r="E195" s="4"/>
      <c r="F195" s="4"/>
      <c r="G195" s="4"/>
      <c r="H195" s="4"/>
      <c r="I195" s="4"/>
      <c r="J195" s="4"/>
      <c r="K195" s="4"/>
      <c r="L195" s="4"/>
      <c r="M195" s="4"/>
      <c r="N195" s="4"/>
      <c r="O195" s="4"/>
      <c r="P195" s="4"/>
      <c r="Q195" s="4"/>
      <c r="R195" s="210"/>
      <c r="S195" s="4"/>
      <c r="T195" s="4"/>
      <c r="U195" s="4"/>
      <c r="V195" s="4"/>
      <c r="W195" s="4"/>
      <c r="X195" s="4"/>
      <c r="Y195" s="4"/>
      <c r="Z195" s="4"/>
    </row>
    <row r="196" ht="16.5" customHeight="1">
      <c r="A196" s="3"/>
      <c r="B196" s="2"/>
      <c r="C196" s="3"/>
      <c r="D196" s="2"/>
      <c r="E196" s="4"/>
      <c r="F196" s="4"/>
      <c r="G196" s="4"/>
      <c r="H196" s="4"/>
      <c r="I196" s="4"/>
      <c r="J196" s="4"/>
      <c r="K196" s="4"/>
      <c r="L196" s="4"/>
      <c r="M196" s="4"/>
      <c r="N196" s="4"/>
      <c r="O196" s="4"/>
      <c r="P196" s="4"/>
      <c r="Q196" s="4"/>
      <c r="R196" s="210"/>
      <c r="S196" s="4"/>
      <c r="T196" s="4"/>
      <c r="U196" s="4"/>
      <c r="V196" s="4"/>
      <c r="W196" s="4"/>
      <c r="X196" s="4"/>
      <c r="Y196" s="4"/>
      <c r="Z196" s="4"/>
    </row>
    <row r="197" ht="16.5" customHeight="1">
      <c r="A197" s="3"/>
      <c r="B197" s="2"/>
      <c r="C197" s="3"/>
      <c r="D197" s="2"/>
      <c r="E197" s="4"/>
      <c r="F197" s="4"/>
      <c r="G197" s="4"/>
      <c r="H197" s="4"/>
      <c r="I197" s="4"/>
      <c r="J197" s="4"/>
      <c r="K197" s="4"/>
      <c r="L197" s="4"/>
      <c r="M197" s="4"/>
      <c r="N197" s="4"/>
      <c r="O197" s="4"/>
      <c r="P197" s="4"/>
      <c r="Q197" s="4"/>
      <c r="R197" s="210"/>
      <c r="S197" s="4"/>
      <c r="T197" s="4"/>
      <c r="U197" s="4"/>
      <c r="V197" s="4"/>
      <c r="W197" s="4"/>
      <c r="X197" s="4"/>
      <c r="Y197" s="4"/>
      <c r="Z197" s="4"/>
    </row>
    <row r="198" ht="16.5" customHeight="1">
      <c r="A198" s="3"/>
      <c r="B198" s="2"/>
      <c r="C198" s="3"/>
      <c r="D198" s="2"/>
      <c r="E198" s="4"/>
      <c r="F198" s="4"/>
      <c r="G198" s="4"/>
      <c r="H198" s="4"/>
      <c r="I198" s="4"/>
      <c r="J198" s="4"/>
      <c r="K198" s="4"/>
      <c r="L198" s="4"/>
      <c r="M198" s="4"/>
      <c r="N198" s="4"/>
      <c r="O198" s="4"/>
      <c r="P198" s="4"/>
      <c r="Q198" s="4"/>
      <c r="R198" s="210"/>
      <c r="S198" s="4"/>
      <c r="T198" s="4"/>
      <c r="U198" s="4"/>
      <c r="V198" s="4"/>
      <c r="W198" s="4"/>
      <c r="X198" s="4"/>
      <c r="Y198" s="4"/>
      <c r="Z198" s="4"/>
    </row>
    <row r="199" ht="16.5" customHeight="1">
      <c r="A199" s="3"/>
      <c r="B199" s="2"/>
      <c r="C199" s="3"/>
      <c r="D199" s="2"/>
      <c r="E199" s="4"/>
      <c r="F199" s="4"/>
      <c r="G199" s="4"/>
      <c r="H199" s="4"/>
      <c r="I199" s="4"/>
      <c r="J199" s="4"/>
      <c r="K199" s="4"/>
      <c r="L199" s="4"/>
      <c r="M199" s="4"/>
      <c r="N199" s="4"/>
      <c r="O199" s="4"/>
      <c r="P199" s="4"/>
      <c r="Q199" s="4"/>
      <c r="R199" s="210"/>
      <c r="S199" s="4"/>
      <c r="T199" s="4"/>
      <c r="U199" s="4"/>
      <c r="V199" s="4"/>
      <c r="W199" s="4"/>
      <c r="X199" s="4"/>
      <c r="Y199" s="4"/>
      <c r="Z199" s="4"/>
    </row>
    <row r="200" ht="16.5" customHeight="1">
      <c r="A200" s="3"/>
      <c r="B200" s="2"/>
      <c r="C200" s="3"/>
      <c r="D200" s="2"/>
      <c r="E200" s="4"/>
      <c r="F200" s="4"/>
      <c r="G200" s="4"/>
      <c r="H200" s="4"/>
      <c r="I200" s="4"/>
      <c r="J200" s="4"/>
      <c r="K200" s="4"/>
      <c r="L200" s="4"/>
      <c r="M200" s="4"/>
      <c r="N200" s="4"/>
      <c r="O200" s="4"/>
      <c r="P200" s="4"/>
      <c r="Q200" s="4"/>
      <c r="R200" s="210"/>
      <c r="S200" s="4"/>
      <c r="T200" s="4"/>
      <c r="U200" s="4"/>
      <c r="V200" s="4"/>
      <c r="W200" s="4"/>
      <c r="X200" s="4"/>
      <c r="Y200" s="4"/>
      <c r="Z200" s="4"/>
    </row>
    <row r="201" ht="16.5" customHeight="1">
      <c r="A201" s="3"/>
      <c r="B201" s="2"/>
      <c r="C201" s="3"/>
      <c r="D201" s="2"/>
      <c r="E201" s="4"/>
      <c r="F201" s="4"/>
      <c r="G201" s="4"/>
      <c r="H201" s="4"/>
      <c r="I201" s="4"/>
      <c r="J201" s="4"/>
      <c r="K201" s="4"/>
      <c r="L201" s="4"/>
      <c r="M201" s="4"/>
      <c r="N201" s="4"/>
      <c r="O201" s="4"/>
      <c r="P201" s="4"/>
      <c r="Q201" s="4"/>
      <c r="R201" s="210"/>
      <c r="S201" s="4"/>
      <c r="T201" s="4"/>
      <c r="U201" s="4"/>
      <c r="V201" s="4"/>
      <c r="W201" s="4"/>
      <c r="X201" s="4"/>
      <c r="Y201" s="4"/>
      <c r="Z201" s="4"/>
    </row>
    <row r="202" ht="16.5" customHeight="1">
      <c r="A202" s="3"/>
      <c r="B202" s="2"/>
      <c r="C202" s="3"/>
      <c r="D202" s="2"/>
      <c r="E202" s="4"/>
      <c r="F202" s="4"/>
      <c r="G202" s="4"/>
      <c r="H202" s="4"/>
      <c r="I202" s="4"/>
      <c r="J202" s="4"/>
      <c r="K202" s="4"/>
      <c r="L202" s="4"/>
      <c r="M202" s="4"/>
      <c r="N202" s="4"/>
      <c r="O202" s="4"/>
      <c r="P202" s="4"/>
      <c r="Q202" s="4"/>
      <c r="R202" s="210"/>
      <c r="S202" s="4"/>
      <c r="T202" s="4"/>
      <c r="U202" s="4"/>
      <c r="V202" s="4"/>
      <c r="W202" s="4"/>
      <c r="X202" s="4"/>
      <c r="Y202" s="4"/>
      <c r="Z202" s="4"/>
    </row>
    <row r="203" ht="16.5" customHeight="1">
      <c r="A203" s="3"/>
      <c r="B203" s="2"/>
      <c r="C203" s="3"/>
      <c r="D203" s="2"/>
      <c r="E203" s="4"/>
      <c r="F203" s="4"/>
      <c r="G203" s="4"/>
      <c r="H203" s="4"/>
      <c r="I203" s="4"/>
      <c r="J203" s="4"/>
      <c r="K203" s="4"/>
      <c r="L203" s="4"/>
      <c r="M203" s="4"/>
      <c r="N203" s="4"/>
      <c r="O203" s="4"/>
      <c r="P203" s="4"/>
      <c r="Q203" s="4"/>
      <c r="R203" s="210"/>
      <c r="S203" s="4"/>
      <c r="T203" s="4"/>
      <c r="U203" s="4"/>
      <c r="V203" s="4"/>
      <c r="W203" s="4"/>
      <c r="X203" s="4"/>
      <c r="Y203" s="4"/>
      <c r="Z203" s="4"/>
    </row>
    <row r="204" ht="16.5" customHeight="1">
      <c r="A204" s="3"/>
      <c r="B204" s="2"/>
      <c r="C204" s="3"/>
      <c r="D204" s="2"/>
      <c r="E204" s="4"/>
      <c r="F204" s="4"/>
      <c r="G204" s="4"/>
      <c r="H204" s="4"/>
      <c r="I204" s="4"/>
      <c r="J204" s="4"/>
      <c r="K204" s="4"/>
      <c r="L204" s="4"/>
      <c r="M204" s="4"/>
      <c r="N204" s="4"/>
      <c r="O204" s="4"/>
      <c r="P204" s="4"/>
      <c r="Q204" s="4"/>
      <c r="R204" s="210"/>
      <c r="S204" s="4"/>
      <c r="T204" s="4"/>
      <c r="U204" s="4"/>
      <c r="V204" s="4"/>
      <c r="W204" s="4"/>
      <c r="X204" s="4"/>
      <c r="Y204" s="4"/>
      <c r="Z204" s="4"/>
    </row>
    <row r="205" ht="16.5" customHeight="1">
      <c r="A205" s="3"/>
      <c r="B205" s="2"/>
      <c r="C205" s="3"/>
      <c r="D205" s="2"/>
      <c r="E205" s="4"/>
      <c r="F205" s="4"/>
      <c r="G205" s="4"/>
      <c r="H205" s="4"/>
      <c r="I205" s="4"/>
      <c r="J205" s="4"/>
      <c r="K205" s="4"/>
      <c r="L205" s="4"/>
      <c r="M205" s="4"/>
      <c r="N205" s="4"/>
      <c r="O205" s="4"/>
      <c r="P205" s="4"/>
      <c r="Q205" s="4"/>
      <c r="R205" s="210"/>
      <c r="S205" s="4"/>
      <c r="T205" s="4"/>
      <c r="U205" s="4"/>
      <c r="V205" s="4"/>
      <c r="W205" s="4"/>
      <c r="X205" s="4"/>
      <c r="Y205" s="4"/>
      <c r="Z205" s="4"/>
    </row>
    <row r="206" ht="16.5" customHeight="1">
      <c r="A206" s="3"/>
      <c r="B206" s="2"/>
      <c r="C206" s="3"/>
      <c r="D206" s="2"/>
      <c r="E206" s="4"/>
      <c r="F206" s="4"/>
      <c r="G206" s="4"/>
      <c r="H206" s="4"/>
      <c r="I206" s="4"/>
      <c r="J206" s="4"/>
      <c r="K206" s="4"/>
      <c r="L206" s="4"/>
      <c r="M206" s="4"/>
      <c r="N206" s="4"/>
      <c r="O206" s="4"/>
      <c r="P206" s="4"/>
      <c r="Q206" s="4"/>
      <c r="R206" s="210"/>
      <c r="S206" s="4"/>
      <c r="T206" s="4"/>
      <c r="U206" s="4"/>
      <c r="V206" s="4"/>
      <c r="W206" s="4"/>
      <c r="X206" s="4"/>
      <c r="Y206" s="4"/>
      <c r="Z206" s="4"/>
    </row>
    <row r="207" ht="16.5" customHeight="1">
      <c r="A207" s="3"/>
      <c r="B207" s="2"/>
      <c r="C207" s="3"/>
      <c r="D207" s="2"/>
      <c r="E207" s="4"/>
      <c r="F207" s="4"/>
      <c r="G207" s="4"/>
      <c r="H207" s="4"/>
      <c r="I207" s="4"/>
      <c r="J207" s="4"/>
      <c r="K207" s="4"/>
      <c r="L207" s="4"/>
      <c r="M207" s="4"/>
      <c r="N207" s="4"/>
      <c r="O207" s="4"/>
      <c r="P207" s="4"/>
      <c r="Q207" s="4"/>
      <c r="R207" s="210"/>
      <c r="S207" s="4"/>
      <c r="T207" s="4"/>
      <c r="U207" s="4"/>
      <c r="V207" s="4"/>
      <c r="W207" s="4"/>
      <c r="X207" s="4"/>
      <c r="Y207" s="4"/>
      <c r="Z207" s="4"/>
    </row>
    <row r="208" ht="16.5" customHeight="1">
      <c r="A208" s="3"/>
      <c r="B208" s="2"/>
      <c r="C208" s="3"/>
      <c r="D208" s="2"/>
      <c r="E208" s="4"/>
      <c r="F208" s="4"/>
      <c r="G208" s="4"/>
      <c r="H208" s="4"/>
      <c r="I208" s="4"/>
      <c r="J208" s="4"/>
      <c r="K208" s="4"/>
      <c r="L208" s="4"/>
      <c r="M208" s="4"/>
      <c r="N208" s="4"/>
      <c r="O208" s="4"/>
      <c r="P208" s="4"/>
      <c r="Q208" s="4"/>
      <c r="R208" s="210"/>
      <c r="S208" s="4"/>
      <c r="T208" s="4"/>
      <c r="U208" s="4"/>
      <c r="V208" s="4"/>
      <c r="W208" s="4"/>
      <c r="X208" s="4"/>
      <c r="Y208" s="4"/>
      <c r="Z208" s="4"/>
    </row>
    <row r="209" ht="16.5" customHeight="1">
      <c r="A209" s="3"/>
      <c r="B209" s="2"/>
      <c r="C209" s="3"/>
      <c r="D209" s="2"/>
      <c r="E209" s="4"/>
      <c r="F209" s="4"/>
      <c r="G209" s="4"/>
      <c r="H209" s="4"/>
      <c r="I209" s="4"/>
      <c r="J209" s="4"/>
      <c r="K209" s="4"/>
      <c r="L209" s="4"/>
      <c r="M209" s="4"/>
      <c r="N209" s="4"/>
      <c r="O209" s="4"/>
      <c r="P209" s="4"/>
      <c r="Q209" s="4"/>
      <c r="R209" s="210"/>
      <c r="S209" s="4"/>
      <c r="T209" s="4"/>
      <c r="U209" s="4"/>
      <c r="V209" s="4"/>
      <c r="W209" s="4"/>
      <c r="X209" s="4"/>
      <c r="Y209" s="4"/>
      <c r="Z209" s="4"/>
    </row>
    <row r="210" ht="16.5" customHeight="1">
      <c r="A210" s="3"/>
      <c r="B210" s="2"/>
      <c r="C210" s="3"/>
      <c r="D210" s="2"/>
      <c r="E210" s="4"/>
      <c r="F210" s="4"/>
      <c r="G210" s="4"/>
      <c r="H210" s="4"/>
      <c r="I210" s="4"/>
      <c r="J210" s="4"/>
      <c r="K210" s="4"/>
      <c r="L210" s="4"/>
      <c r="M210" s="4"/>
      <c r="N210" s="4"/>
      <c r="O210" s="4"/>
      <c r="P210" s="4"/>
      <c r="Q210" s="4"/>
      <c r="R210" s="210"/>
      <c r="S210" s="4"/>
      <c r="T210" s="4"/>
      <c r="U210" s="4"/>
      <c r="V210" s="4"/>
      <c r="W210" s="4"/>
      <c r="X210" s="4"/>
      <c r="Y210" s="4"/>
      <c r="Z210" s="4"/>
    </row>
    <row r="211" ht="16.5" customHeight="1">
      <c r="A211" s="3"/>
      <c r="B211" s="2"/>
      <c r="C211" s="3"/>
      <c r="D211" s="2"/>
      <c r="E211" s="4"/>
      <c r="F211" s="4"/>
      <c r="G211" s="4"/>
      <c r="H211" s="4"/>
      <c r="I211" s="4"/>
      <c r="J211" s="4"/>
      <c r="K211" s="4"/>
      <c r="L211" s="4"/>
      <c r="M211" s="4"/>
      <c r="N211" s="4"/>
      <c r="O211" s="4"/>
      <c r="P211" s="4"/>
      <c r="Q211" s="4"/>
      <c r="R211" s="210"/>
      <c r="S211" s="4"/>
      <c r="T211" s="4"/>
      <c r="U211" s="4"/>
      <c r="V211" s="4"/>
      <c r="W211" s="4"/>
      <c r="X211" s="4"/>
      <c r="Y211" s="4"/>
      <c r="Z211" s="4"/>
    </row>
    <row r="212" ht="16.5" customHeight="1">
      <c r="A212" s="3"/>
      <c r="B212" s="2"/>
      <c r="C212" s="3"/>
      <c r="D212" s="2"/>
      <c r="E212" s="4"/>
      <c r="F212" s="4"/>
      <c r="G212" s="4"/>
      <c r="H212" s="4"/>
      <c r="I212" s="4"/>
      <c r="J212" s="4"/>
      <c r="K212" s="4"/>
      <c r="L212" s="4"/>
      <c r="M212" s="4"/>
      <c r="N212" s="4"/>
      <c r="O212" s="4"/>
      <c r="P212" s="4"/>
      <c r="Q212" s="4"/>
      <c r="R212" s="210"/>
      <c r="S212" s="4"/>
      <c r="T212" s="4"/>
      <c r="U212" s="4"/>
      <c r="V212" s="4"/>
      <c r="W212" s="4"/>
      <c r="X212" s="4"/>
      <c r="Y212" s="4"/>
      <c r="Z212" s="4"/>
    </row>
    <row r="213" ht="16.5" customHeight="1">
      <c r="A213" s="3"/>
      <c r="B213" s="2"/>
      <c r="C213" s="3"/>
      <c r="D213" s="2"/>
      <c r="E213" s="4"/>
      <c r="F213" s="4"/>
      <c r="G213" s="4"/>
      <c r="H213" s="4"/>
      <c r="I213" s="4"/>
      <c r="J213" s="4"/>
      <c r="K213" s="4"/>
      <c r="L213" s="4"/>
      <c r="M213" s="4"/>
      <c r="N213" s="4"/>
      <c r="O213" s="4"/>
      <c r="P213" s="4"/>
      <c r="Q213" s="4"/>
      <c r="R213" s="210"/>
      <c r="S213" s="4"/>
      <c r="T213" s="4"/>
      <c r="U213" s="4"/>
      <c r="V213" s="4"/>
      <c r="W213" s="4"/>
      <c r="X213" s="4"/>
      <c r="Y213" s="4"/>
      <c r="Z213" s="4"/>
    </row>
    <row r="214" ht="16.5" customHeight="1">
      <c r="A214" s="3"/>
      <c r="B214" s="2"/>
      <c r="C214" s="3"/>
      <c r="D214" s="2"/>
      <c r="E214" s="4"/>
      <c r="F214" s="4"/>
      <c r="G214" s="4"/>
      <c r="H214" s="4"/>
      <c r="I214" s="4"/>
      <c r="J214" s="4"/>
      <c r="K214" s="4"/>
      <c r="L214" s="4"/>
      <c r="M214" s="4"/>
      <c r="N214" s="4"/>
      <c r="O214" s="4"/>
      <c r="P214" s="4"/>
      <c r="Q214" s="4"/>
      <c r="R214" s="210"/>
      <c r="S214" s="4"/>
      <c r="T214" s="4"/>
      <c r="U214" s="4"/>
      <c r="V214" s="4"/>
      <c r="W214" s="4"/>
      <c r="X214" s="4"/>
      <c r="Y214" s="4"/>
      <c r="Z214" s="4"/>
    </row>
    <row r="215" ht="16.5" customHeight="1">
      <c r="A215" s="3"/>
      <c r="B215" s="2"/>
      <c r="C215" s="3"/>
      <c r="D215" s="2"/>
      <c r="E215" s="4"/>
      <c r="F215" s="4"/>
      <c r="G215" s="4"/>
      <c r="H215" s="4"/>
      <c r="I215" s="4"/>
      <c r="J215" s="4"/>
      <c r="K215" s="4"/>
      <c r="L215" s="4"/>
      <c r="M215" s="4"/>
      <c r="N215" s="4"/>
      <c r="O215" s="4"/>
      <c r="P215" s="4"/>
      <c r="Q215" s="4"/>
      <c r="R215" s="210"/>
      <c r="S215" s="4"/>
      <c r="T215" s="4"/>
      <c r="U215" s="4"/>
      <c r="V215" s="4"/>
      <c r="W215" s="4"/>
      <c r="X215" s="4"/>
      <c r="Y215" s="4"/>
      <c r="Z215" s="4"/>
    </row>
    <row r="216" ht="16.5" customHeight="1">
      <c r="A216" s="3"/>
      <c r="B216" s="2"/>
      <c r="C216" s="3"/>
      <c r="D216" s="2"/>
      <c r="E216" s="4"/>
      <c r="F216" s="4"/>
      <c r="G216" s="4"/>
      <c r="H216" s="4"/>
      <c r="I216" s="4"/>
      <c r="J216" s="4"/>
      <c r="K216" s="4"/>
      <c r="L216" s="4"/>
      <c r="M216" s="4"/>
      <c r="N216" s="4"/>
      <c r="O216" s="4"/>
      <c r="P216" s="4"/>
      <c r="Q216" s="4"/>
      <c r="R216" s="210"/>
      <c r="S216" s="4"/>
      <c r="T216" s="4"/>
      <c r="U216" s="4"/>
      <c r="V216" s="4"/>
      <c r="W216" s="4"/>
      <c r="X216" s="4"/>
      <c r="Y216" s="4"/>
      <c r="Z216" s="4"/>
    </row>
    <row r="217" ht="16.5" customHeight="1">
      <c r="A217" s="3"/>
      <c r="B217" s="2"/>
      <c r="C217" s="3"/>
      <c r="D217" s="2"/>
      <c r="E217" s="4"/>
      <c r="F217" s="4"/>
      <c r="G217" s="4"/>
      <c r="H217" s="4"/>
      <c r="I217" s="4"/>
      <c r="J217" s="4"/>
      <c r="K217" s="4"/>
      <c r="L217" s="4"/>
      <c r="M217" s="4"/>
      <c r="N217" s="4"/>
      <c r="O217" s="4"/>
      <c r="P217" s="4"/>
      <c r="Q217" s="4"/>
      <c r="R217" s="210"/>
      <c r="S217" s="4"/>
      <c r="T217" s="4"/>
      <c r="U217" s="4"/>
      <c r="V217" s="4"/>
      <c r="W217" s="4"/>
      <c r="X217" s="4"/>
      <c r="Y217" s="4"/>
      <c r="Z217" s="4"/>
    </row>
    <row r="218" ht="16.5" customHeight="1">
      <c r="A218" s="3"/>
      <c r="B218" s="2"/>
      <c r="C218" s="3"/>
      <c r="D218" s="2"/>
      <c r="E218" s="4"/>
      <c r="F218" s="4"/>
      <c r="G218" s="4"/>
      <c r="H218" s="4"/>
      <c r="I218" s="4"/>
      <c r="J218" s="4"/>
      <c r="K218" s="4"/>
      <c r="L218" s="4"/>
      <c r="M218" s="4"/>
      <c r="N218" s="4"/>
      <c r="O218" s="4"/>
      <c r="P218" s="4"/>
      <c r="Q218" s="4"/>
      <c r="R218" s="210"/>
      <c r="S218" s="4"/>
      <c r="T218" s="4"/>
      <c r="U218" s="4"/>
      <c r="V218" s="4"/>
      <c r="W218" s="4"/>
      <c r="X218" s="4"/>
      <c r="Y218" s="4"/>
      <c r="Z218" s="4"/>
    </row>
    <row r="219" ht="16.5" customHeight="1">
      <c r="A219" s="3"/>
      <c r="B219" s="2"/>
      <c r="C219" s="3"/>
      <c r="D219" s="2"/>
      <c r="E219" s="4"/>
      <c r="F219" s="4"/>
      <c r="G219" s="4"/>
      <c r="H219" s="4"/>
      <c r="I219" s="4"/>
      <c r="J219" s="4"/>
      <c r="K219" s="4"/>
      <c r="L219" s="4"/>
      <c r="M219" s="4"/>
      <c r="N219" s="4"/>
      <c r="O219" s="4"/>
      <c r="P219" s="4"/>
      <c r="Q219" s="4"/>
      <c r="R219" s="210"/>
      <c r="S219" s="4"/>
      <c r="T219" s="4"/>
      <c r="U219" s="4"/>
      <c r="V219" s="4"/>
      <c r="W219" s="4"/>
      <c r="X219" s="4"/>
      <c r="Y219" s="4"/>
      <c r="Z219" s="4"/>
    </row>
    <row r="220" ht="16.5" customHeight="1">
      <c r="A220" s="3"/>
      <c r="B220" s="2"/>
      <c r="C220" s="3"/>
      <c r="D220" s="2"/>
      <c r="E220" s="4"/>
      <c r="F220" s="4"/>
      <c r="G220" s="4"/>
      <c r="H220" s="4"/>
      <c r="I220" s="4"/>
      <c r="J220" s="4"/>
      <c r="K220" s="4"/>
      <c r="L220" s="4"/>
      <c r="M220" s="4"/>
      <c r="N220" s="4"/>
      <c r="O220" s="4"/>
      <c r="P220" s="4"/>
      <c r="Q220" s="4"/>
      <c r="R220" s="210"/>
      <c r="S220" s="4"/>
      <c r="T220" s="4"/>
      <c r="U220" s="4"/>
      <c r="V220" s="4"/>
      <c r="W220" s="4"/>
      <c r="X220" s="4"/>
      <c r="Y220" s="4"/>
      <c r="Z220" s="4"/>
    </row>
    <row r="221" ht="16.5" customHeight="1">
      <c r="A221" s="3"/>
      <c r="B221" s="2"/>
      <c r="C221" s="3"/>
      <c r="D221" s="2"/>
      <c r="E221" s="4"/>
      <c r="F221" s="4"/>
      <c r="G221" s="4"/>
      <c r="H221" s="4"/>
      <c r="I221" s="4"/>
      <c r="J221" s="4"/>
      <c r="K221" s="4"/>
      <c r="L221" s="4"/>
      <c r="M221" s="4"/>
      <c r="N221" s="4"/>
      <c r="O221" s="4"/>
      <c r="P221" s="4"/>
      <c r="Q221" s="4"/>
      <c r="R221" s="210"/>
      <c r="S221" s="4"/>
      <c r="T221" s="4"/>
      <c r="U221" s="4"/>
      <c r="V221" s="4"/>
      <c r="W221" s="4"/>
      <c r="X221" s="4"/>
      <c r="Y221" s="4"/>
      <c r="Z221" s="4"/>
    </row>
    <row r="222" ht="16.5" customHeight="1">
      <c r="A222" s="3"/>
      <c r="B222" s="2"/>
      <c r="C222" s="3"/>
      <c r="D222" s="2"/>
      <c r="E222" s="4"/>
      <c r="F222" s="4"/>
      <c r="G222" s="4"/>
      <c r="H222" s="4"/>
      <c r="I222" s="4"/>
      <c r="J222" s="4"/>
      <c r="K222" s="4"/>
      <c r="L222" s="4"/>
      <c r="M222" s="4"/>
      <c r="N222" s="4"/>
      <c r="O222" s="4"/>
      <c r="P222" s="4"/>
      <c r="Q222" s="4"/>
      <c r="R222" s="210"/>
      <c r="S222" s="4"/>
      <c r="T222" s="4"/>
      <c r="U222" s="4"/>
      <c r="V222" s="4"/>
      <c r="W222" s="4"/>
      <c r="X222" s="4"/>
      <c r="Y222" s="4"/>
      <c r="Z222" s="4"/>
    </row>
    <row r="223" ht="16.5" customHeight="1">
      <c r="A223" s="3"/>
      <c r="B223" s="2"/>
      <c r="C223" s="3"/>
      <c r="D223" s="2"/>
      <c r="E223" s="4"/>
      <c r="F223" s="4"/>
      <c r="G223" s="4"/>
      <c r="H223" s="4"/>
      <c r="I223" s="4"/>
      <c r="J223" s="4"/>
      <c r="K223" s="4"/>
      <c r="L223" s="4"/>
      <c r="M223" s="4"/>
      <c r="N223" s="4"/>
      <c r="O223" s="4"/>
      <c r="P223" s="4"/>
      <c r="Q223" s="4"/>
      <c r="R223" s="210"/>
      <c r="S223" s="4"/>
      <c r="T223" s="4"/>
      <c r="U223" s="4"/>
      <c r="V223" s="4"/>
      <c r="W223" s="4"/>
      <c r="X223" s="4"/>
      <c r="Y223" s="4"/>
      <c r="Z223" s="4"/>
    </row>
    <row r="224" ht="16.5" customHeight="1">
      <c r="A224" s="3"/>
      <c r="B224" s="2"/>
      <c r="C224" s="3"/>
      <c r="D224" s="2"/>
      <c r="E224" s="4"/>
      <c r="F224" s="4"/>
      <c r="G224" s="4"/>
      <c r="H224" s="4"/>
      <c r="I224" s="4"/>
      <c r="J224" s="4"/>
      <c r="K224" s="4"/>
      <c r="L224" s="4"/>
      <c r="M224" s="4"/>
      <c r="N224" s="4"/>
      <c r="O224" s="4"/>
      <c r="P224" s="4"/>
      <c r="Q224" s="4"/>
      <c r="R224" s="210"/>
      <c r="S224" s="4"/>
      <c r="T224" s="4"/>
      <c r="U224" s="4"/>
      <c r="V224" s="4"/>
      <c r="W224" s="4"/>
      <c r="X224" s="4"/>
      <c r="Y224" s="4"/>
      <c r="Z224" s="4"/>
    </row>
    <row r="225" ht="16.5" customHeight="1">
      <c r="A225" s="3"/>
      <c r="B225" s="2"/>
      <c r="C225" s="3"/>
      <c r="D225" s="2"/>
      <c r="E225" s="4"/>
      <c r="F225" s="4"/>
      <c r="G225" s="4"/>
      <c r="H225" s="4"/>
      <c r="I225" s="4"/>
      <c r="J225" s="4"/>
      <c r="K225" s="4"/>
      <c r="L225" s="4"/>
      <c r="M225" s="4"/>
      <c r="N225" s="4"/>
      <c r="O225" s="4"/>
      <c r="P225" s="4"/>
      <c r="Q225" s="4"/>
      <c r="R225" s="210"/>
      <c r="S225" s="4"/>
      <c r="T225" s="4"/>
      <c r="U225" s="4"/>
      <c r="V225" s="4"/>
      <c r="W225" s="4"/>
      <c r="X225" s="4"/>
      <c r="Y225" s="4"/>
      <c r="Z225" s="4"/>
    </row>
    <row r="226" ht="16.5" customHeight="1">
      <c r="A226" s="3"/>
      <c r="B226" s="2"/>
      <c r="C226" s="3"/>
      <c r="D226" s="2"/>
      <c r="E226" s="4"/>
      <c r="F226" s="4"/>
      <c r="G226" s="4"/>
      <c r="H226" s="4"/>
      <c r="I226" s="4"/>
      <c r="J226" s="4"/>
      <c r="K226" s="4"/>
      <c r="L226" s="4"/>
      <c r="M226" s="4"/>
      <c r="N226" s="4"/>
      <c r="O226" s="4"/>
      <c r="P226" s="4"/>
      <c r="Q226" s="4"/>
      <c r="R226" s="210"/>
      <c r="S226" s="4"/>
      <c r="T226" s="4"/>
      <c r="U226" s="4"/>
      <c r="V226" s="4"/>
      <c r="W226" s="4"/>
      <c r="X226" s="4"/>
      <c r="Y226" s="4"/>
      <c r="Z226" s="4"/>
    </row>
    <row r="227" ht="16.5" customHeight="1">
      <c r="A227" s="3"/>
      <c r="B227" s="2"/>
      <c r="C227" s="3"/>
      <c r="D227" s="2"/>
      <c r="E227" s="4"/>
      <c r="F227" s="4"/>
      <c r="G227" s="4"/>
      <c r="H227" s="4"/>
      <c r="I227" s="4"/>
      <c r="J227" s="4"/>
      <c r="K227" s="4"/>
      <c r="L227" s="4"/>
      <c r="M227" s="4"/>
      <c r="N227" s="4"/>
      <c r="O227" s="4"/>
      <c r="P227" s="4"/>
      <c r="Q227" s="4"/>
      <c r="R227" s="210"/>
      <c r="S227" s="4"/>
      <c r="T227" s="4"/>
      <c r="U227" s="4"/>
      <c r="V227" s="4"/>
      <c r="W227" s="4"/>
      <c r="X227" s="4"/>
      <c r="Y227" s="4"/>
      <c r="Z227" s="4"/>
    </row>
    <row r="228" ht="16.5" customHeight="1">
      <c r="A228" s="3"/>
      <c r="B228" s="2"/>
      <c r="C228" s="3"/>
      <c r="D228" s="2"/>
      <c r="E228" s="4"/>
      <c r="F228" s="4"/>
      <c r="G228" s="4"/>
      <c r="H228" s="4"/>
      <c r="I228" s="4"/>
      <c r="J228" s="4"/>
      <c r="K228" s="4"/>
      <c r="L228" s="4"/>
      <c r="M228" s="4"/>
      <c r="N228" s="4"/>
      <c r="O228" s="4"/>
      <c r="P228" s="4"/>
      <c r="Q228" s="4"/>
      <c r="R228" s="210"/>
      <c r="S228" s="4"/>
      <c r="T228" s="4"/>
      <c r="U228" s="4"/>
      <c r="V228" s="4"/>
      <c r="W228" s="4"/>
      <c r="X228" s="4"/>
      <c r="Y228" s="4"/>
      <c r="Z228" s="4"/>
    </row>
    <row r="229" ht="16.5" customHeight="1">
      <c r="A229" s="3"/>
      <c r="B229" s="2"/>
      <c r="C229" s="3"/>
      <c r="D229" s="2"/>
      <c r="E229" s="4"/>
      <c r="F229" s="4"/>
      <c r="G229" s="4"/>
      <c r="H229" s="4"/>
      <c r="I229" s="4"/>
      <c r="J229" s="4"/>
      <c r="K229" s="4"/>
      <c r="L229" s="4"/>
      <c r="M229" s="4"/>
      <c r="N229" s="4"/>
      <c r="O229" s="4"/>
      <c r="P229" s="4"/>
      <c r="Q229" s="4"/>
      <c r="R229" s="210"/>
      <c r="S229" s="4"/>
      <c r="T229" s="4"/>
      <c r="U229" s="4"/>
      <c r="V229" s="4"/>
      <c r="W229" s="4"/>
      <c r="X229" s="4"/>
      <c r="Y229" s="4"/>
      <c r="Z229" s="4"/>
    </row>
    <row r="230" ht="16.5" customHeight="1">
      <c r="A230" s="3"/>
      <c r="B230" s="2"/>
      <c r="C230" s="3"/>
      <c r="D230" s="2"/>
      <c r="E230" s="4"/>
      <c r="F230" s="4"/>
      <c r="G230" s="4"/>
      <c r="H230" s="4"/>
      <c r="I230" s="4"/>
      <c r="J230" s="4"/>
      <c r="K230" s="4"/>
      <c r="L230" s="4"/>
      <c r="M230" s="4"/>
      <c r="N230" s="4"/>
      <c r="O230" s="4"/>
      <c r="P230" s="4"/>
      <c r="Q230" s="4"/>
      <c r="R230" s="210"/>
      <c r="S230" s="4"/>
      <c r="T230" s="4"/>
      <c r="U230" s="4"/>
      <c r="V230" s="4"/>
      <c r="W230" s="4"/>
      <c r="X230" s="4"/>
      <c r="Y230" s="4"/>
      <c r="Z230" s="4"/>
    </row>
    <row r="231" ht="16.5" customHeight="1">
      <c r="A231" s="3"/>
      <c r="B231" s="2"/>
      <c r="C231" s="3"/>
      <c r="D231" s="2"/>
      <c r="E231" s="4"/>
      <c r="F231" s="4"/>
      <c r="G231" s="4"/>
      <c r="H231" s="4"/>
      <c r="I231" s="4"/>
      <c r="J231" s="4"/>
      <c r="K231" s="4"/>
      <c r="L231" s="4"/>
      <c r="M231" s="4"/>
      <c r="N231" s="4"/>
      <c r="O231" s="4"/>
      <c r="P231" s="4"/>
      <c r="Q231" s="4"/>
      <c r="R231" s="210"/>
      <c r="S231" s="4"/>
      <c r="T231" s="4"/>
      <c r="U231" s="4"/>
      <c r="V231" s="4"/>
      <c r="W231" s="4"/>
      <c r="X231" s="4"/>
      <c r="Y231" s="4"/>
      <c r="Z231" s="4"/>
    </row>
    <row r="232" ht="16.5" customHeight="1">
      <c r="A232" s="3"/>
      <c r="B232" s="2"/>
      <c r="C232" s="3"/>
      <c r="D232" s="2"/>
      <c r="E232" s="4"/>
      <c r="F232" s="4"/>
      <c r="G232" s="4"/>
      <c r="H232" s="4"/>
      <c r="I232" s="4"/>
      <c r="J232" s="4"/>
      <c r="K232" s="4"/>
      <c r="L232" s="4"/>
      <c r="M232" s="4"/>
      <c r="N232" s="4"/>
      <c r="O232" s="4"/>
      <c r="P232" s="4"/>
      <c r="Q232" s="4"/>
      <c r="R232" s="210"/>
      <c r="S232" s="4"/>
      <c r="T232" s="4"/>
      <c r="U232" s="4"/>
      <c r="V232" s="4"/>
      <c r="W232" s="4"/>
      <c r="X232" s="4"/>
      <c r="Y232" s="4"/>
      <c r="Z232" s="4"/>
    </row>
    <row r="233" ht="16.5" customHeight="1">
      <c r="A233" s="3"/>
      <c r="B233" s="2"/>
      <c r="C233" s="3"/>
      <c r="D233" s="2"/>
      <c r="E233" s="4"/>
      <c r="F233" s="4"/>
      <c r="G233" s="4"/>
      <c r="H233" s="4"/>
      <c r="I233" s="4"/>
      <c r="J233" s="4"/>
      <c r="K233" s="4"/>
      <c r="L233" s="4"/>
      <c r="M233" s="4"/>
      <c r="N233" s="4"/>
      <c r="O233" s="4"/>
      <c r="P233" s="4"/>
      <c r="Q233" s="4"/>
      <c r="R233" s="210"/>
      <c r="S233" s="4"/>
      <c r="T233" s="4"/>
      <c r="U233" s="4"/>
      <c r="V233" s="4"/>
      <c r="W233" s="4"/>
      <c r="X233" s="4"/>
      <c r="Y233" s="4"/>
      <c r="Z233" s="4"/>
    </row>
    <row r="234" ht="16.5" customHeight="1">
      <c r="A234" s="3"/>
      <c r="B234" s="2"/>
      <c r="C234" s="3"/>
      <c r="D234" s="2"/>
      <c r="E234" s="4"/>
      <c r="F234" s="4"/>
      <c r="G234" s="4"/>
      <c r="H234" s="4"/>
      <c r="I234" s="4"/>
      <c r="J234" s="4"/>
      <c r="K234" s="4"/>
      <c r="L234" s="4"/>
      <c r="M234" s="4"/>
      <c r="N234" s="4"/>
      <c r="O234" s="4"/>
      <c r="P234" s="4"/>
      <c r="Q234" s="4"/>
      <c r="R234" s="210"/>
      <c r="S234" s="4"/>
      <c r="T234" s="4"/>
      <c r="U234" s="4"/>
      <c r="V234" s="4"/>
      <c r="W234" s="4"/>
      <c r="X234" s="4"/>
      <c r="Y234" s="4"/>
      <c r="Z234" s="4"/>
    </row>
    <row r="235" ht="16.5" customHeight="1">
      <c r="A235" s="3"/>
      <c r="B235" s="2"/>
      <c r="C235" s="3"/>
      <c r="D235" s="2"/>
      <c r="E235" s="4"/>
      <c r="F235" s="4"/>
      <c r="G235" s="4"/>
      <c r="H235" s="4"/>
      <c r="I235" s="4"/>
      <c r="J235" s="4"/>
      <c r="K235" s="4"/>
      <c r="L235" s="4"/>
      <c r="M235" s="4"/>
      <c r="N235" s="4"/>
      <c r="O235" s="4"/>
      <c r="P235" s="4"/>
      <c r="Q235" s="4"/>
      <c r="R235" s="210"/>
      <c r="S235" s="4"/>
      <c r="T235" s="4"/>
      <c r="U235" s="4"/>
      <c r="V235" s="4"/>
      <c r="W235" s="4"/>
      <c r="X235" s="4"/>
      <c r="Y235" s="4"/>
      <c r="Z235" s="4"/>
    </row>
    <row r="236" ht="16.5" customHeight="1">
      <c r="A236" s="3"/>
      <c r="B236" s="2"/>
      <c r="C236" s="3"/>
      <c r="D236" s="2"/>
      <c r="E236" s="4"/>
      <c r="F236" s="4"/>
      <c r="G236" s="4"/>
      <c r="H236" s="4"/>
      <c r="I236" s="4"/>
      <c r="J236" s="4"/>
      <c r="K236" s="4"/>
      <c r="L236" s="4"/>
      <c r="M236" s="4"/>
      <c r="N236" s="4"/>
      <c r="O236" s="4"/>
      <c r="P236" s="4"/>
      <c r="Q236" s="4"/>
      <c r="R236" s="210"/>
      <c r="S236" s="4"/>
      <c r="T236" s="4"/>
      <c r="U236" s="4"/>
      <c r="V236" s="4"/>
      <c r="W236" s="4"/>
      <c r="X236" s="4"/>
      <c r="Y236" s="4"/>
      <c r="Z236" s="4"/>
    </row>
    <row r="237" ht="16.5" customHeight="1">
      <c r="A237" s="3"/>
      <c r="B237" s="2"/>
      <c r="C237" s="3"/>
      <c r="D237" s="2"/>
      <c r="E237" s="4"/>
      <c r="F237" s="4"/>
      <c r="G237" s="4"/>
      <c r="H237" s="4"/>
      <c r="I237" s="4"/>
      <c r="J237" s="4"/>
      <c r="K237" s="4"/>
      <c r="L237" s="4"/>
      <c r="M237" s="4"/>
      <c r="N237" s="4"/>
      <c r="O237" s="4"/>
      <c r="P237" s="4"/>
      <c r="Q237" s="4"/>
      <c r="R237" s="210"/>
      <c r="S237" s="4"/>
      <c r="T237" s="4"/>
      <c r="U237" s="4"/>
      <c r="V237" s="4"/>
      <c r="W237" s="4"/>
      <c r="X237" s="4"/>
      <c r="Y237" s="4"/>
      <c r="Z237" s="4"/>
    </row>
    <row r="238" ht="16.5" customHeight="1">
      <c r="A238" s="3"/>
      <c r="B238" s="2"/>
      <c r="C238" s="3"/>
      <c r="D238" s="2"/>
      <c r="E238" s="4"/>
      <c r="F238" s="4"/>
      <c r="G238" s="4"/>
      <c r="H238" s="4"/>
      <c r="I238" s="4"/>
      <c r="J238" s="4"/>
      <c r="K238" s="4"/>
      <c r="L238" s="4"/>
      <c r="M238" s="4"/>
      <c r="N238" s="4"/>
      <c r="O238" s="4"/>
      <c r="P238" s="4"/>
      <c r="Q238" s="4"/>
      <c r="R238" s="210"/>
      <c r="S238" s="4"/>
      <c r="T238" s="4"/>
      <c r="U238" s="4"/>
      <c r="V238" s="4"/>
      <c r="W238" s="4"/>
      <c r="X238" s="4"/>
      <c r="Y238" s="4"/>
      <c r="Z238" s="4"/>
    </row>
    <row r="239" ht="16.5" customHeight="1">
      <c r="A239" s="3"/>
      <c r="B239" s="2"/>
      <c r="C239" s="3"/>
      <c r="D239" s="2"/>
      <c r="E239" s="4"/>
      <c r="F239" s="4"/>
      <c r="G239" s="4"/>
      <c r="H239" s="4"/>
      <c r="I239" s="4"/>
      <c r="J239" s="4"/>
      <c r="K239" s="4"/>
      <c r="L239" s="4"/>
      <c r="M239" s="4"/>
      <c r="N239" s="4"/>
      <c r="O239" s="4"/>
      <c r="P239" s="4"/>
      <c r="Q239" s="4"/>
      <c r="R239" s="210"/>
      <c r="S239" s="4"/>
      <c r="T239" s="4"/>
      <c r="U239" s="4"/>
      <c r="V239" s="4"/>
      <c r="W239" s="4"/>
      <c r="X239" s="4"/>
      <c r="Y239" s="4"/>
      <c r="Z239" s="4"/>
    </row>
    <row r="240" ht="16.5" customHeight="1">
      <c r="A240" s="3"/>
      <c r="B240" s="2"/>
      <c r="C240" s="3"/>
      <c r="D240" s="2"/>
      <c r="E240" s="4"/>
      <c r="F240" s="4"/>
      <c r="G240" s="4"/>
      <c r="H240" s="4"/>
      <c r="I240" s="4"/>
      <c r="J240" s="4"/>
      <c r="K240" s="4"/>
      <c r="L240" s="4"/>
      <c r="M240" s="4"/>
      <c r="N240" s="4"/>
      <c r="O240" s="4"/>
      <c r="P240" s="4"/>
      <c r="Q240" s="4"/>
      <c r="R240" s="210"/>
      <c r="S240" s="4"/>
      <c r="T240" s="4"/>
      <c r="U240" s="4"/>
      <c r="V240" s="4"/>
      <c r="W240" s="4"/>
      <c r="X240" s="4"/>
      <c r="Y240" s="4"/>
      <c r="Z240" s="4"/>
    </row>
    <row r="241" ht="16.5" customHeight="1">
      <c r="A241" s="3"/>
      <c r="B241" s="2"/>
      <c r="C241" s="3"/>
      <c r="D241" s="2"/>
      <c r="E241" s="4"/>
      <c r="F241" s="4"/>
      <c r="G241" s="4"/>
      <c r="H241" s="4"/>
      <c r="I241" s="4"/>
      <c r="J241" s="4"/>
      <c r="K241" s="4"/>
      <c r="L241" s="4"/>
      <c r="M241" s="4"/>
      <c r="N241" s="4"/>
      <c r="O241" s="4"/>
      <c r="P241" s="4"/>
      <c r="Q241" s="4"/>
      <c r="R241" s="210"/>
      <c r="S241" s="4"/>
      <c r="T241" s="4"/>
      <c r="U241" s="4"/>
      <c r="V241" s="4"/>
      <c r="W241" s="4"/>
      <c r="X241" s="4"/>
      <c r="Y241" s="4"/>
      <c r="Z241" s="4"/>
    </row>
    <row r="242" ht="16.5" customHeight="1">
      <c r="A242" s="3"/>
      <c r="B242" s="2"/>
      <c r="C242" s="3"/>
      <c r="D242" s="2"/>
      <c r="E242" s="4"/>
      <c r="F242" s="4"/>
      <c r="G242" s="4"/>
      <c r="H242" s="4"/>
      <c r="I242" s="4"/>
      <c r="J242" s="4"/>
      <c r="K242" s="4"/>
      <c r="L242" s="4"/>
      <c r="M242" s="4"/>
      <c r="N242" s="4"/>
      <c r="O242" s="4"/>
      <c r="P242" s="4"/>
      <c r="Q242" s="4"/>
      <c r="R242" s="210"/>
      <c r="S242" s="4"/>
      <c r="T242" s="4"/>
      <c r="U242" s="4"/>
      <c r="V242" s="4"/>
      <c r="W242" s="4"/>
      <c r="X242" s="4"/>
      <c r="Y242" s="4"/>
      <c r="Z242" s="4"/>
    </row>
    <row r="243" ht="16.5" customHeight="1">
      <c r="A243" s="3"/>
      <c r="B243" s="2"/>
      <c r="C243" s="3"/>
      <c r="D243" s="2"/>
      <c r="E243" s="4"/>
      <c r="F243" s="4"/>
      <c r="G243" s="4"/>
      <c r="H243" s="4"/>
      <c r="I243" s="4"/>
      <c r="J243" s="4"/>
      <c r="K243" s="4"/>
      <c r="L243" s="4"/>
      <c r="M243" s="4"/>
      <c r="N243" s="4"/>
      <c r="O243" s="4"/>
      <c r="P243" s="4"/>
      <c r="Q243" s="4"/>
      <c r="R243" s="210"/>
      <c r="S243" s="4"/>
      <c r="T243" s="4"/>
      <c r="U243" s="4"/>
      <c r="V243" s="4"/>
      <c r="W243" s="4"/>
      <c r="X243" s="4"/>
      <c r="Y243" s="4"/>
      <c r="Z243" s="4"/>
    </row>
    <row r="244" ht="16.5" customHeight="1">
      <c r="A244" s="3"/>
      <c r="B244" s="2"/>
      <c r="C244" s="3"/>
      <c r="D244" s="2"/>
      <c r="E244" s="4"/>
      <c r="F244" s="4"/>
      <c r="G244" s="4"/>
      <c r="H244" s="4"/>
      <c r="I244" s="4"/>
      <c r="J244" s="4"/>
      <c r="K244" s="4"/>
      <c r="L244" s="4"/>
      <c r="M244" s="4"/>
      <c r="N244" s="4"/>
      <c r="O244" s="4"/>
      <c r="P244" s="4"/>
      <c r="Q244" s="4"/>
      <c r="R244" s="210"/>
      <c r="S244" s="4"/>
      <c r="T244" s="4"/>
      <c r="U244" s="4"/>
      <c r="V244" s="4"/>
      <c r="W244" s="4"/>
      <c r="X244" s="4"/>
      <c r="Y244" s="4"/>
      <c r="Z244" s="4"/>
    </row>
    <row r="245" ht="16.5" customHeight="1">
      <c r="A245" s="3"/>
      <c r="B245" s="2"/>
      <c r="C245" s="3"/>
      <c r="D245" s="2"/>
      <c r="E245" s="4"/>
      <c r="F245" s="4"/>
      <c r="G245" s="4"/>
      <c r="H245" s="4"/>
      <c r="I245" s="4"/>
      <c r="J245" s="4"/>
      <c r="K245" s="4"/>
      <c r="L245" s="4"/>
      <c r="M245" s="4"/>
      <c r="N245" s="4"/>
      <c r="O245" s="4"/>
      <c r="P245" s="4"/>
      <c r="Q245" s="4"/>
      <c r="R245" s="210"/>
      <c r="S245" s="4"/>
      <c r="T245" s="4"/>
      <c r="U245" s="4"/>
      <c r="V245" s="4"/>
      <c r="W245" s="4"/>
      <c r="X245" s="4"/>
      <c r="Y245" s="4"/>
      <c r="Z245" s="4"/>
    </row>
    <row r="246" ht="16.5" customHeight="1">
      <c r="A246" s="3"/>
      <c r="B246" s="2"/>
      <c r="C246" s="3"/>
      <c r="D246" s="2"/>
      <c r="E246" s="4"/>
      <c r="F246" s="4"/>
      <c r="G246" s="4"/>
      <c r="H246" s="4"/>
      <c r="I246" s="4"/>
      <c r="J246" s="4"/>
      <c r="K246" s="4"/>
      <c r="L246" s="4"/>
      <c r="M246" s="4"/>
      <c r="N246" s="4"/>
      <c r="O246" s="4"/>
      <c r="P246" s="4"/>
      <c r="Q246" s="4"/>
      <c r="R246" s="210"/>
      <c r="S246" s="4"/>
      <c r="T246" s="4"/>
      <c r="U246" s="4"/>
      <c r="V246" s="4"/>
      <c r="W246" s="4"/>
      <c r="X246" s="4"/>
      <c r="Y246" s="4"/>
      <c r="Z246" s="4"/>
    </row>
    <row r="247" ht="16.5" customHeight="1">
      <c r="A247" s="3"/>
      <c r="B247" s="2"/>
      <c r="C247" s="3"/>
      <c r="D247" s="2"/>
      <c r="E247" s="4"/>
      <c r="F247" s="4"/>
      <c r="G247" s="4"/>
      <c r="H247" s="4"/>
      <c r="I247" s="4"/>
      <c r="J247" s="4"/>
      <c r="K247" s="4"/>
      <c r="L247" s="4"/>
      <c r="M247" s="4"/>
      <c r="N247" s="4"/>
      <c r="O247" s="4"/>
      <c r="P247" s="4"/>
      <c r="Q247" s="4"/>
      <c r="R247" s="210"/>
      <c r="S247" s="4"/>
      <c r="T247" s="4"/>
      <c r="U247" s="4"/>
      <c r="V247" s="4"/>
      <c r="W247" s="4"/>
      <c r="X247" s="4"/>
      <c r="Y247" s="4"/>
      <c r="Z247" s="4"/>
    </row>
    <row r="248" ht="16.5" customHeight="1">
      <c r="A248" s="3"/>
      <c r="B248" s="2"/>
      <c r="C248" s="3"/>
      <c r="D248" s="2"/>
      <c r="E248" s="4"/>
      <c r="F248" s="4"/>
      <c r="G248" s="4"/>
      <c r="H248" s="4"/>
      <c r="I248" s="4"/>
      <c r="J248" s="4"/>
      <c r="K248" s="4"/>
      <c r="L248" s="4"/>
      <c r="M248" s="4"/>
      <c r="N248" s="4"/>
      <c r="O248" s="4"/>
      <c r="P248" s="4"/>
      <c r="Q248" s="4"/>
      <c r="R248" s="210"/>
      <c r="S248" s="4"/>
      <c r="T248" s="4"/>
      <c r="U248" s="4"/>
      <c r="V248" s="4"/>
      <c r="W248" s="4"/>
      <c r="X248" s="4"/>
      <c r="Y248" s="4"/>
      <c r="Z248" s="4"/>
    </row>
    <row r="249" ht="16.5" customHeight="1">
      <c r="A249" s="3"/>
      <c r="B249" s="2"/>
      <c r="C249" s="3"/>
      <c r="D249" s="2"/>
      <c r="E249" s="4"/>
      <c r="F249" s="4"/>
      <c r="G249" s="4"/>
      <c r="H249" s="4"/>
      <c r="I249" s="4"/>
      <c r="J249" s="4"/>
      <c r="K249" s="4"/>
      <c r="L249" s="4"/>
      <c r="M249" s="4"/>
      <c r="N249" s="4"/>
      <c r="O249" s="4"/>
      <c r="P249" s="4"/>
      <c r="Q249" s="4"/>
      <c r="R249" s="210"/>
      <c r="S249" s="4"/>
      <c r="T249" s="4"/>
      <c r="U249" s="4"/>
      <c r="V249" s="4"/>
      <c r="W249" s="4"/>
      <c r="X249" s="4"/>
      <c r="Y249" s="4"/>
      <c r="Z249" s="4"/>
    </row>
    <row r="250" ht="16.5" customHeight="1">
      <c r="A250" s="3"/>
      <c r="B250" s="2"/>
      <c r="C250" s="3"/>
      <c r="D250" s="2"/>
      <c r="E250" s="4"/>
      <c r="F250" s="4"/>
      <c r="G250" s="4"/>
      <c r="H250" s="4"/>
      <c r="I250" s="4"/>
      <c r="J250" s="4"/>
      <c r="K250" s="4"/>
      <c r="L250" s="4"/>
      <c r="M250" s="4"/>
      <c r="N250" s="4"/>
      <c r="O250" s="4"/>
      <c r="P250" s="4"/>
      <c r="Q250" s="4"/>
      <c r="R250" s="210"/>
      <c r="S250" s="4"/>
      <c r="T250" s="4"/>
      <c r="U250" s="4"/>
      <c r="V250" s="4"/>
      <c r="W250" s="4"/>
      <c r="X250" s="4"/>
      <c r="Y250" s="4"/>
      <c r="Z250" s="4"/>
    </row>
    <row r="251" ht="16.5" customHeight="1">
      <c r="A251" s="3"/>
      <c r="B251" s="2"/>
      <c r="C251" s="3"/>
      <c r="D251" s="2"/>
      <c r="E251" s="4"/>
      <c r="F251" s="4"/>
      <c r="G251" s="4"/>
      <c r="H251" s="4"/>
      <c r="I251" s="4"/>
      <c r="J251" s="4"/>
      <c r="K251" s="4"/>
      <c r="L251" s="4"/>
      <c r="M251" s="4"/>
      <c r="N251" s="4"/>
      <c r="O251" s="4"/>
      <c r="P251" s="4"/>
      <c r="Q251" s="4"/>
      <c r="R251" s="210"/>
      <c r="S251" s="4"/>
      <c r="T251" s="4"/>
      <c r="U251" s="4"/>
      <c r="V251" s="4"/>
      <c r="W251" s="4"/>
      <c r="X251" s="4"/>
      <c r="Y251" s="4"/>
      <c r="Z251" s="4"/>
    </row>
    <row r="252" ht="16.5" customHeight="1">
      <c r="A252" s="3"/>
      <c r="B252" s="2"/>
      <c r="C252" s="3"/>
      <c r="D252" s="2"/>
      <c r="E252" s="4"/>
      <c r="F252" s="4"/>
      <c r="G252" s="4"/>
      <c r="H252" s="4"/>
      <c r="I252" s="4"/>
      <c r="J252" s="4"/>
      <c r="K252" s="4"/>
      <c r="L252" s="4"/>
      <c r="M252" s="4"/>
      <c r="N252" s="4"/>
      <c r="O252" s="4"/>
      <c r="P252" s="4"/>
      <c r="Q252" s="4"/>
      <c r="R252" s="210"/>
      <c r="S252" s="4"/>
      <c r="T252" s="4"/>
      <c r="U252" s="4"/>
      <c r="V252" s="4"/>
      <c r="W252" s="4"/>
      <c r="X252" s="4"/>
      <c r="Y252" s="4"/>
      <c r="Z252" s="4"/>
    </row>
    <row r="253" ht="16.5" customHeight="1">
      <c r="A253" s="3"/>
      <c r="B253" s="2"/>
      <c r="C253" s="3"/>
      <c r="D253" s="2"/>
      <c r="E253" s="4"/>
      <c r="F253" s="4"/>
      <c r="G253" s="4"/>
      <c r="H253" s="4"/>
      <c r="I253" s="4"/>
      <c r="J253" s="4"/>
      <c r="K253" s="4"/>
      <c r="L253" s="4"/>
      <c r="M253" s="4"/>
      <c r="N253" s="4"/>
      <c r="O253" s="4"/>
      <c r="P253" s="4"/>
      <c r="Q253" s="4"/>
      <c r="R253" s="210"/>
      <c r="S253" s="4"/>
      <c r="T253" s="4"/>
      <c r="U253" s="4"/>
      <c r="V253" s="4"/>
      <c r="W253" s="4"/>
      <c r="X253" s="4"/>
      <c r="Y253" s="4"/>
      <c r="Z253" s="4"/>
    </row>
    <row r="254" ht="16.5" customHeight="1">
      <c r="A254" s="3"/>
      <c r="B254" s="2"/>
      <c r="C254" s="3"/>
      <c r="D254" s="2"/>
      <c r="E254" s="4"/>
      <c r="F254" s="4"/>
      <c r="G254" s="4"/>
      <c r="H254" s="4"/>
      <c r="I254" s="4"/>
      <c r="J254" s="4"/>
      <c r="K254" s="4"/>
      <c r="L254" s="4"/>
      <c r="M254" s="4"/>
      <c r="N254" s="4"/>
      <c r="O254" s="4"/>
      <c r="P254" s="4"/>
      <c r="Q254" s="4"/>
      <c r="R254" s="210"/>
      <c r="S254" s="4"/>
      <c r="T254" s="4"/>
      <c r="U254" s="4"/>
      <c r="V254" s="4"/>
      <c r="W254" s="4"/>
      <c r="X254" s="4"/>
      <c r="Y254" s="4"/>
      <c r="Z254" s="4"/>
    </row>
    <row r="255" ht="16.5" customHeight="1">
      <c r="A255" s="3"/>
      <c r="B255" s="2"/>
      <c r="C255" s="3"/>
      <c r="D255" s="2"/>
      <c r="E255" s="4"/>
      <c r="F255" s="4"/>
      <c r="G255" s="4"/>
      <c r="H255" s="4"/>
      <c r="I255" s="4"/>
      <c r="J255" s="4"/>
      <c r="K255" s="4"/>
      <c r="L255" s="4"/>
      <c r="M255" s="4"/>
      <c r="N255" s="4"/>
      <c r="O255" s="4"/>
      <c r="P255" s="4"/>
      <c r="Q255" s="4"/>
      <c r="R255" s="210"/>
      <c r="S255" s="4"/>
      <c r="T255" s="4"/>
      <c r="U255" s="4"/>
      <c r="V255" s="4"/>
      <c r="W255" s="4"/>
      <c r="X255" s="4"/>
      <c r="Y255" s="4"/>
      <c r="Z255" s="4"/>
    </row>
    <row r="256" ht="16.5" customHeight="1">
      <c r="A256" s="3"/>
      <c r="B256" s="2"/>
      <c r="C256" s="3"/>
      <c r="D256" s="2"/>
      <c r="E256" s="4"/>
      <c r="F256" s="4"/>
      <c r="G256" s="4"/>
      <c r="H256" s="4"/>
      <c r="I256" s="4"/>
      <c r="J256" s="4"/>
      <c r="K256" s="4"/>
      <c r="L256" s="4"/>
      <c r="M256" s="4"/>
      <c r="N256" s="4"/>
      <c r="O256" s="4"/>
      <c r="P256" s="4"/>
      <c r="Q256" s="4"/>
      <c r="R256" s="210"/>
      <c r="S256" s="4"/>
      <c r="T256" s="4"/>
      <c r="U256" s="4"/>
      <c r="V256" s="4"/>
      <c r="W256" s="4"/>
      <c r="X256" s="4"/>
      <c r="Y256" s="4"/>
      <c r="Z256" s="4"/>
    </row>
    <row r="257" ht="16.5" customHeight="1">
      <c r="A257" s="3"/>
      <c r="B257" s="2"/>
      <c r="C257" s="3"/>
      <c r="D257" s="2"/>
      <c r="E257" s="4"/>
      <c r="F257" s="4"/>
      <c r="G257" s="4"/>
      <c r="H257" s="4"/>
      <c r="I257" s="4"/>
      <c r="J257" s="4"/>
      <c r="K257" s="4"/>
      <c r="L257" s="4"/>
      <c r="M257" s="4"/>
      <c r="N257" s="4"/>
      <c r="O257" s="4"/>
      <c r="P257" s="4"/>
      <c r="Q257" s="4"/>
      <c r="R257" s="210"/>
      <c r="S257" s="4"/>
      <c r="T257" s="4"/>
      <c r="U257" s="4"/>
      <c r="V257" s="4"/>
      <c r="W257" s="4"/>
      <c r="X257" s="4"/>
      <c r="Y257" s="4"/>
      <c r="Z257" s="4"/>
    </row>
    <row r="258" ht="16.5" customHeight="1">
      <c r="A258" s="3"/>
      <c r="B258" s="2"/>
      <c r="C258" s="3"/>
      <c r="D258" s="2"/>
      <c r="E258" s="4"/>
      <c r="F258" s="4"/>
      <c r="G258" s="4"/>
      <c r="H258" s="4"/>
      <c r="I258" s="4"/>
      <c r="J258" s="4"/>
      <c r="K258" s="4"/>
      <c r="L258" s="4"/>
      <c r="M258" s="4"/>
      <c r="N258" s="4"/>
      <c r="O258" s="4"/>
      <c r="P258" s="4"/>
      <c r="Q258" s="4"/>
      <c r="R258" s="210"/>
      <c r="S258" s="4"/>
      <c r="T258" s="4"/>
      <c r="U258" s="4"/>
      <c r="V258" s="4"/>
      <c r="W258" s="4"/>
      <c r="X258" s="4"/>
      <c r="Y258" s="4"/>
      <c r="Z258" s="4"/>
    </row>
    <row r="259" ht="16.5" customHeight="1">
      <c r="A259" s="3"/>
      <c r="B259" s="2"/>
      <c r="C259" s="3"/>
      <c r="D259" s="2"/>
      <c r="E259" s="4"/>
      <c r="F259" s="4"/>
      <c r="G259" s="4"/>
      <c r="H259" s="4"/>
      <c r="I259" s="4"/>
      <c r="J259" s="4"/>
      <c r="K259" s="4"/>
      <c r="L259" s="4"/>
      <c r="M259" s="4"/>
      <c r="N259" s="4"/>
      <c r="O259" s="4"/>
      <c r="P259" s="4"/>
      <c r="Q259" s="4"/>
      <c r="R259" s="210"/>
      <c r="S259" s="4"/>
      <c r="T259" s="4"/>
      <c r="U259" s="4"/>
      <c r="V259" s="4"/>
      <c r="W259" s="4"/>
      <c r="X259" s="4"/>
      <c r="Y259" s="4"/>
      <c r="Z259" s="4"/>
    </row>
    <row r="260" ht="16.5" customHeight="1">
      <c r="A260" s="3"/>
      <c r="B260" s="2"/>
      <c r="C260" s="3"/>
      <c r="D260" s="2"/>
      <c r="E260" s="4"/>
      <c r="F260" s="4"/>
      <c r="G260" s="4"/>
      <c r="H260" s="4"/>
      <c r="I260" s="4"/>
      <c r="J260" s="4"/>
      <c r="K260" s="4"/>
      <c r="L260" s="4"/>
      <c r="M260" s="4"/>
      <c r="N260" s="4"/>
      <c r="O260" s="4"/>
      <c r="P260" s="4"/>
      <c r="Q260" s="4"/>
      <c r="R260" s="210"/>
      <c r="S260" s="4"/>
      <c r="T260" s="4"/>
      <c r="U260" s="4"/>
      <c r="V260" s="4"/>
      <c r="W260" s="4"/>
      <c r="X260" s="4"/>
      <c r="Y260" s="4"/>
      <c r="Z260" s="4"/>
    </row>
    <row r="261" ht="16.5" customHeight="1">
      <c r="A261" s="3"/>
      <c r="B261" s="2"/>
      <c r="C261" s="3"/>
      <c r="D261" s="2"/>
      <c r="E261" s="4"/>
      <c r="F261" s="4"/>
      <c r="G261" s="4"/>
      <c r="H261" s="4"/>
      <c r="I261" s="4"/>
      <c r="J261" s="4"/>
      <c r="K261" s="4"/>
      <c r="L261" s="4"/>
      <c r="M261" s="4"/>
      <c r="N261" s="4"/>
      <c r="O261" s="4"/>
      <c r="P261" s="4"/>
      <c r="Q261" s="4"/>
      <c r="R261" s="210"/>
      <c r="S261" s="4"/>
      <c r="T261" s="4"/>
      <c r="U261" s="4"/>
      <c r="V261" s="4"/>
      <c r="W261" s="4"/>
      <c r="X261" s="4"/>
      <c r="Y261" s="4"/>
      <c r="Z261" s="4"/>
    </row>
    <row r="262" ht="16.5" customHeight="1">
      <c r="A262" s="3"/>
      <c r="B262" s="2"/>
      <c r="C262" s="3"/>
      <c r="D262" s="2"/>
      <c r="E262" s="4"/>
      <c r="F262" s="4"/>
      <c r="G262" s="4"/>
      <c r="H262" s="4"/>
      <c r="I262" s="4"/>
      <c r="J262" s="4"/>
      <c r="K262" s="4"/>
      <c r="L262" s="4"/>
      <c r="M262" s="4"/>
      <c r="N262" s="4"/>
      <c r="O262" s="4"/>
      <c r="P262" s="4"/>
      <c r="Q262" s="4"/>
      <c r="R262" s="210"/>
      <c r="S262" s="4"/>
      <c r="T262" s="4"/>
      <c r="U262" s="4"/>
      <c r="V262" s="4"/>
      <c r="W262" s="4"/>
      <c r="X262" s="4"/>
      <c r="Y262" s="4"/>
      <c r="Z262" s="4"/>
    </row>
    <row r="263" ht="16.5" customHeight="1">
      <c r="A263" s="3"/>
      <c r="B263" s="2"/>
      <c r="C263" s="3"/>
      <c r="D263" s="2"/>
      <c r="E263" s="4"/>
      <c r="F263" s="4"/>
      <c r="G263" s="4"/>
      <c r="H263" s="4"/>
      <c r="I263" s="4"/>
      <c r="J263" s="4"/>
      <c r="K263" s="4"/>
      <c r="L263" s="4"/>
      <c r="M263" s="4"/>
      <c r="N263" s="4"/>
      <c r="O263" s="4"/>
      <c r="P263" s="4"/>
      <c r="Q263" s="4"/>
      <c r="R263" s="210"/>
      <c r="S263" s="4"/>
      <c r="T263" s="4"/>
      <c r="U263" s="4"/>
      <c r="V263" s="4"/>
      <c r="W263" s="4"/>
      <c r="X263" s="4"/>
      <c r="Y263" s="4"/>
      <c r="Z263" s="4"/>
    </row>
    <row r="264" ht="16.5" customHeight="1">
      <c r="A264" s="3"/>
      <c r="B264" s="2"/>
      <c r="C264" s="3"/>
      <c r="D264" s="2"/>
      <c r="E264" s="4"/>
      <c r="F264" s="4"/>
      <c r="G264" s="4"/>
      <c r="H264" s="4"/>
      <c r="I264" s="4"/>
      <c r="J264" s="4"/>
      <c r="K264" s="4"/>
      <c r="L264" s="4"/>
      <c r="M264" s="4"/>
      <c r="N264" s="4"/>
      <c r="O264" s="4"/>
      <c r="P264" s="4"/>
      <c r="Q264" s="4"/>
      <c r="R264" s="210"/>
      <c r="S264" s="4"/>
      <c r="T264" s="4"/>
      <c r="U264" s="4"/>
      <c r="V264" s="4"/>
      <c r="W264" s="4"/>
      <c r="X264" s="4"/>
      <c r="Y264" s="4"/>
      <c r="Z264" s="4"/>
    </row>
    <row r="265" ht="16.5" customHeight="1">
      <c r="A265" s="3"/>
      <c r="B265" s="2"/>
      <c r="C265" s="3"/>
      <c r="D265" s="2"/>
      <c r="E265" s="4"/>
      <c r="F265" s="4"/>
      <c r="G265" s="4"/>
      <c r="H265" s="4"/>
      <c r="I265" s="4"/>
      <c r="J265" s="4"/>
      <c r="K265" s="4"/>
      <c r="L265" s="4"/>
      <c r="M265" s="4"/>
      <c r="N265" s="4"/>
      <c r="O265" s="4"/>
      <c r="P265" s="4"/>
      <c r="Q265" s="4"/>
      <c r="R265" s="210"/>
      <c r="S265" s="4"/>
      <c r="T265" s="4"/>
      <c r="U265" s="4"/>
      <c r="V265" s="4"/>
      <c r="W265" s="4"/>
      <c r="X265" s="4"/>
      <c r="Y265" s="4"/>
      <c r="Z265" s="4"/>
    </row>
    <row r="266" ht="16.5" customHeight="1">
      <c r="A266" s="3"/>
      <c r="B266" s="2"/>
      <c r="C266" s="3"/>
      <c r="D266" s="2"/>
      <c r="E266" s="4"/>
      <c r="F266" s="4"/>
      <c r="G266" s="4"/>
      <c r="H266" s="4"/>
      <c r="I266" s="4"/>
      <c r="J266" s="4"/>
      <c r="K266" s="4"/>
      <c r="L266" s="4"/>
      <c r="M266" s="4"/>
      <c r="N266" s="4"/>
      <c r="O266" s="4"/>
      <c r="P266" s="4"/>
      <c r="Q266" s="4"/>
      <c r="R266" s="210"/>
      <c r="S266" s="4"/>
      <c r="T266" s="4"/>
      <c r="U266" s="4"/>
      <c r="V266" s="4"/>
      <c r="W266" s="4"/>
      <c r="X266" s="4"/>
      <c r="Y266" s="4"/>
      <c r="Z266" s="4"/>
    </row>
    <row r="267" ht="16.5" customHeight="1">
      <c r="A267" s="3"/>
      <c r="B267" s="2"/>
      <c r="C267" s="3"/>
      <c r="D267" s="2"/>
      <c r="E267" s="4"/>
      <c r="F267" s="4"/>
      <c r="G267" s="4"/>
      <c r="H267" s="4"/>
      <c r="I267" s="4"/>
      <c r="J267" s="4"/>
      <c r="K267" s="4"/>
      <c r="L267" s="4"/>
      <c r="M267" s="4"/>
      <c r="N267" s="4"/>
      <c r="O267" s="4"/>
      <c r="P267" s="4"/>
      <c r="Q267" s="4"/>
      <c r="R267" s="210"/>
      <c r="S267" s="4"/>
      <c r="T267" s="4"/>
      <c r="U267" s="4"/>
      <c r="V267" s="4"/>
      <c r="W267" s="4"/>
      <c r="X267" s="4"/>
      <c r="Y267" s="4"/>
      <c r="Z267" s="4"/>
    </row>
    <row r="268" ht="16.5" customHeight="1">
      <c r="A268" s="3"/>
      <c r="B268" s="2"/>
      <c r="C268" s="3"/>
      <c r="D268" s="2"/>
      <c r="E268" s="4"/>
      <c r="F268" s="4"/>
      <c r="G268" s="4"/>
      <c r="H268" s="4"/>
      <c r="I268" s="4"/>
      <c r="J268" s="4"/>
      <c r="K268" s="4"/>
      <c r="L268" s="4"/>
      <c r="M268" s="4"/>
      <c r="N268" s="4"/>
      <c r="O268" s="4"/>
      <c r="P268" s="4"/>
      <c r="Q268" s="4"/>
      <c r="R268" s="210"/>
      <c r="S268" s="4"/>
      <c r="T268" s="4"/>
      <c r="U268" s="4"/>
      <c r="V268" s="4"/>
      <c r="W268" s="4"/>
      <c r="X268" s="4"/>
      <c r="Y268" s="4"/>
      <c r="Z268" s="4"/>
    </row>
    <row r="269" ht="16.5" customHeight="1">
      <c r="A269" s="3"/>
      <c r="B269" s="2"/>
      <c r="C269" s="3"/>
      <c r="D269" s="2"/>
      <c r="E269" s="4"/>
      <c r="F269" s="4"/>
      <c r="G269" s="4"/>
      <c r="H269" s="4"/>
      <c r="I269" s="4"/>
      <c r="J269" s="4"/>
      <c r="K269" s="4"/>
      <c r="L269" s="4"/>
      <c r="M269" s="4"/>
      <c r="N269" s="4"/>
      <c r="O269" s="4"/>
      <c r="P269" s="4"/>
      <c r="Q269" s="4"/>
      <c r="R269" s="210"/>
      <c r="S269" s="4"/>
      <c r="T269" s="4"/>
      <c r="U269" s="4"/>
      <c r="V269" s="4"/>
      <c r="W269" s="4"/>
      <c r="X269" s="4"/>
      <c r="Y269" s="4"/>
      <c r="Z269" s="4"/>
    </row>
    <row r="270" ht="16.5" customHeight="1">
      <c r="A270" s="3"/>
      <c r="B270" s="2"/>
      <c r="C270" s="3"/>
      <c r="D270" s="2"/>
      <c r="E270" s="4"/>
      <c r="F270" s="4"/>
      <c r="G270" s="4"/>
      <c r="H270" s="4"/>
      <c r="I270" s="4"/>
      <c r="J270" s="4"/>
      <c r="K270" s="4"/>
      <c r="L270" s="4"/>
      <c r="M270" s="4"/>
      <c r="N270" s="4"/>
      <c r="O270" s="4"/>
      <c r="P270" s="4"/>
      <c r="Q270" s="4"/>
      <c r="R270" s="210"/>
      <c r="S270" s="4"/>
      <c r="T270" s="4"/>
      <c r="U270" s="4"/>
      <c r="V270" s="4"/>
      <c r="W270" s="4"/>
      <c r="X270" s="4"/>
      <c r="Y270" s="4"/>
      <c r="Z270" s="4"/>
    </row>
    <row r="271" ht="16.5" customHeight="1">
      <c r="A271" s="3"/>
      <c r="B271" s="2"/>
      <c r="C271" s="3"/>
      <c r="D271" s="2"/>
      <c r="E271" s="4"/>
      <c r="F271" s="4"/>
      <c r="G271" s="4"/>
      <c r="H271" s="4"/>
      <c r="I271" s="4"/>
      <c r="J271" s="4"/>
      <c r="K271" s="4"/>
      <c r="L271" s="4"/>
      <c r="M271" s="4"/>
      <c r="N271" s="4"/>
      <c r="O271" s="4"/>
      <c r="P271" s="4"/>
      <c r="Q271" s="4"/>
      <c r="R271" s="210"/>
      <c r="S271" s="4"/>
      <c r="T271" s="4"/>
      <c r="U271" s="4"/>
      <c r="V271" s="4"/>
      <c r="W271" s="4"/>
      <c r="X271" s="4"/>
      <c r="Y271" s="4"/>
      <c r="Z271" s="4"/>
    </row>
    <row r="272" ht="16.5" customHeight="1">
      <c r="A272" s="3"/>
      <c r="B272" s="2"/>
      <c r="C272" s="3"/>
      <c r="D272" s="2"/>
      <c r="E272" s="4"/>
      <c r="F272" s="4"/>
      <c r="G272" s="4"/>
      <c r="H272" s="4"/>
      <c r="I272" s="4"/>
      <c r="J272" s="4"/>
      <c r="K272" s="4"/>
      <c r="L272" s="4"/>
      <c r="M272" s="4"/>
      <c r="N272" s="4"/>
      <c r="O272" s="4"/>
      <c r="P272" s="4"/>
      <c r="Q272" s="4"/>
      <c r="R272" s="210"/>
      <c r="S272" s="4"/>
      <c r="T272" s="4"/>
      <c r="U272" s="4"/>
      <c r="V272" s="4"/>
      <c r="W272" s="4"/>
      <c r="X272" s="4"/>
      <c r="Y272" s="4"/>
      <c r="Z272" s="4"/>
    </row>
    <row r="273" ht="16.5" customHeight="1">
      <c r="A273" s="3"/>
      <c r="B273" s="2"/>
      <c r="C273" s="3"/>
      <c r="D273" s="2"/>
      <c r="E273" s="4"/>
      <c r="F273" s="4"/>
      <c r="G273" s="4"/>
      <c r="H273" s="4"/>
      <c r="I273" s="4"/>
      <c r="J273" s="4"/>
      <c r="K273" s="4"/>
      <c r="L273" s="4"/>
      <c r="M273" s="4"/>
      <c r="N273" s="4"/>
      <c r="O273" s="4"/>
      <c r="P273" s="4"/>
      <c r="Q273" s="4"/>
      <c r="R273" s="210"/>
      <c r="S273" s="4"/>
      <c r="T273" s="4"/>
      <c r="U273" s="4"/>
      <c r="V273" s="4"/>
      <c r="W273" s="4"/>
      <c r="X273" s="4"/>
      <c r="Y273" s="4"/>
      <c r="Z273" s="4"/>
    </row>
    <row r="274" ht="16.5" customHeight="1">
      <c r="A274" s="3"/>
      <c r="B274" s="2"/>
      <c r="C274" s="3"/>
      <c r="D274" s="2"/>
      <c r="E274" s="4"/>
      <c r="F274" s="4"/>
      <c r="G274" s="4"/>
      <c r="H274" s="4"/>
      <c r="I274" s="4"/>
      <c r="J274" s="4"/>
      <c r="K274" s="4"/>
      <c r="L274" s="4"/>
      <c r="M274" s="4"/>
      <c r="N274" s="4"/>
      <c r="O274" s="4"/>
      <c r="P274" s="4"/>
      <c r="Q274" s="4"/>
      <c r="R274" s="210"/>
      <c r="S274" s="4"/>
      <c r="T274" s="4"/>
      <c r="U274" s="4"/>
      <c r="V274" s="4"/>
      <c r="W274" s="4"/>
      <c r="X274" s="4"/>
      <c r="Y274" s="4"/>
      <c r="Z274" s="4"/>
    </row>
    <row r="275" ht="16.5" customHeight="1">
      <c r="A275" s="3"/>
      <c r="B275" s="2"/>
      <c r="C275" s="3"/>
      <c r="D275" s="2"/>
      <c r="E275" s="4"/>
      <c r="F275" s="4"/>
      <c r="G275" s="4"/>
      <c r="H275" s="4"/>
      <c r="I275" s="4"/>
      <c r="J275" s="4"/>
      <c r="K275" s="4"/>
      <c r="L275" s="4"/>
      <c r="M275" s="4"/>
      <c r="N275" s="4"/>
      <c r="O275" s="4"/>
      <c r="P275" s="4"/>
      <c r="Q275" s="4"/>
      <c r="R275" s="210"/>
      <c r="S275" s="4"/>
      <c r="T275" s="4"/>
      <c r="U275" s="4"/>
      <c r="V275" s="4"/>
      <c r="W275" s="4"/>
      <c r="X275" s="4"/>
      <c r="Y275" s="4"/>
      <c r="Z275" s="4"/>
    </row>
    <row r="276" ht="16.5" customHeight="1">
      <c r="A276" s="3"/>
      <c r="B276" s="2"/>
      <c r="C276" s="3"/>
      <c r="D276" s="2"/>
      <c r="E276" s="4"/>
      <c r="F276" s="4"/>
      <c r="G276" s="4"/>
      <c r="H276" s="4"/>
      <c r="I276" s="4"/>
      <c r="J276" s="4"/>
      <c r="K276" s="4"/>
      <c r="L276" s="4"/>
      <c r="M276" s="4"/>
      <c r="N276" s="4"/>
      <c r="O276" s="4"/>
      <c r="P276" s="4"/>
      <c r="Q276" s="4"/>
      <c r="R276" s="210"/>
      <c r="S276" s="4"/>
      <c r="T276" s="4"/>
      <c r="U276" s="4"/>
      <c r="V276" s="4"/>
      <c r="W276" s="4"/>
      <c r="X276" s="4"/>
      <c r="Y276" s="4"/>
      <c r="Z276" s="4"/>
    </row>
    <row r="277" ht="16.5" customHeight="1">
      <c r="A277" s="3"/>
      <c r="B277" s="2"/>
      <c r="C277" s="3"/>
      <c r="D277" s="2"/>
      <c r="E277" s="4"/>
      <c r="F277" s="4"/>
      <c r="G277" s="4"/>
      <c r="H277" s="4"/>
      <c r="I277" s="4"/>
      <c r="J277" s="4"/>
      <c r="K277" s="4"/>
      <c r="L277" s="4"/>
      <c r="M277" s="4"/>
      <c r="N277" s="4"/>
      <c r="O277" s="4"/>
      <c r="P277" s="4"/>
      <c r="Q277" s="4"/>
      <c r="R277" s="210"/>
      <c r="S277" s="4"/>
      <c r="T277" s="4"/>
      <c r="U277" s="4"/>
      <c r="V277" s="4"/>
      <c r="W277" s="4"/>
      <c r="X277" s="4"/>
      <c r="Y277" s="4"/>
      <c r="Z277" s="4"/>
    </row>
    <row r="278" ht="16.5" customHeight="1">
      <c r="A278" s="3"/>
      <c r="B278" s="2"/>
      <c r="C278" s="3"/>
      <c r="D278" s="2"/>
      <c r="E278" s="4"/>
      <c r="F278" s="4"/>
      <c r="G278" s="4"/>
      <c r="H278" s="4"/>
      <c r="I278" s="4"/>
      <c r="J278" s="4"/>
      <c r="K278" s="4"/>
      <c r="L278" s="4"/>
      <c r="M278" s="4"/>
      <c r="N278" s="4"/>
      <c r="O278" s="4"/>
      <c r="P278" s="4"/>
      <c r="Q278" s="4"/>
      <c r="R278" s="210"/>
      <c r="S278" s="4"/>
      <c r="T278" s="4"/>
      <c r="U278" s="4"/>
      <c r="V278" s="4"/>
      <c r="W278" s="4"/>
      <c r="X278" s="4"/>
      <c r="Y278" s="4"/>
      <c r="Z278" s="4"/>
    </row>
    <row r="279" ht="16.5" customHeight="1">
      <c r="A279" s="3"/>
      <c r="B279" s="2"/>
      <c r="C279" s="3"/>
      <c r="D279" s="2"/>
      <c r="E279" s="4"/>
      <c r="F279" s="4"/>
      <c r="G279" s="4"/>
      <c r="H279" s="4"/>
      <c r="I279" s="4"/>
      <c r="J279" s="4"/>
      <c r="K279" s="4"/>
      <c r="L279" s="4"/>
      <c r="M279" s="4"/>
      <c r="N279" s="4"/>
      <c r="O279" s="4"/>
      <c r="P279" s="4"/>
      <c r="Q279" s="4"/>
      <c r="R279" s="210"/>
      <c r="S279" s="4"/>
      <c r="T279" s="4"/>
      <c r="U279" s="4"/>
      <c r="V279" s="4"/>
      <c r="W279" s="4"/>
      <c r="X279" s="4"/>
      <c r="Y279" s="4"/>
      <c r="Z279" s="4"/>
    </row>
    <row r="280" ht="16.5" customHeight="1">
      <c r="A280" s="3"/>
      <c r="B280" s="2"/>
      <c r="C280" s="3"/>
      <c r="D280" s="2"/>
      <c r="E280" s="4"/>
      <c r="F280" s="4"/>
      <c r="G280" s="4"/>
      <c r="H280" s="4"/>
      <c r="I280" s="4"/>
      <c r="J280" s="4"/>
      <c r="K280" s="4"/>
      <c r="L280" s="4"/>
      <c r="M280" s="4"/>
      <c r="N280" s="4"/>
      <c r="O280" s="4"/>
      <c r="P280" s="4"/>
      <c r="Q280" s="4"/>
      <c r="R280" s="210"/>
      <c r="S280" s="4"/>
      <c r="T280" s="4"/>
      <c r="U280" s="4"/>
      <c r="V280" s="4"/>
      <c r="W280" s="4"/>
      <c r="X280" s="4"/>
      <c r="Y280" s="4"/>
      <c r="Z280" s="4"/>
    </row>
    <row r="281" ht="16.5" customHeight="1">
      <c r="A281" s="3"/>
      <c r="B281" s="2"/>
      <c r="C281" s="3"/>
      <c r="D281" s="2"/>
      <c r="E281" s="4"/>
      <c r="F281" s="4"/>
      <c r="G281" s="4"/>
      <c r="H281" s="4"/>
      <c r="I281" s="4"/>
      <c r="J281" s="4"/>
      <c r="K281" s="4"/>
      <c r="L281" s="4"/>
      <c r="M281" s="4"/>
      <c r="N281" s="4"/>
      <c r="O281" s="4"/>
      <c r="P281" s="4"/>
      <c r="Q281" s="4"/>
      <c r="R281" s="210"/>
      <c r="S281" s="4"/>
      <c r="T281" s="4"/>
      <c r="U281" s="4"/>
      <c r="V281" s="4"/>
      <c r="W281" s="4"/>
      <c r="X281" s="4"/>
      <c r="Y281" s="4"/>
      <c r="Z281" s="4"/>
    </row>
    <row r="282" ht="16.5" customHeight="1">
      <c r="A282" s="3"/>
      <c r="B282" s="2"/>
      <c r="C282" s="3"/>
      <c r="D282" s="2"/>
      <c r="E282" s="4"/>
      <c r="F282" s="4"/>
      <c r="G282" s="4"/>
      <c r="H282" s="4"/>
      <c r="I282" s="4"/>
      <c r="J282" s="4"/>
      <c r="K282" s="4"/>
      <c r="L282" s="4"/>
      <c r="M282" s="4"/>
      <c r="N282" s="4"/>
      <c r="O282" s="4"/>
      <c r="P282" s="4"/>
      <c r="Q282" s="4"/>
      <c r="R282" s="210"/>
      <c r="S282" s="4"/>
      <c r="T282" s="4"/>
      <c r="U282" s="4"/>
      <c r="V282" s="4"/>
      <c r="W282" s="4"/>
      <c r="X282" s="4"/>
      <c r="Y282" s="4"/>
      <c r="Z282" s="4"/>
    </row>
    <row r="283" ht="16.5" customHeight="1">
      <c r="A283" s="3"/>
      <c r="B283" s="2"/>
      <c r="C283" s="3"/>
      <c r="D283" s="2"/>
      <c r="E283" s="4"/>
      <c r="F283" s="4"/>
      <c r="G283" s="4"/>
      <c r="H283" s="4"/>
      <c r="I283" s="4"/>
      <c r="J283" s="4"/>
      <c r="K283" s="4"/>
      <c r="L283" s="4"/>
      <c r="M283" s="4"/>
      <c r="N283" s="4"/>
      <c r="O283" s="4"/>
      <c r="P283" s="4"/>
      <c r="Q283" s="4"/>
      <c r="R283" s="210"/>
      <c r="S283" s="4"/>
      <c r="T283" s="4"/>
      <c r="U283" s="4"/>
      <c r="V283" s="4"/>
      <c r="W283" s="4"/>
      <c r="X283" s="4"/>
      <c r="Y283" s="4"/>
      <c r="Z283" s="4"/>
    </row>
    <row r="284" ht="16.5" customHeight="1">
      <c r="A284" s="3"/>
      <c r="B284" s="2"/>
      <c r="C284" s="3"/>
      <c r="D284" s="2"/>
      <c r="E284" s="4"/>
      <c r="F284" s="4"/>
      <c r="G284" s="4"/>
      <c r="H284" s="4"/>
      <c r="I284" s="4"/>
      <c r="J284" s="4"/>
      <c r="K284" s="4"/>
      <c r="L284" s="4"/>
      <c r="M284" s="4"/>
      <c r="N284" s="4"/>
      <c r="O284" s="4"/>
      <c r="P284" s="4"/>
      <c r="Q284" s="4"/>
      <c r="R284" s="210"/>
      <c r="S284" s="4"/>
      <c r="T284" s="4"/>
      <c r="U284" s="4"/>
      <c r="V284" s="4"/>
      <c r="W284" s="4"/>
      <c r="X284" s="4"/>
      <c r="Y284" s="4"/>
      <c r="Z284" s="4"/>
    </row>
    <row r="285" ht="16.5" customHeight="1">
      <c r="A285" s="3"/>
      <c r="B285" s="2"/>
      <c r="C285" s="3"/>
      <c r="D285" s="2"/>
      <c r="E285" s="4"/>
      <c r="F285" s="4"/>
      <c r="G285" s="4"/>
      <c r="H285" s="4"/>
      <c r="I285" s="4"/>
      <c r="J285" s="4"/>
      <c r="K285" s="4"/>
      <c r="L285" s="4"/>
      <c r="M285" s="4"/>
      <c r="N285" s="4"/>
      <c r="O285" s="4"/>
      <c r="P285" s="4"/>
      <c r="Q285" s="4"/>
      <c r="R285" s="210"/>
      <c r="S285" s="4"/>
      <c r="T285" s="4"/>
      <c r="U285" s="4"/>
      <c r="V285" s="4"/>
      <c r="W285" s="4"/>
      <c r="X285" s="4"/>
      <c r="Y285" s="4"/>
      <c r="Z285" s="4"/>
    </row>
    <row r="286" ht="16.5" customHeight="1">
      <c r="A286" s="3"/>
      <c r="B286" s="2"/>
      <c r="C286" s="3"/>
      <c r="D286" s="2"/>
      <c r="E286" s="4"/>
      <c r="F286" s="4"/>
      <c r="G286" s="4"/>
      <c r="H286" s="4"/>
      <c r="I286" s="4"/>
      <c r="J286" s="4"/>
      <c r="K286" s="4"/>
      <c r="L286" s="4"/>
      <c r="M286" s="4"/>
      <c r="N286" s="4"/>
      <c r="O286" s="4"/>
      <c r="P286" s="4"/>
      <c r="Q286" s="4"/>
      <c r="R286" s="210"/>
      <c r="S286" s="4"/>
      <c r="T286" s="4"/>
      <c r="U286" s="4"/>
      <c r="V286" s="4"/>
      <c r="W286" s="4"/>
      <c r="X286" s="4"/>
      <c r="Y286" s="4"/>
      <c r="Z286" s="4"/>
    </row>
    <row r="287" ht="16.5" customHeight="1">
      <c r="A287" s="3"/>
      <c r="B287" s="2"/>
      <c r="C287" s="3"/>
      <c r="D287" s="2"/>
      <c r="E287" s="4"/>
      <c r="F287" s="4"/>
      <c r="G287" s="4"/>
      <c r="H287" s="4"/>
      <c r="I287" s="4"/>
      <c r="J287" s="4"/>
      <c r="K287" s="4"/>
      <c r="L287" s="4"/>
      <c r="M287" s="4"/>
      <c r="N287" s="4"/>
      <c r="O287" s="4"/>
      <c r="P287" s="4"/>
      <c r="Q287" s="4"/>
      <c r="R287" s="210"/>
      <c r="S287" s="4"/>
      <c r="T287" s="4"/>
      <c r="U287" s="4"/>
      <c r="V287" s="4"/>
      <c r="W287" s="4"/>
      <c r="X287" s="4"/>
      <c r="Y287" s="4"/>
      <c r="Z287" s="4"/>
    </row>
    <row r="288" ht="16.5" customHeight="1">
      <c r="A288" s="3"/>
      <c r="B288" s="2"/>
      <c r="C288" s="3"/>
      <c r="D288" s="2"/>
      <c r="E288" s="4"/>
      <c r="F288" s="4"/>
      <c r="G288" s="4"/>
      <c r="H288" s="4"/>
      <c r="I288" s="4"/>
      <c r="J288" s="4"/>
      <c r="K288" s="4"/>
      <c r="L288" s="4"/>
      <c r="M288" s="4"/>
      <c r="N288" s="4"/>
      <c r="O288" s="4"/>
      <c r="P288" s="4"/>
      <c r="Q288" s="4"/>
      <c r="R288" s="210"/>
      <c r="S288" s="4"/>
      <c r="T288" s="4"/>
      <c r="U288" s="4"/>
      <c r="V288" s="4"/>
      <c r="W288" s="4"/>
      <c r="X288" s="4"/>
      <c r="Y288" s="4"/>
      <c r="Z288" s="4"/>
    </row>
    <row r="289" ht="16.5" customHeight="1">
      <c r="A289" s="3"/>
      <c r="B289" s="2"/>
      <c r="C289" s="3"/>
      <c r="D289" s="2"/>
      <c r="E289" s="4"/>
      <c r="F289" s="4"/>
      <c r="G289" s="4"/>
      <c r="H289" s="4"/>
      <c r="I289" s="4"/>
      <c r="J289" s="4"/>
      <c r="K289" s="4"/>
      <c r="L289" s="4"/>
      <c r="M289" s="4"/>
      <c r="N289" s="4"/>
      <c r="O289" s="4"/>
      <c r="P289" s="4"/>
      <c r="Q289" s="4"/>
      <c r="R289" s="210"/>
      <c r="S289" s="4"/>
      <c r="T289" s="4"/>
      <c r="U289" s="4"/>
      <c r="V289" s="4"/>
      <c r="W289" s="4"/>
      <c r="X289" s="4"/>
      <c r="Y289" s="4"/>
      <c r="Z289" s="4"/>
    </row>
    <row r="290" ht="16.5" customHeight="1">
      <c r="A290" s="3"/>
      <c r="B290" s="2"/>
      <c r="C290" s="3"/>
      <c r="D290" s="2"/>
      <c r="E290" s="4"/>
      <c r="F290" s="4"/>
      <c r="G290" s="4"/>
      <c r="H290" s="4"/>
      <c r="I290" s="4"/>
      <c r="J290" s="4"/>
      <c r="K290" s="4"/>
      <c r="L290" s="4"/>
      <c r="M290" s="4"/>
      <c r="N290" s="4"/>
      <c r="O290" s="4"/>
      <c r="P290" s="4"/>
      <c r="Q290" s="4"/>
      <c r="R290" s="210"/>
      <c r="S290" s="4"/>
      <c r="T290" s="4"/>
      <c r="U290" s="4"/>
      <c r="V290" s="4"/>
      <c r="W290" s="4"/>
      <c r="X290" s="4"/>
      <c r="Y290" s="4"/>
      <c r="Z290" s="4"/>
    </row>
    <row r="291" ht="16.5" customHeight="1">
      <c r="A291" s="3"/>
      <c r="B291" s="2"/>
      <c r="C291" s="3"/>
      <c r="D291" s="2"/>
      <c r="E291" s="4"/>
      <c r="F291" s="4"/>
      <c r="G291" s="4"/>
      <c r="H291" s="4"/>
      <c r="I291" s="4"/>
      <c r="J291" s="4"/>
      <c r="K291" s="4"/>
      <c r="L291" s="4"/>
      <c r="M291" s="4"/>
      <c r="N291" s="4"/>
      <c r="O291" s="4"/>
      <c r="P291" s="4"/>
      <c r="Q291" s="4"/>
      <c r="R291" s="210"/>
      <c r="S291" s="4"/>
      <c r="T291" s="4"/>
      <c r="U291" s="4"/>
      <c r="V291" s="4"/>
      <c r="W291" s="4"/>
      <c r="X291" s="4"/>
      <c r="Y291" s="4"/>
      <c r="Z291" s="4"/>
    </row>
    <row r="292" ht="16.5" customHeight="1">
      <c r="A292" s="3"/>
      <c r="B292" s="2"/>
      <c r="C292" s="3"/>
      <c r="D292" s="2"/>
      <c r="E292" s="4"/>
      <c r="F292" s="4"/>
      <c r="G292" s="4"/>
      <c r="H292" s="4"/>
      <c r="I292" s="4"/>
      <c r="J292" s="4"/>
      <c r="K292" s="4"/>
      <c r="L292" s="4"/>
      <c r="M292" s="4"/>
      <c r="N292" s="4"/>
      <c r="O292" s="4"/>
      <c r="P292" s="4"/>
      <c r="Q292" s="4"/>
      <c r="R292" s="210"/>
      <c r="S292" s="4"/>
      <c r="T292" s="4"/>
      <c r="U292" s="4"/>
      <c r="V292" s="4"/>
      <c r="W292" s="4"/>
      <c r="X292" s="4"/>
      <c r="Y292" s="4"/>
      <c r="Z292" s="4"/>
    </row>
    <row r="293" ht="16.5" customHeight="1">
      <c r="A293" s="3"/>
      <c r="B293" s="2"/>
      <c r="C293" s="3"/>
      <c r="D293" s="2"/>
      <c r="E293" s="4"/>
      <c r="F293" s="4"/>
      <c r="G293" s="4"/>
      <c r="H293" s="4"/>
      <c r="I293" s="4"/>
      <c r="J293" s="4"/>
      <c r="K293" s="4"/>
      <c r="L293" s="4"/>
      <c r="M293" s="4"/>
      <c r="N293" s="4"/>
      <c r="O293" s="4"/>
      <c r="P293" s="4"/>
      <c r="Q293" s="4"/>
      <c r="R293" s="210"/>
      <c r="S293" s="4"/>
      <c r="T293" s="4"/>
      <c r="U293" s="4"/>
      <c r="V293" s="4"/>
      <c r="W293" s="4"/>
      <c r="X293" s="4"/>
      <c r="Y293" s="4"/>
      <c r="Z293" s="4"/>
    </row>
    <row r="294" ht="16.5" customHeight="1">
      <c r="A294" s="3"/>
      <c r="B294" s="2"/>
      <c r="C294" s="3"/>
      <c r="D294" s="2"/>
      <c r="E294" s="4"/>
      <c r="F294" s="4"/>
      <c r="G294" s="4"/>
      <c r="H294" s="4"/>
      <c r="I294" s="4"/>
      <c r="J294" s="4"/>
      <c r="K294" s="4"/>
      <c r="L294" s="4"/>
      <c r="M294" s="4"/>
      <c r="N294" s="4"/>
      <c r="O294" s="4"/>
      <c r="P294" s="4"/>
      <c r="Q294" s="4"/>
      <c r="R294" s="210"/>
      <c r="S294" s="4"/>
      <c r="T294" s="4"/>
      <c r="U294" s="4"/>
      <c r="V294" s="4"/>
      <c r="W294" s="4"/>
      <c r="X294" s="4"/>
      <c r="Y294" s="4"/>
      <c r="Z294" s="4"/>
    </row>
    <row r="295" ht="16.5" customHeight="1">
      <c r="A295" s="3"/>
      <c r="B295" s="2"/>
      <c r="C295" s="3"/>
      <c r="D295" s="2"/>
      <c r="E295" s="4"/>
      <c r="F295" s="4"/>
      <c r="G295" s="4"/>
      <c r="H295" s="4"/>
      <c r="I295" s="4"/>
      <c r="J295" s="4"/>
      <c r="K295" s="4"/>
      <c r="L295" s="4"/>
      <c r="M295" s="4"/>
      <c r="N295" s="4"/>
      <c r="O295" s="4"/>
      <c r="P295" s="4"/>
      <c r="Q295" s="4"/>
      <c r="R295" s="210"/>
      <c r="S295" s="4"/>
      <c r="T295" s="4"/>
      <c r="U295" s="4"/>
      <c r="V295" s="4"/>
      <c r="W295" s="4"/>
      <c r="X295" s="4"/>
      <c r="Y295" s="4"/>
      <c r="Z295" s="4"/>
    </row>
    <row r="296" ht="16.5" customHeight="1">
      <c r="A296" s="3"/>
      <c r="B296" s="2"/>
      <c r="C296" s="3"/>
      <c r="D296" s="2"/>
      <c r="E296" s="4"/>
      <c r="F296" s="4"/>
      <c r="G296" s="4"/>
      <c r="H296" s="4"/>
      <c r="I296" s="4"/>
      <c r="J296" s="4"/>
      <c r="K296" s="4"/>
      <c r="L296" s="4"/>
      <c r="M296" s="4"/>
      <c r="N296" s="4"/>
      <c r="O296" s="4"/>
      <c r="P296" s="4"/>
      <c r="Q296" s="4"/>
      <c r="R296" s="210"/>
      <c r="S296" s="4"/>
      <c r="T296" s="4"/>
      <c r="U296" s="4"/>
      <c r="V296" s="4"/>
      <c r="W296" s="4"/>
      <c r="X296" s="4"/>
      <c r="Y296" s="4"/>
      <c r="Z296" s="4"/>
    </row>
    <row r="297" ht="16.5" customHeight="1">
      <c r="A297" s="3"/>
      <c r="B297" s="2"/>
      <c r="C297" s="3"/>
      <c r="D297" s="2"/>
      <c r="E297" s="4"/>
      <c r="F297" s="4"/>
      <c r="G297" s="4"/>
      <c r="H297" s="4"/>
      <c r="I297" s="4"/>
      <c r="J297" s="4"/>
      <c r="K297" s="4"/>
      <c r="L297" s="4"/>
      <c r="M297" s="4"/>
      <c r="N297" s="4"/>
      <c r="O297" s="4"/>
      <c r="P297" s="4"/>
      <c r="Q297" s="4"/>
      <c r="R297" s="210"/>
      <c r="S297" s="4"/>
      <c r="T297" s="4"/>
      <c r="U297" s="4"/>
      <c r="V297" s="4"/>
      <c r="W297" s="4"/>
      <c r="X297" s="4"/>
      <c r="Y297" s="4"/>
      <c r="Z297" s="4"/>
    </row>
    <row r="298" ht="16.5" customHeight="1">
      <c r="A298" s="3"/>
      <c r="B298" s="2"/>
      <c r="C298" s="3"/>
      <c r="D298" s="2"/>
      <c r="E298" s="4"/>
      <c r="F298" s="4"/>
      <c r="G298" s="4"/>
      <c r="H298" s="4"/>
      <c r="I298" s="4"/>
      <c r="J298" s="4"/>
      <c r="K298" s="4"/>
      <c r="L298" s="4"/>
      <c r="M298" s="4"/>
      <c r="N298" s="4"/>
      <c r="O298" s="4"/>
      <c r="P298" s="4"/>
      <c r="Q298" s="4"/>
      <c r="R298" s="210"/>
      <c r="S298" s="4"/>
      <c r="T298" s="4"/>
      <c r="U298" s="4"/>
      <c r="V298" s="4"/>
      <c r="W298" s="4"/>
      <c r="X298" s="4"/>
      <c r="Y298" s="4"/>
      <c r="Z298" s="4"/>
    </row>
    <row r="299" ht="16.5" customHeight="1">
      <c r="A299" s="3"/>
      <c r="B299" s="2"/>
      <c r="C299" s="3"/>
      <c r="D299" s="2"/>
      <c r="E299" s="4"/>
      <c r="F299" s="4"/>
      <c r="G299" s="4"/>
      <c r="H299" s="4"/>
      <c r="I299" s="4"/>
      <c r="J299" s="4"/>
      <c r="K299" s="4"/>
      <c r="L299" s="4"/>
      <c r="M299" s="4"/>
      <c r="N299" s="4"/>
      <c r="O299" s="4"/>
      <c r="P299" s="4"/>
      <c r="Q299" s="4"/>
      <c r="R299" s="210"/>
      <c r="S299" s="4"/>
      <c r="T299" s="4"/>
      <c r="U299" s="4"/>
      <c r="V299" s="4"/>
      <c r="W299" s="4"/>
      <c r="X299" s="4"/>
      <c r="Y299" s="4"/>
      <c r="Z299" s="4"/>
    </row>
    <row r="300" ht="16.5" customHeight="1">
      <c r="A300" s="3"/>
      <c r="B300" s="2"/>
      <c r="C300" s="3"/>
      <c r="D300" s="2"/>
      <c r="E300" s="4"/>
      <c r="F300" s="4"/>
      <c r="G300" s="4"/>
      <c r="H300" s="4"/>
      <c r="I300" s="4"/>
      <c r="J300" s="4"/>
      <c r="K300" s="4"/>
      <c r="L300" s="4"/>
      <c r="M300" s="4"/>
      <c r="N300" s="4"/>
      <c r="O300" s="4"/>
      <c r="P300" s="4"/>
      <c r="Q300" s="4"/>
      <c r="R300" s="210"/>
      <c r="S300" s="4"/>
      <c r="T300" s="4"/>
      <c r="U300" s="4"/>
      <c r="V300" s="4"/>
      <c r="W300" s="4"/>
      <c r="X300" s="4"/>
      <c r="Y300" s="4"/>
      <c r="Z300" s="4"/>
    </row>
    <row r="301" ht="16.5" customHeight="1">
      <c r="A301" s="3"/>
      <c r="B301" s="2"/>
      <c r="C301" s="3"/>
      <c r="D301" s="2"/>
      <c r="E301" s="4"/>
      <c r="F301" s="4"/>
      <c r="G301" s="4"/>
      <c r="H301" s="4"/>
      <c r="I301" s="4"/>
      <c r="J301" s="4"/>
      <c r="K301" s="4"/>
      <c r="L301" s="4"/>
      <c r="M301" s="4"/>
      <c r="N301" s="4"/>
      <c r="O301" s="4"/>
      <c r="P301" s="4"/>
      <c r="Q301" s="4"/>
      <c r="R301" s="210"/>
      <c r="S301" s="4"/>
      <c r="T301" s="4"/>
      <c r="U301" s="4"/>
      <c r="V301" s="4"/>
      <c r="W301" s="4"/>
      <c r="X301" s="4"/>
      <c r="Y301" s="4"/>
      <c r="Z301" s="4"/>
    </row>
    <row r="302" ht="16.5" customHeight="1">
      <c r="A302" s="3"/>
      <c r="B302" s="2"/>
      <c r="C302" s="3"/>
      <c r="D302" s="2"/>
      <c r="E302" s="4"/>
      <c r="F302" s="4"/>
      <c r="G302" s="4"/>
      <c r="H302" s="4"/>
      <c r="I302" s="4"/>
      <c r="J302" s="4"/>
      <c r="K302" s="4"/>
      <c r="L302" s="4"/>
      <c r="M302" s="4"/>
      <c r="N302" s="4"/>
      <c r="O302" s="4"/>
      <c r="P302" s="4"/>
      <c r="Q302" s="4"/>
      <c r="R302" s="210"/>
      <c r="S302" s="4"/>
      <c r="T302" s="4"/>
      <c r="U302" s="4"/>
      <c r="V302" s="4"/>
      <c r="W302" s="4"/>
      <c r="X302" s="4"/>
      <c r="Y302" s="4"/>
      <c r="Z302" s="4"/>
    </row>
    <row r="303" ht="16.5" customHeight="1">
      <c r="A303" s="3"/>
      <c r="B303" s="2"/>
      <c r="C303" s="3"/>
      <c r="D303" s="2"/>
      <c r="E303" s="4"/>
      <c r="F303" s="4"/>
      <c r="G303" s="4"/>
      <c r="H303" s="4"/>
      <c r="I303" s="4"/>
      <c r="J303" s="4"/>
      <c r="K303" s="4"/>
      <c r="L303" s="4"/>
      <c r="M303" s="4"/>
      <c r="N303" s="4"/>
      <c r="O303" s="4"/>
      <c r="P303" s="4"/>
      <c r="Q303" s="4"/>
      <c r="R303" s="210"/>
      <c r="S303" s="4"/>
      <c r="T303" s="4"/>
      <c r="U303" s="4"/>
      <c r="V303" s="4"/>
      <c r="W303" s="4"/>
      <c r="X303" s="4"/>
      <c r="Y303" s="4"/>
      <c r="Z303" s="4"/>
    </row>
    <row r="304" ht="16.5" customHeight="1">
      <c r="A304" s="3"/>
      <c r="B304" s="2"/>
      <c r="C304" s="3"/>
      <c r="D304" s="2"/>
      <c r="E304" s="4"/>
      <c r="F304" s="4"/>
      <c r="G304" s="4"/>
      <c r="H304" s="4"/>
      <c r="I304" s="4"/>
      <c r="J304" s="4"/>
      <c r="K304" s="4"/>
      <c r="L304" s="4"/>
      <c r="M304" s="4"/>
      <c r="N304" s="4"/>
      <c r="O304" s="4"/>
      <c r="P304" s="4"/>
      <c r="Q304" s="4"/>
      <c r="R304" s="210"/>
      <c r="S304" s="4"/>
      <c r="T304" s="4"/>
      <c r="U304" s="4"/>
      <c r="V304" s="4"/>
      <c r="W304" s="4"/>
      <c r="X304" s="4"/>
      <c r="Y304" s="4"/>
      <c r="Z304" s="4"/>
    </row>
    <row r="305" ht="16.5" customHeight="1">
      <c r="A305" s="3"/>
      <c r="B305" s="2"/>
      <c r="C305" s="3"/>
      <c r="D305" s="2"/>
      <c r="E305" s="4"/>
      <c r="F305" s="4"/>
      <c r="G305" s="4"/>
      <c r="H305" s="4"/>
      <c r="I305" s="4"/>
      <c r="J305" s="4"/>
      <c r="K305" s="4"/>
      <c r="L305" s="4"/>
      <c r="M305" s="4"/>
      <c r="N305" s="4"/>
      <c r="O305" s="4"/>
      <c r="P305" s="4"/>
      <c r="Q305" s="4"/>
      <c r="R305" s="210"/>
      <c r="S305" s="4"/>
      <c r="T305" s="4"/>
      <c r="U305" s="4"/>
      <c r="V305" s="4"/>
      <c r="W305" s="4"/>
      <c r="X305" s="4"/>
      <c r="Y305" s="4"/>
      <c r="Z305" s="4"/>
    </row>
    <row r="306" ht="16.5" customHeight="1">
      <c r="A306" s="3"/>
      <c r="B306" s="2"/>
      <c r="C306" s="3"/>
      <c r="D306" s="2"/>
      <c r="E306" s="4"/>
      <c r="F306" s="4"/>
      <c r="G306" s="4"/>
      <c r="H306" s="4"/>
      <c r="I306" s="4"/>
      <c r="J306" s="4"/>
      <c r="K306" s="4"/>
      <c r="L306" s="4"/>
      <c r="M306" s="4"/>
      <c r="N306" s="4"/>
      <c r="O306" s="4"/>
      <c r="P306" s="4"/>
      <c r="Q306" s="4"/>
      <c r="R306" s="210"/>
      <c r="S306" s="4"/>
      <c r="T306" s="4"/>
      <c r="U306" s="4"/>
      <c r="V306" s="4"/>
      <c r="W306" s="4"/>
      <c r="X306" s="4"/>
      <c r="Y306" s="4"/>
      <c r="Z306" s="4"/>
    </row>
    <row r="307" ht="16.5" customHeight="1">
      <c r="A307" s="3"/>
      <c r="B307" s="2"/>
      <c r="C307" s="3"/>
      <c r="D307" s="2"/>
      <c r="E307" s="4"/>
      <c r="F307" s="4"/>
      <c r="G307" s="4"/>
      <c r="H307" s="4"/>
      <c r="I307" s="4"/>
      <c r="J307" s="4"/>
      <c r="K307" s="4"/>
      <c r="L307" s="4"/>
      <c r="M307" s="4"/>
      <c r="N307" s="4"/>
      <c r="O307" s="4"/>
      <c r="P307" s="4"/>
      <c r="Q307" s="4"/>
      <c r="R307" s="210"/>
      <c r="S307" s="4"/>
      <c r="T307" s="4"/>
      <c r="U307" s="4"/>
      <c r="V307" s="4"/>
      <c r="W307" s="4"/>
      <c r="X307" s="4"/>
      <c r="Y307" s="4"/>
      <c r="Z307" s="4"/>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sheetData>
  <autoFilter ref="$A$6:$S$107">
    <filterColumn colId="2">
      <filters>
        <filter val="Maria Akter Mim"/>
      </filters>
    </filterColumn>
  </autoFilter>
  <mergeCells count="3">
    <mergeCell ref="A2:R2"/>
    <mergeCell ref="A3:R3"/>
    <mergeCell ref="A4:R4"/>
  </mergeCells>
  <printOptions/>
  <pageMargins bottom="0.0" footer="0.0" header="0.0" left="0.0" right="0.0" top="0.0"/>
  <pageSetup paperSize="9" orientation="landscape"/>
  <drawing r:id="rId2"/>
  <legacyDrawing r:id="rId3"/>
</worksheet>
</file>