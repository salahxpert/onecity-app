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ooking Status &amp; EMI" sheetId="1" r:id="rId5"/>
  </sheets>
  <definedNames>
    <definedName hidden="1" localSheetId="0" name="_xlnm._FilterDatabase">'Booking Status &amp; EMI'!$A$6:$R$92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73">
      <text>
        <t xml:space="preserve">Total EMI 60*6000=360,000 TK
Due 40,000 TK , Will Be Paid Last Installment</t>
      </text>
    </comment>
    <comment authorId="0" ref="K69">
      <text>
        <t xml:space="preserve">EMI Every Three Months Later, 10000*3=30000 , He Paid
</t>
      </text>
    </comment>
    <comment authorId="0" ref="N70">
      <text>
        <t xml:space="preserve">Date Are Not Final Yet</t>
      </text>
    </comment>
    <comment authorId="0" ref="K61">
      <text>
        <t xml:space="preserve">DP Commited Was 250,000 TK, We Received DP : 270,000 TK. So he may pay an EMI of 30,000 TK every three months, not 31,250 TK . Therefore, we will count 30,000 TK for each quarterly EMI from now on.</t>
      </text>
    </comment>
    <comment authorId="0" ref="D86">
      <text>
        <t xml:space="preserve">Touhidul Islam's client made the down payment/booking amount (100,000 Tk) at another branch. Going forward, the client will now be making all EMI payments through our branch.</t>
      </text>
    </comment>
    <comment authorId="0" ref="D83">
      <text>
        <t xml:space="preserve">Md. Safiqul Islam's client made the down payment/booking amount (100,000 Tk) at another branch. Going forward, the client will now be making all EMI payments through our branch.</t>
      </text>
    </comment>
    <comment authorId="0" ref="D82">
      <text>
        <t xml:space="preserve">Touhidul Islam's client made the down payment/booking amount (100,000 Tk) at another branch. Going forward, the client will now be making all EMI payments through our branch.</t>
      </text>
    </comment>
    <comment authorId="0" ref="D81">
      <text>
        <t xml:space="preserve">Touhidul Islam's client made the down payment/booking amount (10,000 Tk, MR No- 73706) at another branch on 16-Nov-25. Going forward, the client will now be making all EMI payments through our branch.</t>
      </text>
    </comment>
    <comment authorId="0" ref="R30">
      <text>
        <t xml:space="preserve">Client Monthly EMI 12,000 But He Paid 8000 TK so 5th EMI Due 4000 TK
</t>
      </text>
    </comment>
    <comment authorId="0" ref="D80">
      <text>
        <t xml:space="preserve">Touhidul Islam's client made the down payment/booking amount (100,000 Tk, MR No- 73596 , 75303 ) at another branch on 13/11/2025 &amp; 06/12/2025 Date . Going forward, the client will now be making all EMI payments through our branch.</t>
      </text>
    </comment>
    <comment authorId="0" ref="D79">
      <text>
        <t xml:space="preserve">Touhidul Islam's client made the down payment/booking amount (30,000 Tk, MR No- 83438) at another branch on March 19, 2026. Going forward, the client will now be making all EMI payments through our branch.</t>
      </text>
    </comment>
    <comment authorId="0" ref="D78">
      <text>
        <t xml:space="preserve">Touhidul Islam's client made the down payment/booking amount (10,000 Tk, MR No- 73705) at another branch on 16-Nov-25. Going forward, the client will now be making all EMI payments through our branch.</t>
      </text>
    </comment>
    <comment authorId="0" ref="D77">
      <text>
        <t xml:space="preserve">Touhidul Islam's client made the down payment/booking amount (100,000 Tk, MR No- 73586 , 75302 ) at another branch on 11/11/2025 &amp; 07/12/2025 Date . Going forward, the client will now be making all EMI payments through our branch.</t>
      </text>
    </comment>
    <comment authorId="0" ref="L17">
      <text>
        <t xml:space="preserve">25/05/2026 Direct Deposit 
cash=10,000  
 MR: 90656 
Paid Adv 1700  TK .
So, 1700 TK will be part of EMI in month of may 
28/06/2026 Direct Deposit 
cash=10,000  
 MR: 90656 
Paid Adv 1700  TK .
So, 1700 TK will be part of EMI in month of may </t>
      </text>
    </comment>
    <comment authorId="0" ref="R86">
      <text>
        <t xml:space="preserve">Client EMI Paid 50,000 TK ,But His EMI Was  8500 Tk EMI Due This Month. Also Previous Month 8500 Tk Due</t>
      </text>
    </comment>
  </commentList>
</comments>
</file>

<file path=xl/sharedStrings.xml><?xml version="1.0" encoding="utf-8"?>
<sst xmlns="http://schemas.openxmlformats.org/spreadsheetml/2006/main" count="523" uniqueCount="299">
  <si>
    <t xml:space="preserve"> </t>
  </si>
  <si>
    <t>One City Developers Ltd.</t>
  </si>
  <si>
    <t>Land Sales Office</t>
  </si>
  <si>
    <t xml:space="preserve">      Commercial Cove, House: 56/C, Road: 132, Gulshan-1, Dhaka-1212.</t>
  </si>
  <si>
    <t>SL.</t>
  </si>
  <si>
    <t>File No:</t>
  </si>
  <si>
    <t>Sales Person:</t>
  </si>
  <si>
    <t>Client Name:</t>
  </si>
  <si>
    <t>Contact:</t>
  </si>
  <si>
    <t>Project:</t>
  </si>
  <si>
    <t>Unit/ Plot:</t>
  </si>
  <si>
    <t>Sale Value:</t>
  </si>
  <si>
    <t>Booking Date:</t>
  </si>
  <si>
    <t>EMI Start:</t>
  </si>
  <si>
    <t>Monthly EMI:</t>
  </si>
  <si>
    <t>Last Paid Date:</t>
  </si>
  <si>
    <t>Paid Month</t>
  </si>
  <si>
    <t>Next Installment Date</t>
  </si>
  <si>
    <t>Next
Follow-up
Date</t>
  </si>
  <si>
    <t>Total Due Inst.</t>
  </si>
  <si>
    <t>Total Due Taka</t>
  </si>
  <si>
    <t>Remarkes:</t>
  </si>
  <si>
    <t>Follow Up</t>
  </si>
  <si>
    <t>BS-20217244</t>
  </si>
  <si>
    <t>Most. Liza Akter</t>
  </si>
  <si>
    <t>Kamrunnahar</t>
  </si>
  <si>
    <t>01848323131</t>
  </si>
  <si>
    <t>BS</t>
  </si>
  <si>
    <t>7th EMI Paid</t>
  </si>
  <si>
    <t>BS-20217992</t>
  </si>
  <si>
    <t>3rd EMI Paid</t>
  </si>
  <si>
    <t>BS-20216628</t>
  </si>
  <si>
    <t>Md. Ridoy Khan</t>
  </si>
  <si>
    <t>Mohammad Al Faisal</t>
  </si>
  <si>
    <t>01932710086</t>
  </si>
  <si>
    <t>10th EMI Paid</t>
  </si>
  <si>
    <t>BS-20216493</t>
  </si>
  <si>
    <t>Kabita Khatun</t>
  </si>
  <si>
    <t>01705766288</t>
  </si>
  <si>
    <t>14th EMI Paid</t>
  </si>
  <si>
    <t>PAC-235</t>
  </si>
  <si>
    <t>Muhib Ahmed</t>
  </si>
  <si>
    <t>Saida Parvin &amp; Ziaul Hoque</t>
  </si>
  <si>
    <t>01711477221</t>
  </si>
  <si>
    <t>ACP</t>
  </si>
  <si>
    <t>Paid</t>
  </si>
  <si>
    <t>PAC-227</t>
  </si>
  <si>
    <t>Md. Abul Khair Yousuf &amp; Others 07</t>
  </si>
  <si>
    <t>01764365674</t>
  </si>
  <si>
    <t>12th EMI Paid</t>
  </si>
  <si>
    <t>BS-20216667</t>
  </si>
  <si>
    <t>Abdul Kaium Sohag</t>
  </si>
  <si>
    <t>Syed Manjur Hossain &amp; Shana Akter Ruma</t>
  </si>
  <si>
    <t>01715424413</t>
  </si>
  <si>
    <t>11th EMI Paid</t>
  </si>
  <si>
    <t>BS-20218036</t>
  </si>
  <si>
    <t>Abu Sufian Shohag</t>
  </si>
  <si>
    <t>2nd EMI Paid</t>
  </si>
  <si>
    <t>BS-20216867</t>
  </si>
  <si>
    <t>Md. Tareq Hasan</t>
  </si>
  <si>
    <t>Rakib Hossain</t>
  </si>
  <si>
    <t>01712627869</t>
  </si>
  <si>
    <t>9th EMI Paid</t>
  </si>
  <si>
    <t>BS-20216752</t>
  </si>
  <si>
    <t>Md. Manir Sikder</t>
  </si>
  <si>
    <t>Fazle Rabbi</t>
  </si>
  <si>
    <t>01923453577</t>
  </si>
  <si>
    <t>19th EMI Paid</t>
  </si>
  <si>
    <t>BS-20216779</t>
  </si>
  <si>
    <t>Md. Arif Hossain</t>
  </si>
  <si>
    <t>01788591133</t>
  </si>
  <si>
    <t xml:space="preserve">The salesperson will follow up , Then </t>
  </si>
  <si>
    <t>BS-20216866</t>
  </si>
  <si>
    <t>Abrarul Haque Emon</t>
  </si>
  <si>
    <t>Shanaj Chowdhury</t>
  </si>
  <si>
    <t>01767702056</t>
  </si>
  <si>
    <t>BS-20217032</t>
  </si>
  <si>
    <t>Md. Noman Islam</t>
  </si>
  <si>
    <t>Md. Tanif Muktadir</t>
  </si>
  <si>
    <t>01711150885</t>
  </si>
  <si>
    <t>4th EMI Paid</t>
  </si>
  <si>
    <t>BS-20217033</t>
  </si>
  <si>
    <t>Md. Farhad Masum</t>
  </si>
  <si>
    <t>01716199745</t>
  </si>
  <si>
    <t>BS-20217021</t>
  </si>
  <si>
    <t>Sharowar Hossain</t>
  </si>
  <si>
    <t>Syeda Sultana Nasrin</t>
  </si>
  <si>
    <t>BS-20217155</t>
  </si>
  <si>
    <t>Md. Alamgir Bhuiyan</t>
  </si>
  <si>
    <t>BS-20217118</t>
  </si>
  <si>
    <t>Mst. Umme Afja Limu</t>
  </si>
  <si>
    <t>Md Jaidul Hoque Sarker</t>
  </si>
  <si>
    <t>01710-829922</t>
  </si>
  <si>
    <t>8h EMI Paid</t>
  </si>
  <si>
    <t>BS-20217509</t>
  </si>
  <si>
    <t>Md. Jahir Rayhan</t>
  </si>
  <si>
    <t>Md. Ariful Haque</t>
  </si>
  <si>
    <t>01749287086</t>
  </si>
  <si>
    <t>8th EMI Paid</t>
  </si>
  <si>
    <t>BS-20217815</t>
  </si>
  <si>
    <t>Labonno Shikder</t>
  </si>
  <si>
    <t>01757636000</t>
  </si>
  <si>
    <t>BS-20217547</t>
  </si>
  <si>
    <t>Bashir Ahmed</t>
  </si>
  <si>
    <t>A. Rajjak Sheikh</t>
  </si>
  <si>
    <t>01615-228504</t>
  </si>
  <si>
    <t>6th EMI Paid</t>
  </si>
  <si>
    <t>BS-20217450</t>
  </si>
  <si>
    <t>Md. Mehedi Hasan</t>
  </si>
  <si>
    <t>Kazi Mizanur Rahman</t>
  </si>
  <si>
    <t>01716-591435</t>
  </si>
  <si>
    <t>PAC-270</t>
  </si>
  <si>
    <t>Md. Shahinul Islam</t>
  </si>
  <si>
    <t>Rehana Akter &amp; Others (9)</t>
  </si>
  <si>
    <t>01771-224421</t>
  </si>
  <si>
    <t>BS-20217550</t>
  </si>
  <si>
    <t>Md Abu Bakar Sarfin</t>
  </si>
  <si>
    <t>+966573236713</t>
  </si>
  <si>
    <t>BS-20217452</t>
  </si>
  <si>
    <t>Mohammad Abu Kalam</t>
  </si>
  <si>
    <t>01842-256878</t>
  </si>
  <si>
    <t>5th  EMI Due 4000 TK</t>
  </si>
  <si>
    <t>BS-20217549</t>
  </si>
  <si>
    <t>Akhi Akter Urmi</t>
  </si>
  <si>
    <t>Md. Mosharrof Hossain (Mizan)</t>
  </si>
  <si>
    <t>BS-20217548</t>
  </si>
  <si>
    <t>Sanjida Sultana</t>
  </si>
  <si>
    <t>BS-20217451</t>
  </si>
  <si>
    <t>Jahangir Alam</t>
  </si>
  <si>
    <t>01837-579819</t>
  </si>
  <si>
    <t>BS-20217543</t>
  </si>
  <si>
    <t>Md. Ariful Islam</t>
  </si>
  <si>
    <t>01738-654124</t>
  </si>
  <si>
    <t>8th EMI Paid (Part-10k)</t>
  </si>
  <si>
    <t>BS-20217545</t>
  </si>
  <si>
    <t>Muhammad Asaduzzaman</t>
  </si>
  <si>
    <t>01712-044391</t>
  </si>
  <si>
    <t>BS-20217512</t>
  </si>
  <si>
    <t>Sabuj Barua</t>
  </si>
  <si>
    <t>01636-355540</t>
  </si>
  <si>
    <t>BS-20217763</t>
  </si>
  <si>
    <t>Md. Yeasin Rasel</t>
  </si>
  <si>
    <t>Monira Akthar</t>
  </si>
  <si>
    <t>01818688606</t>
  </si>
  <si>
    <t>1st EMI Due</t>
  </si>
  <si>
    <t xml:space="preserve">We need to call the client along with the salesperson.
</t>
  </si>
  <si>
    <t>BS-20217546</t>
  </si>
  <si>
    <t>Md. Alamgir Miah</t>
  </si>
  <si>
    <t>01715-257261</t>
  </si>
  <si>
    <t>BS-20217530</t>
  </si>
  <si>
    <t>Md. Altahid Hossain Ashik</t>
  </si>
  <si>
    <t>Dewan Mahbubur Rahman</t>
  </si>
  <si>
    <t>01762-049699</t>
  </si>
  <si>
    <t>BM-2023976</t>
  </si>
  <si>
    <t>Md Shahriar Nadim Arafat</t>
  </si>
  <si>
    <t>01334-361623</t>
  </si>
  <si>
    <t>BM</t>
  </si>
  <si>
    <t>5th EMI Paid</t>
  </si>
  <si>
    <t>BS-20217666</t>
  </si>
  <si>
    <t>Syeda Jamila Mahmuda</t>
  </si>
  <si>
    <t>01892727117</t>
  </si>
  <si>
    <t>2nd DP 
30-july-26 Then EMI Will Start</t>
  </si>
  <si>
    <t>BS-20217826</t>
  </si>
  <si>
    <t>Anowar Hossain</t>
  </si>
  <si>
    <t>Shahruf Bhuyan</t>
  </si>
  <si>
    <t>01795989844</t>
  </si>
  <si>
    <t>BM-20231161</t>
  </si>
  <si>
    <t>Md Abdur Rashid</t>
  </si>
  <si>
    <t xml:space="preserve">BM </t>
  </si>
  <si>
    <t>BS-20217964</t>
  </si>
  <si>
    <t>BM-20231160</t>
  </si>
  <si>
    <t>Rita Khatun</t>
  </si>
  <si>
    <t>BM-20231030</t>
  </si>
  <si>
    <t>Jakir Ahammed Noor</t>
  </si>
  <si>
    <t>Md Uzzal Uddin Ahmmad</t>
  </si>
  <si>
    <t>01711662373</t>
  </si>
  <si>
    <t>4rd EMI Paid</t>
  </si>
  <si>
    <t>BM-2023988</t>
  </si>
  <si>
    <t>01738654124</t>
  </si>
  <si>
    <t>BS-20217729</t>
  </si>
  <si>
    <t>Farjana Akter</t>
  </si>
  <si>
    <t>PAC-286</t>
  </si>
  <si>
    <t>Saleha Begum Lopa</t>
  </si>
  <si>
    <t>01819253276</t>
  </si>
  <si>
    <t>1st EMI Jan-27</t>
  </si>
  <si>
    <t>BM-20231104</t>
  </si>
  <si>
    <t>Sourav Kundu</t>
  </si>
  <si>
    <t>Md. Jahangir Alam</t>
  </si>
  <si>
    <t>01712084457</t>
  </si>
  <si>
    <t>BM-20231144</t>
  </si>
  <si>
    <t>Hosne Ara</t>
  </si>
  <si>
    <t>019859940</t>
  </si>
  <si>
    <t>1st EMI Paid</t>
  </si>
  <si>
    <t>BS-20217850</t>
  </si>
  <si>
    <t>KM Monirul Bin Islam</t>
  </si>
  <si>
    <t>01817538373</t>
  </si>
  <si>
    <t>BS-20217851</t>
  </si>
  <si>
    <t>Md. Sohel Ahmed</t>
  </si>
  <si>
    <t>01914815690</t>
  </si>
  <si>
    <t>BS-20218037</t>
  </si>
  <si>
    <t>Noorjahan Lipi</t>
  </si>
  <si>
    <t>PAC-254</t>
  </si>
  <si>
    <t>Omar Sharif Arman</t>
  </si>
  <si>
    <t>Morshed Alam</t>
  </si>
  <si>
    <t>01764-133852</t>
  </si>
  <si>
    <t>BS-20215260</t>
  </si>
  <si>
    <t>17th EMI Paid</t>
  </si>
  <si>
    <t>BS-20217990</t>
  </si>
  <si>
    <t>Md. Safiqul Islam</t>
  </si>
  <si>
    <t>Md. Bellal Hossain</t>
  </si>
  <si>
    <t>01819-192253</t>
  </si>
  <si>
    <t xml:space="preserve">The salesperson will follow up and ensure the collection is brought in within this week.
</t>
  </si>
  <si>
    <t>BS-20218035</t>
  </si>
  <si>
    <t>Sadem Hossain</t>
  </si>
  <si>
    <t>01851112160</t>
  </si>
  <si>
    <t>BM-20231276</t>
  </si>
  <si>
    <t>Priatosh Deb Nath</t>
  </si>
  <si>
    <t>01811-901281</t>
  </si>
  <si>
    <t>PAC-288</t>
  </si>
  <si>
    <t>Abdul Rashid</t>
  </si>
  <si>
    <t>01710-854370</t>
  </si>
  <si>
    <t>BM-20231159</t>
  </si>
  <si>
    <t>Mohammed Khoyrul Islam</t>
  </si>
  <si>
    <t>+447917128736</t>
  </si>
  <si>
    <t>BS-20218152</t>
  </si>
  <si>
    <t>Md Shahadat Husen</t>
  </si>
  <si>
    <t>01912-679629</t>
  </si>
  <si>
    <t>Will pay 15-Aug-2026</t>
  </si>
  <si>
    <t>BS-20218154</t>
  </si>
  <si>
    <t>01819-253276</t>
  </si>
  <si>
    <t>BS-20218155</t>
  </si>
  <si>
    <t>Md. Noor Uddin Chowdhury</t>
  </si>
  <si>
    <t>01683-805541</t>
  </si>
  <si>
    <t>Md. Akhlaqur Rahman</t>
  </si>
  <si>
    <t>01711-441930</t>
  </si>
  <si>
    <t>Md. Bablur Rahman</t>
  </si>
  <si>
    <t>01730375869</t>
  </si>
  <si>
    <t>BB-20202618</t>
  </si>
  <si>
    <t>Md. Jahid Hasan</t>
  </si>
  <si>
    <t>Md. Helal Uddin</t>
  </si>
  <si>
    <t>01721672185</t>
  </si>
  <si>
    <t>BB</t>
  </si>
  <si>
    <t>2st EMI Paid</t>
  </si>
  <si>
    <t>BS-20218171</t>
  </si>
  <si>
    <t>Mohammad Ziaur Rahman</t>
  </si>
  <si>
    <t>01815-774818</t>
  </si>
  <si>
    <t>The client will make all EMI payments directly at the Head Office.</t>
  </si>
  <si>
    <t>BS-20218210</t>
  </si>
  <si>
    <t>Saiful Islam</t>
  </si>
  <si>
    <t>01673319513</t>
  </si>
  <si>
    <t>1st EMI Start Will Be 15-sep-26</t>
  </si>
  <si>
    <t>BS-20217349</t>
  </si>
  <si>
    <t>Md. Estiak Mahbub</t>
  </si>
  <si>
    <t>Umme Habiba Prerona</t>
  </si>
  <si>
    <t>BS-20218209</t>
  </si>
  <si>
    <t>Hafiza Khanam</t>
  </si>
  <si>
    <t>Md Mahfujur Rahman</t>
  </si>
  <si>
    <t>01718076694</t>
  </si>
  <si>
    <t>BM-20231360</t>
  </si>
  <si>
    <t>01762049699</t>
  </si>
  <si>
    <t>1st EMI Start Will Be 15-JUL-26</t>
  </si>
  <si>
    <t>BS-20218226</t>
  </si>
  <si>
    <t>Shahidul Islam</t>
  </si>
  <si>
    <t>01827780824</t>
  </si>
  <si>
    <t>BS-20218334</t>
  </si>
  <si>
    <t>Mukta Dey</t>
  </si>
  <si>
    <t>01715995838</t>
  </si>
  <si>
    <t>BM-20231407</t>
  </si>
  <si>
    <t>Latifur Rahman</t>
  </si>
  <si>
    <t>01912250273</t>
  </si>
  <si>
    <t>1st EMI Start Will Be 10-Oct-26</t>
  </si>
  <si>
    <t>BM-20231061</t>
  </si>
  <si>
    <t>Touhidul Islam</t>
  </si>
  <si>
    <t>Abu Zafar Mohammad Shamsl Huda</t>
  </si>
  <si>
    <t>01711907050</t>
  </si>
  <si>
    <t>BS- 20217252</t>
  </si>
  <si>
    <t>BB-20202579</t>
  </si>
  <si>
    <t>BM-20231100</t>
  </si>
  <si>
    <t>Kazi Fauzul Azim</t>
  </si>
  <si>
    <t>01918202806</t>
  </si>
  <si>
    <t>BS-20217251</t>
  </si>
  <si>
    <t>BB-20202580</t>
  </si>
  <si>
    <t>BS-20207683</t>
  </si>
  <si>
    <t>Md Mahfuzur Rahman</t>
  </si>
  <si>
    <t>‌01750000847</t>
  </si>
  <si>
    <t>BS-20216913</t>
  </si>
  <si>
    <t>Abdul Barek</t>
  </si>
  <si>
    <t>BS-20217214</t>
  </si>
  <si>
    <t>Maria Akter Mim</t>
  </si>
  <si>
    <t>Tanbir Hossain</t>
  </si>
  <si>
    <t>BS-20217029</t>
  </si>
  <si>
    <t>Mst Rahima Akter</t>
  </si>
  <si>
    <t>BM-2023987</t>
  </si>
  <si>
    <t>Md. Ziaul Hoque</t>
  </si>
  <si>
    <t>PAC-309</t>
  </si>
  <si>
    <t>1680997892</t>
  </si>
  <si>
    <t>1st EMI Start Will Be 20-Nov-26</t>
  </si>
  <si>
    <t>.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</si>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</sst>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_(* #,##0_);_(* \(#,##0\);_(* &quot;-&quot;??_);_(@_)"/>
    <numFmt numFmtId="165" formatCode="[$-409]d\-mmm\-yy"/>
    <numFmt numFmtId="166" formatCode="[$-409]mmm\-yy"/>
    <numFmt numFmtId="167" formatCode="[$-409]dd\-mmm\-yy"/>
    <numFmt numFmtId="168" formatCode="d\-mmmm\-yy"/>
  </numFmts>
  <fonts count="18">
    <font>
      <sz val="11.0"/>
      <color theme="1"/>
      <name val="Calibri"/>
      <scheme val="minor"/>
    </font>
    <font>
      <sz val="11.0"/>
      <color theme="1"/>
      <name val="Times New Roman"/>
    </font>
    <font>
      <b/>
      <u/>
      <sz val="20.0"/>
      <color theme="1"/>
      <name val="Times New Roman"/>
    </font>
    <font/>
    <font>
      <b/>
      <u/>
      <sz val="14.0"/>
      <color theme="1"/>
      <name val="Times New Roman"/>
    </font>
    <font>
      <u/>
      <sz val="12.0"/>
      <color theme="1"/>
      <name val="Times New Roman"/>
    </font>
    <font>
      <b/>
      <u/>
      <sz val="9.0"/>
      <color theme="1"/>
      <name val="Times New Roman"/>
    </font>
    <font>
      <b/>
      <u/>
      <sz val="9.0"/>
      <color theme="1"/>
      <name val="Times New Roman"/>
    </font>
    <font>
      <b/>
      <u/>
      <sz val="13.0"/>
      <color theme="1"/>
      <name val="Times New Roman"/>
    </font>
    <font>
      <sz val="9.0"/>
      <color theme="1"/>
      <name val="Times New Roman"/>
    </font>
    <font>
      <b/>
      <sz val="8.0"/>
      <color theme="1"/>
      <name val="Times New Roman"/>
    </font>
    <font>
      <sz val="8.0"/>
      <color theme="1"/>
      <name val="Times New Roman"/>
    </font>
    <font>
      <b/>
      <sz val="9.0"/>
      <color theme="1"/>
      <name val="Times New Roman"/>
    </font>
    <font>
      <sz val="8.0"/>
      <color rgb="FF000000"/>
      <name val="Times New Roman"/>
    </font>
    <font>
      <sz val="9.0"/>
      <color rgb="FF000000"/>
      <name val="Times New Roman"/>
    </font>
    <font>
      <sz val="8.0"/>
      <color theme="1"/>
      <name val="Calibri"/>
    </font>
    <font>
      <sz val="11.0"/>
      <color theme="1"/>
      <name val="Calibri"/>
    </font>
    <font>
      <sz val="13.0"/>
      <color theme="1"/>
      <name val="Times New Roman"/>
    </font>
  </fonts>
  <fills count="10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92D050"/>
        <bgColor rgb="FF92D050"/>
      </patternFill>
    </fill>
    <fill>
      <patternFill patternType="solid">
        <fgColor rgb="FFB7B7B7"/>
        <bgColor rgb="FFB7B7B7"/>
      </patternFill>
    </fill>
    <fill>
      <patternFill patternType="solid">
        <fgColor rgb="FFBDD6EE"/>
        <bgColor rgb="FFBDD6EE"/>
      </patternFill>
    </fill>
    <fill>
      <patternFill patternType="solid">
        <fgColor rgb="FFC5E0B3"/>
        <bgColor rgb="FFC5E0B3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  <fill>
      <patternFill patternType="solid">
        <fgColor rgb="FF00B050"/>
        <bgColor rgb="FF00B050"/>
      </patternFill>
    </fill>
  </fills>
  <borders count="1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/>
      <right/>
      <top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bottom/>
    </border>
  </borders>
  <cellStyleXfs count="1">
    <xf borderId="0" fillId="0" fontId="0" numFmtId="0" applyAlignment="1" applyFont="1"/>
  </cellStyleXfs>
  <cellXfs count="15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readingOrder="0" vertical="center"/>
    </xf>
    <xf borderId="1" fillId="2" fontId="1" numFmtId="0" xfId="0" applyAlignment="1" applyBorder="1" applyFont="1">
      <alignment horizontal="center" vertical="center"/>
    </xf>
    <xf borderId="1" fillId="2" fontId="1" numFmtId="0" xfId="0" applyAlignment="1" applyBorder="1" applyFont="1">
      <alignment vertical="center"/>
    </xf>
    <xf borderId="1" fillId="2" fontId="1" numFmtId="0" xfId="0" applyBorder="1" applyFont="1"/>
    <xf borderId="2" fillId="2" fontId="2" numFmtId="0" xfId="0" applyAlignment="1" applyBorder="1" applyFont="1">
      <alignment horizontal="center"/>
    </xf>
    <xf borderId="3" fillId="0" fontId="3" numFmtId="0" xfId="0" applyBorder="1" applyFont="1"/>
    <xf borderId="4" fillId="0" fontId="3" numFmtId="0" xfId="0" applyBorder="1" applyFont="1"/>
    <xf borderId="2" fillId="2" fontId="4" numFmtId="0" xfId="0" applyAlignment="1" applyBorder="1" applyFont="1">
      <alignment horizontal="center" vertical="center"/>
    </xf>
    <xf borderId="2" fillId="2" fontId="5" numFmtId="0" xfId="0" applyAlignment="1" applyBorder="1" applyFont="1">
      <alignment horizontal="center" readingOrder="0"/>
    </xf>
    <xf borderId="5" fillId="2" fontId="1" numFmtId="0" xfId="0" applyBorder="1" applyFont="1"/>
    <xf borderId="6" fillId="3" fontId="6" numFmtId="0" xfId="0" applyAlignment="1" applyBorder="1" applyFill="1" applyFont="1">
      <alignment horizontal="center" vertical="center"/>
    </xf>
    <xf borderId="6" fillId="3" fontId="7" numFmtId="0" xfId="0" applyAlignment="1" applyBorder="1" applyFont="1">
      <alignment horizontal="center" shrinkToFit="0" vertical="center" wrapText="1"/>
    </xf>
    <xf borderId="6" fillId="4" fontId="8" numFmtId="0" xfId="0" applyAlignment="1" applyBorder="1" applyFill="1" applyFont="1">
      <alignment horizontal="center" readingOrder="0" vertical="center"/>
    </xf>
    <xf borderId="4" fillId="2" fontId="1" numFmtId="0" xfId="0" applyAlignment="1" applyBorder="1" applyFont="1">
      <alignment vertical="center"/>
    </xf>
    <xf borderId="6" fillId="2" fontId="9" numFmtId="0" xfId="0" applyAlignment="1" applyBorder="1" applyFont="1">
      <alignment horizontal="center" vertical="center"/>
    </xf>
    <xf borderId="6" fillId="2" fontId="10" numFmtId="0" xfId="0" applyAlignment="1" applyBorder="1" applyFont="1">
      <alignment horizontal="center" vertical="center"/>
    </xf>
    <xf borderId="6" fillId="2" fontId="9" numFmtId="0" xfId="0" applyAlignment="1" applyBorder="1" applyFont="1">
      <alignment horizontal="left" shrinkToFit="0" vertical="center" wrapText="1"/>
    </xf>
    <xf quotePrefix="1" borderId="6" fillId="2" fontId="11" numFmtId="0" xfId="0" applyAlignment="1" applyBorder="1" applyFont="1">
      <alignment horizontal="center" vertical="center"/>
    </xf>
    <xf borderId="7" fillId="2" fontId="11" numFmtId="0" xfId="0" applyAlignment="1" applyBorder="1" applyFont="1">
      <alignment horizontal="center" vertical="center"/>
    </xf>
    <xf borderId="6" fillId="2" fontId="10" numFmtId="164" xfId="0" applyAlignment="1" applyBorder="1" applyFont="1" applyNumberFormat="1">
      <alignment vertical="center"/>
    </xf>
    <xf borderId="6" fillId="2" fontId="10" numFmtId="164" xfId="0" applyAlignment="1" applyBorder="1" applyFont="1" applyNumberFormat="1">
      <alignment horizontal="right" vertical="center"/>
    </xf>
    <xf borderId="6" fillId="2" fontId="11" numFmtId="165" xfId="0" applyAlignment="1" applyBorder="1" applyFont="1" applyNumberFormat="1">
      <alignment horizontal="right" vertical="center"/>
    </xf>
    <xf borderId="6" fillId="5" fontId="10" numFmtId="165" xfId="0" applyAlignment="1" applyBorder="1" applyFill="1" applyFont="1" applyNumberFormat="1">
      <alignment horizontal="right" vertical="center"/>
    </xf>
    <xf borderId="6" fillId="5" fontId="10" numFmtId="164" xfId="0" applyAlignment="1" applyBorder="1" applyFont="1" applyNumberFormat="1">
      <alignment horizontal="right" vertical="center"/>
    </xf>
    <xf borderId="6" fillId="0" fontId="11" numFmtId="165" xfId="0" applyAlignment="1" applyBorder="1" applyFont="1" applyNumberFormat="1">
      <alignment horizontal="right" readingOrder="0" vertical="center"/>
    </xf>
    <xf borderId="7" fillId="6" fontId="10" numFmtId="166" xfId="0" applyAlignment="1" applyBorder="1" applyFill="1" applyFont="1" applyNumberFormat="1">
      <alignment horizontal="center" readingOrder="0" vertical="center"/>
    </xf>
    <xf borderId="7" fillId="7" fontId="11" numFmtId="165" xfId="0" applyAlignment="1" applyBorder="1" applyFill="1" applyFont="1" applyNumberFormat="1">
      <alignment horizontal="right" readingOrder="0" vertical="center"/>
    </xf>
    <xf borderId="6" fillId="2" fontId="10" numFmtId="3" xfId="0" applyAlignment="1" applyBorder="1" applyFont="1" applyNumberFormat="1">
      <alignment horizontal="center" readingOrder="0" vertical="center"/>
    </xf>
    <xf borderId="6" fillId="2" fontId="11" numFmtId="0" xfId="0" applyAlignment="1" applyBorder="1" applyFont="1">
      <alignment horizontal="center" readingOrder="0" vertical="center"/>
    </xf>
    <xf borderId="6" fillId="2" fontId="1" numFmtId="0" xfId="0" applyBorder="1" applyFont="1"/>
    <xf borderId="4" fillId="2" fontId="1" numFmtId="0" xfId="0" applyBorder="1" applyFont="1"/>
    <xf borderId="6" fillId="2" fontId="9" numFmtId="0" xfId="0" applyAlignment="1" applyBorder="1" applyFont="1">
      <alignment horizontal="center" readingOrder="0" vertical="center"/>
    </xf>
    <xf borderId="6" fillId="0" fontId="12" numFmtId="0" xfId="0" applyAlignment="1" applyBorder="1" applyFont="1">
      <alignment horizontal="center" vertical="center"/>
    </xf>
    <xf borderId="6" fillId="0" fontId="9" numFmtId="0" xfId="0" applyAlignment="1" applyBorder="1" applyFont="1">
      <alignment shrinkToFit="0" vertical="center" wrapText="1"/>
    </xf>
    <xf quotePrefix="1" borderId="6" fillId="8" fontId="11" numFmtId="0" xfId="0" applyAlignment="1" applyBorder="1" applyFill="1" applyFont="1">
      <alignment horizontal="center" vertical="center"/>
    </xf>
    <xf borderId="7" fillId="8" fontId="11" numFmtId="0" xfId="0" applyAlignment="1" applyBorder="1" applyFont="1">
      <alignment horizontal="center" vertical="center"/>
    </xf>
    <xf borderId="6" fillId="0" fontId="10" numFmtId="164" xfId="0" applyAlignment="1" applyBorder="1" applyFont="1" applyNumberFormat="1">
      <alignment horizontal="right" vertical="center"/>
    </xf>
    <xf borderId="6" fillId="5" fontId="10" numFmtId="165" xfId="0" applyAlignment="1" applyBorder="1" applyFont="1" applyNumberFormat="1">
      <alignment horizontal="right" readingOrder="0" vertical="center"/>
    </xf>
    <xf borderId="6" fillId="2" fontId="11" numFmtId="0" xfId="0" applyAlignment="1" applyBorder="1" applyFont="1">
      <alignment horizontal="center" readingOrder="0" shrinkToFit="0" vertical="center" wrapText="1"/>
    </xf>
    <xf borderId="6" fillId="7" fontId="9" numFmtId="0" xfId="0" applyAlignment="1" applyBorder="1" applyFont="1">
      <alignment horizontal="left" shrinkToFit="0" vertical="center" wrapText="1"/>
    </xf>
    <xf borderId="6" fillId="0" fontId="11" numFmtId="165" xfId="0" applyAlignment="1" applyBorder="1" applyFont="1" applyNumberFormat="1">
      <alignment horizontal="right" vertical="center"/>
    </xf>
    <xf borderId="7" fillId="6" fontId="10" numFmtId="166" xfId="0" applyAlignment="1" applyBorder="1" applyFont="1" applyNumberFormat="1">
      <alignment horizontal="center" vertical="center"/>
    </xf>
    <xf borderId="7" fillId="7" fontId="11" numFmtId="165" xfId="0" applyAlignment="1" applyBorder="1" applyFont="1" applyNumberFormat="1">
      <alignment horizontal="right" vertical="center"/>
    </xf>
    <xf borderId="6" fillId="7" fontId="11" numFmtId="165" xfId="0" applyAlignment="1" applyBorder="1" applyFont="1" applyNumberFormat="1">
      <alignment horizontal="right" vertical="center"/>
    </xf>
    <xf borderId="6" fillId="2" fontId="10" numFmtId="3" xfId="0" applyAlignment="1" applyBorder="1" applyFont="1" applyNumberFormat="1">
      <alignment horizontal="center" vertical="center"/>
    </xf>
    <xf borderId="7" fillId="7" fontId="10" numFmtId="165" xfId="0" applyAlignment="1" applyBorder="1" applyFont="1" applyNumberFormat="1">
      <alignment horizontal="center" vertical="center"/>
    </xf>
    <xf borderId="6" fillId="2" fontId="11" numFmtId="0" xfId="0" applyAlignment="1" applyBorder="1" applyFont="1">
      <alignment horizontal="center" vertical="center"/>
    </xf>
    <xf borderId="6" fillId="2" fontId="9" numFmtId="0" xfId="0" applyAlignment="1" applyBorder="1" applyFont="1">
      <alignment shrinkToFit="0" vertical="center" wrapText="1"/>
    </xf>
    <xf borderId="6" fillId="7" fontId="9" numFmtId="0" xfId="0" applyAlignment="1" applyBorder="1" applyFont="1">
      <alignment shrinkToFit="0" vertical="center" wrapText="1"/>
    </xf>
    <xf borderId="6" fillId="7" fontId="11" numFmtId="165" xfId="0" applyAlignment="1" applyBorder="1" applyFont="1" applyNumberFormat="1">
      <alignment horizontal="right" readingOrder="0" vertical="center"/>
    </xf>
    <xf quotePrefix="1" borderId="7" fillId="9" fontId="10" numFmtId="165" xfId="0" applyAlignment="1" applyBorder="1" applyFill="1" applyFont="1" applyNumberFormat="1">
      <alignment horizontal="center" vertical="center"/>
    </xf>
    <xf borderId="1" fillId="2" fontId="1" numFmtId="164" xfId="0" applyBorder="1" applyFont="1" applyNumberFormat="1"/>
    <xf quotePrefix="1" borderId="6" fillId="2" fontId="11" numFmtId="0" xfId="0" applyAlignment="1" applyBorder="1" applyFont="1">
      <alignment horizontal="center" readingOrder="0" vertical="center"/>
    </xf>
    <xf quotePrefix="1" borderId="6" fillId="8" fontId="11" numFmtId="0" xfId="0" applyAlignment="1" applyBorder="1" applyFont="1">
      <alignment horizontal="center" vertical="center"/>
    </xf>
    <xf borderId="6" fillId="0" fontId="9" numFmtId="0" xfId="0" applyAlignment="1" applyBorder="1" applyFont="1">
      <alignment horizontal="left" shrinkToFit="0" vertical="center" wrapText="1"/>
    </xf>
    <xf borderId="6" fillId="0" fontId="10" numFmtId="164" xfId="0" applyAlignment="1" applyBorder="1" applyFont="1" applyNumberFormat="1">
      <alignment horizontal="center" vertical="center"/>
    </xf>
    <xf borderId="6" fillId="8" fontId="11" numFmtId="0" xfId="0" applyAlignment="1" applyBorder="1" applyFont="1">
      <alignment horizontal="center" vertical="center"/>
    </xf>
    <xf borderId="6" fillId="2" fontId="12" numFmtId="0" xfId="0" applyAlignment="1" applyBorder="1" applyFont="1">
      <alignment horizontal="center" shrinkToFit="0" vertical="center" wrapText="1"/>
    </xf>
    <xf borderId="6" fillId="6" fontId="10" numFmtId="166" xfId="0" applyAlignment="1" applyBorder="1" applyFont="1" applyNumberFormat="1">
      <alignment horizontal="center" vertical="center"/>
    </xf>
    <xf borderId="6" fillId="0" fontId="10" numFmtId="0" xfId="0" applyAlignment="1" applyBorder="1" applyFont="1">
      <alignment horizontal="center" vertical="center"/>
    </xf>
    <xf quotePrefix="1" borderId="6" fillId="0" fontId="11" numFmtId="0" xfId="0" applyAlignment="1" applyBorder="1" applyFont="1">
      <alignment horizontal="center" vertical="center"/>
    </xf>
    <xf borderId="6" fillId="0" fontId="10" numFmtId="164" xfId="0" applyAlignment="1" applyBorder="1" applyFont="1" applyNumberFormat="1">
      <alignment vertical="center"/>
    </xf>
    <xf borderId="6" fillId="0" fontId="11" numFmtId="167" xfId="0" applyAlignment="1" applyBorder="1" applyFont="1" applyNumberFormat="1">
      <alignment horizontal="right" vertical="center"/>
    </xf>
    <xf borderId="6" fillId="0" fontId="9" numFmtId="0" xfId="0" applyAlignment="1" applyBorder="1" applyFont="1">
      <alignment readingOrder="0" shrinkToFit="0" vertical="center" wrapText="1"/>
    </xf>
    <xf borderId="6" fillId="0" fontId="10" numFmtId="3" xfId="0" applyAlignment="1" applyBorder="1" applyFont="1" applyNumberFormat="1">
      <alignment horizontal="center" readingOrder="0" vertical="center"/>
    </xf>
    <xf borderId="6" fillId="2" fontId="11" numFmtId="0" xfId="0" applyAlignment="1" applyBorder="1" applyFont="1">
      <alignment horizontal="center" shrinkToFit="0" vertical="center" wrapText="1"/>
    </xf>
    <xf borderId="6" fillId="7" fontId="10" numFmtId="164" xfId="0" applyAlignment="1" applyBorder="1" applyFont="1" applyNumberFormat="1">
      <alignment vertical="center"/>
    </xf>
    <xf borderId="6" fillId="2" fontId="10" numFmtId="0" xfId="0" applyAlignment="1" applyBorder="1" applyFont="1">
      <alignment horizontal="center" shrinkToFit="0" vertical="center" wrapText="1"/>
    </xf>
    <xf borderId="1" fillId="7" fontId="11" numFmtId="168" xfId="0" applyAlignment="1" applyBorder="1" applyFont="1" applyNumberFormat="1">
      <alignment readingOrder="0" vertical="center"/>
    </xf>
    <xf borderId="6" fillId="6" fontId="10" numFmtId="166" xfId="0" applyAlignment="1" applyBorder="1" applyFont="1" applyNumberFormat="1">
      <alignment horizontal="center" readingOrder="0" vertical="center"/>
    </xf>
    <xf borderId="6" fillId="7" fontId="9" numFmtId="0" xfId="0" applyAlignment="1" applyBorder="1" applyFont="1">
      <alignment horizontal="left" readingOrder="0" shrinkToFit="0" vertical="center" wrapText="1"/>
    </xf>
    <xf borderId="6" fillId="2" fontId="9" numFmtId="0" xfId="0" applyAlignment="1" applyBorder="1" applyFont="1">
      <alignment readingOrder="0" shrinkToFit="0" vertical="center" wrapText="1"/>
    </xf>
    <xf borderId="6" fillId="0" fontId="13" numFmtId="165" xfId="0" applyAlignment="1" applyBorder="1" applyFont="1" applyNumberFormat="1">
      <alignment horizontal="left" readingOrder="1" vertical="center"/>
    </xf>
    <xf borderId="6" fillId="0" fontId="10" numFmtId="0" xfId="0" applyAlignment="1" applyBorder="1" applyFont="1">
      <alignment horizontal="center" shrinkToFit="0" vertical="center" wrapText="1"/>
    </xf>
    <xf borderId="8" fillId="0" fontId="11" numFmtId="0" xfId="0" applyAlignment="1" applyBorder="1" applyFont="1">
      <alignment horizontal="center" vertical="center"/>
    </xf>
    <xf borderId="6" fillId="0" fontId="10" numFmtId="166" xfId="0" applyAlignment="1" applyBorder="1" applyFont="1" applyNumberFormat="1">
      <alignment horizontal="center" vertical="center"/>
    </xf>
    <xf borderId="6" fillId="0" fontId="10" numFmtId="3" xfId="0" applyAlignment="1" applyBorder="1" applyFont="1" applyNumberFormat="1">
      <alignment horizontal="center" vertical="center"/>
    </xf>
    <xf borderId="6" fillId="0" fontId="11" numFmtId="0" xfId="0" applyAlignment="1" applyBorder="1" applyFont="1">
      <alignment horizontal="center" readingOrder="0" shrinkToFit="0" vertical="center" wrapText="1"/>
    </xf>
    <xf borderId="6" fillId="0" fontId="11" numFmtId="167" xfId="0" applyAlignment="1" applyBorder="1" applyFont="1" applyNumberFormat="1">
      <alignment horizontal="right" readingOrder="0" vertical="center"/>
    </xf>
    <xf borderId="6" fillId="0" fontId="10" numFmtId="0" xfId="0" applyAlignment="1" applyBorder="1" applyFont="1">
      <alignment horizontal="center" readingOrder="0" vertical="center"/>
    </xf>
    <xf borderId="6" fillId="2" fontId="10" numFmtId="0" xfId="0" applyAlignment="1" applyBorder="1" applyFont="1">
      <alignment horizontal="center" readingOrder="0" vertical="center"/>
    </xf>
    <xf borderId="6" fillId="0" fontId="12" numFmtId="0" xfId="0" applyAlignment="1" applyBorder="1" applyFont="1">
      <alignment horizontal="center" readingOrder="0" vertical="center"/>
    </xf>
    <xf borderId="6" fillId="8" fontId="11" numFmtId="0" xfId="0" applyAlignment="1" applyBorder="1" applyFont="1">
      <alignment horizontal="center" vertical="center"/>
    </xf>
    <xf borderId="6" fillId="2" fontId="9" numFmtId="0" xfId="0" applyAlignment="1" applyBorder="1" applyFont="1">
      <alignment readingOrder="0" shrinkToFit="0" wrapText="1"/>
    </xf>
    <xf borderId="6" fillId="0" fontId="12" numFmtId="0" xfId="0" applyAlignment="1" applyBorder="1" applyFont="1">
      <alignment horizontal="center" shrinkToFit="0" vertical="center" wrapText="1"/>
    </xf>
    <xf borderId="6" fillId="8" fontId="9" numFmtId="0" xfId="0" applyAlignment="1" applyBorder="1" applyFont="1">
      <alignment shrinkToFit="0" vertical="center" wrapText="1"/>
    </xf>
    <xf quotePrefix="1" borderId="6" fillId="8" fontId="11" numFmtId="0" xfId="0" applyAlignment="1" applyBorder="1" applyFont="1">
      <alignment horizontal="center" readingOrder="0" shrinkToFit="0" vertical="center" wrapText="1"/>
    </xf>
    <xf borderId="7" fillId="8" fontId="11" numFmtId="0" xfId="0" applyAlignment="1" applyBorder="1" applyFont="1">
      <alignment horizontal="center"/>
    </xf>
    <xf borderId="6" fillId="0" fontId="10" numFmtId="164" xfId="0" applyAlignment="1" applyBorder="1" applyFont="1" applyNumberFormat="1">
      <alignment horizontal="right"/>
    </xf>
    <xf borderId="6" fillId="2" fontId="11" numFmtId="165" xfId="0" applyAlignment="1" applyBorder="1" applyFont="1" applyNumberFormat="1">
      <alignment horizontal="right" readingOrder="0" vertical="center"/>
    </xf>
    <xf borderId="6" fillId="0" fontId="10" numFmtId="0" xfId="0" applyAlignment="1" applyBorder="1" applyFont="1">
      <alignment horizontal="center" readingOrder="0" shrinkToFit="0" vertical="center" wrapText="1"/>
    </xf>
    <xf borderId="7" fillId="2" fontId="11" numFmtId="0" xfId="0" applyAlignment="1" applyBorder="1" applyFont="1">
      <alignment horizontal="center" readingOrder="0" vertical="center"/>
    </xf>
    <xf borderId="6" fillId="2" fontId="10" numFmtId="164" xfId="0" applyAlignment="1" applyBorder="1" applyFont="1" applyNumberFormat="1">
      <alignment readingOrder="0" vertical="center"/>
    </xf>
    <xf borderId="6" fillId="2" fontId="10" numFmtId="164" xfId="0" applyAlignment="1" applyBorder="1" applyFont="1" applyNumberFormat="1">
      <alignment horizontal="right" readingOrder="0" vertical="center"/>
    </xf>
    <xf borderId="6" fillId="0" fontId="14" numFmtId="165" xfId="0" applyAlignment="1" applyBorder="1" applyFont="1" applyNumberFormat="1">
      <alignment horizontal="right" readingOrder="1" vertical="center"/>
    </xf>
    <xf borderId="6" fillId="7" fontId="13" numFmtId="165" xfId="0" applyAlignment="1" applyBorder="1" applyFont="1" applyNumberFormat="1">
      <alignment horizontal="right" readingOrder="1" vertical="center"/>
    </xf>
    <xf borderId="6" fillId="0" fontId="13" numFmtId="165" xfId="0" applyAlignment="1" applyBorder="1" applyFont="1" applyNumberFormat="1">
      <alignment horizontal="right" readingOrder="1" vertical="center"/>
    </xf>
    <xf borderId="6" fillId="5" fontId="10" numFmtId="164" xfId="0" applyAlignment="1" applyBorder="1" applyFont="1" applyNumberFormat="1">
      <alignment horizontal="right" readingOrder="0" vertical="center"/>
    </xf>
    <xf quotePrefix="1" borderId="6" fillId="8" fontId="11" numFmtId="0" xfId="0" applyAlignment="1" applyBorder="1" applyFont="1">
      <alignment horizontal="center" shrinkToFit="0" vertical="center" wrapText="1"/>
    </xf>
    <xf borderId="6" fillId="0" fontId="9" numFmtId="165" xfId="0" applyAlignment="1" applyBorder="1" applyFont="1" applyNumberFormat="1">
      <alignment horizontal="right" readingOrder="0" vertical="center"/>
    </xf>
    <xf borderId="6" fillId="8" fontId="11" numFmtId="0" xfId="0" applyAlignment="1" applyBorder="1" applyFont="1">
      <alignment horizontal="center" shrinkToFit="0" vertical="center" wrapText="1"/>
    </xf>
    <xf borderId="7" fillId="8" fontId="11" numFmtId="0" xfId="0" applyAlignment="1" applyBorder="1" applyFont="1">
      <alignment horizontal="center" shrinkToFit="0" vertical="center" wrapText="1"/>
    </xf>
    <xf borderId="6" fillId="0" fontId="10" numFmtId="164" xfId="0" applyAlignment="1" applyBorder="1" applyFont="1" applyNumberFormat="1">
      <alignment horizontal="center" readingOrder="0" vertical="center"/>
    </xf>
    <xf borderId="6" fillId="2" fontId="1" numFmtId="0" xfId="0" applyAlignment="1" applyBorder="1" applyFont="1">
      <alignment readingOrder="0"/>
    </xf>
    <xf borderId="6" fillId="0" fontId="10" numFmtId="164" xfId="0" applyAlignment="1" applyBorder="1" applyFont="1" applyNumberFormat="1">
      <alignment horizontal="right" shrinkToFit="0" vertical="center" wrapText="1"/>
    </xf>
    <xf borderId="6" fillId="5" fontId="10" numFmtId="165" xfId="0" applyAlignment="1" applyBorder="1" applyFont="1" applyNumberFormat="1">
      <alignment horizontal="right" shrinkToFit="0" vertical="center" wrapText="1"/>
    </xf>
    <xf borderId="6" fillId="5" fontId="10" numFmtId="164" xfId="0" applyAlignment="1" applyBorder="1" applyFont="1" applyNumberFormat="1">
      <alignment horizontal="right" shrinkToFit="0" vertical="center" wrapText="1"/>
    </xf>
    <xf borderId="6" fillId="2" fontId="11" numFmtId="165" xfId="0" applyAlignment="1" applyBorder="1" applyFont="1" applyNumberFormat="1">
      <alignment horizontal="right" readingOrder="0" shrinkToFit="0" vertical="center" wrapText="1"/>
    </xf>
    <xf borderId="6" fillId="7" fontId="11" numFmtId="165" xfId="0" applyAlignment="1" applyBorder="1" applyFont="1" applyNumberFormat="1">
      <alignment horizontal="right" readingOrder="0" shrinkToFit="0" vertical="center" wrapText="1"/>
    </xf>
    <xf borderId="6" fillId="0" fontId="10" numFmtId="164" xfId="0" applyAlignment="1" applyBorder="1" applyFont="1" applyNumberFormat="1">
      <alignment horizontal="center" shrinkToFit="0" vertical="center" wrapText="1"/>
    </xf>
    <xf borderId="6" fillId="8" fontId="15" numFmtId="0" xfId="0" applyAlignment="1" applyBorder="1" applyFont="1">
      <alignment readingOrder="0" shrinkToFit="0" vertical="center" wrapText="1"/>
    </xf>
    <xf borderId="6" fillId="0" fontId="10" numFmtId="164" xfId="0" applyAlignment="1" applyBorder="1" applyFont="1" applyNumberFormat="1">
      <alignment readingOrder="0" vertical="center"/>
    </xf>
    <xf quotePrefix="1" borderId="6" fillId="8" fontId="11" numFmtId="0" xfId="0" applyAlignment="1" applyBorder="1" applyFont="1">
      <alignment vertical="center"/>
    </xf>
    <xf borderId="6" fillId="7" fontId="16" numFmtId="0" xfId="0" applyAlignment="1" applyBorder="1" applyFont="1">
      <alignment shrinkToFit="0" vertical="center" wrapText="1"/>
    </xf>
    <xf borderId="6" fillId="0" fontId="14" numFmtId="165" xfId="0" applyAlignment="1" applyBorder="1" applyFont="1" applyNumberFormat="1">
      <alignment horizontal="left" readingOrder="1" vertical="center"/>
    </xf>
    <xf borderId="7" fillId="2" fontId="11" numFmtId="0" xfId="0" applyAlignment="1" applyBorder="1" applyFont="1">
      <alignment horizontal="center" shrinkToFit="0" vertical="center" wrapText="1"/>
    </xf>
    <xf borderId="6" fillId="2" fontId="10" numFmtId="164" xfId="0" applyAlignment="1" applyBorder="1" applyFont="1" applyNumberFormat="1">
      <alignment horizontal="right" shrinkToFit="0" vertical="center" wrapText="1"/>
    </xf>
    <xf borderId="6" fillId="2" fontId="10" numFmtId="164" xfId="0" applyAlignment="1" applyBorder="1" applyFont="1" applyNumberFormat="1">
      <alignment horizontal="center" shrinkToFit="0" vertical="center" wrapText="1"/>
    </xf>
    <xf borderId="1" fillId="2" fontId="1" numFmtId="0" xfId="0" applyAlignment="1" applyBorder="1" applyFont="1">
      <alignment readingOrder="0"/>
    </xf>
    <xf borderId="6" fillId="2" fontId="11" numFmtId="49" xfId="0" applyAlignment="1" applyBorder="1" applyFont="1" applyNumberFormat="1">
      <alignment horizontal="center" readingOrder="0" vertical="center"/>
    </xf>
    <xf borderId="6" fillId="8" fontId="10" numFmtId="164" xfId="0" applyAlignment="1" applyBorder="1" applyFont="1" applyNumberFormat="1">
      <alignment horizontal="right" shrinkToFit="0" vertical="center" wrapText="1"/>
    </xf>
    <xf borderId="6" fillId="8" fontId="10" numFmtId="164" xfId="0" applyAlignment="1" applyBorder="1" applyFont="1" applyNumberFormat="1">
      <alignment horizontal="center" shrinkToFit="0" vertical="center" wrapText="1"/>
    </xf>
    <xf borderId="8" fillId="2" fontId="10" numFmtId="164" xfId="0" applyAlignment="1" applyBorder="1" applyFont="1" applyNumberFormat="1">
      <alignment vertical="center"/>
    </xf>
    <xf borderId="6" fillId="0" fontId="12" numFmtId="0" xfId="0" applyAlignment="1" applyBorder="1" applyFont="1">
      <alignment horizontal="center" shrinkToFit="0" vertical="center" wrapText="0"/>
    </xf>
    <xf borderId="7" fillId="8" fontId="11" numFmtId="0" xfId="0" applyAlignment="1" applyBorder="1" applyFont="1">
      <alignment horizontal="center" shrinkToFit="0" vertical="center" wrapText="0"/>
    </xf>
    <xf borderId="6" fillId="0" fontId="10" numFmtId="164" xfId="0" applyAlignment="1" applyBorder="1" applyFont="1" applyNumberFormat="1">
      <alignment horizontal="right" shrinkToFit="0" vertical="center" wrapText="0"/>
    </xf>
    <xf borderId="6" fillId="0" fontId="10" numFmtId="164" xfId="0" applyAlignment="1" applyBorder="1" applyFont="1" applyNumberFormat="1">
      <alignment horizontal="center" shrinkToFit="0" vertical="center" wrapText="0"/>
    </xf>
    <xf borderId="6" fillId="0" fontId="9" numFmtId="165" xfId="0" applyAlignment="1" applyBorder="1" applyFont="1" applyNumberFormat="1">
      <alignment horizontal="right" shrinkToFit="0" vertical="center" wrapText="0"/>
    </xf>
    <xf borderId="6" fillId="0" fontId="9" numFmtId="165" xfId="0" applyAlignment="1" applyBorder="1" applyFont="1" applyNumberFormat="1">
      <alignment horizontal="right" vertical="center"/>
    </xf>
    <xf borderId="6" fillId="8" fontId="11" numFmtId="49" xfId="0" applyAlignment="1" applyBorder="1" applyFont="1" applyNumberFormat="1">
      <alignment horizontal="center" vertical="center"/>
    </xf>
    <xf borderId="6" fillId="0" fontId="16" numFmtId="164" xfId="0" applyAlignment="1" applyBorder="1" applyFont="1" applyNumberFormat="1">
      <alignment readingOrder="0" vertical="center"/>
    </xf>
    <xf borderId="6" fillId="7" fontId="11" numFmtId="0" xfId="0" applyAlignment="1" applyBorder="1" applyFont="1">
      <alignment horizontal="center" shrinkToFit="0" vertical="center" wrapText="1"/>
    </xf>
    <xf borderId="6" fillId="0" fontId="9" numFmtId="165" xfId="0" applyAlignment="1" applyBorder="1" applyFont="1" applyNumberFormat="1">
      <alignment horizontal="right" readingOrder="0" shrinkToFit="0" vertical="center" wrapText="1"/>
    </xf>
    <xf borderId="6" fillId="0" fontId="12" numFmtId="0" xfId="0" applyAlignment="1" applyBorder="1" applyFont="1">
      <alignment horizontal="center" readingOrder="0" shrinkToFit="0" vertical="center" wrapText="0"/>
    </xf>
    <xf borderId="6" fillId="7" fontId="11" numFmtId="0" xfId="0" applyAlignment="1" applyBorder="1" applyFont="1">
      <alignment horizontal="center" vertical="center"/>
    </xf>
    <xf borderId="6" fillId="0" fontId="9" numFmtId="167" xfId="0" applyAlignment="1" applyBorder="1" applyFont="1" applyNumberFormat="1">
      <alignment horizontal="right" readingOrder="0" vertical="center"/>
    </xf>
    <xf borderId="6" fillId="7" fontId="16" numFmtId="49" xfId="0" applyAlignment="1" applyBorder="1" applyFont="1" applyNumberFormat="1">
      <alignment vertical="center"/>
    </xf>
    <xf quotePrefix="1" borderId="6" fillId="7" fontId="11" numFmtId="165" xfId="0" applyAlignment="1" applyBorder="1" applyFont="1" applyNumberFormat="1">
      <alignment horizontal="right" vertical="center"/>
    </xf>
    <xf borderId="6" fillId="5" fontId="11" numFmtId="0" xfId="0" applyAlignment="1" applyBorder="1" applyFont="1">
      <alignment horizontal="center" vertical="center"/>
    </xf>
    <xf borderId="6" fillId="5" fontId="10" numFmtId="0" xfId="0" applyAlignment="1" applyBorder="1" applyFont="1">
      <alignment horizontal="center" vertical="center"/>
    </xf>
    <xf borderId="6" fillId="5" fontId="11" numFmtId="0" xfId="0" applyAlignment="1" applyBorder="1" applyFont="1">
      <alignment vertical="center"/>
    </xf>
    <xf quotePrefix="1" borderId="6" fillId="5" fontId="11" numFmtId="0" xfId="0" applyAlignment="1" applyBorder="1" applyFont="1">
      <alignment horizontal="center" vertical="center"/>
    </xf>
    <xf borderId="7" fillId="5" fontId="11" numFmtId="0" xfId="0" applyAlignment="1" applyBorder="1" applyFont="1">
      <alignment horizontal="center" vertical="center"/>
    </xf>
    <xf borderId="6" fillId="5" fontId="10" numFmtId="164" xfId="0" applyAlignment="1" applyBorder="1" applyFont="1" applyNumberFormat="1">
      <alignment vertical="center"/>
    </xf>
    <xf borderId="6" fillId="5" fontId="11" numFmtId="14" xfId="0" applyAlignment="1" applyBorder="1" applyFont="1" applyNumberFormat="1">
      <alignment horizontal="right" vertical="center"/>
    </xf>
    <xf borderId="6" fillId="5" fontId="10" numFmtId="14" xfId="0" applyAlignment="1" applyBorder="1" applyFont="1" applyNumberFormat="1">
      <alignment horizontal="right" vertical="center"/>
    </xf>
    <xf borderId="6" fillId="5" fontId="9" numFmtId="0" xfId="0" applyAlignment="1" applyBorder="1" applyFont="1">
      <alignment horizontal="center" shrinkToFit="0" vertical="center" wrapText="1"/>
    </xf>
    <xf borderId="9" fillId="2" fontId="1" numFmtId="0" xfId="0" applyBorder="1" applyFont="1"/>
    <xf borderId="1" fillId="2" fontId="17" numFmtId="0" xfId="0" applyAlignment="1" applyBorder="1" applyFon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5</xdr:col>
      <xdr:colOff>314325</xdr:colOff>
      <xdr:row>4</xdr:row>
      <xdr:rowOff>0</xdr:rowOff>
    </xdr:from>
    <xdr:ext cx="3267075" cy="361950"/>
    <xdr:sp>
      <xdr:nvSpPr>
        <xdr:cNvPr id="3" name="Shape 3"/>
        <xdr:cNvSpPr txBox="1"/>
      </xdr:nvSpPr>
      <xdr:spPr>
        <a:xfrm>
          <a:off x="3717225" y="3603788"/>
          <a:ext cx="3257550" cy="352425"/>
        </a:xfrm>
        <a:prstGeom prst="rect">
          <a:avLst/>
        </a:prstGeom>
        <a:solidFill>
          <a:srgbClr val="BFBFBF"/>
        </a:solidFill>
        <a:ln cap="flat" cmpd="sng" w="9525">
          <a:solidFill>
            <a:srgbClr val="BABABA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t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Clr>
              <a:schemeClr val="dk1"/>
            </a:buClr>
            <a:buSzPts val="1800"/>
            <a:buFont typeface="Times New Roman"/>
            <a:buNone/>
          </a:pPr>
          <a:r>
            <a:rPr b="1" lang="en-US" sz="1800" u="sng">
              <a:solidFill>
                <a:schemeClr val="dk1"/>
              </a:solidFill>
              <a:latin typeface="Times New Roman"/>
              <a:ea typeface="Times New Roman"/>
              <a:cs typeface="Times New Roman"/>
              <a:sym typeface="Times New Roman"/>
            </a:rPr>
            <a:t>Booking Status &amp; EMI Detail:</a:t>
          </a:r>
          <a:endParaRPr b="1" sz="1800" u="sng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1</xdr:col>
      <xdr:colOff>533400</xdr:colOff>
      <xdr:row>1</xdr:row>
      <xdr:rowOff>0</xdr:rowOff>
    </xdr:from>
    <xdr:ext cx="1285875" cy="10382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4.0" ySplit="6.0" topLeftCell="E7" activePane="bottomRight" state="frozen"/>
      <selection activeCell="E1" sqref="E1" pane="topRight"/>
      <selection activeCell="A7" sqref="A7" pane="bottomLeft"/>
      <selection activeCell="E7" sqref="E7" pane="bottomRight"/>
    </sheetView>
  </sheetViews>
  <sheetFormatPr customHeight="1" defaultColWidth="14.43" defaultRowHeight="15.0"/>
  <cols>
    <col customWidth="1" min="1" max="1" width="3.29"/>
    <col customWidth="1" min="2" max="2" width="10.57"/>
    <col customWidth="1" min="3" max="3" width="11.0"/>
    <col customWidth="1" min="4" max="4" width="10.57"/>
    <col customWidth="1" min="5" max="5" width="11.0"/>
    <col customWidth="1" min="6" max="7" width="4.71"/>
    <col customWidth="1" min="8" max="9" width="9.57"/>
    <col customWidth="1" min="10" max="10" width="8.29"/>
    <col customWidth="1" min="11" max="11" width="7.86"/>
    <col customWidth="1" min="12" max="12" width="8.29"/>
    <col customWidth="1" min="13" max="13" width="7.71"/>
    <col customWidth="1" min="14" max="14" width="8.43"/>
    <col customWidth="1" min="15" max="15" width="8.29"/>
    <col customWidth="1" min="16" max="16" width="5.0"/>
    <col customWidth="1" min="17" max="17" width="8.29"/>
    <col customWidth="1" min="18" max="18" width="10.14"/>
    <col customWidth="1" min="19" max="19" width="14.71"/>
    <col customWidth="1" min="20" max="21" width="9.14"/>
    <col customWidth="1" min="22" max="26" width="8.71"/>
  </cols>
  <sheetData>
    <row r="1" ht="12.75" customHeight="1">
      <c r="A1" s="1" t="s">
        <v>0</v>
      </c>
      <c r="B1" s="2"/>
      <c r="C1" s="3"/>
      <c r="D1" s="2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2"/>
      <c r="S1" s="4"/>
      <c r="T1" s="4"/>
      <c r="U1" s="4"/>
      <c r="V1" s="4"/>
      <c r="W1" s="4"/>
      <c r="X1" s="4"/>
      <c r="Y1" s="4"/>
      <c r="Z1" s="4"/>
    </row>
    <row r="2" ht="24.0" customHeight="1">
      <c r="A2" s="5" t="s">
        <v>1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7"/>
      <c r="S2" s="4"/>
      <c r="T2" s="4"/>
      <c r="U2" s="4"/>
      <c r="V2" s="4"/>
      <c r="W2" s="4"/>
      <c r="X2" s="4"/>
      <c r="Y2" s="4"/>
      <c r="Z2" s="4"/>
    </row>
    <row r="3" ht="16.5" customHeight="1">
      <c r="A3" s="8" t="s">
        <v>2</v>
      </c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7"/>
      <c r="S3" s="4"/>
      <c r="T3" s="4"/>
      <c r="U3" s="4"/>
      <c r="V3" s="4"/>
      <c r="W3" s="4"/>
      <c r="X3" s="4"/>
      <c r="Y3" s="4"/>
      <c r="Z3" s="4"/>
    </row>
    <row r="4" ht="16.5" customHeight="1">
      <c r="A4" s="9" t="s">
        <v>3</v>
      </c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7"/>
      <c r="S4" s="4"/>
      <c r="T4" s="4"/>
      <c r="U4" s="4"/>
      <c r="V4" s="4"/>
      <c r="W4" s="4"/>
      <c r="X4" s="4"/>
      <c r="Y4" s="4"/>
      <c r="Z4" s="4"/>
    </row>
    <row r="5" ht="34.5" customHeight="1">
      <c r="A5" s="3"/>
      <c r="B5" s="2"/>
      <c r="C5" s="3"/>
      <c r="D5" s="2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2"/>
      <c r="S5" s="10"/>
      <c r="T5" s="4"/>
      <c r="U5" s="4"/>
      <c r="V5" s="4"/>
      <c r="W5" s="4"/>
      <c r="X5" s="4"/>
      <c r="Y5" s="4"/>
      <c r="Z5" s="4"/>
    </row>
    <row r="6" ht="42.0" customHeight="1">
      <c r="A6" s="11" t="s">
        <v>4</v>
      </c>
      <c r="B6" s="12" t="s">
        <v>5</v>
      </c>
      <c r="C6" s="12" t="s">
        <v>6</v>
      </c>
      <c r="D6" s="12" t="s">
        <v>7</v>
      </c>
      <c r="E6" s="12" t="s">
        <v>8</v>
      </c>
      <c r="F6" s="12" t="s">
        <v>9</v>
      </c>
      <c r="G6" s="12" t="s">
        <v>10</v>
      </c>
      <c r="H6" s="12" t="s">
        <v>11</v>
      </c>
      <c r="I6" s="12" t="s">
        <v>12</v>
      </c>
      <c r="J6" s="12" t="s">
        <v>13</v>
      </c>
      <c r="K6" s="12" t="s">
        <v>14</v>
      </c>
      <c r="L6" s="12" t="s">
        <v>15</v>
      </c>
      <c r="M6" s="12" t="s">
        <v>16</v>
      </c>
      <c r="N6" s="12" t="s">
        <v>17</v>
      </c>
      <c r="O6" s="12" t="s">
        <v>18</v>
      </c>
      <c r="P6" s="12" t="s">
        <v>19</v>
      </c>
      <c r="Q6" s="12" t="s">
        <v>20</v>
      </c>
      <c r="R6" s="12" t="s">
        <v>21</v>
      </c>
      <c r="S6" s="13" t="s">
        <v>22</v>
      </c>
      <c r="T6" s="14"/>
      <c r="U6" s="3"/>
      <c r="V6" s="3"/>
      <c r="W6" s="3"/>
      <c r="X6" s="3"/>
      <c r="Y6" s="3"/>
      <c r="Z6" s="3"/>
    </row>
    <row r="7" ht="34.5" customHeight="1">
      <c r="A7" s="15">
        <v>1.0</v>
      </c>
      <c r="B7" s="16" t="s">
        <v>23</v>
      </c>
      <c r="C7" s="17" t="s">
        <v>24</v>
      </c>
      <c r="D7" s="17" t="s">
        <v>25</v>
      </c>
      <c r="E7" s="18" t="s">
        <v>26</v>
      </c>
      <c r="F7" s="19" t="s">
        <v>27</v>
      </c>
      <c r="G7" s="20">
        <v>1.0</v>
      </c>
      <c r="H7" s="21">
        <v>500000.0</v>
      </c>
      <c r="I7" s="22">
        <v>45993.0</v>
      </c>
      <c r="J7" s="23">
        <v>46032.0</v>
      </c>
      <c r="K7" s="24">
        <v>8000.0</v>
      </c>
      <c r="L7" s="25">
        <v>46215.0</v>
      </c>
      <c r="M7" s="26">
        <v>46215.0</v>
      </c>
      <c r="N7" s="27">
        <v>46244.0</v>
      </c>
      <c r="O7" s="27">
        <v>46241.0</v>
      </c>
      <c r="P7" s="28">
        <v>1.0</v>
      </c>
      <c r="Q7" s="20">
        <f t="shared" ref="Q7:Q8" si="1">K7*P7</f>
        <v>8000</v>
      </c>
      <c r="R7" s="29" t="s">
        <v>28</v>
      </c>
      <c r="S7" s="30"/>
      <c r="T7" s="31"/>
      <c r="U7" s="4"/>
      <c r="V7" s="4"/>
      <c r="W7" s="4"/>
      <c r="X7" s="4"/>
      <c r="Y7" s="4"/>
      <c r="Z7" s="4"/>
    </row>
    <row r="8" ht="34.5" customHeight="1">
      <c r="A8" s="32">
        <v>2.0</v>
      </c>
      <c r="B8" s="33" t="s">
        <v>29</v>
      </c>
      <c r="C8" s="34" t="s">
        <v>24</v>
      </c>
      <c r="D8" s="34" t="s">
        <v>25</v>
      </c>
      <c r="E8" s="35" t="s">
        <v>26</v>
      </c>
      <c r="F8" s="36" t="s">
        <v>27</v>
      </c>
      <c r="G8" s="37">
        <v>1.0</v>
      </c>
      <c r="H8" s="37">
        <v>600000.0</v>
      </c>
      <c r="I8" s="25">
        <v>46135.0</v>
      </c>
      <c r="J8" s="38">
        <v>46157.0</v>
      </c>
      <c r="K8" s="24">
        <v>10000.0</v>
      </c>
      <c r="L8" s="25">
        <v>46225.0</v>
      </c>
      <c r="M8" s="26">
        <v>46225.0</v>
      </c>
      <c r="N8" s="27">
        <v>46249.0</v>
      </c>
      <c r="O8" s="27">
        <v>46244.0</v>
      </c>
      <c r="P8" s="28">
        <v>1.0</v>
      </c>
      <c r="Q8" s="20">
        <f t="shared" si="1"/>
        <v>10000</v>
      </c>
      <c r="R8" s="39" t="s">
        <v>30</v>
      </c>
      <c r="S8" s="30"/>
      <c r="T8" s="31"/>
      <c r="U8" s="4"/>
      <c r="V8" s="4"/>
      <c r="W8" s="4"/>
      <c r="X8" s="4"/>
      <c r="Y8" s="4"/>
      <c r="Z8" s="4"/>
    </row>
    <row r="9" ht="34.5" customHeight="1">
      <c r="A9" s="15">
        <v>3.0</v>
      </c>
      <c r="B9" s="16" t="s">
        <v>31</v>
      </c>
      <c r="C9" s="17" t="s">
        <v>32</v>
      </c>
      <c r="D9" s="40" t="s">
        <v>33</v>
      </c>
      <c r="E9" s="18" t="s">
        <v>34</v>
      </c>
      <c r="F9" s="19" t="s">
        <v>27</v>
      </c>
      <c r="G9" s="20">
        <v>1.0</v>
      </c>
      <c r="H9" s="21">
        <v>600000.0</v>
      </c>
      <c r="I9" s="22">
        <v>45848.0</v>
      </c>
      <c r="J9" s="23">
        <v>45879.0</v>
      </c>
      <c r="K9" s="24">
        <v>7500.0</v>
      </c>
      <c r="L9" s="41">
        <v>46120.0</v>
      </c>
      <c r="M9" s="42">
        <v>46143.0</v>
      </c>
      <c r="N9" s="43"/>
      <c r="O9" s="44"/>
      <c r="P9" s="45"/>
      <c r="Q9" s="46"/>
      <c r="R9" s="47" t="s">
        <v>35</v>
      </c>
      <c r="S9" s="30"/>
      <c r="T9" s="31"/>
      <c r="U9" s="4"/>
      <c r="V9" s="4"/>
      <c r="W9" s="4"/>
      <c r="X9" s="4"/>
      <c r="Y9" s="4"/>
      <c r="Z9" s="4"/>
    </row>
    <row r="10" ht="34.5" customHeight="1">
      <c r="A10" s="15">
        <v>4.0</v>
      </c>
      <c r="B10" s="16" t="s">
        <v>36</v>
      </c>
      <c r="C10" s="48" t="s">
        <v>32</v>
      </c>
      <c r="D10" s="49" t="s">
        <v>37</v>
      </c>
      <c r="E10" s="18" t="s">
        <v>38</v>
      </c>
      <c r="F10" s="19" t="s">
        <v>27</v>
      </c>
      <c r="G10" s="20">
        <v>2.0</v>
      </c>
      <c r="H10" s="21">
        <v>1000000.0</v>
      </c>
      <c r="I10" s="22">
        <v>45834.0</v>
      </c>
      <c r="J10" s="23">
        <v>45848.0</v>
      </c>
      <c r="K10" s="24">
        <v>17000.0</v>
      </c>
      <c r="L10" s="41">
        <v>46090.0</v>
      </c>
      <c r="M10" s="42">
        <v>46235.0</v>
      </c>
      <c r="N10" s="43"/>
      <c r="O10" s="44"/>
      <c r="P10" s="45"/>
      <c r="Q10" s="46"/>
      <c r="R10" s="47" t="s">
        <v>39</v>
      </c>
      <c r="S10" s="30"/>
      <c r="T10" s="31"/>
      <c r="U10" s="4"/>
      <c r="V10" s="4"/>
      <c r="W10" s="4"/>
      <c r="X10" s="4"/>
      <c r="Y10" s="4"/>
      <c r="Z10" s="4"/>
    </row>
    <row r="11" ht="34.5" customHeight="1">
      <c r="A11" s="32">
        <v>5.0</v>
      </c>
      <c r="B11" s="16" t="s">
        <v>40</v>
      </c>
      <c r="C11" s="48" t="s">
        <v>41</v>
      </c>
      <c r="D11" s="48" t="s">
        <v>42</v>
      </c>
      <c r="E11" s="18" t="s">
        <v>43</v>
      </c>
      <c r="F11" s="19" t="s">
        <v>44</v>
      </c>
      <c r="G11" s="20">
        <v>5.0</v>
      </c>
      <c r="H11" s="21">
        <v>4000000.0</v>
      </c>
      <c r="I11" s="22">
        <v>45918.0</v>
      </c>
      <c r="J11" s="23">
        <v>45976.0</v>
      </c>
      <c r="K11" s="24">
        <v>50000.0</v>
      </c>
      <c r="L11" s="25">
        <v>46243.0</v>
      </c>
      <c r="M11" s="26">
        <v>46243.0</v>
      </c>
      <c r="N11" s="50">
        <v>46280.0</v>
      </c>
      <c r="O11" s="50">
        <v>46277.0</v>
      </c>
      <c r="P11" s="45"/>
      <c r="Q11" s="51" t="s">
        <v>45</v>
      </c>
      <c r="R11" s="29" t="s">
        <v>35</v>
      </c>
      <c r="S11" s="30"/>
      <c r="T11" s="31"/>
      <c r="U11" s="52"/>
      <c r="V11" s="4"/>
      <c r="W11" s="4"/>
      <c r="X11" s="4"/>
      <c r="Y11" s="4"/>
      <c r="Z11" s="4"/>
    </row>
    <row r="12" ht="34.5" customHeight="1">
      <c r="A12" s="15">
        <v>6.0</v>
      </c>
      <c r="B12" s="16" t="s">
        <v>46</v>
      </c>
      <c r="C12" s="48" t="s">
        <v>41</v>
      </c>
      <c r="D12" s="48" t="s">
        <v>47</v>
      </c>
      <c r="E12" s="18" t="s">
        <v>48</v>
      </c>
      <c r="F12" s="19" t="s">
        <v>44</v>
      </c>
      <c r="G12" s="20">
        <v>5.0</v>
      </c>
      <c r="H12" s="21">
        <v>4000000.0</v>
      </c>
      <c r="I12" s="22">
        <v>45853.0</v>
      </c>
      <c r="J12" s="23">
        <v>45884.0</v>
      </c>
      <c r="K12" s="24">
        <v>50000.0</v>
      </c>
      <c r="L12" s="25">
        <v>46218.0</v>
      </c>
      <c r="M12" s="26">
        <v>46218.0</v>
      </c>
      <c r="N12" s="50">
        <v>46249.0</v>
      </c>
      <c r="O12" s="50">
        <v>46246.0</v>
      </c>
      <c r="P12" s="28">
        <v>1.0</v>
      </c>
      <c r="Q12" s="20">
        <f t="shared" ref="Q12:Q15" si="2">K12*P12</f>
        <v>50000</v>
      </c>
      <c r="R12" s="29" t="s">
        <v>49</v>
      </c>
      <c r="S12" s="30"/>
      <c r="T12" s="31"/>
      <c r="U12" s="4"/>
      <c r="V12" s="4"/>
      <c r="W12" s="4"/>
      <c r="X12" s="4"/>
      <c r="Y12" s="4"/>
      <c r="Z12" s="4"/>
    </row>
    <row r="13" ht="34.5" customHeight="1">
      <c r="A13" s="15">
        <v>7.0</v>
      </c>
      <c r="B13" s="16" t="s">
        <v>50</v>
      </c>
      <c r="C13" s="17" t="s">
        <v>51</v>
      </c>
      <c r="D13" s="48" t="s">
        <v>52</v>
      </c>
      <c r="E13" s="53" t="s">
        <v>53</v>
      </c>
      <c r="F13" s="19" t="s">
        <v>27</v>
      </c>
      <c r="G13" s="20">
        <v>1.0</v>
      </c>
      <c r="H13" s="21">
        <v>400000.0</v>
      </c>
      <c r="I13" s="22">
        <v>45867.0</v>
      </c>
      <c r="J13" s="23">
        <v>45889.0</v>
      </c>
      <c r="K13" s="24">
        <v>4000.0</v>
      </c>
      <c r="L13" s="25">
        <v>46155.0</v>
      </c>
      <c r="M13" s="26">
        <v>46193.0</v>
      </c>
      <c r="N13" s="50">
        <v>46223.0</v>
      </c>
      <c r="O13" s="50">
        <v>46218.0</v>
      </c>
      <c r="P13" s="28">
        <v>2.0</v>
      </c>
      <c r="Q13" s="20">
        <f t="shared" si="2"/>
        <v>8000</v>
      </c>
      <c r="R13" s="54" t="s">
        <v>54</v>
      </c>
      <c r="S13" s="30"/>
      <c r="T13" s="31"/>
      <c r="U13" s="4"/>
      <c r="V13" s="4"/>
      <c r="W13" s="4"/>
      <c r="X13" s="4"/>
      <c r="Y13" s="4"/>
      <c r="Z13" s="4"/>
    </row>
    <row r="14" ht="34.5" customHeight="1">
      <c r="A14" s="32">
        <v>8.0</v>
      </c>
      <c r="B14" s="33" t="s">
        <v>55</v>
      </c>
      <c r="C14" s="55" t="s">
        <v>56</v>
      </c>
      <c r="D14" s="55" t="s">
        <v>52</v>
      </c>
      <c r="E14" s="53" t="s">
        <v>53</v>
      </c>
      <c r="F14" s="36" t="s">
        <v>27</v>
      </c>
      <c r="G14" s="56">
        <v>1.0</v>
      </c>
      <c r="H14" s="37">
        <v>450000.0</v>
      </c>
      <c r="I14" s="41">
        <v>46146.0</v>
      </c>
      <c r="J14" s="23">
        <v>46162.0</v>
      </c>
      <c r="K14" s="24">
        <v>4000.0</v>
      </c>
      <c r="L14" s="41">
        <v>46155.0</v>
      </c>
      <c r="M14" s="26">
        <v>46193.0</v>
      </c>
      <c r="N14" s="50">
        <v>46223.0</v>
      </c>
      <c r="O14" s="50">
        <v>46218.0</v>
      </c>
      <c r="P14" s="28">
        <v>2.0</v>
      </c>
      <c r="Q14" s="20">
        <f t="shared" si="2"/>
        <v>8000</v>
      </c>
      <c r="R14" s="57" t="s">
        <v>57</v>
      </c>
      <c r="S14" s="30"/>
      <c r="T14" s="31"/>
      <c r="U14" s="4"/>
      <c r="V14" s="4"/>
      <c r="W14" s="4"/>
      <c r="X14" s="4"/>
      <c r="Y14" s="4"/>
      <c r="Z14" s="4"/>
    </row>
    <row r="15" ht="34.5" customHeight="1">
      <c r="A15" s="15">
        <v>9.0</v>
      </c>
      <c r="B15" s="58" t="s">
        <v>58</v>
      </c>
      <c r="C15" s="17" t="s">
        <v>59</v>
      </c>
      <c r="D15" s="17" t="s">
        <v>60</v>
      </c>
      <c r="E15" s="18" t="s">
        <v>61</v>
      </c>
      <c r="F15" s="19" t="s">
        <v>27</v>
      </c>
      <c r="G15" s="20">
        <v>1.0</v>
      </c>
      <c r="H15" s="21">
        <v>450000.0</v>
      </c>
      <c r="I15" s="22">
        <v>45909.0</v>
      </c>
      <c r="J15" s="23">
        <v>45950.0</v>
      </c>
      <c r="K15" s="24">
        <v>5800.0</v>
      </c>
      <c r="L15" s="25">
        <v>46233.0</v>
      </c>
      <c r="M15" s="26">
        <v>46193.0</v>
      </c>
      <c r="N15" s="50">
        <v>46223.0</v>
      </c>
      <c r="O15" s="50">
        <v>46218.0</v>
      </c>
      <c r="P15" s="28">
        <v>2.0</v>
      </c>
      <c r="Q15" s="20">
        <f t="shared" si="2"/>
        <v>11600</v>
      </c>
      <c r="R15" s="29" t="s">
        <v>62</v>
      </c>
      <c r="S15" s="30"/>
      <c r="T15" s="31"/>
      <c r="U15" s="4"/>
      <c r="V15" s="4"/>
      <c r="W15" s="4"/>
      <c r="X15" s="4"/>
      <c r="Y15" s="4"/>
      <c r="Z15" s="4"/>
    </row>
    <row r="16" ht="34.5" customHeight="1">
      <c r="A16" s="15">
        <v>10.0</v>
      </c>
      <c r="B16" s="16" t="s">
        <v>63</v>
      </c>
      <c r="C16" s="17" t="s">
        <v>64</v>
      </c>
      <c r="D16" s="17" t="s">
        <v>65</v>
      </c>
      <c r="E16" s="18" t="s">
        <v>66</v>
      </c>
      <c r="F16" s="19" t="s">
        <v>27</v>
      </c>
      <c r="G16" s="20">
        <v>1.0</v>
      </c>
      <c r="H16" s="21">
        <v>460000.0</v>
      </c>
      <c r="I16" s="22">
        <v>45893.0</v>
      </c>
      <c r="J16" s="23">
        <v>45894.0</v>
      </c>
      <c r="K16" s="24">
        <v>10000.0</v>
      </c>
      <c r="L16" s="41">
        <v>46097.0</v>
      </c>
      <c r="M16" s="59">
        <v>46419.0</v>
      </c>
      <c r="N16" s="50">
        <v>46471.0</v>
      </c>
      <c r="O16" s="50">
        <v>46466.0</v>
      </c>
      <c r="P16" s="45"/>
      <c r="Q16" s="51" t="s">
        <v>45</v>
      </c>
      <c r="R16" s="47" t="s">
        <v>67</v>
      </c>
      <c r="S16" s="30"/>
      <c r="T16" s="31"/>
      <c r="U16" s="4"/>
      <c r="V16" s="4"/>
      <c r="W16" s="4"/>
      <c r="X16" s="4"/>
      <c r="Y16" s="4"/>
      <c r="Z16" s="4"/>
    </row>
    <row r="17" ht="34.5" customHeight="1">
      <c r="A17" s="32">
        <v>11.0</v>
      </c>
      <c r="B17" s="60" t="s">
        <v>68</v>
      </c>
      <c r="C17" s="55" t="s">
        <v>64</v>
      </c>
      <c r="D17" s="55" t="s">
        <v>69</v>
      </c>
      <c r="E17" s="61" t="s">
        <v>70</v>
      </c>
      <c r="F17" s="19" t="s">
        <v>27</v>
      </c>
      <c r="G17" s="62">
        <v>1.0</v>
      </c>
      <c r="H17" s="37">
        <v>600000.0</v>
      </c>
      <c r="I17" s="63">
        <v>45894.0</v>
      </c>
      <c r="J17" s="23">
        <v>45925.0</v>
      </c>
      <c r="K17" s="24">
        <v>8300.0</v>
      </c>
      <c r="L17" s="25">
        <v>46230.0</v>
      </c>
      <c r="M17" s="26">
        <v>46198.0</v>
      </c>
      <c r="N17" s="50">
        <v>46228.0</v>
      </c>
      <c r="O17" s="50">
        <v>46223.0</v>
      </c>
      <c r="P17" s="28">
        <v>2.0</v>
      </c>
      <c r="Q17" s="20">
        <f t="shared" ref="Q17:Q20" si="3">K17*P17</f>
        <v>16600</v>
      </c>
      <c r="R17" s="39" t="s">
        <v>35</v>
      </c>
      <c r="S17" s="64" t="s">
        <v>71</v>
      </c>
      <c r="T17" s="31"/>
      <c r="U17" s="4"/>
      <c r="V17" s="4"/>
      <c r="W17" s="4"/>
      <c r="X17" s="4"/>
      <c r="Y17" s="4"/>
      <c r="Z17" s="4"/>
    </row>
    <row r="18" ht="34.5" customHeight="1">
      <c r="A18" s="15">
        <v>12.0</v>
      </c>
      <c r="B18" s="16" t="s">
        <v>72</v>
      </c>
      <c r="C18" s="17" t="s">
        <v>73</v>
      </c>
      <c r="D18" s="17" t="s">
        <v>74</v>
      </c>
      <c r="E18" s="18" t="s">
        <v>75</v>
      </c>
      <c r="F18" s="19" t="s">
        <v>27</v>
      </c>
      <c r="G18" s="20">
        <v>1.0</v>
      </c>
      <c r="H18" s="21">
        <v>500000.0</v>
      </c>
      <c r="I18" s="41">
        <v>45911.0</v>
      </c>
      <c r="J18" s="23">
        <v>45958.0</v>
      </c>
      <c r="K18" s="24">
        <v>7300.0</v>
      </c>
      <c r="L18" s="25">
        <v>46231.0</v>
      </c>
      <c r="M18" s="26">
        <v>46231.0</v>
      </c>
      <c r="N18" s="50">
        <v>46262.0</v>
      </c>
      <c r="O18" s="50">
        <v>46259.0</v>
      </c>
      <c r="P18" s="28">
        <v>1.0</v>
      </c>
      <c r="Q18" s="20">
        <f t="shared" si="3"/>
        <v>7300</v>
      </c>
      <c r="R18" s="29" t="s">
        <v>35</v>
      </c>
      <c r="S18" s="30"/>
      <c r="T18" s="31"/>
      <c r="U18" s="4"/>
      <c r="V18" s="4"/>
      <c r="W18" s="4"/>
      <c r="X18" s="4"/>
      <c r="Y18" s="4"/>
      <c r="Z18" s="4"/>
    </row>
    <row r="19" ht="34.5" customHeight="1">
      <c r="A19" s="15">
        <v>13.0</v>
      </c>
      <c r="B19" s="60" t="s">
        <v>76</v>
      </c>
      <c r="C19" s="55" t="s">
        <v>77</v>
      </c>
      <c r="D19" s="55" t="s">
        <v>78</v>
      </c>
      <c r="E19" s="18" t="s">
        <v>79</v>
      </c>
      <c r="F19" s="19" t="s">
        <v>27</v>
      </c>
      <c r="G19" s="62">
        <v>1.0</v>
      </c>
      <c r="H19" s="37">
        <v>500000.0</v>
      </c>
      <c r="I19" s="41">
        <v>45952.0</v>
      </c>
      <c r="J19" s="23">
        <v>46050.0</v>
      </c>
      <c r="K19" s="24">
        <v>7000.0</v>
      </c>
      <c r="L19" s="41">
        <v>46140.0</v>
      </c>
      <c r="M19" s="42">
        <v>46114.0</v>
      </c>
      <c r="N19" s="44">
        <v>46170.0</v>
      </c>
      <c r="O19" s="44">
        <v>46167.0</v>
      </c>
      <c r="P19" s="65">
        <v>4.0</v>
      </c>
      <c r="Q19" s="20">
        <f t="shared" si="3"/>
        <v>28000</v>
      </c>
      <c r="R19" s="66" t="s">
        <v>80</v>
      </c>
      <c r="S19" s="30"/>
      <c r="T19" s="31"/>
      <c r="U19" s="4"/>
      <c r="V19" s="4"/>
      <c r="W19" s="4"/>
      <c r="X19" s="4"/>
      <c r="Y19" s="4"/>
      <c r="Z19" s="4"/>
    </row>
    <row r="20" ht="34.5" customHeight="1">
      <c r="A20" s="32">
        <v>14.0</v>
      </c>
      <c r="B20" s="16" t="s">
        <v>81</v>
      </c>
      <c r="C20" s="17" t="s">
        <v>77</v>
      </c>
      <c r="D20" s="40" t="s">
        <v>82</v>
      </c>
      <c r="E20" s="18" t="s">
        <v>83</v>
      </c>
      <c r="F20" s="19" t="s">
        <v>27</v>
      </c>
      <c r="G20" s="20">
        <v>1.0</v>
      </c>
      <c r="H20" s="21">
        <v>500000.0</v>
      </c>
      <c r="I20" s="22">
        <v>45952.0</v>
      </c>
      <c r="J20" s="23">
        <v>46050.0</v>
      </c>
      <c r="K20" s="24">
        <v>7000.0</v>
      </c>
      <c r="L20" s="41">
        <v>46140.0</v>
      </c>
      <c r="M20" s="42">
        <v>46114.0</v>
      </c>
      <c r="N20" s="44">
        <v>46170.0</v>
      </c>
      <c r="O20" s="44">
        <v>46167.0</v>
      </c>
      <c r="P20" s="28">
        <v>4.0</v>
      </c>
      <c r="Q20" s="20">
        <f t="shared" si="3"/>
        <v>28000</v>
      </c>
      <c r="R20" s="66" t="s">
        <v>80</v>
      </c>
      <c r="S20" s="30"/>
      <c r="T20" s="31"/>
      <c r="U20" s="4"/>
      <c r="V20" s="4"/>
      <c r="W20" s="4"/>
      <c r="X20" s="4"/>
      <c r="Y20" s="4"/>
      <c r="Z20" s="4"/>
    </row>
    <row r="21" ht="34.5" customHeight="1">
      <c r="A21" s="15">
        <v>15.0</v>
      </c>
      <c r="B21" s="16" t="s">
        <v>84</v>
      </c>
      <c r="C21" s="48" t="s">
        <v>85</v>
      </c>
      <c r="D21" s="48" t="s">
        <v>86</v>
      </c>
      <c r="E21" s="67"/>
      <c r="F21" s="19" t="s">
        <v>27</v>
      </c>
      <c r="G21" s="20">
        <v>4.0</v>
      </c>
      <c r="H21" s="21">
        <v>2400000.0</v>
      </c>
      <c r="I21" s="22">
        <v>45945.0</v>
      </c>
      <c r="J21" s="23">
        <v>45966.0</v>
      </c>
      <c r="K21" s="24">
        <v>29600.0</v>
      </c>
      <c r="L21" s="25">
        <v>46167.0</v>
      </c>
      <c r="M21" s="26">
        <v>46239.0</v>
      </c>
      <c r="N21" s="50">
        <v>46270.0</v>
      </c>
      <c r="O21" s="50">
        <v>46268.0</v>
      </c>
      <c r="P21" s="45"/>
      <c r="Q21" s="51" t="s">
        <v>45</v>
      </c>
      <c r="R21" s="29" t="s">
        <v>35</v>
      </c>
      <c r="S21" s="30"/>
      <c r="T21" s="31"/>
      <c r="U21" s="4"/>
      <c r="V21" s="4"/>
      <c r="W21" s="4"/>
      <c r="X21" s="4"/>
      <c r="Y21" s="4"/>
      <c r="Z21" s="4"/>
    </row>
    <row r="22" ht="34.5" customHeight="1">
      <c r="A22" s="15">
        <v>16.0</v>
      </c>
      <c r="B22" s="16" t="s">
        <v>87</v>
      </c>
      <c r="C22" s="48" t="s">
        <v>77</v>
      </c>
      <c r="D22" s="49" t="s">
        <v>88</v>
      </c>
      <c r="E22" s="67"/>
      <c r="F22" s="19" t="s">
        <v>27</v>
      </c>
      <c r="G22" s="20">
        <v>1.0</v>
      </c>
      <c r="H22" s="21">
        <v>500000.0</v>
      </c>
      <c r="I22" s="22">
        <v>45983.0</v>
      </c>
      <c r="J22" s="23">
        <v>46037.0</v>
      </c>
      <c r="K22" s="24">
        <v>6500.0</v>
      </c>
      <c r="L22" s="41">
        <v>46131.0</v>
      </c>
      <c r="M22" s="59">
        <v>46114.0</v>
      </c>
      <c r="N22" s="44">
        <v>46157.0</v>
      </c>
      <c r="O22" s="44">
        <v>46154.0</v>
      </c>
      <c r="P22" s="28">
        <v>4.0</v>
      </c>
      <c r="Q22" s="20">
        <f t="shared" ref="Q22:Q23" si="4">K22*P22</f>
        <v>26000</v>
      </c>
      <c r="R22" s="66" t="s">
        <v>80</v>
      </c>
      <c r="S22" s="30"/>
      <c r="T22" s="31"/>
      <c r="U22" s="4"/>
      <c r="V22" s="4"/>
      <c r="W22" s="4"/>
      <c r="X22" s="4"/>
      <c r="Y22" s="4"/>
      <c r="Z22" s="4"/>
    </row>
    <row r="23" ht="34.5" customHeight="1">
      <c r="A23" s="32">
        <v>17.0</v>
      </c>
      <c r="B23" s="68" t="s">
        <v>89</v>
      </c>
      <c r="C23" s="48" t="s">
        <v>90</v>
      </c>
      <c r="D23" s="49" t="s">
        <v>91</v>
      </c>
      <c r="E23" s="18" t="s">
        <v>92</v>
      </c>
      <c r="F23" s="19" t="s">
        <v>27</v>
      </c>
      <c r="G23" s="20">
        <v>2.0</v>
      </c>
      <c r="H23" s="21">
        <v>1000000.0</v>
      </c>
      <c r="I23" s="22">
        <v>45964.0</v>
      </c>
      <c r="J23" s="23">
        <v>46006.0</v>
      </c>
      <c r="K23" s="24">
        <v>16000.0</v>
      </c>
      <c r="L23" s="25">
        <v>46210.0</v>
      </c>
      <c r="M23" s="26">
        <v>46218.0</v>
      </c>
      <c r="N23" s="69">
        <v>46249.0</v>
      </c>
      <c r="O23" s="50">
        <v>46246.0</v>
      </c>
      <c r="P23" s="28">
        <v>1.0</v>
      </c>
      <c r="Q23" s="20">
        <f t="shared" si="4"/>
        <v>16000</v>
      </c>
      <c r="R23" s="29" t="s">
        <v>93</v>
      </c>
      <c r="S23" s="30"/>
      <c r="T23" s="31"/>
      <c r="U23" s="4"/>
      <c r="V23" s="4"/>
      <c r="W23" s="4"/>
      <c r="X23" s="4"/>
      <c r="Y23" s="4"/>
      <c r="Z23" s="4"/>
    </row>
    <row r="24" ht="34.5" customHeight="1">
      <c r="A24" s="15">
        <v>18.0</v>
      </c>
      <c r="B24" s="60" t="s">
        <v>94</v>
      </c>
      <c r="C24" s="55" t="s">
        <v>95</v>
      </c>
      <c r="D24" s="55" t="s">
        <v>96</v>
      </c>
      <c r="E24" s="18" t="s">
        <v>97</v>
      </c>
      <c r="F24" s="19" t="s">
        <v>27</v>
      </c>
      <c r="G24" s="62">
        <v>1.0</v>
      </c>
      <c r="H24" s="37">
        <v>500000.0</v>
      </c>
      <c r="I24" s="63">
        <v>46009.0</v>
      </c>
      <c r="J24" s="23">
        <v>46037.0</v>
      </c>
      <c r="K24" s="24">
        <v>7500.0</v>
      </c>
      <c r="L24" s="25">
        <v>46230.0</v>
      </c>
      <c r="M24" s="26">
        <v>46264.0</v>
      </c>
      <c r="N24" s="50">
        <v>46295.0</v>
      </c>
      <c r="O24" s="50">
        <v>46292.0</v>
      </c>
      <c r="P24" s="65"/>
      <c r="Q24" s="51" t="s">
        <v>45</v>
      </c>
      <c r="R24" s="39" t="s">
        <v>98</v>
      </c>
      <c r="S24" s="30"/>
      <c r="T24" s="31"/>
      <c r="U24" s="4"/>
      <c r="V24" s="4"/>
      <c r="W24" s="4"/>
      <c r="X24" s="4"/>
      <c r="Y24" s="4"/>
      <c r="Z24" s="4"/>
    </row>
    <row r="25" ht="34.5" customHeight="1">
      <c r="A25" s="15">
        <v>19.0</v>
      </c>
      <c r="B25" s="16" t="s">
        <v>99</v>
      </c>
      <c r="C25" s="17" t="s">
        <v>100</v>
      </c>
      <c r="D25" s="17" t="s">
        <v>100</v>
      </c>
      <c r="E25" s="18" t="s">
        <v>101</v>
      </c>
      <c r="F25" s="19" t="s">
        <v>27</v>
      </c>
      <c r="G25" s="20">
        <v>1.0</v>
      </c>
      <c r="H25" s="21">
        <v>400000.0</v>
      </c>
      <c r="I25" s="22">
        <v>45981.0</v>
      </c>
      <c r="J25" s="23">
        <v>46019.0</v>
      </c>
      <c r="K25" s="24">
        <v>5000.0</v>
      </c>
      <c r="L25" s="25">
        <v>46223.0</v>
      </c>
      <c r="M25" s="70">
        <v>46282.0</v>
      </c>
      <c r="N25" s="50">
        <v>46323.0</v>
      </c>
      <c r="O25" s="50">
        <v>46320.0</v>
      </c>
      <c r="P25" s="45"/>
      <c r="Q25" s="51" t="s">
        <v>45</v>
      </c>
      <c r="R25" s="39" t="s">
        <v>35</v>
      </c>
      <c r="S25" s="30"/>
      <c r="T25" s="31"/>
      <c r="U25" s="4"/>
      <c r="V25" s="4"/>
      <c r="W25" s="4"/>
      <c r="X25" s="4"/>
      <c r="Y25" s="4"/>
      <c r="Z25" s="4"/>
    </row>
    <row r="26" ht="34.5" customHeight="1">
      <c r="A26" s="32">
        <v>20.0</v>
      </c>
      <c r="B26" s="16" t="s">
        <v>102</v>
      </c>
      <c r="C26" s="48" t="s">
        <v>103</v>
      </c>
      <c r="D26" s="48" t="s">
        <v>104</v>
      </c>
      <c r="E26" s="18" t="s">
        <v>105</v>
      </c>
      <c r="F26" s="19" t="s">
        <v>27</v>
      </c>
      <c r="G26" s="20">
        <v>1.0</v>
      </c>
      <c r="H26" s="21">
        <v>500000.0</v>
      </c>
      <c r="I26" s="22">
        <v>46036.0</v>
      </c>
      <c r="J26" s="23">
        <v>46064.0</v>
      </c>
      <c r="K26" s="24">
        <v>7000.0</v>
      </c>
      <c r="L26" s="25">
        <v>46217.0</v>
      </c>
      <c r="M26" s="70">
        <v>46217.0</v>
      </c>
      <c r="N26" s="50">
        <v>46245.0</v>
      </c>
      <c r="O26" s="50">
        <v>46239.0</v>
      </c>
      <c r="P26" s="28">
        <v>1.0</v>
      </c>
      <c r="Q26" s="20">
        <f t="shared" ref="Q26:Q29" si="5">K26*P26</f>
        <v>7000</v>
      </c>
      <c r="R26" s="39" t="s">
        <v>106</v>
      </c>
      <c r="S26" s="30"/>
      <c r="T26" s="31"/>
      <c r="U26" s="4"/>
      <c r="V26" s="4"/>
      <c r="W26" s="4"/>
      <c r="X26" s="4"/>
      <c r="Y26" s="4"/>
      <c r="Z26" s="4"/>
    </row>
    <row r="27" ht="34.5" customHeight="1">
      <c r="A27" s="15">
        <v>21.0</v>
      </c>
      <c r="B27" s="16" t="s">
        <v>107</v>
      </c>
      <c r="C27" s="17" t="s">
        <v>108</v>
      </c>
      <c r="D27" s="17" t="s">
        <v>109</v>
      </c>
      <c r="E27" s="18" t="s">
        <v>110</v>
      </c>
      <c r="F27" s="19" t="s">
        <v>27</v>
      </c>
      <c r="G27" s="20">
        <v>2.0</v>
      </c>
      <c r="H27" s="21">
        <v>900000.0</v>
      </c>
      <c r="I27" s="22">
        <v>46019.0</v>
      </c>
      <c r="J27" s="23">
        <v>46050.0</v>
      </c>
      <c r="K27" s="24">
        <v>10000.0</v>
      </c>
      <c r="L27" s="41">
        <v>46151.0</v>
      </c>
      <c r="M27" s="42">
        <v>46109.0</v>
      </c>
      <c r="N27" s="44">
        <v>46140.0</v>
      </c>
      <c r="O27" s="50">
        <v>46137.0</v>
      </c>
      <c r="P27" s="28">
        <v>5.0</v>
      </c>
      <c r="Q27" s="20">
        <f t="shared" si="5"/>
        <v>50000</v>
      </c>
      <c r="R27" s="47" t="s">
        <v>30</v>
      </c>
      <c r="S27" s="30"/>
      <c r="T27" s="31"/>
      <c r="U27" s="4"/>
      <c r="V27" s="4"/>
      <c r="W27" s="4"/>
      <c r="X27" s="4"/>
      <c r="Y27" s="4"/>
      <c r="Z27" s="4"/>
    </row>
    <row r="28" ht="34.5" customHeight="1">
      <c r="A28" s="15">
        <v>22.0</v>
      </c>
      <c r="B28" s="16" t="s">
        <v>111</v>
      </c>
      <c r="C28" s="48" t="s">
        <v>112</v>
      </c>
      <c r="D28" s="17" t="s">
        <v>113</v>
      </c>
      <c r="E28" s="18" t="s">
        <v>114</v>
      </c>
      <c r="F28" s="19" t="s">
        <v>44</v>
      </c>
      <c r="G28" s="20">
        <v>5.0</v>
      </c>
      <c r="H28" s="21">
        <v>5000000.0</v>
      </c>
      <c r="I28" s="22"/>
      <c r="J28" s="23">
        <v>46047.0</v>
      </c>
      <c r="K28" s="24">
        <v>55000.0</v>
      </c>
      <c r="L28" s="25">
        <v>46236.0</v>
      </c>
      <c r="M28" s="26">
        <v>46198.0</v>
      </c>
      <c r="N28" s="50">
        <v>46228.0</v>
      </c>
      <c r="O28" s="50">
        <v>46225.0</v>
      </c>
      <c r="P28" s="28">
        <v>2.0</v>
      </c>
      <c r="Q28" s="20">
        <f t="shared" si="5"/>
        <v>110000</v>
      </c>
      <c r="R28" s="29" t="s">
        <v>106</v>
      </c>
      <c r="S28" s="30"/>
      <c r="T28" s="31"/>
      <c r="U28" s="4"/>
      <c r="V28" s="4"/>
      <c r="W28" s="4"/>
      <c r="X28" s="4"/>
      <c r="Y28" s="4"/>
      <c r="Z28" s="4"/>
    </row>
    <row r="29" ht="34.5" customHeight="1">
      <c r="A29" s="32">
        <v>23.0</v>
      </c>
      <c r="B29" s="16" t="s">
        <v>115</v>
      </c>
      <c r="C29" s="48" t="s">
        <v>32</v>
      </c>
      <c r="D29" s="71" t="s">
        <v>116</v>
      </c>
      <c r="E29" s="18" t="s">
        <v>117</v>
      </c>
      <c r="F29" s="19" t="s">
        <v>27</v>
      </c>
      <c r="G29" s="20">
        <v>1.0</v>
      </c>
      <c r="H29" s="21">
        <v>600000.0</v>
      </c>
      <c r="I29" s="22">
        <v>46047.0</v>
      </c>
      <c r="J29" s="23">
        <v>46078.0</v>
      </c>
      <c r="K29" s="24">
        <v>10000.0</v>
      </c>
      <c r="L29" s="25">
        <v>46149.0</v>
      </c>
      <c r="M29" s="26">
        <v>46137.0</v>
      </c>
      <c r="N29" s="50">
        <v>46167.0</v>
      </c>
      <c r="O29" s="50">
        <v>46164.0</v>
      </c>
      <c r="P29" s="28">
        <v>4.0</v>
      </c>
      <c r="Q29" s="20">
        <f t="shared" si="5"/>
        <v>40000</v>
      </c>
      <c r="R29" s="29" t="s">
        <v>30</v>
      </c>
      <c r="S29" s="30"/>
      <c r="T29" s="31"/>
      <c r="U29" s="4"/>
      <c r="V29" s="4"/>
      <c r="W29" s="4"/>
      <c r="X29" s="4"/>
      <c r="Y29" s="4"/>
      <c r="Z29" s="4"/>
    </row>
    <row r="30" ht="34.5" customHeight="1">
      <c r="A30" s="15">
        <v>24.0</v>
      </c>
      <c r="B30" s="60" t="s">
        <v>118</v>
      </c>
      <c r="C30" s="55" t="s">
        <v>108</v>
      </c>
      <c r="D30" s="55" t="s">
        <v>119</v>
      </c>
      <c r="E30" s="18" t="s">
        <v>120</v>
      </c>
      <c r="F30" s="19" t="s">
        <v>27</v>
      </c>
      <c r="G30" s="62">
        <v>2.0</v>
      </c>
      <c r="H30" s="37">
        <v>1100000.0</v>
      </c>
      <c r="I30" s="41">
        <v>46025.0</v>
      </c>
      <c r="J30" s="23">
        <v>46063.0</v>
      </c>
      <c r="K30" s="24">
        <v>12000.0</v>
      </c>
      <c r="L30" s="25">
        <v>46210.0</v>
      </c>
      <c r="M30" s="26">
        <v>46188.0</v>
      </c>
      <c r="N30" s="50">
        <v>46218.0</v>
      </c>
      <c r="O30" s="50">
        <v>46215.0</v>
      </c>
      <c r="P30" s="65">
        <v>2.0</v>
      </c>
      <c r="Q30" s="20">
        <f>K30*P30+4000</f>
        <v>28000</v>
      </c>
      <c r="R30" s="39" t="s">
        <v>121</v>
      </c>
      <c r="S30" s="30"/>
      <c r="T30" s="31"/>
      <c r="U30" s="4"/>
      <c r="V30" s="4"/>
      <c r="W30" s="4"/>
      <c r="X30" s="4"/>
      <c r="Y30" s="4"/>
      <c r="Z30" s="4"/>
    </row>
    <row r="31" ht="34.5" customHeight="1">
      <c r="A31" s="15">
        <v>25.0</v>
      </c>
      <c r="B31" s="16" t="s">
        <v>122</v>
      </c>
      <c r="C31" s="17" t="s">
        <v>123</v>
      </c>
      <c r="D31" s="40" t="s">
        <v>124</v>
      </c>
      <c r="E31" s="67"/>
      <c r="F31" s="47" t="s">
        <v>27</v>
      </c>
      <c r="G31" s="20">
        <v>1.0</v>
      </c>
      <c r="H31" s="21">
        <v>450000.0</v>
      </c>
      <c r="I31" s="22"/>
      <c r="J31" s="23">
        <v>46073.0</v>
      </c>
      <c r="K31" s="24">
        <v>6500.0</v>
      </c>
      <c r="L31" s="41">
        <v>46112.0</v>
      </c>
      <c r="M31" s="42">
        <v>46084.0</v>
      </c>
      <c r="N31" s="44">
        <v>46132.0</v>
      </c>
      <c r="O31" s="44">
        <v>46127.0</v>
      </c>
      <c r="P31" s="28">
        <v>5.0</v>
      </c>
      <c r="Q31" s="20">
        <f t="shared" ref="Q31:Q33" si="6">K31*P31</f>
        <v>32500</v>
      </c>
      <c r="R31" s="47" t="s">
        <v>57</v>
      </c>
      <c r="S31" s="30"/>
      <c r="T31" s="31"/>
      <c r="U31" s="4"/>
      <c r="V31" s="4"/>
      <c r="W31" s="4"/>
      <c r="X31" s="4"/>
      <c r="Y31" s="4"/>
      <c r="Z31" s="4"/>
    </row>
    <row r="32" ht="34.5" customHeight="1">
      <c r="A32" s="32">
        <v>26.0</v>
      </c>
      <c r="B32" s="16" t="s">
        <v>125</v>
      </c>
      <c r="C32" s="17" t="s">
        <v>123</v>
      </c>
      <c r="D32" s="40" t="s">
        <v>126</v>
      </c>
      <c r="E32" s="67"/>
      <c r="F32" s="47" t="s">
        <v>27</v>
      </c>
      <c r="G32" s="20">
        <v>1.0</v>
      </c>
      <c r="H32" s="21">
        <v>450000.0</v>
      </c>
      <c r="I32" s="22"/>
      <c r="J32" s="23">
        <v>46073.0</v>
      </c>
      <c r="K32" s="24">
        <v>6500.0</v>
      </c>
      <c r="L32" s="41">
        <v>46112.0</v>
      </c>
      <c r="M32" s="42">
        <v>46084.0</v>
      </c>
      <c r="N32" s="44">
        <v>46132.0</v>
      </c>
      <c r="O32" s="44">
        <v>46127.0</v>
      </c>
      <c r="P32" s="28">
        <v>5.0</v>
      </c>
      <c r="Q32" s="20">
        <f t="shared" si="6"/>
        <v>32500</v>
      </c>
      <c r="R32" s="47" t="s">
        <v>57</v>
      </c>
      <c r="S32" s="30"/>
      <c r="T32" s="31"/>
      <c r="U32" s="4"/>
      <c r="V32" s="4"/>
      <c r="W32" s="4"/>
      <c r="X32" s="4"/>
      <c r="Y32" s="4"/>
      <c r="Z32" s="4"/>
    </row>
    <row r="33" ht="34.5" customHeight="1">
      <c r="A33" s="15">
        <v>27.0</v>
      </c>
      <c r="B33" s="16" t="s">
        <v>127</v>
      </c>
      <c r="C33" s="48" t="s">
        <v>100</v>
      </c>
      <c r="D33" s="48" t="s">
        <v>128</v>
      </c>
      <c r="E33" s="18" t="s">
        <v>129</v>
      </c>
      <c r="F33" s="19" t="s">
        <v>27</v>
      </c>
      <c r="G33" s="20">
        <v>2.0</v>
      </c>
      <c r="H33" s="21">
        <v>1000000.0</v>
      </c>
      <c r="I33" s="22">
        <v>46021.0</v>
      </c>
      <c r="J33" s="23">
        <v>46042.0</v>
      </c>
      <c r="K33" s="24">
        <v>12500.0</v>
      </c>
      <c r="L33" s="41">
        <v>46092.0</v>
      </c>
      <c r="M33" s="26">
        <v>46226.0</v>
      </c>
      <c r="N33" s="50">
        <v>46254.0</v>
      </c>
      <c r="O33" s="50">
        <v>46249.0</v>
      </c>
      <c r="P33" s="28">
        <v>1.0</v>
      </c>
      <c r="Q33" s="20">
        <f t="shared" si="6"/>
        <v>12500</v>
      </c>
      <c r="R33" s="39" t="s">
        <v>28</v>
      </c>
      <c r="S33" s="30"/>
      <c r="T33" s="31"/>
      <c r="U33" s="4"/>
      <c r="V33" s="4"/>
      <c r="W33" s="4"/>
      <c r="X33" s="4"/>
      <c r="Y33" s="4"/>
      <c r="Z33" s="4"/>
    </row>
    <row r="34" ht="34.5" customHeight="1">
      <c r="A34" s="15">
        <v>28.0</v>
      </c>
      <c r="B34" s="16" t="s">
        <v>130</v>
      </c>
      <c r="C34" s="48" t="s">
        <v>103</v>
      </c>
      <c r="D34" s="48" t="s">
        <v>131</v>
      </c>
      <c r="E34" s="18" t="s">
        <v>132</v>
      </c>
      <c r="F34" s="19" t="s">
        <v>27</v>
      </c>
      <c r="G34" s="20">
        <v>1.0</v>
      </c>
      <c r="H34" s="21">
        <v>500000.0</v>
      </c>
      <c r="I34" s="22">
        <v>46044.0</v>
      </c>
      <c r="J34" s="23">
        <v>46063.0</v>
      </c>
      <c r="K34" s="24">
        <v>15000.0</v>
      </c>
      <c r="L34" s="41">
        <v>46093.0</v>
      </c>
      <c r="M34" s="42">
        <v>46270.0</v>
      </c>
      <c r="N34" s="44">
        <v>46305.0</v>
      </c>
      <c r="O34" s="44">
        <v>46302.0</v>
      </c>
      <c r="P34" s="45"/>
      <c r="Q34" s="51" t="s">
        <v>45</v>
      </c>
      <c r="R34" s="66" t="s">
        <v>133</v>
      </c>
      <c r="S34" s="30"/>
      <c r="T34" s="31"/>
      <c r="U34" s="4"/>
      <c r="V34" s="4"/>
      <c r="W34" s="4"/>
      <c r="X34" s="4"/>
      <c r="Y34" s="4"/>
      <c r="Z34" s="4"/>
    </row>
    <row r="35" ht="34.5" customHeight="1">
      <c r="A35" s="32">
        <v>29.0</v>
      </c>
      <c r="B35" s="68" t="s">
        <v>134</v>
      </c>
      <c r="C35" s="17" t="s">
        <v>85</v>
      </c>
      <c r="D35" s="17" t="s">
        <v>135</v>
      </c>
      <c r="E35" s="18" t="s">
        <v>136</v>
      </c>
      <c r="F35" s="19" t="s">
        <v>27</v>
      </c>
      <c r="G35" s="20">
        <v>1.0</v>
      </c>
      <c r="H35" s="21">
        <v>500000.0</v>
      </c>
      <c r="I35" s="22">
        <v>46047.0</v>
      </c>
      <c r="J35" s="23">
        <v>46063.0</v>
      </c>
      <c r="K35" s="24">
        <v>10000.0</v>
      </c>
      <c r="L35" s="25">
        <v>46226.0</v>
      </c>
      <c r="M35" s="70">
        <v>46226.0</v>
      </c>
      <c r="N35" s="50">
        <v>46244.0</v>
      </c>
      <c r="O35" s="50">
        <v>46241.0</v>
      </c>
      <c r="P35" s="28">
        <v>1.0</v>
      </c>
      <c r="Q35" s="20">
        <f t="shared" ref="Q35:Q37" si="7">K35*P35</f>
        <v>10000</v>
      </c>
      <c r="R35" s="29" t="s">
        <v>106</v>
      </c>
      <c r="S35" s="30"/>
      <c r="T35" s="31"/>
      <c r="U35" s="4"/>
      <c r="V35" s="4"/>
      <c r="W35" s="4"/>
      <c r="X35" s="4"/>
      <c r="Y35" s="4"/>
      <c r="Z35" s="4"/>
    </row>
    <row r="36" ht="34.5" customHeight="1">
      <c r="A36" s="15">
        <v>30.0</v>
      </c>
      <c r="B36" s="68" t="s">
        <v>137</v>
      </c>
      <c r="C36" s="17" t="s">
        <v>103</v>
      </c>
      <c r="D36" s="17" t="s">
        <v>138</v>
      </c>
      <c r="E36" s="18" t="s">
        <v>139</v>
      </c>
      <c r="F36" s="19" t="s">
        <v>27</v>
      </c>
      <c r="G36" s="20">
        <v>1.0</v>
      </c>
      <c r="H36" s="21">
        <v>400000.0</v>
      </c>
      <c r="I36" s="22">
        <v>46043.0</v>
      </c>
      <c r="J36" s="23">
        <v>46078.0</v>
      </c>
      <c r="K36" s="24">
        <v>5000.0</v>
      </c>
      <c r="L36" s="25">
        <v>46209.0</v>
      </c>
      <c r="M36" s="26">
        <v>46150.0</v>
      </c>
      <c r="N36" s="50">
        <v>46198.0</v>
      </c>
      <c r="O36" s="50">
        <v>46195.0</v>
      </c>
      <c r="P36" s="28">
        <v>3.0</v>
      </c>
      <c r="Q36" s="20">
        <f t="shared" si="7"/>
        <v>15000</v>
      </c>
      <c r="R36" s="29" t="s">
        <v>80</v>
      </c>
      <c r="S36" s="30"/>
      <c r="T36" s="31"/>
      <c r="U36" s="4"/>
      <c r="V36" s="4"/>
      <c r="W36" s="4"/>
      <c r="X36" s="4"/>
      <c r="Y36" s="4"/>
      <c r="Z36" s="4"/>
    </row>
    <row r="37" ht="34.5" customHeight="1">
      <c r="A37" s="15">
        <v>31.0</v>
      </c>
      <c r="B37" s="68" t="s">
        <v>140</v>
      </c>
      <c r="C37" s="17" t="s">
        <v>141</v>
      </c>
      <c r="D37" s="17" t="s">
        <v>142</v>
      </c>
      <c r="E37" s="18" t="s">
        <v>143</v>
      </c>
      <c r="F37" s="19" t="s">
        <v>27</v>
      </c>
      <c r="G37" s="20">
        <v>1.0</v>
      </c>
      <c r="H37" s="21">
        <v>700000.0</v>
      </c>
      <c r="I37" s="22">
        <v>46044.0</v>
      </c>
      <c r="J37" s="23">
        <v>46127.0</v>
      </c>
      <c r="K37" s="24">
        <v>10000.0</v>
      </c>
      <c r="L37" s="41">
        <v>46051.0</v>
      </c>
      <c r="M37" s="59"/>
      <c r="N37" s="44">
        <v>46127.0</v>
      </c>
      <c r="O37" s="44">
        <v>46124.0</v>
      </c>
      <c r="P37" s="28">
        <v>5.0</v>
      </c>
      <c r="Q37" s="20">
        <f t="shared" si="7"/>
        <v>50000</v>
      </c>
      <c r="R37" s="39" t="s">
        <v>144</v>
      </c>
      <c r="S37" s="72" t="s">
        <v>145</v>
      </c>
      <c r="T37" s="31"/>
      <c r="U37" s="4"/>
      <c r="V37" s="4"/>
      <c r="W37" s="4"/>
      <c r="X37" s="4"/>
      <c r="Y37" s="4"/>
      <c r="Z37" s="4"/>
    </row>
    <row r="38" ht="34.5" customHeight="1">
      <c r="A38" s="32">
        <v>32.0</v>
      </c>
      <c r="B38" s="16" t="s">
        <v>146</v>
      </c>
      <c r="C38" s="17" t="s">
        <v>77</v>
      </c>
      <c r="D38" s="17" t="s">
        <v>147</v>
      </c>
      <c r="E38" s="18" t="s">
        <v>148</v>
      </c>
      <c r="F38" s="19" t="s">
        <v>27</v>
      </c>
      <c r="G38" s="20">
        <v>1.0</v>
      </c>
      <c r="H38" s="21">
        <v>600000.0</v>
      </c>
      <c r="I38" s="22">
        <v>46047.0</v>
      </c>
      <c r="J38" s="23">
        <v>46068.0</v>
      </c>
      <c r="K38" s="24">
        <v>9000.0</v>
      </c>
      <c r="L38" s="25">
        <v>46244.0</v>
      </c>
      <c r="M38" s="70">
        <v>46244.0</v>
      </c>
      <c r="N38" s="50">
        <v>46280.0</v>
      </c>
      <c r="O38" s="50">
        <v>46277.0</v>
      </c>
      <c r="P38" s="28"/>
      <c r="Q38" s="51" t="s">
        <v>45</v>
      </c>
      <c r="R38" s="29" t="s">
        <v>28</v>
      </c>
      <c r="S38" s="30"/>
      <c r="T38" s="31"/>
      <c r="U38" s="4"/>
      <c r="V38" s="4"/>
      <c r="W38" s="4"/>
      <c r="X38" s="4"/>
      <c r="Y38" s="4"/>
      <c r="Z38" s="4"/>
    </row>
    <row r="39" ht="34.5" customHeight="1">
      <c r="A39" s="15">
        <v>33.0</v>
      </c>
      <c r="B39" s="16" t="s">
        <v>149</v>
      </c>
      <c r="C39" s="48" t="s">
        <v>150</v>
      </c>
      <c r="D39" s="48" t="s">
        <v>151</v>
      </c>
      <c r="E39" s="18" t="s">
        <v>152</v>
      </c>
      <c r="F39" s="19" t="s">
        <v>27</v>
      </c>
      <c r="G39" s="20">
        <v>1.0</v>
      </c>
      <c r="H39" s="21">
        <v>600000.0</v>
      </c>
      <c r="I39" s="22"/>
      <c r="J39" s="23">
        <v>46068.0</v>
      </c>
      <c r="K39" s="24">
        <v>8500.0</v>
      </c>
      <c r="L39" s="73">
        <v>46230.0</v>
      </c>
      <c r="M39" s="70">
        <v>46249.0</v>
      </c>
      <c r="N39" s="50">
        <v>46280.0</v>
      </c>
      <c r="O39" s="50">
        <v>46277.0</v>
      </c>
      <c r="P39" s="28"/>
      <c r="Q39" s="51" t="s">
        <v>45</v>
      </c>
      <c r="R39" s="29" t="s">
        <v>28</v>
      </c>
      <c r="S39" s="30"/>
      <c r="T39" s="31"/>
      <c r="U39" s="4"/>
      <c r="V39" s="4"/>
      <c r="W39" s="4"/>
      <c r="X39" s="4"/>
      <c r="Y39" s="4"/>
      <c r="Z39" s="4"/>
    </row>
    <row r="40" ht="34.5" customHeight="1">
      <c r="A40" s="15">
        <v>34.0</v>
      </c>
      <c r="B40" s="68" t="s">
        <v>153</v>
      </c>
      <c r="C40" s="48" t="s">
        <v>100</v>
      </c>
      <c r="D40" s="48" t="s">
        <v>154</v>
      </c>
      <c r="E40" s="18" t="s">
        <v>155</v>
      </c>
      <c r="F40" s="19" t="s">
        <v>156</v>
      </c>
      <c r="G40" s="20">
        <v>1.0</v>
      </c>
      <c r="H40" s="21">
        <v>480000.0</v>
      </c>
      <c r="I40" s="22">
        <v>46063.0</v>
      </c>
      <c r="J40" s="23">
        <v>46091.0</v>
      </c>
      <c r="K40" s="24">
        <v>6000.0</v>
      </c>
      <c r="L40" s="41">
        <v>46151.0</v>
      </c>
      <c r="M40" s="70">
        <v>46212.0</v>
      </c>
      <c r="N40" s="50">
        <v>46244.0</v>
      </c>
      <c r="O40" s="50">
        <v>46239.0</v>
      </c>
      <c r="P40" s="28">
        <v>1.0</v>
      </c>
      <c r="Q40" s="20">
        <f>K40*P40</f>
        <v>6000</v>
      </c>
      <c r="R40" s="29" t="s">
        <v>157</v>
      </c>
      <c r="S40" s="30"/>
      <c r="T40" s="31"/>
      <c r="U40" s="4"/>
      <c r="V40" s="4"/>
      <c r="W40" s="4"/>
      <c r="X40" s="4"/>
      <c r="Y40" s="4"/>
      <c r="Z40" s="4"/>
    </row>
    <row r="41" ht="34.5" customHeight="1">
      <c r="A41" s="32">
        <v>35.0</v>
      </c>
      <c r="B41" s="74" t="s">
        <v>158</v>
      </c>
      <c r="C41" s="34" t="s">
        <v>64</v>
      </c>
      <c r="D41" s="34" t="s">
        <v>159</v>
      </c>
      <c r="E41" s="61" t="s">
        <v>160</v>
      </c>
      <c r="F41" s="75" t="s">
        <v>27</v>
      </c>
      <c r="G41" s="62">
        <v>1.0</v>
      </c>
      <c r="H41" s="37">
        <v>700000.0</v>
      </c>
      <c r="I41" s="41">
        <v>46050.0</v>
      </c>
      <c r="J41" s="23">
        <v>46259.0</v>
      </c>
      <c r="K41" s="24">
        <v>15000.0</v>
      </c>
      <c r="L41" s="41">
        <v>46090.0</v>
      </c>
      <c r="M41" s="76"/>
      <c r="N41" s="44">
        <v>46259.0</v>
      </c>
      <c r="O41" s="44">
        <v>46256.0</v>
      </c>
      <c r="P41" s="77"/>
      <c r="Q41" s="62"/>
      <c r="R41" s="78" t="s">
        <v>161</v>
      </c>
      <c r="S41" s="30"/>
      <c r="T41" s="31"/>
      <c r="U41" s="4"/>
      <c r="V41" s="4"/>
      <c r="W41" s="4"/>
      <c r="X41" s="4"/>
      <c r="Y41" s="4"/>
      <c r="Z41" s="4"/>
    </row>
    <row r="42" ht="34.5" customHeight="1">
      <c r="A42" s="15">
        <v>36.0</v>
      </c>
      <c r="B42" s="16" t="s">
        <v>162</v>
      </c>
      <c r="C42" s="17" t="s">
        <v>163</v>
      </c>
      <c r="D42" s="17" t="s">
        <v>164</v>
      </c>
      <c r="E42" s="18" t="s">
        <v>165</v>
      </c>
      <c r="F42" s="19" t="s">
        <v>27</v>
      </c>
      <c r="G42" s="20">
        <v>1.0</v>
      </c>
      <c r="H42" s="21">
        <v>600000.0</v>
      </c>
      <c r="I42" s="22">
        <v>46091.0</v>
      </c>
      <c r="J42" s="23">
        <v>46122.0</v>
      </c>
      <c r="K42" s="24">
        <v>8000.0</v>
      </c>
      <c r="L42" s="79">
        <v>46210.0</v>
      </c>
      <c r="M42" s="70">
        <v>46210.0</v>
      </c>
      <c r="N42" s="50">
        <v>46244.0</v>
      </c>
      <c r="O42" s="50">
        <v>46241.0</v>
      </c>
      <c r="P42" s="28">
        <v>1.0</v>
      </c>
      <c r="Q42" s="20">
        <f t="shared" ref="Q42:Q53" si="8">K42*P42</f>
        <v>8000</v>
      </c>
      <c r="R42" s="39" t="s">
        <v>80</v>
      </c>
      <c r="S42" s="30"/>
      <c r="T42" s="31"/>
      <c r="U42" s="4"/>
      <c r="V42" s="4"/>
      <c r="W42" s="4"/>
      <c r="X42" s="4"/>
      <c r="Y42" s="4"/>
      <c r="Z42" s="4"/>
    </row>
    <row r="43" ht="34.5" customHeight="1">
      <c r="A43" s="15">
        <v>37.0</v>
      </c>
      <c r="B43" s="16" t="s">
        <v>166</v>
      </c>
      <c r="C43" s="17" t="s">
        <v>24</v>
      </c>
      <c r="D43" s="17" t="s">
        <v>167</v>
      </c>
      <c r="E43" s="67"/>
      <c r="F43" s="19" t="s">
        <v>168</v>
      </c>
      <c r="G43" s="20">
        <v>1.0</v>
      </c>
      <c r="H43" s="21">
        <v>500000.0</v>
      </c>
      <c r="I43" s="22">
        <v>46054.0</v>
      </c>
      <c r="J43" s="23">
        <v>46101.0</v>
      </c>
      <c r="K43" s="24">
        <v>5500.0</v>
      </c>
      <c r="L43" s="25">
        <v>46219.0</v>
      </c>
      <c r="M43" s="70">
        <v>46219.0</v>
      </c>
      <c r="N43" s="50">
        <v>46254.0</v>
      </c>
      <c r="O43" s="50">
        <v>46251.0</v>
      </c>
      <c r="P43" s="28">
        <v>1.0</v>
      </c>
      <c r="Q43" s="20">
        <f t="shared" si="8"/>
        <v>5500</v>
      </c>
      <c r="R43" s="39" t="s">
        <v>157</v>
      </c>
      <c r="S43" s="30"/>
      <c r="T43" s="31"/>
      <c r="U43" s="4"/>
      <c r="V43" s="4"/>
      <c r="W43" s="4"/>
      <c r="X43" s="4"/>
      <c r="Y43" s="4"/>
      <c r="Z43" s="4"/>
    </row>
    <row r="44" ht="34.5" customHeight="1">
      <c r="A44" s="32">
        <v>38.0</v>
      </c>
      <c r="B44" s="16" t="s">
        <v>169</v>
      </c>
      <c r="C44" s="17" t="s">
        <v>24</v>
      </c>
      <c r="D44" s="17" t="s">
        <v>167</v>
      </c>
      <c r="E44" s="67"/>
      <c r="F44" s="19" t="s">
        <v>27</v>
      </c>
      <c r="G44" s="20">
        <v>1.0</v>
      </c>
      <c r="H44" s="21">
        <v>650000.0</v>
      </c>
      <c r="I44" s="22">
        <v>46054.0</v>
      </c>
      <c r="J44" s="23">
        <v>46101.0</v>
      </c>
      <c r="K44" s="24">
        <v>11000.0</v>
      </c>
      <c r="L44" s="25">
        <v>46219.0</v>
      </c>
      <c r="M44" s="70">
        <v>46219.0</v>
      </c>
      <c r="N44" s="50">
        <v>46254.0</v>
      </c>
      <c r="O44" s="50">
        <v>46251.0</v>
      </c>
      <c r="P44" s="28">
        <v>1.0</v>
      </c>
      <c r="Q44" s="20">
        <f t="shared" si="8"/>
        <v>11000</v>
      </c>
      <c r="R44" s="39" t="s">
        <v>157</v>
      </c>
      <c r="S44" s="30"/>
      <c r="T44" s="31"/>
      <c r="U44" s="4"/>
      <c r="V44" s="4"/>
      <c r="W44" s="4"/>
      <c r="X44" s="4"/>
      <c r="Y44" s="4"/>
      <c r="Z44" s="4"/>
    </row>
    <row r="45" ht="34.5" customHeight="1">
      <c r="A45" s="15">
        <v>39.0</v>
      </c>
      <c r="B45" s="16" t="s">
        <v>170</v>
      </c>
      <c r="C45" s="17" t="s">
        <v>24</v>
      </c>
      <c r="D45" s="17" t="s">
        <v>171</v>
      </c>
      <c r="E45" s="67"/>
      <c r="F45" s="19" t="s">
        <v>156</v>
      </c>
      <c r="G45" s="20">
        <v>1.0</v>
      </c>
      <c r="H45" s="21">
        <v>500000.0</v>
      </c>
      <c r="I45" s="22">
        <v>46054.0</v>
      </c>
      <c r="J45" s="23">
        <v>46101.0</v>
      </c>
      <c r="K45" s="24">
        <v>5500.0</v>
      </c>
      <c r="L45" s="25">
        <v>46219.0</v>
      </c>
      <c r="M45" s="70">
        <v>46219.0</v>
      </c>
      <c r="N45" s="50">
        <v>46254.0</v>
      </c>
      <c r="O45" s="50">
        <v>46251.0</v>
      </c>
      <c r="P45" s="28">
        <v>1.0</v>
      </c>
      <c r="Q45" s="20">
        <f t="shared" si="8"/>
        <v>5500</v>
      </c>
      <c r="R45" s="39" t="s">
        <v>157</v>
      </c>
      <c r="S45" s="30"/>
      <c r="T45" s="31"/>
      <c r="U45" s="4"/>
      <c r="V45" s="4"/>
      <c r="W45" s="4"/>
      <c r="X45" s="4"/>
      <c r="Y45" s="4"/>
      <c r="Z45" s="4"/>
    </row>
    <row r="46" ht="34.5" customHeight="1">
      <c r="A46" s="15">
        <v>40.0</v>
      </c>
      <c r="B46" s="16" t="s">
        <v>172</v>
      </c>
      <c r="C46" s="17" t="s">
        <v>173</v>
      </c>
      <c r="D46" s="17" t="s">
        <v>174</v>
      </c>
      <c r="E46" s="18" t="s">
        <v>175</v>
      </c>
      <c r="F46" s="19" t="s">
        <v>156</v>
      </c>
      <c r="G46" s="20">
        <v>2.0</v>
      </c>
      <c r="H46" s="21">
        <v>1000000.0</v>
      </c>
      <c r="I46" s="22">
        <v>46076.0</v>
      </c>
      <c r="J46" s="23">
        <v>46101.0</v>
      </c>
      <c r="K46" s="24">
        <v>9000.0</v>
      </c>
      <c r="L46" s="25">
        <v>46203.0</v>
      </c>
      <c r="M46" s="26">
        <v>46203.0</v>
      </c>
      <c r="N46" s="50">
        <v>46228.0</v>
      </c>
      <c r="O46" s="50">
        <v>46225.0</v>
      </c>
      <c r="P46" s="28">
        <v>2.0</v>
      </c>
      <c r="Q46" s="20">
        <f t="shared" si="8"/>
        <v>18000</v>
      </c>
      <c r="R46" s="39" t="s">
        <v>176</v>
      </c>
      <c r="S46" s="30"/>
      <c r="T46" s="31"/>
      <c r="U46" s="4"/>
      <c r="V46" s="4"/>
      <c r="W46" s="4"/>
      <c r="X46" s="4"/>
      <c r="Y46" s="4"/>
      <c r="Z46" s="4"/>
    </row>
    <row r="47" ht="34.5" customHeight="1">
      <c r="A47" s="32">
        <v>41.0</v>
      </c>
      <c r="B47" s="16" t="s">
        <v>177</v>
      </c>
      <c r="C47" s="17" t="s">
        <v>112</v>
      </c>
      <c r="D47" s="17" t="s">
        <v>131</v>
      </c>
      <c r="E47" s="18" t="s">
        <v>178</v>
      </c>
      <c r="F47" s="19" t="s">
        <v>156</v>
      </c>
      <c r="G47" s="20">
        <v>1.0</v>
      </c>
      <c r="H47" s="21">
        <v>350000.0</v>
      </c>
      <c r="I47" s="22">
        <v>46072.0</v>
      </c>
      <c r="J47" s="23">
        <v>46091.0</v>
      </c>
      <c r="K47" s="24">
        <v>5000.0</v>
      </c>
      <c r="L47" s="25">
        <v>46181.0</v>
      </c>
      <c r="M47" s="70">
        <v>46212.0</v>
      </c>
      <c r="N47" s="50">
        <v>46254.0</v>
      </c>
      <c r="O47" s="50">
        <v>46251.0</v>
      </c>
      <c r="P47" s="28">
        <v>1.0</v>
      </c>
      <c r="Q47" s="20">
        <f t="shared" si="8"/>
        <v>5000</v>
      </c>
      <c r="R47" s="29" t="s">
        <v>157</v>
      </c>
      <c r="S47" s="30"/>
      <c r="T47" s="31"/>
      <c r="U47" s="4"/>
      <c r="V47" s="4"/>
      <c r="W47" s="4"/>
      <c r="X47" s="4"/>
      <c r="Y47" s="4"/>
      <c r="Z47" s="4"/>
    </row>
    <row r="48" ht="34.5" customHeight="1">
      <c r="A48" s="15">
        <v>42.0</v>
      </c>
      <c r="B48" s="16" t="s">
        <v>179</v>
      </c>
      <c r="C48" s="17" t="s">
        <v>32</v>
      </c>
      <c r="D48" s="17" t="s">
        <v>180</v>
      </c>
      <c r="E48" s="67"/>
      <c r="F48" s="19" t="s">
        <v>27</v>
      </c>
      <c r="G48" s="20">
        <v>1.0</v>
      </c>
      <c r="H48" s="21">
        <v>500000.0</v>
      </c>
      <c r="I48" s="22">
        <v>46076.0</v>
      </c>
      <c r="J48" s="23">
        <v>46130.0</v>
      </c>
      <c r="K48" s="24">
        <v>10000.0</v>
      </c>
      <c r="L48" s="41">
        <v>46130.0</v>
      </c>
      <c r="M48" s="59">
        <v>46114.0</v>
      </c>
      <c r="N48" s="44">
        <v>46160.0</v>
      </c>
      <c r="O48" s="44">
        <v>46157.0</v>
      </c>
      <c r="P48" s="28">
        <v>4.0</v>
      </c>
      <c r="Q48" s="20">
        <f t="shared" si="8"/>
        <v>40000</v>
      </c>
      <c r="R48" s="39" t="s">
        <v>57</v>
      </c>
      <c r="S48" s="30"/>
      <c r="T48" s="31"/>
      <c r="U48" s="4"/>
      <c r="V48" s="4"/>
      <c r="W48" s="4"/>
      <c r="X48" s="4"/>
      <c r="Y48" s="4"/>
      <c r="Z48" s="4"/>
    </row>
    <row r="49" ht="34.5" customHeight="1">
      <c r="A49" s="15">
        <v>43.0</v>
      </c>
      <c r="B49" s="16" t="s">
        <v>181</v>
      </c>
      <c r="C49" s="17" t="s">
        <v>64</v>
      </c>
      <c r="D49" s="17" t="s">
        <v>182</v>
      </c>
      <c r="E49" s="18" t="s">
        <v>183</v>
      </c>
      <c r="F49" s="19" t="s">
        <v>44</v>
      </c>
      <c r="G49" s="20">
        <v>5.0</v>
      </c>
      <c r="H49" s="21">
        <v>4000000.0</v>
      </c>
      <c r="I49" s="22"/>
      <c r="J49" s="38">
        <v>46397.0</v>
      </c>
      <c r="K49" s="24">
        <v>50000.0</v>
      </c>
      <c r="L49" s="41"/>
      <c r="M49" s="42"/>
      <c r="N49" s="50">
        <v>46397.0</v>
      </c>
      <c r="O49" s="50">
        <v>46394.0</v>
      </c>
      <c r="P49" s="28"/>
      <c r="Q49" s="20">
        <f t="shared" si="8"/>
        <v>0</v>
      </c>
      <c r="R49" s="39" t="s">
        <v>184</v>
      </c>
      <c r="S49" s="30"/>
      <c r="T49" s="31"/>
      <c r="U49" s="4"/>
      <c r="V49" s="4"/>
      <c r="W49" s="4"/>
      <c r="X49" s="4"/>
      <c r="Y49" s="4"/>
      <c r="Z49" s="4"/>
    </row>
    <row r="50" ht="34.5" customHeight="1">
      <c r="A50" s="32">
        <v>44.0</v>
      </c>
      <c r="B50" s="16" t="s">
        <v>185</v>
      </c>
      <c r="C50" s="17" t="s">
        <v>186</v>
      </c>
      <c r="D50" s="17" t="s">
        <v>187</v>
      </c>
      <c r="E50" s="18" t="s">
        <v>188</v>
      </c>
      <c r="F50" s="19" t="s">
        <v>156</v>
      </c>
      <c r="G50" s="20">
        <v>1.0</v>
      </c>
      <c r="H50" s="21">
        <v>250000.0</v>
      </c>
      <c r="I50" s="22">
        <v>46083.0</v>
      </c>
      <c r="J50" s="23">
        <v>46124.0</v>
      </c>
      <c r="K50" s="24">
        <v>3100.0</v>
      </c>
      <c r="L50" s="25">
        <v>46212.0</v>
      </c>
      <c r="M50" s="70">
        <v>46212.0</v>
      </c>
      <c r="N50" s="50">
        <v>46246.0</v>
      </c>
      <c r="O50" s="50">
        <v>46243.0</v>
      </c>
      <c r="P50" s="28">
        <v>1.0</v>
      </c>
      <c r="Q50" s="20">
        <f t="shared" si="8"/>
        <v>3100</v>
      </c>
      <c r="R50" s="39" t="s">
        <v>80</v>
      </c>
      <c r="S50" s="30"/>
      <c r="T50" s="31"/>
      <c r="U50" s="4"/>
      <c r="V50" s="4"/>
      <c r="W50" s="4"/>
      <c r="X50" s="4"/>
      <c r="Y50" s="4"/>
      <c r="Z50" s="4"/>
    </row>
    <row r="51" ht="34.5" customHeight="1">
      <c r="A51" s="15">
        <v>45.0</v>
      </c>
      <c r="B51" s="80" t="s">
        <v>189</v>
      </c>
      <c r="C51" s="17" t="s">
        <v>32</v>
      </c>
      <c r="D51" s="17" t="s">
        <v>190</v>
      </c>
      <c r="E51" s="18" t="s">
        <v>191</v>
      </c>
      <c r="F51" s="19" t="s">
        <v>156</v>
      </c>
      <c r="G51" s="20">
        <v>1.0</v>
      </c>
      <c r="H51" s="21">
        <v>250000.0</v>
      </c>
      <c r="I51" s="22"/>
      <c r="J51" s="23">
        <v>46130.0</v>
      </c>
      <c r="K51" s="24">
        <v>1800.0</v>
      </c>
      <c r="L51" s="25">
        <v>46120.0</v>
      </c>
      <c r="M51" s="59"/>
      <c r="N51" s="50">
        <v>46160.0</v>
      </c>
      <c r="O51" s="50">
        <v>46157.0</v>
      </c>
      <c r="P51" s="28">
        <v>4.0</v>
      </c>
      <c r="Q51" s="20">
        <f t="shared" si="8"/>
        <v>7200</v>
      </c>
      <c r="R51" s="39" t="s">
        <v>192</v>
      </c>
      <c r="S51" s="30"/>
      <c r="T51" s="31"/>
      <c r="U51" s="4"/>
      <c r="V51" s="4"/>
      <c r="W51" s="4"/>
      <c r="X51" s="4"/>
      <c r="Y51" s="4"/>
      <c r="Z51" s="4"/>
    </row>
    <row r="52" ht="34.5" customHeight="1">
      <c r="A52" s="15">
        <v>46.0</v>
      </c>
      <c r="B52" s="16" t="s">
        <v>193</v>
      </c>
      <c r="C52" s="17" t="s">
        <v>141</v>
      </c>
      <c r="D52" s="17" t="s">
        <v>194</v>
      </c>
      <c r="E52" s="18" t="s">
        <v>195</v>
      </c>
      <c r="F52" s="19" t="s">
        <v>27</v>
      </c>
      <c r="G52" s="20">
        <v>2.0</v>
      </c>
      <c r="H52" s="21">
        <v>1000000.0</v>
      </c>
      <c r="I52" s="22">
        <v>46098.0</v>
      </c>
      <c r="J52" s="38">
        <v>46167.0</v>
      </c>
      <c r="K52" s="24">
        <v>17500.0</v>
      </c>
      <c r="L52" s="25">
        <v>46229.0</v>
      </c>
      <c r="M52" s="70">
        <v>46229.0</v>
      </c>
      <c r="N52" s="50">
        <v>46259.0</v>
      </c>
      <c r="O52" s="50">
        <v>46256.0</v>
      </c>
      <c r="P52" s="28">
        <v>1.0</v>
      </c>
      <c r="Q52" s="20">
        <f t="shared" si="8"/>
        <v>17500</v>
      </c>
      <c r="R52" s="39" t="s">
        <v>30</v>
      </c>
      <c r="S52" s="30"/>
      <c r="T52" s="31"/>
      <c r="U52" s="4"/>
      <c r="V52" s="4"/>
      <c r="W52" s="4"/>
      <c r="X52" s="4"/>
      <c r="Y52" s="4"/>
      <c r="Z52" s="4"/>
    </row>
    <row r="53" ht="34.5" customHeight="1">
      <c r="A53" s="32">
        <v>47.0</v>
      </c>
      <c r="B53" s="16" t="s">
        <v>196</v>
      </c>
      <c r="C53" s="17" t="s">
        <v>32</v>
      </c>
      <c r="D53" s="17" t="s">
        <v>197</v>
      </c>
      <c r="E53" s="18" t="s">
        <v>198</v>
      </c>
      <c r="F53" s="19" t="s">
        <v>27</v>
      </c>
      <c r="G53" s="20">
        <v>1.0</v>
      </c>
      <c r="H53" s="21">
        <v>350000.0</v>
      </c>
      <c r="I53" s="22"/>
      <c r="J53" s="23">
        <v>46127.0</v>
      </c>
      <c r="K53" s="24">
        <v>10000.0</v>
      </c>
      <c r="L53" s="41">
        <v>46099.0</v>
      </c>
      <c r="M53" s="59"/>
      <c r="N53" s="50">
        <v>46127.0</v>
      </c>
      <c r="O53" s="50">
        <v>46124.0</v>
      </c>
      <c r="P53" s="28">
        <v>5.0</v>
      </c>
      <c r="Q53" s="20">
        <f t="shared" si="8"/>
        <v>50000</v>
      </c>
      <c r="R53" s="39" t="s">
        <v>144</v>
      </c>
      <c r="S53" s="30"/>
      <c r="T53" s="31"/>
      <c r="U53" s="4"/>
      <c r="V53" s="4"/>
      <c r="W53" s="4"/>
      <c r="X53" s="4"/>
      <c r="Y53" s="4"/>
      <c r="Z53" s="4"/>
    </row>
    <row r="54" ht="34.5" customHeight="1">
      <c r="A54" s="15">
        <v>48.0</v>
      </c>
      <c r="B54" s="16" t="s">
        <v>199</v>
      </c>
      <c r="C54" s="17" t="s">
        <v>64</v>
      </c>
      <c r="D54" s="17" t="s">
        <v>200</v>
      </c>
      <c r="E54" s="67"/>
      <c r="F54" s="19" t="s">
        <v>27</v>
      </c>
      <c r="G54" s="20">
        <v>2.0</v>
      </c>
      <c r="H54" s="21">
        <v>100000.0</v>
      </c>
      <c r="I54" s="22">
        <v>46139.0</v>
      </c>
      <c r="J54" s="23">
        <v>46162.0</v>
      </c>
      <c r="K54" s="24">
        <v>15000.0</v>
      </c>
      <c r="L54" s="25">
        <v>46161.0</v>
      </c>
      <c r="M54" s="70">
        <v>46266.0</v>
      </c>
      <c r="N54" s="50">
        <v>46315.0</v>
      </c>
      <c r="O54" s="50">
        <v>46310.0</v>
      </c>
      <c r="P54" s="45"/>
      <c r="Q54" s="51" t="s">
        <v>45</v>
      </c>
      <c r="R54" s="39" t="s">
        <v>157</v>
      </c>
      <c r="S54" s="30"/>
      <c r="T54" s="31"/>
      <c r="U54" s="4"/>
      <c r="V54" s="4"/>
      <c r="W54" s="4"/>
      <c r="X54" s="4"/>
      <c r="Y54" s="4"/>
      <c r="Z54" s="4"/>
    </row>
    <row r="55" ht="34.5" customHeight="1">
      <c r="A55" s="15">
        <v>49.0</v>
      </c>
      <c r="B55" s="16" t="s">
        <v>201</v>
      </c>
      <c r="C55" s="17" t="s">
        <v>202</v>
      </c>
      <c r="D55" s="17" t="s">
        <v>203</v>
      </c>
      <c r="E55" s="47" t="s">
        <v>204</v>
      </c>
      <c r="F55" s="19" t="s">
        <v>44</v>
      </c>
      <c r="G55" s="20">
        <v>5.0</v>
      </c>
      <c r="H55" s="21">
        <v>3000000.0</v>
      </c>
      <c r="I55" s="22">
        <v>45930.0</v>
      </c>
      <c r="J55" s="23">
        <v>46073.0</v>
      </c>
      <c r="K55" s="24">
        <v>20000.0</v>
      </c>
      <c r="L55" s="25">
        <v>46216.0</v>
      </c>
      <c r="M55" s="70">
        <v>46213.0</v>
      </c>
      <c r="N55" s="50">
        <v>46244.0</v>
      </c>
      <c r="O55" s="50">
        <v>46241.0</v>
      </c>
      <c r="P55" s="28">
        <v>1.0</v>
      </c>
      <c r="Q55" s="20">
        <f t="shared" ref="Q55:Q58" si="9">K55*P55</f>
        <v>20000</v>
      </c>
      <c r="R55" s="39" t="s">
        <v>106</v>
      </c>
      <c r="S55" s="30"/>
      <c r="T55" s="31"/>
      <c r="U55" s="4"/>
      <c r="V55" s="4"/>
      <c r="W55" s="4"/>
      <c r="X55" s="4"/>
      <c r="Y55" s="4"/>
      <c r="Z55" s="4"/>
    </row>
    <row r="56" ht="34.5" customHeight="1">
      <c r="A56" s="32">
        <v>50.0</v>
      </c>
      <c r="B56" s="81" t="s">
        <v>205</v>
      </c>
      <c r="C56" s="17" t="s">
        <v>202</v>
      </c>
      <c r="D56" s="17" t="s">
        <v>203</v>
      </c>
      <c r="E56" s="47" t="s">
        <v>204</v>
      </c>
      <c r="F56" s="19" t="s">
        <v>27</v>
      </c>
      <c r="G56" s="20">
        <v>1.0</v>
      </c>
      <c r="H56" s="21">
        <v>500000.0</v>
      </c>
      <c r="I56" s="22">
        <v>45591.0</v>
      </c>
      <c r="J56" s="23">
        <v>45708.0</v>
      </c>
      <c r="K56" s="24">
        <v>5000.0</v>
      </c>
      <c r="L56" s="25">
        <v>46216.0</v>
      </c>
      <c r="M56" s="70">
        <v>46183.0</v>
      </c>
      <c r="N56" s="50">
        <v>46213.0</v>
      </c>
      <c r="O56" s="50">
        <v>46210.0</v>
      </c>
      <c r="P56" s="28">
        <v>2.0</v>
      </c>
      <c r="Q56" s="20">
        <f t="shared" si="9"/>
        <v>10000</v>
      </c>
      <c r="R56" s="39" t="s">
        <v>206</v>
      </c>
      <c r="S56" s="30"/>
      <c r="T56" s="31"/>
      <c r="U56" s="4"/>
      <c r="V56" s="4"/>
      <c r="W56" s="4"/>
      <c r="X56" s="4"/>
      <c r="Y56" s="4"/>
      <c r="Z56" s="4"/>
    </row>
    <row r="57" ht="34.5" customHeight="1">
      <c r="A57" s="15">
        <v>51.0</v>
      </c>
      <c r="B57" s="82" t="s">
        <v>207</v>
      </c>
      <c r="C57" s="34" t="s">
        <v>208</v>
      </c>
      <c r="D57" s="34" t="s">
        <v>209</v>
      </c>
      <c r="E57" s="83" t="s">
        <v>210</v>
      </c>
      <c r="F57" s="36" t="s">
        <v>27</v>
      </c>
      <c r="G57" s="37">
        <v>1.0</v>
      </c>
      <c r="H57" s="37">
        <v>600000.0</v>
      </c>
      <c r="I57" s="41">
        <v>46132.0</v>
      </c>
      <c r="J57" s="23">
        <v>46183.0</v>
      </c>
      <c r="K57" s="24">
        <v>10000.0</v>
      </c>
      <c r="L57" s="25">
        <v>46194.0</v>
      </c>
      <c r="M57" s="70">
        <v>46224.0</v>
      </c>
      <c r="N57" s="50">
        <v>46244.0</v>
      </c>
      <c r="O57" s="50">
        <v>46239.0</v>
      </c>
      <c r="P57" s="28">
        <v>1.0</v>
      </c>
      <c r="Q57" s="20">
        <f t="shared" si="9"/>
        <v>10000</v>
      </c>
      <c r="R57" s="39" t="s">
        <v>57</v>
      </c>
      <c r="S57" s="84" t="s">
        <v>211</v>
      </c>
      <c r="T57" s="31"/>
      <c r="U57" s="4"/>
      <c r="V57" s="4"/>
      <c r="W57" s="4"/>
      <c r="X57" s="4"/>
      <c r="Y57" s="4"/>
      <c r="Z57" s="4"/>
    </row>
    <row r="58" ht="34.5" customHeight="1">
      <c r="A58" s="15">
        <v>52.0</v>
      </c>
      <c r="B58" s="85" t="s">
        <v>212</v>
      </c>
      <c r="C58" s="34" t="s">
        <v>109</v>
      </c>
      <c r="D58" s="86" t="s">
        <v>213</v>
      </c>
      <c r="E58" s="87" t="s">
        <v>214</v>
      </c>
      <c r="F58" s="88" t="s">
        <v>27</v>
      </c>
      <c r="G58" s="89">
        <v>1.0</v>
      </c>
      <c r="H58" s="37">
        <v>700000.0</v>
      </c>
      <c r="I58" s="41">
        <v>46132.0</v>
      </c>
      <c r="J58" s="23">
        <v>46157.0</v>
      </c>
      <c r="K58" s="24">
        <v>10000.0</v>
      </c>
      <c r="L58" s="90">
        <v>46196.0</v>
      </c>
      <c r="M58" s="70">
        <v>46218.0</v>
      </c>
      <c r="N58" s="50">
        <v>46249.0</v>
      </c>
      <c r="O58" s="50">
        <v>46246.0</v>
      </c>
      <c r="P58" s="28">
        <v>1.0</v>
      </c>
      <c r="Q58" s="20">
        <f t="shared" si="9"/>
        <v>10000</v>
      </c>
      <c r="R58" s="39" t="s">
        <v>30</v>
      </c>
      <c r="S58" s="30"/>
      <c r="T58" s="31"/>
      <c r="U58" s="4"/>
      <c r="V58" s="4"/>
      <c r="W58" s="4"/>
      <c r="X58" s="4"/>
      <c r="Y58" s="4"/>
      <c r="Z58" s="4"/>
    </row>
    <row r="59" ht="34.5" customHeight="1">
      <c r="A59" s="32">
        <v>53.0</v>
      </c>
      <c r="B59" s="91" t="s">
        <v>215</v>
      </c>
      <c r="C59" s="34" t="s">
        <v>56</v>
      </c>
      <c r="D59" s="48" t="s">
        <v>216</v>
      </c>
      <c r="E59" s="39" t="s">
        <v>217</v>
      </c>
      <c r="F59" s="92" t="s">
        <v>156</v>
      </c>
      <c r="G59" s="93">
        <v>1.0</v>
      </c>
      <c r="H59" s="94">
        <v>350000.0</v>
      </c>
      <c r="I59" s="95">
        <v>46158.0</v>
      </c>
      <c r="J59" s="38">
        <v>46183.0</v>
      </c>
      <c r="K59" s="24">
        <v>5000.0</v>
      </c>
      <c r="L59" s="95">
        <v>46240.0</v>
      </c>
      <c r="M59" s="70">
        <v>46275.0</v>
      </c>
      <c r="N59" s="96">
        <v>46305.0</v>
      </c>
      <c r="O59" s="96">
        <v>46305.0</v>
      </c>
      <c r="P59" s="28"/>
      <c r="Q59" s="51" t="s">
        <v>45</v>
      </c>
      <c r="R59" s="39" t="s">
        <v>80</v>
      </c>
      <c r="S59" s="30"/>
      <c r="T59" s="31"/>
      <c r="U59" s="4"/>
      <c r="V59" s="4"/>
      <c r="W59" s="4"/>
      <c r="X59" s="4"/>
      <c r="Y59" s="4"/>
      <c r="Z59" s="4"/>
    </row>
    <row r="60" ht="34.5" customHeight="1">
      <c r="A60" s="15">
        <v>54.0</v>
      </c>
      <c r="B60" s="85" t="s">
        <v>218</v>
      </c>
      <c r="C60" s="34" t="s">
        <v>163</v>
      </c>
      <c r="D60" s="34" t="s">
        <v>219</v>
      </c>
      <c r="E60" s="87" t="s">
        <v>220</v>
      </c>
      <c r="F60" s="36" t="s">
        <v>44</v>
      </c>
      <c r="G60" s="37">
        <v>5.0</v>
      </c>
      <c r="H60" s="37">
        <f>1000000*5</f>
        <v>5000000</v>
      </c>
      <c r="I60" s="97">
        <v>46121.0</v>
      </c>
      <c r="J60" s="38">
        <v>46152.0</v>
      </c>
      <c r="K60" s="98">
        <v>50000.0</v>
      </c>
      <c r="L60" s="95">
        <v>46219.0</v>
      </c>
      <c r="M60" s="70">
        <v>46219.0</v>
      </c>
      <c r="N60" s="96">
        <v>46244.0</v>
      </c>
      <c r="O60" s="96">
        <v>46241.0</v>
      </c>
      <c r="P60" s="28">
        <v>1.0</v>
      </c>
      <c r="Q60" s="20">
        <f>K60*P60</f>
        <v>50000</v>
      </c>
      <c r="R60" s="29" t="s">
        <v>30</v>
      </c>
      <c r="S60" s="30"/>
      <c r="T60" s="31"/>
      <c r="U60" s="4"/>
      <c r="V60" s="4"/>
      <c r="W60" s="4"/>
      <c r="X60" s="4"/>
      <c r="Y60" s="4"/>
      <c r="Z60" s="4"/>
    </row>
    <row r="61" ht="34.5" customHeight="1">
      <c r="A61" s="15">
        <v>55.0</v>
      </c>
      <c r="B61" s="85" t="s">
        <v>221</v>
      </c>
      <c r="C61" s="34" t="s">
        <v>85</v>
      </c>
      <c r="D61" s="86" t="s">
        <v>222</v>
      </c>
      <c r="E61" s="99" t="s">
        <v>223</v>
      </c>
      <c r="F61" s="92" t="s">
        <v>156</v>
      </c>
      <c r="G61" s="93">
        <v>2.0</v>
      </c>
      <c r="H61" s="37">
        <f>375000*2</f>
        <v>750000</v>
      </c>
      <c r="I61" s="41">
        <v>46098.0</v>
      </c>
      <c r="J61" s="38">
        <v>46191.0</v>
      </c>
      <c r="K61" s="98">
        <v>30000.0</v>
      </c>
      <c r="L61" s="100">
        <v>46168.0</v>
      </c>
      <c r="M61" s="70">
        <v>46252.0</v>
      </c>
      <c r="N61" s="50">
        <v>46283.0</v>
      </c>
      <c r="O61" s="50">
        <v>46280.0</v>
      </c>
      <c r="P61" s="28"/>
      <c r="Q61" s="51" t="s">
        <v>45</v>
      </c>
      <c r="R61" s="47" t="s">
        <v>30</v>
      </c>
      <c r="S61" s="30"/>
      <c r="T61" s="31"/>
      <c r="U61" s="4"/>
      <c r="V61" s="4"/>
      <c r="W61" s="4"/>
      <c r="X61" s="4"/>
      <c r="Y61" s="4"/>
      <c r="Z61" s="4"/>
    </row>
    <row r="62" ht="34.5" customHeight="1">
      <c r="A62" s="32">
        <v>56.0</v>
      </c>
      <c r="B62" s="82" t="s">
        <v>224</v>
      </c>
      <c r="C62" s="48" t="s">
        <v>73</v>
      </c>
      <c r="D62" s="48" t="s">
        <v>225</v>
      </c>
      <c r="E62" s="101" t="s">
        <v>226</v>
      </c>
      <c r="F62" s="102" t="s">
        <v>27</v>
      </c>
      <c r="G62" s="93">
        <v>1.0</v>
      </c>
      <c r="H62" s="103">
        <v>500000.0</v>
      </c>
      <c r="I62" s="97">
        <v>46165.0</v>
      </c>
      <c r="J62" s="38">
        <v>46193.0</v>
      </c>
      <c r="K62" s="98">
        <v>8900.0</v>
      </c>
      <c r="L62" s="25">
        <v>46212.0</v>
      </c>
      <c r="M62" s="70">
        <v>46193.0</v>
      </c>
      <c r="N62" s="50">
        <v>46223.0</v>
      </c>
      <c r="O62" s="50">
        <v>46220.0</v>
      </c>
      <c r="P62" s="28">
        <v>2.0</v>
      </c>
      <c r="Q62" s="20">
        <f t="shared" ref="Q62:Q66" si="10">K62*P62</f>
        <v>17800</v>
      </c>
      <c r="R62" s="29" t="s">
        <v>192</v>
      </c>
      <c r="S62" s="104" t="s">
        <v>227</v>
      </c>
      <c r="T62" s="31"/>
      <c r="U62" s="4"/>
      <c r="V62" s="4"/>
      <c r="W62" s="4"/>
      <c r="X62" s="4"/>
      <c r="Y62" s="4"/>
      <c r="Z62" s="4"/>
    </row>
    <row r="63" ht="34.5" customHeight="1">
      <c r="A63" s="15">
        <v>57.0</v>
      </c>
      <c r="B63" s="82" t="s">
        <v>228</v>
      </c>
      <c r="C63" s="34" t="s">
        <v>64</v>
      </c>
      <c r="D63" s="34" t="s">
        <v>182</v>
      </c>
      <c r="E63" s="87" t="s">
        <v>229</v>
      </c>
      <c r="F63" s="102" t="s">
        <v>27</v>
      </c>
      <c r="G63" s="105">
        <v>1.0</v>
      </c>
      <c r="H63" s="56">
        <v>500000.0</v>
      </c>
      <c r="I63" s="25">
        <v>46156.0</v>
      </c>
      <c r="J63" s="106">
        <v>46183.0</v>
      </c>
      <c r="K63" s="107">
        <v>5000.0</v>
      </c>
      <c r="L63" s="108">
        <v>46223.0</v>
      </c>
      <c r="M63" s="70">
        <v>46223.0</v>
      </c>
      <c r="N63" s="109">
        <v>46244.0</v>
      </c>
      <c r="O63" s="109">
        <v>46241.0</v>
      </c>
      <c r="P63" s="28">
        <v>1.0</v>
      </c>
      <c r="Q63" s="20">
        <f t="shared" si="10"/>
        <v>5000</v>
      </c>
      <c r="R63" s="39" t="s">
        <v>57</v>
      </c>
      <c r="S63" s="30"/>
      <c r="T63" s="31"/>
      <c r="U63" s="4"/>
      <c r="V63" s="4"/>
      <c r="W63" s="4"/>
      <c r="X63" s="4"/>
      <c r="Y63" s="4"/>
      <c r="Z63" s="4"/>
    </row>
    <row r="64" ht="34.5" customHeight="1">
      <c r="A64" s="15">
        <v>58.0</v>
      </c>
      <c r="B64" s="82" t="s">
        <v>230</v>
      </c>
      <c r="C64" s="34" t="s">
        <v>64</v>
      </c>
      <c r="D64" s="34" t="s">
        <v>231</v>
      </c>
      <c r="E64" s="87" t="s">
        <v>232</v>
      </c>
      <c r="F64" s="102" t="s">
        <v>27</v>
      </c>
      <c r="G64" s="105">
        <v>1.0</v>
      </c>
      <c r="H64" s="110">
        <v>500000.0</v>
      </c>
      <c r="I64" s="25">
        <v>46156.0</v>
      </c>
      <c r="J64" s="106">
        <v>46183.0</v>
      </c>
      <c r="K64" s="107">
        <v>5000.0</v>
      </c>
      <c r="L64" s="108">
        <v>46223.0</v>
      </c>
      <c r="M64" s="70">
        <v>46223.0</v>
      </c>
      <c r="N64" s="109">
        <v>46244.0</v>
      </c>
      <c r="O64" s="109">
        <v>46241.0</v>
      </c>
      <c r="P64" s="28">
        <v>1.0</v>
      </c>
      <c r="Q64" s="20">
        <f t="shared" si="10"/>
        <v>5000</v>
      </c>
      <c r="R64" s="39" t="s">
        <v>192</v>
      </c>
      <c r="S64" s="30"/>
      <c r="T64" s="31"/>
      <c r="U64" s="4"/>
      <c r="V64" s="4"/>
      <c r="W64" s="4"/>
      <c r="X64" s="4"/>
      <c r="Y64" s="4"/>
      <c r="Z64" s="4"/>
    </row>
    <row r="65" ht="34.5" customHeight="1">
      <c r="A65" s="32">
        <v>59.0</v>
      </c>
      <c r="B65" s="60"/>
      <c r="C65" s="34" t="s">
        <v>208</v>
      </c>
      <c r="D65" s="86" t="s">
        <v>233</v>
      </c>
      <c r="E65" s="111" t="s">
        <v>234</v>
      </c>
      <c r="F65" s="102" t="s">
        <v>27</v>
      </c>
      <c r="G65" s="105">
        <v>1.0</v>
      </c>
      <c r="H65" s="110">
        <v>600000.0</v>
      </c>
      <c r="I65" s="79">
        <v>46166.0</v>
      </c>
      <c r="J65" s="106">
        <v>46193.0</v>
      </c>
      <c r="K65" s="107">
        <v>9750.0</v>
      </c>
      <c r="L65" s="41"/>
      <c r="M65" s="59"/>
      <c r="N65" s="109">
        <v>46193.0</v>
      </c>
      <c r="O65" s="109">
        <v>46190.0</v>
      </c>
      <c r="P65" s="28">
        <v>3.0</v>
      </c>
      <c r="Q65" s="20">
        <f t="shared" si="10"/>
        <v>29250</v>
      </c>
      <c r="R65" s="39" t="s">
        <v>144</v>
      </c>
      <c r="S65" s="84" t="s">
        <v>211</v>
      </c>
      <c r="T65" s="31"/>
      <c r="U65" s="4"/>
      <c r="V65" s="4"/>
      <c r="W65" s="4"/>
      <c r="X65" s="4"/>
      <c r="Y65" s="4"/>
      <c r="Z65" s="4"/>
    </row>
    <row r="66" ht="34.5" customHeight="1">
      <c r="A66" s="15">
        <v>60.0</v>
      </c>
      <c r="B66" s="60"/>
      <c r="C66" s="34" t="s">
        <v>64</v>
      </c>
      <c r="D66" s="86" t="s">
        <v>235</v>
      </c>
      <c r="E66" s="99" t="s">
        <v>236</v>
      </c>
      <c r="F66" s="92" t="s">
        <v>156</v>
      </c>
      <c r="G66" s="112">
        <v>1.0</v>
      </c>
      <c r="H66" s="103">
        <v>250000.0</v>
      </c>
      <c r="I66" s="79">
        <v>46167.0</v>
      </c>
      <c r="J66" s="23">
        <v>46193.0</v>
      </c>
      <c r="K66" s="24">
        <v>5000.0</v>
      </c>
      <c r="L66" s="41"/>
      <c r="M66" s="59"/>
      <c r="N66" s="109">
        <v>46193.0</v>
      </c>
      <c r="O66" s="109">
        <v>46190.0</v>
      </c>
      <c r="P66" s="28">
        <v>3.0</v>
      </c>
      <c r="Q66" s="20">
        <f t="shared" si="10"/>
        <v>15000</v>
      </c>
      <c r="R66" s="39" t="s">
        <v>144</v>
      </c>
      <c r="S66" s="30"/>
      <c r="T66" s="31"/>
      <c r="U66" s="4"/>
      <c r="V66" s="4"/>
      <c r="W66" s="4"/>
      <c r="X66" s="4"/>
      <c r="Y66" s="4"/>
      <c r="Z66" s="4"/>
    </row>
    <row r="67" ht="34.5" customHeight="1">
      <c r="A67" s="15">
        <v>61.0</v>
      </c>
      <c r="B67" s="82" t="s">
        <v>237</v>
      </c>
      <c r="C67" s="86" t="s">
        <v>238</v>
      </c>
      <c r="D67" s="86" t="s">
        <v>239</v>
      </c>
      <c r="E67" s="35" t="s">
        <v>240</v>
      </c>
      <c r="F67" s="36" t="s">
        <v>241</v>
      </c>
      <c r="G67" s="37">
        <v>1.0</v>
      </c>
      <c r="H67" s="56">
        <v>300000.0</v>
      </c>
      <c r="I67" s="97">
        <v>46183.0</v>
      </c>
      <c r="J67" s="38">
        <v>46218.0</v>
      </c>
      <c r="K67" s="24">
        <v>5000.0</v>
      </c>
      <c r="L67" s="97">
        <v>46233.0</v>
      </c>
      <c r="M67" s="70">
        <v>46249.0</v>
      </c>
      <c r="N67" s="50">
        <v>46280.0</v>
      </c>
      <c r="O67" s="50">
        <v>46277.0</v>
      </c>
      <c r="P67" s="28"/>
      <c r="Q67" s="51" t="s">
        <v>45</v>
      </c>
      <c r="R67" s="39" t="s">
        <v>242</v>
      </c>
      <c r="S67" s="30"/>
      <c r="T67" s="31"/>
      <c r="U67" s="4"/>
      <c r="V67" s="4"/>
      <c r="W67" s="4"/>
      <c r="X67" s="4"/>
      <c r="Y67" s="4"/>
      <c r="Z67" s="4"/>
    </row>
    <row r="68" ht="34.5" customHeight="1">
      <c r="A68" s="32">
        <v>62.0</v>
      </c>
      <c r="B68" s="85" t="s">
        <v>243</v>
      </c>
      <c r="C68" s="34" t="s">
        <v>112</v>
      </c>
      <c r="D68" s="34" t="s">
        <v>244</v>
      </c>
      <c r="E68" s="99" t="s">
        <v>245</v>
      </c>
      <c r="F68" s="102" t="s">
        <v>27</v>
      </c>
      <c r="G68" s="37">
        <v>1.0</v>
      </c>
      <c r="H68" s="56">
        <v>500000.0</v>
      </c>
      <c r="I68" s="79">
        <v>46163.0</v>
      </c>
      <c r="J68" s="23">
        <v>46188.0</v>
      </c>
      <c r="K68" s="24">
        <v>7000.0</v>
      </c>
      <c r="L68" s="41"/>
      <c r="M68" s="59"/>
      <c r="N68" s="50">
        <v>46188.0</v>
      </c>
      <c r="O68" s="50">
        <v>46185.0</v>
      </c>
      <c r="P68" s="28">
        <v>3.0</v>
      </c>
      <c r="Q68" s="20">
        <f>K68*P68</f>
        <v>21000</v>
      </c>
      <c r="R68" s="39" t="s">
        <v>144</v>
      </c>
      <c r="S68" s="84" t="s">
        <v>246</v>
      </c>
      <c r="T68" s="31"/>
      <c r="U68" s="4"/>
      <c r="V68" s="4"/>
      <c r="W68" s="4"/>
      <c r="X68" s="4"/>
      <c r="Y68" s="4"/>
      <c r="Z68" s="4"/>
    </row>
    <row r="69" ht="34.5" customHeight="1">
      <c r="A69" s="15">
        <v>63.0</v>
      </c>
      <c r="B69" s="82" t="s">
        <v>247</v>
      </c>
      <c r="C69" s="86" t="s">
        <v>238</v>
      </c>
      <c r="D69" s="86" t="s">
        <v>248</v>
      </c>
      <c r="E69" s="113" t="s">
        <v>249</v>
      </c>
      <c r="F69" s="36" t="s">
        <v>27</v>
      </c>
      <c r="G69" s="37">
        <v>1.0</v>
      </c>
      <c r="H69" s="103">
        <v>400000.0</v>
      </c>
      <c r="I69" s="97">
        <v>46187.0</v>
      </c>
      <c r="J69" s="23">
        <v>46280.0</v>
      </c>
      <c r="K69" s="24">
        <v>10000.0</v>
      </c>
      <c r="L69" s="41"/>
      <c r="M69" s="59"/>
      <c r="N69" s="50">
        <v>46280.0</v>
      </c>
      <c r="O69" s="50">
        <v>46277.0</v>
      </c>
      <c r="P69" s="77"/>
      <c r="Q69" s="20"/>
      <c r="R69" s="39" t="s">
        <v>250</v>
      </c>
      <c r="S69" s="30"/>
      <c r="T69" s="31"/>
      <c r="U69" s="4"/>
      <c r="V69" s="4"/>
      <c r="W69" s="4"/>
      <c r="X69" s="4"/>
      <c r="Y69" s="4"/>
      <c r="Z69" s="4"/>
    </row>
    <row r="70" ht="34.5" customHeight="1">
      <c r="A70" s="15">
        <v>64.0</v>
      </c>
      <c r="B70" s="85" t="s">
        <v>251</v>
      </c>
      <c r="C70" s="86" t="s">
        <v>252</v>
      </c>
      <c r="D70" s="86" t="s">
        <v>253</v>
      </c>
      <c r="E70" s="114"/>
      <c r="F70" s="102" t="s">
        <v>27</v>
      </c>
      <c r="G70" s="105">
        <v>1.0</v>
      </c>
      <c r="H70" s="67"/>
      <c r="I70" s="44"/>
      <c r="J70" s="23">
        <v>46188.0</v>
      </c>
      <c r="K70" s="98">
        <v>6100.0</v>
      </c>
      <c r="L70" s="115">
        <v>46187.0</v>
      </c>
      <c r="M70" s="70">
        <v>46187.0</v>
      </c>
      <c r="N70" s="50">
        <v>46218.0</v>
      </c>
      <c r="O70" s="50">
        <v>46215.0</v>
      </c>
      <c r="P70" s="28">
        <v>2.0</v>
      </c>
      <c r="Q70" s="20">
        <f t="shared" ref="Q70:Q74" si="11">K70*P70</f>
        <v>12200</v>
      </c>
      <c r="R70" s="39" t="s">
        <v>192</v>
      </c>
      <c r="S70" s="30"/>
      <c r="T70" s="31"/>
      <c r="U70" s="4"/>
      <c r="V70" s="4"/>
      <c r="W70" s="4"/>
      <c r="X70" s="4"/>
      <c r="Y70" s="4"/>
      <c r="Z70" s="4"/>
    </row>
    <row r="71" ht="34.5" customHeight="1">
      <c r="A71" s="32">
        <v>65.0</v>
      </c>
      <c r="B71" s="80" t="s">
        <v>254</v>
      </c>
      <c r="C71" s="48" t="s">
        <v>255</v>
      </c>
      <c r="D71" s="48" t="s">
        <v>256</v>
      </c>
      <c r="E71" s="53" t="s">
        <v>257</v>
      </c>
      <c r="F71" s="116" t="s">
        <v>27</v>
      </c>
      <c r="G71" s="117">
        <v>1.0</v>
      </c>
      <c r="H71" s="118">
        <v>600000.0</v>
      </c>
      <c r="I71" s="95">
        <v>46190.0</v>
      </c>
      <c r="J71" s="23">
        <v>46228.0</v>
      </c>
      <c r="K71" s="24">
        <v>11500.0</v>
      </c>
      <c r="L71" s="25">
        <v>46231.0</v>
      </c>
      <c r="M71" s="70">
        <v>46226.0</v>
      </c>
      <c r="N71" s="50">
        <v>46251.0</v>
      </c>
      <c r="O71" s="50">
        <v>46246.0</v>
      </c>
      <c r="P71" s="28">
        <v>1.0</v>
      </c>
      <c r="Q71" s="20">
        <f t="shared" si="11"/>
        <v>11500</v>
      </c>
      <c r="R71" s="39" t="s">
        <v>192</v>
      </c>
      <c r="S71" s="30"/>
      <c r="T71" s="31"/>
      <c r="U71" s="4"/>
      <c r="V71" s="119"/>
      <c r="W71" s="4"/>
      <c r="X71" s="4"/>
      <c r="Y71" s="4"/>
      <c r="Z71" s="4"/>
    </row>
    <row r="72" ht="34.5" customHeight="1">
      <c r="A72" s="15">
        <v>66.0</v>
      </c>
      <c r="B72" s="80" t="s">
        <v>258</v>
      </c>
      <c r="C72" s="86" t="s">
        <v>150</v>
      </c>
      <c r="D72" s="86" t="s">
        <v>151</v>
      </c>
      <c r="E72" s="99" t="s">
        <v>259</v>
      </c>
      <c r="F72" s="102" t="s">
        <v>156</v>
      </c>
      <c r="G72" s="105">
        <v>1.0</v>
      </c>
      <c r="H72" s="110">
        <v>300000.0</v>
      </c>
      <c r="I72" s="97">
        <v>46184.0</v>
      </c>
      <c r="J72" s="23">
        <v>46218.0</v>
      </c>
      <c r="K72" s="24">
        <v>3000.0</v>
      </c>
      <c r="L72" s="41"/>
      <c r="M72" s="59"/>
      <c r="N72" s="50">
        <v>46218.0</v>
      </c>
      <c r="O72" s="50">
        <v>46215.0</v>
      </c>
      <c r="P72" s="28">
        <v>2.0</v>
      </c>
      <c r="Q72" s="20">
        <f t="shared" si="11"/>
        <v>6000</v>
      </c>
      <c r="R72" s="39" t="s">
        <v>260</v>
      </c>
      <c r="S72" s="30"/>
      <c r="T72" s="31"/>
      <c r="U72" s="4"/>
      <c r="V72" s="119"/>
      <c r="W72" s="4"/>
      <c r="X72" s="4"/>
      <c r="Y72" s="4"/>
      <c r="Z72" s="4"/>
    </row>
    <row r="73" ht="34.5" customHeight="1">
      <c r="A73" s="15">
        <v>67.0</v>
      </c>
      <c r="B73" s="82" t="s">
        <v>261</v>
      </c>
      <c r="C73" s="86" t="s">
        <v>64</v>
      </c>
      <c r="D73" s="86" t="s">
        <v>262</v>
      </c>
      <c r="E73" s="99" t="s">
        <v>263</v>
      </c>
      <c r="F73" s="102" t="s">
        <v>27</v>
      </c>
      <c r="G73" s="105">
        <v>1.0</v>
      </c>
      <c r="H73" s="110">
        <v>550000.0</v>
      </c>
      <c r="I73" s="97">
        <v>46195.0</v>
      </c>
      <c r="J73" s="38">
        <v>46229.0</v>
      </c>
      <c r="K73" s="98">
        <v>6000.0</v>
      </c>
      <c r="L73" s="41"/>
      <c r="M73" s="70">
        <v>46226.0</v>
      </c>
      <c r="N73" s="50">
        <v>46260.0</v>
      </c>
      <c r="O73" s="50">
        <v>46256.0</v>
      </c>
      <c r="P73" s="28">
        <v>1.0</v>
      </c>
      <c r="Q73" s="20">
        <f t="shared" si="11"/>
        <v>6000</v>
      </c>
      <c r="R73" s="39" t="s">
        <v>192</v>
      </c>
      <c r="S73" s="30"/>
      <c r="T73" s="31"/>
      <c r="U73" s="4"/>
      <c r="V73" s="119"/>
      <c r="W73" s="4"/>
      <c r="X73" s="4"/>
      <c r="Y73" s="4"/>
      <c r="Z73" s="4"/>
    </row>
    <row r="74" ht="34.5" customHeight="1">
      <c r="A74" s="32">
        <v>68.0</v>
      </c>
      <c r="B74" s="82" t="s">
        <v>264</v>
      </c>
      <c r="C74" s="34" t="s">
        <v>141</v>
      </c>
      <c r="D74" s="34" t="s">
        <v>265</v>
      </c>
      <c r="E74" s="99" t="s">
        <v>266</v>
      </c>
      <c r="F74" s="102" t="s">
        <v>27</v>
      </c>
      <c r="G74" s="105">
        <v>1.0</v>
      </c>
      <c r="H74" s="112">
        <v>600000.0</v>
      </c>
      <c r="I74" s="25">
        <v>46201.0</v>
      </c>
      <c r="J74" s="106">
        <v>46127.0</v>
      </c>
      <c r="K74" s="107">
        <v>10000.0</v>
      </c>
      <c r="L74" s="25">
        <v>46228.0</v>
      </c>
      <c r="M74" s="70">
        <v>46228.0</v>
      </c>
      <c r="N74" s="50">
        <v>46259.0</v>
      </c>
      <c r="O74" s="50">
        <v>46256.0</v>
      </c>
      <c r="P74" s="28">
        <v>1.0</v>
      </c>
      <c r="Q74" s="20">
        <f t="shared" si="11"/>
        <v>10000</v>
      </c>
      <c r="R74" s="39" t="s">
        <v>192</v>
      </c>
      <c r="S74" s="30"/>
      <c r="T74" s="31"/>
      <c r="U74" s="4"/>
      <c r="V74" s="119"/>
      <c r="W74" s="4"/>
      <c r="X74" s="4"/>
      <c r="Y74" s="4"/>
      <c r="Z74" s="4"/>
    </row>
    <row r="75" ht="34.5" customHeight="1">
      <c r="A75" s="15">
        <v>69.0</v>
      </c>
      <c r="B75" s="82" t="s">
        <v>267</v>
      </c>
      <c r="C75" s="86" t="s">
        <v>173</v>
      </c>
      <c r="D75" s="86" t="s">
        <v>268</v>
      </c>
      <c r="E75" s="120" t="s">
        <v>269</v>
      </c>
      <c r="F75" s="102" t="s">
        <v>156</v>
      </c>
      <c r="G75" s="121">
        <v>1.0</v>
      </c>
      <c r="H75" s="122">
        <v>500000.0</v>
      </c>
      <c r="I75" s="25">
        <v>46205.0</v>
      </c>
      <c r="J75" s="23">
        <v>46305.0</v>
      </c>
      <c r="K75" s="24">
        <v>5000.0</v>
      </c>
      <c r="L75" s="41"/>
      <c r="M75" s="59"/>
      <c r="N75" s="50">
        <v>46305.0</v>
      </c>
      <c r="O75" s="50">
        <v>46300.0</v>
      </c>
      <c r="P75" s="77"/>
      <c r="Q75" s="123"/>
      <c r="R75" s="39" t="s">
        <v>270</v>
      </c>
      <c r="S75" s="30"/>
      <c r="T75" s="31"/>
      <c r="U75" s="4"/>
      <c r="V75" s="119"/>
      <c r="W75" s="4"/>
      <c r="X75" s="4"/>
      <c r="Y75" s="4"/>
      <c r="Z75" s="4"/>
    </row>
    <row r="76" ht="34.5" customHeight="1">
      <c r="A76" s="32">
        <v>70.0</v>
      </c>
      <c r="B76" s="124" t="s">
        <v>271</v>
      </c>
      <c r="C76" s="34" t="s">
        <v>272</v>
      </c>
      <c r="D76" s="34" t="s">
        <v>273</v>
      </c>
      <c r="E76" s="120" t="s">
        <v>274</v>
      </c>
      <c r="F76" s="125" t="s">
        <v>156</v>
      </c>
      <c r="G76" s="126">
        <v>3.0</v>
      </c>
      <c r="H76" s="127">
        <v>400000.0</v>
      </c>
      <c r="I76" s="128">
        <v>46100.0</v>
      </c>
      <c r="J76" s="23">
        <v>46194.0</v>
      </c>
      <c r="K76" s="24">
        <v>14800.0</v>
      </c>
      <c r="L76" s="115">
        <v>46212.0</v>
      </c>
      <c r="M76" s="70">
        <v>46286.0</v>
      </c>
      <c r="N76" s="50">
        <v>46377.0</v>
      </c>
      <c r="O76" s="50">
        <v>46374.0</v>
      </c>
      <c r="P76" s="77"/>
      <c r="Q76" s="51" t="s">
        <v>45</v>
      </c>
      <c r="R76" s="39" t="s">
        <v>57</v>
      </c>
      <c r="S76" s="30"/>
      <c r="T76" s="31"/>
      <c r="U76" s="4"/>
      <c r="V76" s="119"/>
      <c r="W76" s="4"/>
      <c r="X76" s="4"/>
      <c r="Y76" s="4"/>
      <c r="Z76" s="4"/>
    </row>
    <row r="77" ht="34.5" customHeight="1">
      <c r="A77" s="15">
        <v>71.0</v>
      </c>
      <c r="B77" s="33" t="s">
        <v>275</v>
      </c>
      <c r="C77" s="34" t="s">
        <v>272</v>
      </c>
      <c r="D77" s="34" t="s">
        <v>273</v>
      </c>
      <c r="E77" s="120" t="s">
        <v>274</v>
      </c>
      <c r="F77" s="36" t="s">
        <v>27</v>
      </c>
      <c r="G77" s="37">
        <v>1.0</v>
      </c>
      <c r="H77" s="56">
        <v>500000.0</v>
      </c>
      <c r="I77" s="129">
        <v>45972.0</v>
      </c>
      <c r="J77" s="23">
        <v>46183.0</v>
      </c>
      <c r="K77" s="24">
        <v>40000.0</v>
      </c>
      <c r="L77" s="115">
        <v>46212.0</v>
      </c>
      <c r="M77" s="70">
        <v>46187.0</v>
      </c>
      <c r="N77" s="50">
        <v>46366.0</v>
      </c>
      <c r="O77" s="50">
        <v>46361.0</v>
      </c>
      <c r="P77" s="65"/>
      <c r="Q77" s="51" t="s">
        <v>45</v>
      </c>
      <c r="R77" s="39" t="s">
        <v>192</v>
      </c>
      <c r="S77" s="30"/>
      <c r="T77" s="31"/>
      <c r="U77" s="4"/>
      <c r="V77" s="119"/>
      <c r="W77" s="4"/>
      <c r="X77" s="4"/>
      <c r="Y77" s="4"/>
      <c r="Z77" s="4"/>
    </row>
    <row r="78" ht="34.5" customHeight="1">
      <c r="A78" s="32">
        <v>72.0</v>
      </c>
      <c r="B78" s="33" t="s">
        <v>276</v>
      </c>
      <c r="C78" s="34" t="s">
        <v>272</v>
      </c>
      <c r="D78" s="34" t="s">
        <v>273</v>
      </c>
      <c r="E78" s="130" t="s">
        <v>274</v>
      </c>
      <c r="F78" s="36" t="s">
        <v>241</v>
      </c>
      <c r="G78" s="37">
        <v>1.0</v>
      </c>
      <c r="H78" s="56">
        <v>300000.0</v>
      </c>
      <c r="I78" s="129">
        <v>45977.0</v>
      </c>
      <c r="J78" s="23">
        <v>46183.0</v>
      </c>
      <c r="K78" s="98">
        <v>29000.0</v>
      </c>
      <c r="L78" s="115">
        <v>46212.0</v>
      </c>
      <c r="M78" s="70">
        <v>46187.0</v>
      </c>
      <c r="N78" s="50">
        <v>46366.0</v>
      </c>
      <c r="O78" s="50">
        <v>46361.0</v>
      </c>
      <c r="P78" s="65"/>
      <c r="Q78" s="51" t="s">
        <v>45</v>
      </c>
      <c r="R78" s="39" t="s">
        <v>192</v>
      </c>
      <c r="S78" s="30"/>
      <c r="T78" s="31"/>
      <c r="U78" s="4"/>
      <c r="V78" s="119"/>
      <c r="W78" s="4"/>
      <c r="X78" s="4"/>
      <c r="Y78" s="4"/>
      <c r="Z78" s="4"/>
    </row>
    <row r="79" ht="34.5" customHeight="1">
      <c r="A79" s="15">
        <v>73.0</v>
      </c>
      <c r="B79" s="33" t="s">
        <v>277</v>
      </c>
      <c r="C79" s="34" t="s">
        <v>272</v>
      </c>
      <c r="D79" s="34" t="s">
        <v>278</v>
      </c>
      <c r="E79" s="130" t="s">
        <v>279</v>
      </c>
      <c r="F79" s="36" t="s">
        <v>156</v>
      </c>
      <c r="G79" s="37">
        <v>3.0</v>
      </c>
      <c r="H79" s="56">
        <v>400000.0</v>
      </c>
      <c r="I79" s="129">
        <v>46100.0</v>
      </c>
      <c r="J79" s="38">
        <v>46193.0</v>
      </c>
      <c r="K79" s="24">
        <v>14800.0</v>
      </c>
      <c r="L79" s="115">
        <v>46212.0</v>
      </c>
      <c r="M79" s="70">
        <v>46286.0</v>
      </c>
      <c r="N79" s="50">
        <v>46376.0</v>
      </c>
      <c r="O79" s="50">
        <v>46373.0</v>
      </c>
      <c r="P79" s="77"/>
      <c r="Q79" s="51" t="s">
        <v>45</v>
      </c>
      <c r="R79" s="39" t="s">
        <v>57</v>
      </c>
      <c r="S79" s="30"/>
      <c r="T79" s="31"/>
      <c r="U79" s="4"/>
      <c r="V79" s="119"/>
      <c r="W79" s="4"/>
      <c r="X79" s="4"/>
      <c r="Y79" s="4"/>
      <c r="Z79" s="4"/>
    </row>
    <row r="80" ht="34.5" customHeight="1">
      <c r="A80" s="32">
        <v>74.0</v>
      </c>
      <c r="B80" s="33" t="s">
        <v>280</v>
      </c>
      <c r="C80" s="34" t="s">
        <v>272</v>
      </c>
      <c r="D80" s="34" t="s">
        <v>278</v>
      </c>
      <c r="E80" s="130" t="s">
        <v>279</v>
      </c>
      <c r="F80" s="36" t="s">
        <v>27</v>
      </c>
      <c r="G80" s="37">
        <v>1.0</v>
      </c>
      <c r="H80" s="56">
        <v>500000.0</v>
      </c>
      <c r="I80" s="129">
        <v>45974.0</v>
      </c>
      <c r="J80" s="23">
        <v>46183.0</v>
      </c>
      <c r="K80" s="24">
        <v>40000.0</v>
      </c>
      <c r="L80" s="115">
        <v>46212.0</v>
      </c>
      <c r="M80" s="70">
        <v>46187.0</v>
      </c>
      <c r="N80" s="50">
        <v>46366.0</v>
      </c>
      <c r="O80" s="50">
        <v>46361.0</v>
      </c>
      <c r="P80" s="65"/>
      <c r="Q80" s="51" t="s">
        <v>45</v>
      </c>
      <c r="R80" s="39" t="s">
        <v>192</v>
      </c>
      <c r="S80" s="30"/>
      <c r="T80" s="31"/>
      <c r="U80" s="4"/>
      <c r="V80" s="119"/>
      <c r="W80" s="4"/>
      <c r="X80" s="4"/>
      <c r="Y80" s="4"/>
      <c r="Z80" s="4"/>
    </row>
    <row r="81" ht="34.5" customHeight="1">
      <c r="A81" s="15">
        <v>75.0</v>
      </c>
      <c r="B81" s="33" t="s">
        <v>281</v>
      </c>
      <c r="C81" s="34" t="s">
        <v>272</v>
      </c>
      <c r="D81" s="34" t="s">
        <v>278</v>
      </c>
      <c r="E81" s="130" t="s">
        <v>279</v>
      </c>
      <c r="F81" s="36" t="s">
        <v>241</v>
      </c>
      <c r="G81" s="37">
        <v>1.0</v>
      </c>
      <c r="H81" s="56">
        <v>300000.0</v>
      </c>
      <c r="I81" s="129">
        <v>45977.0</v>
      </c>
      <c r="J81" s="23">
        <v>46183.0</v>
      </c>
      <c r="K81" s="98">
        <v>29000.0</v>
      </c>
      <c r="L81" s="115">
        <v>46212.0</v>
      </c>
      <c r="M81" s="70">
        <v>46187.0</v>
      </c>
      <c r="N81" s="50">
        <v>46366.0</v>
      </c>
      <c r="O81" s="50">
        <v>46361.0</v>
      </c>
      <c r="P81" s="65"/>
      <c r="Q81" s="51" t="s">
        <v>45</v>
      </c>
      <c r="R81" s="39" t="s">
        <v>192</v>
      </c>
      <c r="S81" s="30"/>
      <c r="T81" s="31"/>
      <c r="U81" s="4"/>
      <c r="V81" s="119"/>
      <c r="W81" s="4"/>
      <c r="X81" s="4"/>
      <c r="Y81" s="4"/>
      <c r="Z81" s="4"/>
    </row>
    <row r="82" ht="34.5" customHeight="1">
      <c r="A82" s="32">
        <v>76.0</v>
      </c>
      <c r="B82" s="33" t="s">
        <v>282</v>
      </c>
      <c r="C82" s="34" t="s">
        <v>272</v>
      </c>
      <c r="D82" s="34" t="s">
        <v>283</v>
      </c>
      <c r="E82" s="83" t="s">
        <v>284</v>
      </c>
      <c r="F82" s="36" t="s">
        <v>27</v>
      </c>
      <c r="G82" s="131">
        <v>1.0</v>
      </c>
      <c r="H82" s="56">
        <v>500000.0</v>
      </c>
      <c r="I82" s="115">
        <v>46072.0</v>
      </c>
      <c r="J82" s="23">
        <v>46183.0</v>
      </c>
      <c r="K82" s="98">
        <v>25000.0</v>
      </c>
      <c r="L82" s="115">
        <v>46215.0</v>
      </c>
      <c r="M82" s="70">
        <v>46275.0</v>
      </c>
      <c r="N82" s="50">
        <v>46366.0</v>
      </c>
      <c r="O82" s="50">
        <v>46361.0</v>
      </c>
      <c r="P82" s="28"/>
      <c r="Q82" s="51" t="s">
        <v>45</v>
      </c>
      <c r="R82" s="39" t="s">
        <v>57</v>
      </c>
      <c r="S82" s="30"/>
      <c r="T82" s="31"/>
      <c r="U82" s="4"/>
      <c r="V82" s="119"/>
      <c r="W82" s="4"/>
      <c r="X82" s="4"/>
      <c r="Y82" s="4"/>
      <c r="Z82" s="4"/>
    </row>
    <row r="83" ht="34.5" customHeight="1">
      <c r="A83" s="15">
        <v>77.0</v>
      </c>
      <c r="B83" s="33" t="s">
        <v>285</v>
      </c>
      <c r="C83" s="34" t="s">
        <v>208</v>
      </c>
      <c r="D83" s="34" t="s">
        <v>286</v>
      </c>
      <c r="E83" s="83">
        <v>1.781908556E9</v>
      </c>
      <c r="F83" s="36" t="s">
        <v>27</v>
      </c>
      <c r="G83" s="37">
        <v>1.0</v>
      </c>
      <c r="H83" s="56">
        <v>500000.0</v>
      </c>
      <c r="I83" s="129">
        <v>45915.0</v>
      </c>
      <c r="J83" s="23">
        <v>45950.0</v>
      </c>
      <c r="K83" s="24">
        <v>10000.0</v>
      </c>
      <c r="L83" s="115">
        <v>46215.0</v>
      </c>
      <c r="M83" s="70">
        <v>46132.0</v>
      </c>
      <c r="N83" s="109">
        <v>46162.0</v>
      </c>
      <c r="O83" s="109">
        <v>46159.0</v>
      </c>
      <c r="P83" s="28">
        <v>4.0</v>
      </c>
      <c r="Q83" s="20">
        <f t="shared" ref="Q83:Q84" si="12">K83*P83</f>
        <v>40000</v>
      </c>
      <c r="R83" s="39" t="s">
        <v>28</v>
      </c>
      <c r="S83" s="84" t="s">
        <v>211</v>
      </c>
      <c r="T83" s="31"/>
      <c r="U83" s="4"/>
      <c r="V83" s="119"/>
      <c r="W83" s="4"/>
      <c r="X83" s="4"/>
      <c r="Y83" s="4"/>
      <c r="Z83" s="4"/>
    </row>
    <row r="84" ht="34.5" customHeight="1">
      <c r="A84" s="32">
        <v>78.0</v>
      </c>
      <c r="B84" s="82" t="s">
        <v>287</v>
      </c>
      <c r="C84" s="34" t="s">
        <v>288</v>
      </c>
      <c r="D84" s="34" t="s">
        <v>289</v>
      </c>
      <c r="E84" s="132"/>
      <c r="F84" s="36" t="s">
        <v>27</v>
      </c>
      <c r="G84" s="112">
        <v>1.0</v>
      </c>
      <c r="H84" s="112">
        <v>500000.0</v>
      </c>
      <c r="I84" s="133">
        <v>45991.0</v>
      </c>
      <c r="J84" s="23">
        <v>46042.0</v>
      </c>
      <c r="K84" s="24">
        <v>6600.0</v>
      </c>
      <c r="L84" s="115">
        <v>46217.0</v>
      </c>
      <c r="M84" s="70">
        <v>46162.0</v>
      </c>
      <c r="N84" s="50">
        <v>46193.0</v>
      </c>
      <c r="O84" s="50">
        <v>46190.0</v>
      </c>
      <c r="P84" s="28">
        <v>3.0</v>
      </c>
      <c r="Q84" s="20">
        <f t="shared" si="12"/>
        <v>19800</v>
      </c>
      <c r="R84" s="39" t="s">
        <v>157</v>
      </c>
      <c r="S84" s="30"/>
      <c r="T84" s="31"/>
      <c r="U84" s="4"/>
      <c r="V84" s="119"/>
      <c r="W84" s="4"/>
      <c r="X84" s="4"/>
      <c r="Y84" s="4"/>
      <c r="Z84" s="4"/>
    </row>
    <row r="85" ht="34.5" customHeight="1">
      <c r="A85" s="15">
        <v>79.0</v>
      </c>
      <c r="B85" s="134" t="s">
        <v>290</v>
      </c>
      <c r="C85" s="34" t="s">
        <v>272</v>
      </c>
      <c r="D85" s="34" t="s">
        <v>291</v>
      </c>
      <c r="E85" s="135"/>
      <c r="F85" s="102" t="s">
        <v>27</v>
      </c>
      <c r="G85" s="37">
        <v>1.0</v>
      </c>
      <c r="H85" s="56">
        <v>500000.0</v>
      </c>
      <c r="I85" s="41"/>
      <c r="J85" s="23">
        <v>46032.0</v>
      </c>
      <c r="K85" s="24">
        <v>5000.0</v>
      </c>
      <c r="L85" s="136">
        <v>46240.0</v>
      </c>
      <c r="M85" s="70">
        <v>46275.0</v>
      </c>
      <c r="N85" s="50">
        <v>46305.0</v>
      </c>
      <c r="O85" s="50">
        <v>46302.0</v>
      </c>
      <c r="P85" s="28"/>
      <c r="Q85" s="51" t="s">
        <v>45</v>
      </c>
      <c r="R85" s="39" t="s">
        <v>62</v>
      </c>
      <c r="S85" s="30"/>
      <c r="T85" s="31"/>
      <c r="U85" s="4"/>
      <c r="V85" s="119"/>
      <c r="W85" s="4"/>
      <c r="X85" s="4"/>
      <c r="Y85" s="4"/>
      <c r="Z85" s="4"/>
    </row>
    <row r="86" ht="34.5" customHeight="1">
      <c r="A86" s="32">
        <v>80.0</v>
      </c>
      <c r="B86" s="33" t="s">
        <v>292</v>
      </c>
      <c r="C86" s="34" t="s">
        <v>272</v>
      </c>
      <c r="D86" s="34" t="s">
        <v>293</v>
      </c>
      <c r="E86" s="137"/>
      <c r="F86" s="36" t="s">
        <v>156</v>
      </c>
      <c r="G86" s="37">
        <v>3.0</v>
      </c>
      <c r="H86" s="56">
        <v>450000.0</v>
      </c>
      <c r="I86" s="100">
        <v>46071.0</v>
      </c>
      <c r="J86" s="23">
        <v>46093.0</v>
      </c>
      <c r="K86" s="24">
        <v>58500.0</v>
      </c>
      <c r="L86" s="25">
        <v>46238.0</v>
      </c>
      <c r="M86" s="70">
        <v>46183.0</v>
      </c>
      <c r="N86" s="50">
        <v>46215.0</v>
      </c>
      <c r="O86" s="50">
        <v>46213.0</v>
      </c>
      <c r="P86" s="28">
        <v>2.0</v>
      </c>
      <c r="Q86" s="20">
        <f>K86*P86+8500+8500</f>
        <v>134000</v>
      </c>
      <c r="R86" s="39" t="s">
        <v>176</v>
      </c>
      <c r="S86" s="30"/>
      <c r="T86" s="31"/>
      <c r="U86" s="4"/>
      <c r="V86" s="119"/>
      <c r="W86" s="4"/>
      <c r="X86" s="4"/>
      <c r="Y86" s="4"/>
      <c r="Z86" s="4"/>
    </row>
    <row r="87" ht="34.5" customHeight="1">
      <c r="A87" s="15">
        <v>81.0</v>
      </c>
      <c r="B87" s="33" t="s">
        <v>294</v>
      </c>
      <c r="C87" s="86" t="s">
        <v>163</v>
      </c>
      <c r="D87" s="86" t="s">
        <v>219</v>
      </c>
      <c r="E87" s="130" t="s">
        <v>295</v>
      </c>
      <c r="F87" s="83" t="s">
        <v>44</v>
      </c>
      <c r="G87" s="37">
        <v>5.0</v>
      </c>
      <c r="H87" s="56">
        <v>5000000.0</v>
      </c>
      <c r="I87" s="25">
        <v>46219.0</v>
      </c>
      <c r="J87" s="23">
        <v>46346.0</v>
      </c>
      <c r="K87" s="24">
        <v>60000.0</v>
      </c>
      <c r="L87" s="25">
        <v>46219.0</v>
      </c>
      <c r="M87" s="59"/>
      <c r="N87" s="50">
        <v>46346.0</v>
      </c>
      <c r="O87" s="50">
        <v>46341.0</v>
      </c>
      <c r="P87" s="77"/>
      <c r="Q87" s="123"/>
      <c r="R87" s="39" t="s">
        <v>296</v>
      </c>
      <c r="S87" s="30"/>
      <c r="T87" s="31"/>
      <c r="U87" s="4"/>
      <c r="V87" s="119"/>
      <c r="W87" s="4"/>
      <c r="X87" s="4"/>
      <c r="Y87" s="4"/>
      <c r="Z87" s="4"/>
    </row>
    <row r="88" ht="34.5" customHeight="1">
      <c r="A88" s="32">
        <v>82.0</v>
      </c>
      <c r="B88" s="60"/>
      <c r="C88" s="55"/>
      <c r="D88" s="55"/>
      <c r="E88" s="47"/>
      <c r="F88" s="19"/>
      <c r="G88" s="62"/>
      <c r="H88" s="62"/>
      <c r="I88" s="41"/>
      <c r="J88" s="23"/>
      <c r="K88" s="24"/>
      <c r="L88" s="41"/>
      <c r="M88" s="59"/>
      <c r="N88" s="44"/>
      <c r="O88" s="44"/>
      <c r="P88" s="77"/>
      <c r="Q88" s="123"/>
      <c r="R88" s="47"/>
      <c r="S88" s="30"/>
      <c r="T88" s="31"/>
      <c r="U88" s="4"/>
      <c r="V88" s="119"/>
      <c r="W88" s="4"/>
      <c r="X88" s="4"/>
      <c r="Y88" s="4"/>
      <c r="Z88" s="4"/>
    </row>
    <row r="89" ht="34.5" customHeight="1">
      <c r="A89" s="15">
        <v>83.0</v>
      </c>
      <c r="B89" s="60"/>
      <c r="C89" s="55"/>
      <c r="D89" s="55"/>
      <c r="E89" s="47"/>
      <c r="F89" s="19"/>
      <c r="G89" s="62"/>
      <c r="H89" s="62"/>
      <c r="I89" s="41"/>
      <c r="J89" s="23"/>
      <c r="K89" s="24"/>
      <c r="L89" s="41"/>
      <c r="M89" s="59"/>
      <c r="N89" s="44"/>
      <c r="O89" s="44"/>
      <c r="P89" s="77"/>
      <c r="Q89" s="123"/>
      <c r="R89" s="47"/>
      <c r="S89" s="30"/>
      <c r="T89" s="31"/>
      <c r="U89" s="4"/>
      <c r="V89" s="119"/>
      <c r="W89" s="4"/>
      <c r="X89" s="4"/>
      <c r="Y89" s="4"/>
      <c r="Z89" s="4"/>
    </row>
    <row r="90" ht="34.5" customHeight="1">
      <c r="A90" s="32">
        <v>84.0</v>
      </c>
      <c r="B90" s="60"/>
      <c r="C90" s="55"/>
      <c r="D90" s="55"/>
      <c r="E90" s="47"/>
      <c r="F90" s="19"/>
      <c r="G90" s="62"/>
      <c r="H90" s="62"/>
      <c r="I90" s="41"/>
      <c r="J90" s="23"/>
      <c r="K90" s="24"/>
      <c r="L90" s="41"/>
      <c r="M90" s="59"/>
      <c r="N90" s="44"/>
      <c r="O90" s="44"/>
      <c r="P90" s="77"/>
      <c r="Q90" s="20"/>
      <c r="R90" s="47"/>
      <c r="S90" s="30"/>
      <c r="T90" s="31"/>
      <c r="U90" s="4"/>
      <c r="V90" s="119" t="s">
        <v>0</v>
      </c>
      <c r="W90" s="4"/>
      <c r="X90" s="4"/>
      <c r="Y90" s="4"/>
      <c r="Z90" s="4"/>
    </row>
    <row r="91" ht="34.5" customHeight="1">
      <c r="A91" s="15">
        <v>85.0</v>
      </c>
      <c r="B91" s="60"/>
      <c r="C91" s="55"/>
      <c r="D91" s="55"/>
      <c r="E91" s="47"/>
      <c r="F91" s="19"/>
      <c r="G91" s="62"/>
      <c r="H91" s="62"/>
      <c r="I91" s="41"/>
      <c r="J91" s="23"/>
      <c r="K91" s="24"/>
      <c r="L91" s="41"/>
      <c r="M91" s="59"/>
      <c r="N91" s="44"/>
      <c r="O91" s="138" t="s">
        <v>297</v>
      </c>
      <c r="P91" s="77"/>
      <c r="Q91" s="20"/>
      <c r="R91" s="47"/>
      <c r="S91" s="30"/>
      <c r="T91" s="31"/>
      <c r="U91" s="4"/>
      <c r="V91" s="4"/>
      <c r="W91" s="4"/>
      <c r="X91" s="4"/>
      <c r="Y91" s="4"/>
      <c r="Z91" s="4"/>
    </row>
    <row r="92" ht="19.5" customHeight="1">
      <c r="A92" s="139"/>
      <c r="B92" s="140"/>
      <c r="C92" s="141"/>
      <c r="D92" s="141"/>
      <c r="E92" s="142" t="s">
        <v>298</v>
      </c>
      <c r="F92" s="143"/>
      <c r="G92" s="144"/>
      <c r="H92" s="24">
        <f>SUM(H7:H91)</f>
        <v>70740000</v>
      </c>
      <c r="I92" s="145"/>
      <c r="J92" s="146"/>
      <c r="K92" s="24">
        <f>SUM(K7:K91)</f>
        <v>1169850</v>
      </c>
      <c r="L92" s="145"/>
      <c r="M92" s="145"/>
      <c r="N92" s="145"/>
      <c r="O92" s="145"/>
      <c r="P92" s="145"/>
      <c r="Q92" s="24">
        <f>SUM(Q7:Q91)</f>
        <v>1214350</v>
      </c>
      <c r="R92" s="147"/>
      <c r="S92" s="30"/>
      <c r="T92" s="31"/>
      <c r="U92" s="4"/>
      <c r="V92" s="4"/>
      <c r="W92" s="4"/>
      <c r="X92" s="4"/>
      <c r="Y92" s="4"/>
      <c r="Z92" s="4"/>
    </row>
    <row r="93" ht="16.5" customHeight="1">
      <c r="A93" s="3"/>
      <c r="B93" s="2"/>
      <c r="C93" s="3"/>
      <c r="D93" s="2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2"/>
      <c r="S93" s="148"/>
      <c r="T93" s="4"/>
      <c r="U93" s="4"/>
      <c r="V93" s="149"/>
      <c r="W93" s="149"/>
      <c r="X93" s="149"/>
      <c r="Y93" s="149"/>
      <c r="Z93" s="149"/>
    </row>
    <row r="94" ht="16.5" customHeight="1">
      <c r="A94" s="3"/>
      <c r="B94" s="2"/>
      <c r="C94" s="3"/>
      <c r="D94" s="2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2"/>
      <c r="S94" s="4"/>
      <c r="T94" s="4"/>
      <c r="U94" s="4"/>
      <c r="V94" s="149"/>
      <c r="W94" s="149"/>
      <c r="X94" s="149"/>
      <c r="Y94" s="149"/>
      <c r="Z94" s="149"/>
    </row>
    <row r="95" ht="16.5" customHeight="1">
      <c r="A95" s="3"/>
      <c r="B95" s="2"/>
      <c r="C95" s="3"/>
      <c r="D95" s="2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2"/>
      <c r="S95" s="4"/>
      <c r="T95" s="4"/>
      <c r="U95" s="4"/>
      <c r="V95" s="149"/>
      <c r="W95" s="149"/>
      <c r="X95" s="149"/>
      <c r="Y95" s="149"/>
      <c r="Z95" s="149"/>
    </row>
    <row r="96" ht="16.5" customHeight="1">
      <c r="A96" s="3"/>
      <c r="B96" s="2"/>
      <c r="C96" s="3"/>
      <c r="D96" s="2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2"/>
      <c r="S96" s="4"/>
      <c r="T96" s="4"/>
      <c r="U96" s="4"/>
      <c r="V96" s="149"/>
      <c r="W96" s="149"/>
      <c r="X96" s="149"/>
      <c r="Y96" s="149"/>
      <c r="Z96" s="149"/>
    </row>
    <row r="97" ht="16.5" customHeight="1">
      <c r="A97" s="3"/>
      <c r="B97" s="2"/>
      <c r="C97" s="3"/>
      <c r="D97" s="2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2"/>
      <c r="S97" s="4"/>
      <c r="T97" s="4"/>
      <c r="U97" s="4"/>
      <c r="V97" s="149"/>
      <c r="W97" s="149"/>
      <c r="X97" s="149"/>
      <c r="Y97" s="149"/>
      <c r="Z97" s="149"/>
    </row>
    <row r="98" ht="16.5" customHeight="1">
      <c r="A98" s="3"/>
      <c r="B98" s="2"/>
      <c r="C98" s="3"/>
      <c r="D98" s="2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2"/>
      <c r="S98" s="4"/>
      <c r="T98" s="4"/>
      <c r="U98" s="4"/>
      <c r="V98" s="149"/>
      <c r="W98" s="149"/>
      <c r="X98" s="149"/>
      <c r="Y98" s="149"/>
      <c r="Z98" s="149"/>
    </row>
    <row r="99" ht="16.5" customHeight="1">
      <c r="A99" s="3"/>
      <c r="B99" s="2"/>
      <c r="C99" s="3"/>
      <c r="D99" s="2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2"/>
      <c r="S99" s="4"/>
      <c r="T99" s="4"/>
      <c r="U99" s="4"/>
      <c r="V99" s="149"/>
      <c r="W99" s="149"/>
      <c r="X99" s="149"/>
      <c r="Y99" s="149"/>
      <c r="Z99" s="149"/>
    </row>
    <row r="100" ht="16.5" customHeight="1">
      <c r="A100" s="3"/>
      <c r="B100" s="2"/>
      <c r="C100" s="3"/>
      <c r="D100" s="2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2"/>
      <c r="S100" s="4"/>
      <c r="T100" s="4"/>
      <c r="U100" s="4"/>
      <c r="V100" s="149"/>
      <c r="W100" s="149"/>
      <c r="X100" s="149"/>
      <c r="Y100" s="149"/>
      <c r="Z100" s="149"/>
    </row>
    <row r="101" ht="16.5" customHeight="1">
      <c r="A101" s="3"/>
      <c r="B101" s="2"/>
      <c r="C101" s="3"/>
      <c r="D101" s="2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2"/>
      <c r="S101" s="4"/>
      <c r="T101" s="4"/>
      <c r="U101" s="4"/>
      <c r="V101" s="149"/>
      <c r="W101" s="149"/>
      <c r="X101" s="149"/>
      <c r="Y101" s="149"/>
      <c r="Z101" s="149"/>
    </row>
    <row r="102" ht="16.5" customHeight="1">
      <c r="A102" s="3"/>
      <c r="B102" s="2"/>
      <c r="C102" s="3"/>
      <c r="D102" s="2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2"/>
      <c r="S102" s="4"/>
      <c r="T102" s="4"/>
      <c r="U102" s="4"/>
      <c r="V102" s="149"/>
      <c r="W102" s="149"/>
      <c r="X102" s="149"/>
      <c r="Y102" s="149"/>
      <c r="Z102" s="149"/>
    </row>
    <row r="103" ht="16.5" customHeight="1">
      <c r="A103" s="3"/>
      <c r="B103" s="2"/>
      <c r="C103" s="3"/>
      <c r="D103" s="2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2"/>
      <c r="S103" s="4"/>
      <c r="T103" s="4"/>
      <c r="U103" s="4"/>
      <c r="V103" s="4"/>
      <c r="W103" s="4"/>
      <c r="X103" s="4"/>
      <c r="Y103" s="4"/>
      <c r="Z103" s="4"/>
    </row>
    <row r="104" ht="16.5" customHeight="1">
      <c r="A104" s="3"/>
      <c r="B104" s="2"/>
      <c r="C104" s="3"/>
      <c r="D104" s="2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2"/>
      <c r="S104" s="4"/>
      <c r="T104" s="4"/>
      <c r="U104" s="4"/>
      <c r="V104" s="4"/>
      <c r="W104" s="4"/>
      <c r="X104" s="4"/>
      <c r="Y104" s="4"/>
      <c r="Z104" s="4"/>
    </row>
    <row r="105" ht="16.5" customHeight="1">
      <c r="A105" s="3"/>
      <c r="B105" s="2"/>
      <c r="C105" s="3"/>
      <c r="D105" s="2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2"/>
      <c r="S105" s="4"/>
      <c r="T105" s="4"/>
      <c r="U105" s="4"/>
      <c r="V105" s="4"/>
      <c r="W105" s="4"/>
      <c r="X105" s="4"/>
      <c r="Y105" s="4"/>
      <c r="Z105" s="4"/>
    </row>
    <row r="106" ht="16.5" customHeight="1">
      <c r="A106" s="3"/>
      <c r="B106" s="2"/>
      <c r="C106" s="3"/>
      <c r="D106" s="2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2"/>
      <c r="S106" s="4"/>
      <c r="T106" s="4"/>
      <c r="U106" s="4"/>
      <c r="V106" s="4"/>
      <c r="W106" s="4"/>
      <c r="X106" s="4"/>
      <c r="Y106" s="4"/>
      <c r="Z106" s="4"/>
    </row>
    <row r="107" ht="16.5" customHeight="1">
      <c r="A107" s="3"/>
      <c r="B107" s="2"/>
      <c r="C107" s="3"/>
      <c r="D107" s="2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2"/>
      <c r="S107" s="4"/>
      <c r="T107" s="4"/>
      <c r="U107" s="4"/>
      <c r="V107" s="4"/>
      <c r="W107" s="4"/>
      <c r="X107" s="4"/>
      <c r="Y107" s="4"/>
      <c r="Z107" s="4"/>
    </row>
    <row r="108" ht="16.5" customHeight="1">
      <c r="A108" s="3"/>
      <c r="B108" s="2"/>
      <c r="C108" s="3"/>
      <c r="D108" s="2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2"/>
      <c r="S108" s="4"/>
      <c r="T108" s="4"/>
      <c r="U108" s="4"/>
      <c r="V108" s="4"/>
      <c r="W108" s="4"/>
      <c r="X108" s="4"/>
      <c r="Y108" s="4"/>
      <c r="Z108" s="4"/>
    </row>
    <row r="109" ht="16.5" customHeight="1">
      <c r="A109" s="3"/>
      <c r="B109" s="2"/>
      <c r="C109" s="3"/>
      <c r="D109" s="2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2"/>
      <c r="S109" s="4"/>
      <c r="T109" s="4"/>
      <c r="U109" s="4"/>
      <c r="V109" s="4"/>
      <c r="W109" s="4"/>
      <c r="X109" s="4"/>
      <c r="Y109" s="4"/>
      <c r="Z109" s="4"/>
    </row>
    <row r="110" ht="16.5" customHeight="1">
      <c r="A110" s="3"/>
      <c r="B110" s="2"/>
      <c r="C110" s="3"/>
      <c r="D110" s="2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2"/>
      <c r="S110" s="4"/>
      <c r="T110" s="4"/>
      <c r="U110" s="4"/>
      <c r="V110" s="4"/>
      <c r="W110" s="4"/>
      <c r="X110" s="4"/>
      <c r="Y110" s="4"/>
      <c r="Z110" s="4"/>
    </row>
    <row r="111" ht="16.5" customHeight="1">
      <c r="A111" s="3"/>
      <c r="B111" s="2"/>
      <c r="C111" s="3"/>
      <c r="D111" s="2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2"/>
      <c r="S111" s="4"/>
      <c r="T111" s="4"/>
      <c r="U111" s="4"/>
      <c r="V111" s="4"/>
      <c r="W111" s="4"/>
      <c r="X111" s="4"/>
      <c r="Y111" s="4"/>
      <c r="Z111" s="4"/>
    </row>
    <row r="112" ht="16.5" customHeight="1">
      <c r="A112" s="3"/>
      <c r="B112" s="2"/>
      <c r="C112" s="3"/>
      <c r="D112" s="2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2"/>
      <c r="S112" s="4"/>
      <c r="T112" s="4"/>
      <c r="U112" s="4"/>
      <c r="V112" s="4"/>
      <c r="W112" s="4"/>
      <c r="X112" s="4"/>
      <c r="Y112" s="4"/>
      <c r="Z112" s="4"/>
    </row>
    <row r="113" ht="16.5" customHeight="1">
      <c r="A113" s="3"/>
      <c r="B113" s="2"/>
      <c r="C113" s="3"/>
      <c r="D113" s="2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2"/>
      <c r="S113" s="4"/>
      <c r="T113" s="4"/>
      <c r="U113" s="4"/>
      <c r="V113" s="4"/>
      <c r="W113" s="4"/>
      <c r="X113" s="4"/>
      <c r="Y113" s="4"/>
      <c r="Z113" s="4"/>
    </row>
    <row r="114" ht="16.5" customHeight="1">
      <c r="A114" s="3"/>
      <c r="B114" s="2"/>
      <c r="C114" s="3"/>
      <c r="D114" s="2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2"/>
      <c r="S114" s="4"/>
      <c r="T114" s="4"/>
      <c r="U114" s="4"/>
      <c r="V114" s="4"/>
      <c r="W114" s="4"/>
      <c r="X114" s="4"/>
      <c r="Y114" s="4"/>
      <c r="Z114" s="4"/>
    </row>
    <row r="115" ht="16.5" customHeight="1">
      <c r="A115" s="3"/>
      <c r="B115" s="2"/>
      <c r="C115" s="3"/>
      <c r="D115" s="2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149"/>
      <c r="S115" s="4"/>
      <c r="T115" s="4"/>
      <c r="U115" s="4"/>
      <c r="V115" s="4"/>
      <c r="W115" s="4"/>
      <c r="X115" s="4"/>
      <c r="Y115" s="4"/>
      <c r="Z115" s="4"/>
    </row>
    <row r="116" ht="16.5" customHeight="1">
      <c r="A116" s="3"/>
      <c r="B116" s="2"/>
      <c r="C116" s="3"/>
      <c r="D116" s="2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149"/>
      <c r="S116" s="4"/>
      <c r="T116" s="4"/>
      <c r="U116" s="4"/>
      <c r="V116" s="4"/>
      <c r="W116" s="4"/>
      <c r="X116" s="4"/>
      <c r="Y116" s="4"/>
      <c r="Z116" s="4"/>
    </row>
    <row r="117" ht="16.5" customHeight="1">
      <c r="A117" s="3"/>
      <c r="B117" s="2"/>
      <c r="C117" s="3"/>
      <c r="D117" s="2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149"/>
      <c r="S117" s="4"/>
      <c r="T117" s="4"/>
      <c r="U117" s="4"/>
      <c r="V117" s="4"/>
      <c r="W117" s="4"/>
      <c r="X117" s="4"/>
      <c r="Y117" s="4"/>
      <c r="Z117" s="4"/>
    </row>
    <row r="118" ht="16.5" customHeight="1">
      <c r="A118" s="3"/>
      <c r="B118" s="2"/>
      <c r="C118" s="3"/>
      <c r="D118" s="2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149"/>
      <c r="S118" s="4"/>
      <c r="T118" s="4"/>
      <c r="U118" s="4"/>
      <c r="V118" s="4"/>
      <c r="W118" s="4"/>
      <c r="X118" s="4"/>
      <c r="Y118" s="4"/>
      <c r="Z118" s="4"/>
    </row>
    <row r="119" ht="16.5" customHeight="1">
      <c r="A119" s="3"/>
      <c r="B119" s="2"/>
      <c r="C119" s="3"/>
      <c r="D119" s="2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149"/>
      <c r="S119" s="4"/>
      <c r="T119" s="4"/>
      <c r="U119" s="4"/>
      <c r="V119" s="4"/>
      <c r="W119" s="4"/>
      <c r="X119" s="4"/>
      <c r="Y119" s="4"/>
      <c r="Z119" s="4"/>
    </row>
    <row r="120" ht="16.5" customHeight="1">
      <c r="A120" s="3"/>
      <c r="B120" s="2"/>
      <c r="C120" s="3"/>
      <c r="D120" s="2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149"/>
      <c r="S120" s="4"/>
      <c r="T120" s="4"/>
      <c r="U120" s="4"/>
      <c r="V120" s="4"/>
      <c r="W120" s="4"/>
      <c r="X120" s="4"/>
      <c r="Y120" s="4"/>
      <c r="Z120" s="4"/>
    </row>
    <row r="121" ht="16.5" customHeight="1">
      <c r="A121" s="3"/>
      <c r="B121" s="2"/>
      <c r="C121" s="3"/>
      <c r="D121" s="2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149"/>
      <c r="S121" s="4"/>
      <c r="T121" s="4"/>
      <c r="U121" s="4"/>
      <c r="V121" s="4"/>
      <c r="W121" s="4"/>
      <c r="X121" s="4"/>
      <c r="Y121" s="4"/>
      <c r="Z121" s="4"/>
    </row>
    <row r="122" ht="16.5" customHeight="1">
      <c r="A122" s="3"/>
      <c r="B122" s="2"/>
      <c r="C122" s="3"/>
      <c r="D122" s="2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149"/>
      <c r="S122" s="4"/>
      <c r="T122" s="4"/>
      <c r="U122" s="4"/>
      <c r="V122" s="4"/>
      <c r="W122" s="4"/>
      <c r="X122" s="4"/>
      <c r="Y122" s="4"/>
      <c r="Z122" s="4"/>
    </row>
    <row r="123" ht="16.5" customHeight="1">
      <c r="A123" s="3"/>
      <c r="B123" s="2"/>
      <c r="C123" s="3"/>
      <c r="D123" s="2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149"/>
      <c r="S123" s="4"/>
      <c r="T123" s="4"/>
      <c r="U123" s="4"/>
      <c r="V123" s="4"/>
      <c r="W123" s="4"/>
      <c r="X123" s="4"/>
      <c r="Y123" s="4"/>
      <c r="Z123" s="4"/>
    </row>
    <row r="124" ht="16.5" customHeight="1">
      <c r="A124" s="3"/>
      <c r="B124" s="2"/>
      <c r="C124" s="3"/>
      <c r="D124" s="2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149"/>
      <c r="S124" s="4"/>
      <c r="T124" s="4"/>
      <c r="U124" s="4"/>
      <c r="V124" s="4"/>
      <c r="W124" s="4"/>
      <c r="X124" s="4"/>
      <c r="Y124" s="4"/>
      <c r="Z124" s="4"/>
    </row>
    <row r="125" ht="16.5" customHeight="1">
      <c r="A125" s="3"/>
      <c r="B125" s="2"/>
      <c r="C125" s="3"/>
      <c r="D125" s="2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149"/>
      <c r="S125" s="4"/>
      <c r="T125" s="4"/>
      <c r="U125" s="4"/>
      <c r="V125" s="4"/>
      <c r="W125" s="4"/>
      <c r="X125" s="4"/>
      <c r="Y125" s="4"/>
      <c r="Z125" s="4"/>
    </row>
    <row r="126" ht="16.5" customHeight="1">
      <c r="A126" s="3"/>
      <c r="B126" s="2"/>
      <c r="C126" s="3"/>
      <c r="D126" s="2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149"/>
      <c r="S126" s="4"/>
      <c r="T126" s="4"/>
      <c r="U126" s="4"/>
      <c r="V126" s="4"/>
      <c r="W126" s="4"/>
      <c r="X126" s="4"/>
      <c r="Y126" s="4"/>
      <c r="Z126" s="4"/>
    </row>
    <row r="127" ht="16.5" customHeight="1">
      <c r="A127" s="3"/>
      <c r="B127" s="2"/>
      <c r="C127" s="3"/>
      <c r="D127" s="2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149"/>
      <c r="S127" s="4"/>
      <c r="T127" s="4"/>
      <c r="U127" s="4"/>
      <c r="V127" s="4"/>
      <c r="W127" s="4"/>
      <c r="X127" s="4"/>
      <c r="Y127" s="4"/>
      <c r="Z127" s="4"/>
    </row>
    <row r="128" ht="16.5" customHeight="1">
      <c r="A128" s="3"/>
      <c r="B128" s="2"/>
      <c r="C128" s="3"/>
      <c r="D128" s="2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149"/>
      <c r="S128" s="4"/>
      <c r="T128" s="4"/>
      <c r="U128" s="4"/>
      <c r="V128" s="4"/>
      <c r="W128" s="4"/>
      <c r="X128" s="4"/>
      <c r="Y128" s="4"/>
      <c r="Z128" s="4"/>
    </row>
    <row r="129" ht="16.5" customHeight="1">
      <c r="A129" s="3"/>
      <c r="B129" s="2"/>
      <c r="C129" s="3"/>
      <c r="D129" s="2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149"/>
      <c r="S129" s="4"/>
      <c r="T129" s="4"/>
      <c r="U129" s="4"/>
      <c r="V129" s="4"/>
      <c r="W129" s="4"/>
      <c r="X129" s="4"/>
      <c r="Y129" s="4"/>
      <c r="Z129" s="4"/>
    </row>
    <row r="130" ht="16.5" customHeight="1">
      <c r="A130" s="3"/>
      <c r="B130" s="2"/>
      <c r="C130" s="3"/>
      <c r="D130" s="2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149"/>
      <c r="S130" s="4"/>
      <c r="T130" s="4"/>
      <c r="U130" s="4"/>
      <c r="V130" s="4"/>
      <c r="W130" s="4"/>
      <c r="X130" s="4"/>
      <c r="Y130" s="4"/>
      <c r="Z130" s="4"/>
    </row>
    <row r="131" ht="16.5" customHeight="1">
      <c r="A131" s="3"/>
      <c r="B131" s="2"/>
      <c r="C131" s="3"/>
      <c r="D131" s="2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149"/>
      <c r="S131" s="4"/>
      <c r="T131" s="4"/>
      <c r="U131" s="4"/>
      <c r="V131" s="4"/>
      <c r="W131" s="4"/>
      <c r="X131" s="4"/>
      <c r="Y131" s="4"/>
      <c r="Z131" s="4"/>
    </row>
    <row r="132" ht="16.5" customHeight="1">
      <c r="A132" s="3"/>
      <c r="B132" s="2"/>
      <c r="C132" s="3"/>
      <c r="D132" s="2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149"/>
      <c r="S132" s="4"/>
      <c r="T132" s="4"/>
      <c r="U132" s="4"/>
      <c r="V132" s="4"/>
      <c r="W132" s="4"/>
      <c r="X132" s="4"/>
      <c r="Y132" s="4"/>
      <c r="Z132" s="4"/>
    </row>
    <row r="133" ht="16.5" customHeight="1">
      <c r="A133" s="3"/>
      <c r="B133" s="2"/>
      <c r="C133" s="3"/>
      <c r="D133" s="2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149"/>
      <c r="S133" s="4"/>
      <c r="T133" s="4"/>
      <c r="U133" s="4"/>
      <c r="V133" s="4"/>
      <c r="W133" s="4"/>
      <c r="X133" s="4"/>
      <c r="Y133" s="4"/>
      <c r="Z133" s="4"/>
    </row>
    <row r="134" ht="16.5" customHeight="1">
      <c r="A134" s="3"/>
      <c r="B134" s="2"/>
      <c r="C134" s="3"/>
      <c r="D134" s="2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149"/>
      <c r="S134" s="4"/>
      <c r="T134" s="4"/>
      <c r="U134" s="4"/>
      <c r="V134" s="4"/>
      <c r="W134" s="4"/>
      <c r="X134" s="4"/>
      <c r="Y134" s="4"/>
      <c r="Z134" s="4"/>
    </row>
    <row r="135" ht="16.5" customHeight="1">
      <c r="A135" s="3"/>
      <c r="B135" s="2"/>
      <c r="C135" s="3"/>
      <c r="D135" s="2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149"/>
      <c r="S135" s="4"/>
      <c r="T135" s="4"/>
      <c r="U135" s="4"/>
      <c r="V135" s="4"/>
      <c r="W135" s="4"/>
      <c r="X135" s="4"/>
      <c r="Y135" s="4"/>
      <c r="Z135" s="4"/>
    </row>
    <row r="136" ht="16.5" customHeight="1">
      <c r="A136" s="3"/>
      <c r="B136" s="2"/>
      <c r="C136" s="3"/>
      <c r="D136" s="2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149"/>
      <c r="S136" s="4"/>
      <c r="T136" s="4"/>
      <c r="U136" s="4"/>
      <c r="V136" s="4"/>
      <c r="W136" s="4"/>
      <c r="X136" s="4"/>
      <c r="Y136" s="4"/>
      <c r="Z136" s="4"/>
    </row>
    <row r="137" ht="16.5" customHeight="1">
      <c r="A137" s="3"/>
      <c r="B137" s="2"/>
      <c r="C137" s="3"/>
      <c r="D137" s="2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149"/>
      <c r="S137" s="4"/>
      <c r="T137" s="4"/>
      <c r="U137" s="4"/>
      <c r="V137" s="4"/>
      <c r="W137" s="4"/>
      <c r="X137" s="4"/>
      <c r="Y137" s="4"/>
      <c r="Z137" s="4"/>
    </row>
    <row r="138" ht="16.5" customHeight="1">
      <c r="A138" s="3"/>
      <c r="B138" s="2"/>
      <c r="C138" s="3"/>
      <c r="D138" s="2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149"/>
      <c r="S138" s="4"/>
      <c r="T138" s="4"/>
      <c r="U138" s="4"/>
      <c r="V138" s="4"/>
      <c r="W138" s="4"/>
      <c r="X138" s="4"/>
      <c r="Y138" s="4"/>
      <c r="Z138" s="4"/>
    </row>
    <row r="139" ht="16.5" customHeight="1">
      <c r="A139" s="3"/>
      <c r="B139" s="2"/>
      <c r="C139" s="3"/>
      <c r="D139" s="2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149"/>
      <c r="S139" s="4"/>
      <c r="T139" s="4"/>
      <c r="U139" s="4"/>
      <c r="V139" s="4"/>
      <c r="W139" s="4"/>
      <c r="X139" s="4"/>
      <c r="Y139" s="4"/>
      <c r="Z139" s="4"/>
    </row>
    <row r="140" ht="16.5" customHeight="1">
      <c r="A140" s="3"/>
      <c r="B140" s="2"/>
      <c r="C140" s="3"/>
      <c r="D140" s="2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149"/>
      <c r="S140" s="4"/>
      <c r="T140" s="4"/>
      <c r="U140" s="4"/>
      <c r="V140" s="4"/>
      <c r="W140" s="4"/>
      <c r="X140" s="4"/>
      <c r="Y140" s="4"/>
      <c r="Z140" s="4"/>
    </row>
    <row r="141" ht="16.5" customHeight="1">
      <c r="A141" s="3"/>
      <c r="B141" s="2"/>
      <c r="C141" s="3"/>
      <c r="D141" s="2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149"/>
      <c r="S141" s="4"/>
      <c r="T141" s="4"/>
      <c r="U141" s="4"/>
      <c r="V141" s="4"/>
      <c r="W141" s="4"/>
      <c r="X141" s="4"/>
      <c r="Y141" s="4"/>
      <c r="Z141" s="4"/>
    </row>
    <row r="142" ht="16.5" customHeight="1">
      <c r="A142" s="3"/>
      <c r="B142" s="2"/>
      <c r="C142" s="3"/>
      <c r="D142" s="2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149"/>
      <c r="S142" s="4"/>
      <c r="T142" s="4"/>
      <c r="U142" s="4"/>
      <c r="V142" s="4"/>
      <c r="W142" s="4"/>
      <c r="X142" s="4"/>
      <c r="Y142" s="4"/>
      <c r="Z142" s="4"/>
    </row>
    <row r="143" ht="16.5" customHeight="1">
      <c r="A143" s="3"/>
      <c r="B143" s="2"/>
      <c r="C143" s="3"/>
      <c r="D143" s="2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149"/>
      <c r="S143" s="4"/>
      <c r="T143" s="4"/>
      <c r="U143" s="4"/>
      <c r="V143" s="4"/>
      <c r="W143" s="4"/>
      <c r="X143" s="4"/>
      <c r="Y143" s="4"/>
      <c r="Z143" s="4"/>
    </row>
    <row r="144" ht="16.5" customHeight="1">
      <c r="A144" s="3"/>
      <c r="B144" s="2"/>
      <c r="C144" s="3"/>
      <c r="D144" s="2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149"/>
      <c r="S144" s="4"/>
      <c r="T144" s="4"/>
      <c r="U144" s="4"/>
      <c r="V144" s="4"/>
      <c r="W144" s="4"/>
      <c r="X144" s="4"/>
      <c r="Y144" s="4"/>
      <c r="Z144" s="4"/>
    </row>
    <row r="145" ht="16.5" customHeight="1">
      <c r="A145" s="3"/>
      <c r="B145" s="2"/>
      <c r="C145" s="3"/>
      <c r="D145" s="2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149"/>
      <c r="S145" s="4"/>
      <c r="T145" s="4"/>
      <c r="U145" s="4"/>
      <c r="V145" s="4"/>
      <c r="W145" s="4"/>
      <c r="X145" s="4"/>
      <c r="Y145" s="4"/>
      <c r="Z145" s="4"/>
    </row>
    <row r="146" ht="16.5" customHeight="1">
      <c r="A146" s="3"/>
      <c r="B146" s="2"/>
      <c r="C146" s="3"/>
      <c r="D146" s="2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149"/>
      <c r="S146" s="4"/>
      <c r="T146" s="4"/>
      <c r="U146" s="4"/>
      <c r="V146" s="4"/>
      <c r="W146" s="4"/>
      <c r="X146" s="4"/>
      <c r="Y146" s="4"/>
      <c r="Z146" s="4"/>
    </row>
    <row r="147" ht="16.5" customHeight="1">
      <c r="A147" s="3"/>
      <c r="B147" s="2"/>
      <c r="C147" s="3"/>
      <c r="D147" s="2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149"/>
      <c r="S147" s="4"/>
      <c r="T147" s="4"/>
      <c r="U147" s="4"/>
      <c r="V147" s="4"/>
      <c r="W147" s="4"/>
      <c r="X147" s="4"/>
      <c r="Y147" s="4"/>
      <c r="Z147" s="4"/>
    </row>
    <row r="148" ht="16.5" customHeight="1">
      <c r="A148" s="3"/>
      <c r="B148" s="2"/>
      <c r="C148" s="3"/>
      <c r="D148" s="2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149"/>
      <c r="S148" s="4"/>
      <c r="T148" s="4"/>
      <c r="U148" s="4"/>
      <c r="V148" s="4"/>
      <c r="W148" s="4"/>
      <c r="X148" s="4"/>
      <c r="Y148" s="4"/>
      <c r="Z148" s="4"/>
    </row>
    <row r="149" ht="16.5" customHeight="1">
      <c r="A149" s="3"/>
      <c r="B149" s="2"/>
      <c r="C149" s="3"/>
      <c r="D149" s="2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149"/>
      <c r="S149" s="4"/>
      <c r="T149" s="4"/>
      <c r="U149" s="4"/>
      <c r="V149" s="4"/>
      <c r="W149" s="4"/>
      <c r="X149" s="4"/>
      <c r="Y149" s="4"/>
      <c r="Z149" s="4"/>
    </row>
    <row r="150" ht="16.5" customHeight="1">
      <c r="A150" s="3"/>
      <c r="B150" s="2"/>
      <c r="C150" s="3"/>
      <c r="D150" s="2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149"/>
      <c r="S150" s="4"/>
      <c r="T150" s="4"/>
      <c r="U150" s="4"/>
      <c r="V150" s="4"/>
      <c r="W150" s="4"/>
      <c r="X150" s="4"/>
      <c r="Y150" s="4"/>
      <c r="Z150" s="4"/>
    </row>
    <row r="151" ht="16.5" customHeight="1">
      <c r="A151" s="3"/>
      <c r="B151" s="2"/>
      <c r="C151" s="3"/>
      <c r="D151" s="2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149"/>
      <c r="S151" s="4"/>
      <c r="T151" s="4"/>
      <c r="U151" s="4"/>
      <c r="V151" s="4"/>
      <c r="W151" s="4"/>
      <c r="X151" s="4"/>
      <c r="Y151" s="4"/>
      <c r="Z151" s="4"/>
    </row>
    <row r="152" ht="16.5" customHeight="1">
      <c r="A152" s="3"/>
      <c r="B152" s="2"/>
      <c r="C152" s="3"/>
      <c r="D152" s="2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149"/>
      <c r="S152" s="4"/>
      <c r="T152" s="4"/>
      <c r="U152" s="4"/>
      <c r="V152" s="4"/>
      <c r="W152" s="4"/>
      <c r="X152" s="4"/>
      <c r="Y152" s="4"/>
      <c r="Z152" s="4"/>
    </row>
    <row r="153" ht="16.5" customHeight="1">
      <c r="A153" s="3"/>
      <c r="B153" s="2"/>
      <c r="C153" s="3"/>
      <c r="D153" s="2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149"/>
      <c r="S153" s="4"/>
      <c r="T153" s="4"/>
      <c r="U153" s="4"/>
      <c r="V153" s="4"/>
      <c r="W153" s="4"/>
      <c r="X153" s="4"/>
      <c r="Y153" s="4"/>
      <c r="Z153" s="4"/>
    </row>
    <row r="154" ht="16.5" customHeight="1">
      <c r="A154" s="3"/>
      <c r="B154" s="2"/>
      <c r="C154" s="3"/>
      <c r="D154" s="2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149"/>
      <c r="S154" s="4"/>
      <c r="T154" s="4"/>
      <c r="U154" s="4"/>
      <c r="V154" s="4"/>
      <c r="W154" s="4"/>
      <c r="X154" s="4"/>
      <c r="Y154" s="4"/>
      <c r="Z154" s="4"/>
    </row>
    <row r="155" ht="16.5" customHeight="1">
      <c r="A155" s="3"/>
      <c r="B155" s="2"/>
      <c r="C155" s="3"/>
      <c r="D155" s="2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149"/>
      <c r="S155" s="4"/>
      <c r="T155" s="4"/>
      <c r="U155" s="4"/>
      <c r="V155" s="4"/>
      <c r="W155" s="4"/>
      <c r="X155" s="4"/>
      <c r="Y155" s="4"/>
      <c r="Z155" s="4"/>
    </row>
    <row r="156" ht="16.5" customHeight="1">
      <c r="A156" s="3"/>
      <c r="B156" s="2"/>
      <c r="C156" s="3"/>
      <c r="D156" s="2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149"/>
      <c r="S156" s="4"/>
      <c r="T156" s="4"/>
      <c r="U156" s="4"/>
      <c r="V156" s="4"/>
      <c r="W156" s="4"/>
      <c r="X156" s="4"/>
      <c r="Y156" s="4"/>
      <c r="Z156" s="4"/>
    </row>
    <row r="157" ht="16.5" customHeight="1">
      <c r="A157" s="3"/>
      <c r="B157" s="2"/>
      <c r="C157" s="3"/>
      <c r="D157" s="2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149"/>
      <c r="S157" s="4"/>
      <c r="T157" s="4"/>
      <c r="U157" s="4"/>
      <c r="V157" s="4"/>
      <c r="W157" s="4"/>
      <c r="X157" s="4"/>
      <c r="Y157" s="4"/>
      <c r="Z157" s="4"/>
    </row>
    <row r="158" ht="16.5" customHeight="1">
      <c r="A158" s="3"/>
      <c r="B158" s="2"/>
      <c r="C158" s="3"/>
      <c r="D158" s="2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149"/>
      <c r="S158" s="4"/>
      <c r="T158" s="4"/>
      <c r="U158" s="4"/>
      <c r="V158" s="4"/>
      <c r="W158" s="4"/>
      <c r="X158" s="4"/>
      <c r="Y158" s="4"/>
      <c r="Z158" s="4"/>
    </row>
    <row r="159" ht="16.5" customHeight="1">
      <c r="A159" s="3"/>
      <c r="B159" s="2"/>
      <c r="C159" s="3"/>
      <c r="D159" s="2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149"/>
      <c r="S159" s="4"/>
      <c r="T159" s="4"/>
      <c r="U159" s="4"/>
      <c r="V159" s="4"/>
      <c r="W159" s="4"/>
      <c r="X159" s="4"/>
      <c r="Y159" s="4"/>
      <c r="Z159" s="4"/>
    </row>
    <row r="160" ht="16.5" customHeight="1">
      <c r="A160" s="3"/>
      <c r="B160" s="2"/>
      <c r="C160" s="3"/>
      <c r="D160" s="2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149"/>
      <c r="S160" s="4"/>
      <c r="T160" s="4"/>
      <c r="U160" s="4"/>
      <c r="V160" s="4"/>
      <c r="W160" s="4"/>
      <c r="X160" s="4"/>
      <c r="Y160" s="4"/>
      <c r="Z160" s="4"/>
    </row>
    <row r="161" ht="16.5" customHeight="1">
      <c r="A161" s="3"/>
      <c r="B161" s="2"/>
      <c r="C161" s="3"/>
      <c r="D161" s="2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149"/>
      <c r="S161" s="4"/>
      <c r="T161" s="4"/>
      <c r="U161" s="4"/>
      <c r="V161" s="4"/>
      <c r="W161" s="4"/>
      <c r="X161" s="4"/>
      <c r="Y161" s="4"/>
      <c r="Z161" s="4"/>
    </row>
    <row r="162" ht="16.5" customHeight="1">
      <c r="A162" s="3"/>
      <c r="B162" s="2"/>
      <c r="C162" s="3"/>
      <c r="D162" s="2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149"/>
      <c r="S162" s="4"/>
      <c r="T162" s="4"/>
      <c r="U162" s="4"/>
      <c r="V162" s="4"/>
      <c r="W162" s="4"/>
      <c r="X162" s="4"/>
      <c r="Y162" s="4"/>
      <c r="Z162" s="4"/>
    </row>
    <row r="163" ht="16.5" customHeight="1">
      <c r="A163" s="3"/>
      <c r="B163" s="2"/>
      <c r="C163" s="3"/>
      <c r="D163" s="2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149"/>
      <c r="S163" s="4"/>
      <c r="T163" s="4"/>
      <c r="U163" s="4"/>
      <c r="V163" s="4"/>
      <c r="W163" s="4"/>
      <c r="X163" s="4"/>
      <c r="Y163" s="4"/>
      <c r="Z163" s="4"/>
    </row>
    <row r="164" ht="16.5" customHeight="1">
      <c r="A164" s="3"/>
      <c r="B164" s="2"/>
      <c r="C164" s="3"/>
      <c r="D164" s="2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149"/>
      <c r="S164" s="4"/>
      <c r="T164" s="4"/>
      <c r="U164" s="4"/>
      <c r="V164" s="4"/>
      <c r="W164" s="4"/>
      <c r="X164" s="4"/>
      <c r="Y164" s="4"/>
      <c r="Z164" s="4"/>
    </row>
    <row r="165" ht="16.5" customHeight="1">
      <c r="A165" s="3"/>
      <c r="B165" s="2"/>
      <c r="C165" s="3"/>
      <c r="D165" s="2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149"/>
      <c r="S165" s="4"/>
      <c r="T165" s="4"/>
      <c r="U165" s="4"/>
      <c r="V165" s="4"/>
      <c r="W165" s="4"/>
      <c r="X165" s="4"/>
      <c r="Y165" s="4"/>
      <c r="Z165" s="4"/>
    </row>
    <row r="166" ht="16.5" customHeight="1">
      <c r="A166" s="3"/>
      <c r="B166" s="2"/>
      <c r="C166" s="3"/>
      <c r="D166" s="2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149"/>
      <c r="S166" s="4"/>
      <c r="T166" s="4"/>
      <c r="U166" s="4"/>
      <c r="V166" s="4"/>
      <c r="W166" s="4"/>
      <c r="X166" s="4"/>
      <c r="Y166" s="4"/>
      <c r="Z166" s="4"/>
    </row>
    <row r="167" ht="16.5" customHeight="1">
      <c r="A167" s="3"/>
      <c r="B167" s="2"/>
      <c r="C167" s="3"/>
      <c r="D167" s="2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149"/>
      <c r="S167" s="4"/>
      <c r="T167" s="4"/>
      <c r="U167" s="4"/>
      <c r="V167" s="4"/>
      <c r="W167" s="4"/>
      <c r="X167" s="4"/>
      <c r="Y167" s="4"/>
      <c r="Z167" s="4"/>
    </row>
    <row r="168" ht="16.5" customHeight="1">
      <c r="A168" s="3"/>
      <c r="B168" s="2"/>
      <c r="C168" s="3"/>
      <c r="D168" s="2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149"/>
      <c r="S168" s="4"/>
      <c r="T168" s="4"/>
      <c r="U168" s="4"/>
      <c r="V168" s="4"/>
      <c r="W168" s="4"/>
      <c r="X168" s="4"/>
      <c r="Y168" s="4"/>
      <c r="Z168" s="4"/>
    </row>
    <row r="169" ht="16.5" customHeight="1">
      <c r="A169" s="3"/>
      <c r="B169" s="2"/>
      <c r="C169" s="3"/>
      <c r="D169" s="2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149"/>
      <c r="S169" s="4"/>
      <c r="T169" s="4"/>
      <c r="U169" s="4"/>
      <c r="V169" s="4"/>
      <c r="W169" s="4"/>
      <c r="X169" s="4"/>
      <c r="Y169" s="4"/>
      <c r="Z169" s="4"/>
    </row>
    <row r="170" ht="16.5" customHeight="1">
      <c r="A170" s="3"/>
      <c r="B170" s="2"/>
      <c r="C170" s="3"/>
      <c r="D170" s="2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149"/>
      <c r="S170" s="4"/>
      <c r="T170" s="4"/>
      <c r="U170" s="4"/>
      <c r="V170" s="4"/>
      <c r="W170" s="4"/>
      <c r="X170" s="4"/>
      <c r="Y170" s="4"/>
      <c r="Z170" s="4"/>
    </row>
    <row r="171" ht="16.5" customHeight="1">
      <c r="A171" s="3"/>
      <c r="B171" s="2"/>
      <c r="C171" s="3"/>
      <c r="D171" s="2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149"/>
      <c r="S171" s="4"/>
      <c r="T171" s="4"/>
      <c r="U171" s="4"/>
      <c r="V171" s="4"/>
      <c r="W171" s="4"/>
      <c r="X171" s="4"/>
      <c r="Y171" s="4"/>
      <c r="Z171" s="4"/>
    </row>
    <row r="172" ht="16.5" customHeight="1">
      <c r="A172" s="3"/>
      <c r="B172" s="2"/>
      <c r="C172" s="3"/>
      <c r="D172" s="2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149"/>
      <c r="S172" s="4"/>
      <c r="T172" s="4"/>
      <c r="U172" s="4"/>
      <c r="V172" s="4"/>
      <c r="W172" s="4"/>
      <c r="X172" s="4"/>
      <c r="Y172" s="4"/>
      <c r="Z172" s="4"/>
    </row>
    <row r="173" ht="16.5" customHeight="1">
      <c r="A173" s="3"/>
      <c r="B173" s="2"/>
      <c r="C173" s="3"/>
      <c r="D173" s="2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149"/>
      <c r="S173" s="4"/>
      <c r="T173" s="4"/>
      <c r="U173" s="4"/>
      <c r="V173" s="4"/>
      <c r="W173" s="4"/>
      <c r="X173" s="4"/>
      <c r="Y173" s="4"/>
      <c r="Z173" s="4"/>
    </row>
    <row r="174" ht="16.5" customHeight="1">
      <c r="A174" s="3"/>
      <c r="B174" s="2"/>
      <c r="C174" s="3"/>
      <c r="D174" s="2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149"/>
      <c r="S174" s="4"/>
      <c r="T174" s="4"/>
      <c r="U174" s="4"/>
      <c r="V174" s="4"/>
      <c r="W174" s="4"/>
      <c r="X174" s="4"/>
      <c r="Y174" s="4"/>
      <c r="Z174" s="4"/>
    </row>
    <row r="175" ht="16.5" customHeight="1">
      <c r="A175" s="3"/>
      <c r="B175" s="2"/>
      <c r="C175" s="3"/>
      <c r="D175" s="2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149"/>
      <c r="S175" s="4"/>
      <c r="T175" s="4"/>
      <c r="U175" s="4"/>
      <c r="V175" s="4"/>
      <c r="W175" s="4"/>
      <c r="X175" s="4"/>
      <c r="Y175" s="4"/>
      <c r="Z175" s="4"/>
    </row>
    <row r="176" ht="16.5" customHeight="1">
      <c r="A176" s="3"/>
      <c r="B176" s="2"/>
      <c r="C176" s="3"/>
      <c r="D176" s="2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149"/>
      <c r="S176" s="4"/>
      <c r="T176" s="4"/>
      <c r="U176" s="4"/>
      <c r="V176" s="4"/>
      <c r="W176" s="4"/>
      <c r="X176" s="4"/>
      <c r="Y176" s="4"/>
      <c r="Z176" s="4"/>
    </row>
    <row r="177" ht="16.5" customHeight="1">
      <c r="A177" s="3"/>
      <c r="B177" s="2"/>
      <c r="C177" s="3"/>
      <c r="D177" s="2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149"/>
      <c r="S177" s="4"/>
      <c r="T177" s="4"/>
      <c r="U177" s="4"/>
      <c r="V177" s="4"/>
      <c r="W177" s="4"/>
      <c r="X177" s="4"/>
      <c r="Y177" s="4"/>
      <c r="Z177" s="4"/>
    </row>
    <row r="178" ht="16.5" customHeight="1">
      <c r="A178" s="3"/>
      <c r="B178" s="2"/>
      <c r="C178" s="3"/>
      <c r="D178" s="2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149"/>
      <c r="S178" s="4"/>
      <c r="T178" s="4"/>
      <c r="U178" s="4"/>
      <c r="V178" s="4"/>
      <c r="W178" s="4"/>
      <c r="X178" s="4"/>
      <c r="Y178" s="4"/>
      <c r="Z178" s="4"/>
    </row>
    <row r="179" ht="16.5" customHeight="1">
      <c r="A179" s="3"/>
      <c r="B179" s="2"/>
      <c r="C179" s="3"/>
      <c r="D179" s="2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149"/>
      <c r="S179" s="4"/>
      <c r="T179" s="4"/>
      <c r="U179" s="4"/>
      <c r="V179" s="4"/>
      <c r="W179" s="4"/>
      <c r="X179" s="4"/>
      <c r="Y179" s="4"/>
      <c r="Z179" s="4"/>
    </row>
    <row r="180" ht="16.5" customHeight="1">
      <c r="A180" s="3"/>
      <c r="B180" s="2"/>
      <c r="C180" s="3"/>
      <c r="D180" s="2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149"/>
      <c r="S180" s="4"/>
      <c r="T180" s="4"/>
      <c r="U180" s="4"/>
      <c r="V180" s="4"/>
      <c r="W180" s="4"/>
      <c r="X180" s="4"/>
      <c r="Y180" s="4"/>
      <c r="Z180" s="4"/>
    </row>
    <row r="181" ht="16.5" customHeight="1">
      <c r="A181" s="3"/>
      <c r="B181" s="2"/>
      <c r="C181" s="3"/>
      <c r="D181" s="2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149"/>
      <c r="S181" s="4"/>
      <c r="T181" s="4"/>
      <c r="U181" s="4"/>
      <c r="V181" s="4"/>
      <c r="W181" s="4"/>
      <c r="X181" s="4"/>
      <c r="Y181" s="4"/>
      <c r="Z181" s="4"/>
    </row>
    <row r="182" ht="16.5" customHeight="1">
      <c r="A182" s="3"/>
      <c r="B182" s="2"/>
      <c r="C182" s="3"/>
      <c r="D182" s="2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149"/>
      <c r="S182" s="4"/>
      <c r="T182" s="4"/>
      <c r="U182" s="4"/>
      <c r="V182" s="4"/>
      <c r="W182" s="4"/>
      <c r="X182" s="4"/>
      <c r="Y182" s="4"/>
      <c r="Z182" s="4"/>
    </row>
    <row r="183" ht="16.5" customHeight="1">
      <c r="A183" s="3"/>
      <c r="B183" s="2"/>
      <c r="C183" s="3"/>
      <c r="D183" s="2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149"/>
      <c r="S183" s="4"/>
      <c r="T183" s="4"/>
      <c r="U183" s="4"/>
      <c r="V183" s="4"/>
      <c r="W183" s="4"/>
      <c r="X183" s="4"/>
      <c r="Y183" s="4"/>
      <c r="Z183" s="4"/>
    </row>
    <row r="184" ht="16.5" customHeight="1">
      <c r="A184" s="3"/>
      <c r="B184" s="2"/>
      <c r="C184" s="3"/>
      <c r="D184" s="2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149"/>
      <c r="S184" s="4"/>
      <c r="T184" s="4"/>
      <c r="U184" s="4"/>
      <c r="V184" s="4"/>
      <c r="W184" s="4"/>
      <c r="X184" s="4"/>
      <c r="Y184" s="4"/>
      <c r="Z184" s="4"/>
    </row>
    <row r="185" ht="16.5" customHeight="1">
      <c r="A185" s="3"/>
      <c r="B185" s="2"/>
      <c r="C185" s="3"/>
      <c r="D185" s="2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149"/>
      <c r="S185" s="4"/>
      <c r="T185" s="4"/>
      <c r="U185" s="4"/>
      <c r="V185" s="4"/>
      <c r="W185" s="4"/>
      <c r="X185" s="4"/>
      <c r="Y185" s="4"/>
      <c r="Z185" s="4"/>
    </row>
    <row r="186" ht="16.5" customHeight="1">
      <c r="A186" s="3"/>
      <c r="B186" s="2"/>
      <c r="C186" s="3"/>
      <c r="D186" s="2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149"/>
      <c r="S186" s="4"/>
      <c r="T186" s="4"/>
      <c r="U186" s="4"/>
      <c r="V186" s="4"/>
      <c r="W186" s="4"/>
      <c r="X186" s="4"/>
      <c r="Y186" s="4"/>
      <c r="Z186" s="4"/>
    </row>
    <row r="187" ht="16.5" customHeight="1">
      <c r="A187" s="3"/>
      <c r="B187" s="2"/>
      <c r="C187" s="3"/>
      <c r="D187" s="2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149"/>
      <c r="S187" s="4"/>
      <c r="T187" s="4"/>
      <c r="U187" s="4"/>
      <c r="V187" s="4"/>
      <c r="W187" s="4"/>
      <c r="X187" s="4"/>
      <c r="Y187" s="4"/>
      <c r="Z187" s="4"/>
    </row>
    <row r="188" ht="16.5" customHeight="1">
      <c r="A188" s="3"/>
      <c r="B188" s="2"/>
      <c r="C188" s="3"/>
      <c r="D188" s="2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149"/>
      <c r="S188" s="4"/>
      <c r="T188" s="4"/>
      <c r="U188" s="4"/>
      <c r="V188" s="4"/>
      <c r="W188" s="4"/>
      <c r="X188" s="4"/>
      <c r="Y188" s="4"/>
      <c r="Z188" s="4"/>
    </row>
    <row r="189" ht="16.5" customHeight="1">
      <c r="A189" s="3"/>
      <c r="B189" s="2"/>
      <c r="C189" s="3"/>
      <c r="D189" s="2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149"/>
      <c r="S189" s="4"/>
      <c r="T189" s="4"/>
      <c r="U189" s="4"/>
      <c r="V189" s="4"/>
      <c r="W189" s="4"/>
      <c r="X189" s="4"/>
      <c r="Y189" s="4"/>
      <c r="Z189" s="4"/>
    </row>
    <row r="190" ht="16.5" customHeight="1">
      <c r="A190" s="3"/>
      <c r="B190" s="2"/>
      <c r="C190" s="3"/>
      <c r="D190" s="2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149"/>
      <c r="S190" s="4"/>
      <c r="T190" s="4"/>
      <c r="U190" s="4"/>
      <c r="V190" s="4"/>
      <c r="W190" s="4"/>
      <c r="X190" s="4"/>
      <c r="Y190" s="4"/>
      <c r="Z190" s="4"/>
    </row>
    <row r="191" ht="16.5" customHeight="1">
      <c r="A191" s="3"/>
      <c r="B191" s="2"/>
      <c r="C191" s="3"/>
      <c r="D191" s="2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149"/>
      <c r="S191" s="4"/>
      <c r="T191" s="4"/>
      <c r="U191" s="4"/>
      <c r="V191" s="4"/>
      <c r="W191" s="4"/>
      <c r="X191" s="4"/>
      <c r="Y191" s="4"/>
      <c r="Z191" s="4"/>
    </row>
    <row r="192" ht="16.5" customHeight="1">
      <c r="A192" s="3"/>
      <c r="B192" s="2"/>
      <c r="C192" s="3"/>
      <c r="D192" s="2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149"/>
      <c r="S192" s="4"/>
      <c r="T192" s="4"/>
      <c r="U192" s="4"/>
      <c r="V192" s="4"/>
      <c r="W192" s="4"/>
      <c r="X192" s="4"/>
      <c r="Y192" s="4"/>
      <c r="Z192" s="4"/>
    </row>
    <row r="193" ht="16.5" customHeight="1">
      <c r="A193" s="3"/>
      <c r="B193" s="2"/>
      <c r="C193" s="3"/>
      <c r="D193" s="2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149"/>
      <c r="S193" s="4"/>
      <c r="T193" s="4"/>
      <c r="U193" s="4"/>
      <c r="V193" s="4"/>
      <c r="W193" s="4"/>
      <c r="X193" s="4"/>
      <c r="Y193" s="4"/>
      <c r="Z193" s="4"/>
    </row>
    <row r="194" ht="16.5" customHeight="1">
      <c r="A194" s="3"/>
      <c r="B194" s="2"/>
      <c r="C194" s="3"/>
      <c r="D194" s="2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149"/>
      <c r="S194" s="4"/>
      <c r="T194" s="4"/>
      <c r="U194" s="4"/>
      <c r="V194" s="4"/>
      <c r="W194" s="4"/>
      <c r="X194" s="4"/>
      <c r="Y194" s="4"/>
      <c r="Z194" s="4"/>
    </row>
    <row r="195" ht="16.5" customHeight="1">
      <c r="A195" s="3"/>
      <c r="B195" s="2"/>
      <c r="C195" s="3"/>
      <c r="D195" s="2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149"/>
      <c r="S195" s="4"/>
      <c r="T195" s="4"/>
      <c r="U195" s="4"/>
      <c r="V195" s="4"/>
      <c r="W195" s="4"/>
      <c r="X195" s="4"/>
      <c r="Y195" s="4"/>
      <c r="Z195" s="4"/>
    </row>
    <row r="196" ht="16.5" customHeight="1">
      <c r="A196" s="3"/>
      <c r="B196" s="2"/>
      <c r="C196" s="3"/>
      <c r="D196" s="2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149"/>
      <c r="S196" s="4"/>
      <c r="T196" s="4"/>
      <c r="U196" s="4"/>
      <c r="V196" s="4"/>
      <c r="W196" s="4"/>
      <c r="X196" s="4"/>
      <c r="Y196" s="4"/>
      <c r="Z196" s="4"/>
    </row>
    <row r="197" ht="16.5" customHeight="1">
      <c r="A197" s="3"/>
      <c r="B197" s="2"/>
      <c r="C197" s="3"/>
      <c r="D197" s="2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149"/>
      <c r="S197" s="4"/>
      <c r="T197" s="4"/>
      <c r="U197" s="4"/>
      <c r="V197" s="4"/>
      <c r="W197" s="4"/>
      <c r="X197" s="4"/>
      <c r="Y197" s="4"/>
      <c r="Z197" s="4"/>
    </row>
    <row r="198" ht="16.5" customHeight="1">
      <c r="A198" s="3"/>
      <c r="B198" s="2"/>
      <c r="C198" s="3"/>
      <c r="D198" s="2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149"/>
      <c r="S198" s="4"/>
      <c r="T198" s="4"/>
      <c r="U198" s="4"/>
      <c r="V198" s="4"/>
      <c r="W198" s="4"/>
      <c r="X198" s="4"/>
      <c r="Y198" s="4"/>
      <c r="Z198" s="4"/>
    </row>
    <row r="199" ht="16.5" customHeight="1">
      <c r="A199" s="3"/>
      <c r="B199" s="2"/>
      <c r="C199" s="3"/>
      <c r="D199" s="2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149"/>
      <c r="S199" s="4"/>
      <c r="T199" s="4"/>
      <c r="U199" s="4"/>
      <c r="V199" s="4"/>
      <c r="W199" s="4"/>
      <c r="X199" s="4"/>
      <c r="Y199" s="4"/>
      <c r="Z199" s="4"/>
    </row>
    <row r="200" ht="16.5" customHeight="1">
      <c r="A200" s="3"/>
      <c r="B200" s="2"/>
      <c r="C200" s="3"/>
      <c r="D200" s="2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149"/>
      <c r="S200" s="4"/>
      <c r="T200" s="4"/>
      <c r="U200" s="4"/>
      <c r="V200" s="4"/>
      <c r="W200" s="4"/>
      <c r="X200" s="4"/>
      <c r="Y200" s="4"/>
      <c r="Z200" s="4"/>
    </row>
    <row r="201" ht="16.5" customHeight="1">
      <c r="A201" s="3"/>
      <c r="B201" s="2"/>
      <c r="C201" s="3"/>
      <c r="D201" s="2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149"/>
      <c r="S201" s="4"/>
      <c r="T201" s="4"/>
      <c r="U201" s="4"/>
      <c r="V201" s="4"/>
      <c r="W201" s="4"/>
      <c r="X201" s="4"/>
      <c r="Y201" s="4"/>
      <c r="Z201" s="4"/>
    </row>
    <row r="202" ht="16.5" customHeight="1">
      <c r="A202" s="3"/>
      <c r="B202" s="2"/>
      <c r="C202" s="3"/>
      <c r="D202" s="2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149"/>
      <c r="S202" s="4"/>
      <c r="T202" s="4"/>
      <c r="U202" s="4"/>
      <c r="V202" s="4"/>
      <c r="W202" s="4"/>
      <c r="X202" s="4"/>
      <c r="Y202" s="4"/>
      <c r="Z202" s="4"/>
    </row>
    <row r="203" ht="16.5" customHeight="1">
      <c r="A203" s="3"/>
      <c r="B203" s="2"/>
      <c r="C203" s="3"/>
      <c r="D203" s="2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149"/>
      <c r="S203" s="4"/>
      <c r="T203" s="4"/>
      <c r="U203" s="4"/>
      <c r="V203" s="4"/>
      <c r="W203" s="4"/>
      <c r="X203" s="4"/>
      <c r="Y203" s="4"/>
      <c r="Z203" s="4"/>
    </row>
    <row r="204" ht="16.5" customHeight="1">
      <c r="A204" s="3"/>
      <c r="B204" s="2"/>
      <c r="C204" s="3"/>
      <c r="D204" s="2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149"/>
      <c r="S204" s="4"/>
      <c r="T204" s="4"/>
      <c r="U204" s="4"/>
      <c r="V204" s="4"/>
      <c r="W204" s="4"/>
      <c r="X204" s="4"/>
      <c r="Y204" s="4"/>
      <c r="Z204" s="4"/>
    </row>
    <row r="205" ht="16.5" customHeight="1">
      <c r="A205" s="3"/>
      <c r="B205" s="2"/>
      <c r="C205" s="3"/>
      <c r="D205" s="2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149"/>
      <c r="S205" s="4"/>
      <c r="T205" s="4"/>
      <c r="U205" s="4"/>
      <c r="V205" s="4"/>
      <c r="W205" s="4"/>
      <c r="X205" s="4"/>
      <c r="Y205" s="4"/>
      <c r="Z205" s="4"/>
    </row>
    <row r="206" ht="16.5" customHeight="1">
      <c r="A206" s="3"/>
      <c r="B206" s="2"/>
      <c r="C206" s="3"/>
      <c r="D206" s="2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149"/>
      <c r="S206" s="4"/>
      <c r="T206" s="4"/>
      <c r="U206" s="4"/>
      <c r="V206" s="4"/>
      <c r="W206" s="4"/>
      <c r="X206" s="4"/>
      <c r="Y206" s="4"/>
      <c r="Z206" s="4"/>
    </row>
    <row r="207" ht="16.5" customHeight="1">
      <c r="A207" s="3"/>
      <c r="B207" s="2"/>
      <c r="C207" s="3"/>
      <c r="D207" s="2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149"/>
      <c r="S207" s="4"/>
      <c r="T207" s="4"/>
      <c r="U207" s="4"/>
      <c r="V207" s="4"/>
      <c r="W207" s="4"/>
      <c r="X207" s="4"/>
      <c r="Y207" s="4"/>
      <c r="Z207" s="4"/>
    </row>
    <row r="208" ht="16.5" customHeight="1">
      <c r="A208" s="3"/>
      <c r="B208" s="2"/>
      <c r="C208" s="3"/>
      <c r="D208" s="2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149"/>
      <c r="S208" s="4"/>
      <c r="T208" s="4"/>
      <c r="U208" s="4"/>
      <c r="V208" s="4"/>
      <c r="W208" s="4"/>
      <c r="X208" s="4"/>
      <c r="Y208" s="4"/>
      <c r="Z208" s="4"/>
    </row>
    <row r="209" ht="16.5" customHeight="1">
      <c r="A209" s="3"/>
      <c r="B209" s="2"/>
      <c r="C209" s="3"/>
      <c r="D209" s="2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149"/>
      <c r="S209" s="4"/>
      <c r="T209" s="4"/>
      <c r="U209" s="4"/>
      <c r="V209" s="4"/>
      <c r="W209" s="4"/>
      <c r="X209" s="4"/>
      <c r="Y209" s="4"/>
      <c r="Z209" s="4"/>
    </row>
    <row r="210" ht="16.5" customHeight="1">
      <c r="A210" s="3"/>
      <c r="B210" s="2"/>
      <c r="C210" s="3"/>
      <c r="D210" s="2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149"/>
      <c r="S210" s="4"/>
      <c r="T210" s="4"/>
      <c r="U210" s="4"/>
      <c r="V210" s="4"/>
      <c r="W210" s="4"/>
      <c r="X210" s="4"/>
      <c r="Y210" s="4"/>
      <c r="Z210" s="4"/>
    </row>
    <row r="211" ht="16.5" customHeight="1">
      <c r="A211" s="3"/>
      <c r="B211" s="2"/>
      <c r="C211" s="3"/>
      <c r="D211" s="2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149"/>
      <c r="S211" s="4"/>
      <c r="T211" s="4"/>
      <c r="U211" s="4"/>
      <c r="V211" s="4"/>
      <c r="W211" s="4"/>
      <c r="X211" s="4"/>
      <c r="Y211" s="4"/>
      <c r="Z211" s="4"/>
    </row>
    <row r="212" ht="16.5" customHeight="1">
      <c r="A212" s="3"/>
      <c r="B212" s="2"/>
      <c r="C212" s="3"/>
      <c r="D212" s="2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149"/>
      <c r="S212" s="4"/>
      <c r="T212" s="4"/>
      <c r="U212" s="4"/>
      <c r="V212" s="4"/>
      <c r="W212" s="4"/>
      <c r="X212" s="4"/>
      <c r="Y212" s="4"/>
      <c r="Z212" s="4"/>
    </row>
    <row r="213" ht="16.5" customHeight="1">
      <c r="A213" s="3"/>
      <c r="B213" s="2"/>
      <c r="C213" s="3"/>
      <c r="D213" s="2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149"/>
      <c r="S213" s="4"/>
      <c r="T213" s="4"/>
      <c r="U213" s="4"/>
      <c r="V213" s="4"/>
      <c r="W213" s="4"/>
      <c r="X213" s="4"/>
      <c r="Y213" s="4"/>
      <c r="Z213" s="4"/>
    </row>
    <row r="214" ht="16.5" customHeight="1">
      <c r="A214" s="3"/>
      <c r="B214" s="2"/>
      <c r="C214" s="3"/>
      <c r="D214" s="2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149"/>
      <c r="S214" s="4"/>
      <c r="T214" s="4"/>
      <c r="U214" s="4"/>
      <c r="V214" s="4"/>
      <c r="W214" s="4"/>
      <c r="X214" s="4"/>
      <c r="Y214" s="4"/>
      <c r="Z214" s="4"/>
    </row>
    <row r="215" ht="16.5" customHeight="1">
      <c r="A215" s="3"/>
      <c r="B215" s="2"/>
      <c r="C215" s="3"/>
      <c r="D215" s="2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149"/>
      <c r="S215" s="4"/>
      <c r="T215" s="4"/>
      <c r="U215" s="4"/>
      <c r="V215" s="4"/>
      <c r="W215" s="4"/>
      <c r="X215" s="4"/>
      <c r="Y215" s="4"/>
      <c r="Z215" s="4"/>
    </row>
    <row r="216" ht="16.5" customHeight="1">
      <c r="A216" s="3"/>
      <c r="B216" s="2"/>
      <c r="C216" s="3"/>
      <c r="D216" s="2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149"/>
      <c r="S216" s="4"/>
      <c r="T216" s="4"/>
      <c r="U216" s="4"/>
      <c r="V216" s="4"/>
      <c r="W216" s="4"/>
      <c r="X216" s="4"/>
      <c r="Y216" s="4"/>
      <c r="Z216" s="4"/>
    </row>
    <row r="217" ht="16.5" customHeight="1">
      <c r="A217" s="3"/>
      <c r="B217" s="2"/>
      <c r="C217" s="3"/>
      <c r="D217" s="2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149"/>
      <c r="S217" s="4"/>
      <c r="T217" s="4"/>
      <c r="U217" s="4"/>
      <c r="V217" s="4"/>
      <c r="W217" s="4"/>
      <c r="X217" s="4"/>
      <c r="Y217" s="4"/>
      <c r="Z217" s="4"/>
    </row>
    <row r="218" ht="16.5" customHeight="1">
      <c r="A218" s="3"/>
      <c r="B218" s="2"/>
      <c r="C218" s="3"/>
      <c r="D218" s="2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149"/>
      <c r="S218" s="4"/>
      <c r="T218" s="4"/>
      <c r="U218" s="4"/>
      <c r="V218" s="4"/>
      <c r="W218" s="4"/>
      <c r="X218" s="4"/>
      <c r="Y218" s="4"/>
      <c r="Z218" s="4"/>
    </row>
    <row r="219" ht="16.5" customHeight="1">
      <c r="A219" s="3"/>
      <c r="B219" s="2"/>
      <c r="C219" s="3"/>
      <c r="D219" s="2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149"/>
      <c r="S219" s="4"/>
      <c r="T219" s="4"/>
      <c r="U219" s="4"/>
      <c r="V219" s="4"/>
      <c r="W219" s="4"/>
      <c r="X219" s="4"/>
      <c r="Y219" s="4"/>
      <c r="Z219" s="4"/>
    </row>
    <row r="220" ht="16.5" customHeight="1">
      <c r="A220" s="3"/>
      <c r="B220" s="2"/>
      <c r="C220" s="3"/>
      <c r="D220" s="2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149"/>
      <c r="S220" s="4"/>
      <c r="T220" s="4"/>
      <c r="U220" s="4"/>
      <c r="V220" s="4"/>
      <c r="W220" s="4"/>
      <c r="X220" s="4"/>
      <c r="Y220" s="4"/>
      <c r="Z220" s="4"/>
    </row>
    <row r="221" ht="16.5" customHeight="1">
      <c r="A221" s="3"/>
      <c r="B221" s="2"/>
      <c r="C221" s="3"/>
      <c r="D221" s="2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149"/>
      <c r="S221" s="4"/>
      <c r="T221" s="4"/>
      <c r="U221" s="4"/>
      <c r="V221" s="4"/>
      <c r="W221" s="4"/>
      <c r="X221" s="4"/>
      <c r="Y221" s="4"/>
      <c r="Z221" s="4"/>
    </row>
    <row r="222" ht="16.5" customHeight="1">
      <c r="A222" s="3"/>
      <c r="B222" s="2"/>
      <c r="C222" s="3"/>
      <c r="D222" s="2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149"/>
      <c r="S222" s="4"/>
      <c r="T222" s="4"/>
      <c r="U222" s="4"/>
      <c r="V222" s="4"/>
      <c r="W222" s="4"/>
      <c r="X222" s="4"/>
      <c r="Y222" s="4"/>
      <c r="Z222" s="4"/>
    </row>
    <row r="223" ht="16.5" customHeight="1">
      <c r="A223" s="3"/>
      <c r="B223" s="2"/>
      <c r="C223" s="3"/>
      <c r="D223" s="2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149"/>
      <c r="S223" s="4"/>
      <c r="T223" s="4"/>
      <c r="U223" s="4"/>
      <c r="V223" s="4"/>
      <c r="W223" s="4"/>
      <c r="X223" s="4"/>
      <c r="Y223" s="4"/>
      <c r="Z223" s="4"/>
    </row>
    <row r="224" ht="16.5" customHeight="1">
      <c r="A224" s="3"/>
      <c r="B224" s="2"/>
      <c r="C224" s="3"/>
      <c r="D224" s="2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149"/>
      <c r="S224" s="4"/>
      <c r="T224" s="4"/>
      <c r="U224" s="4"/>
      <c r="V224" s="4"/>
      <c r="W224" s="4"/>
      <c r="X224" s="4"/>
      <c r="Y224" s="4"/>
      <c r="Z224" s="4"/>
    </row>
    <row r="225" ht="16.5" customHeight="1">
      <c r="A225" s="3"/>
      <c r="B225" s="2"/>
      <c r="C225" s="3"/>
      <c r="D225" s="2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149"/>
      <c r="S225" s="4"/>
      <c r="T225" s="4"/>
      <c r="U225" s="4"/>
      <c r="V225" s="4"/>
      <c r="W225" s="4"/>
      <c r="X225" s="4"/>
      <c r="Y225" s="4"/>
      <c r="Z225" s="4"/>
    </row>
    <row r="226" ht="16.5" customHeight="1">
      <c r="A226" s="3"/>
      <c r="B226" s="2"/>
      <c r="C226" s="3"/>
      <c r="D226" s="2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149"/>
      <c r="S226" s="4"/>
      <c r="T226" s="4"/>
      <c r="U226" s="4"/>
      <c r="V226" s="4"/>
      <c r="W226" s="4"/>
      <c r="X226" s="4"/>
      <c r="Y226" s="4"/>
      <c r="Z226" s="4"/>
    </row>
    <row r="227" ht="16.5" customHeight="1">
      <c r="A227" s="3"/>
      <c r="B227" s="2"/>
      <c r="C227" s="3"/>
      <c r="D227" s="2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149"/>
      <c r="S227" s="4"/>
      <c r="T227" s="4"/>
      <c r="U227" s="4"/>
      <c r="V227" s="4"/>
      <c r="W227" s="4"/>
      <c r="X227" s="4"/>
      <c r="Y227" s="4"/>
      <c r="Z227" s="4"/>
    </row>
    <row r="228" ht="16.5" customHeight="1">
      <c r="A228" s="3"/>
      <c r="B228" s="2"/>
      <c r="C228" s="3"/>
      <c r="D228" s="2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149"/>
      <c r="S228" s="4"/>
      <c r="T228" s="4"/>
      <c r="U228" s="4"/>
      <c r="V228" s="4"/>
      <c r="W228" s="4"/>
      <c r="X228" s="4"/>
      <c r="Y228" s="4"/>
      <c r="Z228" s="4"/>
    </row>
    <row r="229" ht="16.5" customHeight="1">
      <c r="A229" s="3"/>
      <c r="B229" s="2"/>
      <c r="C229" s="3"/>
      <c r="D229" s="2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149"/>
      <c r="S229" s="4"/>
      <c r="T229" s="4"/>
      <c r="U229" s="4"/>
      <c r="V229" s="4"/>
      <c r="W229" s="4"/>
      <c r="X229" s="4"/>
      <c r="Y229" s="4"/>
      <c r="Z229" s="4"/>
    </row>
    <row r="230" ht="16.5" customHeight="1">
      <c r="A230" s="3"/>
      <c r="B230" s="2"/>
      <c r="C230" s="3"/>
      <c r="D230" s="2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149"/>
      <c r="S230" s="4"/>
      <c r="T230" s="4"/>
      <c r="U230" s="4"/>
      <c r="V230" s="4"/>
      <c r="W230" s="4"/>
      <c r="X230" s="4"/>
      <c r="Y230" s="4"/>
      <c r="Z230" s="4"/>
    </row>
    <row r="231" ht="16.5" customHeight="1">
      <c r="A231" s="3"/>
      <c r="B231" s="2"/>
      <c r="C231" s="3"/>
      <c r="D231" s="2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149"/>
      <c r="S231" s="4"/>
      <c r="T231" s="4"/>
      <c r="U231" s="4"/>
      <c r="V231" s="4"/>
      <c r="W231" s="4"/>
      <c r="X231" s="4"/>
      <c r="Y231" s="4"/>
      <c r="Z231" s="4"/>
    </row>
    <row r="232" ht="16.5" customHeight="1">
      <c r="A232" s="3"/>
      <c r="B232" s="2"/>
      <c r="C232" s="3"/>
      <c r="D232" s="2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149"/>
      <c r="S232" s="4"/>
      <c r="T232" s="4"/>
      <c r="U232" s="4"/>
      <c r="V232" s="4"/>
      <c r="W232" s="4"/>
      <c r="X232" s="4"/>
      <c r="Y232" s="4"/>
      <c r="Z232" s="4"/>
    </row>
    <row r="233" ht="16.5" customHeight="1">
      <c r="A233" s="3"/>
      <c r="B233" s="2"/>
      <c r="C233" s="3"/>
      <c r="D233" s="2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149"/>
      <c r="S233" s="4"/>
      <c r="T233" s="4"/>
      <c r="U233" s="4"/>
      <c r="V233" s="4"/>
      <c r="W233" s="4"/>
      <c r="X233" s="4"/>
      <c r="Y233" s="4"/>
      <c r="Z233" s="4"/>
    </row>
    <row r="234" ht="16.5" customHeight="1">
      <c r="A234" s="3"/>
      <c r="B234" s="2"/>
      <c r="C234" s="3"/>
      <c r="D234" s="2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149"/>
      <c r="S234" s="4"/>
      <c r="T234" s="4"/>
      <c r="U234" s="4"/>
      <c r="V234" s="4"/>
      <c r="W234" s="4"/>
      <c r="X234" s="4"/>
      <c r="Y234" s="4"/>
      <c r="Z234" s="4"/>
    </row>
    <row r="235" ht="16.5" customHeight="1">
      <c r="A235" s="3"/>
      <c r="B235" s="2"/>
      <c r="C235" s="3"/>
      <c r="D235" s="2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149"/>
      <c r="S235" s="4"/>
      <c r="T235" s="4"/>
      <c r="U235" s="4"/>
      <c r="V235" s="4"/>
      <c r="W235" s="4"/>
      <c r="X235" s="4"/>
      <c r="Y235" s="4"/>
      <c r="Z235" s="4"/>
    </row>
    <row r="236" ht="16.5" customHeight="1">
      <c r="A236" s="3"/>
      <c r="B236" s="2"/>
      <c r="C236" s="3"/>
      <c r="D236" s="2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149"/>
      <c r="S236" s="4"/>
      <c r="T236" s="4"/>
      <c r="U236" s="4"/>
      <c r="V236" s="4"/>
      <c r="W236" s="4"/>
      <c r="X236" s="4"/>
      <c r="Y236" s="4"/>
      <c r="Z236" s="4"/>
    </row>
    <row r="237" ht="16.5" customHeight="1">
      <c r="A237" s="3"/>
      <c r="B237" s="2"/>
      <c r="C237" s="3"/>
      <c r="D237" s="2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149"/>
      <c r="S237" s="4"/>
      <c r="T237" s="4"/>
      <c r="U237" s="4"/>
      <c r="V237" s="4"/>
      <c r="W237" s="4"/>
      <c r="X237" s="4"/>
      <c r="Y237" s="4"/>
      <c r="Z237" s="4"/>
    </row>
    <row r="238" ht="16.5" customHeight="1">
      <c r="A238" s="3"/>
      <c r="B238" s="2"/>
      <c r="C238" s="3"/>
      <c r="D238" s="2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149"/>
      <c r="S238" s="4"/>
      <c r="T238" s="4"/>
      <c r="U238" s="4"/>
      <c r="V238" s="4"/>
      <c r="W238" s="4"/>
      <c r="X238" s="4"/>
      <c r="Y238" s="4"/>
      <c r="Z238" s="4"/>
    </row>
    <row r="239" ht="16.5" customHeight="1">
      <c r="A239" s="3"/>
      <c r="B239" s="2"/>
      <c r="C239" s="3"/>
      <c r="D239" s="2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149"/>
      <c r="S239" s="4"/>
      <c r="T239" s="4"/>
      <c r="U239" s="4"/>
      <c r="V239" s="4"/>
      <c r="W239" s="4"/>
      <c r="X239" s="4"/>
      <c r="Y239" s="4"/>
      <c r="Z239" s="4"/>
    </row>
    <row r="240" ht="16.5" customHeight="1">
      <c r="A240" s="3"/>
      <c r="B240" s="2"/>
      <c r="C240" s="3"/>
      <c r="D240" s="2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149"/>
      <c r="S240" s="4"/>
      <c r="T240" s="4"/>
      <c r="U240" s="4"/>
      <c r="V240" s="4"/>
      <c r="W240" s="4"/>
      <c r="X240" s="4"/>
      <c r="Y240" s="4"/>
      <c r="Z240" s="4"/>
    </row>
    <row r="241" ht="16.5" customHeight="1">
      <c r="A241" s="3"/>
      <c r="B241" s="2"/>
      <c r="C241" s="3"/>
      <c r="D241" s="2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149"/>
      <c r="S241" s="4"/>
      <c r="T241" s="4"/>
      <c r="U241" s="4"/>
      <c r="V241" s="4"/>
      <c r="W241" s="4"/>
      <c r="X241" s="4"/>
      <c r="Y241" s="4"/>
      <c r="Z241" s="4"/>
    </row>
    <row r="242" ht="16.5" customHeight="1">
      <c r="A242" s="3"/>
      <c r="B242" s="2"/>
      <c r="C242" s="3"/>
      <c r="D242" s="2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149"/>
      <c r="S242" s="4"/>
      <c r="T242" s="4"/>
      <c r="U242" s="4"/>
      <c r="V242" s="4"/>
      <c r="W242" s="4"/>
      <c r="X242" s="4"/>
      <c r="Y242" s="4"/>
      <c r="Z242" s="4"/>
    </row>
    <row r="243" ht="16.5" customHeight="1">
      <c r="A243" s="3"/>
      <c r="B243" s="2"/>
      <c r="C243" s="3"/>
      <c r="D243" s="2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149"/>
      <c r="S243" s="4"/>
      <c r="T243" s="4"/>
      <c r="U243" s="4"/>
      <c r="V243" s="4"/>
      <c r="W243" s="4"/>
      <c r="X243" s="4"/>
      <c r="Y243" s="4"/>
      <c r="Z243" s="4"/>
    </row>
    <row r="244" ht="16.5" customHeight="1">
      <c r="A244" s="3"/>
      <c r="B244" s="2"/>
      <c r="C244" s="3"/>
      <c r="D244" s="2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149"/>
      <c r="S244" s="4"/>
      <c r="T244" s="4"/>
      <c r="U244" s="4"/>
      <c r="V244" s="4"/>
      <c r="W244" s="4"/>
      <c r="X244" s="4"/>
      <c r="Y244" s="4"/>
      <c r="Z244" s="4"/>
    </row>
    <row r="245" ht="16.5" customHeight="1">
      <c r="A245" s="3"/>
      <c r="B245" s="2"/>
      <c r="C245" s="3"/>
      <c r="D245" s="2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149"/>
      <c r="S245" s="4"/>
      <c r="T245" s="4"/>
      <c r="U245" s="4"/>
      <c r="V245" s="4"/>
      <c r="W245" s="4"/>
      <c r="X245" s="4"/>
      <c r="Y245" s="4"/>
      <c r="Z245" s="4"/>
    </row>
    <row r="246" ht="16.5" customHeight="1">
      <c r="A246" s="3"/>
      <c r="B246" s="2"/>
      <c r="C246" s="3"/>
      <c r="D246" s="2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149"/>
      <c r="S246" s="4"/>
      <c r="T246" s="4"/>
      <c r="U246" s="4"/>
      <c r="V246" s="4"/>
      <c r="W246" s="4"/>
      <c r="X246" s="4"/>
      <c r="Y246" s="4"/>
      <c r="Z246" s="4"/>
    </row>
    <row r="247" ht="16.5" customHeight="1">
      <c r="A247" s="3"/>
      <c r="B247" s="2"/>
      <c r="C247" s="3"/>
      <c r="D247" s="2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149"/>
      <c r="S247" s="4"/>
      <c r="T247" s="4"/>
      <c r="U247" s="4"/>
      <c r="V247" s="4"/>
      <c r="W247" s="4"/>
      <c r="X247" s="4"/>
      <c r="Y247" s="4"/>
      <c r="Z247" s="4"/>
    </row>
    <row r="248" ht="16.5" customHeight="1">
      <c r="A248" s="3"/>
      <c r="B248" s="2"/>
      <c r="C248" s="3"/>
      <c r="D248" s="2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149"/>
      <c r="S248" s="4"/>
      <c r="T248" s="4"/>
      <c r="U248" s="4"/>
      <c r="V248" s="4"/>
      <c r="W248" s="4"/>
      <c r="X248" s="4"/>
      <c r="Y248" s="4"/>
      <c r="Z248" s="4"/>
    </row>
    <row r="249" ht="16.5" customHeight="1">
      <c r="A249" s="3"/>
      <c r="B249" s="2"/>
      <c r="C249" s="3"/>
      <c r="D249" s="2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149"/>
      <c r="S249" s="4"/>
      <c r="T249" s="4"/>
      <c r="U249" s="4"/>
      <c r="V249" s="4"/>
      <c r="W249" s="4"/>
      <c r="X249" s="4"/>
      <c r="Y249" s="4"/>
      <c r="Z249" s="4"/>
    </row>
    <row r="250" ht="16.5" customHeight="1">
      <c r="A250" s="3"/>
      <c r="B250" s="2"/>
      <c r="C250" s="3"/>
      <c r="D250" s="2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149"/>
      <c r="S250" s="4"/>
      <c r="T250" s="4"/>
      <c r="U250" s="4"/>
      <c r="V250" s="4"/>
      <c r="W250" s="4"/>
      <c r="X250" s="4"/>
      <c r="Y250" s="4"/>
      <c r="Z250" s="4"/>
    </row>
    <row r="251" ht="16.5" customHeight="1">
      <c r="A251" s="3"/>
      <c r="B251" s="2"/>
      <c r="C251" s="3"/>
      <c r="D251" s="2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149"/>
      <c r="S251" s="4"/>
      <c r="T251" s="4"/>
      <c r="U251" s="4"/>
      <c r="V251" s="4"/>
      <c r="W251" s="4"/>
      <c r="X251" s="4"/>
      <c r="Y251" s="4"/>
      <c r="Z251" s="4"/>
    </row>
    <row r="252" ht="16.5" customHeight="1">
      <c r="A252" s="3"/>
      <c r="B252" s="2"/>
      <c r="C252" s="3"/>
      <c r="D252" s="2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149"/>
      <c r="S252" s="4"/>
      <c r="T252" s="4"/>
      <c r="U252" s="4"/>
      <c r="V252" s="4"/>
      <c r="W252" s="4"/>
      <c r="X252" s="4"/>
      <c r="Y252" s="4"/>
      <c r="Z252" s="4"/>
    </row>
    <row r="253" ht="16.5" customHeight="1">
      <c r="A253" s="3"/>
      <c r="B253" s="2"/>
      <c r="C253" s="3"/>
      <c r="D253" s="2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149"/>
      <c r="S253" s="4"/>
      <c r="T253" s="4"/>
      <c r="U253" s="4"/>
      <c r="V253" s="4"/>
      <c r="W253" s="4"/>
      <c r="X253" s="4"/>
      <c r="Y253" s="4"/>
      <c r="Z253" s="4"/>
    </row>
    <row r="254" ht="16.5" customHeight="1">
      <c r="A254" s="3"/>
      <c r="B254" s="2"/>
      <c r="C254" s="3"/>
      <c r="D254" s="2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149"/>
      <c r="S254" s="4"/>
      <c r="T254" s="4"/>
      <c r="U254" s="4"/>
      <c r="V254" s="4"/>
      <c r="W254" s="4"/>
      <c r="X254" s="4"/>
      <c r="Y254" s="4"/>
      <c r="Z254" s="4"/>
    </row>
    <row r="255" ht="16.5" customHeight="1">
      <c r="A255" s="3"/>
      <c r="B255" s="2"/>
      <c r="C255" s="3"/>
      <c r="D255" s="2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149"/>
      <c r="S255" s="4"/>
      <c r="T255" s="4"/>
      <c r="U255" s="4"/>
      <c r="V255" s="4"/>
      <c r="W255" s="4"/>
      <c r="X255" s="4"/>
      <c r="Y255" s="4"/>
      <c r="Z255" s="4"/>
    </row>
    <row r="256" ht="16.5" customHeight="1">
      <c r="A256" s="3"/>
      <c r="B256" s="2"/>
      <c r="C256" s="3"/>
      <c r="D256" s="2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149"/>
      <c r="S256" s="4"/>
      <c r="T256" s="4"/>
      <c r="U256" s="4"/>
      <c r="V256" s="4"/>
      <c r="W256" s="4"/>
      <c r="X256" s="4"/>
      <c r="Y256" s="4"/>
      <c r="Z256" s="4"/>
    </row>
    <row r="257" ht="16.5" customHeight="1">
      <c r="A257" s="3"/>
      <c r="B257" s="2"/>
      <c r="C257" s="3"/>
      <c r="D257" s="2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149"/>
      <c r="S257" s="4"/>
      <c r="T257" s="4"/>
      <c r="U257" s="4"/>
      <c r="V257" s="4"/>
      <c r="W257" s="4"/>
      <c r="X257" s="4"/>
      <c r="Y257" s="4"/>
      <c r="Z257" s="4"/>
    </row>
    <row r="258" ht="16.5" customHeight="1">
      <c r="A258" s="3"/>
      <c r="B258" s="2"/>
      <c r="C258" s="3"/>
      <c r="D258" s="2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149"/>
      <c r="S258" s="4"/>
      <c r="T258" s="4"/>
      <c r="U258" s="4"/>
      <c r="V258" s="4"/>
      <c r="W258" s="4"/>
      <c r="X258" s="4"/>
      <c r="Y258" s="4"/>
      <c r="Z258" s="4"/>
    </row>
    <row r="259" ht="16.5" customHeight="1">
      <c r="A259" s="3"/>
      <c r="B259" s="2"/>
      <c r="C259" s="3"/>
      <c r="D259" s="2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149"/>
      <c r="S259" s="4"/>
      <c r="T259" s="4"/>
      <c r="U259" s="4"/>
      <c r="V259" s="4"/>
      <c r="W259" s="4"/>
      <c r="X259" s="4"/>
      <c r="Y259" s="4"/>
      <c r="Z259" s="4"/>
    </row>
    <row r="260" ht="16.5" customHeight="1">
      <c r="A260" s="3"/>
      <c r="B260" s="2"/>
      <c r="C260" s="3"/>
      <c r="D260" s="2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149"/>
      <c r="S260" s="4"/>
      <c r="T260" s="4"/>
      <c r="U260" s="4"/>
      <c r="V260" s="4"/>
      <c r="W260" s="4"/>
      <c r="X260" s="4"/>
      <c r="Y260" s="4"/>
      <c r="Z260" s="4"/>
    </row>
    <row r="261" ht="16.5" customHeight="1">
      <c r="A261" s="3"/>
      <c r="B261" s="2"/>
      <c r="C261" s="3"/>
      <c r="D261" s="2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149"/>
      <c r="S261" s="4"/>
      <c r="T261" s="4"/>
      <c r="U261" s="4"/>
      <c r="V261" s="4"/>
      <c r="W261" s="4"/>
      <c r="X261" s="4"/>
      <c r="Y261" s="4"/>
      <c r="Z261" s="4"/>
    </row>
    <row r="262" ht="16.5" customHeight="1">
      <c r="A262" s="3"/>
      <c r="B262" s="2"/>
      <c r="C262" s="3"/>
      <c r="D262" s="2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149"/>
      <c r="S262" s="4"/>
      <c r="T262" s="4"/>
      <c r="U262" s="4"/>
      <c r="V262" s="4"/>
      <c r="W262" s="4"/>
      <c r="X262" s="4"/>
      <c r="Y262" s="4"/>
      <c r="Z262" s="4"/>
    </row>
    <row r="263" ht="16.5" customHeight="1">
      <c r="A263" s="3"/>
      <c r="B263" s="2"/>
      <c r="C263" s="3"/>
      <c r="D263" s="2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149"/>
      <c r="S263" s="4"/>
      <c r="T263" s="4"/>
      <c r="U263" s="4"/>
      <c r="V263" s="4"/>
      <c r="W263" s="4"/>
      <c r="X263" s="4"/>
      <c r="Y263" s="4"/>
      <c r="Z263" s="4"/>
    </row>
    <row r="264" ht="16.5" customHeight="1">
      <c r="A264" s="3"/>
      <c r="B264" s="2"/>
      <c r="C264" s="3"/>
      <c r="D264" s="2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149"/>
      <c r="S264" s="4"/>
      <c r="T264" s="4"/>
      <c r="U264" s="4"/>
      <c r="V264" s="4"/>
      <c r="W264" s="4"/>
      <c r="X264" s="4"/>
      <c r="Y264" s="4"/>
      <c r="Z264" s="4"/>
    </row>
    <row r="265" ht="16.5" customHeight="1">
      <c r="A265" s="3"/>
      <c r="B265" s="2"/>
      <c r="C265" s="3"/>
      <c r="D265" s="2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149"/>
      <c r="S265" s="4"/>
      <c r="T265" s="4"/>
      <c r="U265" s="4"/>
      <c r="V265" s="4"/>
      <c r="W265" s="4"/>
      <c r="X265" s="4"/>
      <c r="Y265" s="4"/>
      <c r="Z265" s="4"/>
    </row>
    <row r="266" ht="16.5" customHeight="1">
      <c r="A266" s="3"/>
      <c r="B266" s="2"/>
      <c r="C266" s="3"/>
      <c r="D266" s="2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149"/>
      <c r="S266" s="4"/>
      <c r="T266" s="4"/>
      <c r="U266" s="4"/>
      <c r="V266" s="4"/>
      <c r="W266" s="4"/>
      <c r="X266" s="4"/>
      <c r="Y266" s="4"/>
      <c r="Z266" s="4"/>
    </row>
    <row r="267" ht="16.5" customHeight="1">
      <c r="A267" s="3"/>
      <c r="B267" s="2"/>
      <c r="C267" s="3"/>
      <c r="D267" s="2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149"/>
      <c r="S267" s="4"/>
      <c r="T267" s="4"/>
      <c r="U267" s="4"/>
      <c r="V267" s="4"/>
      <c r="W267" s="4"/>
      <c r="X267" s="4"/>
      <c r="Y267" s="4"/>
      <c r="Z267" s="4"/>
    </row>
    <row r="268" ht="16.5" customHeight="1">
      <c r="A268" s="3"/>
      <c r="B268" s="2"/>
      <c r="C268" s="3"/>
      <c r="D268" s="2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149"/>
      <c r="S268" s="4"/>
      <c r="T268" s="4"/>
      <c r="U268" s="4"/>
      <c r="V268" s="4"/>
      <c r="W268" s="4"/>
      <c r="X268" s="4"/>
      <c r="Y268" s="4"/>
      <c r="Z268" s="4"/>
    </row>
    <row r="269" ht="16.5" customHeight="1">
      <c r="A269" s="3"/>
      <c r="B269" s="2"/>
      <c r="C269" s="3"/>
      <c r="D269" s="2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149"/>
      <c r="S269" s="4"/>
      <c r="T269" s="4"/>
      <c r="U269" s="4"/>
      <c r="V269" s="4"/>
      <c r="W269" s="4"/>
      <c r="X269" s="4"/>
      <c r="Y269" s="4"/>
      <c r="Z269" s="4"/>
    </row>
    <row r="270" ht="16.5" customHeight="1">
      <c r="A270" s="3"/>
      <c r="B270" s="2"/>
      <c r="C270" s="3"/>
      <c r="D270" s="2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149"/>
      <c r="S270" s="4"/>
      <c r="T270" s="4"/>
      <c r="U270" s="4"/>
      <c r="V270" s="4"/>
      <c r="W270" s="4"/>
      <c r="X270" s="4"/>
      <c r="Y270" s="4"/>
      <c r="Z270" s="4"/>
    </row>
    <row r="271" ht="16.5" customHeight="1">
      <c r="A271" s="3"/>
      <c r="B271" s="2"/>
      <c r="C271" s="3"/>
      <c r="D271" s="2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149"/>
      <c r="S271" s="4"/>
      <c r="T271" s="4"/>
      <c r="U271" s="4"/>
      <c r="V271" s="4"/>
      <c r="W271" s="4"/>
      <c r="X271" s="4"/>
      <c r="Y271" s="4"/>
      <c r="Z271" s="4"/>
    </row>
    <row r="272" ht="16.5" customHeight="1">
      <c r="A272" s="3"/>
      <c r="B272" s="2"/>
      <c r="C272" s="3"/>
      <c r="D272" s="2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149"/>
      <c r="S272" s="4"/>
      <c r="T272" s="4"/>
      <c r="U272" s="4"/>
      <c r="V272" s="4"/>
      <c r="W272" s="4"/>
      <c r="X272" s="4"/>
      <c r="Y272" s="4"/>
      <c r="Z272" s="4"/>
    </row>
    <row r="273" ht="16.5" customHeight="1">
      <c r="A273" s="3"/>
      <c r="B273" s="2"/>
      <c r="C273" s="3"/>
      <c r="D273" s="2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149"/>
      <c r="S273" s="4"/>
      <c r="T273" s="4"/>
      <c r="U273" s="4"/>
      <c r="V273" s="4"/>
      <c r="W273" s="4"/>
      <c r="X273" s="4"/>
      <c r="Y273" s="4"/>
      <c r="Z273" s="4"/>
    </row>
    <row r="274" ht="16.5" customHeight="1">
      <c r="A274" s="3"/>
      <c r="B274" s="2"/>
      <c r="C274" s="3"/>
      <c r="D274" s="2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149"/>
      <c r="S274" s="4"/>
      <c r="T274" s="4"/>
      <c r="U274" s="4"/>
      <c r="V274" s="4"/>
      <c r="W274" s="4"/>
      <c r="X274" s="4"/>
      <c r="Y274" s="4"/>
      <c r="Z274" s="4"/>
    </row>
    <row r="275" ht="16.5" customHeight="1">
      <c r="A275" s="3"/>
      <c r="B275" s="2"/>
      <c r="C275" s="3"/>
      <c r="D275" s="2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149"/>
      <c r="S275" s="4"/>
      <c r="T275" s="4"/>
      <c r="U275" s="4"/>
      <c r="V275" s="4"/>
      <c r="W275" s="4"/>
      <c r="X275" s="4"/>
      <c r="Y275" s="4"/>
      <c r="Z275" s="4"/>
    </row>
    <row r="276" ht="16.5" customHeight="1">
      <c r="A276" s="3"/>
      <c r="B276" s="2"/>
      <c r="C276" s="3"/>
      <c r="D276" s="2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149"/>
      <c r="S276" s="4"/>
      <c r="T276" s="4"/>
      <c r="U276" s="4"/>
      <c r="V276" s="4"/>
      <c r="W276" s="4"/>
      <c r="X276" s="4"/>
      <c r="Y276" s="4"/>
      <c r="Z276" s="4"/>
    </row>
    <row r="277" ht="16.5" customHeight="1">
      <c r="A277" s="3"/>
      <c r="B277" s="2"/>
      <c r="C277" s="3"/>
      <c r="D277" s="2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149"/>
      <c r="S277" s="4"/>
      <c r="T277" s="4"/>
      <c r="U277" s="4"/>
      <c r="V277" s="4"/>
      <c r="W277" s="4"/>
      <c r="X277" s="4"/>
      <c r="Y277" s="4"/>
      <c r="Z277" s="4"/>
    </row>
    <row r="278" ht="16.5" customHeight="1">
      <c r="A278" s="3"/>
      <c r="B278" s="2"/>
      <c r="C278" s="3"/>
      <c r="D278" s="2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149"/>
      <c r="S278" s="4"/>
      <c r="T278" s="4"/>
      <c r="U278" s="4"/>
      <c r="V278" s="4"/>
      <c r="W278" s="4"/>
      <c r="X278" s="4"/>
      <c r="Y278" s="4"/>
      <c r="Z278" s="4"/>
    </row>
    <row r="279" ht="16.5" customHeight="1">
      <c r="A279" s="3"/>
      <c r="B279" s="2"/>
      <c r="C279" s="3"/>
      <c r="D279" s="2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149"/>
      <c r="S279" s="4"/>
      <c r="T279" s="4"/>
      <c r="U279" s="4"/>
      <c r="V279" s="4"/>
      <c r="W279" s="4"/>
      <c r="X279" s="4"/>
      <c r="Y279" s="4"/>
      <c r="Z279" s="4"/>
    </row>
    <row r="280" ht="16.5" customHeight="1">
      <c r="A280" s="3"/>
      <c r="B280" s="2"/>
      <c r="C280" s="3"/>
      <c r="D280" s="2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149"/>
      <c r="S280" s="4"/>
      <c r="T280" s="4"/>
      <c r="U280" s="4"/>
      <c r="V280" s="4"/>
      <c r="W280" s="4"/>
      <c r="X280" s="4"/>
      <c r="Y280" s="4"/>
      <c r="Z280" s="4"/>
    </row>
    <row r="281" ht="16.5" customHeight="1">
      <c r="A281" s="3"/>
      <c r="B281" s="2"/>
      <c r="C281" s="3"/>
      <c r="D281" s="2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149"/>
      <c r="S281" s="4"/>
      <c r="T281" s="4"/>
      <c r="U281" s="4"/>
      <c r="V281" s="4"/>
      <c r="W281" s="4"/>
      <c r="X281" s="4"/>
      <c r="Y281" s="4"/>
      <c r="Z281" s="4"/>
    </row>
    <row r="282" ht="16.5" customHeight="1">
      <c r="A282" s="3"/>
      <c r="B282" s="2"/>
      <c r="C282" s="3"/>
      <c r="D282" s="2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149"/>
      <c r="S282" s="4"/>
      <c r="T282" s="4"/>
      <c r="U282" s="4"/>
      <c r="V282" s="4"/>
      <c r="W282" s="4"/>
      <c r="X282" s="4"/>
      <c r="Y282" s="4"/>
      <c r="Z282" s="4"/>
    </row>
    <row r="283" ht="16.5" customHeight="1">
      <c r="A283" s="3"/>
      <c r="B283" s="2"/>
      <c r="C283" s="3"/>
      <c r="D283" s="2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149"/>
      <c r="S283" s="4"/>
      <c r="T283" s="4"/>
      <c r="U283" s="4"/>
      <c r="V283" s="4"/>
      <c r="W283" s="4"/>
      <c r="X283" s="4"/>
      <c r="Y283" s="4"/>
      <c r="Z283" s="4"/>
    </row>
    <row r="284" ht="16.5" customHeight="1">
      <c r="A284" s="3"/>
      <c r="B284" s="2"/>
      <c r="C284" s="3"/>
      <c r="D284" s="2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149"/>
      <c r="S284" s="4"/>
      <c r="T284" s="4"/>
      <c r="U284" s="4"/>
      <c r="V284" s="4"/>
      <c r="W284" s="4"/>
      <c r="X284" s="4"/>
      <c r="Y284" s="4"/>
      <c r="Z284" s="4"/>
    </row>
    <row r="285" ht="16.5" customHeight="1">
      <c r="A285" s="3"/>
      <c r="B285" s="2"/>
      <c r="C285" s="3"/>
      <c r="D285" s="2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149"/>
      <c r="S285" s="4"/>
      <c r="T285" s="4"/>
      <c r="U285" s="4"/>
      <c r="V285" s="4"/>
      <c r="W285" s="4"/>
      <c r="X285" s="4"/>
      <c r="Y285" s="4"/>
      <c r="Z285" s="4"/>
    </row>
    <row r="286" ht="16.5" customHeight="1">
      <c r="A286" s="3"/>
      <c r="B286" s="2"/>
      <c r="C286" s="3"/>
      <c r="D286" s="2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149"/>
      <c r="S286" s="4"/>
      <c r="T286" s="4"/>
      <c r="U286" s="4"/>
      <c r="V286" s="4"/>
      <c r="W286" s="4"/>
      <c r="X286" s="4"/>
      <c r="Y286" s="4"/>
      <c r="Z286" s="4"/>
    </row>
    <row r="287" ht="16.5" customHeight="1">
      <c r="A287" s="3"/>
      <c r="B287" s="2"/>
      <c r="C287" s="3"/>
      <c r="D287" s="2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149"/>
      <c r="S287" s="4"/>
      <c r="T287" s="4"/>
      <c r="U287" s="4"/>
      <c r="V287" s="4"/>
      <c r="W287" s="4"/>
      <c r="X287" s="4"/>
      <c r="Y287" s="4"/>
      <c r="Z287" s="4"/>
    </row>
    <row r="288" ht="16.5" customHeight="1">
      <c r="A288" s="3"/>
      <c r="B288" s="2"/>
      <c r="C288" s="3"/>
      <c r="D288" s="2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149"/>
      <c r="S288" s="4"/>
      <c r="T288" s="4"/>
      <c r="U288" s="4"/>
      <c r="V288" s="4"/>
      <c r="W288" s="4"/>
      <c r="X288" s="4"/>
      <c r="Y288" s="4"/>
      <c r="Z288" s="4"/>
    </row>
    <row r="289" ht="16.5" customHeight="1">
      <c r="A289" s="3"/>
      <c r="B289" s="2"/>
      <c r="C289" s="3"/>
      <c r="D289" s="2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149"/>
      <c r="S289" s="4"/>
      <c r="T289" s="4"/>
      <c r="U289" s="4"/>
      <c r="V289" s="4"/>
      <c r="W289" s="4"/>
      <c r="X289" s="4"/>
      <c r="Y289" s="4"/>
      <c r="Z289" s="4"/>
    </row>
    <row r="290" ht="16.5" customHeight="1">
      <c r="A290" s="3"/>
      <c r="B290" s="2"/>
      <c r="C290" s="3"/>
      <c r="D290" s="2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149"/>
      <c r="S290" s="4"/>
      <c r="T290" s="4"/>
      <c r="U290" s="4"/>
      <c r="V290" s="4"/>
      <c r="W290" s="4"/>
      <c r="X290" s="4"/>
      <c r="Y290" s="4"/>
      <c r="Z290" s="4"/>
    </row>
    <row r="291" ht="16.5" customHeight="1">
      <c r="A291" s="3"/>
      <c r="B291" s="2"/>
      <c r="C291" s="3"/>
      <c r="D291" s="2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149"/>
      <c r="S291" s="4"/>
      <c r="T291" s="4"/>
      <c r="U291" s="4"/>
      <c r="V291" s="4"/>
      <c r="W291" s="4"/>
      <c r="X291" s="4"/>
      <c r="Y291" s="4"/>
      <c r="Z291" s="4"/>
    </row>
    <row r="292" ht="16.5" customHeight="1">
      <c r="A292" s="3"/>
      <c r="B292" s="2"/>
      <c r="C292" s="3"/>
      <c r="D292" s="2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149"/>
      <c r="S292" s="4"/>
      <c r="T292" s="4"/>
      <c r="U292" s="4"/>
      <c r="V292" s="4"/>
      <c r="W292" s="4"/>
      <c r="X292" s="4"/>
      <c r="Y292" s="4"/>
      <c r="Z292" s="4"/>
    </row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</sheetData>
  <autoFilter ref="$A$6:$R$92"/>
  <mergeCells count="3">
    <mergeCell ref="A2:R2"/>
    <mergeCell ref="A3:R3"/>
    <mergeCell ref="A4:R4"/>
  </mergeCells>
  <printOptions/>
  <pageMargins bottom="0.0" footer="0.0" header="0.0" left="0.0" right="0.0" top="0.0"/>
  <pageSetup paperSize="9" orientation="landscape"/>
  <drawing r:id="rId2"/>
  <legacyDrawing r:id="rId3"/>
</worksheet>
</file>