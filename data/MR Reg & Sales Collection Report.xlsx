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 Register Hotel" sheetId="1" r:id="rId5"/>
    <sheet state="visible" name="MR Register Land" sheetId="2" r:id="rId6"/>
    <sheet state="visible" name="Sales &amp; Installment October 26" sheetId="3" r:id="rId7"/>
    <sheet state="visible" name=" Sales &amp; Installment September " sheetId="4" r:id="rId8"/>
    <sheet state="visible" name="Sales &amp; Installment August 26" sheetId="5" r:id="rId9"/>
    <sheet state="visible" name="Sales &amp; Installment July 26" sheetId="6" r:id="rId10"/>
    <sheet state="visible" name="Sales &amp; Installment June 26" sheetId="7" r:id="rId11"/>
    <sheet state="visible" name="Sales &amp; Installment May 26" sheetId="8" r:id="rId12"/>
    <sheet state="visible" name="Sales &amp; Installment Apr 26" sheetId="9" r:id="rId13"/>
    <sheet state="visible" name="Sales &amp; Installment Mar 26" sheetId="10" r:id="rId14"/>
    <sheet state="visible" name="Sales &amp; Installment Feb26" sheetId="11" r:id="rId15"/>
    <sheet state="visible" name="Sales &amp; Installment Jan26" sheetId="12" r:id="rId16"/>
    <sheet state="visible" name="Sales &amp; Installment Dec25" sheetId="13" r:id="rId17"/>
    <sheet state="visible" name="Sales &amp; Installment Nov25" sheetId="14" r:id="rId18"/>
    <sheet state="visible" name="Sales &amp; Installment Oct25" sheetId="15" r:id="rId19"/>
  </sheets>
  <definedNames>
    <definedName hidden="1" localSheetId="0" name="_xlnm._FilterDatabase">'MR Register Hotel'!$A$1:$Q$879</definedName>
    <definedName hidden="1" localSheetId="1" name="_xlnm._FilterDatabase">'MR Register Land'!$B$1:$Q$221</definedName>
    <definedName hidden="1" localSheetId="2" name="_xlnm._FilterDatabase">'Sales &amp; Installment October 26'!$A$2:$P$99</definedName>
    <definedName hidden="1" localSheetId="3" name="_xlnm._FilterDatabase">' Sales &amp; Installment September '!$A$2:$P$105</definedName>
    <definedName hidden="1" localSheetId="4" name="_xlnm._FilterDatabase">'Sales &amp; Installment August 26'!$A$2:$P$90</definedName>
    <definedName hidden="1" localSheetId="5" name="_xlnm._FilterDatabase">'Sales &amp; Installment July 26'!$A$2:$P$90</definedName>
    <definedName hidden="1" localSheetId="6" name="_xlnm._FilterDatabase">'Sales &amp; Installment June 26'!$A$2:$P$109</definedName>
    <definedName hidden="1" localSheetId="7" name="_xlnm._FilterDatabase">'Sales &amp; Installment May 26'!$A$2:$P$59</definedName>
    <definedName hidden="1" localSheetId="8" name="_xlnm._FilterDatabase">'Sales &amp; Installment Apr 26'!$A$2:$P$100</definedName>
    <definedName hidden="1" localSheetId="9" name="_xlnm._FilterDatabase">'Sales &amp; Installment Mar 26'!$A$2:$Z$81</definedName>
    <definedName hidden="1" localSheetId="10" name="_xlnm._FilterDatabase">'Sales &amp; Installment Feb26'!$A$2:$P$73</definedName>
    <definedName hidden="1" localSheetId="11" name="_xlnm._FilterDatabase">'Sales &amp; Installment Jan26'!$A$1:$P$68</definedName>
    <definedName hidden="1" localSheetId="12" name="_xlnm._FilterDatabase">'Sales &amp; Installment Dec25'!$A$1:$P$50</definedName>
    <definedName hidden="1" localSheetId="13" name="_xlnm._FilterDatabase">'Sales &amp; Installment Nov25'!$A$1:$P$50</definedName>
    <definedName hidden="1" localSheetId="14" name="_xlnm._FilterDatabase">'Sales &amp; Installment Oct25'!$A$1:$P$36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531">
      <text>
        <t xml:space="preserve">Encashed by 02/7/26</t>
      </text>
    </comment>
  </commentList>
</comments>
</file>

<file path=xl/sharedStrings.xml><?xml version="1.0" encoding="utf-8"?>
<sst xmlns="http://schemas.openxmlformats.org/spreadsheetml/2006/main" count="13300" uniqueCount="1487">
  <si>
    <t>SL</t>
  </si>
  <si>
    <t>OCDL Sales Office Collection - Month of October: 2026</t>
  </si>
  <si>
    <t>Office</t>
  </si>
  <si>
    <t>MR Book</t>
  </si>
  <si>
    <t>Batch</t>
  </si>
  <si>
    <t>MR No</t>
  </si>
  <si>
    <t>Sales Person</t>
  </si>
  <si>
    <t xml:space="preserve"> Clients Name</t>
  </si>
  <si>
    <t>Project</t>
  </si>
  <si>
    <t xml:space="preserve">  Clients Name</t>
  </si>
  <si>
    <t>Collection Date</t>
  </si>
  <si>
    <t>Unit</t>
  </si>
  <si>
    <t>Mr Type</t>
  </si>
  <si>
    <t>Cash</t>
  </si>
  <si>
    <t>DD/FT Online</t>
  </si>
  <si>
    <t>Clear Cheque</t>
  </si>
  <si>
    <t>Advance Cheque</t>
  </si>
  <si>
    <t>Clients Name</t>
  </si>
  <si>
    <t>Dishonour Cheque</t>
  </si>
  <si>
    <t>Cheque Status</t>
  </si>
  <si>
    <t>Collection
Date</t>
  </si>
  <si>
    <t>Unit/Plot</t>
  </si>
  <si>
    <t>Chq Status</t>
  </si>
  <si>
    <t>OCDL Sales Office Collection - Month of September: 2026</t>
  </si>
  <si>
    <t>OCDL Sales</t>
  </si>
  <si>
    <t>62801</t>
  </si>
  <si>
    <t>0951</t>
  </si>
  <si>
    <t>Md. Ridoy Khan</t>
  </si>
  <si>
    <t>Muhib Ahmed</t>
  </si>
  <si>
    <t>Batch Ind.</t>
  </si>
  <si>
    <t>Md Imam Hossain Morol</t>
  </si>
  <si>
    <t>96398</t>
  </si>
  <si>
    <t>Md. Abul Khair Yousuf &amp; Others 07</t>
  </si>
  <si>
    <t>Touhidul Islam</t>
  </si>
  <si>
    <t>Amin City</t>
  </si>
  <si>
    <t>Mohammad Jahangir Hossain</t>
  </si>
  <si>
    <t>Bay Sands</t>
  </si>
  <si>
    <t>Bay Marina</t>
  </si>
  <si>
    <t>Booking</t>
  </si>
  <si>
    <t>96400</t>
  </si>
  <si>
    <t>Md. Yeasin Rasel</t>
  </si>
  <si>
    <t>Mukta Dey</t>
  </si>
  <si>
    <t>0952</t>
  </si>
  <si>
    <t>62802</t>
  </si>
  <si>
    <t>Most. Liza Akter</t>
  </si>
  <si>
    <t>Kamrunnahar</t>
  </si>
  <si>
    <t>Branch</t>
  </si>
  <si>
    <t>99451</t>
  </si>
  <si>
    <t>62803</t>
  </si>
  <si>
    <t>Md. Jahid Hasan</t>
  </si>
  <si>
    <t>0953</t>
  </si>
  <si>
    <t>Bashir Ahmed</t>
  </si>
  <si>
    <t>Abdul Kaium Sohag</t>
  </si>
  <si>
    <t>Shamim Ahammed</t>
  </si>
  <si>
    <t>Md. Helal Uddin</t>
  </si>
  <si>
    <t>Bay Breeze</t>
  </si>
  <si>
    <t>Md Abu Sayem Kabir</t>
  </si>
  <si>
    <t>Installment</t>
  </si>
  <si>
    <t>Batch-1</t>
  </si>
  <si>
    <t>96182</t>
  </si>
  <si>
    <t>Abrarul Haque Emon</t>
  </si>
  <si>
    <t>0954</t>
  </si>
  <si>
    <t>Syead Taslima E Khoda</t>
  </si>
  <si>
    <t>62804</t>
  </si>
  <si>
    <t>Mohammad Al Faisal</t>
  </si>
  <si>
    <t>99452</t>
  </si>
  <si>
    <t xml:space="preserve">Abrarul Haque Emon </t>
  </si>
  <si>
    <t>Md Habibullah Farazi</t>
  </si>
  <si>
    <t>62805</t>
  </si>
  <si>
    <t>Kabita Khatun</t>
  </si>
  <si>
    <t>99453</t>
  </si>
  <si>
    <t>Abu Sufian Shohag</t>
  </si>
  <si>
    <t>Mahir Hassain Ashik</t>
  </si>
  <si>
    <t>96183</t>
  </si>
  <si>
    <t>62806</t>
  </si>
  <si>
    <t>Iqbal Hassain</t>
  </si>
  <si>
    <t>Md Saiful Islam</t>
  </si>
  <si>
    <t>0955</t>
  </si>
  <si>
    <t>99454</t>
  </si>
  <si>
    <t>Saida Parvin &amp; Ziaul Hoque</t>
  </si>
  <si>
    <t>62807</t>
  </si>
  <si>
    <t>0956</t>
  </si>
  <si>
    <t>MR Cancelled</t>
  </si>
  <si>
    <t>62808</t>
  </si>
  <si>
    <t>Md. Manir Sikder</t>
  </si>
  <si>
    <t xml:space="preserve">Ammount Overwriting </t>
  </si>
  <si>
    <t>Mst Khadiza Begum</t>
  </si>
  <si>
    <t>Batch-2</t>
  </si>
  <si>
    <t>62809</t>
  </si>
  <si>
    <t>1656</t>
  </si>
  <si>
    <t>1683</t>
  </si>
  <si>
    <t>Masud Shahriar</t>
  </si>
  <si>
    <t>Jakir Ahammed Noor</t>
  </si>
  <si>
    <t>0957</t>
  </si>
  <si>
    <t>62810</t>
  </si>
  <si>
    <t>Abul Hossain</t>
  </si>
  <si>
    <t>Afreen Azhari</t>
  </si>
  <si>
    <t>0958</t>
  </si>
  <si>
    <t>62811</t>
  </si>
  <si>
    <t>0959</t>
  </si>
  <si>
    <t>0960</t>
  </si>
  <si>
    <t>62812</t>
  </si>
  <si>
    <t>Md Bodoruddoza Rana</t>
  </si>
  <si>
    <t>0961</t>
  </si>
  <si>
    <t>96166</t>
  </si>
  <si>
    <t>1684</t>
  </si>
  <si>
    <t>Mohammad Rakib Hossain</t>
  </si>
  <si>
    <t>62813</t>
  </si>
  <si>
    <t>0962</t>
  </si>
  <si>
    <t>0963</t>
  </si>
  <si>
    <t>1686</t>
  </si>
  <si>
    <t>Mst Dilara Afroz</t>
  </si>
  <si>
    <t>0964</t>
  </si>
  <si>
    <t>62814</t>
  </si>
  <si>
    <t>Syed Manjur Hossain &amp; Shana Akter Ruma</t>
  </si>
  <si>
    <t>96167</t>
  </si>
  <si>
    <t>Anowar Hossain</t>
  </si>
  <si>
    <t>Shahruf Bhuyan</t>
  </si>
  <si>
    <t>99455</t>
  </si>
  <si>
    <t>0965</t>
  </si>
  <si>
    <t>Suklob Chandra Dey</t>
  </si>
  <si>
    <t>62815</t>
  </si>
  <si>
    <t>A</t>
  </si>
  <si>
    <t>0966</t>
  </si>
  <si>
    <t>Mohammed Yasin</t>
  </si>
  <si>
    <t>62816</t>
  </si>
  <si>
    <t>96168</t>
  </si>
  <si>
    <t>Md Nayeem Chowdhury</t>
  </si>
  <si>
    <t>99456</t>
  </si>
  <si>
    <t>For Doubble issed</t>
  </si>
  <si>
    <t>0967</t>
  </si>
  <si>
    <t>0968</t>
  </si>
  <si>
    <t>99457</t>
  </si>
  <si>
    <t>96169</t>
  </si>
  <si>
    <t>S.M Belal</t>
  </si>
  <si>
    <t>Fowzia Mostafa</t>
  </si>
  <si>
    <t>62817</t>
  </si>
  <si>
    <t>Mohammed Mohed Ali</t>
  </si>
  <si>
    <t>0969</t>
  </si>
  <si>
    <t>62818</t>
  </si>
  <si>
    <t>1687</t>
  </si>
  <si>
    <t>Md. Tareq Hasan</t>
  </si>
  <si>
    <t>Md. Safiqul Islam</t>
  </si>
  <si>
    <t>Rakib Hossain</t>
  </si>
  <si>
    <t>Zohurul Haque Babu</t>
  </si>
  <si>
    <t>0970</t>
  </si>
  <si>
    <t>62819</t>
  </si>
  <si>
    <t>99458</t>
  </si>
  <si>
    <t>0971</t>
  </si>
  <si>
    <t>Fazle Rabbi</t>
  </si>
  <si>
    <t>Tuhin Perveen Sumi</t>
  </si>
  <si>
    <t>62820</t>
  </si>
  <si>
    <t>99459</t>
  </si>
  <si>
    <t>0972</t>
  </si>
  <si>
    <t>96171</t>
  </si>
  <si>
    <t>0973</t>
  </si>
  <si>
    <t>99460</t>
  </si>
  <si>
    <t>62821</t>
  </si>
  <si>
    <t>Muhammad Arifur Rahamn</t>
  </si>
  <si>
    <t>1657</t>
  </si>
  <si>
    <t>62822</t>
  </si>
  <si>
    <t>Shanaj Chowdhury</t>
  </si>
  <si>
    <t>0974</t>
  </si>
  <si>
    <t>Md Jahangir Alam &amp; Tuhin Perveen Sumi</t>
  </si>
  <si>
    <t>62823</t>
  </si>
  <si>
    <t>0975</t>
  </si>
  <si>
    <t>62824</t>
  </si>
  <si>
    <t>96172</t>
  </si>
  <si>
    <t>0976</t>
  </si>
  <si>
    <t>Md. Altahid Hossain Ashik</t>
  </si>
  <si>
    <t>Dewan Mahbubur Rahman</t>
  </si>
  <si>
    <t>62825</t>
  </si>
  <si>
    <t>0977</t>
  </si>
  <si>
    <t>62826</t>
  </si>
  <si>
    <t>0978</t>
  </si>
  <si>
    <t>96184</t>
  </si>
  <si>
    <t>0979</t>
  </si>
  <si>
    <t>62827</t>
  </si>
  <si>
    <t>0980</t>
  </si>
  <si>
    <t>62828</t>
  </si>
  <si>
    <t>Md. Noman Islam</t>
  </si>
  <si>
    <t>Md. Farhad Masum</t>
  </si>
  <si>
    <t>Batch-3</t>
  </si>
  <si>
    <t>0981</t>
  </si>
  <si>
    <t>Md. Shahinul Islam</t>
  </si>
  <si>
    <t>1658</t>
  </si>
  <si>
    <t>Rehana Akter &amp; Others (9)</t>
  </si>
  <si>
    <t>62829</t>
  </si>
  <si>
    <t>0982</t>
  </si>
  <si>
    <t>Md. Tanif Muktadir</t>
  </si>
  <si>
    <t>62830</t>
  </si>
  <si>
    <t>Sharowar Hossain</t>
  </si>
  <si>
    <t>0983</t>
  </si>
  <si>
    <t>Mohammed Khoyrul Islam</t>
  </si>
  <si>
    <t>1659</t>
  </si>
  <si>
    <t>0984</t>
  </si>
  <si>
    <t>Sangida Islam Kanij &amp; Nur E Jannat</t>
  </si>
  <si>
    <t>62831</t>
  </si>
  <si>
    <t>0985</t>
  </si>
  <si>
    <t>62832</t>
  </si>
  <si>
    <t>0986</t>
  </si>
  <si>
    <t>1660</t>
  </si>
  <si>
    <t>62833</t>
  </si>
  <si>
    <t>0987</t>
  </si>
  <si>
    <t>62834</t>
  </si>
  <si>
    <t>0988</t>
  </si>
  <si>
    <t>62835</t>
  </si>
  <si>
    <t>96185</t>
  </si>
  <si>
    <t>Labonno Shikder</t>
  </si>
  <si>
    <t>Md Shahadat Husen</t>
  </si>
  <si>
    <t>Md. Alauddin Shek</t>
  </si>
  <si>
    <t>B</t>
  </si>
  <si>
    <t>KTC</t>
  </si>
  <si>
    <t>0989</t>
  </si>
  <si>
    <t>Tabaschum Sultana</t>
  </si>
  <si>
    <t>62836</t>
  </si>
  <si>
    <t>62837</t>
  </si>
  <si>
    <t>0990</t>
  </si>
  <si>
    <t>Parvez Kamal</t>
  </si>
  <si>
    <t>Lipika Tasnim</t>
  </si>
  <si>
    <t>62838</t>
  </si>
  <si>
    <t>Noman Islam</t>
  </si>
  <si>
    <t>96186</t>
  </si>
  <si>
    <t>Mst. Sharmin Akter Nabila</t>
  </si>
  <si>
    <t>Md Selim Hossein</t>
  </si>
  <si>
    <t>62839</t>
  </si>
  <si>
    <t>0991</t>
  </si>
  <si>
    <t>Md Jahar Miah</t>
  </si>
  <si>
    <t>0992</t>
  </si>
  <si>
    <t>62840</t>
  </si>
  <si>
    <t>Jahir Rayhan</t>
  </si>
  <si>
    <t>Easin Hossain Khan &amp; Limon Khan</t>
  </si>
  <si>
    <t>96187</t>
  </si>
  <si>
    <t>Md Ziaul Hoque</t>
  </si>
  <si>
    <t>0993</t>
  </si>
  <si>
    <t>62841</t>
  </si>
  <si>
    <t>62842</t>
  </si>
  <si>
    <t>0994</t>
  </si>
  <si>
    <t>62843</t>
  </si>
  <si>
    <t>1664</t>
  </si>
  <si>
    <t>0995</t>
  </si>
  <si>
    <t>Surma Akter</t>
  </si>
  <si>
    <t>62844</t>
  </si>
  <si>
    <t>Md Zakir Hossen</t>
  </si>
  <si>
    <t>Afroza Akter</t>
  </si>
  <si>
    <t>Gold City</t>
  </si>
  <si>
    <t>Afroza Hossain Rizu</t>
  </si>
  <si>
    <t>0996</t>
  </si>
  <si>
    <t>96188</t>
  </si>
  <si>
    <t>62845</t>
  </si>
  <si>
    <t>Amena Begum</t>
  </si>
  <si>
    <t>62846</t>
  </si>
  <si>
    <t>Syeda Sultana Nasrin</t>
  </si>
  <si>
    <t>0997</t>
  </si>
  <si>
    <t>Saleha Begum Lopa</t>
  </si>
  <si>
    <t>1666</t>
  </si>
  <si>
    <t>62847</t>
  </si>
  <si>
    <t>0998</t>
  </si>
  <si>
    <t>62848</t>
  </si>
  <si>
    <t>Sabuj Barua</t>
  </si>
  <si>
    <t>0999</t>
  </si>
  <si>
    <t>62849</t>
  </si>
  <si>
    <t>1000</t>
  </si>
  <si>
    <t>96191</t>
  </si>
  <si>
    <t>62850</t>
  </si>
  <si>
    <t>Naymul Islam</t>
  </si>
  <si>
    <t>Token</t>
  </si>
  <si>
    <t xml:space="preserve"> </t>
  </si>
  <si>
    <t>71851</t>
  </si>
  <si>
    <t>1601</t>
  </si>
  <si>
    <t>Md. Noor Uddin Chowdhury</t>
  </si>
  <si>
    <t>1669</t>
  </si>
  <si>
    <t>Omar Sharif Arman</t>
  </si>
  <si>
    <t>Mrs Touhida Khatun</t>
  </si>
  <si>
    <t xml:space="preserve"> Morshed Alam</t>
  </si>
  <si>
    <t>71852</t>
  </si>
  <si>
    <t>1602</t>
  </si>
  <si>
    <t>71853</t>
  </si>
  <si>
    <t>96189</t>
  </si>
  <si>
    <t>Maria Akter Mim</t>
  </si>
  <si>
    <t>Sattyajit Saha</t>
  </si>
  <si>
    <t>71854</t>
  </si>
  <si>
    <t>1603</t>
  </si>
  <si>
    <t>Mohammrd Mohed Ali</t>
  </si>
  <si>
    <t>71855</t>
  </si>
  <si>
    <t>1604</t>
  </si>
  <si>
    <t>Abdul Rashid</t>
  </si>
  <si>
    <t>96192</t>
  </si>
  <si>
    <t>Md. Alamgir Miah</t>
  </si>
  <si>
    <t>71856</t>
  </si>
  <si>
    <t>1605</t>
  </si>
  <si>
    <t>71857</t>
  </si>
  <si>
    <t>96193</t>
  </si>
  <si>
    <t>Sourav Kundu</t>
  </si>
  <si>
    <t>Md. Jahangir Alam</t>
  </si>
  <si>
    <t>71858</t>
  </si>
  <si>
    <t>1606</t>
  </si>
  <si>
    <t>71859</t>
  </si>
  <si>
    <t>1607</t>
  </si>
  <si>
    <t>Wrong Ammount &amp; Date Issued</t>
  </si>
  <si>
    <t>1667</t>
  </si>
  <si>
    <t>C</t>
  </si>
  <si>
    <t>71860</t>
  </si>
  <si>
    <t>Akhi Akter Urmi</t>
  </si>
  <si>
    <t>Md Al-Amin Siddique</t>
  </si>
  <si>
    <t>1608</t>
  </si>
  <si>
    <t>71861</t>
  </si>
  <si>
    <t>1668</t>
  </si>
  <si>
    <t>1609</t>
  </si>
  <si>
    <t>1610</t>
  </si>
  <si>
    <t>1670</t>
  </si>
  <si>
    <t>71862</t>
  </si>
  <si>
    <t>71863</t>
  </si>
  <si>
    <t>96194</t>
  </si>
  <si>
    <t>1611</t>
  </si>
  <si>
    <t>71864</t>
  </si>
  <si>
    <t>Muhammad Asaduzzaman</t>
  </si>
  <si>
    <t>1612</t>
  </si>
  <si>
    <t>Morshed Alam</t>
  </si>
  <si>
    <t>71865</t>
  </si>
  <si>
    <t>Md. Alamgir Bhuiyan</t>
  </si>
  <si>
    <t>96195</t>
  </si>
  <si>
    <t>1613</t>
  </si>
  <si>
    <t>71866</t>
  </si>
  <si>
    <t>Noorjahan Lipi</t>
  </si>
  <si>
    <t>1614</t>
  </si>
  <si>
    <t>71867</t>
  </si>
  <si>
    <t>71868</t>
  </si>
  <si>
    <t>For Name Discrepancy</t>
  </si>
  <si>
    <t>Md. Arif Hossain</t>
  </si>
  <si>
    <t>71869</t>
  </si>
  <si>
    <t>1615</t>
  </si>
  <si>
    <t>96197</t>
  </si>
  <si>
    <t>71870</t>
  </si>
  <si>
    <t>Mst. Umme Afja Limu</t>
  </si>
  <si>
    <t>1616</t>
  </si>
  <si>
    <t>Md. Jaidul Hoque Sarker</t>
  </si>
  <si>
    <t>96198</t>
  </si>
  <si>
    <t>Md Bellal Hossain</t>
  </si>
  <si>
    <t>1617</t>
  </si>
  <si>
    <t>71871</t>
  </si>
  <si>
    <t>Jesmin Akter</t>
  </si>
  <si>
    <t>1618</t>
  </si>
  <si>
    <t>71872</t>
  </si>
  <si>
    <t>96199</t>
  </si>
  <si>
    <t>Md. Abdul Kaium Sohag</t>
  </si>
  <si>
    <t>1619</t>
  </si>
  <si>
    <t>1620</t>
  </si>
  <si>
    <t>71873</t>
  </si>
  <si>
    <t>1621</t>
  </si>
  <si>
    <t>1671</t>
  </si>
  <si>
    <t>71874</t>
  </si>
  <si>
    <t>1622</t>
  </si>
  <si>
    <t>Doubble issed</t>
  </si>
  <si>
    <t>Sultana Begum</t>
  </si>
  <si>
    <t>71875</t>
  </si>
  <si>
    <t>Md. Jahir Rayhan</t>
  </si>
  <si>
    <t>96196</t>
  </si>
  <si>
    <t>Md Shamsul Haque</t>
  </si>
  <si>
    <t>Sheikh Mohammad Nasir</t>
  </si>
  <si>
    <t>1624</t>
  </si>
  <si>
    <t>71876</t>
  </si>
  <si>
    <t>Md. Atiful Haque</t>
  </si>
  <si>
    <t>Mst. Afroza Bulbul Lavely</t>
  </si>
  <si>
    <t>1625</t>
  </si>
  <si>
    <t>71877</t>
  </si>
  <si>
    <t>96200</t>
  </si>
  <si>
    <t>1626</t>
  </si>
  <si>
    <t>71878</t>
  </si>
  <si>
    <t>1627</t>
  </si>
  <si>
    <t>71879</t>
  </si>
  <si>
    <t>Md Azizul Haque Manik</t>
  </si>
  <si>
    <t>1628</t>
  </si>
  <si>
    <t>96351</t>
  </si>
  <si>
    <t>71880</t>
  </si>
  <si>
    <t>Razia Begum</t>
  </si>
  <si>
    <t>1629</t>
  </si>
  <si>
    <t>Md. Estiak Mahbub</t>
  </si>
  <si>
    <t>Md. Hamunur Rashid &amp; Monir</t>
  </si>
  <si>
    <t>71881</t>
  </si>
  <si>
    <t>Md. Nazrul Islam Bhuiyan</t>
  </si>
  <si>
    <t>1630</t>
  </si>
  <si>
    <t>96352</t>
  </si>
  <si>
    <t>Mohammad Nuail Ahmed</t>
  </si>
  <si>
    <t>71882</t>
  </si>
  <si>
    <t>Abu Usuf</t>
  </si>
  <si>
    <t>1631</t>
  </si>
  <si>
    <t>71883</t>
  </si>
  <si>
    <t>Md. Ariful Haque</t>
  </si>
  <si>
    <t>1632</t>
  </si>
  <si>
    <t>96353</t>
  </si>
  <si>
    <t>1633</t>
  </si>
  <si>
    <t>Anika Ibnat Anamika</t>
  </si>
  <si>
    <t>71884</t>
  </si>
  <si>
    <t>Monsur Alam</t>
  </si>
  <si>
    <t>1634</t>
  </si>
  <si>
    <t>96354</t>
  </si>
  <si>
    <t>Umme Habiba Sonya</t>
  </si>
  <si>
    <t>71885</t>
  </si>
  <si>
    <t>1635</t>
  </si>
  <si>
    <t>71886</t>
  </si>
  <si>
    <t>96355</t>
  </si>
  <si>
    <t>1636</t>
  </si>
  <si>
    <t>71887</t>
  </si>
  <si>
    <t>1637</t>
  </si>
  <si>
    <t>96356</t>
  </si>
  <si>
    <t>1638</t>
  </si>
  <si>
    <t>71888</t>
  </si>
  <si>
    <t>Md Sarfuddin</t>
  </si>
  <si>
    <t>1639</t>
  </si>
  <si>
    <t>96357</t>
  </si>
  <si>
    <t>Md Mamun Munshi</t>
  </si>
  <si>
    <t>71889</t>
  </si>
  <si>
    <t>1640</t>
  </si>
  <si>
    <t>Mohammad Hasan Ali</t>
  </si>
  <si>
    <t>71890</t>
  </si>
  <si>
    <t>1641</t>
  </si>
  <si>
    <t>96358</t>
  </si>
  <si>
    <t>71891</t>
  </si>
  <si>
    <t>1642</t>
  </si>
  <si>
    <t>Md. Bablur Rahman</t>
  </si>
  <si>
    <t>71892</t>
  </si>
  <si>
    <t>96359</t>
  </si>
  <si>
    <t>S.M. Asif</t>
  </si>
  <si>
    <t>1643</t>
  </si>
  <si>
    <t>71893</t>
  </si>
  <si>
    <t>1644</t>
  </si>
  <si>
    <t>71894</t>
  </si>
  <si>
    <t>A. Rajjak Sheikh</t>
  </si>
  <si>
    <t>1645</t>
  </si>
  <si>
    <t>71895</t>
  </si>
  <si>
    <t>1646</t>
  </si>
  <si>
    <t>71896</t>
  </si>
  <si>
    <t>96360</t>
  </si>
  <si>
    <t>Md Anwar Hossain</t>
  </si>
  <si>
    <t>1647</t>
  </si>
  <si>
    <t>71897</t>
  </si>
  <si>
    <t>1648</t>
  </si>
  <si>
    <t>1672</t>
  </si>
  <si>
    <t>71898</t>
  </si>
  <si>
    <t>1649</t>
  </si>
  <si>
    <t>1650</t>
  </si>
  <si>
    <t>96362</t>
  </si>
  <si>
    <t>71899</t>
  </si>
  <si>
    <t>H M Salah Uddin</t>
  </si>
  <si>
    <t>1651</t>
  </si>
  <si>
    <t>71900</t>
  </si>
  <si>
    <t>96363</t>
  </si>
  <si>
    <t>1652</t>
  </si>
  <si>
    <t>Md. Ariful Islam</t>
  </si>
  <si>
    <t>1653</t>
  </si>
  <si>
    <t>96364</t>
  </si>
  <si>
    <t>Mumtahina Ahmed Ria</t>
  </si>
  <si>
    <t>75901</t>
  </si>
  <si>
    <t>1654</t>
  </si>
  <si>
    <t>96365</t>
  </si>
  <si>
    <t>1655</t>
  </si>
  <si>
    <t>75902</t>
  </si>
  <si>
    <t>75903</t>
  </si>
  <si>
    <t>1673</t>
  </si>
  <si>
    <t>75904</t>
  </si>
  <si>
    <t>Md Arif Hossain</t>
  </si>
  <si>
    <t>Total Sale</t>
  </si>
  <si>
    <t>1675</t>
  </si>
  <si>
    <t>75905</t>
  </si>
  <si>
    <t>Adv. CHQ</t>
  </si>
  <si>
    <t>75906</t>
  </si>
  <si>
    <t>1676</t>
  </si>
  <si>
    <t>75907</t>
  </si>
  <si>
    <t>96366</t>
  </si>
  <si>
    <t>75908</t>
  </si>
  <si>
    <t>75909</t>
  </si>
  <si>
    <t>Mukcitin Faruki Mugdha</t>
  </si>
  <si>
    <t>1677</t>
  </si>
  <si>
    <t>1661</t>
  </si>
  <si>
    <t>75910</t>
  </si>
  <si>
    <t>CHQ Return to Client</t>
  </si>
  <si>
    <t>96367</t>
  </si>
  <si>
    <t>Md Abdur Rashid</t>
  </si>
  <si>
    <t>75911</t>
  </si>
  <si>
    <t>Md. Aslam Hossain</t>
  </si>
  <si>
    <t/>
  </si>
  <si>
    <t>96368</t>
  </si>
  <si>
    <t>75912</t>
  </si>
  <si>
    <t>Nyem Hossain</t>
  </si>
  <si>
    <t>1662</t>
  </si>
  <si>
    <t>75913</t>
  </si>
  <si>
    <t>Md. Mehedi Hasan</t>
  </si>
  <si>
    <t>Kazi Mizanur Rahman</t>
  </si>
  <si>
    <t>1663</t>
  </si>
  <si>
    <t>96369</t>
  </si>
  <si>
    <t>Total Collection=</t>
  </si>
  <si>
    <t>75914</t>
  </si>
  <si>
    <t>Rita Khatun</t>
  </si>
  <si>
    <t>75915</t>
  </si>
  <si>
    <t>96370</t>
  </si>
  <si>
    <t>Mazibar Rahman Howlader</t>
  </si>
  <si>
    <t>75916</t>
  </si>
  <si>
    <t>96371</t>
  </si>
  <si>
    <t>75917</t>
  </si>
  <si>
    <t>Sadia Afreen</t>
  </si>
  <si>
    <t>Un Used</t>
  </si>
  <si>
    <t>1665</t>
  </si>
  <si>
    <t>Wrong Ammount Writing</t>
  </si>
  <si>
    <t>75918</t>
  </si>
  <si>
    <t>Ratil</t>
  </si>
  <si>
    <t>Collection Without EMI=</t>
  </si>
  <si>
    <t>75919</t>
  </si>
  <si>
    <t>Md Abu Bakar Safrin</t>
  </si>
  <si>
    <t>96372</t>
  </si>
  <si>
    <t>75920</t>
  </si>
  <si>
    <t>96373</t>
  </si>
  <si>
    <t>Ummey Kulsum</t>
  </si>
  <si>
    <t>75921</t>
  </si>
  <si>
    <t>Ridoy Khan</t>
  </si>
  <si>
    <t>75922</t>
  </si>
  <si>
    <t>96374</t>
  </si>
  <si>
    <t>Meherun Nessa</t>
  </si>
  <si>
    <t>75923</t>
  </si>
  <si>
    <t>75924</t>
  </si>
  <si>
    <t>1678</t>
  </si>
  <si>
    <t>Anas Bin Hsan</t>
  </si>
  <si>
    <t>75925</t>
  </si>
  <si>
    <t>Md. Zakir Hossen</t>
  </si>
  <si>
    <t>96375</t>
  </si>
  <si>
    <t>75926</t>
  </si>
  <si>
    <t>Md. Mosharrof Hossain (Mizan)</t>
  </si>
  <si>
    <t>1679</t>
  </si>
  <si>
    <t>75927</t>
  </si>
  <si>
    <t>75928</t>
  </si>
  <si>
    <t>96376</t>
  </si>
  <si>
    <t>Fatema Raka</t>
  </si>
  <si>
    <t>75929</t>
  </si>
  <si>
    <t>Sanjida Sultana</t>
  </si>
  <si>
    <t>75930</t>
  </si>
  <si>
    <t>96377</t>
  </si>
  <si>
    <t>1674</t>
  </si>
  <si>
    <t>75931</t>
  </si>
  <si>
    <t>75932</t>
  </si>
  <si>
    <t>96378</t>
  </si>
  <si>
    <t>75933</t>
  </si>
  <si>
    <t>96379</t>
  </si>
  <si>
    <t>75934</t>
  </si>
  <si>
    <t>Mohammad Ziaur Rahman</t>
  </si>
  <si>
    <t>96380</t>
  </si>
  <si>
    <t>Musfiqur Rahman Mahi</t>
  </si>
  <si>
    <t>75935</t>
  </si>
  <si>
    <t>75936</t>
  </si>
  <si>
    <t>Md. Zillur Rahman Mollik</t>
  </si>
  <si>
    <t>96381</t>
  </si>
  <si>
    <t>75937</t>
  </si>
  <si>
    <t>Mofizur Rahman</t>
  </si>
  <si>
    <t>96382</t>
  </si>
  <si>
    <t>75938</t>
  </si>
  <si>
    <t>Mohammad Abu Kalam</t>
  </si>
  <si>
    <t>1680</t>
  </si>
  <si>
    <t>75939</t>
  </si>
  <si>
    <t>96383</t>
  </si>
  <si>
    <t>KM Monirul Bin Islam</t>
  </si>
  <si>
    <t>1681</t>
  </si>
  <si>
    <t>75940</t>
  </si>
  <si>
    <t>75941</t>
  </si>
  <si>
    <t>1682</t>
  </si>
  <si>
    <t>96384</t>
  </si>
  <si>
    <t>Md Abu Taher</t>
  </si>
  <si>
    <t>75942</t>
  </si>
  <si>
    <t>75943</t>
  </si>
  <si>
    <t>96385</t>
  </si>
  <si>
    <t>75944</t>
  </si>
  <si>
    <t>75945</t>
  </si>
  <si>
    <t>75946</t>
  </si>
  <si>
    <t>1685</t>
  </si>
  <si>
    <t>96386</t>
  </si>
  <si>
    <t>Md  Ashrafuzzaman</t>
  </si>
  <si>
    <t>75947</t>
  </si>
  <si>
    <t>Shahidul Islam</t>
  </si>
  <si>
    <t>75948</t>
  </si>
  <si>
    <t>Md. Sohel Hossain</t>
  </si>
  <si>
    <t>75949</t>
  </si>
  <si>
    <t>96387</t>
  </si>
  <si>
    <t>75950</t>
  </si>
  <si>
    <t>79201</t>
  </si>
  <si>
    <t>Mst. Rupali</t>
  </si>
  <si>
    <t>96388</t>
  </si>
  <si>
    <t>Abdul Barek</t>
  </si>
  <si>
    <t>79202</t>
  </si>
  <si>
    <t>Md Kamruzzaman</t>
  </si>
  <si>
    <t>1688</t>
  </si>
  <si>
    <t>79203</t>
  </si>
  <si>
    <t>96389</t>
  </si>
  <si>
    <t>79204</t>
  </si>
  <si>
    <t>1689</t>
  </si>
  <si>
    <t>79205</t>
  </si>
  <si>
    <t>Md. Muhasin Al Zaber</t>
  </si>
  <si>
    <t>96390</t>
  </si>
  <si>
    <t>1690</t>
  </si>
  <si>
    <t>Md Saiful Islam Akhand</t>
  </si>
  <si>
    <t>79206</t>
  </si>
  <si>
    <t>Md. Mustafa Kamal</t>
  </si>
  <si>
    <t>1691</t>
  </si>
  <si>
    <t>79207</t>
  </si>
  <si>
    <t>79208</t>
  </si>
  <si>
    <t>1692</t>
  </si>
  <si>
    <t>79209</t>
  </si>
  <si>
    <t>1693</t>
  </si>
  <si>
    <t>96391</t>
  </si>
  <si>
    <t>Mohammad Raju</t>
  </si>
  <si>
    <t>79210</t>
  </si>
  <si>
    <t>1694</t>
  </si>
  <si>
    <t>96392</t>
  </si>
  <si>
    <t>79211</t>
  </si>
  <si>
    <t>1695</t>
  </si>
  <si>
    <t>79212</t>
  </si>
  <si>
    <t>96393</t>
  </si>
  <si>
    <t>Afroza Yeasmin Rumi</t>
  </si>
  <si>
    <t>Amin Mahamud</t>
  </si>
  <si>
    <t>1696</t>
  </si>
  <si>
    <t>79213</t>
  </si>
  <si>
    <t>Wrong Ammount</t>
  </si>
  <si>
    <t>1697</t>
  </si>
  <si>
    <t>79214</t>
  </si>
  <si>
    <t>79215</t>
  </si>
  <si>
    <t>1698</t>
  </si>
  <si>
    <t>79216</t>
  </si>
  <si>
    <t>1699</t>
  </si>
  <si>
    <t>96396</t>
  </si>
  <si>
    <t>79217</t>
  </si>
  <si>
    <t>Monira Akthar</t>
  </si>
  <si>
    <t>79218</t>
  </si>
  <si>
    <t>1700</t>
  </si>
  <si>
    <t>79219</t>
  </si>
  <si>
    <t>Ananna Ahmed</t>
  </si>
  <si>
    <t>Md. Jiaul Haque</t>
  </si>
  <si>
    <t>96394</t>
  </si>
  <si>
    <t>2151</t>
  </si>
  <si>
    <t>79220</t>
  </si>
  <si>
    <t>96397</t>
  </si>
  <si>
    <t>79221</t>
  </si>
  <si>
    <t>2152</t>
  </si>
  <si>
    <t>Md Jakir Hossain</t>
  </si>
  <si>
    <t>79222</t>
  </si>
  <si>
    <t>2153</t>
  </si>
  <si>
    <t>96395</t>
  </si>
  <si>
    <t>Md. Washiful Haque</t>
  </si>
  <si>
    <t>Tej.Br.</t>
  </si>
  <si>
    <t>2154</t>
  </si>
  <si>
    <t>79223</t>
  </si>
  <si>
    <t>Farjana Akter Purnima</t>
  </si>
  <si>
    <t>Sabina Yeasmin</t>
  </si>
  <si>
    <t>2155</t>
  </si>
  <si>
    <t>Md Ashrafuzzaman</t>
  </si>
  <si>
    <t>79224</t>
  </si>
  <si>
    <t>2156</t>
  </si>
  <si>
    <t>Md Shahriar Nadim Arafat</t>
  </si>
  <si>
    <t>79225</t>
  </si>
  <si>
    <t>2157</t>
  </si>
  <si>
    <t>79226</t>
  </si>
  <si>
    <t>2158</t>
  </si>
  <si>
    <t>96399</t>
  </si>
  <si>
    <t>Masum Ahmmed</t>
  </si>
  <si>
    <t>79227</t>
  </si>
  <si>
    <t>Jahangir Alam</t>
  </si>
  <si>
    <t>79228</t>
  </si>
  <si>
    <t>2159</t>
  </si>
  <si>
    <t>79229</t>
  </si>
  <si>
    <t>2160</t>
  </si>
  <si>
    <t>79230</t>
  </si>
  <si>
    <t>79231</t>
  </si>
  <si>
    <t>Syeda Jamila Mahmuda</t>
  </si>
  <si>
    <t>2161</t>
  </si>
  <si>
    <t>79232</t>
  </si>
  <si>
    <t>2162</t>
  </si>
  <si>
    <t>79233</t>
  </si>
  <si>
    <t>2163</t>
  </si>
  <si>
    <t>79234</t>
  </si>
  <si>
    <t>79235</t>
  </si>
  <si>
    <t>2164</t>
  </si>
  <si>
    <t>79236</t>
  </si>
  <si>
    <t>2165</t>
  </si>
  <si>
    <t>Md Mizanur Rahman</t>
  </si>
  <si>
    <t>79237</t>
  </si>
  <si>
    <t>2166</t>
  </si>
  <si>
    <t>79238</t>
  </si>
  <si>
    <t>2167</t>
  </si>
  <si>
    <t>2168</t>
  </si>
  <si>
    <t>79239</t>
  </si>
  <si>
    <t>2169</t>
  </si>
  <si>
    <t>79240</t>
  </si>
  <si>
    <t>Mohammed Shah Alam</t>
  </si>
  <si>
    <t>2170</t>
  </si>
  <si>
    <t>79241</t>
  </si>
  <si>
    <t>2171</t>
  </si>
  <si>
    <t>79242</t>
  </si>
  <si>
    <t>2172</t>
  </si>
  <si>
    <t>79243</t>
  </si>
  <si>
    <t>2173</t>
  </si>
  <si>
    <t>79244</t>
  </si>
  <si>
    <t>Sadem Hossain</t>
  </si>
  <si>
    <t>2174</t>
  </si>
  <si>
    <t>79245</t>
  </si>
  <si>
    <t>Md. Rabiul Alam</t>
  </si>
  <si>
    <t>2175</t>
  </si>
  <si>
    <t>79246</t>
  </si>
  <si>
    <t>2176</t>
  </si>
  <si>
    <t>79247</t>
  </si>
  <si>
    <t>2177</t>
  </si>
  <si>
    <t>79248</t>
  </si>
  <si>
    <t>2178</t>
  </si>
  <si>
    <t>79249</t>
  </si>
  <si>
    <t>79250</t>
  </si>
  <si>
    <t>2179</t>
  </si>
  <si>
    <t>80601</t>
  </si>
  <si>
    <t>2180</t>
  </si>
  <si>
    <t>2181</t>
  </si>
  <si>
    <t>80602</t>
  </si>
  <si>
    <t>2182</t>
  </si>
  <si>
    <t>80603</t>
  </si>
  <si>
    <t>Md Sohel Hossain</t>
  </si>
  <si>
    <t>2183</t>
  </si>
  <si>
    <t>80604</t>
  </si>
  <si>
    <t>80605</t>
  </si>
  <si>
    <t>2184</t>
  </si>
  <si>
    <t>Md Fahad Hasan Oney</t>
  </si>
  <si>
    <t>Tahsana Nusrat Ananna</t>
  </si>
  <si>
    <t>2185</t>
  </si>
  <si>
    <t>80606</t>
  </si>
  <si>
    <t>Md. Minhazul Abedin</t>
  </si>
  <si>
    <t>Md. Abu Bakar Siddiq</t>
  </si>
  <si>
    <t>80607</t>
  </si>
  <si>
    <t>2186</t>
  </si>
  <si>
    <t>80608</t>
  </si>
  <si>
    <t>Md. Parvez Kamal</t>
  </si>
  <si>
    <t>2187</t>
  </si>
  <si>
    <t>Mohammad Aminul Islam Rebul</t>
  </si>
  <si>
    <t>2188</t>
  </si>
  <si>
    <t>80609</t>
  </si>
  <si>
    <t>2189</t>
  </si>
  <si>
    <t>80610</t>
  </si>
  <si>
    <t>2190</t>
  </si>
  <si>
    <t>80611</t>
  </si>
  <si>
    <t>2191</t>
  </si>
  <si>
    <t>80612</t>
  </si>
  <si>
    <t>Md Uzzal Uddin Ahmmad</t>
  </si>
  <si>
    <t>2192</t>
  </si>
  <si>
    <t>80613</t>
  </si>
  <si>
    <t>2193</t>
  </si>
  <si>
    <t>80614</t>
  </si>
  <si>
    <t>2194</t>
  </si>
  <si>
    <t>80615</t>
  </si>
  <si>
    <t>2195</t>
  </si>
  <si>
    <t>80616</t>
  </si>
  <si>
    <t>80617</t>
  </si>
  <si>
    <t>2196</t>
  </si>
  <si>
    <t>80618</t>
  </si>
  <si>
    <t>2197</t>
  </si>
  <si>
    <t>80619</t>
  </si>
  <si>
    <t>2198</t>
  </si>
  <si>
    <t>80620</t>
  </si>
  <si>
    <t>2199</t>
  </si>
  <si>
    <t>80621</t>
  </si>
  <si>
    <t>2200</t>
  </si>
  <si>
    <t>80622</t>
  </si>
  <si>
    <t>Md Mariful Islam</t>
  </si>
  <si>
    <t>80623</t>
  </si>
  <si>
    <t>80624</t>
  </si>
  <si>
    <t>80625</t>
  </si>
  <si>
    <t>Jannatul ferdous</t>
  </si>
  <si>
    <t>Md Matiur Rahman</t>
  </si>
  <si>
    <t>80626</t>
  </si>
  <si>
    <t>Minhaz Mahmud Ratul</t>
  </si>
  <si>
    <t>80627</t>
  </si>
  <si>
    <t>80628</t>
  </si>
  <si>
    <t>Farah Naz Rashid</t>
  </si>
  <si>
    <t>80629</t>
  </si>
  <si>
    <t>80630</t>
  </si>
  <si>
    <t>80631</t>
  </si>
  <si>
    <t>80632</t>
  </si>
  <si>
    <t>80633</t>
  </si>
  <si>
    <t>80634</t>
  </si>
  <si>
    <t>80635</t>
  </si>
  <si>
    <t>Farjana Akter</t>
  </si>
  <si>
    <t>80636</t>
  </si>
  <si>
    <t>80637</t>
  </si>
  <si>
    <t>80638</t>
  </si>
  <si>
    <t>80639</t>
  </si>
  <si>
    <t>Md Monir Hossan</t>
  </si>
  <si>
    <t>80640</t>
  </si>
  <si>
    <t>Rozina Akter Rina</t>
  </si>
  <si>
    <t>80641</t>
  </si>
  <si>
    <t xml:space="preserve">Total        </t>
  </si>
  <si>
    <t>80642</t>
  </si>
  <si>
    <t>80643</t>
  </si>
  <si>
    <t>80644</t>
  </si>
  <si>
    <t>80645</t>
  </si>
  <si>
    <t>Md Abu Bakar Sarfin</t>
  </si>
  <si>
    <t>80646</t>
  </si>
  <si>
    <t>80647</t>
  </si>
  <si>
    <t>80648</t>
  </si>
  <si>
    <t>80649</t>
  </si>
  <si>
    <t>80650</t>
  </si>
  <si>
    <t>83101</t>
  </si>
  <si>
    <t>83102</t>
  </si>
  <si>
    <t>Sazzad Hossain</t>
  </si>
  <si>
    <t>83103</t>
  </si>
  <si>
    <t>83104</t>
  </si>
  <si>
    <t>83105</t>
  </si>
  <si>
    <t>83106</t>
  </si>
  <si>
    <t>BS+BM</t>
  </si>
  <si>
    <t>83107</t>
  </si>
  <si>
    <t>Shahnaz Begum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</si>
  <si>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</si>
  <si>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</si>
  <si>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</si>
  <si>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</si>
  <si>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</si>
  <si>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</si>
  <si>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</si>
  <si>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</si>
  <si>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</si>
  <si>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</si>
  <si>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Abdullah Al Mamun</t>
  </si>
  <si>
    <t>Md. Motiur Rahman</t>
  </si>
  <si>
    <t>83118</t>
  </si>
  <si>
    <t>83119</t>
  </si>
  <si>
    <t>Md. Mehedi Hasan Taha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</si>
  <si>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</si>
  <si>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</si>
  <si>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</si>
  <si>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</si>
  <si>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</si>
  <si>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</si>
  <si>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</si>
  <si>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</si>
  <si>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</si>
  <si>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</si>
  <si>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</si>
  <si>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</si>
  <si>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</si>
  <si>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</si>
  <si>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</si>
  <si>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Md Rana Islam Babar</t>
  </si>
  <si>
    <t>83135</t>
  </si>
  <si>
    <t>83136</t>
  </si>
  <si>
    <t>Wrong Ammount Issued</t>
  </si>
  <si>
    <t>83137</t>
  </si>
  <si>
    <t>83138</t>
  </si>
  <si>
    <t>83139</t>
  </si>
  <si>
    <t>Jannatul Ferdaus</t>
  </si>
  <si>
    <t>Md. Matiur Rahman</t>
  </si>
  <si>
    <t>83140</t>
  </si>
  <si>
    <t>Hosne Ara</t>
  </si>
  <si>
    <t>83141</t>
  </si>
  <si>
    <t>8th EMI Paid(Part-10k)</t>
  </si>
  <si>
    <t>83142</t>
  </si>
  <si>
    <t>83143</t>
  </si>
  <si>
    <t>83144</t>
  </si>
  <si>
    <t>83145</t>
  </si>
  <si>
    <t>83146</t>
  </si>
  <si>
    <t>83147</t>
  </si>
  <si>
    <t xml:space="preserve">Lipika Tasnim </t>
  </si>
  <si>
    <t>83148</t>
  </si>
  <si>
    <t xml:space="preserve">Akhi Akter Urmi </t>
  </si>
  <si>
    <t>83149</t>
  </si>
  <si>
    <t>Mohahmmad Noman Prodhania</t>
  </si>
  <si>
    <t>83150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</si>
  <si>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</si>
  <si>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</si>
  <si>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</si>
  <si>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</si>
  <si>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</si>
  <si>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</si>
  <si>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</si>
  <si>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</si>
  <si>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</si>
  <si>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</si>
  <si>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Nahida Akter</t>
  </si>
  <si>
    <t>84561</t>
  </si>
  <si>
    <t>84562</t>
  </si>
  <si>
    <t>84563</t>
  </si>
  <si>
    <t>Md Aslam Uddin</t>
  </si>
  <si>
    <t>84564</t>
  </si>
  <si>
    <t xml:space="preserve">Md. Sohel Ahmed </t>
  </si>
  <si>
    <t>84565</t>
  </si>
  <si>
    <t>84566</t>
  </si>
  <si>
    <t>Delowar Hossain</t>
  </si>
  <si>
    <t>84567</t>
  </si>
  <si>
    <t>84568</t>
  </si>
  <si>
    <t>84569</t>
  </si>
  <si>
    <t>84570</t>
  </si>
  <si>
    <t>Md Delwar Hossain</t>
  </si>
  <si>
    <t>84571</t>
  </si>
  <si>
    <t>Romana Haque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</si>
  <si>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</si>
  <si>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</si>
  <si>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</si>
  <si>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</si>
  <si>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</si>
  <si>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</si>
  <si>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</si>
  <si>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</si>
  <si>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</si>
  <si>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</si>
  <si>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Minhaz Mohammed Ratul</t>
  </si>
  <si>
    <t>Mobarok Hosen Khan Kamol</t>
  </si>
  <si>
    <t>84582</t>
  </si>
  <si>
    <t>Jannatul Ferdous</t>
  </si>
  <si>
    <t>Nasrullah Sami</t>
  </si>
  <si>
    <t>84583</t>
  </si>
  <si>
    <t>84584</t>
  </si>
  <si>
    <t>84585</t>
  </si>
  <si>
    <t>84586</t>
  </si>
  <si>
    <t>Md. Shahriar Arafat Nadim</t>
  </si>
  <si>
    <t>84587</t>
  </si>
  <si>
    <t>84588</t>
  </si>
  <si>
    <t>84589</t>
  </si>
  <si>
    <t>Priatosh Deb Nath</t>
  </si>
  <si>
    <t>OCDL Sales Office Collection - Month of  August: 2026</t>
  </si>
  <si>
    <t>84590</t>
  </si>
  <si>
    <t>Sharmin Akter</t>
  </si>
  <si>
    <t>84591</t>
  </si>
  <si>
    <t>Md Faiyaz Hossain</t>
  </si>
  <si>
    <t>84592</t>
  </si>
  <si>
    <t>Md Jaidul Hoque Sarker</t>
  </si>
  <si>
    <t>84593</t>
  </si>
  <si>
    <t>84594</t>
  </si>
  <si>
    <t>84595</t>
  </si>
  <si>
    <t>84596</t>
  </si>
  <si>
    <t>Md Faruk Hossain</t>
  </si>
  <si>
    <t>84597</t>
  </si>
  <si>
    <t>84598</t>
  </si>
  <si>
    <t>84599</t>
  </si>
  <si>
    <t>95151</t>
  </si>
  <si>
    <t>84600</t>
  </si>
  <si>
    <t>85151</t>
  </si>
  <si>
    <t>85152</t>
  </si>
  <si>
    <t>Talukder Md Emam Hossain</t>
  </si>
  <si>
    <t>85153</t>
  </si>
  <si>
    <t>Tasabbir Bin Islam</t>
  </si>
  <si>
    <t>SM Nahid Rumi</t>
  </si>
  <si>
    <t>85154</t>
  </si>
  <si>
    <t>95152</t>
  </si>
  <si>
    <t>85155</t>
  </si>
  <si>
    <t>95153</t>
  </si>
  <si>
    <t>85156</t>
  </si>
  <si>
    <t>85157</t>
  </si>
  <si>
    <t>Md Fazly Rabby</t>
  </si>
  <si>
    <t>85158</t>
  </si>
  <si>
    <t>Mahabbat Ali</t>
  </si>
  <si>
    <t>85159</t>
  </si>
  <si>
    <t>85160</t>
  </si>
  <si>
    <t>Md Wazedul Islam</t>
  </si>
  <si>
    <t>85161</t>
  </si>
  <si>
    <t>85162</t>
  </si>
  <si>
    <t>95154</t>
  </si>
  <si>
    <t>85163</t>
  </si>
  <si>
    <t>95155</t>
  </si>
  <si>
    <t>85164</t>
  </si>
  <si>
    <t>95156</t>
  </si>
  <si>
    <t>85165</t>
  </si>
  <si>
    <t>95157</t>
  </si>
  <si>
    <t>85166</t>
  </si>
  <si>
    <t>Mohammad Shah Alam</t>
  </si>
  <si>
    <t>85167</t>
  </si>
  <si>
    <t>Md Asadur Rahman</t>
  </si>
  <si>
    <t>95158</t>
  </si>
  <si>
    <t>Md. Ziaul Hoque</t>
  </si>
  <si>
    <t>85168</t>
  </si>
  <si>
    <t>Saiful Islam</t>
  </si>
  <si>
    <t>95159</t>
  </si>
  <si>
    <t>85169</t>
  </si>
  <si>
    <t>95160</t>
  </si>
  <si>
    <t>85170</t>
  </si>
  <si>
    <t>85171</t>
  </si>
  <si>
    <t>95161</t>
  </si>
  <si>
    <t>Aftab Uddin Ahmed Ratan</t>
  </si>
  <si>
    <t>Md Hasibul Alam Nipun</t>
  </si>
  <si>
    <t>85172</t>
  </si>
  <si>
    <t>Mohammad Rayhan Gafur</t>
  </si>
  <si>
    <t>95162</t>
  </si>
  <si>
    <t>Md Harun Or Rashid</t>
  </si>
  <si>
    <t>Mst Rahima Akter</t>
  </si>
  <si>
    <t>85173</t>
  </si>
  <si>
    <t>85174</t>
  </si>
  <si>
    <t>95163</t>
  </si>
  <si>
    <t>85175</t>
  </si>
  <si>
    <t>Sultana Rizia</t>
  </si>
  <si>
    <t>95164</t>
  </si>
  <si>
    <t>85176</t>
  </si>
  <si>
    <t>Abdul Latif</t>
  </si>
  <si>
    <t>95165</t>
  </si>
  <si>
    <t>85177</t>
  </si>
  <si>
    <t>85178</t>
  </si>
  <si>
    <t>85179</t>
  </si>
  <si>
    <t>85180</t>
  </si>
  <si>
    <t>85181</t>
  </si>
  <si>
    <t>95167</t>
  </si>
  <si>
    <t>85182</t>
  </si>
  <si>
    <t>85183</t>
  </si>
  <si>
    <t>95168</t>
  </si>
  <si>
    <t>85184</t>
  </si>
  <si>
    <t>Md. Jahidul Islam</t>
  </si>
  <si>
    <t>95169</t>
  </si>
  <si>
    <t>85185</t>
  </si>
  <si>
    <t>95170</t>
  </si>
  <si>
    <t>85186</t>
  </si>
  <si>
    <t>95172</t>
  </si>
  <si>
    <t>85187</t>
  </si>
  <si>
    <t>Ritu Bonna</t>
  </si>
  <si>
    <t>Makim</t>
  </si>
  <si>
    <t>95173</t>
  </si>
  <si>
    <t>D</t>
  </si>
  <si>
    <t>85188</t>
  </si>
  <si>
    <t>Jenat Jahan Bhuiyan</t>
  </si>
  <si>
    <t>Khokon</t>
  </si>
  <si>
    <t>95174</t>
  </si>
  <si>
    <t>85189</t>
  </si>
  <si>
    <t>Afsar Uddin</t>
  </si>
  <si>
    <t>Rokeya Begum</t>
  </si>
  <si>
    <t>85190</t>
  </si>
  <si>
    <t>Abu Sayam Bhuiyan</t>
  </si>
  <si>
    <t>95175</t>
  </si>
  <si>
    <t>Md Nazmul Haque</t>
  </si>
  <si>
    <t>HO</t>
  </si>
  <si>
    <t>85191</t>
  </si>
  <si>
    <t>Md Mostafizur Rahman</t>
  </si>
  <si>
    <t>95176</t>
  </si>
  <si>
    <t>85192</t>
  </si>
  <si>
    <t>95177</t>
  </si>
  <si>
    <t>85193</t>
  </si>
  <si>
    <t>95178</t>
  </si>
  <si>
    <t>85194</t>
  </si>
  <si>
    <t>85195</t>
  </si>
  <si>
    <t>95179</t>
  </si>
  <si>
    <t>85196</t>
  </si>
  <si>
    <t>85197</t>
  </si>
  <si>
    <t>95180</t>
  </si>
  <si>
    <t>85198</t>
  </si>
  <si>
    <t>95181</t>
  </si>
  <si>
    <t>OCDL Sales Office Collection - Month of July: 2026</t>
  </si>
  <si>
    <t>85199</t>
  </si>
  <si>
    <t>95182</t>
  </si>
  <si>
    <t>85200</t>
  </si>
  <si>
    <t>95183</t>
  </si>
  <si>
    <t>86401</t>
  </si>
  <si>
    <t>Ryhana Sultana</t>
  </si>
  <si>
    <t>95184</t>
  </si>
  <si>
    <t>86402</t>
  </si>
  <si>
    <t>Rashak Ahmed Rahid And Rownok Ahmed Rashid</t>
  </si>
  <si>
    <t>95185</t>
  </si>
  <si>
    <t>86403</t>
  </si>
  <si>
    <t>For Over Writing</t>
  </si>
  <si>
    <t>95186</t>
  </si>
  <si>
    <t>86404</t>
  </si>
  <si>
    <t>95187</t>
  </si>
  <si>
    <t>86405</t>
  </si>
  <si>
    <t>90680</t>
  </si>
  <si>
    <t>Latifur Rahman</t>
  </si>
  <si>
    <t>95188</t>
  </si>
  <si>
    <t>86406</t>
  </si>
  <si>
    <t>95189</t>
  </si>
  <si>
    <t>92381</t>
  </si>
  <si>
    <t>86407</t>
  </si>
  <si>
    <t>Tanvir Ahmed Siddiqui</t>
  </si>
  <si>
    <t>86408</t>
  </si>
  <si>
    <t>86409</t>
  </si>
  <si>
    <t>95190</t>
  </si>
  <si>
    <t>86410</t>
  </si>
  <si>
    <t>86411</t>
  </si>
  <si>
    <t>95192</t>
  </si>
  <si>
    <t>Imteaz</t>
  </si>
  <si>
    <t>Md Wabaydul Islam</t>
  </si>
  <si>
    <t>92382</t>
  </si>
  <si>
    <t>86412</t>
  </si>
  <si>
    <t>95193</t>
  </si>
  <si>
    <t>86413</t>
  </si>
  <si>
    <t>86414</t>
  </si>
  <si>
    <t>86415</t>
  </si>
  <si>
    <t>Md Anisur Rahman</t>
  </si>
  <si>
    <t>86416</t>
  </si>
  <si>
    <t>95194</t>
  </si>
  <si>
    <t>Mst. Irin Rahman</t>
  </si>
  <si>
    <t>86417</t>
  </si>
  <si>
    <t>92383</t>
  </si>
  <si>
    <t>86418</t>
  </si>
  <si>
    <t>95195</t>
  </si>
  <si>
    <t>86419</t>
  </si>
  <si>
    <t>95196</t>
  </si>
  <si>
    <t>92385</t>
  </si>
  <si>
    <t>Md Ismail Hossain</t>
  </si>
  <si>
    <t>86420</t>
  </si>
  <si>
    <t>For Double Issue</t>
  </si>
  <si>
    <t>95197</t>
  </si>
  <si>
    <t>92386</t>
  </si>
  <si>
    <t>B-1</t>
  </si>
  <si>
    <t>86421</t>
  </si>
  <si>
    <t>95198</t>
  </si>
  <si>
    <t>92387</t>
  </si>
  <si>
    <t>86422</t>
  </si>
  <si>
    <t>92388</t>
  </si>
  <si>
    <t>86423</t>
  </si>
  <si>
    <t>86424</t>
  </si>
  <si>
    <t>92389</t>
  </si>
  <si>
    <t>95199</t>
  </si>
  <si>
    <t>Md. Foyez Ullah</t>
  </si>
  <si>
    <t>86425</t>
  </si>
  <si>
    <t>Naimul Hasan</t>
  </si>
  <si>
    <t>86426</t>
  </si>
  <si>
    <t>95200</t>
  </si>
  <si>
    <t>Abu Faysal Ahmed</t>
  </si>
  <si>
    <t>92390</t>
  </si>
  <si>
    <t>Md Raihan Chowdhury</t>
  </si>
  <si>
    <t>96152</t>
  </si>
  <si>
    <t>92391</t>
  </si>
  <si>
    <t>Abu Zafar Mohammad Shamsl Huda</t>
  </si>
  <si>
    <t>86427</t>
  </si>
  <si>
    <t>96153</t>
  </si>
  <si>
    <t>92392</t>
  </si>
  <si>
    <t>86428</t>
  </si>
  <si>
    <t>92393</t>
  </si>
  <si>
    <t>96154</t>
  </si>
  <si>
    <t>86429</t>
  </si>
  <si>
    <t>Md. Akhlaqur Rahman</t>
  </si>
  <si>
    <t>92394</t>
  </si>
  <si>
    <t>Kazi Fauzul Azim</t>
  </si>
  <si>
    <t>86430</t>
  </si>
  <si>
    <t>96155</t>
  </si>
  <si>
    <t>92395</t>
  </si>
  <si>
    <t>Md. Bellal Hossain</t>
  </si>
  <si>
    <t>86431</t>
  </si>
  <si>
    <t>Md. Abdul Kaium  Khan</t>
  </si>
  <si>
    <t>92396</t>
  </si>
  <si>
    <t>86432</t>
  </si>
  <si>
    <t>Mr. Abdul Hakim</t>
  </si>
  <si>
    <t>92397</t>
  </si>
  <si>
    <t>86433</t>
  </si>
  <si>
    <t>92398</t>
  </si>
  <si>
    <t>96156</t>
  </si>
  <si>
    <t>Dr Taopsh Kumar Das</t>
  </si>
  <si>
    <t>86434</t>
  </si>
  <si>
    <t>86435</t>
  </si>
  <si>
    <t>92399</t>
  </si>
  <si>
    <t>96157</t>
  </si>
  <si>
    <t>For File number discrepancy</t>
  </si>
  <si>
    <t>92400</t>
  </si>
  <si>
    <t>96158</t>
  </si>
  <si>
    <t>Md Saful Islam Akhand</t>
  </si>
  <si>
    <t>86436</t>
  </si>
  <si>
    <t>94201</t>
  </si>
  <si>
    <t>Nurul Islam Ripon</t>
  </si>
  <si>
    <t>Md Nayeem Chowdhurt</t>
  </si>
  <si>
    <t>96159</t>
  </si>
  <si>
    <t>86437</t>
  </si>
  <si>
    <t>94202</t>
  </si>
  <si>
    <t>Head Office</t>
  </si>
  <si>
    <t>86438</t>
  </si>
  <si>
    <t>96160</t>
  </si>
  <si>
    <t>94203</t>
  </si>
  <si>
    <t>86439</t>
  </si>
  <si>
    <t>94204</t>
  </si>
  <si>
    <t>Md Mahfuzur Rahman</t>
  </si>
  <si>
    <t>86440</t>
  </si>
  <si>
    <t>94205</t>
  </si>
  <si>
    <t>86441</t>
  </si>
  <si>
    <t>96161</t>
  </si>
  <si>
    <t>Umme Habiba Prerona</t>
  </si>
  <si>
    <t>94207</t>
  </si>
  <si>
    <t>86442</t>
  </si>
  <si>
    <t>94206</t>
  </si>
  <si>
    <t>96162</t>
  </si>
  <si>
    <t>86443</t>
  </si>
  <si>
    <t>94208</t>
  </si>
  <si>
    <t>86444</t>
  </si>
  <si>
    <t>94209</t>
  </si>
  <si>
    <t>86445</t>
  </si>
  <si>
    <t>96163</t>
  </si>
  <si>
    <t>86446</t>
  </si>
  <si>
    <t>94210</t>
  </si>
  <si>
    <t>86447</t>
  </si>
  <si>
    <t>Shamim Ara</t>
  </si>
  <si>
    <t>96164</t>
  </si>
  <si>
    <t>86448</t>
  </si>
  <si>
    <t>96165</t>
  </si>
  <si>
    <t>94211</t>
  </si>
  <si>
    <t>Tanbir Hossain</t>
  </si>
  <si>
    <t>86449</t>
  </si>
  <si>
    <t>94212</t>
  </si>
  <si>
    <t>96173</t>
  </si>
  <si>
    <t>86450</t>
  </si>
  <si>
    <t>96174</t>
  </si>
  <si>
    <t>Hafiza Khanam</t>
  </si>
  <si>
    <t>Md Mahfujur Rahman</t>
  </si>
  <si>
    <t>88051</t>
  </si>
  <si>
    <t>88052</t>
  </si>
  <si>
    <t>For Name &amp; Amount Discrepancy</t>
  </si>
  <si>
    <t>94213</t>
  </si>
  <si>
    <t>88053</t>
  </si>
  <si>
    <t>96175</t>
  </si>
  <si>
    <t>94214</t>
  </si>
  <si>
    <t>96176</t>
  </si>
  <si>
    <t>88054</t>
  </si>
  <si>
    <t>96177</t>
  </si>
  <si>
    <t>94215</t>
  </si>
  <si>
    <t>88055</t>
  </si>
  <si>
    <t>96178</t>
  </si>
  <si>
    <t>Md Sharif Shamsur Rahaman</t>
  </si>
  <si>
    <t>88056</t>
  </si>
  <si>
    <t>96179</t>
  </si>
  <si>
    <t>94216</t>
  </si>
  <si>
    <t>88057</t>
  </si>
  <si>
    <t>96181</t>
  </si>
  <si>
    <t>94217</t>
  </si>
  <si>
    <t>OCDL Sales- Collection of June: 2026</t>
  </si>
  <si>
    <t>88058</t>
  </si>
  <si>
    <t>Hasibul Alam Nipun</t>
  </si>
  <si>
    <t>94227</t>
  </si>
  <si>
    <t>88059</t>
  </si>
  <si>
    <t>Group</t>
  </si>
  <si>
    <t>88060</t>
  </si>
  <si>
    <t>Md. Jiaur Rahman</t>
  </si>
  <si>
    <t>94228</t>
  </si>
  <si>
    <t>88061</t>
  </si>
  <si>
    <t>88062</t>
  </si>
  <si>
    <t>94229</t>
  </si>
  <si>
    <t>88063</t>
  </si>
  <si>
    <t>Shahey Imran Khan</t>
  </si>
  <si>
    <t>88064</t>
  </si>
  <si>
    <t>88065</t>
  </si>
  <si>
    <t>Md Jahirul Islam</t>
  </si>
  <si>
    <t>88066</t>
  </si>
  <si>
    <t>94220</t>
  </si>
  <si>
    <t>88067</t>
  </si>
  <si>
    <t>94221</t>
  </si>
  <si>
    <t>90662</t>
  </si>
  <si>
    <t>88068</t>
  </si>
  <si>
    <t>94222</t>
  </si>
  <si>
    <t>88069</t>
  </si>
  <si>
    <t>88070</t>
  </si>
  <si>
    <t>AKM Nurul Amin Babul</t>
  </si>
  <si>
    <t>90663</t>
  </si>
  <si>
    <t>94230</t>
  </si>
  <si>
    <t>88071</t>
  </si>
  <si>
    <t>Rezaul Karim Ripon</t>
  </si>
  <si>
    <t>88072</t>
  </si>
  <si>
    <t>94231</t>
  </si>
  <si>
    <t>90664</t>
  </si>
  <si>
    <t>88073</t>
  </si>
  <si>
    <t>Mohammad Shamarukh Alam Chowdhury</t>
  </si>
  <si>
    <t>94232</t>
  </si>
  <si>
    <t>88074</t>
  </si>
  <si>
    <t>Shahajada Arman</t>
  </si>
  <si>
    <t>90666</t>
  </si>
  <si>
    <t>88075</t>
  </si>
  <si>
    <t>Nur Mohammad Bhuiyan</t>
  </si>
  <si>
    <t>88076</t>
  </si>
  <si>
    <t>90667</t>
  </si>
  <si>
    <t>88077</t>
  </si>
  <si>
    <t>94223</t>
  </si>
  <si>
    <t>90665</t>
  </si>
  <si>
    <t>88078</t>
  </si>
  <si>
    <t>Mahmudur Rahman Rafi</t>
  </si>
  <si>
    <t>Khairul Islam</t>
  </si>
  <si>
    <t>90668</t>
  </si>
  <si>
    <t>88079</t>
  </si>
  <si>
    <t>94224</t>
  </si>
  <si>
    <t>90669</t>
  </si>
  <si>
    <t>88080</t>
  </si>
  <si>
    <t>94225</t>
  </si>
  <si>
    <t>Mohammad Majharul Islam</t>
  </si>
  <si>
    <t>90670</t>
  </si>
  <si>
    <t>88081</t>
  </si>
  <si>
    <t>94226</t>
  </si>
  <si>
    <t>88082</t>
  </si>
  <si>
    <t>90671</t>
  </si>
  <si>
    <t>88083</t>
  </si>
  <si>
    <t>90672</t>
  </si>
  <si>
    <t>88084</t>
  </si>
  <si>
    <t>88085</t>
  </si>
  <si>
    <t>94234</t>
  </si>
  <si>
    <t>90673</t>
  </si>
  <si>
    <t>Mst. Sultana Akter</t>
  </si>
  <si>
    <t>88086</t>
  </si>
  <si>
    <t>94235</t>
  </si>
  <si>
    <t>90674</t>
  </si>
  <si>
    <t>94236</t>
  </si>
  <si>
    <t>88087</t>
  </si>
  <si>
    <t>90675</t>
  </si>
  <si>
    <t>94237</t>
  </si>
  <si>
    <t>88088</t>
  </si>
  <si>
    <t>90676</t>
  </si>
  <si>
    <t>88089</t>
  </si>
  <si>
    <t>94238</t>
  </si>
  <si>
    <t>SK. Mosaddek Hossain</t>
  </si>
  <si>
    <t>88090</t>
  </si>
  <si>
    <t>94239</t>
  </si>
  <si>
    <t>90677</t>
  </si>
  <si>
    <t>Md Abdul Haque</t>
  </si>
  <si>
    <t>88091</t>
  </si>
  <si>
    <t>94240</t>
  </si>
  <si>
    <t>90678</t>
  </si>
  <si>
    <t>88092</t>
  </si>
  <si>
    <t>Hridoy Kumar Das</t>
  </si>
  <si>
    <t>Md Washi Ur Rahman</t>
  </si>
  <si>
    <t>94242</t>
  </si>
  <si>
    <t>88093</t>
  </si>
  <si>
    <t>94243</t>
  </si>
  <si>
    <t>Farjana Tanjila</t>
  </si>
  <si>
    <t>88094</t>
  </si>
  <si>
    <t>88095</t>
  </si>
  <si>
    <t>Nazmul Hossain</t>
  </si>
  <si>
    <t>94244</t>
  </si>
  <si>
    <t>Md. Shfiqur Rahman</t>
  </si>
  <si>
    <t>88096</t>
  </si>
  <si>
    <t>MafiJul Islam</t>
  </si>
  <si>
    <t>88097</t>
  </si>
  <si>
    <t>94245</t>
  </si>
  <si>
    <t>88098</t>
  </si>
  <si>
    <t>94246</t>
  </si>
  <si>
    <t>88099</t>
  </si>
  <si>
    <t>MD. Mosiur Rahman</t>
  </si>
  <si>
    <t>90679</t>
  </si>
  <si>
    <t>94247</t>
  </si>
  <si>
    <t>Tayiba Binta Samad</t>
  </si>
  <si>
    <t>88100</t>
  </si>
  <si>
    <t>Mst. Marufa Parvin</t>
  </si>
  <si>
    <t>94248</t>
  </si>
  <si>
    <t>90651</t>
  </si>
  <si>
    <t>Sheikh Jalal Uddin Ahmed Munna</t>
  </si>
  <si>
    <t>90652</t>
  </si>
  <si>
    <t>94249</t>
  </si>
  <si>
    <t>90681</t>
  </si>
  <si>
    <t>Nabil Ahmmed</t>
  </si>
  <si>
    <t>90653</t>
  </si>
  <si>
    <t>94250</t>
  </si>
  <si>
    <t>90654</t>
  </si>
  <si>
    <t>90682</t>
  </si>
  <si>
    <t>96151</t>
  </si>
  <si>
    <t>90683</t>
  </si>
  <si>
    <t>90655</t>
  </si>
  <si>
    <t>90656</t>
  </si>
  <si>
    <t>90684</t>
  </si>
  <si>
    <t>90657</t>
  </si>
  <si>
    <t>Kulsuma Akter</t>
  </si>
  <si>
    <t>90658</t>
  </si>
  <si>
    <t>90685</t>
  </si>
  <si>
    <t>90659</t>
  </si>
  <si>
    <t>90687</t>
  </si>
  <si>
    <t>90660</t>
  </si>
  <si>
    <t>Md. Sheikh Kamal Patwary</t>
  </si>
  <si>
    <t>90661</t>
  </si>
  <si>
    <t>90688</t>
  </si>
  <si>
    <t>90689</t>
  </si>
  <si>
    <t>90690</t>
  </si>
  <si>
    <t>90691</t>
  </si>
  <si>
    <t>90692</t>
  </si>
  <si>
    <t>90693</t>
  </si>
  <si>
    <t>90694</t>
  </si>
  <si>
    <t>90695</t>
  </si>
  <si>
    <t>90696</t>
  </si>
  <si>
    <t>90697</t>
  </si>
  <si>
    <t>90698</t>
  </si>
  <si>
    <t>91421</t>
  </si>
  <si>
    <t>90686</t>
  </si>
  <si>
    <t>Regarding Wrong Amount</t>
  </si>
  <si>
    <t>90699</t>
  </si>
  <si>
    <t>Tanver Hossain</t>
  </si>
  <si>
    <t>Al-Mamun</t>
  </si>
  <si>
    <t>91420</t>
  </si>
  <si>
    <t>90700</t>
  </si>
  <si>
    <t>Sayed Mashuk Ahmed</t>
  </si>
  <si>
    <t>91423</t>
  </si>
  <si>
    <t>91422</t>
  </si>
  <si>
    <t>91424</t>
  </si>
  <si>
    <t>Naimur Rahman Zidan</t>
  </si>
  <si>
    <t>Moha. Sheikh Sadi</t>
  </si>
  <si>
    <t>92352</t>
  </si>
  <si>
    <t>92353</t>
  </si>
  <si>
    <t>92354</t>
  </si>
  <si>
    <t>92355</t>
  </si>
  <si>
    <t>92356</t>
  </si>
  <si>
    <t>92357</t>
  </si>
  <si>
    <t>92351</t>
  </si>
  <si>
    <t>92358</t>
  </si>
  <si>
    <t>92359</t>
  </si>
  <si>
    <t>92360</t>
  </si>
  <si>
    <t>92361</t>
  </si>
  <si>
    <t>Mahammad Majharul Islam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</si>
  <si>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</si>
  <si>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</si>
  <si>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</si>
  <si>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</si>
  <si>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</si>
  <si>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</si>
  <si>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</si>
  <si>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</si>
  <si>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</si>
  <si>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Md Taherul Islam</t>
  </si>
  <si>
    <t>92371</t>
  </si>
  <si>
    <t>92372</t>
  </si>
  <si>
    <t>Jakia Sultana</t>
  </si>
  <si>
    <t>92373</t>
  </si>
  <si>
    <t>92374</t>
  </si>
  <si>
    <t>92375</t>
  </si>
  <si>
    <t>92376</t>
  </si>
  <si>
    <t>92377</t>
  </si>
  <si>
    <t>92378</t>
  </si>
  <si>
    <t>For Writing Wrong Project</t>
  </si>
  <si>
    <t>92379</t>
  </si>
  <si>
    <t>92380</t>
  </si>
  <si>
    <t>92384</t>
  </si>
  <si>
    <t>94218</t>
  </si>
  <si>
    <t>Regarding Wrong Amount Wrritten</t>
  </si>
  <si>
    <t>94219</t>
  </si>
  <si>
    <t>Mst Rahman Akter</t>
  </si>
  <si>
    <t>94233</t>
  </si>
  <si>
    <t>For Writing Wrong  Name</t>
  </si>
  <si>
    <t>94241</t>
  </si>
  <si>
    <t>For Printing Misstake</t>
  </si>
  <si>
    <t>95166</t>
  </si>
  <si>
    <t>95171</t>
  </si>
  <si>
    <t>95191</t>
  </si>
  <si>
    <t>1924</t>
  </si>
  <si>
    <t>96180</t>
  </si>
  <si>
    <t xml:space="preserve">For Wrong  Name Writing </t>
  </si>
  <si>
    <t>96190</t>
  </si>
  <si>
    <t>OCDL Sales- Collection of May: 2026</t>
  </si>
  <si>
    <t>OCDL Sales- Collection of April: 2026</t>
  </si>
  <si>
    <t>96361</t>
  </si>
  <si>
    <t>Batch-4</t>
  </si>
  <si>
    <t>84587-1</t>
  </si>
  <si>
    <t>Md Wazedol Islam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</si>
  <si>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</si>
  <si>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</si>
  <si>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</si>
  <si>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</si>
  <si>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</si>
  <si>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</si>
  <si>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</si>
  <si>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</si>
  <si>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</si>
  <si>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</si>
  <si>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</si>
  <si>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</si>
  <si>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</si>
  <si>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</si>
  <si>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</si>
  <si>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</si>
  <si>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</si>
  <si>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</si>
  <si>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</si>
  <si>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</si>
  <si>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</si>
  <si>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</si>
  <si>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</si>
  <si>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</si>
  <si>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</si>
  <si>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</si>
  <si>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</si>
  <si>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</si>
  <si>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</si>
  <si>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</si>
  <si>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</si>
  <si>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</si>
  <si>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</si>
  <si>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</si>
  <si>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</si>
  <si>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</si>
  <si>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</si>
  <si>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</si>
  <si>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</si>
  <si>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</si>
  <si>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Grand Total</t>
  </si>
  <si>
    <t>Md. Bellal Hossan</t>
  </si>
  <si>
    <t>Collection of March: 2026</t>
  </si>
  <si>
    <t>83106-1</t>
  </si>
  <si>
    <t>Safiqul Islam</t>
  </si>
  <si>
    <t>Collection of February: 2026</t>
  </si>
  <si>
    <t>Mohammad Mohed Ali</t>
  </si>
  <si>
    <t>Abdul barek</t>
  </si>
  <si>
    <t>78032</t>
  </si>
  <si>
    <t>76791</t>
  </si>
  <si>
    <t>76775</t>
  </si>
  <si>
    <t>79768</t>
  </si>
  <si>
    <t>75495</t>
  </si>
  <si>
    <t>76674</t>
  </si>
  <si>
    <t>Ratul Kumar Paul</t>
  </si>
  <si>
    <t>CHQ Return</t>
  </si>
  <si>
    <t>Md. Yashin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</si>
</sst>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d-mmm-yy"/>
    <numFmt numFmtId="166" formatCode="d-mmm-yyyy"/>
    <numFmt numFmtId="167" formatCode="d-mmmm-yy"/>
    <numFmt numFmtId="168" formatCode="[$-10409]#,##0.00;\(#,##0.00\)"/>
  </numFmts>
  <fonts count="19">
    <font>
      <sz val="11.0"/>
      <color rgb="FF000000"/>
      <name val="Calibri"/>
      <scheme val="minor"/>
    </font>
    <font>
      <b/>
      <sz val="9.0"/>
      <color rgb="FF000000"/>
      <name val="Times New Roman"/>
    </font>
    <font>
      <b/>
      <sz val="11.0"/>
      <color theme="1"/>
      <name val="Calibri"/>
    </font>
    <font/>
    <font>
      <sz val="9.0"/>
      <color rgb="FF000000"/>
      <name val="Times New Roman"/>
    </font>
    <font>
      <color theme="1"/>
      <name val="Calibri"/>
      <scheme val="minor"/>
    </font>
    <font>
      <sz val="9.0"/>
      <color theme="1"/>
      <name val="Times New Roman"/>
    </font>
    <font>
      <sz val="9.0"/>
      <color rgb="FF000000"/>
      <name val="Arial"/>
    </font>
    <font>
      <sz val="9.0"/>
      <color theme="1"/>
      <name val="Calibri"/>
    </font>
    <font>
      <sz val="9.0"/>
      <color rgb="FFFF0000"/>
      <name val="Times New Roman"/>
    </font>
    <font>
      <sz val="11.0"/>
      <color theme="1"/>
      <name val="Calibri"/>
    </font>
    <font>
      <sz val="8.0"/>
      <color theme="1"/>
      <name val="Times New Roman"/>
    </font>
    <font>
      <sz val="9.0"/>
      <color rgb="FF000000"/>
      <name val="&quot;Times New Roman&quot;"/>
    </font>
    <font>
      <b/>
      <u/>
      <sz val="9.0"/>
      <color rgb="FF000000"/>
      <name val="Times New Roman"/>
    </font>
    <font>
      <b/>
      <sz val="9.0"/>
      <color theme="1"/>
      <name val="Times New Roman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sz val="8.0"/>
      <color rgb="FFFF0000"/>
      <name val="Arial"/>
    </font>
    <font>
      <sz val="8.0"/>
      <color rgb="FFFF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theme="6"/>
        <bgColor theme="6"/>
      </patternFill>
    </fill>
  </fills>
  <borders count="14">
    <border/>
    <border>
      <left style="thin">
        <color rgb="FFD3D3D3"/>
      </lef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vertical="center"/>
    </xf>
    <xf borderId="2" fillId="2" fontId="1" numFmtId="0" xfId="0" applyAlignment="1" applyBorder="1" applyFill="1" applyFont="1">
      <alignment horizontal="left" readingOrder="1" vertical="center"/>
    </xf>
    <xf borderId="3" fillId="0" fontId="2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right" readingOrder="1" vertical="center"/>
    </xf>
    <xf borderId="3" fillId="0" fontId="3" numFmtId="0" xfId="0" applyBorder="1" applyFont="1"/>
    <xf borderId="2" fillId="2" fontId="1" numFmtId="0" xfId="0" applyAlignment="1" applyBorder="1" applyFill="1" applyFont="1">
      <alignment horizontal="center" readingOrder="1" vertical="center"/>
    </xf>
    <xf borderId="2" fillId="2" fontId="1" numFmtId="0" xfId="0" applyAlignment="1" applyBorder="1" applyFill="1" applyFont="1">
      <alignment horizontal="left" readingOrder="1" vertical="center"/>
    </xf>
    <xf borderId="2" fillId="2" fontId="1" numFmtId="0" xfId="0" applyAlignment="1" applyBorder="1" applyFill="1" applyFont="1">
      <alignment horizontal="center" readingOrder="1" vertical="center"/>
    </xf>
    <xf borderId="2" fillId="2" fontId="4" numFmtId="0" xfId="0" applyAlignment="1" applyBorder="1" applyFill="1" applyFont="1">
      <alignment horizontal="center" readingOrder="1" vertical="center"/>
    </xf>
    <xf borderId="2" fillId="2" fontId="1" numFmtId="0" xfId="0" applyAlignment="1" applyBorder="1" applyFill="1" applyFont="1">
      <alignment horizontal="right" readingOrder="1" shrinkToFit="0" vertical="center" wrapText="0"/>
    </xf>
    <xf borderId="0" fillId="0" fontId="5" numFmtId="0" xfId="0" applyAlignment="1" applyFont="1">
      <alignment vertical="center"/>
    </xf>
    <xf borderId="2" fillId="0" fontId="4" numFmtId="0" xfId="0" applyAlignment="1" applyBorder="1" applyFont="1">
      <alignment horizontal="center" readingOrder="1" vertical="top"/>
    </xf>
    <xf borderId="1" fillId="0" fontId="4" numFmtId="0" xfId="0" applyAlignment="1" applyBorder="1" applyFont="1">
      <alignment horizontal="left" readingOrder="1" vertical="center"/>
    </xf>
    <xf borderId="2" fillId="0" fontId="4" numFmtId="0" xfId="0" applyAlignment="1" applyBorder="1" applyFont="1">
      <alignment horizontal="left" readingOrder="1" shrinkToFit="0" vertical="center" wrapText="0"/>
    </xf>
    <xf borderId="2" fillId="0" fontId="4" numFmtId="0" xfId="0" applyAlignment="1" applyBorder="1" applyFont="1">
      <alignment horizontal="center" readingOrder="1" vertical="center"/>
    </xf>
    <xf borderId="2" fillId="0" fontId="4" numFmtId="0" xfId="0" applyAlignment="1" applyBorder="1" applyFont="1">
      <alignment horizontal="center" readingOrder="1" shrinkToFit="0" vertical="center" wrapText="0"/>
    </xf>
    <xf borderId="2" fillId="0" fontId="4" numFmtId="0" xfId="0" applyAlignment="1" applyBorder="1" applyFont="1">
      <alignment horizontal="center" readingOrder="1" vertical="center"/>
    </xf>
    <xf borderId="2" fillId="0" fontId="4" numFmtId="0" xfId="0" applyAlignment="1" applyBorder="1" applyFont="1">
      <alignment horizontal="center" readingOrder="1" shrinkToFit="0" vertical="center" wrapText="0"/>
    </xf>
    <xf quotePrefix="1" borderId="2" fillId="0" fontId="4" numFmtId="0" xfId="0" applyAlignment="1" applyBorder="1" applyFont="1">
      <alignment horizontal="center" readingOrder="1" vertical="center"/>
    </xf>
    <xf quotePrefix="1" borderId="2" fillId="0" fontId="4" numFmtId="0" xfId="0" applyAlignment="1" applyBorder="1" applyFont="1">
      <alignment horizontal="center" readingOrder="1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left" readingOrder="1" shrinkToFit="0" vertical="center" wrapText="0"/>
    </xf>
    <xf borderId="2" fillId="0" fontId="4" numFmtId="0" xfId="0" applyAlignment="1" applyBorder="1" applyFont="1">
      <alignment horizontal="left" readingOrder="1" vertical="center"/>
    </xf>
    <xf borderId="2" fillId="0" fontId="4" numFmtId="164" xfId="0" applyAlignment="1" applyBorder="1" applyFont="1" applyNumberFormat="1">
      <alignment horizontal="right" readingOrder="1" shrinkToFit="0" vertical="center" wrapText="0"/>
    </xf>
    <xf borderId="2" fillId="0" fontId="4" numFmtId="0" xfId="0" applyAlignment="1" applyBorder="1" applyFont="1">
      <alignment horizontal="left" readingOrder="1" vertical="center"/>
    </xf>
    <xf borderId="2" fillId="3" fontId="4" numFmtId="164" xfId="0" applyAlignment="1" applyBorder="1" applyFill="1" applyFont="1" applyNumberFormat="1">
      <alignment horizontal="left" readingOrder="1" vertical="center"/>
    </xf>
    <xf borderId="2" fillId="0" fontId="4" numFmtId="0" xfId="0" applyAlignment="1" applyBorder="1" applyFont="1">
      <alignment horizontal="left" readingOrder="1" shrinkToFit="0" vertical="center" wrapText="0"/>
    </xf>
    <xf borderId="2" fillId="0" fontId="4" numFmtId="3" xfId="0" applyAlignment="1" applyBorder="1" applyFont="1" applyNumberFormat="1">
      <alignment horizontal="right" readingOrder="1" vertical="center"/>
    </xf>
    <xf borderId="2" fillId="0" fontId="4" numFmtId="3" xfId="0" applyAlignment="1" applyBorder="1" applyFont="1" applyNumberFormat="1">
      <alignment horizontal="right" readingOrder="1" shrinkToFit="0" vertical="center" wrapText="0"/>
    </xf>
    <xf borderId="2" fillId="0" fontId="4" numFmtId="164" xfId="0" applyAlignment="1" applyBorder="1" applyFont="1" applyNumberFormat="1">
      <alignment horizontal="left" readingOrder="1" vertical="center"/>
    </xf>
    <xf borderId="2" fillId="0" fontId="4" numFmtId="14" xfId="0" applyAlignment="1" applyBorder="1" applyFont="1" applyNumberFormat="1">
      <alignment horizontal="right" readingOrder="1" shrinkToFit="0" vertical="center" wrapText="0"/>
    </xf>
    <xf borderId="2" fillId="0" fontId="4" numFmtId="164" xfId="0" applyAlignment="1" applyBorder="1" applyFont="1" applyNumberFormat="1">
      <alignment horizontal="right" readingOrder="1" vertical="center"/>
    </xf>
    <xf borderId="2" fillId="0" fontId="6" numFmtId="164" xfId="0" applyAlignment="1" applyBorder="1" applyFont="1" applyNumberFormat="1">
      <alignment vertical="center"/>
    </xf>
    <xf borderId="2" fillId="0" fontId="4" numFmtId="0" xfId="0" applyAlignment="1" applyBorder="1" applyFont="1">
      <alignment horizontal="right" readingOrder="1" shrinkToFit="0" vertical="center" wrapText="0"/>
    </xf>
    <xf quotePrefix="1" borderId="2" fillId="0" fontId="4" numFmtId="0" xfId="0" applyAlignment="1" applyBorder="1" applyFont="1">
      <alignment horizontal="center" readingOrder="1" vertical="center"/>
    </xf>
    <xf borderId="2" fillId="4" fontId="6" numFmtId="0" xfId="0" applyAlignment="1" applyBorder="1" applyFill="1" applyFont="1">
      <alignment shrinkToFit="0" vertical="center" wrapText="0"/>
    </xf>
    <xf borderId="2" fillId="0" fontId="6" numFmtId="0" xfId="0" applyAlignment="1" applyBorder="1" applyFont="1">
      <alignment horizontal="left" shrinkToFit="0" vertical="center" wrapText="1"/>
    </xf>
    <xf borderId="2" fillId="3" fontId="4" numFmtId="164" xfId="0" applyAlignment="1" applyBorder="1" applyFill="1" applyFont="1" applyNumberFormat="1">
      <alignment horizontal="left" readingOrder="1" shrinkToFit="0" vertical="center" wrapText="0"/>
    </xf>
    <xf borderId="2" fillId="0" fontId="4" numFmtId="0" xfId="0" applyAlignment="1" applyBorder="1" applyFont="1">
      <alignment horizontal="right" readingOrder="1" shrinkToFit="0" vertical="center" wrapText="0"/>
    </xf>
    <xf borderId="2" fillId="0" fontId="7" numFmtId="0" xfId="0" applyAlignment="1" applyBorder="1" applyFont="1">
      <alignment horizontal="left" readingOrder="1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2" fillId="0" fontId="6" numFmtId="164" xfId="0" applyAlignment="1" applyBorder="1" applyFont="1" applyNumberFormat="1">
      <alignment horizontal="right" vertical="center"/>
    </xf>
    <xf borderId="2" fillId="0" fontId="7" numFmtId="3" xfId="0" applyAlignment="1" applyBorder="1" applyFont="1" applyNumberFormat="1">
      <alignment horizontal="left" readingOrder="1" shrinkToFit="0" vertical="center" wrapText="0"/>
    </xf>
    <xf borderId="2" fillId="0" fontId="8" numFmtId="3" xfId="0" applyAlignment="1" applyBorder="1" applyFont="1" applyNumberFormat="1">
      <alignment readingOrder="0" shrinkToFit="0" vertical="center" wrapText="0"/>
    </xf>
    <xf borderId="2" fillId="5" fontId="9" numFmtId="0" xfId="0" applyAlignment="1" applyBorder="1" applyFill="1" applyFont="1">
      <alignment horizontal="left" readingOrder="1" shrinkToFit="0" vertical="center" wrapText="0"/>
    </xf>
    <xf borderId="2" fillId="5" fontId="9" numFmtId="0" xfId="0" applyAlignment="1" applyBorder="1" applyFill="1" applyFont="1">
      <alignment horizontal="left" readingOrder="1" shrinkToFit="0" vertical="center" wrapText="0"/>
    </xf>
    <xf borderId="2" fillId="0" fontId="4" numFmtId="164" xfId="0" applyAlignment="1" applyBorder="1" applyFont="1" applyNumberFormat="1">
      <alignment horizontal="left" readingOrder="1" shrinkToFit="0" vertical="center" wrapText="0"/>
    </xf>
    <xf borderId="2" fillId="0" fontId="8" numFmtId="3" xfId="0" applyAlignment="1" applyBorder="1" applyFont="1" applyNumberFormat="1">
      <alignment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2" fillId="3" fontId="4" numFmtId="164" xfId="0" applyAlignment="1" applyBorder="1" applyFill="1" applyFont="1" applyNumberFormat="1">
      <alignment horizontal="right" readingOrder="1" shrinkToFit="0" vertical="center" wrapText="0"/>
    </xf>
    <xf borderId="2" fillId="0" fontId="6" numFmtId="3" xfId="0" applyAlignment="1" applyBorder="1" applyFont="1" applyNumberFormat="1">
      <alignment readingOrder="0" shrinkToFit="0" vertical="center" wrapText="0"/>
    </xf>
    <xf borderId="2" fillId="0" fontId="8" numFmtId="164" xfId="0" applyAlignment="1" applyBorder="1" applyFont="1" applyNumberFormat="1">
      <alignment shrinkToFit="0" vertical="center" wrapText="0"/>
    </xf>
    <xf borderId="2" fillId="0" fontId="8" numFmtId="164" xfId="0" applyAlignment="1" applyBorder="1" applyFont="1" applyNumberFormat="1">
      <alignment horizontal="right" shrinkToFit="0" vertical="center" wrapText="0"/>
    </xf>
    <xf borderId="2" fillId="0" fontId="9" numFmtId="0" xfId="0" applyAlignment="1" applyBorder="1" applyFont="1">
      <alignment horizontal="left" readingOrder="1" shrinkToFit="0" vertical="center" wrapText="0"/>
    </xf>
    <xf borderId="2" fillId="0" fontId="9" numFmtId="0" xfId="0" applyAlignment="1" applyBorder="1" applyFont="1">
      <alignment horizontal="left" readingOrder="1" shrinkToFit="0" vertical="center" wrapText="0"/>
    </xf>
    <xf borderId="2" fillId="0" fontId="6" numFmtId="0" xfId="0" applyAlignment="1" applyBorder="1" applyFont="1">
      <alignment horizontal="left" readingOrder="1" vertical="center"/>
    </xf>
    <xf borderId="2" fillId="0" fontId="9" numFmtId="0" xfId="0" applyAlignment="1" applyBorder="1" applyFont="1">
      <alignment horizontal="left" readingOrder="1" shrinkToFit="0" vertical="center" wrapText="0"/>
    </xf>
    <xf borderId="2" fillId="5" fontId="4" numFmtId="164" xfId="0" applyAlignment="1" applyBorder="1" applyFill="1" applyFont="1" applyNumberFormat="1">
      <alignment horizontal="right" readingOrder="1" shrinkToFit="0" vertical="center" wrapText="0"/>
    </xf>
    <xf borderId="2" fillId="4" fontId="6" numFmtId="0" xfId="0" applyAlignment="1" applyBorder="1" applyFill="1" applyFont="1">
      <alignment readingOrder="0" shrinkToFit="0" vertical="center" wrapText="0"/>
    </xf>
    <xf borderId="2" fillId="0" fontId="10" numFmtId="0" xfId="0" applyAlignment="1" applyBorder="1" applyFont="1">
      <alignment shrinkToFit="0" vertical="center" wrapText="0"/>
    </xf>
    <xf borderId="2" fillId="0" fontId="10" numFmtId="0" xfId="0" applyAlignment="1" applyBorder="1" applyFont="1">
      <alignment readingOrder="0" shrinkToFit="0" vertical="center" wrapText="0"/>
    </xf>
    <xf borderId="2" fillId="5" fontId="4" numFmtId="164" xfId="0" applyAlignment="1" applyBorder="1" applyFill="1" applyFont="1" applyNumberFormat="1">
      <alignment horizontal="left" readingOrder="1" vertical="center"/>
    </xf>
    <xf borderId="2" fillId="0" fontId="6" numFmtId="0" xfId="0" applyAlignment="1" applyBorder="1" applyFont="1">
      <alignment shrinkToFit="0" vertical="center" wrapText="1"/>
    </xf>
    <xf borderId="2" fillId="4" fontId="6" numFmtId="0" xfId="0" applyAlignment="1" applyBorder="1" applyFill="1" applyFont="1">
      <alignment vertical="center"/>
    </xf>
    <xf borderId="2" fillId="4" fontId="6" numFmtId="0" xfId="0" applyAlignment="1" applyBorder="1" applyFill="1" applyFont="1">
      <alignment shrinkToFit="0" vertical="center" wrapText="1"/>
    </xf>
    <xf borderId="2" fillId="5" fontId="4" numFmtId="164" xfId="0" applyAlignment="1" applyBorder="1" applyFill="1" applyFont="1" applyNumberFormat="1">
      <alignment horizontal="left" readingOrder="1" shrinkToFit="0" vertical="center" wrapText="0"/>
    </xf>
    <xf borderId="2" fillId="5" fontId="6" numFmtId="0" xfId="0" applyAlignment="1" applyBorder="1" applyFill="1" applyFont="1">
      <alignment shrinkToFit="0" vertical="center" wrapText="1"/>
    </xf>
    <xf borderId="4" fillId="5" fontId="11" numFmtId="0" xfId="0" applyAlignment="1" applyBorder="1" applyFill="1" applyFont="1">
      <alignment horizontal="center" readingOrder="0"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readingOrder="0" vertical="center"/>
    </xf>
    <xf borderId="2" fillId="5" fontId="4" numFmtId="164" xfId="0" applyAlignment="1" applyBorder="1" applyFill="1" applyFont="1" applyNumberFormat="1">
      <alignment horizontal="right" readingOrder="1" vertical="center"/>
    </xf>
    <xf borderId="2" fillId="0" fontId="6" numFmtId="0" xfId="0" applyAlignment="1" applyBorder="1" applyFont="1">
      <alignment readingOrder="0" shrinkToFit="0" vertical="center" wrapText="1"/>
    </xf>
    <xf quotePrefix="1" borderId="2" fillId="0" fontId="6" numFmtId="0" xfId="0" applyAlignment="1" applyBorder="1" applyFont="1">
      <alignment horizontal="center" readingOrder="0" shrinkToFit="0" vertical="center" wrapText="0"/>
    </xf>
    <xf borderId="2" fillId="0" fontId="4" numFmtId="3" xfId="0" applyAlignment="1" applyBorder="1" applyFont="1" applyNumberFormat="1">
      <alignment horizontal="left" readingOrder="1" vertical="center"/>
    </xf>
    <xf borderId="2" fillId="0" fontId="6" numFmtId="3" xfId="0" applyAlignment="1" applyBorder="1" applyFont="1" applyNumberFormat="1">
      <alignment vertical="center"/>
    </xf>
    <xf borderId="2" fillId="5" fontId="4" numFmtId="0" xfId="0" applyAlignment="1" applyBorder="1" applyFill="1" applyFont="1">
      <alignment horizontal="left" readingOrder="1" vertical="center"/>
    </xf>
    <xf borderId="2" fillId="0" fontId="6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left" shrinkToFit="0" vertical="center" wrapText="0"/>
    </xf>
    <xf borderId="2" fillId="0" fontId="12" numFmtId="0" xfId="0" applyAlignment="1" applyBorder="1" applyFont="1">
      <alignment readingOrder="0" vertical="center"/>
    </xf>
    <xf borderId="2" fillId="0" fontId="6" numFmtId="3" xfId="0" applyAlignment="1" applyBorder="1" applyFont="1" applyNumberFormat="1">
      <alignment shrinkToFit="0" vertical="center" wrapText="0"/>
    </xf>
    <xf borderId="5" fillId="0" fontId="12" numFmtId="0" xfId="0" applyAlignment="1" applyBorder="1" applyFont="1">
      <alignment vertical="center"/>
    </xf>
    <xf borderId="2" fillId="2" fontId="4" numFmtId="3" xfId="0" applyAlignment="1" applyBorder="1" applyFill="1" applyFont="1" applyNumberFormat="1">
      <alignment horizontal="right" readingOrder="1" vertical="center"/>
    </xf>
    <xf borderId="2" fillId="0" fontId="6" numFmtId="0" xfId="0" applyAlignment="1" applyBorder="1" applyFont="1">
      <alignment horizontal="left" readingOrder="1" shrinkToFit="0" vertical="center" wrapText="0"/>
    </xf>
    <xf borderId="2" fillId="2" fontId="4" numFmtId="164" xfId="0" applyAlignment="1" applyBorder="1" applyFill="1" applyFont="1" applyNumberFormat="1">
      <alignment horizontal="right" readingOrder="1" vertical="center"/>
    </xf>
    <xf borderId="2" fillId="0" fontId="6" numFmtId="0" xfId="0" applyAlignment="1" applyBorder="1" applyFont="1">
      <alignment horizontal="center" readingOrder="1" shrinkToFit="0" vertical="center" wrapText="0"/>
    </xf>
    <xf borderId="2" fillId="0" fontId="6" numFmtId="0" xfId="0" applyAlignment="1" applyBorder="1" applyFont="1">
      <alignment horizontal="left" readingOrder="1" shrinkToFit="0" vertical="center" wrapText="0"/>
    </xf>
    <xf borderId="2" fillId="0" fontId="6" numFmtId="3" xfId="0" applyAlignment="1" applyBorder="1" applyFont="1" applyNumberFormat="1">
      <alignment horizontal="left" readingOrder="1" shrinkToFit="0" vertical="center" wrapText="0"/>
    </xf>
    <xf borderId="2" fillId="0" fontId="8" numFmtId="3" xfId="0" applyAlignment="1" applyBorder="1" applyFont="1" applyNumberFormat="1">
      <alignment horizontal="left" readingOrder="1" shrinkToFit="0" vertical="center" wrapText="0"/>
    </xf>
    <xf borderId="2" fillId="5" fontId="6" numFmtId="0" xfId="0" applyAlignment="1" applyBorder="1" applyFill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readingOrder="1" shrinkToFit="0" vertical="center" wrapText="0"/>
    </xf>
    <xf borderId="2" fillId="0" fontId="4" numFmtId="3" xfId="0" applyAlignment="1" applyBorder="1" applyFont="1" applyNumberFormat="1">
      <alignment horizontal="left" readingOrder="1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3" fontId="4" numFmtId="164" xfId="0" applyAlignment="1" applyBorder="1" applyFill="1" applyFont="1" applyNumberFormat="1">
      <alignment horizontal="right" readingOrder="1" vertical="center"/>
    </xf>
    <xf borderId="2" fillId="4" fontId="9" numFmtId="0" xfId="0" applyAlignment="1" applyBorder="1" applyFill="1" applyFont="1">
      <alignment shrinkToFit="0" vertical="center" wrapText="0"/>
    </xf>
    <xf borderId="2" fillId="0" fontId="9" numFmtId="0" xfId="0" applyAlignment="1" applyBorder="1" applyFont="1">
      <alignment readingOrder="0" shrinkToFit="0" vertical="center" wrapText="0"/>
    </xf>
    <xf borderId="2" fillId="5" fontId="4" numFmtId="3" xfId="0" applyAlignment="1" applyBorder="1" applyFill="1" applyFont="1" applyNumberFormat="1">
      <alignment horizontal="right" readingOrder="1" shrinkToFit="0" vertical="center" wrapText="0"/>
    </xf>
    <xf borderId="2" fillId="0" fontId="9" numFmtId="0" xfId="0" applyAlignment="1" applyBorder="1" applyFont="1">
      <alignment horizontal="left" readingOrder="1" vertical="center"/>
    </xf>
    <xf borderId="2" fillId="0" fontId="4" numFmtId="0" xfId="0" applyAlignment="1" applyBorder="1" applyFont="1">
      <alignment horizontal="right" readingOrder="1" vertical="center"/>
    </xf>
    <xf borderId="2" fillId="5" fontId="4" numFmtId="3" xfId="0" applyAlignment="1" applyBorder="1" applyFill="1" applyFont="1" applyNumberFormat="1">
      <alignment horizontal="right" readingOrder="1" vertical="center"/>
    </xf>
    <xf borderId="2" fillId="4" fontId="6" numFmtId="0" xfId="0" applyAlignment="1" applyBorder="1" applyFill="1" applyFont="1">
      <alignment shrinkToFit="0" vertical="center" wrapText="0"/>
    </xf>
    <xf borderId="2" fillId="0" fontId="6" numFmtId="0" xfId="0" applyAlignment="1" applyBorder="1" applyFont="1">
      <alignment horizontal="left" readingOrder="1" vertical="center"/>
    </xf>
    <xf borderId="2" fillId="4" fontId="4" numFmtId="164" xfId="0" applyAlignment="1" applyBorder="1" applyFill="1" applyFont="1" applyNumberFormat="1">
      <alignment horizontal="left" readingOrder="1" vertical="center"/>
    </xf>
    <xf borderId="2" fillId="0" fontId="8" numFmtId="164" xfId="0" applyAlignment="1" applyBorder="1" applyFont="1" applyNumberFormat="1">
      <alignment vertical="center"/>
    </xf>
    <xf borderId="2" fillId="0" fontId="4" numFmtId="0" xfId="0" applyAlignment="1" applyBorder="1" applyFont="1">
      <alignment horizontal="left" readingOrder="1" vertical="top"/>
    </xf>
    <xf borderId="2" fillId="4" fontId="4" numFmtId="164" xfId="0" applyAlignment="1" applyBorder="1" applyFill="1" applyFont="1" applyNumberFormat="1">
      <alignment horizontal="right" readingOrder="1" vertical="top"/>
    </xf>
    <xf borderId="2" fillId="5" fontId="1" numFmtId="0" xfId="0" applyAlignment="1" applyBorder="1" applyFill="1" applyFont="1">
      <alignment horizontal="center" readingOrder="1" vertical="center"/>
    </xf>
    <xf borderId="2" fillId="5" fontId="4" numFmtId="3" xfId="0" applyAlignment="1" applyBorder="1" applyFill="1" applyFont="1" applyNumberFormat="1">
      <alignment horizontal="right" readingOrder="1" vertical="top"/>
    </xf>
    <xf borderId="2" fillId="5" fontId="4" numFmtId="0" xfId="0" applyAlignment="1" applyBorder="1" applyFill="1" applyFont="1">
      <alignment horizontal="right" readingOrder="1" vertical="top"/>
    </xf>
    <xf borderId="2" fillId="0" fontId="7" numFmtId="0" xfId="0" applyAlignment="1" applyBorder="1" applyFont="1">
      <alignment horizontal="center" readingOrder="1" vertical="center"/>
    </xf>
    <xf borderId="2" fillId="5" fontId="4" numFmtId="164" xfId="0" applyAlignment="1" applyBorder="1" applyFill="1" applyFont="1" applyNumberFormat="1">
      <alignment horizontal="right" readingOrder="1" vertical="top"/>
    </xf>
    <xf borderId="2" fillId="0" fontId="7" numFmtId="0" xfId="0" applyAlignment="1" applyBorder="1" applyFont="1">
      <alignment horizontal="left" readingOrder="1" vertical="center"/>
    </xf>
    <xf borderId="2" fillId="0" fontId="7" numFmtId="164" xfId="0" applyAlignment="1" applyBorder="1" applyFont="1" applyNumberFormat="1">
      <alignment horizontal="left" readingOrder="1" vertical="center"/>
    </xf>
    <xf borderId="2" fillId="0" fontId="7" numFmtId="3" xfId="0" applyAlignment="1" applyBorder="1" applyFont="1" applyNumberFormat="1">
      <alignment horizontal="right" readingOrder="1" vertical="center"/>
    </xf>
    <xf borderId="2" fillId="0" fontId="7" numFmtId="3" xfId="0" applyAlignment="1" applyBorder="1" applyFont="1" applyNumberFormat="1">
      <alignment horizontal="left" readingOrder="1" vertical="center"/>
    </xf>
    <xf borderId="2" fillId="0" fontId="8" numFmtId="3" xfId="0" applyAlignment="1" applyBorder="1" applyFont="1" applyNumberFormat="1">
      <alignment vertical="center"/>
    </xf>
    <xf borderId="2" fillId="0" fontId="4" numFmtId="164" xfId="0" applyAlignment="1" applyBorder="1" applyFont="1" applyNumberFormat="1">
      <alignment horizontal="right" readingOrder="1" vertical="top"/>
    </xf>
    <xf borderId="6" fillId="2" fontId="1" numFmtId="0" xfId="0" applyAlignment="1" applyBorder="1" applyFill="1" applyFont="1">
      <alignment horizontal="center" readingOrder="1" vertical="center"/>
    </xf>
    <xf borderId="5" fillId="0" fontId="3" numFmtId="0" xfId="0" applyBorder="1" applyFont="1"/>
    <xf borderId="2" fillId="2" fontId="4" numFmtId="3" xfId="0" applyAlignment="1" applyBorder="1" applyFill="1" applyFont="1" applyNumberFormat="1">
      <alignment horizontal="right" readingOrder="1" vertical="top"/>
    </xf>
    <xf borderId="2" fillId="2" fontId="4" numFmtId="0" xfId="0" applyAlignment="1" applyBorder="1" applyFill="1" applyFont="1">
      <alignment horizontal="right" readingOrder="1" vertical="top"/>
    </xf>
    <xf borderId="2" fillId="2" fontId="4" numFmtId="164" xfId="0" applyAlignment="1" applyBorder="1" applyFill="1" applyFont="1" applyNumberFormat="1">
      <alignment horizontal="right" readingOrder="1" vertical="top"/>
    </xf>
    <xf borderId="6" fillId="2" fontId="1" numFmtId="0" xfId="0" applyAlignment="1" applyBorder="1" applyFill="1" applyFont="1">
      <alignment horizontal="center" readingOrder="1" shrinkToFit="0" vertical="top" wrapText="1"/>
    </xf>
    <xf borderId="2" fillId="2" fontId="13" numFmtId="0" xfId="0" applyAlignment="1" applyBorder="1" applyFill="1" applyFont="1">
      <alignment horizontal="center" readingOrder="1" vertical="center"/>
    </xf>
    <xf borderId="5" fillId="0" fontId="1" numFmtId="0" xfId="0" applyAlignment="1" applyBorder="1" applyFont="1">
      <alignment horizontal="right" readingOrder="1" vertical="top"/>
    </xf>
    <xf borderId="2" fillId="0" fontId="6" numFmtId="0" xfId="0" applyAlignment="1" applyBorder="1" applyFont="1">
      <alignment horizontal="left" readingOrder="1" vertical="top"/>
    </xf>
    <xf borderId="2" fillId="0" fontId="6" numFmtId="0" xfId="0" applyAlignment="1" applyBorder="1" applyFont="1">
      <alignment horizontal="center" readingOrder="1" vertical="top"/>
    </xf>
    <xf borderId="2" fillId="0" fontId="6" numFmtId="0" xfId="0" applyAlignment="1" applyBorder="1" applyFont="1">
      <alignment horizontal="right" readingOrder="1" vertical="top"/>
    </xf>
    <xf borderId="6" fillId="0" fontId="1" numFmtId="0" xfId="0" applyAlignment="1" applyBorder="1" applyFont="1">
      <alignment horizontal="center" readingOrder="1" vertical="top"/>
    </xf>
    <xf borderId="2" fillId="0" fontId="1" numFmtId="3" xfId="0" applyAlignment="1" applyBorder="1" applyFont="1" applyNumberFormat="1">
      <alignment horizontal="right" readingOrder="1" vertical="top"/>
    </xf>
    <xf borderId="2" fillId="0" fontId="9" numFmtId="3" xfId="0" applyAlignment="1" applyBorder="1" applyFont="1" applyNumberFormat="1">
      <alignment readingOrder="0" shrinkToFit="0" vertical="center" wrapText="0"/>
    </xf>
    <xf borderId="2" fillId="0" fontId="1" numFmtId="164" xfId="0" applyAlignment="1" applyBorder="1" applyFont="1" applyNumberFormat="1">
      <alignment horizontal="right" readingOrder="1" vertical="top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right"/>
    </xf>
    <xf borderId="7" fillId="0" fontId="8" numFmtId="0" xfId="0" applyBorder="1" applyFont="1"/>
    <xf borderId="8" fillId="0" fontId="8" numFmtId="0" xfId="0" applyBorder="1" applyFont="1"/>
    <xf borderId="6" fillId="6" fontId="14" numFmtId="3" xfId="0" applyAlignment="1" applyBorder="1" applyFill="1" applyFont="1" applyNumberFormat="1">
      <alignment horizontal="right"/>
    </xf>
    <xf borderId="2" fillId="6" fontId="1" numFmtId="3" xfId="0" applyAlignment="1" applyBorder="1" applyFill="1" applyFont="1" applyNumberFormat="1">
      <alignment horizontal="right" readingOrder="1" vertical="center"/>
    </xf>
    <xf borderId="8" fillId="0" fontId="8" numFmtId="3" xfId="0" applyBorder="1" applyFont="1" applyNumberFormat="1"/>
    <xf borderId="9" fillId="0" fontId="8" numFmtId="0" xfId="0" applyAlignment="1" applyBorder="1" applyFont="1">
      <alignment horizontal="right"/>
    </xf>
    <xf borderId="10" fillId="0" fontId="8" numFmtId="0" xfId="0" applyBorder="1" applyFont="1"/>
    <xf borderId="3" fillId="0" fontId="8" numFmtId="0" xfId="0" applyBorder="1" applyFont="1"/>
    <xf borderId="6" fillId="3" fontId="14" numFmtId="3" xfId="0" applyAlignment="1" applyBorder="1" applyFill="1" applyFont="1" applyNumberFormat="1">
      <alignment horizontal="right"/>
    </xf>
    <xf borderId="2" fillId="3" fontId="1" numFmtId="3" xfId="0" applyAlignment="1" applyBorder="1" applyFill="1" applyFont="1" applyNumberFormat="1">
      <alignment horizontal="right" readingOrder="1" vertical="center"/>
    </xf>
    <xf borderId="3" fillId="0" fontId="8" numFmtId="3" xfId="0" applyBorder="1" applyFont="1" applyNumberFormat="1"/>
    <xf borderId="11" fillId="0" fontId="8" numFmtId="0" xfId="0" applyAlignment="1" applyBorder="1" applyFont="1">
      <alignment horizontal="right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right"/>
    </xf>
    <xf borderId="2" fillId="0" fontId="6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left" readingOrder="1" vertical="center"/>
    </xf>
    <xf borderId="2" fillId="0" fontId="9" numFmtId="0" xfId="0" applyAlignment="1" applyBorder="1" applyFont="1">
      <alignment horizontal="center" readingOrder="1" vertical="center"/>
    </xf>
    <xf quotePrefix="1" borderId="2" fillId="0" fontId="6" numFmtId="0" xfId="0" applyAlignment="1" applyBorder="1" applyFont="1">
      <alignment horizontal="center" readingOrder="1" vertical="center"/>
    </xf>
    <xf borderId="2" fillId="0" fontId="9" numFmtId="164" xfId="0" applyAlignment="1" applyBorder="1" applyFont="1" applyNumberFormat="1">
      <alignment horizontal="right" readingOrder="1" vertical="center"/>
    </xf>
    <xf borderId="2" fillId="0" fontId="9" numFmtId="3" xfId="0" applyAlignment="1" applyBorder="1" applyFont="1" applyNumberFormat="1">
      <alignment horizontal="right" readingOrder="1" vertical="center"/>
    </xf>
    <xf borderId="2" fillId="0" fontId="6" numFmtId="164" xfId="0" applyAlignment="1" applyBorder="1" applyFont="1" applyNumberFormat="1">
      <alignment readingOrder="0" vertical="center"/>
    </xf>
    <xf borderId="2" fillId="0" fontId="9" numFmtId="164" xfId="0" applyAlignment="1" applyBorder="1" applyFont="1" applyNumberFormat="1">
      <alignment horizontal="left" readingOrder="1" vertical="center"/>
    </xf>
    <xf borderId="2" fillId="0" fontId="9" numFmtId="0" xfId="0" applyAlignment="1" applyBorder="1" applyFont="1">
      <alignment horizontal="right" readingOrder="1" vertical="center"/>
    </xf>
    <xf borderId="2" fillId="0" fontId="6" numFmtId="164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horizontal="left" readingOrder="1" shrinkToFit="0" vertical="center" wrapText="0"/>
    </xf>
    <xf borderId="2" fillId="0" fontId="1" numFmtId="0" xfId="0" applyAlignment="1" applyBorder="1" applyFont="1">
      <alignment horizontal="center" readingOrder="1" shrinkToFit="0" vertical="center" wrapText="0"/>
    </xf>
    <xf borderId="2" fillId="0" fontId="1" numFmtId="0" xfId="0" applyAlignment="1" applyBorder="1" applyFont="1">
      <alignment horizontal="left" readingOrder="1" shrinkToFit="0" vertical="center" wrapText="0"/>
    </xf>
    <xf borderId="2" fillId="0" fontId="1" numFmtId="3" xfId="0" applyAlignment="1" applyBorder="1" applyFont="1" applyNumberFormat="1">
      <alignment horizontal="right" readingOrder="1" shrinkToFit="0" vertical="center" wrapText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2" fillId="0" fontId="12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readingOrder="1" vertical="center"/>
    </xf>
    <xf borderId="2" fillId="0" fontId="12" numFmtId="165" xfId="0" applyAlignment="1" applyBorder="1" applyFont="1" applyNumberFormat="1">
      <alignment horizontal="right" shrinkToFit="0" vertical="center" wrapText="0"/>
    </xf>
    <xf borderId="2" fillId="0" fontId="12" numFmtId="0" xfId="0" applyAlignment="1" applyBorder="1" applyFont="1">
      <alignment horizontal="center" shrinkToFit="0" vertical="center" wrapText="0"/>
    </xf>
    <xf borderId="2" fillId="0" fontId="12" numFmtId="3" xfId="0" applyAlignment="1" applyBorder="1" applyFont="1" applyNumberFormat="1">
      <alignment shrinkToFit="0" vertical="center" wrapText="0"/>
    </xf>
    <xf borderId="2" fillId="0" fontId="12" numFmtId="3" xfId="0" applyAlignment="1" applyBorder="1" applyFont="1" applyNumberFormat="1">
      <alignment horizontal="right" shrinkToFit="0" vertical="center" wrapText="0"/>
    </xf>
    <xf borderId="2" fillId="0" fontId="12" numFmtId="0" xfId="0" applyAlignment="1" applyBorder="1" applyFont="1">
      <alignment horizontal="right" readingOrder="0" shrinkToFit="0" vertical="center" wrapText="0"/>
    </xf>
    <xf borderId="2" fillId="0" fontId="4" numFmtId="165" xfId="0" applyAlignment="1" applyBorder="1" applyFont="1" applyNumberFormat="1">
      <alignment horizontal="center" readingOrder="1" vertical="center"/>
    </xf>
    <xf borderId="2" fillId="0" fontId="6" numFmtId="165" xfId="0" applyAlignment="1" applyBorder="1" applyFont="1" applyNumberFormat="1">
      <alignment horizontal="right" readingOrder="0" vertical="center"/>
    </xf>
    <xf borderId="2" fillId="5" fontId="4" numFmtId="165" xfId="0" applyAlignment="1" applyBorder="1" applyFill="1" applyFont="1" applyNumberFormat="1">
      <alignment horizontal="center" readingOrder="1" vertical="center"/>
    </xf>
    <xf borderId="2" fillId="0" fontId="12" numFmtId="0" xfId="0" applyAlignment="1" applyBorder="1" applyFont="1">
      <alignment horizontal="center" readingOrder="0" shrinkToFit="0" vertical="center" wrapText="0"/>
    </xf>
    <xf borderId="2" fillId="5" fontId="4" numFmtId="164" xfId="0" applyAlignment="1" applyBorder="1" applyFill="1" applyFont="1" applyNumberFormat="1">
      <alignment horizontal="center" readingOrder="1" vertical="center"/>
    </xf>
    <xf borderId="2" fillId="0" fontId="6" numFmtId="166" xfId="0" applyAlignment="1" applyBorder="1" applyFont="1" applyNumberFormat="1">
      <alignment readingOrder="0" vertical="center"/>
    </xf>
    <xf borderId="2" fillId="5" fontId="9" numFmtId="0" xfId="0" applyAlignment="1" applyBorder="1" applyFill="1" applyFont="1">
      <alignment horizontal="left" readingOrder="1" vertical="center"/>
    </xf>
    <xf borderId="2" fillId="5" fontId="9" numFmtId="0" xfId="0" applyAlignment="1" applyBorder="1" applyFill="1" applyFont="1">
      <alignment horizontal="left" readingOrder="1" vertical="center"/>
    </xf>
    <xf borderId="2" fillId="5" fontId="6" numFmtId="0" xfId="0" applyAlignment="1" applyBorder="1" applyFill="1" applyFont="1">
      <alignment horizontal="center" readingOrder="0" shrinkToFit="0" vertical="center" wrapText="1"/>
    </xf>
    <xf borderId="2" fillId="4" fontId="4" numFmtId="164" xfId="0" applyAlignment="1" applyBorder="1" applyFill="1" applyFont="1" applyNumberFormat="1">
      <alignment horizontal="center" readingOrder="1" vertical="center"/>
    </xf>
    <xf borderId="1" fillId="0" fontId="4" numFmtId="0" xfId="0" applyAlignment="1" applyBorder="1" applyFont="1">
      <alignment horizontal="center" readingOrder="1" vertical="center"/>
    </xf>
    <xf borderId="2" fillId="0" fontId="4" numFmtId="3" xfId="0" applyAlignment="1" applyBorder="1" applyFont="1" applyNumberFormat="1">
      <alignment horizontal="center" readingOrder="1" vertical="center"/>
    </xf>
    <xf borderId="2" fillId="0" fontId="6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 readingOrder="1" vertical="center"/>
    </xf>
    <xf borderId="2" fillId="0" fontId="4" numFmtId="3" xfId="0" applyAlignment="1" applyBorder="1" applyFont="1" applyNumberFormat="1">
      <alignment horizontal="right" vertical="center"/>
    </xf>
    <xf borderId="0" fillId="0" fontId="15" numFmtId="0" xfId="0" applyFont="1"/>
    <xf borderId="2" fillId="0" fontId="6" numFmtId="165" xfId="0" applyAlignment="1" applyBorder="1" applyFont="1" applyNumberFormat="1">
      <alignment readingOrder="0" vertical="center"/>
    </xf>
    <xf borderId="2" fillId="5" fontId="6" numFmtId="164" xfId="0" applyAlignment="1" applyBorder="1" applyFill="1" applyFont="1" applyNumberFormat="1">
      <alignment vertical="center"/>
    </xf>
    <xf borderId="2" fillId="5" fontId="4" numFmtId="0" xfId="0" applyAlignment="1" applyBorder="1" applyFill="1" applyFont="1">
      <alignment horizontal="center" readingOrder="1" vertical="center"/>
    </xf>
    <xf borderId="2" fillId="5" fontId="6" numFmtId="0" xfId="0" applyAlignment="1" applyBorder="1" applyFill="1" applyFont="1">
      <alignment readingOrder="0" vertical="center"/>
    </xf>
    <xf borderId="2" fillId="0" fontId="6" numFmtId="3" xfId="0" applyAlignment="1" applyBorder="1" applyFont="1" applyNumberFormat="1">
      <alignment horizontal="right" readingOrder="0" shrinkToFit="0" vertical="center" wrapText="0"/>
    </xf>
    <xf borderId="2" fillId="0" fontId="8" numFmtId="3" xfId="0" applyAlignment="1" applyBorder="1" applyFont="1" applyNumberFormat="1">
      <alignment horizontal="right" readingOrder="0" shrinkToFit="0" vertical="center" wrapText="0"/>
    </xf>
    <xf borderId="2" fillId="5" fontId="6" numFmtId="0" xfId="0" applyAlignment="1" applyBorder="1" applyFill="1" applyFont="1">
      <alignment shrinkToFit="0" vertical="center" wrapText="0"/>
    </xf>
    <xf borderId="2" fillId="0" fontId="4" numFmtId="0" xfId="0" applyAlignment="1" applyBorder="1" applyFont="1">
      <alignment horizontal="right" readingOrder="1" vertical="center"/>
    </xf>
    <xf borderId="2" fillId="0" fontId="6" numFmtId="167" xfId="0" applyAlignment="1" applyBorder="1" applyFont="1" applyNumberFormat="1">
      <alignment readingOrder="0" vertical="center"/>
    </xf>
    <xf borderId="2" fillId="0" fontId="9" numFmtId="0" xfId="0" applyAlignment="1" applyBorder="1" applyFont="1">
      <alignment horizontal="left" readingOrder="1" vertical="center"/>
    </xf>
    <xf borderId="2" fillId="0" fontId="9" numFmtId="0" xfId="0" applyAlignment="1" applyBorder="1" applyFont="1">
      <alignment horizontal="center" readingOrder="1" vertical="center"/>
    </xf>
    <xf borderId="2" fillId="5" fontId="9" numFmtId="164" xfId="0" applyAlignment="1" applyBorder="1" applyFill="1" applyFont="1" applyNumberFormat="1">
      <alignment horizontal="right" readingOrder="1" vertical="center"/>
    </xf>
    <xf borderId="2" fillId="5" fontId="9" numFmtId="0" xfId="0" applyAlignment="1" applyBorder="1" applyFill="1" applyFont="1">
      <alignment horizontal="center" readingOrder="1" vertical="center"/>
    </xf>
    <xf borderId="2" fillId="5" fontId="9" numFmtId="3" xfId="0" applyAlignment="1" applyBorder="1" applyFill="1" applyFont="1" applyNumberFormat="1">
      <alignment horizontal="right" readingOrder="1" vertical="center"/>
    </xf>
    <xf borderId="2" fillId="5" fontId="9" numFmtId="3" xfId="0" applyAlignment="1" applyBorder="1" applyFill="1" applyFont="1" applyNumberFormat="1">
      <alignment horizontal="left" readingOrder="1" vertical="center"/>
    </xf>
    <xf borderId="2" fillId="5" fontId="9" numFmtId="3" xfId="0" applyAlignment="1" applyBorder="1" applyFill="1" applyFont="1" applyNumberFormat="1">
      <alignment vertical="center"/>
    </xf>
    <xf borderId="2" fillId="5" fontId="6" numFmtId="164" xfId="0" applyAlignment="1" applyBorder="1" applyFill="1" applyFont="1" applyNumberFormat="1">
      <alignment horizontal="right" readingOrder="1" vertical="center"/>
    </xf>
    <xf borderId="2" fillId="2" fontId="1" numFmtId="0" xfId="0" applyAlignment="1" applyBorder="1" applyFill="1" applyFont="1">
      <alignment horizontal="right" readingOrder="1" vertical="center"/>
    </xf>
    <xf borderId="2" fillId="0" fontId="4" numFmtId="3" xfId="0" applyAlignment="1" applyBorder="1" applyFont="1" applyNumberFormat="1">
      <alignment horizontal="right" readingOrder="1" vertical="top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/>
    </xf>
    <xf borderId="2" fillId="0" fontId="6" numFmtId="3" xfId="0" applyAlignment="1" applyBorder="1" applyFont="1" applyNumberFormat="1">
      <alignment readingOrder="0"/>
    </xf>
    <xf borderId="2" fillId="0" fontId="6" numFmtId="3" xfId="0" applyAlignment="1" applyBorder="1" applyFont="1" applyNumberFormat="1">
      <alignment readingOrder="0" vertical="center"/>
    </xf>
    <xf borderId="2" fillId="0" fontId="8" numFmtId="3" xfId="0" applyAlignment="1" applyBorder="1" applyFont="1" applyNumberFormat="1">
      <alignment readingOrder="0" vertical="center"/>
    </xf>
    <xf borderId="2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vertical="center"/>
    </xf>
    <xf borderId="2" fillId="0" fontId="8" numFmtId="164" xfId="0" applyBorder="1" applyFont="1" applyNumberFormat="1"/>
    <xf borderId="2" fillId="0" fontId="6" numFmtId="0" xfId="0" applyBorder="1" applyFont="1"/>
    <xf borderId="2" fillId="4" fontId="9" numFmtId="0" xfId="0" applyAlignment="1" applyBorder="1" applyFill="1" applyFont="1">
      <alignment vertical="center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readingOrder="0" vertical="center"/>
    </xf>
    <xf borderId="2" fillId="5" fontId="6" numFmtId="0" xfId="0" applyAlignment="1" applyBorder="1" applyFill="1" applyFont="1">
      <alignment readingOrder="0" shrinkToFit="0" vertical="center" wrapText="0"/>
    </xf>
    <xf borderId="2" fillId="4" fontId="6" numFmtId="0" xfId="0" applyAlignment="1" applyBorder="1" applyFill="1" applyFont="1">
      <alignment shrinkToFit="0" vertical="center" wrapText="1"/>
    </xf>
    <xf borderId="2" fillId="5" fontId="6" numFmtId="0" xfId="0" applyAlignment="1" applyBorder="1" applyFill="1" applyFont="1">
      <alignment readingOrder="0" shrinkToFit="0" vertical="center" wrapText="1"/>
    </xf>
    <xf borderId="2" fillId="3" fontId="4" numFmtId="165" xfId="0" applyAlignment="1" applyBorder="1" applyFill="1" applyFont="1" applyNumberFormat="1">
      <alignment horizontal="right" readingOrder="1" vertical="center"/>
    </xf>
    <xf borderId="2" fillId="5" fontId="9" numFmtId="164" xfId="0" applyAlignment="1" applyBorder="1" applyFill="1" applyFont="1" applyNumberFormat="1">
      <alignment horizontal="left" readingOrder="1" vertical="center"/>
    </xf>
    <xf borderId="2" fillId="0" fontId="6" numFmtId="0" xfId="0" applyAlignment="1" applyBorder="1" applyFont="1">
      <alignment horizontal="center"/>
    </xf>
    <xf borderId="2" fillId="0" fontId="6" numFmtId="0" xfId="0" applyBorder="1" applyFont="1"/>
    <xf borderId="2" fillId="3" fontId="6" numFmtId="164" xfId="0" applyAlignment="1" applyBorder="1" applyFill="1" applyFont="1" applyNumberFormat="1">
      <alignment horizontal="right" readingOrder="0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/>
    </xf>
    <xf borderId="2" fillId="0" fontId="6" numFmtId="3" xfId="0" applyAlignment="1" applyBorder="1" applyFont="1" applyNumberFormat="1">
      <alignment horizontal="right"/>
    </xf>
    <xf borderId="2" fillId="0" fontId="4" numFmtId="0" xfId="0" applyAlignment="1" applyBorder="1" applyFont="1">
      <alignment horizontal="left" readingOrder="1" vertical="center"/>
    </xf>
    <xf borderId="2" fillId="4" fontId="6" numFmtId="0" xfId="0" applyAlignment="1" applyBorder="1" applyFill="1" applyFont="1">
      <alignment shrinkToFit="0" wrapText="0"/>
    </xf>
    <xf borderId="2" fillId="5" fontId="6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left" readingOrder="1" vertical="center"/>
    </xf>
    <xf borderId="2" fillId="0" fontId="8" numFmtId="3" xfId="0" applyAlignment="1" applyBorder="1" applyFont="1" applyNumberFormat="1">
      <alignment readingOrder="0"/>
    </xf>
    <xf borderId="2" fillId="0" fontId="4" numFmtId="3" xfId="0" applyAlignment="1" applyBorder="1" applyFont="1" applyNumberFormat="1">
      <alignment horizontal="left" readingOrder="1" vertical="center"/>
    </xf>
    <xf borderId="2" fillId="4" fontId="4" numFmtId="164" xfId="0" applyAlignment="1" applyBorder="1" applyFill="1" applyFont="1" applyNumberFormat="1">
      <alignment horizontal="right" readingOrder="1" vertical="center"/>
    </xf>
    <xf borderId="2" fillId="0" fontId="4" numFmtId="0" xfId="0" applyAlignment="1" applyBorder="1" applyFont="1">
      <alignment horizontal="center" readingOrder="1" vertical="top"/>
    </xf>
    <xf borderId="2" fillId="3" fontId="6" numFmtId="164" xfId="0" applyAlignment="1" applyBorder="1" applyFill="1" applyFont="1" applyNumberFormat="1">
      <alignment horizontal="right"/>
    </xf>
    <xf borderId="2" fillId="0" fontId="6" numFmtId="0" xfId="0" applyAlignment="1" applyBorder="1" applyFont="1">
      <alignment horizontal="center"/>
    </xf>
    <xf borderId="2" fillId="0" fontId="10" numFmtId="0" xfId="0" applyBorder="1" applyFont="1"/>
    <xf borderId="2" fillId="5" fontId="8" numFmtId="164" xfId="0" applyBorder="1" applyFill="1" applyFont="1" applyNumberFormat="1"/>
    <xf borderId="2" fillId="0" fontId="6" numFmtId="164" xfId="0" applyAlignment="1" applyBorder="1" applyFont="1" applyNumberFormat="1">
      <alignment horizontal="right"/>
    </xf>
    <xf borderId="2" fillId="0" fontId="10" numFmtId="164" xfId="0" applyBorder="1" applyFont="1" applyNumberFormat="1"/>
    <xf borderId="2" fillId="0" fontId="10" numFmtId="3" xfId="0" applyBorder="1" applyFont="1" applyNumberFormat="1"/>
    <xf borderId="2" fillId="0" fontId="6" numFmtId="167" xfId="0" applyAlignment="1" applyBorder="1" applyFont="1" applyNumberFormat="1">
      <alignment horizontal="right"/>
    </xf>
    <xf borderId="2" fillId="3" fontId="6" numFmtId="164" xfId="0" applyAlignment="1" applyBorder="1" applyFill="1" applyFont="1" applyNumberFormat="1">
      <alignment readingOrder="0" vertical="center"/>
    </xf>
    <xf borderId="2" fillId="5" fontId="6" numFmtId="164" xfId="0" applyAlignment="1" applyBorder="1" applyFill="1" applyFont="1" applyNumberFormat="1">
      <alignment horizontal="right"/>
    </xf>
    <xf borderId="2" fillId="5" fontId="5" numFmtId="165" xfId="0" applyAlignment="1" applyBorder="1" applyFill="1" applyFont="1" applyNumberFormat="1">
      <alignment readingOrder="0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4" fontId="6" numFmtId="0" xfId="0" applyAlignment="1" applyBorder="1" applyFill="1" applyFont="1">
      <alignment shrinkToFit="0" wrapText="1"/>
    </xf>
    <xf borderId="2" fillId="5" fontId="6" numFmtId="0" xfId="0" applyAlignment="1" applyBorder="1" applyFill="1" applyFont="1">
      <alignment shrinkToFit="0" wrapText="1"/>
    </xf>
    <xf borderId="2" fillId="0" fontId="6" numFmtId="0" xfId="0" applyAlignment="1" applyBorder="1" applyFont="1">
      <alignment horizontal="center" vertical="center"/>
    </xf>
    <xf borderId="2" fillId="4" fontId="6" numFmtId="0" xfId="0" applyAlignment="1" applyBorder="1" applyFill="1" applyFont="1">
      <alignment shrinkToFit="0" wrapText="1"/>
    </xf>
    <xf borderId="2" fillId="5" fontId="9" numFmtId="3" xfId="0" applyAlignment="1" applyBorder="1" applyFill="1" applyFont="1" applyNumberFormat="1">
      <alignment horizontal="right" readingOrder="1" vertical="top"/>
    </xf>
    <xf borderId="2" fillId="0" fontId="4" numFmtId="0" xfId="0" applyAlignment="1" applyBorder="1" applyFont="1">
      <alignment horizontal="left" readingOrder="1" vertical="top"/>
    </xf>
    <xf borderId="0" fillId="0" fontId="6" numFmtId="0" xfId="0" applyAlignment="1" applyFont="1">
      <alignment vertical="center"/>
    </xf>
    <xf borderId="12" fillId="0" fontId="6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12" fillId="0" fontId="6" numFmtId="164" xfId="0" applyAlignment="1" applyBorder="1" applyFont="1" applyNumberFormat="1">
      <alignment vertical="center"/>
    </xf>
    <xf borderId="6" fillId="0" fontId="1" numFmtId="0" xfId="0" applyAlignment="1" applyBorder="1" applyFont="1">
      <alignment horizontal="right" readingOrder="1" vertical="center"/>
    </xf>
    <xf borderId="13" fillId="0" fontId="3" numFmtId="0" xfId="0" applyBorder="1" applyFont="1"/>
    <xf borderId="2" fillId="0" fontId="1" numFmtId="3" xfId="0" applyAlignment="1" applyBorder="1" applyFont="1" applyNumberFormat="1">
      <alignment horizontal="right" readingOrder="1" vertical="center"/>
    </xf>
    <xf borderId="6" fillId="7" fontId="16" numFmtId="0" xfId="0" applyAlignment="1" applyBorder="1" applyFill="1" applyFont="1">
      <alignment horizontal="center" readingOrder="0" vertical="center"/>
    </xf>
    <xf borderId="6" fillId="7" fontId="16" numFmtId="3" xfId="0" applyAlignment="1" applyBorder="1" applyFill="1" applyFont="1" applyNumberFormat="1">
      <alignment horizontal="center" vertical="center"/>
    </xf>
    <xf borderId="2" fillId="7" fontId="5" numFmtId="0" xfId="0" applyBorder="1" applyFill="1" applyFont="1"/>
    <xf borderId="2" fillId="3" fontId="6" numFmtId="164" xfId="0" applyAlignment="1" applyBorder="1" applyFill="1" applyFont="1" applyNumberFormat="1">
      <alignment horizontal="right" readingOrder="1" vertical="center"/>
    </xf>
    <xf borderId="2" fillId="0" fontId="6" numFmtId="3" xfId="0" applyAlignment="1" applyBorder="1" applyFont="1" applyNumberFormat="1">
      <alignment horizontal="left" readingOrder="1" vertical="center"/>
    </xf>
    <xf borderId="2" fillId="0" fontId="8" numFmtId="3" xfId="0" applyAlignment="1" applyBorder="1" applyFont="1" applyNumberFormat="1">
      <alignment horizontal="left" readingOrder="1" vertical="center"/>
    </xf>
    <xf borderId="2" fillId="0" fontId="10" numFmtId="0" xfId="0" applyBorder="1" applyFont="1"/>
    <xf borderId="3" fillId="0" fontId="2" numFmtId="0" xfId="0" applyAlignment="1" applyBorder="1" applyFont="1">
      <alignment horizontal="center" vertical="center"/>
    </xf>
    <xf quotePrefix="1"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1"/>
    </xf>
    <xf borderId="2" fillId="0" fontId="4" numFmtId="0" xfId="0" applyAlignment="1" applyBorder="1" applyFont="1">
      <alignment horizontal="left" readingOrder="1" vertical="top"/>
    </xf>
    <xf borderId="2" fillId="3" fontId="4" numFmtId="164" xfId="0" applyAlignment="1" applyBorder="1" applyFill="1" applyFont="1" applyNumberFormat="1">
      <alignment horizontal="right" readingOrder="0" vertical="center"/>
    </xf>
    <xf borderId="2" fillId="0" fontId="4" numFmtId="0" xfId="0" applyAlignment="1" applyBorder="1" applyFont="1">
      <alignment horizontal="right" readingOrder="1" vertical="top"/>
    </xf>
    <xf borderId="2" fillId="6" fontId="1" numFmtId="3" xfId="0" applyAlignment="1" applyBorder="1" applyFill="1" applyFont="1" applyNumberFormat="1">
      <alignment horizontal="left" readingOrder="1" vertical="top"/>
    </xf>
    <xf borderId="2" fillId="3" fontId="1" numFmtId="3" xfId="0" applyAlignment="1" applyBorder="1" applyFill="1" applyFont="1" applyNumberFormat="1">
      <alignment horizontal="left" readingOrder="1" vertical="top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1" vertical="top"/>
    </xf>
    <xf borderId="2" fillId="0" fontId="4" numFmtId="165" xfId="0" applyAlignment="1" applyBorder="1" applyFont="1" applyNumberFormat="1">
      <alignment horizontal="right" readingOrder="1" vertical="center"/>
    </xf>
    <xf borderId="6" fillId="0" fontId="1" numFmtId="0" xfId="0" applyAlignment="1" applyBorder="1" applyFont="1">
      <alignment horizontal="right" readingOrder="1" vertical="top"/>
    </xf>
    <xf borderId="2" fillId="0" fontId="5" numFmtId="165" xfId="0" applyAlignment="1" applyBorder="1" applyFont="1" applyNumberFormat="1">
      <alignment readingOrder="0"/>
    </xf>
    <xf quotePrefix="1" borderId="2" fillId="0" fontId="4" numFmtId="0" xfId="0" applyAlignment="1" applyBorder="1" applyFont="1">
      <alignment horizontal="center" readingOrder="1" vertical="top"/>
    </xf>
    <xf borderId="2" fillId="5" fontId="4" numFmtId="165" xfId="0" applyAlignment="1" applyBorder="1" applyFill="1" applyFont="1" applyNumberFormat="1">
      <alignment horizontal="right" readingOrder="1" vertical="center"/>
    </xf>
    <xf borderId="0" fillId="0" fontId="6" numFmtId="0" xfId="0" applyAlignment="1" applyFont="1">
      <alignment horizontal="left" readingOrder="1"/>
    </xf>
    <xf borderId="2" fillId="0" fontId="8" numFmtId="3" xfId="0" applyBorder="1" applyFont="1" applyNumberFormat="1"/>
    <xf borderId="2" fillId="0" fontId="6" numFmtId="164" xfId="0" applyAlignment="1" applyBorder="1" applyFont="1" applyNumberFormat="1">
      <alignment horizontal="left" vertical="center"/>
    </xf>
    <xf borderId="2" fillId="0" fontId="4" numFmtId="164" xfId="0" applyAlignment="1" applyBorder="1" applyFont="1" applyNumberFormat="1">
      <alignment horizontal="left" readingOrder="1" vertical="top"/>
    </xf>
    <xf borderId="2" fillId="0" fontId="7" numFmtId="3" xfId="0" applyAlignment="1" applyBorder="1" applyFont="1" applyNumberFormat="1">
      <alignment horizontal="left" readingOrder="1" vertical="top"/>
    </xf>
    <xf borderId="2" fillId="0" fontId="7" numFmtId="0" xfId="0" applyAlignment="1" applyBorder="1" applyFont="1">
      <alignment horizontal="center" readingOrder="1" vertical="top"/>
    </xf>
    <xf borderId="2" fillId="0" fontId="4" numFmtId="14" xfId="0" applyAlignment="1" applyBorder="1" applyFont="1" applyNumberFormat="1">
      <alignment horizontal="right" readingOrder="1" vertical="top"/>
    </xf>
    <xf borderId="2" fillId="0" fontId="8" numFmtId="0" xfId="0" applyBorder="1" applyFont="1"/>
    <xf borderId="2" fillId="3" fontId="4" numFmtId="164" xfId="0" applyAlignment="1" applyBorder="1" applyFill="1" applyFont="1" applyNumberFormat="1">
      <alignment horizontal="right" readingOrder="1" vertical="top"/>
    </xf>
    <xf borderId="2" fillId="0" fontId="17" numFmtId="3" xfId="0" applyAlignment="1" applyBorder="1" applyFont="1" applyNumberFormat="1">
      <alignment horizontal="center" readingOrder="1" vertical="center"/>
    </xf>
    <xf borderId="0" fillId="0" fontId="8" numFmtId="3" xfId="0" applyFont="1" applyNumberFormat="1"/>
    <xf borderId="2" fillId="0" fontId="18" numFmtId="0" xfId="0" applyAlignment="1" applyBorder="1" applyFont="1">
      <alignment horizontal="center" readingOrder="1" vertical="center"/>
    </xf>
    <xf borderId="2" fillId="0" fontId="1" numFmtId="0" xfId="0" applyAlignment="1" applyBorder="1" applyFont="1">
      <alignment horizontal="right" readingOrder="1" vertical="top"/>
    </xf>
    <xf borderId="2" fillId="0" fontId="1" numFmtId="0" xfId="0" applyAlignment="1" applyBorder="1" applyFont="1">
      <alignment horizontal="center" readingOrder="1" vertical="top"/>
    </xf>
    <xf borderId="2" fillId="0" fontId="1" numFmtId="0" xfId="0" applyAlignment="1" applyBorder="1" applyFont="1">
      <alignment horizontal="left" readingOrder="1" vertical="top"/>
    </xf>
    <xf borderId="2" fillId="0" fontId="1" numFmtId="168" xfId="0" applyAlignment="1" applyBorder="1" applyFont="1" applyNumberFormat="1">
      <alignment horizontal="right" readingOrder="1" vertical="top"/>
    </xf>
    <xf borderId="6" fillId="6" fontId="14" numFmtId="0" xfId="0" applyAlignment="1" applyBorder="1" applyFill="1" applyFont="1">
      <alignment horizontal="right"/>
    </xf>
    <xf borderId="2" fillId="6" fontId="1" numFmtId="168" xfId="0" applyAlignment="1" applyBorder="1" applyFill="1" applyFont="1" applyNumberFormat="1">
      <alignment horizontal="left" readingOrder="1" vertical="top"/>
    </xf>
    <xf borderId="6" fillId="3" fontId="14" numFmtId="0" xfId="0" applyAlignment="1" applyBorder="1" applyFill="1" applyFont="1">
      <alignment horizontal="right"/>
    </xf>
    <xf borderId="2" fillId="3" fontId="1" numFmtId="168" xfId="0" applyAlignment="1" applyBorder="1" applyFill="1" applyFont="1" applyNumberFormat="1">
      <alignment horizontal="left" readingOrder="1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2" width="10.14"/>
    <col customWidth="1" min="3" max="3" width="6.0"/>
    <col customWidth="1" min="4" max="4" width="7.71"/>
    <col customWidth="1" min="5" max="5" width="9.14"/>
    <col customWidth="1" min="6" max="6" width="15.0"/>
    <col customWidth="1" min="7" max="7" width="20.0"/>
    <col customWidth="1" min="8" max="8" width="9.14"/>
    <col customWidth="1" min="9" max="9" width="9.29"/>
    <col customWidth="1" min="10" max="10" width="6.71"/>
    <col customWidth="1" min="11" max="11" width="10.43"/>
    <col customWidth="1" min="12" max="12" width="9.0"/>
    <col customWidth="1" min="13" max="13" width="13.29"/>
    <col customWidth="1" min="14" max="14" width="14.86"/>
    <col customWidth="1" min="15" max="15" width="15.57"/>
    <col customWidth="1" min="16" max="16" width="11.57"/>
    <col customWidth="1" min="17" max="17" width="12.57"/>
    <col customWidth="1" min="18" max="26" width="8.71"/>
  </cols>
  <sheetData>
    <row r="1">
      <c r="A1" s="1" t="s">
        <v>0</v>
      </c>
      <c r="B1" s="2" t="s">
        <v>2</v>
      </c>
      <c r="C1" s="4" t="s">
        <v>3</v>
      </c>
      <c r="D1" s="6" t="s">
        <v>4</v>
      </c>
      <c r="E1" s="8" t="s">
        <v>5</v>
      </c>
      <c r="F1" s="8" t="s">
        <v>6</v>
      </c>
      <c r="G1" s="9" t="s">
        <v>9</v>
      </c>
      <c r="H1" s="8" t="s">
        <v>8</v>
      </c>
      <c r="I1" s="10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18</v>
      </c>
      <c r="Q1" s="8" t="s">
        <v>19</v>
      </c>
      <c r="R1" s="11"/>
      <c r="S1" s="11"/>
    </row>
    <row r="2">
      <c r="A2" s="13">
        <f t="shared" ref="A2:A879" si="1">IF(E2="","",SUBTOTAL(3,$E$2:E2))</f>
        <v>1</v>
      </c>
      <c r="B2" s="15" t="s">
        <v>24</v>
      </c>
      <c r="C2" s="17">
        <v>1257.0</v>
      </c>
      <c r="D2" s="15"/>
      <c r="E2" s="19" t="s">
        <v>25</v>
      </c>
      <c r="F2" s="21" t="s">
        <v>27</v>
      </c>
      <c r="G2" s="23" t="s">
        <v>30</v>
      </c>
      <c r="H2" s="14" t="s">
        <v>36</v>
      </c>
      <c r="I2" s="24">
        <v>45806.0</v>
      </c>
      <c r="J2" s="17">
        <v>1.0</v>
      </c>
      <c r="K2" s="14" t="s">
        <v>38</v>
      </c>
      <c r="L2" s="28">
        <v>50000.0</v>
      </c>
      <c r="M2" s="29">
        <v>0.0</v>
      </c>
      <c r="N2" s="29">
        <v>0.0</v>
      </c>
      <c r="O2" s="29">
        <v>0.0</v>
      </c>
      <c r="P2" s="29">
        <v>0.0</v>
      </c>
      <c r="Q2" s="32"/>
      <c r="R2" s="11"/>
    </row>
    <row r="3">
      <c r="A3" s="13">
        <f t="shared" si="1"/>
        <v>2</v>
      </c>
      <c r="B3" s="15" t="s">
        <v>24</v>
      </c>
      <c r="C3" s="17">
        <v>1257.0</v>
      </c>
      <c r="D3" s="15"/>
      <c r="E3" s="19" t="s">
        <v>43</v>
      </c>
      <c r="F3" s="21" t="s">
        <v>44</v>
      </c>
      <c r="G3" s="21" t="s">
        <v>45</v>
      </c>
      <c r="H3" s="14" t="s">
        <v>36</v>
      </c>
      <c r="I3" s="24">
        <v>45808.0</v>
      </c>
      <c r="J3" s="18">
        <v>1.0</v>
      </c>
      <c r="K3" s="14" t="s">
        <v>38</v>
      </c>
      <c r="L3" s="29">
        <v>2000.0</v>
      </c>
      <c r="M3" s="29">
        <v>0.0</v>
      </c>
      <c r="N3" s="29">
        <v>0.0</v>
      </c>
      <c r="O3" s="29">
        <v>0.0</v>
      </c>
      <c r="P3" s="29">
        <v>0.0</v>
      </c>
      <c r="Q3" s="32"/>
      <c r="R3" s="11"/>
    </row>
    <row r="4">
      <c r="A4" s="13">
        <f t="shared" si="1"/>
        <v>3</v>
      </c>
      <c r="B4" s="15" t="s">
        <v>24</v>
      </c>
      <c r="C4" s="17">
        <v>1257.0</v>
      </c>
      <c r="D4" s="15"/>
      <c r="E4" s="19" t="s">
        <v>48</v>
      </c>
      <c r="F4" s="37" t="s">
        <v>51</v>
      </c>
      <c r="G4" s="23" t="s">
        <v>56</v>
      </c>
      <c r="H4" s="14" t="s">
        <v>36</v>
      </c>
      <c r="I4" s="24">
        <v>45809.0</v>
      </c>
      <c r="J4" s="17">
        <v>1.0</v>
      </c>
      <c r="K4" s="14" t="s">
        <v>38</v>
      </c>
      <c r="L4" s="29">
        <v>2000.0</v>
      </c>
      <c r="M4" s="29">
        <v>0.0</v>
      </c>
      <c r="N4" s="29">
        <v>0.0</v>
      </c>
      <c r="O4" s="29">
        <v>0.0</v>
      </c>
      <c r="P4" s="29">
        <v>0.0</v>
      </c>
      <c r="Q4" s="32"/>
      <c r="R4" s="11"/>
    </row>
    <row r="5">
      <c r="A5" s="13">
        <f t="shared" si="1"/>
        <v>4</v>
      </c>
      <c r="B5" s="15" t="s">
        <v>24</v>
      </c>
      <c r="C5" s="17">
        <v>1257.0</v>
      </c>
      <c r="D5" s="15"/>
      <c r="E5" s="19" t="s">
        <v>63</v>
      </c>
      <c r="F5" s="21" t="s">
        <v>27</v>
      </c>
      <c r="G5" s="21" t="s">
        <v>64</v>
      </c>
      <c r="H5" s="14" t="s">
        <v>36</v>
      </c>
      <c r="I5" s="24">
        <v>45809.0</v>
      </c>
      <c r="J5" s="18">
        <v>1.0</v>
      </c>
      <c r="K5" s="14" t="s">
        <v>38</v>
      </c>
      <c r="L5" s="29">
        <v>50000.0</v>
      </c>
      <c r="M5" s="29">
        <v>0.0</v>
      </c>
      <c r="N5" s="29">
        <v>0.0</v>
      </c>
      <c r="O5" s="29">
        <v>0.0</v>
      </c>
      <c r="P5" s="29">
        <v>0.0</v>
      </c>
      <c r="Q5" s="32"/>
      <c r="R5" s="11"/>
    </row>
    <row r="6">
      <c r="A6" s="13">
        <f t="shared" si="1"/>
        <v>5</v>
      </c>
      <c r="B6" s="15" t="s">
        <v>24</v>
      </c>
      <c r="C6" s="17">
        <v>1257.0</v>
      </c>
      <c r="D6" s="15"/>
      <c r="E6" s="19" t="s">
        <v>68</v>
      </c>
      <c r="F6" s="21" t="s">
        <v>27</v>
      </c>
      <c r="G6" s="21" t="s">
        <v>69</v>
      </c>
      <c r="H6" s="14" t="s">
        <v>36</v>
      </c>
      <c r="I6" s="24">
        <v>45810.0</v>
      </c>
      <c r="J6" s="18">
        <v>2.0</v>
      </c>
      <c r="K6" s="14" t="s">
        <v>38</v>
      </c>
      <c r="L6" s="29">
        <v>0.0</v>
      </c>
      <c r="M6" s="29">
        <v>50000.0</v>
      </c>
      <c r="N6" s="29">
        <v>0.0</v>
      </c>
      <c r="O6" s="29">
        <v>0.0</v>
      </c>
      <c r="P6" s="29">
        <v>0.0</v>
      </c>
      <c r="Q6" s="32"/>
      <c r="R6" s="11"/>
    </row>
    <row r="7">
      <c r="A7" s="13">
        <f t="shared" si="1"/>
        <v>6</v>
      </c>
      <c r="B7" s="15" t="s">
        <v>24</v>
      </c>
      <c r="C7" s="17">
        <v>1257.0</v>
      </c>
      <c r="D7" s="15"/>
      <c r="E7" s="19" t="s">
        <v>74</v>
      </c>
      <c r="F7" s="22" t="s">
        <v>75</v>
      </c>
      <c r="G7" s="22" t="s">
        <v>76</v>
      </c>
      <c r="H7" s="14" t="s">
        <v>36</v>
      </c>
      <c r="I7" s="24">
        <v>45810.0</v>
      </c>
      <c r="J7" s="18">
        <v>1.0</v>
      </c>
      <c r="K7" s="14" t="s">
        <v>38</v>
      </c>
      <c r="L7" s="29">
        <v>4000.0</v>
      </c>
      <c r="M7" s="29">
        <v>0.0</v>
      </c>
      <c r="N7" s="29">
        <v>0.0</v>
      </c>
      <c r="O7" s="29">
        <v>0.0</v>
      </c>
      <c r="P7" s="29">
        <v>0.0</v>
      </c>
      <c r="Q7" s="32"/>
      <c r="R7" s="11"/>
    </row>
    <row r="8">
      <c r="A8" s="13">
        <f t="shared" si="1"/>
        <v>7</v>
      </c>
      <c r="B8" s="15" t="s">
        <v>24</v>
      </c>
      <c r="C8" s="17">
        <v>1257.0</v>
      </c>
      <c r="D8" s="15"/>
      <c r="E8" s="19" t="s">
        <v>80</v>
      </c>
      <c r="F8" s="22" t="s">
        <v>75</v>
      </c>
      <c r="G8" s="22" t="s">
        <v>76</v>
      </c>
      <c r="H8" s="14" t="s">
        <v>36</v>
      </c>
      <c r="I8" s="24">
        <v>45810.0</v>
      </c>
      <c r="J8" s="18">
        <v>0.0</v>
      </c>
      <c r="K8" s="14" t="s">
        <v>38</v>
      </c>
      <c r="L8" s="29">
        <v>4000.0</v>
      </c>
      <c r="M8" s="29">
        <v>0.0</v>
      </c>
      <c r="N8" s="29">
        <v>0.0</v>
      </c>
      <c r="O8" s="29">
        <v>46000.0</v>
      </c>
      <c r="P8" s="29">
        <v>0.0</v>
      </c>
      <c r="Q8" s="24">
        <v>45833.0</v>
      </c>
      <c r="R8" s="11"/>
    </row>
    <row r="9">
      <c r="A9" s="13">
        <f t="shared" si="1"/>
        <v>8</v>
      </c>
      <c r="B9" s="15" t="s">
        <v>24</v>
      </c>
      <c r="C9" s="17">
        <v>1257.0</v>
      </c>
      <c r="D9" s="15"/>
      <c r="E9" s="19" t="s">
        <v>83</v>
      </c>
      <c r="F9" s="21" t="s">
        <v>84</v>
      </c>
      <c r="G9" s="36" t="s">
        <v>86</v>
      </c>
      <c r="H9" s="14" t="s">
        <v>36</v>
      </c>
      <c r="I9" s="24">
        <v>45812.0</v>
      </c>
      <c r="J9" s="18">
        <v>1.0</v>
      </c>
      <c r="K9" s="14" t="s">
        <v>38</v>
      </c>
      <c r="L9" s="29">
        <v>0.0</v>
      </c>
      <c r="M9" s="29">
        <v>5000.0</v>
      </c>
      <c r="N9" s="29">
        <v>0.0</v>
      </c>
      <c r="O9" s="29">
        <v>0.0</v>
      </c>
      <c r="P9" s="29">
        <v>0.0</v>
      </c>
      <c r="Q9" s="32"/>
      <c r="R9" s="11"/>
    </row>
    <row r="10">
      <c r="A10" s="13">
        <f t="shared" si="1"/>
        <v>9</v>
      </c>
      <c r="B10" s="15" t="s">
        <v>24</v>
      </c>
      <c r="C10" s="17">
        <v>1257.0</v>
      </c>
      <c r="D10" s="15"/>
      <c r="E10" s="19" t="s">
        <v>88</v>
      </c>
      <c r="F10" s="21" t="s">
        <v>27</v>
      </c>
      <c r="G10" s="21" t="s">
        <v>69</v>
      </c>
      <c r="H10" s="14" t="s">
        <v>36</v>
      </c>
      <c r="I10" s="24">
        <v>45833.0</v>
      </c>
      <c r="J10" s="18">
        <v>0.0</v>
      </c>
      <c r="K10" s="14" t="s">
        <v>38</v>
      </c>
      <c r="L10" s="29">
        <v>0.0</v>
      </c>
      <c r="M10" s="29">
        <v>100000.0</v>
      </c>
      <c r="N10" s="29">
        <v>0.0</v>
      </c>
      <c r="O10" s="29">
        <v>0.0</v>
      </c>
      <c r="P10" s="29">
        <v>0.0</v>
      </c>
      <c r="Q10" s="32"/>
      <c r="R10" s="11"/>
    </row>
    <row r="11">
      <c r="A11" s="13">
        <f t="shared" si="1"/>
        <v>10</v>
      </c>
      <c r="B11" s="15" t="s">
        <v>24</v>
      </c>
      <c r="C11" s="17">
        <v>1257.0</v>
      </c>
      <c r="D11" s="15"/>
      <c r="E11" s="19" t="s">
        <v>94</v>
      </c>
      <c r="F11" s="21" t="s">
        <v>27</v>
      </c>
      <c r="G11" s="21" t="s">
        <v>69</v>
      </c>
      <c r="H11" s="14" t="s">
        <v>36</v>
      </c>
      <c r="I11" s="24">
        <v>45834.0</v>
      </c>
      <c r="J11" s="18">
        <v>0.0</v>
      </c>
      <c r="K11" s="14" t="s">
        <v>38</v>
      </c>
      <c r="L11" s="29">
        <v>50000.0</v>
      </c>
      <c r="M11" s="29">
        <v>0.0</v>
      </c>
      <c r="N11" s="29">
        <v>0.0</v>
      </c>
      <c r="O11" s="29">
        <v>0.0</v>
      </c>
      <c r="P11" s="29">
        <v>0.0</v>
      </c>
      <c r="Q11" s="32"/>
      <c r="R11" s="11"/>
    </row>
    <row r="12">
      <c r="A12" s="13">
        <f t="shared" si="1"/>
        <v>11</v>
      </c>
      <c r="B12" s="15" t="s">
        <v>24</v>
      </c>
      <c r="C12" s="17">
        <v>1257.0</v>
      </c>
      <c r="D12" s="15"/>
      <c r="E12" s="19" t="s">
        <v>98</v>
      </c>
      <c r="F12" s="21" t="s">
        <v>27</v>
      </c>
      <c r="G12" s="21" t="s">
        <v>64</v>
      </c>
      <c r="H12" s="14" t="s">
        <v>36</v>
      </c>
      <c r="I12" s="24">
        <v>45848.0</v>
      </c>
      <c r="J12" s="18">
        <v>0.0</v>
      </c>
      <c r="K12" s="14" t="s">
        <v>38</v>
      </c>
      <c r="L12" s="29">
        <v>100000.0</v>
      </c>
      <c r="M12" s="29">
        <v>0.0</v>
      </c>
      <c r="N12" s="29">
        <v>0.0</v>
      </c>
      <c r="O12" s="29">
        <v>0.0</v>
      </c>
      <c r="P12" s="29">
        <v>0.0</v>
      </c>
      <c r="Q12" s="32"/>
      <c r="R12" s="11"/>
    </row>
    <row r="13">
      <c r="A13" s="13">
        <f t="shared" si="1"/>
        <v>12</v>
      </c>
      <c r="B13" s="15" t="s">
        <v>24</v>
      </c>
      <c r="C13" s="17">
        <v>1257.0</v>
      </c>
      <c r="D13" s="15"/>
      <c r="E13" s="19" t="s">
        <v>101</v>
      </c>
      <c r="F13" s="21" t="s">
        <v>28</v>
      </c>
      <c r="G13" s="22" t="s">
        <v>102</v>
      </c>
      <c r="H13" s="14" t="s">
        <v>36</v>
      </c>
      <c r="I13" s="24">
        <v>45848.0</v>
      </c>
      <c r="J13" s="18">
        <v>1.0</v>
      </c>
      <c r="K13" s="14" t="s">
        <v>38</v>
      </c>
      <c r="L13" s="29">
        <v>15000.0</v>
      </c>
      <c r="M13" s="29">
        <v>0.0</v>
      </c>
      <c r="N13" s="29">
        <v>0.0</v>
      </c>
      <c r="O13" s="29">
        <v>0.0</v>
      </c>
      <c r="P13" s="29">
        <v>0.0</v>
      </c>
      <c r="Q13" s="32"/>
      <c r="R13" s="11"/>
    </row>
    <row r="14">
      <c r="A14" s="13">
        <f t="shared" si="1"/>
        <v>13</v>
      </c>
      <c r="B14" s="15" t="s">
        <v>24</v>
      </c>
      <c r="C14" s="17">
        <v>1257.0</v>
      </c>
      <c r="D14" s="15"/>
      <c r="E14" s="19" t="s">
        <v>107</v>
      </c>
      <c r="F14" s="21" t="s">
        <v>44</v>
      </c>
      <c r="G14" s="21" t="s">
        <v>45</v>
      </c>
      <c r="H14" s="14" t="s">
        <v>36</v>
      </c>
      <c r="I14" s="24">
        <v>45854.0</v>
      </c>
      <c r="J14" s="18">
        <v>0.0</v>
      </c>
      <c r="K14" s="14" t="s">
        <v>38</v>
      </c>
      <c r="L14" s="29">
        <v>50000.0</v>
      </c>
      <c r="M14" s="29">
        <v>0.0</v>
      </c>
      <c r="N14" s="29">
        <v>0.0</v>
      </c>
      <c r="O14" s="29">
        <v>0.0</v>
      </c>
      <c r="P14" s="29">
        <v>0.0</v>
      </c>
      <c r="Q14" s="32"/>
      <c r="R14" s="11"/>
    </row>
    <row r="15">
      <c r="A15" s="13">
        <f t="shared" si="1"/>
        <v>14</v>
      </c>
      <c r="B15" s="15" t="s">
        <v>24</v>
      </c>
      <c r="C15" s="17">
        <v>1257.0</v>
      </c>
      <c r="D15" s="15"/>
      <c r="E15" s="19" t="s">
        <v>113</v>
      </c>
      <c r="F15" s="21" t="s">
        <v>52</v>
      </c>
      <c r="G15" s="21" t="s">
        <v>114</v>
      </c>
      <c r="H15" s="14" t="s">
        <v>36</v>
      </c>
      <c r="I15" s="24">
        <v>45857.0</v>
      </c>
      <c r="J15" s="18">
        <v>1.0</v>
      </c>
      <c r="K15" s="14" t="s">
        <v>38</v>
      </c>
      <c r="L15" s="29">
        <v>50000.0</v>
      </c>
      <c r="M15" s="29">
        <v>0.0</v>
      </c>
      <c r="N15" s="29">
        <v>0.0</v>
      </c>
      <c r="O15" s="29">
        <v>0.0</v>
      </c>
      <c r="P15" s="29">
        <v>0.0</v>
      </c>
      <c r="Q15" s="32"/>
      <c r="R15" s="11"/>
    </row>
    <row r="16">
      <c r="A16" s="13">
        <f t="shared" si="1"/>
        <v>15</v>
      </c>
      <c r="B16" s="15" t="s">
        <v>24</v>
      </c>
      <c r="C16" s="17">
        <v>1257.0</v>
      </c>
      <c r="D16" s="15"/>
      <c r="E16" s="19" t="s">
        <v>121</v>
      </c>
      <c r="F16" s="21" t="s">
        <v>52</v>
      </c>
      <c r="G16" s="21" t="s">
        <v>114</v>
      </c>
      <c r="H16" s="14" t="s">
        <v>36</v>
      </c>
      <c r="I16" s="24">
        <v>45864.0</v>
      </c>
      <c r="J16" s="18">
        <v>0.0</v>
      </c>
      <c r="K16" s="14" t="s">
        <v>38</v>
      </c>
      <c r="L16" s="29">
        <v>50000.0</v>
      </c>
      <c r="M16" s="29">
        <v>0.0</v>
      </c>
      <c r="N16" s="29">
        <v>0.0</v>
      </c>
      <c r="O16" s="29">
        <v>0.0</v>
      </c>
      <c r="P16" s="29">
        <v>0.0</v>
      </c>
      <c r="Q16" s="32"/>
      <c r="R16" s="11"/>
    </row>
    <row r="17">
      <c r="A17" s="13">
        <f t="shared" si="1"/>
        <v>16</v>
      </c>
      <c r="B17" s="15" t="s">
        <v>24</v>
      </c>
      <c r="C17" s="17">
        <v>1257.0</v>
      </c>
      <c r="D17" s="15"/>
      <c r="E17" s="19" t="s">
        <v>125</v>
      </c>
      <c r="F17" s="56" t="s">
        <v>82</v>
      </c>
      <c r="G17" s="57" t="s">
        <v>129</v>
      </c>
      <c r="H17" s="14"/>
      <c r="I17" s="24"/>
      <c r="J17" s="16"/>
      <c r="K17" s="14"/>
      <c r="L17" s="29"/>
      <c r="M17" s="29"/>
      <c r="N17" s="29"/>
      <c r="O17" s="29"/>
      <c r="P17" s="29"/>
      <c r="Q17" s="32"/>
      <c r="R17" s="11"/>
    </row>
    <row r="18">
      <c r="A18" s="13">
        <f t="shared" si="1"/>
        <v>17</v>
      </c>
      <c r="B18" s="15" t="s">
        <v>24</v>
      </c>
      <c r="C18" s="17">
        <v>1257.0</v>
      </c>
      <c r="D18" s="15"/>
      <c r="E18" s="19" t="s">
        <v>136</v>
      </c>
      <c r="F18" s="21" t="s">
        <v>27</v>
      </c>
      <c r="G18" s="21" t="s">
        <v>137</v>
      </c>
      <c r="H18" s="14" t="s">
        <v>36</v>
      </c>
      <c r="I18" s="24">
        <v>45872.0</v>
      </c>
      <c r="J18" s="18">
        <v>1.0</v>
      </c>
      <c r="K18" s="14" t="s">
        <v>38</v>
      </c>
      <c r="L18" s="29">
        <v>0.0</v>
      </c>
      <c r="M18" s="29">
        <v>500000.0</v>
      </c>
      <c r="N18" s="29">
        <v>0.0</v>
      </c>
      <c r="O18" s="29">
        <v>0.0</v>
      </c>
      <c r="P18" s="29">
        <v>0.0</v>
      </c>
      <c r="Q18" s="32"/>
      <c r="R18" s="11"/>
    </row>
    <row r="19">
      <c r="A19" s="13">
        <f t="shared" si="1"/>
        <v>18</v>
      </c>
      <c r="B19" s="15" t="s">
        <v>24</v>
      </c>
      <c r="C19" s="17">
        <v>1257.0</v>
      </c>
      <c r="D19" s="15"/>
      <c r="E19" s="19" t="s">
        <v>139</v>
      </c>
      <c r="F19" s="21" t="s">
        <v>141</v>
      </c>
      <c r="G19" s="21" t="s">
        <v>143</v>
      </c>
      <c r="H19" s="14" t="s">
        <v>36</v>
      </c>
      <c r="I19" s="24">
        <v>45883.0</v>
      </c>
      <c r="J19" s="18">
        <v>1.0</v>
      </c>
      <c r="K19" s="14" t="s">
        <v>38</v>
      </c>
      <c r="L19" s="29">
        <v>10000.0</v>
      </c>
      <c r="M19" s="29">
        <v>0.0</v>
      </c>
      <c r="N19" s="29">
        <v>0.0</v>
      </c>
      <c r="O19" s="29">
        <v>0.0</v>
      </c>
      <c r="P19" s="29">
        <v>0.0</v>
      </c>
      <c r="Q19" s="32"/>
      <c r="R19" s="11"/>
    </row>
    <row r="20">
      <c r="A20" s="13">
        <f t="shared" si="1"/>
        <v>19</v>
      </c>
      <c r="B20" s="15" t="s">
        <v>24</v>
      </c>
      <c r="C20" s="17">
        <v>1257.0</v>
      </c>
      <c r="D20" s="15"/>
      <c r="E20" s="19" t="s">
        <v>146</v>
      </c>
      <c r="F20" s="21" t="s">
        <v>84</v>
      </c>
      <c r="G20" s="21" t="s">
        <v>149</v>
      </c>
      <c r="H20" s="14" t="s">
        <v>36</v>
      </c>
      <c r="I20" s="24">
        <v>45893.0</v>
      </c>
      <c r="J20" s="18">
        <v>1.0</v>
      </c>
      <c r="K20" s="14" t="s">
        <v>38</v>
      </c>
      <c r="L20" s="29">
        <v>0.0</v>
      </c>
      <c r="M20" s="29">
        <v>90000.0</v>
      </c>
      <c r="N20" s="29">
        <v>0.0</v>
      </c>
      <c r="O20" s="29">
        <v>0.0</v>
      </c>
      <c r="P20" s="29">
        <v>0.0</v>
      </c>
      <c r="Q20" s="32"/>
      <c r="R20" s="11"/>
    </row>
    <row r="21" ht="15.75" customHeight="1">
      <c r="A21" s="13">
        <f t="shared" si="1"/>
        <v>20</v>
      </c>
      <c r="B21" s="15" t="s">
        <v>24</v>
      </c>
      <c r="C21" s="17">
        <v>1257.0</v>
      </c>
      <c r="D21" s="15"/>
      <c r="E21" s="19" t="s">
        <v>151</v>
      </c>
      <c r="F21" s="21" t="s">
        <v>84</v>
      </c>
      <c r="G21" s="21" t="s">
        <v>149</v>
      </c>
      <c r="H21" s="14" t="s">
        <v>36</v>
      </c>
      <c r="I21" s="24">
        <v>45893.0</v>
      </c>
      <c r="J21" s="18">
        <v>0.0</v>
      </c>
      <c r="K21" s="14" t="s">
        <v>38</v>
      </c>
      <c r="L21" s="29">
        <v>0.0</v>
      </c>
      <c r="M21" s="29">
        <v>10000.0</v>
      </c>
      <c r="N21" s="29">
        <v>0.0</v>
      </c>
      <c r="O21" s="29">
        <v>0.0</v>
      </c>
      <c r="P21" s="29">
        <v>0.0</v>
      </c>
      <c r="Q21" s="32"/>
      <c r="R21" s="11"/>
    </row>
    <row r="22" ht="15.75" customHeight="1">
      <c r="A22" s="13">
        <f t="shared" si="1"/>
        <v>21</v>
      </c>
      <c r="B22" s="15" t="s">
        <v>24</v>
      </c>
      <c r="C22" s="17">
        <v>1257.0</v>
      </c>
      <c r="D22" s="15"/>
      <c r="E22" s="19" t="s">
        <v>157</v>
      </c>
      <c r="F22" s="21" t="s">
        <v>84</v>
      </c>
      <c r="G22" s="21" t="s">
        <v>149</v>
      </c>
      <c r="H22" s="14" t="s">
        <v>36</v>
      </c>
      <c r="I22" s="24">
        <v>45893.0</v>
      </c>
      <c r="J22" s="18">
        <v>0.0</v>
      </c>
      <c r="K22" s="14" t="s">
        <v>38</v>
      </c>
      <c r="L22" s="29">
        <v>0.0</v>
      </c>
      <c r="M22" s="29">
        <v>10000.0</v>
      </c>
      <c r="N22" s="29">
        <v>0.0</v>
      </c>
      <c r="O22" s="29">
        <v>0.0</v>
      </c>
      <c r="P22" s="29">
        <v>0.0</v>
      </c>
      <c r="Q22" s="32"/>
      <c r="R22" s="11"/>
    </row>
    <row r="23" ht="15.75" customHeight="1">
      <c r="A23" s="13">
        <f t="shared" si="1"/>
        <v>22</v>
      </c>
      <c r="B23" s="15" t="s">
        <v>24</v>
      </c>
      <c r="C23" s="17">
        <v>1257.0</v>
      </c>
      <c r="D23" s="15"/>
      <c r="E23" s="19" t="s">
        <v>160</v>
      </c>
      <c r="F23" s="21" t="s">
        <v>60</v>
      </c>
      <c r="G23" s="21" t="s">
        <v>161</v>
      </c>
      <c r="H23" s="14" t="s">
        <v>36</v>
      </c>
      <c r="I23" s="24">
        <v>45896.0</v>
      </c>
      <c r="J23" s="18">
        <v>1.0</v>
      </c>
      <c r="K23" s="14" t="s">
        <v>38</v>
      </c>
      <c r="L23" s="29">
        <v>20000.0</v>
      </c>
      <c r="M23" s="29">
        <v>0.0</v>
      </c>
      <c r="N23" s="29">
        <v>0.0</v>
      </c>
      <c r="O23" s="29">
        <v>0.0</v>
      </c>
      <c r="P23" s="29">
        <v>0.0</v>
      </c>
      <c r="Q23" s="32"/>
      <c r="R23" s="11"/>
    </row>
    <row r="24" ht="15.75" customHeight="1">
      <c r="A24" s="13">
        <f t="shared" si="1"/>
        <v>23</v>
      </c>
      <c r="B24" s="15" t="s">
        <v>24</v>
      </c>
      <c r="C24" s="17">
        <v>1257.0</v>
      </c>
      <c r="D24" s="15"/>
      <c r="E24" s="19" t="s">
        <v>164</v>
      </c>
      <c r="F24" s="21" t="s">
        <v>60</v>
      </c>
      <c r="G24" s="21" t="s">
        <v>161</v>
      </c>
      <c r="H24" s="14" t="s">
        <v>36</v>
      </c>
      <c r="I24" s="24">
        <v>45896.0</v>
      </c>
      <c r="J24" s="18">
        <v>0.0</v>
      </c>
      <c r="K24" s="14" t="s">
        <v>38</v>
      </c>
      <c r="L24" s="28">
        <v>100000.0</v>
      </c>
      <c r="M24" s="29">
        <v>0.0</v>
      </c>
      <c r="N24" s="29">
        <v>0.0</v>
      </c>
      <c r="O24" s="29">
        <v>0.0</v>
      </c>
      <c r="P24" s="29">
        <v>0.0</v>
      </c>
      <c r="Q24" s="32"/>
      <c r="R24" s="11"/>
    </row>
    <row r="25" ht="15.75" customHeight="1">
      <c r="A25" s="13">
        <f t="shared" si="1"/>
        <v>24</v>
      </c>
      <c r="B25" s="15" t="s">
        <v>24</v>
      </c>
      <c r="C25" s="17">
        <v>1257.0</v>
      </c>
      <c r="D25" s="15"/>
      <c r="E25" s="19" t="s">
        <v>166</v>
      </c>
      <c r="F25" s="21" t="s">
        <v>52</v>
      </c>
      <c r="G25" s="21" t="s">
        <v>114</v>
      </c>
      <c r="H25" s="14" t="s">
        <v>36</v>
      </c>
      <c r="I25" s="24">
        <v>45897.0</v>
      </c>
      <c r="J25" s="17">
        <v>0.0</v>
      </c>
      <c r="K25" s="25" t="s">
        <v>57</v>
      </c>
      <c r="L25" s="28">
        <v>4000.0</v>
      </c>
      <c r="M25" s="29">
        <v>0.0</v>
      </c>
      <c r="N25" s="29">
        <v>0.0</v>
      </c>
      <c r="O25" s="29">
        <v>0.0</v>
      </c>
      <c r="P25" s="29">
        <v>0.0</v>
      </c>
      <c r="Q25" s="32"/>
      <c r="R25" s="11"/>
    </row>
    <row r="26" ht="15.75" customHeight="1">
      <c r="A26" s="13">
        <f t="shared" si="1"/>
        <v>25</v>
      </c>
      <c r="B26" s="15" t="s">
        <v>24</v>
      </c>
      <c r="C26" s="17">
        <v>1257.0</v>
      </c>
      <c r="D26" s="15"/>
      <c r="E26" s="19" t="s">
        <v>171</v>
      </c>
      <c r="F26" s="21" t="s">
        <v>52</v>
      </c>
      <c r="G26" s="21" t="s">
        <v>114</v>
      </c>
      <c r="H26" s="14" t="s">
        <v>36</v>
      </c>
      <c r="I26" s="24">
        <v>45897.0</v>
      </c>
      <c r="J26" s="17">
        <v>1.0</v>
      </c>
      <c r="K26" s="14" t="s">
        <v>38</v>
      </c>
      <c r="L26" s="28">
        <v>0.0</v>
      </c>
      <c r="M26" s="28">
        <v>10000.0</v>
      </c>
      <c r="N26" s="29">
        <v>0.0</v>
      </c>
      <c r="O26" s="29">
        <v>0.0</v>
      </c>
      <c r="P26" s="29">
        <v>0.0</v>
      </c>
      <c r="Q26" s="32"/>
      <c r="R26" s="11"/>
    </row>
    <row r="27" ht="15.75" customHeight="1">
      <c r="A27" s="13">
        <f t="shared" si="1"/>
        <v>26</v>
      </c>
      <c r="B27" s="15" t="s">
        <v>24</v>
      </c>
      <c r="C27" s="17">
        <v>1257.0</v>
      </c>
      <c r="D27" s="15"/>
      <c r="E27" s="19" t="s">
        <v>173</v>
      </c>
      <c r="F27" s="21" t="s">
        <v>52</v>
      </c>
      <c r="G27" s="21" t="s">
        <v>114</v>
      </c>
      <c r="H27" s="14" t="s">
        <v>36</v>
      </c>
      <c r="I27" s="24">
        <v>45897.0</v>
      </c>
      <c r="J27" s="17">
        <v>0.0</v>
      </c>
      <c r="K27" s="14" t="s">
        <v>38</v>
      </c>
      <c r="L27" s="28">
        <v>0.0</v>
      </c>
      <c r="M27" s="28">
        <v>10000.0</v>
      </c>
      <c r="N27" s="29">
        <v>0.0</v>
      </c>
      <c r="O27" s="29">
        <v>0.0</v>
      </c>
      <c r="P27" s="29">
        <v>0.0</v>
      </c>
      <c r="Q27" s="32"/>
      <c r="R27" s="11"/>
    </row>
    <row r="28" ht="15.75" customHeight="1">
      <c r="A28" s="13">
        <f t="shared" si="1"/>
        <v>27</v>
      </c>
      <c r="B28" s="15" t="s">
        <v>24</v>
      </c>
      <c r="C28" s="17">
        <v>1257.0</v>
      </c>
      <c r="D28" s="15"/>
      <c r="E28" s="19" t="s">
        <v>177</v>
      </c>
      <c r="F28" s="21" t="s">
        <v>84</v>
      </c>
      <c r="G28" s="36" t="s">
        <v>86</v>
      </c>
      <c r="H28" s="14" t="s">
        <v>36</v>
      </c>
      <c r="I28" s="24">
        <v>45897.0</v>
      </c>
      <c r="J28" s="17">
        <v>0.0</v>
      </c>
      <c r="K28" s="14" t="s">
        <v>38</v>
      </c>
      <c r="L28" s="28">
        <v>0.0</v>
      </c>
      <c r="M28" s="28">
        <v>7000.0</v>
      </c>
      <c r="N28" s="29">
        <v>0.0</v>
      </c>
      <c r="O28" s="29">
        <v>0.0</v>
      </c>
      <c r="P28" s="29">
        <v>0.0</v>
      </c>
      <c r="Q28" s="32"/>
      <c r="R28" s="11"/>
    </row>
    <row r="29" ht="15.75" customHeight="1">
      <c r="A29" s="13">
        <f t="shared" si="1"/>
        <v>28</v>
      </c>
      <c r="B29" s="15" t="s">
        <v>24</v>
      </c>
      <c r="C29" s="17">
        <v>1257.0</v>
      </c>
      <c r="D29" s="15"/>
      <c r="E29" s="19" t="s">
        <v>179</v>
      </c>
      <c r="F29" s="65" t="s">
        <v>180</v>
      </c>
      <c r="G29" s="65" t="s">
        <v>181</v>
      </c>
      <c r="H29" s="14" t="s">
        <v>36</v>
      </c>
      <c r="I29" s="24">
        <v>45897.0</v>
      </c>
      <c r="J29" s="17">
        <v>1.0</v>
      </c>
      <c r="K29" s="14" t="s">
        <v>38</v>
      </c>
      <c r="L29" s="28">
        <v>5000.0</v>
      </c>
      <c r="M29" s="29">
        <v>0.0</v>
      </c>
      <c r="N29" s="29">
        <v>0.0</v>
      </c>
      <c r="O29" s="29">
        <v>0.0</v>
      </c>
      <c r="P29" s="29">
        <v>0.0</v>
      </c>
      <c r="Q29" s="32"/>
      <c r="R29" s="11"/>
    </row>
    <row r="30" ht="15.75" customHeight="1">
      <c r="A30" s="13">
        <f t="shared" si="1"/>
        <v>29</v>
      </c>
      <c r="B30" s="15" t="s">
        <v>24</v>
      </c>
      <c r="C30" s="17">
        <v>1257.0</v>
      </c>
      <c r="D30" s="15"/>
      <c r="E30" s="19" t="s">
        <v>187</v>
      </c>
      <c r="F30" s="65" t="s">
        <v>180</v>
      </c>
      <c r="G30" s="65" t="s">
        <v>189</v>
      </c>
      <c r="H30" s="14" t="s">
        <v>36</v>
      </c>
      <c r="I30" s="24">
        <v>45897.0</v>
      </c>
      <c r="J30" s="17">
        <v>1.0</v>
      </c>
      <c r="K30" s="14" t="s">
        <v>38</v>
      </c>
      <c r="L30" s="28">
        <v>5000.0</v>
      </c>
      <c r="M30" s="29">
        <v>0.0</v>
      </c>
      <c r="N30" s="29">
        <v>0.0</v>
      </c>
      <c r="O30" s="29">
        <v>0.0</v>
      </c>
      <c r="P30" s="29">
        <v>0.0</v>
      </c>
      <c r="Q30" s="32"/>
      <c r="R30" s="11"/>
    </row>
    <row r="31" ht="15.75" customHeight="1">
      <c r="A31" s="13">
        <f t="shared" si="1"/>
        <v>30</v>
      </c>
      <c r="B31" s="15" t="s">
        <v>24</v>
      </c>
      <c r="C31" s="17">
        <v>1257.0</v>
      </c>
      <c r="D31" s="15"/>
      <c r="E31" s="19" t="s">
        <v>190</v>
      </c>
      <c r="F31" s="65" t="s">
        <v>191</v>
      </c>
      <c r="G31" s="67" t="s">
        <v>193</v>
      </c>
      <c r="H31" s="14" t="s">
        <v>36</v>
      </c>
      <c r="I31" s="24">
        <v>45899.0</v>
      </c>
      <c r="J31" s="17">
        <v>2.0</v>
      </c>
      <c r="K31" s="14" t="s">
        <v>38</v>
      </c>
      <c r="L31" s="28">
        <v>0.0</v>
      </c>
      <c r="M31" s="28">
        <v>50000.0</v>
      </c>
      <c r="N31" s="29">
        <v>0.0</v>
      </c>
      <c r="O31" s="29">
        <v>0.0</v>
      </c>
      <c r="P31" s="29">
        <v>0.0</v>
      </c>
      <c r="Q31" s="32"/>
      <c r="R31" s="11"/>
    </row>
    <row r="32" ht="15.75" customHeight="1">
      <c r="A32" s="13">
        <f t="shared" si="1"/>
        <v>31</v>
      </c>
      <c r="B32" s="15" t="s">
        <v>24</v>
      </c>
      <c r="C32" s="17">
        <v>1257.0</v>
      </c>
      <c r="D32" s="15"/>
      <c r="E32" s="19" t="s">
        <v>197</v>
      </c>
      <c r="F32" s="65" t="s">
        <v>191</v>
      </c>
      <c r="G32" s="67" t="s">
        <v>193</v>
      </c>
      <c r="H32" s="14" t="s">
        <v>36</v>
      </c>
      <c r="I32" s="24">
        <v>45900.0</v>
      </c>
      <c r="J32" s="17">
        <v>0.0</v>
      </c>
      <c r="K32" s="14" t="s">
        <v>38</v>
      </c>
      <c r="L32" s="28">
        <v>0.0</v>
      </c>
      <c r="M32" s="28">
        <v>150000.0</v>
      </c>
      <c r="N32" s="29">
        <v>0.0</v>
      </c>
      <c r="O32" s="29">
        <v>0.0</v>
      </c>
      <c r="P32" s="29">
        <v>0.0</v>
      </c>
      <c r="Q32" s="32"/>
      <c r="R32" s="11"/>
    </row>
    <row r="33" ht="15.75" customHeight="1">
      <c r="A33" s="13">
        <f t="shared" si="1"/>
        <v>32</v>
      </c>
      <c r="B33" s="15" t="s">
        <v>24</v>
      </c>
      <c r="C33" s="17">
        <v>1257.0</v>
      </c>
      <c r="D33" s="15"/>
      <c r="E33" s="19" t="s">
        <v>199</v>
      </c>
      <c r="F33" s="21" t="s">
        <v>141</v>
      </c>
      <c r="G33" s="21" t="s">
        <v>143</v>
      </c>
      <c r="H33" s="14" t="s">
        <v>36</v>
      </c>
      <c r="I33" s="24">
        <v>45908.0</v>
      </c>
      <c r="J33" s="17">
        <v>0.0</v>
      </c>
      <c r="K33" s="14" t="s">
        <v>38</v>
      </c>
      <c r="L33" s="28">
        <v>100000.0</v>
      </c>
      <c r="M33" s="29">
        <v>0.0</v>
      </c>
      <c r="N33" s="29">
        <v>0.0</v>
      </c>
      <c r="O33" s="29">
        <v>0.0</v>
      </c>
      <c r="P33" s="29">
        <v>0.0</v>
      </c>
      <c r="Q33" s="32"/>
      <c r="R33" s="11"/>
    </row>
    <row r="34" ht="15.75" customHeight="1">
      <c r="A34" s="13">
        <f t="shared" si="1"/>
        <v>33</v>
      </c>
      <c r="B34" s="15" t="s">
        <v>24</v>
      </c>
      <c r="C34" s="17">
        <v>1257.0</v>
      </c>
      <c r="D34" s="15"/>
      <c r="E34" s="19" t="s">
        <v>202</v>
      </c>
      <c r="F34" s="21" t="s">
        <v>141</v>
      </c>
      <c r="G34" s="21" t="s">
        <v>143</v>
      </c>
      <c r="H34" s="14" t="s">
        <v>36</v>
      </c>
      <c r="I34" s="24">
        <v>45909.0</v>
      </c>
      <c r="J34" s="17">
        <v>0.0</v>
      </c>
      <c r="K34" s="14" t="s">
        <v>38</v>
      </c>
      <c r="L34" s="28">
        <v>100000.0</v>
      </c>
      <c r="M34" s="29">
        <v>0.0</v>
      </c>
      <c r="N34" s="29">
        <v>0.0</v>
      </c>
      <c r="O34" s="29">
        <v>0.0</v>
      </c>
      <c r="P34" s="29">
        <v>0.0</v>
      </c>
      <c r="Q34" s="32"/>
      <c r="R34" s="11"/>
    </row>
    <row r="35" ht="15.75" customHeight="1">
      <c r="A35" s="13">
        <f t="shared" si="1"/>
        <v>34</v>
      </c>
      <c r="B35" s="15" t="s">
        <v>24</v>
      </c>
      <c r="C35" s="17">
        <v>1257.0</v>
      </c>
      <c r="D35" s="15"/>
      <c r="E35" s="19" t="s">
        <v>204</v>
      </c>
      <c r="F35" s="21" t="s">
        <v>27</v>
      </c>
      <c r="G35" s="21" t="s">
        <v>64</v>
      </c>
      <c r="H35" s="14" t="s">
        <v>36</v>
      </c>
      <c r="I35" s="24">
        <v>45909.0</v>
      </c>
      <c r="J35" s="17">
        <v>0.0</v>
      </c>
      <c r="K35" s="25" t="s">
        <v>57</v>
      </c>
      <c r="L35" s="28">
        <v>7500.0</v>
      </c>
      <c r="M35" s="29">
        <v>0.0</v>
      </c>
      <c r="N35" s="29">
        <v>0.0</v>
      </c>
      <c r="O35" s="29">
        <v>0.0</v>
      </c>
      <c r="P35" s="28">
        <v>0.0</v>
      </c>
      <c r="Q35" s="32"/>
      <c r="R35" s="11"/>
    </row>
    <row r="36" ht="15.75" customHeight="1">
      <c r="A36" s="13">
        <f t="shared" si="1"/>
        <v>35</v>
      </c>
      <c r="B36" s="15" t="s">
        <v>24</v>
      </c>
      <c r="C36" s="17">
        <v>1257.0</v>
      </c>
      <c r="D36" s="15"/>
      <c r="E36" s="19" t="s">
        <v>206</v>
      </c>
      <c r="F36" s="69" t="s">
        <v>208</v>
      </c>
      <c r="G36" s="69" t="s">
        <v>210</v>
      </c>
      <c r="H36" s="14" t="s">
        <v>36</v>
      </c>
      <c r="I36" s="24">
        <v>45909.0</v>
      </c>
      <c r="J36" s="17">
        <v>1.0</v>
      </c>
      <c r="K36" s="14" t="s">
        <v>38</v>
      </c>
      <c r="L36" s="28">
        <v>0.0</v>
      </c>
      <c r="M36" s="29">
        <v>0.0</v>
      </c>
      <c r="N36" s="29">
        <v>0.0</v>
      </c>
      <c r="O36" s="28">
        <v>20000.0</v>
      </c>
      <c r="P36" s="28">
        <v>0.0</v>
      </c>
      <c r="Q36" s="32"/>
      <c r="R36" s="11"/>
    </row>
    <row r="37" ht="15.75" customHeight="1">
      <c r="A37" s="13">
        <f t="shared" si="1"/>
        <v>36</v>
      </c>
      <c r="B37" s="15" t="s">
        <v>24</v>
      </c>
      <c r="C37" s="17">
        <v>1257.0</v>
      </c>
      <c r="D37" s="15"/>
      <c r="E37" s="19" t="s">
        <v>215</v>
      </c>
      <c r="F37" s="65" t="s">
        <v>27</v>
      </c>
      <c r="G37" s="65" t="s">
        <v>69</v>
      </c>
      <c r="H37" s="14" t="s">
        <v>36</v>
      </c>
      <c r="I37" s="24">
        <v>45910.0</v>
      </c>
      <c r="J37" s="17">
        <v>0.0</v>
      </c>
      <c r="K37" s="25" t="s">
        <v>57</v>
      </c>
      <c r="L37" s="28">
        <v>0.0</v>
      </c>
      <c r="M37" s="28">
        <v>17000.0</v>
      </c>
      <c r="N37" s="28">
        <v>0.0</v>
      </c>
      <c r="O37" s="28">
        <v>0.0</v>
      </c>
      <c r="P37" s="28">
        <v>0.0</v>
      </c>
      <c r="Q37" s="32"/>
      <c r="R37" s="11"/>
    </row>
    <row r="38" ht="15.75" customHeight="1">
      <c r="A38" s="13">
        <f t="shared" si="1"/>
        <v>37</v>
      </c>
      <c r="B38" s="15" t="s">
        <v>24</v>
      </c>
      <c r="C38" s="17">
        <v>1257.0</v>
      </c>
      <c r="D38" s="15"/>
      <c r="E38" s="19" t="s">
        <v>216</v>
      </c>
      <c r="F38" s="65" t="s">
        <v>180</v>
      </c>
      <c r="G38" s="65" t="s">
        <v>181</v>
      </c>
      <c r="H38" s="14" t="s">
        <v>36</v>
      </c>
      <c r="I38" s="24">
        <v>45911.0</v>
      </c>
      <c r="J38" s="17">
        <v>0.0</v>
      </c>
      <c r="K38" s="14" t="s">
        <v>38</v>
      </c>
      <c r="L38" s="28">
        <v>50000.0</v>
      </c>
      <c r="M38" s="29">
        <v>0.0</v>
      </c>
      <c r="N38" s="29">
        <v>0.0</v>
      </c>
      <c r="O38" s="29">
        <v>0.0</v>
      </c>
      <c r="P38" s="28">
        <v>0.0</v>
      </c>
      <c r="Q38" s="32"/>
      <c r="R38" s="11"/>
    </row>
    <row r="39" ht="15.75" customHeight="1">
      <c r="A39" s="13">
        <f t="shared" si="1"/>
        <v>38</v>
      </c>
      <c r="B39" s="15" t="s">
        <v>24</v>
      </c>
      <c r="C39" s="17">
        <v>1257.0</v>
      </c>
      <c r="D39" s="15"/>
      <c r="E39" s="19" t="s">
        <v>220</v>
      </c>
      <c r="F39" s="25" t="s">
        <v>221</v>
      </c>
      <c r="G39" s="25" t="s">
        <v>189</v>
      </c>
      <c r="H39" s="25" t="s">
        <v>36</v>
      </c>
      <c r="I39" s="32">
        <v>45911.0</v>
      </c>
      <c r="J39" s="17">
        <v>1.0</v>
      </c>
      <c r="K39" s="14" t="s">
        <v>38</v>
      </c>
      <c r="L39" s="28">
        <v>50000.0</v>
      </c>
      <c r="M39" s="28">
        <v>0.0</v>
      </c>
      <c r="N39" s="28">
        <v>0.0</v>
      </c>
      <c r="O39" s="28">
        <v>0.0</v>
      </c>
      <c r="P39" s="28">
        <v>0.0</v>
      </c>
      <c r="Q39" s="32"/>
      <c r="R39" s="11"/>
    </row>
    <row r="40" ht="15.75" customHeight="1">
      <c r="A40" s="13">
        <f t="shared" si="1"/>
        <v>39</v>
      </c>
      <c r="B40" s="15" t="s">
        <v>24</v>
      </c>
      <c r="C40" s="17">
        <v>1257.0</v>
      </c>
      <c r="D40" s="15"/>
      <c r="E40" s="19" t="s">
        <v>225</v>
      </c>
      <c r="F40" s="65" t="s">
        <v>191</v>
      </c>
      <c r="G40" s="23" t="s">
        <v>227</v>
      </c>
      <c r="H40" s="25" t="s">
        <v>36</v>
      </c>
      <c r="I40" s="32">
        <v>45911.0</v>
      </c>
      <c r="J40" s="17">
        <v>1.0</v>
      </c>
      <c r="K40" s="14" t="s">
        <v>38</v>
      </c>
      <c r="L40" s="28">
        <v>0.0</v>
      </c>
      <c r="M40" s="28">
        <v>0.0</v>
      </c>
      <c r="N40" s="28">
        <v>0.0</v>
      </c>
      <c r="O40" s="28">
        <v>20000.0</v>
      </c>
      <c r="P40" s="28">
        <v>0.0</v>
      </c>
      <c r="Q40" s="32">
        <v>45917.0</v>
      </c>
      <c r="R40" s="11"/>
    </row>
    <row r="41" ht="15.75" customHeight="1">
      <c r="A41" s="13">
        <f t="shared" si="1"/>
        <v>40</v>
      </c>
      <c r="B41" s="15" t="s">
        <v>24</v>
      </c>
      <c r="C41" s="17">
        <v>1257.0</v>
      </c>
      <c r="D41" s="15"/>
      <c r="E41" s="19" t="s">
        <v>229</v>
      </c>
      <c r="F41" s="25" t="s">
        <v>230</v>
      </c>
      <c r="G41" s="25" t="s">
        <v>231</v>
      </c>
      <c r="H41" s="25" t="s">
        <v>36</v>
      </c>
      <c r="I41" s="32">
        <v>45911.0</v>
      </c>
      <c r="J41" s="17">
        <v>1.0</v>
      </c>
      <c r="K41" s="14" t="s">
        <v>38</v>
      </c>
      <c r="L41" s="28">
        <v>0.0</v>
      </c>
      <c r="M41" s="28">
        <v>0.0</v>
      </c>
      <c r="N41" s="28">
        <v>0.0</v>
      </c>
      <c r="O41" s="28">
        <v>150000.0</v>
      </c>
      <c r="P41" s="28">
        <v>0.0</v>
      </c>
      <c r="Q41" s="32">
        <v>45925.0</v>
      </c>
      <c r="R41" s="11"/>
    </row>
    <row r="42" ht="15.75" customHeight="1">
      <c r="A42" s="13">
        <f t="shared" si="1"/>
        <v>41</v>
      </c>
      <c r="B42" s="15" t="s">
        <v>24</v>
      </c>
      <c r="C42" s="17">
        <v>1257.0</v>
      </c>
      <c r="D42" s="15"/>
      <c r="E42" s="19" t="s">
        <v>235</v>
      </c>
      <c r="F42" s="25" t="s">
        <v>221</v>
      </c>
      <c r="G42" s="25" t="s">
        <v>181</v>
      </c>
      <c r="H42" s="25" t="s">
        <v>36</v>
      </c>
      <c r="I42" s="32">
        <v>45925.0</v>
      </c>
      <c r="J42" s="17">
        <v>0.0</v>
      </c>
      <c r="K42" s="14" t="s">
        <v>38</v>
      </c>
      <c r="L42" s="28">
        <v>45000.0</v>
      </c>
      <c r="M42" s="28">
        <v>0.0</v>
      </c>
      <c r="N42" s="28">
        <v>0.0</v>
      </c>
      <c r="O42" s="28">
        <v>0.0</v>
      </c>
      <c r="P42" s="28">
        <v>0.0</v>
      </c>
      <c r="Q42" s="32"/>
      <c r="R42" s="11"/>
    </row>
    <row r="43" ht="15.75" customHeight="1">
      <c r="A43" s="13">
        <f t="shared" si="1"/>
        <v>42</v>
      </c>
      <c r="B43" s="15" t="s">
        <v>24</v>
      </c>
      <c r="C43" s="17">
        <v>1257.0</v>
      </c>
      <c r="D43" s="15"/>
      <c r="E43" s="19" t="s">
        <v>236</v>
      </c>
      <c r="F43" s="25" t="s">
        <v>221</v>
      </c>
      <c r="G43" s="25" t="s">
        <v>189</v>
      </c>
      <c r="H43" s="25" t="s">
        <v>36</v>
      </c>
      <c r="I43" s="32">
        <v>45925.0</v>
      </c>
      <c r="J43" s="17">
        <v>0.0</v>
      </c>
      <c r="K43" s="14" t="s">
        <v>38</v>
      </c>
      <c r="L43" s="28">
        <v>45000.0</v>
      </c>
      <c r="M43" s="28">
        <v>0.0</v>
      </c>
      <c r="N43" s="28">
        <v>0.0</v>
      </c>
      <c r="O43" s="28">
        <v>0.0</v>
      </c>
      <c r="P43" s="28">
        <v>0.0</v>
      </c>
      <c r="Q43" s="32"/>
      <c r="R43" s="11"/>
    </row>
    <row r="44" ht="15.75" customHeight="1">
      <c r="A44" s="13">
        <f t="shared" si="1"/>
        <v>43</v>
      </c>
      <c r="B44" s="15" t="s">
        <v>24</v>
      </c>
      <c r="C44" s="17">
        <v>1257.0</v>
      </c>
      <c r="D44" s="15"/>
      <c r="E44" s="19" t="s">
        <v>238</v>
      </c>
      <c r="F44" s="25" t="s">
        <v>221</v>
      </c>
      <c r="G44" s="25" t="s">
        <v>181</v>
      </c>
      <c r="H44" s="25" t="s">
        <v>36</v>
      </c>
      <c r="I44" s="32">
        <v>45930.0</v>
      </c>
      <c r="J44" s="17">
        <v>0.0</v>
      </c>
      <c r="K44" s="14" t="s">
        <v>38</v>
      </c>
      <c r="L44" s="28">
        <v>5000.0</v>
      </c>
      <c r="M44" s="28">
        <v>0.0</v>
      </c>
      <c r="N44" s="28">
        <v>0.0</v>
      </c>
      <c r="O44" s="28">
        <v>0.0</v>
      </c>
      <c r="P44" s="28">
        <v>0.0</v>
      </c>
      <c r="Q44" s="32"/>
      <c r="R44" s="11"/>
    </row>
    <row r="45" ht="15.75" customHeight="1">
      <c r="A45" s="13">
        <f t="shared" si="1"/>
        <v>44</v>
      </c>
      <c r="B45" s="15" t="s">
        <v>24</v>
      </c>
      <c r="C45" s="17">
        <v>1257.0</v>
      </c>
      <c r="D45" s="15"/>
      <c r="E45" s="19" t="s">
        <v>242</v>
      </c>
      <c r="F45" s="65" t="s">
        <v>244</v>
      </c>
      <c r="G45" s="74" t="s">
        <v>246</v>
      </c>
      <c r="H45" s="25" t="s">
        <v>36</v>
      </c>
      <c r="I45" s="32">
        <v>45927.0</v>
      </c>
      <c r="J45" s="17">
        <v>1.0</v>
      </c>
      <c r="K45" s="14" t="s">
        <v>38</v>
      </c>
      <c r="L45" s="28">
        <v>5000.0</v>
      </c>
      <c r="M45" s="28">
        <v>0.0</v>
      </c>
      <c r="N45" s="28">
        <v>0.0</v>
      </c>
      <c r="O45" s="28">
        <v>0.0</v>
      </c>
      <c r="P45" s="28">
        <v>0.0</v>
      </c>
      <c r="Q45" s="32"/>
      <c r="R45" s="11"/>
    </row>
    <row r="46" ht="15.75" customHeight="1">
      <c r="A46" s="13">
        <f t="shared" si="1"/>
        <v>45</v>
      </c>
      <c r="B46" s="15" t="s">
        <v>24</v>
      </c>
      <c r="C46" s="17">
        <v>1257.0</v>
      </c>
      <c r="D46" s="15"/>
      <c r="E46" s="19" t="s">
        <v>249</v>
      </c>
      <c r="F46" s="21" t="s">
        <v>52</v>
      </c>
      <c r="G46" s="21" t="s">
        <v>114</v>
      </c>
      <c r="H46" s="14" t="s">
        <v>36</v>
      </c>
      <c r="I46" s="24">
        <v>45897.0</v>
      </c>
      <c r="J46" s="17">
        <v>0.0</v>
      </c>
      <c r="K46" s="25" t="s">
        <v>57</v>
      </c>
      <c r="L46" s="28">
        <v>4000.0</v>
      </c>
      <c r="M46" s="29">
        <v>0.0</v>
      </c>
      <c r="N46" s="29">
        <v>0.0</v>
      </c>
      <c r="O46" s="29">
        <v>0.0</v>
      </c>
      <c r="P46" s="29">
        <v>0.0</v>
      </c>
      <c r="Q46" s="32"/>
      <c r="R46" s="11"/>
    </row>
    <row r="47" ht="15.75" customHeight="1">
      <c r="A47" s="13">
        <f t="shared" si="1"/>
        <v>46</v>
      </c>
      <c r="B47" s="15" t="s">
        <v>24</v>
      </c>
      <c r="C47" s="17">
        <v>1257.0</v>
      </c>
      <c r="D47" s="15" t="s">
        <v>122</v>
      </c>
      <c r="E47" s="19" t="s">
        <v>251</v>
      </c>
      <c r="F47" s="25" t="s">
        <v>191</v>
      </c>
      <c r="G47" s="25" t="s">
        <v>252</v>
      </c>
      <c r="H47" s="25" t="s">
        <v>36</v>
      </c>
      <c r="I47" s="32">
        <v>45930.0</v>
      </c>
      <c r="J47" s="15">
        <v>4.0</v>
      </c>
      <c r="K47" s="25" t="s">
        <v>38</v>
      </c>
      <c r="L47" s="28">
        <v>0.0</v>
      </c>
      <c r="M47" s="28">
        <v>0.0</v>
      </c>
      <c r="N47" s="28">
        <v>20000.0</v>
      </c>
      <c r="O47" s="28">
        <v>0.0</v>
      </c>
      <c r="P47" s="28">
        <v>0.0</v>
      </c>
      <c r="Q47" s="32">
        <v>45935.0</v>
      </c>
      <c r="R47" s="11"/>
    </row>
    <row r="48" ht="15.75" customHeight="1">
      <c r="A48" s="13">
        <f t="shared" si="1"/>
        <v>47</v>
      </c>
      <c r="B48" s="15" t="s">
        <v>24</v>
      </c>
      <c r="C48" s="17">
        <v>1257.0</v>
      </c>
      <c r="D48" s="15" t="s">
        <v>122</v>
      </c>
      <c r="E48" s="19" t="s">
        <v>256</v>
      </c>
      <c r="F48" s="25" t="s">
        <v>191</v>
      </c>
      <c r="G48" s="25" t="s">
        <v>252</v>
      </c>
      <c r="H48" s="25" t="s">
        <v>36</v>
      </c>
      <c r="I48" s="32">
        <v>45930.0</v>
      </c>
      <c r="J48" s="15">
        <v>0.0</v>
      </c>
      <c r="K48" s="25" t="s">
        <v>38</v>
      </c>
      <c r="L48" s="28">
        <v>0.0</v>
      </c>
      <c r="M48" s="28">
        <v>0.0</v>
      </c>
      <c r="N48" s="28">
        <v>300000.0</v>
      </c>
      <c r="O48" s="28">
        <v>0.0</v>
      </c>
      <c r="P48" s="28">
        <v>0.0</v>
      </c>
      <c r="Q48" s="32">
        <v>45945.0</v>
      </c>
      <c r="R48" s="11"/>
    </row>
    <row r="49" ht="15.75" customHeight="1">
      <c r="A49" s="13">
        <f t="shared" si="1"/>
        <v>48</v>
      </c>
      <c r="B49" s="15" t="s">
        <v>24</v>
      </c>
      <c r="C49" s="17">
        <v>1257.0</v>
      </c>
      <c r="D49" s="15" t="s">
        <v>122</v>
      </c>
      <c r="E49" s="19" t="s">
        <v>258</v>
      </c>
      <c r="F49" s="25" t="s">
        <v>191</v>
      </c>
      <c r="G49" s="25" t="s">
        <v>252</v>
      </c>
      <c r="H49" s="25" t="s">
        <v>36</v>
      </c>
      <c r="I49" s="32">
        <v>45930.0</v>
      </c>
      <c r="J49" s="15">
        <v>0.0</v>
      </c>
      <c r="K49" s="25" t="s">
        <v>38</v>
      </c>
      <c r="L49" s="28">
        <v>0.0</v>
      </c>
      <c r="M49" s="28">
        <v>0.0</v>
      </c>
      <c r="N49" s="28">
        <v>300000.0</v>
      </c>
      <c r="O49" s="28">
        <v>0.0</v>
      </c>
      <c r="P49" s="28">
        <v>0.0</v>
      </c>
      <c r="Q49" s="32">
        <v>46096.0</v>
      </c>
      <c r="R49" s="11"/>
    </row>
    <row r="50" ht="15.75" customHeight="1">
      <c r="A50" s="13">
        <f t="shared" si="1"/>
        <v>49</v>
      </c>
      <c r="B50" s="15" t="s">
        <v>24</v>
      </c>
      <c r="C50" s="17">
        <v>1257.0</v>
      </c>
      <c r="D50" s="15" t="s">
        <v>122</v>
      </c>
      <c r="E50" s="19" t="s">
        <v>261</v>
      </c>
      <c r="F50" s="25" t="s">
        <v>191</v>
      </c>
      <c r="G50" s="25" t="s">
        <v>252</v>
      </c>
      <c r="H50" s="25" t="s">
        <v>36</v>
      </c>
      <c r="I50" s="32">
        <v>45930.0</v>
      </c>
      <c r="J50" s="15">
        <v>0.0</v>
      </c>
      <c r="K50" s="25" t="s">
        <v>38</v>
      </c>
      <c r="L50" s="28">
        <v>0.0</v>
      </c>
      <c r="M50" s="28">
        <v>0.0</v>
      </c>
      <c r="N50" s="28">
        <v>0.0</v>
      </c>
      <c r="O50" s="28">
        <v>300000.0</v>
      </c>
      <c r="P50" s="28">
        <v>0.0</v>
      </c>
      <c r="Q50" s="32">
        <v>46376.0</v>
      </c>
      <c r="R50" s="11"/>
    </row>
    <row r="51" ht="15.75" customHeight="1">
      <c r="A51" s="13">
        <f t="shared" si="1"/>
        <v>50</v>
      </c>
      <c r="B51" s="15" t="s">
        <v>24</v>
      </c>
      <c r="C51" s="17">
        <v>1257.0</v>
      </c>
      <c r="D51" s="15" t="s">
        <v>211</v>
      </c>
      <c r="E51" s="19" t="s">
        <v>264</v>
      </c>
      <c r="F51" s="25" t="s">
        <v>221</v>
      </c>
      <c r="G51" s="25" t="s">
        <v>181</v>
      </c>
      <c r="H51" s="25" t="s">
        <v>36</v>
      </c>
      <c r="I51" s="32">
        <v>45931.0</v>
      </c>
      <c r="J51" s="15">
        <v>0.0</v>
      </c>
      <c r="K51" s="25" t="s">
        <v>266</v>
      </c>
      <c r="L51" s="28">
        <v>20000.0</v>
      </c>
      <c r="M51" s="28">
        <v>0.0</v>
      </c>
      <c r="N51" s="28">
        <v>0.0</v>
      </c>
      <c r="O51" s="28">
        <v>0.0</v>
      </c>
      <c r="P51" s="28">
        <v>0.0</v>
      </c>
      <c r="Q51" s="32" t="s">
        <v>267</v>
      </c>
      <c r="R51" s="11"/>
    </row>
    <row r="52" ht="15.75" customHeight="1">
      <c r="A52" s="13">
        <f t="shared" si="1"/>
        <v>51</v>
      </c>
      <c r="B52" s="15" t="s">
        <v>24</v>
      </c>
      <c r="C52" s="17">
        <v>1438.0</v>
      </c>
      <c r="D52" s="15" t="s">
        <v>211</v>
      </c>
      <c r="E52" s="19" t="s">
        <v>268</v>
      </c>
      <c r="F52" s="25" t="s">
        <v>84</v>
      </c>
      <c r="G52" s="25" t="s">
        <v>270</v>
      </c>
      <c r="H52" s="25" t="s">
        <v>36</v>
      </c>
      <c r="I52" s="32">
        <v>45931.0</v>
      </c>
      <c r="J52" s="15">
        <v>1.0</v>
      </c>
      <c r="K52" s="25" t="s">
        <v>38</v>
      </c>
      <c r="L52" s="28">
        <v>50000.0</v>
      </c>
      <c r="M52" s="28">
        <v>0.0</v>
      </c>
      <c r="N52" s="28">
        <v>0.0</v>
      </c>
      <c r="O52" s="28">
        <v>0.0</v>
      </c>
      <c r="P52" s="28">
        <v>0.0</v>
      </c>
      <c r="Q52" s="32" t="s">
        <v>267</v>
      </c>
      <c r="R52" s="11"/>
    </row>
    <row r="53" ht="15.75" customHeight="1">
      <c r="A53" s="13">
        <f t="shared" si="1"/>
        <v>52</v>
      </c>
      <c r="B53" s="15" t="s">
        <v>24</v>
      </c>
      <c r="C53" s="17">
        <v>1438.0</v>
      </c>
      <c r="D53" s="15" t="s">
        <v>211</v>
      </c>
      <c r="E53" s="19" t="s">
        <v>275</v>
      </c>
      <c r="F53" s="25" t="s">
        <v>84</v>
      </c>
      <c r="G53" s="25" t="s">
        <v>254</v>
      </c>
      <c r="H53" s="25" t="s">
        <v>36</v>
      </c>
      <c r="I53" s="32">
        <v>45931.0</v>
      </c>
      <c r="J53" s="15">
        <v>1.0</v>
      </c>
      <c r="K53" s="25" t="s">
        <v>38</v>
      </c>
      <c r="L53" s="28">
        <v>50000.0</v>
      </c>
      <c r="M53" s="28">
        <v>0.0</v>
      </c>
      <c r="N53" s="28">
        <v>0.0</v>
      </c>
      <c r="O53" s="28">
        <v>0.0</v>
      </c>
      <c r="P53" s="28">
        <v>0.0</v>
      </c>
      <c r="Q53" s="32" t="s">
        <v>267</v>
      </c>
      <c r="R53" s="11"/>
    </row>
    <row r="54" ht="15.75" customHeight="1">
      <c r="A54" s="13">
        <f t="shared" si="1"/>
        <v>53</v>
      </c>
      <c r="B54" s="15" t="s">
        <v>24</v>
      </c>
      <c r="C54" s="17">
        <v>1438.0</v>
      </c>
      <c r="D54" s="15" t="s">
        <v>211</v>
      </c>
      <c r="E54" s="19" t="s">
        <v>277</v>
      </c>
      <c r="F54" s="25" t="s">
        <v>221</v>
      </c>
      <c r="G54" s="25" t="s">
        <v>189</v>
      </c>
      <c r="H54" s="25" t="s">
        <v>36</v>
      </c>
      <c r="I54" s="32">
        <v>45931.0</v>
      </c>
      <c r="J54" s="15">
        <v>0.0</v>
      </c>
      <c r="K54" s="25" t="s">
        <v>266</v>
      </c>
      <c r="L54" s="28">
        <v>5000.0</v>
      </c>
      <c r="M54" s="28">
        <v>0.0</v>
      </c>
      <c r="N54" s="28">
        <v>0.0</v>
      </c>
      <c r="O54" s="28">
        <v>0.0</v>
      </c>
      <c r="P54" s="28">
        <v>0.0</v>
      </c>
      <c r="Q54" s="32"/>
      <c r="R54" s="11"/>
    </row>
    <row r="55" ht="15.75" customHeight="1">
      <c r="A55" s="13">
        <f t="shared" si="1"/>
        <v>54</v>
      </c>
      <c r="B55" s="15" t="s">
        <v>24</v>
      </c>
      <c r="C55" s="17">
        <v>1438.0</v>
      </c>
      <c r="D55" s="15" t="s">
        <v>211</v>
      </c>
      <c r="E55" s="19" t="s">
        <v>281</v>
      </c>
      <c r="F55" s="25" t="s">
        <v>27</v>
      </c>
      <c r="G55" s="25" t="s">
        <v>283</v>
      </c>
      <c r="H55" s="25" t="s">
        <v>36</v>
      </c>
      <c r="I55" s="32">
        <v>45938.0</v>
      </c>
      <c r="J55" s="15">
        <v>0.0</v>
      </c>
      <c r="K55" s="25" t="s">
        <v>38</v>
      </c>
      <c r="L55" s="28">
        <v>100000.0</v>
      </c>
      <c r="M55" s="28">
        <v>0.0</v>
      </c>
      <c r="N55" s="28">
        <v>0.0</v>
      </c>
      <c r="O55" s="28">
        <v>0.0</v>
      </c>
      <c r="P55" s="28">
        <v>0.0</v>
      </c>
      <c r="Q55" s="32" t="s">
        <v>267</v>
      </c>
      <c r="R55" s="11"/>
    </row>
    <row r="56" ht="15.75" customHeight="1">
      <c r="A56" s="13">
        <f t="shared" si="1"/>
        <v>55</v>
      </c>
      <c r="B56" s="15" t="s">
        <v>24</v>
      </c>
      <c r="C56" s="17">
        <v>1438.0</v>
      </c>
      <c r="D56" s="15" t="s">
        <v>211</v>
      </c>
      <c r="E56" s="19" t="s">
        <v>284</v>
      </c>
      <c r="F56" s="25" t="s">
        <v>84</v>
      </c>
      <c r="G56" s="25" t="s">
        <v>254</v>
      </c>
      <c r="H56" s="25" t="s">
        <v>37</v>
      </c>
      <c r="I56" s="32">
        <v>45941.0</v>
      </c>
      <c r="J56" s="15">
        <v>1.0</v>
      </c>
      <c r="K56" s="25" t="s">
        <v>266</v>
      </c>
      <c r="L56" s="28">
        <v>5000.0</v>
      </c>
      <c r="M56" s="28">
        <v>0.0</v>
      </c>
      <c r="N56" s="28">
        <v>0.0</v>
      </c>
      <c r="O56" s="28">
        <v>0.0</v>
      </c>
      <c r="P56" s="28">
        <v>0.0</v>
      </c>
      <c r="Q56" s="32" t="s">
        <v>267</v>
      </c>
      <c r="R56" s="11"/>
    </row>
    <row r="57" ht="15.75" customHeight="1">
      <c r="A57" s="13">
        <f t="shared" si="1"/>
        <v>56</v>
      </c>
      <c r="B57" s="15" t="s">
        <v>24</v>
      </c>
      <c r="C57" s="17">
        <v>1438.0</v>
      </c>
      <c r="D57" s="15" t="s">
        <v>211</v>
      </c>
      <c r="E57" s="19" t="s">
        <v>289</v>
      </c>
      <c r="F57" s="25" t="s">
        <v>84</v>
      </c>
      <c r="G57" s="25" t="s">
        <v>270</v>
      </c>
      <c r="H57" s="25" t="s">
        <v>37</v>
      </c>
      <c r="I57" s="32">
        <v>45941.0</v>
      </c>
      <c r="J57" s="15">
        <v>1.0</v>
      </c>
      <c r="K57" s="25" t="s">
        <v>266</v>
      </c>
      <c r="L57" s="28">
        <v>5000.0</v>
      </c>
      <c r="M57" s="28">
        <v>0.0</v>
      </c>
      <c r="N57" s="28">
        <v>0.0</v>
      </c>
      <c r="O57" s="28">
        <v>0.0</v>
      </c>
      <c r="P57" s="28">
        <v>0.0</v>
      </c>
      <c r="Q57" s="32" t="s">
        <v>267</v>
      </c>
      <c r="R57" s="11"/>
    </row>
    <row r="58" ht="15.75" customHeight="1">
      <c r="A58" s="13">
        <f t="shared" si="1"/>
        <v>57</v>
      </c>
      <c r="B58" s="15" t="s">
        <v>24</v>
      </c>
      <c r="C58" s="17">
        <v>1438.0</v>
      </c>
      <c r="D58" s="15" t="s">
        <v>211</v>
      </c>
      <c r="E58" s="19" t="s">
        <v>291</v>
      </c>
      <c r="F58" s="25" t="s">
        <v>27</v>
      </c>
      <c r="G58" s="25" t="s">
        <v>64</v>
      </c>
      <c r="H58" s="25" t="s">
        <v>36</v>
      </c>
      <c r="I58" s="32">
        <v>45943.0</v>
      </c>
      <c r="J58" s="15">
        <v>0.0</v>
      </c>
      <c r="K58" s="25" t="s">
        <v>57</v>
      </c>
      <c r="L58" s="28">
        <v>0.0</v>
      </c>
      <c r="M58" s="28">
        <v>7500.0</v>
      </c>
      <c r="N58" s="28">
        <v>0.0</v>
      </c>
      <c r="O58" s="28">
        <v>0.0</v>
      </c>
      <c r="P58" s="28">
        <v>0.0</v>
      </c>
      <c r="Q58" s="32" t="s">
        <v>267</v>
      </c>
      <c r="R58" s="11"/>
    </row>
    <row r="59" ht="15.75" customHeight="1">
      <c r="A59" s="13">
        <f t="shared" si="1"/>
        <v>58</v>
      </c>
      <c r="B59" s="15" t="s">
        <v>24</v>
      </c>
      <c r="C59" s="17">
        <v>1438.0</v>
      </c>
      <c r="D59" s="15" t="s">
        <v>211</v>
      </c>
      <c r="E59" s="19" t="s">
        <v>295</v>
      </c>
      <c r="F59" s="25" t="s">
        <v>27</v>
      </c>
      <c r="G59" s="25" t="s">
        <v>69</v>
      </c>
      <c r="H59" s="25" t="s">
        <v>36</v>
      </c>
      <c r="I59" s="32">
        <v>45945.0</v>
      </c>
      <c r="J59" s="15">
        <v>0.0</v>
      </c>
      <c r="K59" s="25" t="s">
        <v>57</v>
      </c>
      <c r="L59" s="28">
        <v>0.0</v>
      </c>
      <c r="M59" s="28">
        <v>17000.0</v>
      </c>
      <c r="N59" s="28">
        <v>0.0</v>
      </c>
      <c r="O59" s="28">
        <v>0.0</v>
      </c>
      <c r="P59" s="28">
        <v>0.0</v>
      </c>
      <c r="Q59" s="32" t="s">
        <v>267</v>
      </c>
      <c r="R59" s="11"/>
    </row>
    <row r="60" ht="15.75" customHeight="1">
      <c r="A60" s="13">
        <f t="shared" si="1"/>
        <v>59</v>
      </c>
      <c r="B60" s="15" t="s">
        <v>24</v>
      </c>
      <c r="C60" s="17">
        <v>1438.0</v>
      </c>
      <c r="D60" s="15" t="s">
        <v>211</v>
      </c>
      <c r="E60" s="19" t="s">
        <v>297</v>
      </c>
      <c r="F60" s="25" t="s">
        <v>230</v>
      </c>
      <c r="G60" s="25" t="s">
        <v>231</v>
      </c>
      <c r="H60" s="25" t="s">
        <v>36</v>
      </c>
      <c r="I60" s="32">
        <v>45946.0</v>
      </c>
      <c r="J60" s="15">
        <v>1.0</v>
      </c>
      <c r="K60" s="25" t="s">
        <v>266</v>
      </c>
      <c r="L60" s="28">
        <v>5000.0</v>
      </c>
      <c r="M60" s="28">
        <v>0.0</v>
      </c>
      <c r="N60" s="28">
        <v>0.0</v>
      </c>
      <c r="O60" s="28">
        <v>0.0</v>
      </c>
      <c r="P60" s="28">
        <v>0.0</v>
      </c>
      <c r="Q60" s="32" t="s">
        <v>267</v>
      </c>
      <c r="R60" s="11"/>
    </row>
    <row r="61" ht="15.75" customHeight="1">
      <c r="A61" s="13">
        <f t="shared" si="1"/>
        <v>60</v>
      </c>
      <c r="B61" s="15" t="s">
        <v>24</v>
      </c>
      <c r="C61" s="17">
        <v>1438.0</v>
      </c>
      <c r="D61" s="15" t="s">
        <v>301</v>
      </c>
      <c r="E61" s="19" t="s">
        <v>302</v>
      </c>
      <c r="F61" s="25" t="s">
        <v>303</v>
      </c>
      <c r="G61" s="25" t="s">
        <v>304</v>
      </c>
      <c r="H61" s="25" t="s">
        <v>36</v>
      </c>
      <c r="I61" s="32">
        <v>45949.0</v>
      </c>
      <c r="J61" s="15">
        <v>2.0</v>
      </c>
      <c r="K61" s="25" t="s">
        <v>266</v>
      </c>
      <c r="L61" s="28">
        <v>10000.0</v>
      </c>
      <c r="M61" s="28">
        <v>0.0</v>
      </c>
      <c r="N61" s="28">
        <v>0.0</v>
      </c>
      <c r="O61" s="28">
        <v>0.0</v>
      </c>
      <c r="P61" s="28">
        <v>0.0</v>
      </c>
      <c r="Q61" s="32" t="s">
        <v>267</v>
      </c>
      <c r="R61" s="11"/>
    </row>
    <row r="62" ht="15.75" customHeight="1">
      <c r="A62" s="13">
        <f t="shared" si="1"/>
        <v>61</v>
      </c>
      <c r="B62" s="15" t="s">
        <v>24</v>
      </c>
      <c r="C62" s="17">
        <v>1438.0</v>
      </c>
      <c r="D62" s="15" t="s">
        <v>301</v>
      </c>
      <c r="E62" s="19" t="s">
        <v>306</v>
      </c>
      <c r="F62" s="25" t="s">
        <v>303</v>
      </c>
      <c r="G62" s="25" t="s">
        <v>304</v>
      </c>
      <c r="H62" s="25" t="s">
        <v>36</v>
      </c>
      <c r="I62" s="32">
        <v>45951.0</v>
      </c>
      <c r="J62" s="15">
        <v>0.0</v>
      </c>
      <c r="K62" s="25" t="s">
        <v>38</v>
      </c>
      <c r="L62" s="28">
        <v>0.0</v>
      </c>
      <c r="M62" s="28">
        <v>0.0</v>
      </c>
      <c r="N62" s="28">
        <v>0.0</v>
      </c>
      <c r="O62" s="28"/>
      <c r="P62" s="84">
        <v>200000.0</v>
      </c>
      <c r="Q62" s="86">
        <v>45971.0</v>
      </c>
      <c r="R62" s="11"/>
    </row>
    <row r="63" ht="15.75" customHeight="1">
      <c r="A63" s="13">
        <f t="shared" si="1"/>
        <v>62</v>
      </c>
      <c r="B63" s="15" t="s">
        <v>24</v>
      </c>
      <c r="C63" s="17">
        <v>1438.0</v>
      </c>
      <c r="D63" s="15" t="s">
        <v>122</v>
      </c>
      <c r="E63" s="19" t="s">
        <v>311</v>
      </c>
      <c r="F63" s="25" t="s">
        <v>60</v>
      </c>
      <c r="G63" s="25" t="s">
        <v>161</v>
      </c>
      <c r="H63" s="25" t="s">
        <v>36</v>
      </c>
      <c r="I63" s="32">
        <v>45952.0</v>
      </c>
      <c r="J63" s="15">
        <v>0.0</v>
      </c>
      <c r="K63" s="25" t="s">
        <v>57</v>
      </c>
      <c r="L63" s="28">
        <v>7300.0</v>
      </c>
      <c r="M63" s="28">
        <v>0.0</v>
      </c>
      <c r="N63" s="28">
        <v>0.0</v>
      </c>
      <c r="O63" s="28">
        <v>0.0</v>
      </c>
      <c r="P63" s="28">
        <v>0.0</v>
      </c>
      <c r="Q63" s="32"/>
      <c r="R63" s="11"/>
    </row>
    <row r="64" ht="15.75" customHeight="1">
      <c r="A64" s="13">
        <f t="shared" si="1"/>
        <v>63</v>
      </c>
      <c r="B64" s="15" t="s">
        <v>24</v>
      </c>
      <c r="C64" s="17">
        <v>1438.0</v>
      </c>
      <c r="D64" s="15" t="s">
        <v>211</v>
      </c>
      <c r="E64" s="19" t="s">
        <v>312</v>
      </c>
      <c r="F64" s="25" t="s">
        <v>221</v>
      </c>
      <c r="G64" s="25" t="s">
        <v>189</v>
      </c>
      <c r="H64" s="25" t="s">
        <v>36</v>
      </c>
      <c r="I64" s="32">
        <v>45953.0</v>
      </c>
      <c r="J64" s="15">
        <v>0.0</v>
      </c>
      <c r="K64" s="25" t="s">
        <v>38</v>
      </c>
      <c r="L64" s="28">
        <v>45000.0</v>
      </c>
      <c r="M64" s="28">
        <v>0.0</v>
      </c>
      <c r="N64" s="28">
        <v>0.0</v>
      </c>
      <c r="O64" s="28">
        <v>0.0</v>
      </c>
      <c r="P64" s="28">
        <v>0.0</v>
      </c>
      <c r="Q64" s="32"/>
      <c r="R64" s="11"/>
    </row>
    <row r="65" ht="15.75" customHeight="1">
      <c r="A65" s="13">
        <f t="shared" si="1"/>
        <v>64</v>
      </c>
      <c r="B65" s="15" t="s">
        <v>24</v>
      </c>
      <c r="C65" s="17">
        <v>1438.0</v>
      </c>
      <c r="D65" s="15" t="s">
        <v>211</v>
      </c>
      <c r="E65" s="19" t="s">
        <v>315</v>
      </c>
      <c r="F65" s="25" t="s">
        <v>221</v>
      </c>
      <c r="G65" s="25" t="s">
        <v>181</v>
      </c>
      <c r="H65" s="25" t="s">
        <v>36</v>
      </c>
      <c r="I65" s="32">
        <v>45953.0</v>
      </c>
      <c r="J65" s="15">
        <v>0.0</v>
      </c>
      <c r="K65" s="25" t="s">
        <v>38</v>
      </c>
      <c r="L65" s="28">
        <v>25000.0</v>
      </c>
      <c r="M65" s="28">
        <v>0.0</v>
      </c>
      <c r="N65" s="28">
        <v>0.0</v>
      </c>
      <c r="O65" s="28">
        <v>0.0</v>
      </c>
      <c r="P65" s="28">
        <v>0.0</v>
      </c>
      <c r="Q65" s="32"/>
      <c r="R65" s="11"/>
    </row>
    <row r="66" ht="15.75" customHeight="1">
      <c r="A66" s="13">
        <f t="shared" si="1"/>
        <v>65</v>
      </c>
      <c r="B66" s="15" t="s">
        <v>24</v>
      </c>
      <c r="C66" s="17">
        <v>1438.0</v>
      </c>
      <c r="D66" s="15" t="s">
        <v>211</v>
      </c>
      <c r="E66" s="19" t="s">
        <v>319</v>
      </c>
      <c r="F66" s="25" t="s">
        <v>221</v>
      </c>
      <c r="G66" s="25" t="s">
        <v>320</v>
      </c>
      <c r="H66" s="25" t="s">
        <v>36</v>
      </c>
      <c r="I66" s="32">
        <v>45953.0</v>
      </c>
      <c r="J66" s="15">
        <v>1.0</v>
      </c>
      <c r="K66" s="25" t="s">
        <v>266</v>
      </c>
      <c r="L66" s="28">
        <v>10000.0</v>
      </c>
      <c r="M66" s="28">
        <v>0.0</v>
      </c>
      <c r="N66" s="28">
        <v>0.0</v>
      </c>
      <c r="O66" s="28">
        <v>0.0</v>
      </c>
      <c r="P66" s="28">
        <v>0.0</v>
      </c>
      <c r="Q66" s="32"/>
      <c r="R66" s="11"/>
    </row>
    <row r="67" ht="15.75" customHeight="1">
      <c r="A67" s="13">
        <f t="shared" si="1"/>
        <v>66</v>
      </c>
      <c r="B67" s="15" t="s">
        <v>24</v>
      </c>
      <c r="C67" s="17">
        <v>1438.0</v>
      </c>
      <c r="D67" s="15" t="s">
        <v>122</v>
      </c>
      <c r="E67" s="19" t="s">
        <v>323</v>
      </c>
      <c r="F67" s="25" t="s">
        <v>191</v>
      </c>
      <c r="G67" s="25" t="s">
        <v>193</v>
      </c>
      <c r="H67" s="25" t="s">
        <v>36</v>
      </c>
      <c r="I67" s="32">
        <v>45955.0</v>
      </c>
      <c r="J67" s="15">
        <v>0.0</v>
      </c>
      <c r="K67" s="25" t="s">
        <v>38</v>
      </c>
      <c r="L67" s="28">
        <v>0.0</v>
      </c>
      <c r="M67" s="28">
        <v>100000.0</v>
      </c>
      <c r="N67" s="28">
        <v>0.0</v>
      </c>
      <c r="O67" s="28">
        <v>0.0</v>
      </c>
      <c r="P67" s="28">
        <v>0.0</v>
      </c>
      <c r="Q67" s="32"/>
      <c r="R67" s="11"/>
    </row>
    <row r="68" ht="15.75" customHeight="1">
      <c r="A68" s="13">
        <f t="shared" si="1"/>
        <v>67</v>
      </c>
      <c r="B68" s="15" t="s">
        <v>24</v>
      </c>
      <c r="C68" s="17">
        <v>1438.0</v>
      </c>
      <c r="D68" s="15" t="s">
        <v>211</v>
      </c>
      <c r="E68" s="19" t="s">
        <v>326</v>
      </c>
      <c r="F68" s="25" t="s">
        <v>221</v>
      </c>
      <c r="G68" s="25" t="s">
        <v>320</v>
      </c>
      <c r="H68" s="25" t="s">
        <v>36</v>
      </c>
      <c r="I68" s="32">
        <v>45959.0</v>
      </c>
      <c r="J68" s="15">
        <v>1.0</v>
      </c>
      <c r="K68" s="25" t="s">
        <v>38</v>
      </c>
      <c r="L68" s="28">
        <v>50000.0</v>
      </c>
      <c r="M68" s="28">
        <v>0.0</v>
      </c>
      <c r="N68" s="28">
        <v>0.0</v>
      </c>
      <c r="O68" s="28">
        <v>0.0</v>
      </c>
      <c r="P68" s="28">
        <v>0.0</v>
      </c>
      <c r="Q68" s="32"/>
      <c r="R68" s="11"/>
    </row>
    <row r="69" ht="15.75" customHeight="1">
      <c r="A69" s="13">
        <f t="shared" si="1"/>
        <v>68</v>
      </c>
      <c r="B69" s="15" t="s">
        <v>24</v>
      </c>
      <c r="C69" s="17">
        <v>1438.0</v>
      </c>
      <c r="D69" s="15" t="s">
        <v>211</v>
      </c>
      <c r="E69" s="19" t="s">
        <v>327</v>
      </c>
      <c r="F69" s="25" t="s">
        <v>84</v>
      </c>
      <c r="G69" s="25" t="s">
        <v>329</v>
      </c>
      <c r="H69" s="25" t="s">
        <v>37</v>
      </c>
      <c r="I69" s="32">
        <v>45960.0</v>
      </c>
      <c r="J69" s="15">
        <v>1.0</v>
      </c>
      <c r="K69" s="25" t="s">
        <v>38</v>
      </c>
      <c r="L69" s="28">
        <v>0.0</v>
      </c>
      <c r="M69" s="28">
        <v>30000.0</v>
      </c>
      <c r="N69" s="28">
        <v>0.0</v>
      </c>
      <c r="O69" s="28">
        <v>0.0</v>
      </c>
      <c r="P69" s="28">
        <v>0.0</v>
      </c>
      <c r="Q69" s="32"/>
      <c r="R69" s="11"/>
    </row>
    <row r="70" ht="15.75" customHeight="1">
      <c r="A70" s="13">
        <f t="shared" si="1"/>
        <v>69</v>
      </c>
      <c r="B70" s="15" t="s">
        <v>24</v>
      </c>
      <c r="C70" s="17">
        <v>1438.0</v>
      </c>
      <c r="D70" s="15" t="s">
        <v>211</v>
      </c>
      <c r="E70" s="19" t="s">
        <v>330</v>
      </c>
      <c r="F70" s="25" t="s">
        <v>84</v>
      </c>
      <c r="G70" s="25" t="s">
        <v>329</v>
      </c>
      <c r="H70" s="25" t="s">
        <v>36</v>
      </c>
      <c r="I70" s="32">
        <v>45960.0</v>
      </c>
      <c r="J70" s="15">
        <v>0.0</v>
      </c>
      <c r="K70" s="25" t="s">
        <v>57</v>
      </c>
      <c r="L70" s="28">
        <v>0.0</v>
      </c>
      <c r="M70" s="28">
        <v>8300.0</v>
      </c>
      <c r="N70" s="28">
        <v>0.0</v>
      </c>
      <c r="O70" s="28">
        <v>0.0</v>
      </c>
      <c r="P70" s="28">
        <v>0.0</v>
      </c>
      <c r="Q70" s="32"/>
      <c r="R70" s="11"/>
    </row>
    <row r="71" ht="15.75" customHeight="1">
      <c r="A71" s="13">
        <f t="shared" si="1"/>
        <v>70</v>
      </c>
      <c r="B71" s="15" t="s">
        <v>24</v>
      </c>
      <c r="C71" s="17">
        <v>1438.0</v>
      </c>
      <c r="D71" s="15" t="s">
        <v>301</v>
      </c>
      <c r="E71" s="19" t="s">
        <v>333</v>
      </c>
      <c r="F71" s="25" t="s">
        <v>334</v>
      </c>
      <c r="G71" s="25" t="s">
        <v>336</v>
      </c>
      <c r="H71" s="25" t="s">
        <v>36</v>
      </c>
      <c r="I71" s="32">
        <v>45962.0</v>
      </c>
      <c r="J71" s="15">
        <v>2.0</v>
      </c>
      <c r="K71" s="25" t="s">
        <v>38</v>
      </c>
      <c r="L71" s="28">
        <v>0.0</v>
      </c>
      <c r="M71" s="28">
        <v>0.0</v>
      </c>
      <c r="N71" s="28">
        <v>200000.0</v>
      </c>
      <c r="O71" s="28">
        <v>0.0</v>
      </c>
      <c r="P71" s="28">
        <v>0.0</v>
      </c>
      <c r="Q71" s="32">
        <v>45964.0</v>
      </c>
      <c r="R71" s="11"/>
    </row>
    <row r="72" ht="15.75" customHeight="1">
      <c r="A72" s="13">
        <f t="shared" si="1"/>
        <v>71</v>
      </c>
      <c r="B72" s="15" t="s">
        <v>24</v>
      </c>
      <c r="C72" s="17">
        <v>1438.0</v>
      </c>
      <c r="D72" s="15" t="s">
        <v>211</v>
      </c>
      <c r="E72" s="19" t="s">
        <v>340</v>
      </c>
      <c r="F72" s="25" t="s">
        <v>221</v>
      </c>
      <c r="G72" s="25" t="s">
        <v>341</v>
      </c>
      <c r="H72" s="25" t="s">
        <v>37</v>
      </c>
      <c r="I72" s="32">
        <v>45962.0</v>
      </c>
      <c r="J72" s="15">
        <v>1.0</v>
      </c>
      <c r="K72" s="25" t="s">
        <v>38</v>
      </c>
      <c r="L72" s="28">
        <v>5000.0</v>
      </c>
      <c r="M72" s="28">
        <v>0.0</v>
      </c>
      <c r="N72" s="28">
        <v>0.0</v>
      </c>
      <c r="O72" s="28">
        <v>0.0</v>
      </c>
      <c r="P72" s="28">
        <v>0.0</v>
      </c>
      <c r="Q72" s="32"/>
      <c r="R72" s="11"/>
    </row>
    <row r="73" ht="15.75" customHeight="1">
      <c r="A73" s="13">
        <f t="shared" si="1"/>
        <v>72</v>
      </c>
      <c r="B73" s="15" t="s">
        <v>24</v>
      </c>
      <c r="C73" s="17">
        <v>1438.0</v>
      </c>
      <c r="D73" s="15" t="s">
        <v>211</v>
      </c>
      <c r="E73" s="19" t="s">
        <v>343</v>
      </c>
      <c r="F73" s="25" t="s">
        <v>345</v>
      </c>
      <c r="G73" s="25" t="s">
        <v>114</v>
      </c>
      <c r="H73" s="25" t="s">
        <v>36</v>
      </c>
      <c r="I73" s="32">
        <v>45964.0</v>
      </c>
      <c r="J73" s="15">
        <v>0.0</v>
      </c>
      <c r="K73" s="25" t="s">
        <v>57</v>
      </c>
      <c r="L73" s="28">
        <v>4000.0</v>
      </c>
      <c r="M73" s="28">
        <v>0.0</v>
      </c>
      <c r="N73" s="28">
        <v>0.0</v>
      </c>
      <c r="O73" s="28">
        <v>0.0</v>
      </c>
      <c r="P73" s="28">
        <v>0.0</v>
      </c>
      <c r="Q73" s="32"/>
      <c r="R73" s="11"/>
    </row>
    <row r="74" ht="15.75" customHeight="1">
      <c r="A74" s="13">
        <f t="shared" si="1"/>
        <v>73</v>
      </c>
      <c r="B74" s="15" t="s">
        <v>24</v>
      </c>
      <c r="C74" s="17">
        <v>1438.0</v>
      </c>
      <c r="D74" s="15" t="s">
        <v>211</v>
      </c>
      <c r="E74" s="19" t="s">
        <v>348</v>
      </c>
      <c r="F74" s="25" t="s">
        <v>141</v>
      </c>
      <c r="G74" s="25" t="s">
        <v>143</v>
      </c>
      <c r="H74" s="25" t="s">
        <v>36</v>
      </c>
      <c r="I74" s="32">
        <v>45965.0</v>
      </c>
      <c r="J74" s="15">
        <v>0.0</v>
      </c>
      <c r="K74" s="25" t="s">
        <v>57</v>
      </c>
      <c r="L74" s="28">
        <v>5800.0</v>
      </c>
      <c r="M74" s="28">
        <v>0.0</v>
      </c>
      <c r="N74" s="28">
        <v>0.0</v>
      </c>
      <c r="O74" s="28">
        <v>0.0</v>
      </c>
      <c r="P74" s="28">
        <v>0.0</v>
      </c>
      <c r="Q74" s="32"/>
      <c r="R74" s="11"/>
    </row>
    <row r="75" ht="15.75" customHeight="1">
      <c r="A75" s="13">
        <f t="shared" si="1"/>
        <v>74</v>
      </c>
      <c r="B75" s="15" t="s">
        <v>24</v>
      </c>
      <c r="C75" s="17">
        <v>1438.0</v>
      </c>
      <c r="D75" s="15"/>
      <c r="E75" s="19" t="s">
        <v>351</v>
      </c>
      <c r="F75" s="99" t="s">
        <v>82</v>
      </c>
      <c r="G75" s="99" t="s">
        <v>353</v>
      </c>
      <c r="H75" s="25"/>
      <c r="I75" s="32"/>
      <c r="J75" s="15"/>
      <c r="K75" s="25"/>
      <c r="L75" s="28"/>
      <c r="M75" s="28"/>
      <c r="N75" s="28"/>
      <c r="O75" s="28"/>
      <c r="P75" s="28"/>
      <c r="Q75" s="32"/>
      <c r="R75" s="11"/>
    </row>
    <row r="76" ht="15.75" customHeight="1">
      <c r="A76" s="13">
        <f t="shared" si="1"/>
        <v>75</v>
      </c>
      <c r="B76" s="15" t="s">
        <v>24</v>
      </c>
      <c r="C76" s="17">
        <v>1438.0</v>
      </c>
      <c r="D76" s="15" t="s">
        <v>211</v>
      </c>
      <c r="E76" s="19" t="s">
        <v>355</v>
      </c>
      <c r="F76" s="25" t="s">
        <v>356</v>
      </c>
      <c r="G76" s="25" t="s">
        <v>358</v>
      </c>
      <c r="H76" s="25" t="s">
        <v>36</v>
      </c>
      <c r="I76" s="32">
        <v>45967.0</v>
      </c>
      <c r="J76" s="15">
        <v>1.0</v>
      </c>
      <c r="K76" s="25" t="s">
        <v>38</v>
      </c>
      <c r="L76" s="28">
        <v>5000.0</v>
      </c>
      <c r="M76" s="28">
        <v>0.0</v>
      </c>
      <c r="N76" s="28">
        <v>0.0</v>
      </c>
      <c r="O76" s="28">
        <v>0.0</v>
      </c>
      <c r="P76" s="28">
        <v>0.0</v>
      </c>
      <c r="Q76" s="32"/>
      <c r="R76" s="11"/>
    </row>
    <row r="77" ht="15.75" customHeight="1">
      <c r="A77" s="13">
        <f t="shared" si="1"/>
        <v>76</v>
      </c>
      <c r="B77" s="15" t="s">
        <v>24</v>
      </c>
      <c r="C77" s="17">
        <v>1438.0</v>
      </c>
      <c r="D77" s="15" t="s">
        <v>122</v>
      </c>
      <c r="E77" s="19" t="s">
        <v>361</v>
      </c>
      <c r="F77" s="25" t="s">
        <v>362</v>
      </c>
      <c r="G77" s="25" t="s">
        <v>363</v>
      </c>
      <c r="H77" s="25" t="s">
        <v>36</v>
      </c>
      <c r="I77" s="30">
        <v>45971.0</v>
      </c>
      <c r="J77" s="15">
        <v>1.0</v>
      </c>
      <c r="K77" s="25" t="s">
        <v>38</v>
      </c>
      <c r="L77" s="28">
        <v>30000.0</v>
      </c>
      <c r="M77" s="28">
        <v>0.0</v>
      </c>
      <c r="N77" s="28">
        <v>0.0</v>
      </c>
      <c r="O77" s="28">
        <v>0.0</v>
      </c>
      <c r="P77" s="28">
        <v>0.0</v>
      </c>
      <c r="Q77" s="32"/>
      <c r="R77" s="11"/>
    </row>
    <row r="78" ht="15.75" customHeight="1">
      <c r="A78" s="13">
        <f t="shared" si="1"/>
        <v>77</v>
      </c>
      <c r="B78" s="15" t="s">
        <v>24</v>
      </c>
      <c r="C78" s="17">
        <v>1438.0</v>
      </c>
      <c r="D78" s="15" t="s">
        <v>211</v>
      </c>
      <c r="E78" s="19" t="s">
        <v>365</v>
      </c>
      <c r="F78" s="25" t="s">
        <v>27</v>
      </c>
      <c r="G78" s="25" t="s">
        <v>69</v>
      </c>
      <c r="H78" s="25" t="s">
        <v>36</v>
      </c>
      <c r="I78" s="32">
        <v>45972.0</v>
      </c>
      <c r="J78" s="15">
        <v>0.0</v>
      </c>
      <c r="K78" s="25" t="s">
        <v>57</v>
      </c>
      <c r="L78" s="28">
        <v>0.0</v>
      </c>
      <c r="M78" s="28">
        <v>17000.0</v>
      </c>
      <c r="N78" s="28">
        <v>0.0</v>
      </c>
      <c r="O78" s="28">
        <v>0.0</v>
      </c>
      <c r="P78" s="28">
        <v>0.0</v>
      </c>
      <c r="Q78" s="32"/>
      <c r="R78" s="11"/>
    </row>
    <row r="79" ht="15.75" customHeight="1">
      <c r="A79" s="13">
        <f t="shared" si="1"/>
        <v>78</v>
      </c>
      <c r="B79" s="15" t="s">
        <v>24</v>
      </c>
      <c r="C79" s="17">
        <v>1438.0</v>
      </c>
      <c r="D79" s="15" t="s">
        <v>122</v>
      </c>
      <c r="E79" s="19" t="s">
        <v>368</v>
      </c>
      <c r="F79" s="25" t="s">
        <v>60</v>
      </c>
      <c r="G79" s="25" t="s">
        <v>161</v>
      </c>
      <c r="H79" s="25" t="s">
        <v>36</v>
      </c>
      <c r="I79" s="32">
        <v>45974.0</v>
      </c>
      <c r="J79" s="15">
        <v>0.0</v>
      </c>
      <c r="K79" s="25" t="s">
        <v>57</v>
      </c>
      <c r="L79" s="28">
        <v>7300.0</v>
      </c>
      <c r="M79" s="28">
        <v>0.0</v>
      </c>
      <c r="N79" s="28">
        <v>0.0</v>
      </c>
      <c r="O79" s="28">
        <v>0.0</v>
      </c>
      <c r="P79" s="28">
        <v>0.0</v>
      </c>
      <c r="Q79" s="32"/>
      <c r="R79" s="11"/>
    </row>
    <row r="80" ht="15.75" customHeight="1">
      <c r="A80" s="13">
        <f t="shared" si="1"/>
        <v>79</v>
      </c>
      <c r="B80" s="15" t="s">
        <v>24</v>
      </c>
      <c r="C80" s="17">
        <v>1438.0</v>
      </c>
      <c r="D80" s="15" t="s">
        <v>122</v>
      </c>
      <c r="E80" s="19" t="s">
        <v>370</v>
      </c>
      <c r="F80" s="25" t="s">
        <v>116</v>
      </c>
      <c r="G80" s="25" t="s">
        <v>371</v>
      </c>
      <c r="H80" s="25" t="s">
        <v>36</v>
      </c>
      <c r="I80" s="32">
        <v>45977.0</v>
      </c>
      <c r="J80" s="15">
        <v>1.0</v>
      </c>
      <c r="K80" s="25" t="s">
        <v>38</v>
      </c>
      <c r="L80" s="28">
        <v>0.0</v>
      </c>
      <c r="M80" s="28">
        <v>0.0</v>
      </c>
      <c r="N80" s="28">
        <v>100000.0</v>
      </c>
      <c r="O80" s="28">
        <v>0.0</v>
      </c>
      <c r="P80" s="28">
        <v>0.0</v>
      </c>
      <c r="Q80" s="32">
        <v>45981.0</v>
      </c>
      <c r="R80" s="11"/>
    </row>
    <row r="81" ht="15.75" customHeight="1">
      <c r="A81" s="13">
        <f t="shared" si="1"/>
        <v>80</v>
      </c>
      <c r="B81" s="15" t="s">
        <v>24</v>
      </c>
      <c r="C81" s="17">
        <v>1438.0</v>
      </c>
      <c r="D81" s="15" t="s">
        <v>122</v>
      </c>
      <c r="E81" s="19" t="s">
        <v>374</v>
      </c>
      <c r="F81" s="25" t="s">
        <v>116</v>
      </c>
      <c r="G81" s="25" t="s">
        <v>375</v>
      </c>
      <c r="H81" s="25" t="s">
        <v>36</v>
      </c>
      <c r="I81" s="32">
        <v>45977.0</v>
      </c>
      <c r="J81" s="15">
        <v>1.0</v>
      </c>
      <c r="K81" s="25" t="s">
        <v>38</v>
      </c>
      <c r="L81" s="28">
        <v>100000.0</v>
      </c>
      <c r="M81" s="28">
        <v>0.0</v>
      </c>
      <c r="N81" s="28">
        <v>0.0</v>
      </c>
      <c r="O81" s="28">
        <v>0.0</v>
      </c>
      <c r="P81" s="28">
        <v>0.0</v>
      </c>
      <c r="Q81" s="32"/>
      <c r="R81" s="11"/>
    </row>
    <row r="82" ht="15.75" customHeight="1">
      <c r="A82" s="13">
        <f t="shared" si="1"/>
        <v>81</v>
      </c>
      <c r="B82" s="15" t="s">
        <v>24</v>
      </c>
      <c r="C82" s="17">
        <v>1438.0</v>
      </c>
      <c r="D82" s="15" t="s">
        <v>122</v>
      </c>
      <c r="E82" s="19" t="s">
        <v>379</v>
      </c>
      <c r="F82" s="25" t="s">
        <v>116</v>
      </c>
      <c r="G82" s="25" t="s">
        <v>380</v>
      </c>
      <c r="H82" s="25" t="s">
        <v>36</v>
      </c>
      <c r="I82" s="32">
        <v>45977.0</v>
      </c>
      <c r="J82" s="15">
        <v>1.0</v>
      </c>
      <c r="K82" s="25" t="s">
        <v>38</v>
      </c>
      <c r="L82" s="28">
        <v>100000.0</v>
      </c>
      <c r="M82" s="28">
        <v>0.0</v>
      </c>
      <c r="N82" s="28">
        <v>0.0</v>
      </c>
      <c r="O82" s="28">
        <v>0.0</v>
      </c>
      <c r="P82" s="28">
        <v>0.0</v>
      </c>
      <c r="Q82" s="32"/>
      <c r="R82" s="11"/>
    </row>
    <row r="83" ht="15.75" customHeight="1">
      <c r="A83" s="13">
        <f t="shared" si="1"/>
        <v>82</v>
      </c>
      <c r="B83" s="15" t="s">
        <v>24</v>
      </c>
      <c r="C83" s="17">
        <v>1438.0</v>
      </c>
      <c r="D83" s="15" t="s">
        <v>122</v>
      </c>
      <c r="E83" s="19" t="s">
        <v>384</v>
      </c>
      <c r="F83" s="25" t="s">
        <v>116</v>
      </c>
      <c r="G83" s="25" t="s">
        <v>385</v>
      </c>
      <c r="H83" s="25" t="s">
        <v>36</v>
      </c>
      <c r="I83" s="32">
        <v>45977.0</v>
      </c>
      <c r="J83" s="15">
        <v>1.0</v>
      </c>
      <c r="K83" s="25" t="s">
        <v>38</v>
      </c>
      <c r="L83" s="28">
        <v>100000.0</v>
      </c>
      <c r="M83" s="28">
        <v>0.0</v>
      </c>
      <c r="N83" s="28">
        <v>0.0</v>
      </c>
      <c r="O83" s="28">
        <v>0.0</v>
      </c>
      <c r="P83" s="28">
        <v>0.0</v>
      </c>
      <c r="Q83" s="32"/>
      <c r="R83" s="11"/>
    </row>
    <row r="84" ht="15.75" customHeight="1">
      <c r="A84" s="13">
        <f t="shared" si="1"/>
        <v>83</v>
      </c>
      <c r="B84" s="15" t="s">
        <v>24</v>
      </c>
      <c r="C84" s="17">
        <v>1438.0</v>
      </c>
      <c r="D84" s="15" t="s">
        <v>211</v>
      </c>
      <c r="E84" s="19" t="s">
        <v>387</v>
      </c>
      <c r="F84" s="25" t="s">
        <v>356</v>
      </c>
      <c r="G84" s="25" t="s">
        <v>388</v>
      </c>
      <c r="H84" s="25" t="s">
        <v>36</v>
      </c>
      <c r="I84" s="32">
        <v>45976.0</v>
      </c>
      <c r="J84" s="15">
        <v>0.0</v>
      </c>
      <c r="K84" s="25" t="s">
        <v>38</v>
      </c>
      <c r="L84" s="28">
        <v>50000.0</v>
      </c>
      <c r="M84" s="28">
        <v>0.0</v>
      </c>
      <c r="N84" s="28">
        <v>0.0</v>
      </c>
      <c r="O84" s="28">
        <v>0.0</v>
      </c>
      <c r="P84" s="100">
        <v>0.0</v>
      </c>
      <c r="Q84" s="32"/>
      <c r="R84" s="11"/>
    </row>
    <row r="85" ht="15.75" customHeight="1">
      <c r="A85" s="13">
        <f t="shared" si="1"/>
        <v>84</v>
      </c>
      <c r="B85" s="15" t="s">
        <v>24</v>
      </c>
      <c r="C85" s="17">
        <v>1438.0</v>
      </c>
      <c r="D85" s="15" t="s">
        <v>211</v>
      </c>
      <c r="E85" s="19" t="s">
        <v>393</v>
      </c>
      <c r="F85" s="25" t="s">
        <v>208</v>
      </c>
      <c r="G85" s="25" t="s">
        <v>394</v>
      </c>
      <c r="H85" s="25" t="s">
        <v>36</v>
      </c>
      <c r="I85" s="32">
        <v>45981.0</v>
      </c>
      <c r="J85" s="15">
        <v>1.0</v>
      </c>
      <c r="K85" s="25" t="s">
        <v>38</v>
      </c>
      <c r="L85" s="28">
        <v>10000.0</v>
      </c>
      <c r="M85" s="28">
        <v>0.0</v>
      </c>
      <c r="N85" s="28">
        <v>0.0</v>
      </c>
      <c r="O85" s="28">
        <v>0.0</v>
      </c>
      <c r="P85" s="100">
        <v>0.0</v>
      </c>
      <c r="Q85" s="32"/>
      <c r="R85" s="11"/>
    </row>
    <row r="86" ht="15.75" customHeight="1">
      <c r="A86" s="13">
        <f t="shared" si="1"/>
        <v>85</v>
      </c>
      <c r="B86" s="15" t="s">
        <v>24</v>
      </c>
      <c r="C86" s="17">
        <v>1438.0</v>
      </c>
      <c r="D86" s="15" t="s">
        <v>211</v>
      </c>
      <c r="E86" s="19" t="s">
        <v>398</v>
      </c>
      <c r="F86" s="25" t="s">
        <v>208</v>
      </c>
      <c r="G86" s="25" t="s">
        <v>394</v>
      </c>
      <c r="H86" s="25" t="s">
        <v>36</v>
      </c>
      <c r="I86" s="32">
        <v>45981.0</v>
      </c>
      <c r="J86" s="15">
        <v>0.0</v>
      </c>
      <c r="K86" s="25" t="s">
        <v>38</v>
      </c>
      <c r="L86" s="28">
        <v>20000.0</v>
      </c>
      <c r="M86" s="28">
        <v>0.0</v>
      </c>
      <c r="N86" s="28">
        <v>0.0</v>
      </c>
      <c r="O86" s="28">
        <v>0.0</v>
      </c>
      <c r="P86" s="28">
        <v>0.0</v>
      </c>
      <c r="Q86" s="32">
        <v>46049.0</v>
      </c>
      <c r="R86" s="11"/>
    </row>
    <row r="87" ht="15.75" customHeight="1">
      <c r="A87" s="13">
        <f t="shared" si="1"/>
        <v>86</v>
      </c>
      <c r="B87" s="15" t="s">
        <v>24</v>
      </c>
      <c r="C87" s="17">
        <v>1438.0</v>
      </c>
      <c r="D87" s="15" t="s">
        <v>211</v>
      </c>
      <c r="E87" s="19" t="s">
        <v>400</v>
      </c>
      <c r="F87" s="25" t="s">
        <v>208</v>
      </c>
      <c r="G87" s="25" t="s">
        <v>394</v>
      </c>
      <c r="H87" s="25" t="s">
        <v>36</v>
      </c>
      <c r="I87" s="32">
        <v>45981.0</v>
      </c>
      <c r="J87" s="15">
        <v>0.0</v>
      </c>
      <c r="K87" s="25" t="s">
        <v>38</v>
      </c>
      <c r="L87" s="28">
        <v>20000.0</v>
      </c>
      <c r="M87" s="28">
        <v>0.0</v>
      </c>
      <c r="N87" s="28">
        <v>0.0</v>
      </c>
      <c r="O87" s="28">
        <v>0.0</v>
      </c>
      <c r="P87" s="28">
        <v>0.0</v>
      </c>
      <c r="Q87" s="32">
        <v>46020.0</v>
      </c>
      <c r="R87" s="11"/>
    </row>
    <row r="88" ht="15.75" customHeight="1">
      <c r="A88" s="13">
        <f t="shared" si="1"/>
        <v>87</v>
      </c>
      <c r="B88" s="15" t="s">
        <v>24</v>
      </c>
      <c r="C88" s="17">
        <v>1438.0</v>
      </c>
      <c r="D88" s="15" t="s">
        <v>211</v>
      </c>
      <c r="E88" s="19" t="s">
        <v>403</v>
      </c>
      <c r="F88" s="25" t="s">
        <v>208</v>
      </c>
      <c r="G88" s="25" t="s">
        <v>394</v>
      </c>
      <c r="H88" s="25" t="s">
        <v>36</v>
      </c>
      <c r="I88" s="32">
        <v>45981.0</v>
      </c>
      <c r="J88" s="15">
        <v>0.0</v>
      </c>
      <c r="K88" s="25" t="s">
        <v>38</v>
      </c>
      <c r="L88" s="28">
        <v>50000.0</v>
      </c>
      <c r="M88" s="28">
        <v>0.0</v>
      </c>
      <c r="N88" s="28">
        <v>0.0</v>
      </c>
      <c r="O88" s="28">
        <v>0.0</v>
      </c>
      <c r="P88" s="28">
        <v>0.0</v>
      </c>
      <c r="Q88" s="32">
        <v>46081.0</v>
      </c>
      <c r="R88" s="11"/>
    </row>
    <row r="89" ht="15.75" customHeight="1">
      <c r="A89" s="13">
        <f t="shared" si="1"/>
        <v>88</v>
      </c>
      <c r="B89" s="15" t="s">
        <v>24</v>
      </c>
      <c r="C89" s="17">
        <v>1438.0</v>
      </c>
      <c r="D89" s="15" t="s">
        <v>211</v>
      </c>
      <c r="E89" s="19" t="s">
        <v>407</v>
      </c>
      <c r="F89" s="103" t="s">
        <v>84</v>
      </c>
      <c r="G89" s="25" t="s">
        <v>408</v>
      </c>
      <c r="H89" s="25" t="s">
        <v>36</v>
      </c>
      <c r="I89" s="32">
        <v>45984.0</v>
      </c>
      <c r="J89" s="15">
        <v>1.0</v>
      </c>
      <c r="K89" s="25" t="s">
        <v>38</v>
      </c>
      <c r="L89" s="28">
        <v>5000.0</v>
      </c>
      <c r="M89" s="28">
        <v>0.0</v>
      </c>
      <c r="N89" s="28">
        <v>0.0</v>
      </c>
      <c r="O89" s="28">
        <v>0.0</v>
      </c>
      <c r="P89" s="28">
        <v>0.0</v>
      </c>
      <c r="Q89" s="32"/>
      <c r="R89" s="11"/>
    </row>
    <row r="90" ht="15.75" customHeight="1">
      <c r="A90" s="13">
        <f t="shared" si="1"/>
        <v>89</v>
      </c>
      <c r="B90" s="15" t="s">
        <v>24</v>
      </c>
      <c r="C90" s="17">
        <v>1438.0</v>
      </c>
      <c r="D90" s="15" t="s">
        <v>211</v>
      </c>
      <c r="E90" s="19" t="s">
        <v>412</v>
      </c>
      <c r="F90" s="25" t="s">
        <v>221</v>
      </c>
      <c r="G90" s="25" t="s">
        <v>320</v>
      </c>
      <c r="H90" s="25" t="s">
        <v>36</v>
      </c>
      <c r="I90" s="32">
        <v>45983.0</v>
      </c>
      <c r="J90" s="15">
        <v>0.0</v>
      </c>
      <c r="K90" s="25" t="s">
        <v>38</v>
      </c>
      <c r="L90" s="28">
        <v>40000.0</v>
      </c>
      <c r="M90" s="28">
        <v>0.0</v>
      </c>
      <c r="N90" s="28">
        <v>0.0</v>
      </c>
      <c r="O90" s="28">
        <v>0.0</v>
      </c>
      <c r="P90" s="28">
        <v>0.0</v>
      </c>
      <c r="Q90" s="32"/>
      <c r="R90" s="11"/>
    </row>
    <row r="91" ht="15.75" customHeight="1">
      <c r="A91" s="13">
        <f t="shared" si="1"/>
        <v>90</v>
      </c>
      <c r="B91" s="15" t="s">
        <v>24</v>
      </c>
      <c r="C91" s="17">
        <v>1438.0</v>
      </c>
      <c r="D91" s="15" t="s">
        <v>211</v>
      </c>
      <c r="E91" s="19" t="s">
        <v>415</v>
      </c>
      <c r="F91" s="25" t="s">
        <v>208</v>
      </c>
      <c r="G91" s="25" t="s">
        <v>394</v>
      </c>
      <c r="H91" s="25" t="s">
        <v>36</v>
      </c>
      <c r="I91" s="32">
        <v>45984.0</v>
      </c>
      <c r="J91" s="15">
        <v>0.0</v>
      </c>
      <c r="K91" s="25" t="s">
        <v>38</v>
      </c>
      <c r="L91" s="28">
        <v>10000.0</v>
      </c>
      <c r="M91" s="28">
        <v>0.0</v>
      </c>
      <c r="N91" s="28">
        <v>0.0</v>
      </c>
      <c r="O91" s="28">
        <v>0.0</v>
      </c>
      <c r="P91" s="28">
        <v>0.0</v>
      </c>
      <c r="Q91" s="32"/>
      <c r="R91" s="11"/>
    </row>
    <row r="92" ht="15.75" customHeight="1">
      <c r="A92" s="13">
        <f t="shared" si="1"/>
        <v>91</v>
      </c>
      <c r="B92" s="15" t="s">
        <v>24</v>
      </c>
      <c r="C92" s="17">
        <v>1438.0</v>
      </c>
      <c r="D92" s="15" t="s">
        <v>211</v>
      </c>
      <c r="E92" s="19" t="s">
        <v>418</v>
      </c>
      <c r="F92" s="103" t="s">
        <v>84</v>
      </c>
      <c r="G92" s="25" t="s">
        <v>420</v>
      </c>
      <c r="H92" s="25" t="s">
        <v>36</v>
      </c>
      <c r="I92" s="32">
        <v>45984.0</v>
      </c>
      <c r="J92" s="15">
        <v>1.0</v>
      </c>
      <c r="K92" s="25" t="s">
        <v>38</v>
      </c>
      <c r="L92" s="28">
        <v>0.0</v>
      </c>
      <c r="M92" s="28">
        <v>5000.0</v>
      </c>
      <c r="N92" s="28">
        <v>0.0</v>
      </c>
      <c r="O92" s="28">
        <v>0.0</v>
      </c>
      <c r="P92" s="28">
        <v>0.0</v>
      </c>
      <c r="Q92" s="32"/>
      <c r="R92" s="11"/>
    </row>
    <row r="93" ht="15.75" customHeight="1">
      <c r="A93" s="13">
        <f t="shared" si="1"/>
        <v>92</v>
      </c>
      <c r="B93" s="15" t="s">
        <v>24</v>
      </c>
      <c r="C93" s="17">
        <v>1438.0</v>
      </c>
      <c r="D93" s="15" t="s">
        <v>211</v>
      </c>
      <c r="E93" s="19" t="s">
        <v>421</v>
      </c>
      <c r="F93" s="103" t="s">
        <v>84</v>
      </c>
      <c r="G93" s="25" t="s">
        <v>420</v>
      </c>
      <c r="H93" s="25" t="s">
        <v>36</v>
      </c>
      <c r="I93" s="32">
        <v>45985.0</v>
      </c>
      <c r="J93" s="15">
        <v>0.0</v>
      </c>
      <c r="K93" s="25" t="s">
        <v>38</v>
      </c>
      <c r="L93" s="28">
        <v>0.0</v>
      </c>
      <c r="M93" s="28">
        <v>395000.0</v>
      </c>
      <c r="N93" s="28">
        <v>0.0</v>
      </c>
      <c r="O93" s="28">
        <v>0.0</v>
      </c>
      <c r="P93" s="28">
        <v>0.0</v>
      </c>
      <c r="Q93" s="32"/>
      <c r="R93" s="11"/>
    </row>
    <row r="94" ht="15.75" customHeight="1">
      <c r="A94" s="13">
        <f t="shared" si="1"/>
        <v>93</v>
      </c>
      <c r="B94" s="15" t="s">
        <v>24</v>
      </c>
      <c r="C94" s="17">
        <v>1438.0</v>
      </c>
      <c r="D94" s="15" t="s">
        <v>211</v>
      </c>
      <c r="E94" s="19" t="s">
        <v>425</v>
      </c>
      <c r="F94" s="25" t="s">
        <v>27</v>
      </c>
      <c r="G94" s="25" t="s">
        <v>283</v>
      </c>
      <c r="H94" s="25" t="s">
        <v>36</v>
      </c>
      <c r="I94" s="32">
        <v>45986.0</v>
      </c>
      <c r="J94" s="15">
        <v>0.0</v>
      </c>
      <c r="K94" s="25" t="s">
        <v>38</v>
      </c>
      <c r="L94" s="28">
        <v>0.0</v>
      </c>
      <c r="M94" s="28">
        <v>100000.0</v>
      </c>
      <c r="N94" s="28">
        <v>0.0</v>
      </c>
      <c r="O94" s="28">
        <v>0.0</v>
      </c>
      <c r="P94" s="28">
        <v>0.0</v>
      </c>
      <c r="Q94" s="32"/>
      <c r="R94" s="11"/>
    </row>
    <row r="95" ht="15.75" customHeight="1">
      <c r="A95" s="13">
        <f t="shared" si="1"/>
        <v>94</v>
      </c>
      <c r="B95" s="15" t="s">
        <v>24</v>
      </c>
      <c r="C95" s="17">
        <v>1438.0</v>
      </c>
      <c r="D95" s="15" t="s">
        <v>122</v>
      </c>
      <c r="E95" s="19" t="s">
        <v>427</v>
      </c>
      <c r="F95" s="25" t="s">
        <v>51</v>
      </c>
      <c r="G95" s="25" t="s">
        <v>428</v>
      </c>
      <c r="H95" s="25" t="s">
        <v>36</v>
      </c>
      <c r="I95" s="32">
        <v>45987.0</v>
      </c>
      <c r="J95" s="15">
        <v>1.0</v>
      </c>
      <c r="K95" s="25" t="s">
        <v>38</v>
      </c>
      <c r="L95" s="28">
        <v>5000.0</v>
      </c>
      <c r="M95" s="28">
        <v>0.0</v>
      </c>
      <c r="N95" s="28">
        <v>0.0</v>
      </c>
      <c r="O95" s="28">
        <v>0.0</v>
      </c>
      <c r="P95" s="28">
        <v>0.0</v>
      </c>
      <c r="Q95" s="32"/>
      <c r="R95" s="11"/>
    </row>
    <row r="96" ht="15.75" customHeight="1">
      <c r="A96" s="13">
        <f t="shared" si="1"/>
        <v>95</v>
      </c>
      <c r="B96" s="15" t="s">
        <v>24</v>
      </c>
      <c r="C96" s="17">
        <v>1438.0</v>
      </c>
      <c r="D96" s="15" t="s">
        <v>211</v>
      </c>
      <c r="E96" s="19" t="s">
        <v>430</v>
      </c>
      <c r="F96" s="25" t="s">
        <v>345</v>
      </c>
      <c r="G96" s="25" t="s">
        <v>114</v>
      </c>
      <c r="H96" s="25" t="s">
        <v>36</v>
      </c>
      <c r="I96" s="32">
        <v>45987.0</v>
      </c>
      <c r="J96" s="15">
        <v>0.0</v>
      </c>
      <c r="K96" s="25" t="s">
        <v>57</v>
      </c>
      <c r="L96" s="28">
        <v>4000.0</v>
      </c>
      <c r="M96" s="28">
        <v>0.0</v>
      </c>
      <c r="N96" s="28">
        <v>0.0</v>
      </c>
      <c r="O96" s="28">
        <v>0.0</v>
      </c>
      <c r="P96" s="28">
        <v>0.0</v>
      </c>
      <c r="Q96" s="32"/>
      <c r="R96" s="11"/>
    </row>
    <row r="97" ht="15.75" customHeight="1">
      <c r="A97" s="13">
        <f t="shared" si="1"/>
        <v>96</v>
      </c>
      <c r="B97" s="15" t="s">
        <v>24</v>
      </c>
      <c r="C97" s="17">
        <v>1438.0</v>
      </c>
      <c r="D97" s="15" t="s">
        <v>211</v>
      </c>
      <c r="E97" s="19" t="s">
        <v>432</v>
      </c>
      <c r="F97" s="103" t="s">
        <v>84</v>
      </c>
      <c r="G97" s="25" t="s">
        <v>149</v>
      </c>
      <c r="H97" s="25" t="s">
        <v>36</v>
      </c>
      <c r="I97" s="32">
        <v>45988.0</v>
      </c>
      <c r="J97" s="15">
        <v>0.0</v>
      </c>
      <c r="K97" s="25" t="s">
        <v>57</v>
      </c>
      <c r="L97" s="28">
        <v>0.0</v>
      </c>
      <c r="M97" s="28">
        <v>50000.0</v>
      </c>
      <c r="N97" s="28">
        <v>0.0</v>
      </c>
      <c r="O97" s="28">
        <v>0.0</v>
      </c>
      <c r="P97" s="28">
        <v>0.0</v>
      </c>
      <c r="Q97" s="32"/>
      <c r="R97" s="11"/>
    </row>
    <row r="98" ht="15.75" customHeight="1">
      <c r="A98" s="13">
        <f t="shared" si="1"/>
        <v>97</v>
      </c>
      <c r="B98" s="15" t="s">
        <v>24</v>
      </c>
      <c r="C98" s="17">
        <v>1438.0</v>
      </c>
      <c r="D98" s="15" t="s">
        <v>211</v>
      </c>
      <c r="E98" s="19" t="s">
        <v>436</v>
      </c>
      <c r="F98" s="25" t="s">
        <v>356</v>
      </c>
      <c r="G98" s="25" t="s">
        <v>388</v>
      </c>
      <c r="H98" s="25" t="s">
        <v>36</v>
      </c>
      <c r="I98" s="32">
        <v>45990.0</v>
      </c>
      <c r="J98" s="15">
        <v>0.0</v>
      </c>
      <c r="K98" s="25" t="s">
        <v>38</v>
      </c>
      <c r="L98" s="28">
        <v>0.0</v>
      </c>
      <c r="M98" s="28">
        <v>0.0</v>
      </c>
      <c r="N98" s="28">
        <v>65000.0</v>
      </c>
      <c r="O98" s="28">
        <v>0.0</v>
      </c>
      <c r="P98" s="100">
        <v>0.0</v>
      </c>
      <c r="Q98" s="32">
        <v>46009.0</v>
      </c>
      <c r="R98" s="11"/>
    </row>
    <row r="99" ht="15.75" customHeight="1">
      <c r="A99" s="13">
        <f t="shared" si="1"/>
        <v>98</v>
      </c>
      <c r="B99" s="15" t="s">
        <v>24</v>
      </c>
      <c r="C99" s="17">
        <v>1438.0</v>
      </c>
      <c r="D99" s="15" t="s">
        <v>122</v>
      </c>
      <c r="E99" s="19" t="s">
        <v>439</v>
      </c>
      <c r="F99" s="25" t="s">
        <v>116</v>
      </c>
      <c r="G99" s="25" t="s">
        <v>380</v>
      </c>
      <c r="H99" s="25" t="s">
        <v>36</v>
      </c>
      <c r="I99" s="32">
        <v>45991.0</v>
      </c>
      <c r="J99" s="15">
        <v>0.0</v>
      </c>
      <c r="K99" s="25" t="s">
        <v>38</v>
      </c>
      <c r="L99" s="28">
        <v>450000.0</v>
      </c>
      <c r="M99" s="28">
        <v>0.0</v>
      </c>
      <c r="N99" s="28">
        <v>0.0</v>
      </c>
      <c r="O99" s="28">
        <v>0.0</v>
      </c>
      <c r="P99" s="28">
        <v>0.0</v>
      </c>
      <c r="Q99" s="105"/>
      <c r="R99" s="11"/>
    </row>
    <row r="100" ht="15.75" customHeight="1">
      <c r="A100" s="13">
        <f t="shared" si="1"/>
        <v>99</v>
      </c>
      <c r="B100" s="15" t="s">
        <v>24</v>
      </c>
      <c r="C100" s="17">
        <v>1438.0</v>
      </c>
      <c r="D100" s="15" t="s">
        <v>122</v>
      </c>
      <c r="E100" s="19" t="s">
        <v>443</v>
      </c>
      <c r="F100" s="25" t="s">
        <v>116</v>
      </c>
      <c r="G100" s="25" t="s">
        <v>375</v>
      </c>
      <c r="H100" s="25" t="s">
        <v>36</v>
      </c>
      <c r="I100" s="32">
        <v>45991.0</v>
      </c>
      <c r="J100" s="15">
        <v>0.0</v>
      </c>
      <c r="K100" s="25" t="s">
        <v>38</v>
      </c>
      <c r="L100" s="28">
        <v>450000.0</v>
      </c>
      <c r="M100" s="28">
        <v>0.0</v>
      </c>
      <c r="N100" s="28">
        <v>0.0</v>
      </c>
      <c r="O100" s="28">
        <v>0.0</v>
      </c>
      <c r="P100" s="28">
        <v>0.0</v>
      </c>
      <c r="Q100" s="105"/>
      <c r="R100" s="11"/>
    </row>
    <row r="101" ht="15.75" customHeight="1">
      <c r="A101" s="13">
        <f t="shared" si="1"/>
        <v>100</v>
      </c>
      <c r="B101" s="15" t="s">
        <v>24</v>
      </c>
      <c r="C101" s="17">
        <v>1438.0</v>
      </c>
      <c r="D101" s="111"/>
      <c r="E101" s="19" t="s">
        <v>446</v>
      </c>
      <c r="F101" s="99" t="s">
        <v>82</v>
      </c>
      <c r="G101" s="99" t="s">
        <v>353</v>
      </c>
      <c r="H101" s="113"/>
      <c r="I101" s="114"/>
      <c r="J101" s="111"/>
      <c r="K101" s="113"/>
      <c r="L101" s="115"/>
      <c r="M101" s="115"/>
      <c r="N101" s="115"/>
      <c r="O101" s="116"/>
      <c r="P101" s="117"/>
      <c r="Q101" s="105"/>
      <c r="R101" s="11"/>
    </row>
    <row r="102" ht="15.75" customHeight="1">
      <c r="A102" s="13">
        <f t="shared" si="1"/>
        <v>101</v>
      </c>
      <c r="B102" s="15" t="s">
        <v>24</v>
      </c>
      <c r="C102" s="17">
        <v>1519.0</v>
      </c>
      <c r="D102" s="15" t="s">
        <v>122</v>
      </c>
      <c r="E102" s="19" t="s">
        <v>453</v>
      </c>
      <c r="F102" s="25" t="s">
        <v>116</v>
      </c>
      <c r="G102" s="25" t="s">
        <v>371</v>
      </c>
      <c r="H102" s="25" t="s">
        <v>36</v>
      </c>
      <c r="I102" s="32">
        <v>45991.0</v>
      </c>
      <c r="J102" s="15">
        <v>0.0</v>
      </c>
      <c r="K102" s="25" t="s">
        <v>38</v>
      </c>
      <c r="L102" s="28">
        <v>0.0</v>
      </c>
      <c r="M102" s="28">
        <v>0.0</v>
      </c>
      <c r="N102" s="28">
        <v>350000.0</v>
      </c>
      <c r="O102" s="28">
        <v>0.0</v>
      </c>
      <c r="P102" s="28">
        <v>0.0</v>
      </c>
      <c r="Q102" s="32">
        <v>46006.0</v>
      </c>
      <c r="R102" s="11"/>
    </row>
    <row r="103" ht="15.75" customHeight="1">
      <c r="A103" s="13">
        <f t="shared" si="1"/>
        <v>102</v>
      </c>
      <c r="B103" s="15" t="s">
        <v>24</v>
      </c>
      <c r="C103" s="17">
        <v>1519.0</v>
      </c>
      <c r="D103" s="15" t="s">
        <v>122</v>
      </c>
      <c r="E103" s="19" t="s">
        <v>457</v>
      </c>
      <c r="F103" s="25" t="s">
        <v>116</v>
      </c>
      <c r="G103" s="25" t="s">
        <v>371</v>
      </c>
      <c r="H103" s="25" t="s">
        <v>36</v>
      </c>
      <c r="I103" s="32">
        <v>45991.0</v>
      </c>
      <c r="J103" s="15">
        <v>0.0</v>
      </c>
      <c r="K103" s="25" t="s">
        <v>38</v>
      </c>
      <c r="L103" s="28">
        <v>100000.0</v>
      </c>
      <c r="M103" s="28">
        <v>0.0</v>
      </c>
      <c r="N103" s="28">
        <v>0.0</v>
      </c>
      <c r="O103" s="28">
        <v>0.0</v>
      </c>
      <c r="P103" s="28">
        <v>0.0</v>
      </c>
      <c r="Q103" s="105"/>
      <c r="R103" s="11"/>
    </row>
    <row r="104" ht="15.75" customHeight="1">
      <c r="A104" s="13">
        <f t="shared" si="1"/>
        <v>103</v>
      </c>
      <c r="B104" s="15" t="s">
        <v>24</v>
      </c>
      <c r="C104" s="17">
        <v>1519.0</v>
      </c>
      <c r="D104" s="15" t="s">
        <v>122</v>
      </c>
      <c r="E104" s="19" t="s">
        <v>458</v>
      </c>
      <c r="F104" s="25" t="s">
        <v>116</v>
      </c>
      <c r="G104" s="25" t="s">
        <v>385</v>
      </c>
      <c r="H104" s="25" t="s">
        <v>36</v>
      </c>
      <c r="I104" s="32">
        <v>45993.0</v>
      </c>
      <c r="J104" s="15">
        <v>0.0</v>
      </c>
      <c r="K104" s="25" t="s">
        <v>38</v>
      </c>
      <c r="L104" s="28">
        <v>200000.0</v>
      </c>
      <c r="M104" s="28">
        <v>0.0</v>
      </c>
      <c r="N104" s="28">
        <v>0.0</v>
      </c>
      <c r="O104" s="28">
        <v>0.0</v>
      </c>
      <c r="P104" s="28">
        <v>0.0</v>
      </c>
      <c r="Q104" s="105"/>
      <c r="R104" s="11"/>
    </row>
    <row r="105" ht="15.75" customHeight="1">
      <c r="A105" s="13">
        <f t="shared" si="1"/>
        <v>104</v>
      </c>
      <c r="B105" s="15" t="s">
        <v>24</v>
      </c>
      <c r="C105" s="17">
        <v>1519.0</v>
      </c>
      <c r="D105" s="15" t="s">
        <v>211</v>
      </c>
      <c r="E105" s="19" t="s">
        <v>460</v>
      </c>
      <c r="F105" s="103" t="s">
        <v>84</v>
      </c>
      <c r="G105" s="25" t="s">
        <v>461</v>
      </c>
      <c r="H105" s="25" t="s">
        <v>36</v>
      </c>
      <c r="I105" s="32">
        <v>45992.0</v>
      </c>
      <c r="J105" s="15">
        <v>0.0</v>
      </c>
      <c r="K105" s="25" t="s">
        <v>57</v>
      </c>
      <c r="L105" s="28">
        <v>0.0</v>
      </c>
      <c r="M105" s="28">
        <v>8000.0</v>
      </c>
      <c r="N105" s="28">
        <v>0.0</v>
      </c>
      <c r="O105" s="28">
        <v>0.0</v>
      </c>
      <c r="P105" s="28">
        <v>0.0</v>
      </c>
      <c r="Q105" s="105"/>
      <c r="R105" s="11"/>
    </row>
    <row r="106" ht="15.75" customHeight="1">
      <c r="A106" s="13">
        <f t="shared" si="1"/>
        <v>105</v>
      </c>
      <c r="B106" s="15" t="s">
        <v>24</v>
      </c>
      <c r="C106" s="17">
        <v>1519.0</v>
      </c>
      <c r="D106" s="15" t="s">
        <v>122</v>
      </c>
      <c r="E106" s="19" t="s">
        <v>464</v>
      </c>
      <c r="F106" s="25" t="s">
        <v>44</v>
      </c>
      <c r="G106" s="25" t="s">
        <v>45</v>
      </c>
      <c r="H106" s="25" t="s">
        <v>36</v>
      </c>
      <c r="I106" s="32">
        <v>45993.0</v>
      </c>
      <c r="J106" s="15">
        <v>1.0</v>
      </c>
      <c r="K106" s="25" t="s">
        <v>38</v>
      </c>
      <c r="L106" s="28">
        <v>48000.0</v>
      </c>
      <c r="M106" s="28">
        <v>0.0</v>
      </c>
      <c r="N106" s="28">
        <v>0.0</v>
      </c>
      <c r="O106" s="28">
        <v>0.0</v>
      </c>
      <c r="P106" s="28">
        <v>0.0</v>
      </c>
      <c r="Q106" s="33"/>
      <c r="R106" s="11"/>
    </row>
    <row r="107" ht="15.75" customHeight="1">
      <c r="A107" s="13">
        <f t="shared" si="1"/>
        <v>106</v>
      </c>
      <c r="B107" s="15" t="s">
        <v>24</v>
      </c>
      <c r="C107" s="17">
        <v>1519.0</v>
      </c>
      <c r="D107" s="15" t="s">
        <v>211</v>
      </c>
      <c r="E107" s="19" t="s">
        <v>466</v>
      </c>
      <c r="F107" s="25" t="s">
        <v>345</v>
      </c>
      <c r="G107" s="25" t="s">
        <v>114</v>
      </c>
      <c r="H107" s="25" t="s">
        <v>36</v>
      </c>
      <c r="I107" s="32">
        <v>45995.0</v>
      </c>
      <c r="J107" s="15">
        <v>1.0</v>
      </c>
      <c r="K107" s="25" t="s">
        <v>38</v>
      </c>
      <c r="L107" s="28">
        <v>100000.0</v>
      </c>
      <c r="M107" s="28">
        <v>0.0</v>
      </c>
      <c r="N107" s="28">
        <v>0.0</v>
      </c>
      <c r="O107" s="28">
        <v>0.0</v>
      </c>
      <c r="P107" s="28">
        <v>0.0</v>
      </c>
      <c r="Q107" s="33"/>
      <c r="R107" s="11"/>
    </row>
    <row r="108" ht="15.75" customHeight="1">
      <c r="A108" s="13">
        <f t="shared" si="1"/>
        <v>107</v>
      </c>
      <c r="B108" s="15" t="s">
        <v>24</v>
      </c>
      <c r="C108" s="17">
        <v>1519.0</v>
      </c>
      <c r="D108" s="15" t="s">
        <v>211</v>
      </c>
      <c r="E108" s="19" t="s">
        <v>468</v>
      </c>
      <c r="F108" s="25" t="s">
        <v>345</v>
      </c>
      <c r="G108" s="25" t="s">
        <v>114</v>
      </c>
      <c r="H108" s="25" t="s">
        <v>36</v>
      </c>
      <c r="I108" s="32">
        <v>45995.0</v>
      </c>
      <c r="J108" s="15">
        <v>0.0</v>
      </c>
      <c r="K108" s="25" t="s">
        <v>57</v>
      </c>
      <c r="L108" s="28">
        <v>4000.0</v>
      </c>
      <c r="M108" s="28">
        <v>0.0</v>
      </c>
      <c r="N108" s="28">
        <v>0.0</v>
      </c>
      <c r="O108" s="28">
        <v>0.0</v>
      </c>
      <c r="P108" s="28">
        <v>0.0</v>
      </c>
      <c r="Q108" s="33"/>
      <c r="R108" s="11"/>
    </row>
    <row r="109" ht="15.75" customHeight="1">
      <c r="A109" s="13">
        <f t="shared" si="1"/>
        <v>108</v>
      </c>
      <c r="B109" s="15" t="s">
        <v>24</v>
      </c>
      <c r="C109" s="17">
        <v>1519.0</v>
      </c>
      <c r="D109" s="15" t="s">
        <v>211</v>
      </c>
      <c r="E109" s="19" t="s">
        <v>470</v>
      </c>
      <c r="F109" s="25" t="s">
        <v>345</v>
      </c>
      <c r="G109" s="25" t="s">
        <v>114</v>
      </c>
      <c r="H109" s="25" t="s">
        <v>37</v>
      </c>
      <c r="I109" s="32">
        <v>45995.0</v>
      </c>
      <c r="J109" s="15">
        <v>2.0</v>
      </c>
      <c r="K109" s="25" t="s">
        <v>38</v>
      </c>
      <c r="L109" s="28">
        <v>10000.0</v>
      </c>
      <c r="M109" s="28">
        <v>0.0</v>
      </c>
      <c r="N109" s="28">
        <v>0.0</v>
      </c>
      <c r="O109" s="28">
        <v>0.0</v>
      </c>
      <c r="P109" s="28">
        <v>0.0</v>
      </c>
      <c r="Q109" s="33"/>
      <c r="R109" s="11"/>
    </row>
    <row r="110" ht="15.75" customHeight="1">
      <c r="A110" s="13">
        <f t="shared" si="1"/>
        <v>109</v>
      </c>
      <c r="B110" s="15" t="s">
        <v>24</v>
      </c>
      <c r="C110" s="17">
        <v>1519.0</v>
      </c>
      <c r="D110" s="15" t="s">
        <v>122</v>
      </c>
      <c r="E110" s="19" t="s">
        <v>471</v>
      </c>
      <c r="F110" s="25" t="s">
        <v>44</v>
      </c>
      <c r="G110" s="25" t="s">
        <v>472</v>
      </c>
      <c r="H110" s="25" t="s">
        <v>36</v>
      </c>
      <c r="I110" s="32">
        <v>45997.0</v>
      </c>
      <c r="J110" s="15">
        <v>1.0</v>
      </c>
      <c r="K110" s="25" t="s">
        <v>38</v>
      </c>
      <c r="L110" s="28">
        <v>350000.0</v>
      </c>
      <c r="M110" s="28">
        <v>0.0</v>
      </c>
      <c r="N110" s="28">
        <v>0.0</v>
      </c>
      <c r="O110" s="28">
        <v>0.0</v>
      </c>
      <c r="P110" s="28">
        <v>0.0</v>
      </c>
      <c r="Q110" s="33"/>
      <c r="R110" s="11"/>
    </row>
    <row r="111" ht="15.75" customHeight="1">
      <c r="A111" s="13">
        <f t="shared" si="1"/>
        <v>110</v>
      </c>
      <c r="B111" s="15" t="s">
        <v>24</v>
      </c>
      <c r="C111" s="17">
        <v>1519.0</v>
      </c>
      <c r="D111" s="15" t="s">
        <v>211</v>
      </c>
      <c r="E111" s="19" t="s">
        <v>475</v>
      </c>
      <c r="F111" s="25" t="s">
        <v>180</v>
      </c>
      <c r="G111" s="25" t="s">
        <v>341</v>
      </c>
      <c r="H111" s="25" t="s">
        <v>37</v>
      </c>
      <c r="I111" s="32">
        <v>45997.0</v>
      </c>
      <c r="J111" s="15">
        <v>2.0</v>
      </c>
      <c r="K111" s="25" t="s">
        <v>38</v>
      </c>
      <c r="L111" s="28">
        <v>30000.0</v>
      </c>
      <c r="M111" s="28">
        <v>0.0</v>
      </c>
      <c r="N111" s="28">
        <v>0.0</v>
      </c>
      <c r="O111" s="28">
        <v>0.0</v>
      </c>
      <c r="P111" s="28">
        <v>0.0</v>
      </c>
      <c r="Q111" s="33"/>
      <c r="R111" s="11"/>
    </row>
    <row r="112" ht="15.75" customHeight="1">
      <c r="A112" s="13">
        <f t="shared" si="1"/>
        <v>111</v>
      </c>
      <c r="B112" s="15" t="s">
        <v>24</v>
      </c>
      <c r="C112" s="17">
        <v>1519.0</v>
      </c>
      <c r="D112" s="15" t="s">
        <v>211</v>
      </c>
      <c r="E112" s="19" t="s">
        <v>479</v>
      </c>
      <c r="F112" s="25" t="s">
        <v>208</v>
      </c>
      <c r="G112" s="25" t="s">
        <v>480</v>
      </c>
      <c r="H112" s="25" t="s">
        <v>36</v>
      </c>
      <c r="I112" s="32">
        <v>45997.0</v>
      </c>
      <c r="J112" s="15">
        <v>2.0</v>
      </c>
      <c r="K112" s="25" t="s">
        <v>38</v>
      </c>
      <c r="L112" s="28">
        <v>0.0</v>
      </c>
      <c r="M112" s="28">
        <v>10000.0</v>
      </c>
      <c r="N112" s="28">
        <v>0.0</v>
      </c>
      <c r="O112" s="28">
        <v>0.0</v>
      </c>
      <c r="P112" s="28">
        <v>0.0</v>
      </c>
      <c r="Q112" s="33"/>
      <c r="R112" s="11"/>
    </row>
    <row r="113" ht="15.75" customHeight="1">
      <c r="A113" s="13">
        <f t="shared" si="1"/>
        <v>112</v>
      </c>
      <c r="B113" s="15" t="s">
        <v>24</v>
      </c>
      <c r="C113" s="17">
        <v>1519.0</v>
      </c>
      <c r="D113" s="15" t="s">
        <v>211</v>
      </c>
      <c r="E113" s="19" t="s">
        <v>483</v>
      </c>
      <c r="F113" s="25" t="s">
        <v>169</v>
      </c>
      <c r="G113" s="25" t="s">
        <v>484</v>
      </c>
      <c r="H113" s="25" t="s">
        <v>36</v>
      </c>
      <c r="I113" s="32">
        <v>45998.0</v>
      </c>
      <c r="J113" s="15">
        <v>1.0</v>
      </c>
      <c r="K113" s="25" t="s">
        <v>38</v>
      </c>
      <c r="L113" s="28">
        <v>0.0</v>
      </c>
      <c r="M113" s="28">
        <v>5000.0</v>
      </c>
      <c r="N113" s="28">
        <v>0.0</v>
      </c>
      <c r="O113" s="28">
        <v>0.0</v>
      </c>
      <c r="P113" s="28">
        <v>0.0</v>
      </c>
      <c r="Q113" s="33"/>
      <c r="R113" s="11"/>
    </row>
    <row r="114" ht="15.75" customHeight="1">
      <c r="A114" s="13">
        <f t="shared" si="1"/>
        <v>113</v>
      </c>
      <c r="B114" s="15" t="s">
        <v>24</v>
      </c>
      <c r="C114" s="17">
        <v>1519.0</v>
      </c>
      <c r="D114" s="15" t="s">
        <v>122</v>
      </c>
      <c r="E114" s="19" t="s">
        <v>486</v>
      </c>
      <c r="F114" s="25" t="s">
        <v>487</v>
      </c>
      <c r="G114" s="25" t="s">
        <v>488</v>
      </c>
      <c r="H114" s="25" t="s">
        <v>36</v>
      </c>
      <c r="I114" s="32">
        <v>45998.0</v>
      </c>
      <c r="J114" s="15">
        <v>2.0</v>
      </c>
      <c r="K114" s="25" t="s">
        <v>38</v>
      </c>
      <c r="L114" s="28">
        <v>5000.0</v>
      </c>
      <c r="M114" s="28">
        <v>0.0</v>
      </c>
      <c r="N114" s="28">
        <v>0.0</v>
      </c>
      <c r="O114" s="28">
        <v>0.0</v>
      </c>
      <c r="P114" s="28">
        <v>0.0</v>
      </c>
      <c r="Q114" s="33"/>
      <c r="R114" s="11"/>
    </row>
    <row r="115" ht="15.75" customHeight="1">
      <c r="A115" s="13">
        <f t="shared" si="1"/>
        <v>114</v>
      </c>
      <c r="B115" s="15" t="s">
        <v>24</v>
      </c>
      <c r="C115" s="17">
        <v>1519.0</v>
      </c>
      <c r="D115" s="15" t="s">
        <v>211</v>
      </c>
      <c r="E115" s="19" t="s">
        <v>492</v>
      </c>
      <c r="F115" s="25" t="s">
        <v>27</v>
      </c>
      <c r="G115" s="25" t="s">
        <v>69</v>
      </c>
      <c r="H115" s="25" t="s">
        <v>36</v>
      </c>
      <c r="I115" s="32">
        <v>45999.0</v>
      </c>
      <c r="J115" s="15">
        <v>0.0</v>
      </c>
      <c r="K115" s="25" t="s">
        <v>57</v>
      </c>
      <c r="L115" s="28">
        <v>0.0</v>
      </c>
      <c r="M115" s="28">
        <v>17000.0</v>
      </c>
      <c r="N115" s="28">
        <v>0.0</v>
      </c>
      <c r="O115" s="28">
        <v>0.0</v>
      </c>
      <c r="P115" s="28">
        <v>0.0</v>
      </c>
      <c r="Q115" s="33"/>
      <c r="R115" s="11"/>
    </row>
    <row r="116" ht="15.75" customHeight="1">
      <c r="A116" s="13">
        <f t="shared" si="1"/>
        <v>115</v>
      </c>
      <c r="B116" s="15" t="s">
        <v>24</v>
      </c>
      <c r="C116" s="17">
        <v>1519.0</v>
      </c>
      <c r="D116" s="15" t="s">
        <v>122</v>
      </c>
      <c r="E116" s="19" t="s">
        <v>494</v>
      </c>
      <c r="F116" s="25" t="s">
        <v>191</v>
      </c>
      <c r="G116" s="25" t="s">
        <v>252</v>
      </c>
      <c r="H116" s="25" t="s">
        <v>36</v>
      </c>
      <c r="I116" s="32">
        <v>45999.0</v>
      </c>
      <c r="J116" s="15">
        <v>0.0</v>
      </c>
      <c r="K116" s="25" t="s">
        <v>57</v>
      </c>
      <c r="L116" s="28">
        <v>0.0</v>
      </c>
      <c r="M116" s="28">
        <v>29700.0</v>
      </c>
      <c r="N116" s="28">
        <v>0.0</v>
      </c>
      <c r="O116" s="28">
        <v>0.0</v>
      </c>
      <c r="P116" s="28">
        <v>0.0</v>
      </c>
      <c r="Q116" s="33"/>
      <c r="R116" s="11"/>
    </row>
    <row r="117" ht="15.75" customHeight="1">
      <c r="A117" s="13">
        <f t="shared" si="1"/>
        <v>116</v>
      </c>
      <c r="B117" s="15" t="s">
        <v>24</v>
      </c>
      <c r="C117" s="17">
        <v>1519.0</v>
      </c>
      <c r="D117" s="15" t="s">
        <v>211</v>
      </c>
      <c r="E117" s="19" t="s">
        <v>497</v>
      </c>
      <c r="F117" s="25" t="s">
        <v>345</v>
      </c>
      <c r="G117" s="25" t="s">
        <v>114</v>
      </c>
      <c r="H117" s="25" t="s">
        <v>37</v>
      </c>
      <c r="I117" s="32">
        <v>46000.0</v>
      </c>
      <c r="J117" s="15">
        <v>0.0</v>
      </c>
      <c r="K117" s="25" t="s">
        <v>38</v>
      </c>
      <c r="L117" s="28">
        <v>10000.0</v>
      </c>
      <c r="M117" s="28">
        <v>0.0</v>
      </c>
      <c r="N117" s="28">
        <v>0.0</v>
      </c>
      <c r="O117" s="28">
        <v>0.0</v>
      </c>
      <c r="P117" s="28">
        <v>0.0</v>
      </c>
      <c r="Q117" s="33"/>
      <c r="R117" s="11"/>
    </row>
    <row r="118" ht="15.75" customHeight="1">
      <c r="A118" s="13">
        <f t="shared" si="1"/>
        <v>117</v>
      </c>
      <c r="B118" s="15" t="s">
        <v>24</v>
      </c>
      <c r="C118" s="17">
        <v>1519.0</v>
      </c>
      <c r="D118" s="15" t="s">
        <v>211</v>
      </c>
      <c r="E118" s="19" t="s">
        <v>499</v>
      </c>
      <c r="F118" s="25" t="s">
        <v>208</v>
      </c>
      <c r="G118" s="25" t="s">
        <v>394</v>
      </c>
      <c r="H118" s="25" t="s">
        <v>36</v>
      </c>
      <c r="I118" s="32">
        <v>46000.0</v>
      </c>
      <c r="J118" s="15">
        <v>0.0</v>
      </c>
      <c r="K118" s="25" t="s">
        <v>38</v>
      </c>
      <c r="L118" s="28">
        <v>5000.0</v>
      </c>
      <c r="M118" s="28">
        <v>0.0</v>
      </c>
      <c r="N118" s="28">
        <v>0.0</v>
      </c>
      <c r="O118" s="28">
        <v>0.0</v>
      </c>
      <c r="P118" s="28">
        <v>0.0</v>
      </c>
      <c r="Q118" s="33"/>
      <c r="R118" s="11"/>
    </row>
    <row r="119" ht="15.75" customHeight="1">
      <c r="A119" s="13">
        <f t="shared" si="1"/>
        <v>118</v>
      </c>
      <c r="B119" s="15" t="s">
        <v>24</v>
      </c>
      <c r="C119" s="17">
        <v>1519.0</v>
      </c>
      <c r="D119" s="15" t="s">
        <v>211</v>
      </c>
      <c r="E119" s="19" t="s">
        <v>504</v>
      </c>
      <c r="F119" s="25" t="s">
        <v>84</v>
      </c>
      <c r="G119" s="25" t="s">
        <v>505</v>
      </c>
      <c r="H119" s="25" t="s">
        <v>36</v>
      </c>
      <c r="I119" s="32">
        <v>46005.0</v>
      </c>
      <c r="J119" s="15">
        <v>4.0</v>
      </c>
      <c r="K119" s="25" t="s">
        <v>38</v>
      </c>
      <c r="L119" s="28">
        <v>20000.0</v>
      </c>
      <c r="M119" s="28">
        <v>0.0</v>
      </c>
      <c r="N119" s="28">
        <v>0.0</v>
      </c>
      <c r="O119" s="28">
        <v>0.0</v>
      </c>
      <c r="P119" s="28">
        <v>0.0</v>
      </c>
      <c r="Q119" s="33"/>
      <c r="R119" s="11"/>
    </row>
    <row r="120" ht="15.75" customHeight="1">
      <c r="A120" s="13">
        <f t="shared" si="1"/>
        <v>119</v>
      </c>
      <c r="B120" s="15" t="s">
        <v>24</v>
      </c>
      <c r="C120" s="17">
        <v>1519.0</v>
      </c>
      <c r="D120" s="15" t="s">
        <v>211</v>
      </c>
      <c r="E120" s="19" t="s">
        <v>507</v>
      </c>
      <c r="F120" s="25" t="s">
        <v>27</v>
      </c>
      <c r="G120" s="25" t="s">
        <v>508</v>
      </c>
      <c r="H120" s="25" t="s">
        <v>36</v>
      </c>
      <c r="I120" s="32">
        <v>46007.0</v>
      </c>
      <c r="J120" s="15">
        <v>1.0</v>
      </c>
      <c r="K120" s="25" t="s">
        <v>38</v>
      </c>
      <c r="L120" s="28">
        <v>50000.0</v>
      </c>
      <c r="M120" s="28">
        <v>0.0</v>
      </c>
      <c r="N120" s="28">
        <v>0.0</v>
      </c>
      <c r="O120" s="28">
        <v>0.0</v>
      </c>
      <c r="P120" s="28">
        <v>0.0</v>
      </c>
      <c r="Q120" s="33"/>
      <c r="R120" s="11"/>
    </row>
    <row r="121" ht="15.75" customHeight="1">
      <c r="A121" s="13">
        <f t="shared" si="1"/>
        <v>120</v>
      </c>
      <c r="B121" s="15" t="s">
        <v>24</v>
      </c>
      <c r="C121" s="17">
        <v>1519.0</v>
      </c>
      <c r="D121" s="15" t="s">
        <v>211</v>
      </c>
      <c r="E121" s="19" t="s">
        <v>510</v>
      </c>
      <c r="F121" s="25" t="s">
        <v>208</v>
      </c>
      <c r="G121" s="25" t="s">
        <v>505</v>
      </c>
      <c r="H121" s="25" t="s">
        <v>36</v>
      </c>
      <c r="I121" s="32">
        <v>46001.0</v>
      </c>
      <c r="J121" s="15">
        <v>4.0</v>
      </c>
      <c r="K121" s="25" t="s">
        <v>38</v>
      </c>
      <c r="L121" s="28">
        <v>0.0</v>
      </c>
      <c r="M121" s="28">
        <v>100000.0</v>
      </c>
      <c r="N121" s="28">
        <v>0.0</v>
      </c>
      <c r="O121" s="28">
        <v>0.0</v>
      </c>
      <c r="P121" s="28">
        <v>0.0</v>
      </c>
      <c r="Q121" s="33"/>
      <c r="R121" s="11"/>
    </row>
    <row r="122" ht="15.75" customHeight="1">
      <c r="A122" s="13">
        <f t="shared" si="1"/>
        <v>121</v>
      </c>
      <c r="B122" s="15" t="s">
        <v>24</v>
      </c>
      <c r="C122" s="17">
        <v>1519.0</v>
      </c>
      <c r="D122" s="15" t="s">
        <v>211</v>
      </c>
      <c r="E122" s="19" t="s">
        <v>513</v>
      </c>
      <c r="F122" s="25" t="s">
        <v>514</v>
      </c>
      <c r="G122" s="25" t="s">
        <v>64</v>
      </c>
      <c r="H122" s="25" t="s">
        <v>36</v>
      </c>
      <c r="I122" s="32">
        <v>46001.0</v>
      </c>
      <c r="J122" s="15">
        <v>0.0</v>
      </c>
      <c r="K122" s="25" t="s">
        <v>57</v>
      </c>
      <c r="L122" s="100">
        <v>0.0</v>
      </c>
      <c r="M122" s="28">
        <v>7500.0</v>
      </c>
      <c r="N122" s="100">
        <v>0.0</v>
      </c>
      <c r="O122" s="100">
        <v>0.0</v>
      </c>
      <c r="P122" s="100">
        <v>0.0</v>
      </c>
      <c r="Q122" s="33"/>
      <c r="R122" s="11"/>
    </row>
    <row r="123" ht="15.75" customHeight="1">
      <c r="A123" s="13">
        <f t="shared" si="1"/>
        <v>122</v>
      </c>
      <c r="B123" s="15" t="s">
        <v>24</v>
      </c>
      <c r="C123" s="17">
        <v>1519.0</v>
      </c>
      <c r="D123" s="15" t="s">
        <v>122</v>
      </c>
      <c r="E123" s="19" t="s">
        <v>515</v>
      </c>
      <c r="F123" s="25" t="s">
        <v>51</v>
      </c>
      <c r="G123" s="25" t="s">
        <v>428</v>
      </c>
      <c r="H123" s="25" t="s">
        <v>36</v>
      </c>
      <c r="I123" s="32">
        <v>46002.0</v>
      </c>
      <c r="J123" s="15">
        <v>0.0</v>
      </c>
      <c r="K123" s="25" t="s">
        <v>38</v>
      </c>
      <c r="L123" s="28">
        <v>55000.0</v>
      </c>
      <c r="M123" s="100">
        <v>0.0</v>
      </c>
      <c r="N123" s="100">
        <v>0.0</v>
      </c>
      <c r="O123" s="100">
        <v>0.0</v>
      </c>
      <c r="P123" s="100">
        <v>0.0</v>
      </c>
      <c r="Q123" s="33"/>
      <c r="R123" s="11"/>
    </row>
    <row r="124" ht="15.75" customHeight="1">
      <c r="A124" s="13">
        <f t="shared" si="1"/>
        <v>123</v>
      </c>
      <c r="B124" s="15" t="s">
        <v>24</v>
      </c>
      <c r="C124" s="17">
        <v>1519.0</v>
      </c>
      <c r="D124" s="15" t="s">
        <v>211</v>
      </c>
      <c r="E124" s="19" t="s">
        <v>518</v>
      </c>
      <c r="F124" s="25" t="s">
        <v>180</v>
      </c>
      <c r="G124" s="25" t="s">
        <v>341</v>
      </c>
      <c r="H124" s="25" t="s">
        <v>37</v>
      </c>
      <c r="I124" s="32">
        <v>46004.0</v>
      </c>
      <c r="J124" s="15">
        <v>0.0</v>
      </c>
      <c r="K124" s="25" t="s">
        <v>38</v>
      </c>
      <c r="L124" s="28">
        <v>165000.0</v>
      </c>
      <c r="M124" s="28">
        <v>0.0</v>
      </c>
      <c r="N124" s="28">
        <v>0.0</v>
      </c>
      <c r="O124" s="28">
        <v>0.0</v>
      </c>
      <c r="P124" s="28">
        <v>0.0</v>
      </c>
      <c r="Q124" s="33"/>
      <c r="R124" s="11"/>
    </row>
    <row r="125" ht="15.75" customHeight="1">
      <c r="A125" s="13">
        <f t="shared" si="1"/>
        <v>124</v>
      </c>
      <c r="B125" s="15" t="s">
        <v>24</v>
      </c>
      <c r="C125" s="17">
        <v>1519.0</v>
      </c>
      <c r="D125" s="15" t="s">
        <v>211</v>
      </c>
      <c r="E125" s="19" t="s">
        <v>519</v>
      </c>
      <c r="F125" s="25" t="s">
        <v>169</v>
      </c>
      <c r="G125" s="25" t="s">
        <v>521</v>
      </c>
      <c r="H125" s="25" t="s">
        <v>36</v>
      </c>
      <c r="I125" s="32">
        <v>46009.0</v>
      </c>
      <c r="J125" s="15">
        <v>1.0</v>
      </c>
      <c r="K125" s="25" t="s">
        <v>38</v>
      </c>
      <c r="L125" s="28">
        <v>10000.0</v>
      </c>
      <c r="M125" s="28">
        <v>0.0</v>
      </c>
      <c r="N125" s="28">
        <v>0.0</v>
      </c>
      <c r="O125" s="28">
        <v>0.0</v>
      </c>
      <c r="P125" s="28">
        <v>0.0</v>
      </c>
      <c r="Q125" s="33"/>
      <c r="R125" s="11"/>
    </row>
    <row r="126" ht="15.75" customHeight="1">
      <c r="A126" s="13">
        <f t="shared" si="1"/>
        <v>125</v>
      </c>
      <c r="B126" s="15" t="s">
        <v>24</v>
      </c>
      <c r="C126" s="17">
        <v>1519.0</v>
      </c>
      <c r="D126" s="15" t="s">
        <v>122</v>
      </c>
      <c r="E126" s="19" t="s">
        <v>522</v>
      </c>
      <c r="F126" s="25" t="s">
        <v>241</v>
      </c>
      <c r="G126" s="25" t="s">
        <v>523</v>
      </c>
      <c r="H126" s="25" t="s">
        <v>36</v>
      </c>
      <c r="I126" s="32">
        <v>46009.0</v>
      </c>
      <c r="J126" s="15">
        <v>1.0</v>
      </c>
      <c r="K126" s="25" t="s">
        <v>38</v>
      </c>
      <c r="L126" s="28">
        <v>10000.0</v>
      </c>
      <c r="M126" s="28">
        <v>0.0</v>
      </c>
      <c r="N126" s="28">
        <v>0.0</v>
      </c>
      <c r="O126" s="28">
        <v>0.0</v>
      </c>
      <c r="P126" s="28">
        <v>0.0</v>
      </c>
      <c r="Q126" s="33"/>
      <c r="R126" s="11"/>
    </row>
    <row r="127" ht="15.75" customHeight="1">
      <c r="A127" s="13">
        <f t="shared" si="1"/>
        <v>126</v>
      </c>
      <c r="B127" s="15" t="s">
        <v>24</v>
      </c>
      <c r="C127" s="17">
        <v>1519.0</v>
      </c>
      <c r="D127" s="15" t="s">
        <v>211</v>
      </c>
      <c r="E127" s="19" t="s">
        <v>525</v>
      </c>
      <c r="F127" s="25" t="s">
        <v>303</v>
      </c>
      <c r="G127" s="25" t="s">
        <v>526</v>
      </c>
      <c r="H127" s="25" t="s">
        <v>36</v>
      </c>
      <c r="I127" s="32">
        <v>46018.0</v>
      </c>
      <c r="J127" s="15">
        <v>0.0</v>
      </c>
      <c r="K127" s="25" t="s">
        <v>38</v>
      </c>
      <c r="L127" s="28">
        <v>0.0</v>
      </c>
      <c r="M127" s="28">
        <v>0.0</v>
      </c>
      <c r="N127" s="28">
        <v>0.0</v>
      </c>
      <c r="O127" s="76">
        <v>100000.0</v>
      </c>
      <c r="P127" s="77">
        <v>0.0</v>
      </c>
      <c r="Q127" s="33">
        <v>46042.0</v>
      </c>
      <c r="R127" s="11"/>
    </row>
    <row r="128" ht="15.75" customHeight="1">
      <c r="A128" s="13">
        <f t="shared" si="1"/>
        <v>127</v>
      </c>
      <c r="B128" s="15" t="s">
        <v>24</v>
      </c>
      <c r="C128" s="17">
        <v>1519.0</v>
      </c>
      <c r="D128" s="15" t="s">
        <v>211</v>
      </c>
      <c r="E128" s="19" t="s">
        <v>528</v>
      </c>
      <c r="F128" s="25" t="s">
        <v>303</v>
      </c>
      <c r="G128" s="25" t="s">
        <v>526</v>
      </c>
      <c r="H128" s="25" t="s">
        <v>36</v>
      </c>
      <c r="I128" s="32">
        <v>46018.0</v>
      </c>
      <c r="J128" s="15">
        <v>1.0</v>
      </c>
      <c r="K128" s="25" t="s">
        <v>38</v>
      </c>
      <c r="L128" s="28">
        <v>0.0</v>
      </c>
      <c r="M128" s="28">
        <v>0.0</v>
      </c>
      <c r="N128" s="28">
        <v>25000.0</v>
      </c>
      <c r="O128" s="76">
        <v>0.0</v>
      </c>
      <c r="P128" s="77">
        <v>0.0</v>
      </c>
      <c r="Q128" s="33">
        <v>46019.0</v>
      </c>
      <c r="R128" s="11"/>
    </row>
    <row r="129" ht="15.75" customHeight="1">
      <c r="A129" s="13">
        <f t="shared" si="1"/>
        <v>128</v>
      </c>
      <c r="B129" s="15" t="s">
        <v>24</v>
      </c>
      <c r="C129" s="17">
        <v>1519.0</v>
      </c>
      <c r="D129" s="15" t="s">
        <v>211</v>
      </c>
      <c r="E129" s="19" t="s">
        <v>529</v>
      </c>
      <c r="F129" s="103" t="s">
        <v>84</v>
      </c>
      <c r="G129" s="25" t="s">
        <v>408</v>
      </c>
      <c r="H129" s="25" t="s">
        <v>36</v>
      </c>
      <c r="I129" s="32">
        <v>46015.0</v>
      </c>
      <c r="J129" s="15">
        <v>0.0</v>
      </c>
      <c r="K129" s="25" t="s">
        <v>38</v>
      </c>
      <c r="L129" s="28">
        <v>45000.0</v>
      </c>
      <c r="M129" s="28">
        <v>0.0</v>
      </c>
      <c r="N129" s="28">
        <v>0.0</v>
      </c>
      <c r="O129" s="28">
        <v>0.0</v>
      </c>
      <c r="P129" s="28">
        <v>0.0</v>
      </c>
      <c r="Q129" s="33"/>
      <c r="R129" s="11"/>
    </row>
    <row r="130" ht="15.75" customHeight="1">
      <c r="A130" s="13">
        <f t="shared" si="1"/>
        <v>129</v>
      </c>
      <c r="B130" s="15" t="s">
        <v>24</v>
      </c>
      <c r="C130" s="17">
        <v>1519.0</v>
      </c>
      <c r="D130" s="15" t="s">
        <v>211</v>
      </c>
      <c r="E130" s="19" t="s">
        <v>532</v>
      </c>
      <c r="F130" s="25" t="s">
        <v>303</v>
      </c>
      <c r="G130" s="25" t="s">
        <v>533</v>
      </c>
      <c r="H130" s="25" t="s">
        <v>36</v>
      </c>
      <c r="I130" s="32">
        <v>46018.0</v>
      </c>
      <c r="J130" s="15">
        <v>1.0</v>
      </c>
      <c r="K130" s="25" t="s">
        <v>38</v>
      </c>
      <c r="L130" s="28">
        <v>0.0</v>
      </c>
      <c r="M130" s="28">
        <v>0.0</v>
      </c>
      <c r="N130" s="28">
        <v>25000.0</v>
      </c>
      <c r="O130" s="76">
        <v>0.0</v>
      </c>
      <c r="P130" s="77">
        <v>0.0</v>
      </c>
      <c r="Q130" s="33">
        <v>46019.0</v>
      </c>
      <c r="R130" s="11"/>
    </row>
    <row r="131" ht="15.75" customHeight="1">
      <c r="A131" s="13">
        <f t="shared" si="1"/>
        <v>130</v>
      </c>
      <c r="B131" s="15" t="s">
        <v>24</v>
      </c>
      <c r="C131" s="17">
        <v>1519.0</v>
      </c>
      <c r="D131" s="15" t="s">
        <v>211</v>
      </c>
      <c r="E131" s="19" t="s">
        <v>534</v>
      </c>
      <c r="F131" s="25" t="s">
        <v>303</v>
      </c>
      <c r="G131" s="25" t="s">
        <v>533</v>
      </c>
      <c r="H131" s="25" t="s">
        <v>36</v>
      </c>
      <c r="I131" s="32">
        <v>46018.0</v>
      </c>
      <c r="J131" s="15">
        <v>0.0</v>
      </c>
      <c r="K131" s="25" t="s">
        <v>38</v>
      </c>
      <c r="L131" s="28">
        <v>0.0</v>
      </c>
      <c r="M131" s="28">
        <v>0.0</v>
      </c>
      <c r="N131" s="28">
        <v>0.0</v>
      </c>
      <c r="O131" s="76">
        <v>100000.0</v>
      </c>
      <c r="P131" s="77">
        <v>0.0</v>
      </c>
      <c r="Q131" s="33">
        <v>46042.0</v>
      </c>
      <c r="R131" s="11"/>
    </row>
    <row r="132" ht="15.75" customHeight="1">
      <c r="A132" s="13">
        <f t="shared" si="1"/>
        <v>131</v>
      </c>
      <c r="B132" s="15" t="s">
        <v>24</v>
      </c>
      <c r="C132" s="17">
        <v>1519.0</v>
      </c>
      <c r="D132" s="15" t="s">
        <v>122</v>
      </c>
      <c r="E132" s="19" t="s">
        <v>537</v>
      </c>
      <c r="F132" s="25" t="s">
        <v>60</v>
      </c>
      <c r="G132" s="25" t="s">
        <v>161</v>
      </c>
      <c r="H132" s="25" t="s">
        <v>36</v>
      </c>
      <c r="I132" s="32">
        <v>46019.0</v>
      </c>
      <c r="J132" s="15">
        <v>0.0</v>
      </c>
      <c r="K132" s="25" t="s">
        <v>57</v>
      </c>
      <c r="L132" s="28">
        <v>7300.0</v>
      </c>
      <c r="M132" s="28">
        <v>0.0</v>
      </c>
      <c r="N132" s="28">
        <v>0.0</v>
      </c>
      <c r="O132" s="28">
        <v>0.0</v>
      </c>
      <c r="P132" s="28">
        <v>0.0</v>
      </c>
      <c r="Q132" s="33"/>
      <c r="R132" s="11"/>
    </row>
    <row r="133" ht="15.75" customHeight="1">
      <c r="A133" s="13">
        <f t="shared" si="1"/>
        <v>132</v>
      </c>
      <c r="B133" s="15" t="s">
        <v>24</v>
      </c>
      <c r="C133" s="17">
        <v>1519.0</v>
      </c>
      <c r="D133" s="15" t="s">
        <v>122</v>
      </c>
      <c r="E133" s="19" t="s">
        <v>538</v>
      </c>
      <c r="F133" s="25" t="s">
        <v>487</v>
      </c>
      <c r="G133" s="25" t="s">
        <v>488</v>
      </c>
      <c r="H133" s="25" t="s">
        <v>36</v>
      </c>
      <c r="I133" s="32">
        <v>46019.0</v>
      </c>
      <c r="J133" s="15">
        <v>0.0</v>
      </c>
      <c r="K133" s="25" t="s">
        <v>38</v>
      </c>
      <c r="L133" s="28">
        <v>0.0</v>
      </c>
      <c r="M133" s="28">
        <v>0.0</v>
      </c>
      <c r="N133" s="28">
        <v>200000.0</v>
      </c>
      <c r="O133" s="28">
        <v>0.0</v>
      </c>
      <c r="P133" s="28">
        <v>0.0</v>
      </c>
      <c r="Q133" s="33">
        <v>46020.0</v>
      </c>
      <c r="R133" s="11"/>
    </row>
    <row r="134" ht="15.75" customHeight="1">
      <c r="A134" s="13">
        <f t="shared" si="1"/>
        <v>133</v>
      </c>
      <c r="B134" s="15" t="s">
        <v>24</v>
      </c>
      <c r="C134" s="17">
        <v>1519.0</v>
      </c>
      <c r="D134" s="15"/>
      <c r="E134" s="19" t="s">
        <v>540</v>
      </c>
      <c r="F134" s="99" t="s">
        <v>82</v>
      </c>
      <c r="G134" s="99" t="s">
        <v>353</v>
      </c>
      <c r="H134" s="25"/>
      <c r="I134" s="32"/>
      <c r="J134" s="15"/>
      <c r="K134" s="25"/>
      <c r="L134" s="28"/>
      <c r="M134" s="28"/>
      <c r="N134" s="28"/>
      <c r="O134" s="76"/>
      <c r="P134" s="77"/>
      <c r="Q134" s="33"/>
      <c r="R134" s="11"/>
    </row>
    <row r="135" ht="15.75" customHeight="1">
      <c r="A135" s="13">
        <f t="shared" si="1"/>
        <v>134</v>
      </c>
      <c r="B135" s="15" t="s">
        <v>24</v>
      </c>
      <c r="C135" s="17">
        <v>1519.0</v>
      </c>
      <c r="D135" s="15" t="s">
        <v>122</v>
      </c>
      <c r="E135" s="19" t="s">
        <v>542</v>
      </c>
      <c r="F135" s="25" t="s">
        <v>184</v>
      </c>
      <c r="G135" s="25" t="s">
        <v>543</v>
      </c>
      <c r="H135" s="25" t="s">
        <v>36</v>
      </c>
      <c r="I135" s="32">
        <v>46020.0</v>
      </c>
      <c r="J135" s="15">
        <v>1.0</v>
      </c>
      <c r="K135" s="25" t="s">
        <v>38</v>
      </c>
      <c r="L135" s="28">
        <v>10000.0</v>
      </c>
      <c r="M135" s="28">
        <v>0.0</v>
      </c>
      <c r="N135" s="28">
        <v>0.0</v>
      </c>
      <c r="O135" s="76">
        <v>0.0</v>
      </c>
      <c r="P135" s="77">
        <v>0.0</v>
      </c>
      <c r="Q135" s="33"/>
      <c r="R135" s="11"/>
    </row>
    <row r="136" ht="15.75" customHeight="1">
      <c r="A136" s="13">
        <f t="shared" si="1"/>
        <v>135</v>
      </c>
      <c r="B136" s="15" t="s">
        <v>24</v>
      </c>
      <c r="C136" s="17">
        <v>1519.0</v>
      </c>
      <c r="D136" s="15" t="s">
        <v>211</v>
      </c>
      <c r="E136" s="19" t="s">
        <v>546</v>
      </c>
      <c r="F136" s="25" t="s">
        <v>169</v>
      </c>
      <c r="G136" s="25" t="s">
        <v>484</v>
      </c>
      <c r="H136" s="25" t="s">
        <v>36</v>
      </c>
      <c r="I136" s="32">
        <v>46022.0</v>
      </c>
      <c r="J136" s="15">
        <v>0.0</v>
      </c>
      <c r="K136" s="25" t="s">
        <v>38</v>
      </c>
      <c r="L136" s="28">
        <v>0.0</v>
      </c>
      <c r="M136" s="28">
        <v>5000.0</v>
      </c>
      <c r="N136" s="28">
        <v>0.0</v>
      </c>
      <c r="O136" s="76">
        <v>0.0</v>
      </c>
      <c r="P136" s="77">
        <v>0.0</v>
      </c>
      <c r="Q136" s="33"/>
      <c r="R136" s="11"/>
    </row>
    <row r="137" ht="15.75" customHeight="1">
      <c r="A137" s="13">
        <f t="shared" si="1"/>
        <v>136</v>
      </c>
      <c r="B137" s="15" t="s">
        <v>24</v>
      </c>
      <c r="C137" s="17">
        <v>1519.0</v>
      </c>
      <c r="D137" s="17" t="s">
        <v>122</v>
      </c>
      <c r="E137" s="19" t="s">
        <v>547</v>
      </c>
      <c r="F137" s="25" t="s">
        <v>27</v>
      </c>
      <c r="G137" s="25" t="s">
        <v>548</v>
      </c>
      <c r="H137" s="25" t="s">
        <v>36</v>
      </c>
      <c r="I137" s="30">
        <v>46022.0</v>
      </c>
      <c r="J137" s="15">
        <v>1.0</v>
      </c>
      <c r="K137" s="25" t="s">
        <v>38</v>
      </c>
      <c r="L137" s="28">
        <v>10000.0</v>
      </c>
      <c r="M137" s="28">
        <v>0.0</v>
      </c>
      <c r="N137" s="28">
        <v>0.0</v>
      </c>
      <c r="O137" s="76">
        <v>0.0</v>
      </c>
      <c r="P137" s="77">
        <v>0.0</v>
      </c>
      <c r="Q137" s="33"/>
      <c r="R137" s="11"/>
    </row>
    <row r="138" ht="15.75" customHeight="1">
      <c r="A138" s="13">
        <f t="shared" si="1"/>
        <v>137</v>
      </c>
      <c r="B138" s="15" t="s">
        <v>24</v>
      </c>
      <c r="C138" s="17">
        <v>1519.0</v>
      </c>
      <c r="D138" s="15" t="s">
        <v>122</v>
      </c>
      <c r="E138" s="19" t="s">
        <v>550</v>
      </c>
      <c r="F138" s="25" t="s">
        <v>60</v>
      </c>
      <c r="G138" s="25" t="s">
        <v>551</v>
      </c>
      <c r="H138" s="25" t="s">
        <v>36</v>
      </c>
      <c r="I138" s="32">
        <v>46027.0</v>
      </c>
      <c r="J138" s="15">
        <v>5.0</v>
      </c>
      <c r="K138" s="25" t="s">
        <v>38</v>
      </c>
      <c r="L138" s="28">
        <v>0.0</v>
      </c>
      <c r="M138" s="28">
        <v>400000.0</v>
      </c>
      <c r="N138" s="28">
        <v>0.0</v>
      </c>
      <c r="O138" s="76">
        <v>0.0</v>
      </c>
      <c r="P138" s="77">
        <v>0.0</v>
      </c>
      <c r="Q138" s="33"/>
      <c r="R138" s="11"/>
    </row>
    <row r="139" ht="15.75" customHeight="1">
      <c r="A139" s="13">
        <f t="shared" si="1"/>
        <v>138</v>
      </c>
      <c r="B139" s="15" t="s">
        <v>24</v>
      </c>
      <c r="C139" s="17">
        <v>1519.0</v>
      </c>
      <c r="D139" s="15" t="s">
        <v>122</v>
      </c>
      <c r="E139" s="19" t="s">
        <v>553</v>
      </c>
      <c r="F139" s="25" t="s">
        <v>487</v>
      </c>
      <c r="G139" s="25" t="s">
        <v>554</v>
      </c>
      <c r="H139" s="25" t="s">
        <v>36</v>
      </c>
      <c r="I139" s="32">
        <v>46025.0</v>
      </c>
      <c r="J139" s="15">
        <v>0.0</v>
      </c>
      <c r="K139" s="25" t="s">
        <v>38</v>
      </c>
      <c r="L139" s="28">
        <v>100000.0</v>
      </c>
      <c r="M139" s="28">
        <v>0.0</v>
      </c>
      <c r="N139" s="28">
        <v>0.0</v>
      </c>
      <c r="O139" s="28">
        <v>0.0</v>
      </c>
      <c r="P139" s="28">
        <v>0.0</v>
      </c>
      <c r="Q139" s="33"/>
      <c r="R139" s="11"/>
    </row>
    <row r="140" ht="15.75" customHeight="1">
      <c r="A140" s="13">
        <f t="shared" si="1"/>
        <v>139</v>
      </c>
      <c r="B140" s="15" t="s">
        <v>24</v>
      </c>
      <c r="C140" s="17">
        <v>1519.0</v>
      </c>
      <c r="D140" s="15" t="s">
        <v>211</v>
      </c>
      <c r="E140" s="19" t="s">
        <v>556</v>
      </c>
      <c r="F140" s="25" t="s">
        <v>84</v>
      </c>
      <c r="G140" s="25" t="s">
        <v>329</v>
      </c>
      <c r="H140" s="25" t="s">
        <v>37</v>
      </c>
      <c r="I140" s="32">
        <v>46028.0</v>
      </c>
      <c r="J140" s="15">
        <v>0.0</v>
      </c>
      <c r="K140" s="25" t="s">
        <v>38</v>
      </c>
      <c r="L140" s="28">
        <v>0.0</v>
      </c>
      <c r="M140" s="28">
        <v>30000.0</v>
      </c>
      <c r="N140" s="28">
        <v>0.0</v>
      </c>
      <c r="O140" s="28">
        <v>0.0</v>
      </c>
      <c r="P140" s="28">
        <v>0.0</v>
      </c>
      <c r="Q140" s="33"/>
      <c r="R140" s="11"/>
    </row>
    <row r="141" ht="15.75" customHeight="1">
      <c r="A141" s="13">
        <f t="shared" si="1"/>
        <v>140</v>
      </c>
      <c r="B141" s="15" t="s">
        <v>24</v>
      </c>
      <c r="C141" s="17">
        <v>1519.0</v>
      </c>
      <c r="D141" s="15" t="s">
        <v>211</v>
      </c>
      <c r="E141" s="19" t="s">
        <v>560</v>
      </c>
      <c r="F141" s="103" t="s">
        <v>84</v>
      </c>
      <c r="G141" s="25" t="s">
        <v>408</v>
      </c>
      <c r="H141" s="25" t="s">
        <v>36</v>
      </c>
      <c r="I141" s="32">
        <v>46028.0</v>
      </c>
      <c r="J141" s="15">
        <v>0.0</v>
      </c>
      <c r="K141" s="25" t="s">
        <v>38</v>
      </c>
      <c r="L141" s="28">
        <v>50000.0</v>
      </c>
      <c r="M141" s="28">
        <v>0.0</v>
      </c>
      <c r="N141" s="28">
        <v>0.0</v>
      </c>
      <c r="O141" s="28">
        <v>0.0</v>
      </c>
      <c r="P141" s="28">
        <v>0.0</v>
      </c>
      <c r="Q141" s="33"/>
      <c r="R141" s="11"/>
    </row>
    <row r="142" ht="15.75" customHeight="1">
      <c r="A142" s="13">
        <f t="shared" si="1"/>
        <v>141</v>
      </c>
      <c r="B142" s="15" t="s">
        <v>24</v>
      </c>
      <c r="C142" s="17">
        <v>1519.0</v>
      </c>
      <c r="D142" s="15" t="s">
        <v>122</v>
      </c>
      <c r="E142" s="19" t="s">
        <v>561</v>
      </c>
      <c r="F142" s="25" t="s">
        <v>44</v>
      </c>
      <c r="G142" s="25" t="s">
        <v>45</v>
      </c>
      <c r="H142" s="25" t="s">
        <v>36</v>
      </c>
      <c r="I142" s="32">
        <v>46032.0</v>
      </c>
      <c r="J142" s="15">
        <v>0.0</v>
      </c>
      <c r="K142" s="25" t="s">
        <v>38</v>
      </c>
      <c r="L142" s="28">
        <v>8000.0</v>
      </c>
      <c r="M142" s="28">
        <v>0.0</v>
      </c>
      <c r="N142" s="28">
        <v>0.0</v>
      </c>
      <c r="O142" s="28">
        <v>0.0</v>
      </c>
      <c r="P142" s="28">
        <v>0.0</v>
      </c>
      <c r="Q142" s="33"/>
      <c r="R142" s="11"/>
    </row>
    <row r="143" ht="15.75" customHeight="1">
      <c r="A143" s="13">
        <f t="shared" si="1"/>
        <v>142</v>
      </c>
      <c r="B143" s="15" t="s">
        <v>24</v>
      </c>
      <c r="C143" s="17">
        <v>1519.0</v>
      </c>
      <c r="D143" s="15" t="s">
        <v>211</v>
      </c>
      <c r="E143" s="19" t="s">
        <v>565</v>
      </c>
      <c r="F143" s="25" t="s">
        <v>208</v>
      </c>
      <c r="G143" s="25" t="s">
        <v>394</v>
      </c>
      <c r="H143" s="25" t="s">
        <v>36</v>
      </c>
      <c r="I143" s="30">
        <v>46033.0</v>
      </c>
      <c r="J143" s="15">
        <v>0.0</v>
      </c>
      <c r="K143" s="25" t="s">
        <v>38</v>
      </c>
      <c r="L143" s="28">
        <v>5000.0</v>
      </c>
      <c r="M143" s="28">
        <v>0.0</v>
      </c>
      <c r="N143" s="28">
        <v>0.0</v>
      </c>
      <c r="O143" s="76">
        <v>0.0</v>
      </c>
      <c r="P143" s="77">
        <v>0.0</v>
      </c>
      <c r="Q143" s="33"/>
      <c r="R143" s="11"/>
    </row>
    <row r="144" ht="15.75" customHeight="1">
      <c r="A144" s="13">
        <f t="shared" si="1"/>
        <v>143</v>
      </c>
      <c r="B144" s="15" t="s">
        <v>24</v>
      </c>
      <c r="C144" s="17">
        <v>1519.0</v>
      </c>
      <c r="D144" s="15" t="s">
        <v>211</v>
      </c>
      <c r="E144" s="19" t="s">
        <v>566</v>
      </c>
      <c r="F144" s="25" t="s">
        <v>27</v>
      </c>
      <c r="G144" s="25" t="s">
        <v>69</v>
      </c>
      <c r="H144" s="25" t="s">
        <v>36</v>
      </c>
      <c r="I144" s="30">
        <v>46034.0</v>
      </c>
      <c r="J144" s="15">
        <v>0.0</v>
      </c>
      <c r="K144" s="25" t="s">
        <v>57</v>
      </c>
      <c r="L144" s="28">
        <v>0.0</v>
      </c>
      <c r="M144" s="28">
        <v>17000.0</v>
      </c>
      <c r="N144" s="28">
        <v>0.0</v>
      </c>
      <c r="O144" s="28">
        <v>0.0</v>
      </c>
      <c r="P144" s="28">
        <v>0.0</v>
      </c>
      <c r="Q144" s="33"/>
      <c r="R144" s="11"/>
    </row>
    <row r="145" ht="15.75" customHeight="1">
      <c r="A145" s="13">
        <f t="shared" si="1"/>
        <v>144</v>
      </c>
      <c r="B145" s="15" t="s">
        <v>24</v>
      </c>
      <c r="C145" s="17">
        <v>1519.0</v>
      </c>
      <c r="D145" s="15" t="s">
        <v>211</v>
      </c>
      <c r="E145" s="19" t="s">
        <v>568</v>
      </c>
      <c r="F145" s="25" t="s">
        <v>221</v>
      </c>
      <c r="G145" s="25" t="s">
        <v>181</v>
      </c>
      <c r="H145" s="25" t="s">
        <v>36</v>
      </c>
      <c r="I145" s="32">
        <v>46036.0</v>
      </c>
      <c r="J145" s="15">
        <v>0.0</v>
      </c>
      <c r="K145" s="25" t="s">
        <v>57</v>
      </c>
      <c r="L145" s="28">
        <v>0.0</v>
      </c>
      <c r="M145" s="28">
        <v>7000.0</v>
      </c>
      <c r="N145" s="28">
        <v>0.0</v>
      </c>
      <c r="O145" s="28">
        <v>0.0</v>
      </c>
      <c r="P145" s="28">
        <v>0.0</v>
      </c>
      <c r="Q145" s="33"/>
      <c r="R145" s="11"/>
    </row>
    <row r="146" ht="15.75" customHeight="1">
      <c r="A146" s="13">
        <f t="shared" si="1"/>
        <v>145</v>
      </c>
      <c r="B146" s="15" t="s">
        <v>24</v>
      </c>
      <c r="C146" s="17">
        <v>1519.0</v>
      </c>
      <c r="D146" s="15" t="s">
        <v>211</v>
      </c>
      <c r="E146" s="19" t="s">
        <v>569</v>
      </c>
      <c r="F146" s="25" t="s">
        <v>51</v>
      </c>
      <c r="G146" s="25" t="s">
        <v>428</v>
      </c>
      <c r="H146" s="25" t="s">
        <v>36</v>
      </c>
      <c r="I146" s="32">
        <v>46036.0</v>
      </c>
      <c r="J146" s="15">
        <v>0.0</v>
      </c>
      <c r="K146" s="25" t="s">
        <v>38</v>
      </c>
      <c r="L146" s="28">
        <v>90000.0</v>
      </c>
      <c r="M146" s="100">
        <v>0.0</v>
      </c>
      <c r="N146" s="100">
        <v>0.0</v>
      </c>
      <c r="O146" s="100">
        <v>0.0</v>
      </c>
      <c r="P146" s="100">
        <v>0.0</v>
      </c>
      <c r="Q146" s="33"/>
      <c r="R146" s="11"/>
    </row>
    <row r="147" ht="15.75" customHeight="1">
      <c r="A147" s="13">
        <f t="shared" si="1"/>
        <v>146</v>
      </c>
      <c r="B147" s="15" t="s">
        <v>24</v>
      </c>
      <c r="C147" s="17">
        <v>1519.0</v>
      </c>
      <c r="D147" s="15"/>
      <c r="E147" s="19" t="s">
        <v>570</v>
      </c>
      <c r="F147" s="25"/>
      <c r="G147" s="25" t="s">
        <v>336</v>
      </c>
      <c r="H147" s="25" t="s">
        <v>36</v>
      </c>
      <c r="I147" s="32">
        <v>46036.0</v>
      </c>
      <c r="J147" s="15">
        <v>0.0</v>
      </c>
      <c r="K147" s="25" t="s">
        <v>57</v>
      </c>
      <c r="L147" s="28">
        <v>0.0</v>
      </c>
      <c r="M147" s="28">
        <v>16000.0</v>
      </c>
      <c r="N147" s="28">
        <v>0.0</v>
      </c>
      <c r="O147" s="28">
        <v>0.0</v>
      </c>
      <c r="P147" s="28">
        <v>0.0</v>
      </c>
      <c r="Q147" s="33"/>
      <c r="R147" s="11"/>
    </row>
    <row r="148" ht="15.75" customHeight="1">
      <c r="A148" s="13">
        <f t="shared" si="1"/>
        <v>147</v>
      </c>
      <c r="B148" s="15" t="s">
        <v>24</v>
      </c>
      <c r="C148" s="17">
        <v>1519.0</v>
      </c>
      <c r="D148" s="15" t="s">
        <v>122</v>
      </c>
      <c r="E148" s="19" t="s">
        <v>574</v>
      </c>
      <c r="F148" s="25" t="s">
        <v>191</v>
      </c>
      <c r="G148" s="25" t="s">
        <v>193</v>
      </c>
      <c r="H148" s="25" t="s">
        <v>36</v>
      </c>
      <c r="I148" s="32">
        <v>46037.0</v>
      </c>
      <c r="J148" s="15">
        <v>0.0</v>
      </c>
      <c r="K148" s="25" t="s">
        <v>38</v>
      </c>
      <c r="L148" s="28">
        <v>0.0</v>
      </c>
      <c r="M148" s="28">
        <v>700000.0</v>
      </c>
      <c r="N148" s="28">
        <v>0.0</v>
      </c>
      <c r="O148" s="28">
        <v>0.0</v>
      </c>
      <c r="P148" s="28">
        <v>0.0</v>
      </c>
      <c r="Q148" s="33"/>
      <c r="R148" s="11"/>
    </row>
    <row r="149" ht="15.75" customHeight="1">
      <c r="A149" s="13">
        <f t="shared" si="1"/>
        <v>148</v>
      </c>
      <c r="B149" s="15" t="s">
        <v>24</v>
      </c>
      <c r="C149" s="17">
        <v>1519.0</v>
      </c>
      <c r="D149" s="15" t="s">
        <v>211</v>
      </c>
      <c r="E149" s="19" t="s">
        <v>576</v>
      </c>
      <c r="F149" s="25" t="s">
        <v>27</v>
      </c>
      <c r="G149" s="25" t="s">
        <v>577</v>
      </c>
      <c r="H149" s="25" t="s">
        <v>36</v>
      </c>
      <c r="I149" s="32">
        <v>46037.0</v>
      </c>
      <c r="J149" s="15">
        <v>2.0</v>
      </c>
      <c r="K149" s="25" t="s">
        <v>38</v>
      </c>
      <c r="L149" s="28">
        <v>10000.0</v>
      </c>
      <c r="M149" s="100">
        <v>0.0</v>
      </c>
      <c r="N149" s="100">
        <v>0.0</v>
      </c>
      <c r="O149" s="100">
        <v>0.0</v>
      </c>
      <c r="P149" s="100">
        <v>0.0</v>
      </c>
      <c r="Q149" s="33"/>
      <c r="R149" s="11"/>
    </row>
    <row r="150" ht="15.75" customHeight="1">
      <c r="A150" s="13">
        <f t="shared" si="1"/>
        <v>149</v>
      </c>
      <c r="B150" s="15" t="s">
        <v>24</v>
      </c>
      <c r="C150" s="17">
        <v>1519.0</v>
      </c>
      <c r="D150" s="15" t="s">
        <v>211</v>
      </c>
      <c r="E150" s="19" t="s">
        <v>578</v>
      </c>
      <c r="F150" s="25" t="s">
        <v>51</v>
      </c>
      <c r="G150" s="25" t="s">
        <v>449</v>
      </c>
      <c r="H150" s="25" t="s">
        <v>36</v>
      </c>
      <c r="I150" s="32">
        <v>46037.0</v>
      </c>
      <c r="J150" s="15">
        <v>1.0</v>
      </c>
      <c r="K150" s="25" t="s">
        <v>38</v>
      </c>
      <c r="L150" s="28">
        <v>50000.0</v>
      </c>
      <c r="M150" s="100">
        <v>0.0</v>
      </c>
      <c r="N150" s="100">
        <v>0.0</v>
      </c>
      <c r="O150" s="100">
        <v>0.0</v>
      </c>
      <c r="P150" s="100">
        <v>0.0</v>
      </c>
      <c r="Q150" s="33"/>
      <c r="R150" s="11"/>
    </row>
    <row r="151" ht="15.75" customHeight="1">
      <c r="A151" s="13">
        <f t="shared" si="1"/>
        <v>150</v>
      </c>
      <c r="B151" s="15" t="s">
        <v>24</v>
      </c>
      <c r="C151" s="17">
        <v>1519.0</v>
      </c>
      <c r="D151" s="15" t="s">
        <v>211</v>
      </c>
      <c r="E151" s="19" t="s">
        <v>580</v>
      </c>
      <c r="F151" s="25" t="s">
        <v>27</v>
      </c>
      <c r="G151" s="25" t="s">
        <v>577</v>
      </c>
      <c r="H151" s="25" t="s">
        <v>37</v>
      </c>
      <c r="I151" s="32">
        <v>46037.0</v>
      </c>
      <c r="J151" s="15">
        <v>2.0</v>
      </c>
      <c r="K151" s="25" t="s">
        <v>38</v>
      </c>
      <c r="L151" s="28">
        <v>5000.0</v>
      </c>
      <c r="M151" s="100">
        <v>0.0</v>
      </c>
      <c r="N151" s="100">
        <v>0.0</v>
      </c>
      <c r="O151" s="100">
        <v>0.0</v>
      </c>
      <c r="P151" s="100">
        <v>0.0</v>
      </c>
      <c r="Q151" s="33"/>
      <c r="R151" s="11"/>
    </row>
    <row r="152" ht="15.75" customHeight="1">
      <c r="A152" s="13">
        <f t="shared" si="1"/>
        <v>151</v>
      </c>
      <c r="B152" s="15" t="s">
        <v>24</v>
      </c>
      <c r="C152" s="17">
        <v>1585.0</v>
      </c>
      <c r="D152" s="15" t="s">
        <v>122</v>
      </c>
      <c r="E152" s="19" t="s">
        <v>581</v>
      </c>
      <c r="F152" s="25" t="s">
        <v>377</v>
      </c>
      <c r="G152" s="25" t="s">
        <v>582</v>
      </c>
      <c r="H152" s="25" t="s">
        <v>36</v>
      </c>
      <c r="I152" s="32">
        <v>46037.0</v>
      </c>
      <c r="J152" s="15">
        <v>1.0</v>
      </c>
      <c r="K152" s="25" t="s">
        <v>38</v>
      </c>
      <c r="L152" s="28">
        <v>0.0</v>
      </c>
      <c r="M152" s="28">
        <v>0.0</v>
      </c>
      <c r="N152" s="28">
        <v>50000.0</v>
      </c>
      <c r="O152" s="76">
        <v>0.0</v>
      </c>
      <c r="P152" s="77">
        <v>0.0</v>
      </c>
      <c r="Q152" s="33">
        <v>46037.0</v>
      </c>
      <c r="R152" s="11"/>
    </row>
    <row r="153" ht="15.75" customHeight="1">
      <c r="A153" s="13">
        <f t="shared" si="1"/>
        <v>152</v>
      </c>
      <c r="B153" s="15" t="s">
        <v>24</v>
      </c>
      <c r="C153" s="17">
        <v>1585.0</v>
      </c>
      <c r="D153" s="15" t="s">
        <v>122</v>
      </c>
      <c r="E153" s="19" t="s">
        <v>585</v>
      </c>
      <c r="F153" s="25" t="s">
        <v>377</v>
      </c>
      <c r="G153" s="25" t="s">
        <v>586</v>
      </c>
      <c r="H153" s="25" t="s">
        <v>36</v>
      </c>
      <c r="I153" s="32">
        <v>46037.0</v>
      </c>
      <c r="J153" s="15">
        <v>1.0</v>
      </c>
      <c r="K153" s="25" t="s">
        <v>38</v>
      </c>
      <c r="L153" s="28">
        <v>0.0</v>
      </c>
      <c r="M153" s="28">
        <v>0.0</v>
      </c>
      <c r="N153" s="28">
        <v>50000.0</v>
      </c>
      <c r="O153" s="76">
        <v>0.0</v>
      </c>
      <c r="P153" s="77">
        <v>0.0</v>
      </c>
      <c r="Q153" s="33">
        <v>46037.0</v>
      </c>
      <c r="R153" s="11"/>
    </row>
    <row r="154" ht="15.75" customHeight="1">
      <c r="A154" s="13">
        <f t="shared" si="1"/>
        <v>153</v>
      </c>
      <c r="B154" s="15" t="s">
        <v>24</v>
      </c>
      <c r="C154" s="17">
        <v>1585.0</v>
      </c>
      <c r="D154" s="15" t="s">
        <v>122</v>
      </c>
      <c r="E154" s="19" t="s">
        <v>588</v>
      </c>
      <c r="F154" s="25" t="s">
        <v>377</v>
      </c>
      <c r="G154" s="25" t="s">
        <v>586</v>
      </c>
      <c r="H154" s="25" t="s">
        <v>36</v>
      </c>
      <c r="I154" s="32">
        <v>46037.0</v>
      </c>
      <c r="J154" s="15">
        <v>0.0</v>
      </c>
      <c r="K154" s="25" t="s">
        <v>38</v>
      </c>
      <c r="L154" s="28">
        <v>0.0</v>
      </c>
      <c r="M154" s="28">
        <v>0.0</v>
      </c>
      <c r="N154" s="28">
        <v>450000.0</v>
      </c>
      <c r="O154" s="28">
        <v>0.0</v>
      </c>
      <c r="P154" s="77">
        <v>0.0</v>
      </c>
      <c r="Q154" s="33">
        <v>46073.0</v>
      </c>
      <c r="R154" s="11"/>
    </row>
    <row r="155" ht="15.75" customHeight="1">
      <c r="A155" s="13">
        <f t="shared" si="1"/>
        <v>154</v>
      </c>
      <c r="B155" s="15" t="s">
        <v>24</v>
      </c>
      <c r="C155" s="17">
        <v>1585.0</v>
      </c>
      <c r="D155" s="15" t="s">
        <v>122</v>
      </c>
      <c r="E155" s="19" t="s">
        <v>590</v>
      </c>
      <c r="F155" s="25" t="s">
        <v>377</v>
      </c>
      <c r="G155" s="25" t="s">
        <v>582</v>
      </c>
      <c r="H155" s="25" t="s">
        <v>36</v>
      </c>
      <c r="I155" s="32">
        <v>46037.0</v>
      </c>
      <c r="J155" s="15">
        <v>0.0</v>
      </c>
      <c r="K155" s="25" t="s">
        <v>38</v>
      </c>
      <c r="L155" s="28">
        <v>0.0</v>
      </c>
      <c r="M155" s="28">
        <v>0.0</v>
      </c>
      <c r="N155" s="76">
        <v>0.0</v>
      </c>
      <c r="O155" s="28">
        <v>450000.0</v>
      </c>
      <c r="P155" s="77">
        <v>0.0</v>
      </c>
      <c r="Q155" s="33">
        <v>46081.0</v>
      </c>
      <c r="R155" s="11"/>
    </row>
    <row r="156" ht="15.75" customHeight="1">
      <c r="A156" s="13">
        <f t="shared" si="1"/>
        <v>155</v>
      </c>
      <c r="B156" s="15" t="s">
        <v>24</v>
      </c>
      <c r="C156" s="17">
        <v>1585.0</v>
      </c>
      <c r="D156" s="15" t="s">
        <v>122</v>
      </c>
      <c r="E156" s="19" t="s">
        <v>592</v>
      </c>
      <c r="F156" s="25" t="s">
        <v>44</v>
      </c>
      <c r="G156" s="25" t="s">
        <v>593</v>
      </c>
      <c r="H156" s="25" t="s">
        <v>36</v>
      </c>
      <c r="I156" s="32">
        <v>46037.0</v>
      </c>
      <c r="J156" s="15">
        <v>1.0</v>
      </c>
      <c r="K156" s="25" t="s">
        <v>38</v>
      </c>
      <c r="L156" s="28">
        <v>10000.0</v>
      </c>
      <c r="M156" s="100">
        <v>0.0</v>
      </c>
      <c r="N156" s="100">
        <v>0.0</v>
      </c>
      <c r="O156" s="100">
        <v>0.0</v>
      </c>
      <c r="P156" s="100">
        <v>0.0</v>
      </c>
      <c r="Q156" s="33"/>
      <c r="R156" s="11"/>
    </row>
    <row r="157" ht="15.75" customHeight="1">
      <c r="A157" s="13">
        <f t="shared" si="1"/>
        <v>156</v>
      </c>
      <c r="B157" s="15" t="s">
        <v>24</v>
      </c>
      <c r="C157" s="17">
        <v>1585.0</v>
      </c>
      <c r="D157" s="15" t="s">
        <v>122</v>
      </c>
      <c r="E157" s="19" t="s">
        <v>597</v>
      </c>
      <c r="F157" s="25" t="s">
        <v>44</v>
      </c>
      <c r="G157" s="25" t="s">
        <v>598</v>
      </c>
      <c r="H157" s="25" t="s">
        <v>36</v>
      </c>
      <c r="I157" s="32">
        <v>46037.0</v>
      </c>
      <c r="J157" s="15">
        <v>1.0</v>
      </c>
      <c r="K157" s="25" t="s">
        <v>38</v>
      </c>
      <c r="L157" s="28">
        <v>10000.0</v>
      </c>
      <c r="M157" s="100">
        <v>0.0</v>
      </c>
      <c r="N157" s="100">
        <v>0.0</v>
      </c>
      <c r="O157" s="100">
        <v>0.0</v>
      </c>
      <c r="P157" s="100">
        <v>0.0</v>
      </c>
      <c r="Q157" s="33"/>
      <c r="R157" s="11"/>
    </row>
    <row r="158" ht="15.75" customHeight="1">
      <c r="A158" s="13">
        <f t="shared" si="1"/>
        <v>157</v>
      </c>
      <c r="B158" s="15" t="s">
        <v>24</v>
      </c>
      <c r="C158" s="17">
        <v>1585.0</v>
      </c>
      <c r="D158" s="15" t="s">
        <v>122</v>
      </c>
      <c r="E158" s="19" t="s">
        <v>600</v>
      </c>
      <c r="F158" s="25" t="s">
        <v>191</v>
      </c>
      <c r="G158" s="25" t="s">
        <v>316</v>
      </c>
      <c r="H158" s="25" t="s">
        <v>36</v>
      </c>
      <c r="I158" s="32">
        <v>46037.0</v>
      </c>
      <c r="J158" s="15">
        <v>1.0</v>
      </c>
      <c r="K158" s="25" t="s">
        <v>38</v>
      </c>
      <c r="L158" s="28">
        <v>10000.0</v>
      </c>
      <c r="M158" s="100">
        <v>0.0</v>
      </c>
      <c r="N158" s="100">
        <v>0.0</v>
      </c>
      <c r="O158" s="100">
        <v>0.0</v>
      </c>
      <c r="P158" s="100">
        <v>0.0</v>
      </c>
      <c r="Q158" s="33"/>
      <c r="R158" s="11"/>
    </row>
    <row r="159" ht="15.75" customHeight="1">
      <c r="A159" s="13">
        <f t="shared" si="1"/>
        <v>158</v>
      </c>
      <c r="B159" s="15" t="s">
        <v>24</v>
      </c>
      <c r="C159" s="17">
        <v>1585.0</v>
      </c>
      <c r="D159" s="15" t="s">
        <v>211</v>
      </c>
      <c r="E159" s="19" t="s">
        <v>601</v>
      </c>
      <c r="F159" s="25" t="s">
        <v>51</v>
      </c>
      <c r="G159" s="25" t="s">
        <v>259</v>
      </c>
      <c r="H159" s="25" t="s">
        <v>36</v>
      </c>
      <c r="I159" s="32">
        <v>46039.0</v>
      </c>
      <c r="J159" s="15">
        <v>1.0</v>
      </c>
      <c r="K159" s="25" t="s">
        <v>38</v>
      </c>
      <c r="L159" s="28">
        <v>50000.0</v>
      </c>
      <c r="M159" s="100">
        <v>0.0</v>
      </c>
      <c r="N159" s="100">
        <v>0.0</v>
      </c>
      <c r="O159" s="100">
        <v>0.0</v>
      </c>
      <c r="P159" s="100">
        <v>0.0</v>
      </c>
      <c r="Q159" s="33"/>
      <c r="R159" s="11"/>
    </row>
    <row r="160" ht="15.75" customHeight="1">
      <c r="A160" s="13">
        <f t="shared" si="1"/>
        <v>159</v>
      </c>
      <c r="B160" s="15" t="s">
        <v>24</v>
      </c>
      <c r="C160" s="17">
        <v>1585.0</v>
      </c>
      <c r="D160" s="15" t="s">
        <v>122</v>
      </c>
      <c r="E160" s="19" t="s">
        <v>603</v>
      </c>
      <c r="F160" s="25" t="s">
        <v>44</v>
      </c>
      <c r="G160" s="25" t="s">
        <v>598</v>
      </c>
      <c r="H160" s="25" t="s">
        <v>36</v>
      </c>
      <c r="I160" s="32">
        <v>46040.0</v>
      </c>
      <c r="J160" s="15">
        <v>0.0</v>
      </c>
      <c r="K160" s="25" t="s">
        <v>38</v>
      </c>
      <c r="L160" s="28">
        <v>0.0</v>
      </c>
      <c r="M160" s="100">
        <v>0.0</v>
      </c>
      <c r="N160" s="28">
        <v>390000.0</v>
      </c>
      <c r="O160" s="100">
        <v>0.0</v>
      </c>
      <c r="P160" s="100">
        <v>0.0</v>
      </c>
      <c r="Q160" s="32">
        <v>46040.0</v>
      </c>
      <c r="R160" s="11"/>
    </row>
    <row r="161" ht="15.75" customHeight="1">
      <c r="A161" s="13">
        <f t="shared" si="1"/>
        <v>160</v>
      </c>
      <c r="B161" s="15" t="s">
        <v>24</v>
      </c>
      <c r="C161" s="17">
        <v>1585.0</v>
      </c>
      <c r="D161" s="15" t="s">
        <v>122</v>
      </c>
      <c r="E161" s="19" t="s">
        <v>607</v>
      </c>
      <c r="F161" s="25" t="s">
        <v>44</v>
      </c>
      <c r="G161" s="25" t="s">
        <v>593</v>
      </c>
      <c r="H161" s="25" t="s">
        <v>36</v>
      </c>
      <c r="I161" s="32">
        <v>46040.0</v>
      </c>
      <c r="J161" s="15">
        <v>0.0</v>
      </c>
      <c r="K161" s="25" t="s">
        <v>38</v>
      </c>
      <c r="L161" s="28">
        <v>0.0</v>
      </c>
      <c r="M161" s="100">
        <v>0.0</v>
      </c>
      <c r="N161" s="28">
        <v>0.0</v>
      </c>
      <c r="O161" s="28">
        <v>390000.0</v>
      </c>
      <c r="P161" s="100">
        <v>0.0</v>
      </c>
      <c r="Q161" s="33">
        <v>46051.0</v>
      </c>
      <c r="R161" s="11"/>
    </row>
    <row r="162" ht="15.75" customHeight="1">
      <c r="A162" s="13">
        <f t="shared" si="1"/>
        <v>161</v>
      </c>
      <c r="B162" s="15" t="s">
        <v>24</v>
      </c>
      <c r="C162" s="17">
        <v>1585.0</v>
      </c>
      <c r="D162" s="15" t="s">
        <v>122</v>
      </c>
      <c r="E162" s="19" t="s">
        <v>610</v>
      </c>
      <c r="F162" s="25" t="s">
        <v>303</v>
      </c>
      <c r="G162" s="25" t="s">
        <v>526</v>
      </c>
      <c r="H162" s="25" t="s">
        <v>36</v>
      </c>
      <c r="I162" s="32">
        <v>46042.0</v>
      </c>
      <c r="J162" s="15">
        <v>0.0</v>
      </c>
      <c r="K162" s="25" t="s">
        <v>38</v>
      </c>
      <c r="L162" s="28">
        <v>100000.0</v>
      </c>
      <c r="M162" s="28">
        <v>0.0</v>
      </c>
      <c r="N162" s="28">
        <v>0.0</v>
      </c>
      <c r="O162" s="28">
        <v>0.0</v>
      </c>
      <c r="P162" s="28">
        <v>0.0</v>
      </c>
      <c r="Q162" s="33"/>
      <c r="R162" s="11"/>
    </row>
    <row r="163" ht="15.75" customHeight="1">
      <c r="A163" s="13">
        <f t="shared" si="1"/>
        <v>162</v>
      </c>
      <c r="B163" s="15" t="s">
        <v>24</v>
      </c>
      <c r="C163" s="17">
        <v>1585.0</v>
      </c>
      <c r="D163" s="15" t="s">
        <v>122</v>
      </c>
      <c r="E163" s="19" t="s">
        <v>612</v>
      </c>
      <c r="F163" s="25" t="s">
        <v>303</v>
      </c>
      <c r="G163" s="25" t="s">
        <v>533</v>
      </c>
      <c r="H163" s="25" t="s">
        <v>36</v>
      </c>
      <c r="I163" s="32">
        <v>46042.0</v>
      </c>
      <c r="J163" s="15">
        <v>0.0</v>
      </c>
      <c r="K163" s="25" t="s">
        <v>38</v>
      </c>
      <c r="L163" s="28">
        <v>100000.0</v>
      </c>
      <c r="M163" s="28">
        <v>0.0</v>
      </c>
      <c r="N163" s="28">
        <v>0.0</v>
      </c>
      <c r="O163" s="28">
        <v>0.0</v>
      </c>
      <c r="P163" s="28">
        <v>0.0</v>
      </c>
      <c r="Q163" s="33"/>
      <c r="R163" s="11"/>
    </row>
    <row r="164" ht="15.75" customHeight="1">
      <c r="A164" s="13">
        <f t="shared" si="1"/>
        <v>163</v>
      </c>
      <c r="B164" s="15" t="s">
        <v>24</v>
      </c>
      <c r="C164" s="17">
        <v>1585.0</v>
      </c>
      <c r="D164" s="15"/>
      <c r="E164" s="19" t="s">
        <v>617</v>
      </c>
      <c r="F164" s="99" t="s">
        <v>82</v>
      </c>
      <c r="G164" s="99" t="s">
        <v>618</v>
      </c>
      <c r="H164" s="25"/>
      <c r="I164" s="30"/>
      <c r="J164" s="15"/>
      <c r="K164" s="25"/>
      <c r="L164" s="28"/>
      <c r="M164" s="28"/>
      <c r="N164" s="28"/>
      <c r="O164" s="28"/>
      <c r="P164" s="28"/>
      <c r="Q164" s="33"/>
      <c r="R164" s="11"/>
    </row>
    <row r="165" ht="15.75" customHeight="1">
      <c r="A165" s="13">
        <f t="shared" si="1"/>
        <v>164</v>
      </c>
      <c r="B165" s="15" t="s">
        <v>24</v>
      </c>
      <c r="C165" s="17">
        <v>1585.0</v>
      </c>
      <c r="D165" s="15" t="s">
        <v>211</v>
      </c>
      <c r="E165" s="19" t="s">
        <v>620</v>
      </c>
      <c r="F165" s="25" t="s">
        <v>51</v>
      </c>
      <c r="G165" s="25" t="s">
        <v>449</v>
      </c>
      <c r="H165" s="25" t="s">
        <v>36</v>
      </c>
      <c r="I165" s="32">
        <v>46043.0</v>
      </c>
      <c r="J165" s="15">
        <v>0.0</v>
      </c>
      <c r="K165" s="25" t="s">
        <v>38</v>
      </c>
      <c r="L165" s="28">
        <v>150000.0</v>
      </c>
      <c r="M165" s="100">
        <v>0.0</v>
      </c>
      <c r="N165" s="100">
        <v>0.0</v>
      </c>
      <c r="O165" s="100">
        <v>0.0</v>
      </c>
      <c r="P165" s="100">
        <v>0.0</v>
      </c>
      <c r="Q165" s="33"/>
      <c r="R165" s="11"/>
    </row>
    <row r="166" ht="15.75" customHeight="1">
      <c r="A166" s="13">
        <f t="shared" si="1"/>
        <v>165</v>
      </c>
      <c r="B166" s="15" t="s">
        <v>24</v>
      </c>
      <c r="C166" s="17">
        <v>1585.0</v>
      </c>
      <c r="D166" s="15" t="s">
        <v>122</v>
      </c>
      <c r="E166" s="19" t="s">
        <v>621</v>
      </c>
      <c r="F166" s="25" t="s">
        <v>60</v>
      </c>
      <c r="G166" s="25" t="s">
        <v>161</v>
      </c>
      <c r="H166" s="25" t="s">
        <v>36</v>
      </c>
      <c r="I166" s="32">
        <v>46043.0</v>
      </c>
      <c r="J166" s="15">
        <v>0.0</v>
      </c>
      <c r="K166" s="25" t="s">
        <v>57</v>
      </c>
      <c r="L166" s="28">
        <v>7300.0</v>
      </c>
      <c r="M166" s="28">
        <v>0.0</v>
      </c>
      <c r="N166" s="28">
        <v>0.0</v>
      </c>
      <c r="O166" s="28">
        <v>0.0</v>
      </c>
      <c r="P166" s="28">
        <v>0.0</v>
      </c>
      <c r="Q166" s="33"/>
      <c r="R166" s="11"/>
    </row>
    <row r="167" ht="15.75" customHeight="1">
      <c r="A167" s="13">
        <f t="shared" si="1"/>
        <v>166</v>
      </c>
      <c r="B167" s="15" t="s">
        <v>24</v>
      </c>
      <c r="C167" s="17">
        <v>1585.0</v>
      </c>
      <c r="D167" s="15" t="s">
        <v>122</v>
      </c>
      <c r="E167" s="19" t="s">
        <v>623</v>
      </c>
      <c r="F167" s="25" t="s">
        <v>180</v>
      </c>
      <c r="G167" s="25" t="s">
        <v>288</v>
      </c>
      <c r="H167" s="25" t="s">
        <v>36</v>
      </c>
      <c r="I167" s="32">
        <v>46044.0</v>
      </c>
      <c r="J167" s="15">
        <v>1.0</v>
      </c>
      <c r="K167" s="25" t="s">
        <v>38</v>
      </c>
      <c r="L167" s="28">
        <v>2000.0</v>
      </c>
      <c r="M167" s="28">
        <v>0.0</v>
      </c>
      <c r="N167" s="28">
        <v>0.0</v>
      </c>
      <c r="O167" s="28">
        <v>0.0</v>
      </c>
      <c r="P167" s="28">
        <v>0.0</v>
      </c>
      <c r="Q167" s="33"/>
      <c r="R167" s="11"/>
    </row>
    <row r="168" ht="15.75" customHeight="1">
      <c r="A168" s="13">
        <f t="shared" si="1"/>
        <v>167</v>
      </c>
      <c r="B168" s="15" t="s">
        <v>24</v>
      </c>
      <c r="C168" s="17">
        <v>1585.0</v>
      </c>
      <c r="D168" s="15" t="s">
        <v>211</v>
      </c>
      <c r="E168" s="19" t="s">
        <v>626</v>
      </c>
      <c r="F168" s="25" t="s">
        <v>40</v>
      </c>
      <c r="G168" s="25" t="s">
        <v>627</v>
      </c>
      <c r="H168" s="25" t="s">
        <v>36</v>
      </c>
      <c r="I168" s="32">
        <v>46044.0</v>
      </c>
      <c r="J168" s="15">
        <v>0.0</v>
      </c>
      <c r="K168" s="25" t="s">
        <v>38</v>
      </c>
      <c r="L168" s="28">
        <v>0.0</v>
      </c>
      <c r="M168" s="28">
        <v>100000.0</v>
      </c>
      <c r="N168" s="28">
        <v>0.0</v>
      </c>
      <c r="O168" s="28">
        <v>0.0</v>
      </c>
      <c r="P168" s="28">
        <v>0.0</v>
      </c>
      <c r="Q168" s="33"/>
      <c r="R168" s="11"/>
    </row>
    <row r="169" ht="15.75" customHeight="1">
      <c r="A169" s="13">
        <f t="shared" si="1"/>
        <v>168</v>
      </c>
      <c r="B169" s="15" t="s">
        <v>24</v>
      </c>
      <c r="C169" s="17">
        <v>1585.0</v>
      </c>
      <c r="D169" s="15" t="s">
        <v>211</v>
      </c>
      <c r="E169" s="19" t="s">
        <v>628</v>
      </c>
      <c r="F169" s="25" t="s">
        <v>40</v>
      </c>
      <c r="G169" s="25" t="s">
        <v>627</v>
      </c>
      <c r="H169" s="25" t="s">
        <v>36</v>
      </c>
      <c r="I169" s="32">
        <v>46044.0</v>
      </c>
      <c r="J169" s="15">
        <v>0.0</v>
      </c>
      <c r="K169" s="25" t="s">
        <v>38</v>
      </c>
      <c r="L169" s="28">
        <v>45000.0</v>
      </c>
      <c r="M169" s="28">
        <v>0.0</v>
      </c>
      <c r="N169" s="28">
        <v>0.0</v>
      </c>
      <c r="O169" s="28">
        <v>0.0</v>
      </c>
      <c r="P169" s="28">
        <v>0.0</v>
      </c>
      <c r="Q169" s="33"/>
      <c r="R169" s="11"/>
    </row>
    <row r="170" ht="15.75" customHeight="1">
      <c r="A170" s="13">
        <f t="shared" si="1"/>
        <v>169</v>
      </c>
      <c r="B170" s="15" t="s">
        <v>24</v>
      </c>
      <c r="C170" s="17">
        <v>1585.0</v>
      </c>
      <c r="D170" s="15" t="s">
        <v>211</v>
      </c>
      <c r="E170" s="19" t="s">
        <v>630</v>
      </c>
      <c r="F170" s="25" t="s">
        <v>631</v>
      </c>
      <c r="G170" s="25" t="s">
        <v>632</v>
      </c>
      <c r="H170" s="25" t="s">
        <v>36</v>
      </c>
      <c r="I170" s="32">
        <v>46044.0</v>
      </c>
      <c r="J170" s="15">
        <v>1.0</v>
      </c>
      <c r="K170" s="25" t="s">
        <v>38</v>
      </c>
      <c r="L170" s="28">
        <v>10000.0</v>
      </c>
      <c r="M170" s="28">
        <v>0.0</v>
      </c>
      <c r="N170" s="28">
        <v>0.0</v>
      </c>
      <c r="O170" s="28">
        <v>0.0</v>
      </c>
      <c r="P170" s="28">
        <v>0.0</v>
      </c>
      <c r="Q170" s="33"/>
      <c r="R170" s="11"/>
    </row>
    <row r="171" ht="15.75" customHeight="1">
      <c r="A171" s="13">
        <f t="shared" si="1"/>
        <v>170</v>
      </c>
      <c r="B171" s="15" t="s">
        <v>24</v>
      </c>
      <c r="C171" s="17">
        <v>1585.0</v>
      </c>
      <c r="D171" s="15" t="s">
        <v>211</v>
      </c>
      <c r="E171" s="19" t="s">
        <v>635</v>
      </c>
      <c r="F171" s="25" t="s">
        <v>169</v>
      </c>
      <c r="G171" s="25" t="s">
        <v>170</v>
      </c>
      <c r="H171" s="25" t="s">
        <v>36</v>
      </c>
      <c r="I171" s="32">
        <v>46044.0</v>
      </c>
      <c r="J171" s="15">
        <v>1.0</v>
      </c>
      <c r="K171" s="25" t="s">
        <v>38</v>
      </c>
      <c r="L171" s="28">
        <v>0.0</v>
      </c>
      <c r="M171" s="28">
        <v>0.0</v>
      </c>
      <c r="N171" s="28">
        <v>200500.0</v>
      </c>
      <c r="O171" s="28">
        <v>0.0</v>
      </c>
      <c r="P171" s="28">
        <v>0.0</v>
      </c>
      <c r="Q171" s="33">
        <v>46047.0</v>
      </c>
      <c r="R171" s="11"/>
    </row>
    <row r="172" ht="15.75" customHeight="1">
      <c r="A172" s="13">
        <f t="shared" si="1"/>
        <v>171</v>
      </c>
      <c r="B172" s="15" t="s">
        <v>24</v>
      </c>
      <c r="C172" s="17">
        <v>1585.0</v>
      </c>
      <c r="D172" s="15" t="s">
        <v>211</v>
      </c>
      <c r="E172" s="19" t="s">
        <v>637</v>
      </c>
      <c r="F172" s="25" t="s">
        <v>84</v>
      </c>
      <c r="G172" s="25" t="s">
        <v>270</v>
      </c>
      <c r="H172" s="25" t="s">
        <v>36</v>
      </c>
      <c r="I172" s="32">
        <v>46044.0</v>
      </c>
      <c r="J172" s="15">
        <v>0.0</v>
      </c>
      <c r="K172" s="25" t="s">
        <v>38</v>
      </c>
      <c r="L172" s="28">
        <v>12500.0</v>
      </c>
      <c r="M172" s="28">
        <v>0.0</v>
      </c>
      <c r="N172" s="28">
        <v>0.0</v>
      </c>
      <c r="O172" s="28">
        <v>0.0</v>
      </c>
      <c r="P172" s="28">
        <v>0.0</v>
      </c>
      <c r="Q172" s="33"/>
      <c r="R172" s="11"/>
    </row>
    <row r="173" ht="15.75" customHeight="1">
      <c r="A173" s="13">
        <f t="shared" si="1"/>
        <v>172</v>
      </c>
      <c r="B173" s="15" t="s">
        <v>24</v>
      </c>
      <c r="C173" s="17">
        <v>1585.0</v>
      </c>
      <c r="D173" s="15" t="s">
        <v>211</v>
      </c>
      <c r="E173" s="19" t="s">
        <v>640</v>
      </c>
      <c r="F173" s="25" t="s">
        <v>84</v>
      </c>
      <c r="G173" s="25" t="s">
        <v>254</v>
      </c>
      <c r="H173" s="25" t="s">
        <v>36</v>
      </c>
      <c r="I173" s="32">
        <v>46044.0</v>
      </c>
      <c r="J173" s="15">
        <v>0.0</v>
      </c>
      <c r="K173" s="25" t="s">
        <v>38</v>
      </c>
      <c r="L173" s="28">
        <v>12500.0</v>
      </c>
      <c r="M173" s="28">
        <v>0.0</v>
      </c>
      <c r="N173" s="28">
        <v>0.0</v>
      </c>
      <c r="O173" s="28">
        <v>0.0</v>
      </c>
      <c r="P173" s="28">
        <v>0.0</v>
      </c>
      <c r="Q173" s="33"/>
      <c r="R173" s="11"/>
    </row>
    <row r="174" ht="15.75" customHeight="1">
      <c r="A174" s="13">
        <f t="shared" si="1"/>
        <v>173</v>
      </c>
      <c r="B174" s="15" t="s">
        <v>24</v>
      </c>
      <c r="C174" s="17">
        <v>1585.0</v>
      </c>
      <c r="D174" s="154" t="s">
        <v>644</v>
      </c>
      <c r="E174" s="155" t="s">
        <v>646</v>
      </c>
      <c r="F174" s="99" t="s">
        <v>647</v>
      </c>
      <c r="G174" s="99" t="s">
        <v>648</v>
      </c>
      <c r="H174" s="99" t="s">
        <v>36</v>
      </c>
      <c r="I174" s="156">
        <v>46044.0</v>
      </c>
      <c r="J174" s="154">
        <v>1.0</v>
      </c>
      <c r="K174" s="99" t="s">
        <v>38</v>
      </c>
      <c r="L174" s="157">
        <v>0.0</v>
      </c>
      <c r="M174" s="157">
        <v>0.0</v>
      </c>
      <c r="N174" s="157">
        <v>100000.0</v>
      </c>
      <c r="O174" s="157">
        <v>0.0</v>
      </c>
      <c r="P174" s="157">
        <v>0.0</v>
      </c>
      <c r="Q174" s="33"/>
      <c r="R174" s="11"/>
    </row>
    <row r="175" ht="15.75" customHeight="1">
      <c r="A175" s="13">
        <f t="shared" si="1"/>
        <v>174</v>
      </c>
      <c r="B175" s="15" t="s">
        <v>24</v>
      </c>
      <c r="C175" s="17">
        <v>1585.0</v>
      </c>
      <c r="D175" s="15" t="s">
        <v>211</v>
      </c>
      <c r="E175" s="19" t="s">
        <v>651</v>
      </c>
      <c r="F175" s="25" t="s">
        <v>208</v>
      </c>
      <c r="G175" s="25" t="s">
        <v>653</v>
      </c>
      <c r="H175" s="25" t="s">
        <v>37</v>
      </c>
      <c r="I175" s="32">
        <v>46044.0</v>
      </c>
      <c r="J175" s="15">
        <v>1.0</v>
      </c>
      <c r="K175" s="25" t="s">
        <v>38</v>
      </c>
      <c r="L175" s="28">
        <v>6000.0</v>
      </c>
      <c r="M175" s="28">
        <v>0.0</v>
      </c>
      <c r="N175" s="28">
        <v>0.0</v>
      </c>
      <c r="O175" s="28">
        <v>0.0</v>
      </c>
      <c r="P175" s="28">
        <v>0.0</v>
      </c>
      <c r="Q175" s="33"/>
      <c r="R175" s="11"/>
    </row>
    <row r="176" ht="15.75" customHeight="1">
      <c r="A176" s="13">
        <f t="shared" si="1"/>
        <v>175</v>
      </c>
      <c r="B176" s="15" t="s">
        <v>24</v>
      </c>
      <c r="C176" s="17">
        <v>1585.0</v>
      </c>
      <c r="D176" s="15" t="s">
        <v>211</v>
      </c>
      <c r="E176" s="19" t="s">
        <v>654</v>
      </c>
      <c r="F176" s="25" t="s">
        <v>356</v>
      </c>
      <c r="G176" s="25" t="s">
        <v>388</v>
      </c>
      <c r="H176" s="25" t="s">
        <v>36</v>
      </c>
      <c r="I176" s="32">
        <v>46046.0</v>
      </c>
      <c r="J176" s="15">
        <v>0.0</v>
      </c>
      <c r="K176" s="25" t="s">
        <v>57</v>
      </c>
      <c r="L176" s="28">
        <v>7500.0</v>
      </c>
      <c r="M176" s="28">
        <v>0.0</v>
      </c>
      <c r="N176" s="28">
        <v>0.0</v>
      </c>
      <c r="O176" s="28">
        <v>0.0</v>
      </c>
      <c r="P176" s="100">
        <v>0.0</v>
      </c>
      <c r="Q176" s="33"/>
      <c r="R176" s="11"/>
    </row>
    <row r="177" ht="15.75" customHeight="1">
      <c r="A177" s="13">
        <f t="shared" si="1"/>
        <v>176</v>
      </c>
      <c r="B177" s="15" t="s">
        <v>24</v>
      </c>
      <c r="C177" s="17">
        <v>1585.0</v>
      </c>
      <c r="D177" s="15" t="s">
        <v>122</v>
      </c>
      <c r="E177" s="19" t="s">
        <v>656</v>
      </c>
      <c r="F177" s="25" t="s">
        <v>191</v>
      </c>
      <c r="G177" s="25" t="s">
        <v>316</v>
      </c>
      <c r="H177" s="25" t="s">
        <v>36</v>
      </c>
      <c r="I177" s="32">
        <v>46047.0</v>
      </c>
      <c r="J177" s="15">
        <v>0.0</v>
      </c>
      <c r="K177" s="25" t="s">
        <v>38</v>
      </c>
      <c r="L177" s="28">
        <v>40000.0</v>
      </c>
      <c r="M177" s="100">
        <v>0.0</v>
      </c>
      <c r="N177" s="100">
        <v>0.0</v>
      </c>
      <c r="O177" s="100">
        <v>0.0</v>
      </c>
      <c r="P177" s="100">
        <v>0.0</v>
      </c>
      <c r="Q177" s="100"/>
      <c r="R177" s="11"/>
    </row>
    <row r="178" ht="15.75" customHeight="1">
      <c r="A178" s="13">
        <f t="shared" si="1"/>
        <v>177</v>
      </c>
      <c r="B178" s="15" t="s">
        <v>24</v>
      </c>
      <c r="C178" s="17">
        <v>1585.0</v>
      </c>
      <c r="D178" s="15" t="s">
        <v>211</v>
      </c>
      <c r="E178" s="19" t="s">
        <v>660</v>
      </c>
      <c r="F178" s="25" t="s">
        <v>208</v>
      </c>
      <c r="G178" s="25" t="s">
        <v>661</v>
      </c>
      <c r="H178" s="25" t="s">
        <v>36</v>
      </c>
      <c r="I178" s="32">
        <v>46047.0</v>
      </c>
      <c r="J178" s="15">
        <v>0.0</v>
      </c>
      <c r="K178" s="25" t="s">
        <v>57</v>
      </c>
      <c r="L178" s="28">
        <v>0.0</v>
      </c>
      <c r="M178" s="28">
        <v>0.0</v>
      </c>
      <c r="N178" s="76">
        <v>12500.0</v>
      </c>
      <c r="O178" s="76">
        <v>0.0</v>
      </c>
      <c r="P178" s="77">
        <v>0.0</v>
      </c>
      <c r="Q178" s="32">
        <v>46047.0</v>
      </c>
      <c r="R178" s="11"/>
    </row>
    <row r="179" ht="15.75" customHeight="1">
      <c r="A179" s="13">
        <f t="shared" si="1"/>
        <v>178</v>
      </c>
      <c r="B179" s="15" t="s">
        <v>24</v>
      </c>
      <c r="C179" s="17">
        <v>1585.0</v>
      </c>
      <c r="D179" s="15" t="s">
        <v>211</v>
      </c>
      <c r="E179" s="19" t="s">
        <v>662</v>
      </c>
      <c r="F179" s="25" t="s">
        <v>208</v>
      </c>
      <c r="G179" s="25" t="s">
        <v>661</v>
      </c>
      <c r="H179" s="25" t="s">
        <v>36</v>
      </c>
      <c r="I179" s="32">
        <v>46047.0</v>
      </c>
      <c r="J179" s="15">
        <v>0.0</v>
      </c>
      <c r="K179" s="25" t="s">
        <v>57</v>
      </c>
      <c r="L179" s="28">
        <v>0.0</v>
      </c>
      <c r="M179" s="28">
        <v>0.0</v>
      </c>
      <c r="N179" s="76">
        <v>0.0</v>
      </c>
      <c r="O179" s="76">
        <v>12500.0</v>
      </c>
      <c r="P179" s="77">
        <v>0.0</v>
      </c>
      <c r="Q179" s="32">
        <v>46073.0</v>
      </c>
      <c r="R179" s="11"/>
    </row>
    <row r="180" ht="15.75" customHeight="1">
      <c r="A180" s="13">
        <f t="shared" si="1"/>
        <v>179</v>
      </c>
      <c r="B180" s="15" t="s">
        <v>24</v>
      </c>
      <c r="C180" s="17">
        <v>1585.0</v>
      </c>
      <c r="D180" s="15" t="s">
        <v>122</v>
      </c>
      <c r="E180" s="19" t="s">
        <v>664</v>
      </c>
      <c r="F180" s="25" t="s">
        <v>180</v>
      </c>
      <c r="G180" s="25" t="s">
        <v>288</v>
      </c>
      <c r="H180" s="25" t="s">
        <v>36</v>
      </c>
      <c r="I180" s="32">
        <v>46047.0</v>
      </c>
      <c r="J180" s="15">
        <v>0.0</v>
      </c>
      <c r="K180" s="25" t="s">
        <v>38</v>
      </c>
      <c r="L180" s="28">
        <v>148000.0</v>
      </c>
      <c r="M180" s="28">
        <v>0.0</v>
      </c>
      <c r="N180" s="28">
        <v>0.0</v>
      </c>
      <c r="O180" s="28">
        <v>0.0</v>
      </c>
      <c r="P180" s="28">
        <v>0.0</v>
      </c>
      <c r="Q180" s="33"/>
      <c r="R180" s="11"/>
    </row>
    <row r="181" ht="15.75" customHeight="1">
      <c r="A181" s="13">
        <f t="shared" si="1"/>
        <v>180</v>
      </c>
      <c r="B181" s="15" t="s">
        <v>24</v>
      </c>
      <c r="C181" s="17">
        <v>1585.0</v>
      </c>
      <c r="D181" s="15" t="s">
        <v>122</v>
      </c>
      <c r="E181" s="19" t="s">
        <v>666</v>
      </c>
      <c r="F181" s="25" t="s">
        <v>27</v>
      </c>
      <c r="G181" s="25" t="s">
        <v>508</v>
      </c>
      <c r="H181" s="25" t="s">
        <v>36</v>
      </c>
      <c r="I181" s="32">
        <v>46047.0</v>
      </c>
      <c r="J181" s="15">
        <v>0.0</v>
      </c>
      <c r="K181" s="25" t="s">
        <v>38</v>
      </c>
      <c r="L181" s="28">
        <v>30000.0</v>
      </c>
      <c r="M181" s="28">
        <v>0.0</v>
      </c>
      <c r="N181" s="28">
        <v>0.0</v>
      </c>
      <c r="O181" s="28">
        <v>0.0</v>
      </c>
      <c r="P181" s="28">
        <v>0.0</v>
      </c>
      <c r="Q181" s="33"/>
      <c r="R181" s="11"/>
    </row>
    <row r="182" ht="15.75" customHeight="1">
      <c r="A182" s="13">
        <f t="shared" si="1"/>
        <v>181</v>
      </c>
      <c r="B182" s="15" t="s">
        <v>24</v>
      </c>
      <c r="C182" s="17">
        <v>1585.0</v>
      </c>
      <c r="D182" s="15" t="s">
        <v>122</v>
      </c>
      <c r="E182" s="19" t="s">
        <v>667</v>
      </c>
      <c r="F182" s="25" t="s">
        <v>84</v>
      </c>
      <c r="G182" s="25" t="s">
        <v>668</v>
      </c>
      <c r="H182" s="25" t="s">
        <v>36</v>
      </c>
      <c r="I182" s="32">
        <v>46050.0</v>
      </c>
      <c r="J182" s="15">
        <v>2.0</v>
      </c>
      <c r="K182" s="25" t="s">
        <v>38</v>
      </c>
      <c r="L182" s="28">
        <v>100000.0</v>
      </c>
      <c r="M182" s="28">
        <v>0.0</v>
      </c>
      <c r="N182" s="28">
        <v>0.0</v>
      </c>
      <c r="O182" s="28">
        <v>0.0</v>
      </c>
      <c r="P182" s="28">
        <v>0.0</v>
      </c>
      <c r="Q182" s="33"/>
      <c r="R182" s="11"/>
    </row>
    <row r="183" ht="15.75" customHeight="1">
      <c r="A183" s="13">
        <f t="shared" si="1"/>
        <v>182</v>
      </c>
      <c r="B183" s="15" t="s">
        <v>24</v>
      </c>
      <c r="C183" s="17">
        <v>1585.0</v>
      </c>
      <c r="D183" s="15" t="s">
        <v>122</v>
      </c>
      <c r="E183" s="19" t="s">
        <v>670</v>
      </c>
      <c r="F183" s="25" t="s">
        <v>84</v>
      </c>
      <c r="G183" s="25" t="s">
        <v>668</v>
      </c>
      <c r="H183" s="25" t="s">
        <v>36</v>
      </c>
      <c r="I183" s="32">
        <v>46050.0</v>
      </c>
      <c r="J183" s="15">
        <v>0.0</v>
      </c>
      <c r="K183" s="25" t="s">
        <v>38</v>
      </c>
      <c r="L183" s="28">
        <v>0.0</v>
      </c>
      <c r="M183" s="28">
        <v>0.0</v>
      </c>
      <c r="N183" s="28">
        <v>0.0</v>
      </c>
      <c r="O183" s="28">
        <v>50000.0</v>
      </c>
      <c r="P183" s="28">
        <v>0.0</v>
      </c>
      <c r="Q183" s="158">
        <v>46233.0</v>
      </c>
      <c r="R183" s="11"/>
    </row>
    <row r="184" ht="15.75" customHeight="1">
      <c r="A184" s="13">
        <f t="shared" si="1"/>
        <v>183</v>
      </c>
      <c r="B184" s="15" t="s">
        <v>24</v>
      </c>
      <c r="C184" s="17">
        <v>1585.0</v>
      </c>
      <c r="D184" s="15" t="s">
        <v>211</v>
      </c>
      <c r="E184" s="19" t="s">
        <v>672</v>
      </c>
      <c r="F184" s="25" t="s">
        <v>169</v>
      </c>
      <c r="G184" s="25" t="s">
        <v>484</v>
      </c>
      <c r="H184" s="25" t="s">
        <v>36</v>
      </c>
      <c r="I184" s="32">
        <v>46051.0</v>
      </c>
      <c r="J184" s="15">
        <v>0.0</v>
      </c>
      <c r="K184" s="25" t="s">
        <v>38</v>
      </c>
      <c r="L184" s="28">
        <v>0.0</v>
      </c>
      <c r="M184" s="28">
        <v>7000.0</v>
      </c>
      <c r="N184" s="28">
        <v>0.0</v>
      </c>
      <c r="O184" s="28">
        <v>0.0</v>
      </c>
      <c r="P184" s="28">
        <v>0.0</v>
      </c>
      <c r="Q184" s="33"/>
      <c r="R184" s="11"/>
    </row>
    <row r="185" ht="15.75" customHeight="1">
      <c r="A185" s="13">
        <f t="shared" si="1"/>
        <v>184</v>
      </c>
      <c r="B185" s="15" t="s">
        <v>24</v>
      </c>
      <c r="C185" s="17">
        <v>1585.0</v>
      </c>
      <c r="D185" s="15" t="s">
        <v>211</v>
      </c>
      <c r="E185" s="19" t="s">
        <v>674</v>
      </c>
      <c r="F185" s="25" t="s">
        <v>40</v>
      </c>
      <c r="G185" s="25" t="s">
        <v>627</v>
      </c>
      <c r="H185" s="25" t="s">
        <v>36</v>
      </c>
      <c r="I185" s="32">
        <v>46051.0</v>
      </c>
      <c r="J185" s="15">
        <v>0.0</v>
      </c>
      <c r="K185" s="25" t="s">
        <v>38</v>
      </c>
      <c r="L185" s="28">
        <v>50000.0</v>
      </c>
      <c r="M185" s="28">
        <v>0.0</v>
      </c>
      <c r="N185" s="28">
        <v>0.0</v>
      </c>
      <c r="O185" s="28">
        <v>0.0</v>
      </c>
      <c r="P185" s="28">
        <v>0.0</v>
      </c>
      <c r="Q185" s="33"/>
      <c r="R185" s="11"/>
    </row>
    <row r="186" ht="15.75" customHeight="1">
      <c r="A186" s="13">
        <f t="shared" si="1"/>
        <v>185</v>
      </c>
      <c r="B186" s="15" t="s">
        <v>24</v>
      </c>
      <c r="C186" s="17">
        <v>1585.0</v>
      </c>
      <c r="D186" s="15" t="s">
        <v>122</v>
      </c>
      <c r="E186" s="19" t="s">
        <v>675</v>
      </c>
      <c r="F186" s="25" t="s">
        <v>116</v>
      </c>
      <c r="G186" s="25" t="s">
        <v>117</v>
      </c>
      <c r="H186" s="25" t="s">
        <v>36</v>
      </c>
      <c r="I186" s="32">
        <v>46051.0</v>
      </c>
      <c r="J186" s="15">
        <v>1.0</v>
      </c>
      <c r="K186" s="25" t="s">
        <v>38</v>
      </c>
      <c r="L186" s="28">
        <v>5000.0</v>
      </c>
      <c r="M186" s="28">
        <v>0.0</v>
      </c>
      <c r="N186" s="28">
        <v>0.0</v>
      </c>
      <c r="O186" s="28">
        <v>0.0</v>
      </c>
      <c r="P186" s="28">
        <v>0.0</v>
      </c>
      <c r="Q186" s="33"/>
      <c r="R186" s="11"/>
    </row>
    <row r="187" ht="15.75" customHeight="1">
      <c r="A187" s="13">
        <f t="shared" si="1"/>
        <v>186</v>
      </c>
      <c r="B187" s="15" t="s">
        <v>24</v>
      </c>
      <c r="C187" s="17">
        <v>1585.0</v>
      </c>
      <c r="D187" s="15" t="s">
        <v>122</v>
      </c>
      <c r="E187" s="19" t="s">
        <v>677</v>
      </c>
      <c r="F187" s="25" t="s">
        <v>184</v>
      </c>
      <c r="G187" s="25" t="s">
        <v>679</v>
      </c>
      <c r="H187" s="25" t="s">
        <v>36</v>
      </c>
      <c r="I187" s="32">
        <v>46051.0</v>
      </c>
      <c r="J187" s="15">
        <v>2.0</v>
      </c>
      <c r="K187" s="25" t="s">
        <v>38</v>
      </c>
      <c r="L187" s="28">
        <v>1000.0</v>
      </c>
      <c r="M187" s="28">
        <v>0.0</v>
      </c>
      <c r="N187" s="28">
        <v>0.0</v>
      </c>
      <c r="O187" s="28">
        <v>0.0</v>
      </c>
      <c r="P187" s="28">
        <v>0.0</v>
      </c>
      <c r="Q187" s="33"/>
      <c r="R187" s="11"/>
    </row>
    <row r="188" ht="15.75" customHeight="1">
      <c r="A188" s="13">
        <f t="shared" si="1"/>
        <v>187</v>
      </c>
      <c r="B188" s="15" t="s">
        <v>24</v>
      </c>
      <c r="C188" s="17">
        <v>1585.0</v>
      </c>
      <c r="D188" s="15" t="s">
        <v>122</v>
      </c>
      <c r="E188" s="19" t="s">
        <v>680</v>
      </c>
      <c r="F188" s="25" t="s">
        <v>44</v>
      </c>
      <c r="G188" s="25" t="s">
        <v>478</v>
      </c>
      <c r="H188" s="25" t="s">
        <v>37</v>
      </c>
      <c r="I188" s="32">
        <v>46051.0</v>
      </c>
      <c r="J188" s="15">
        <v>1.0</v>
      </c>
      <c r="K188" s="25" t="s">
        <v>38</v>
      </c>
      <c r="L188" s="28">
        <v>1000.0</v>
      </c>
      <c r="M188" s="28">
        <v>0.0</v>
      </c>
      <c r="N188" s="28">
        <v>0.0</v>
      </c>
      <c r="O188" s="28">
        <v>0.0</v>
      </c>
      <c r="P188" s="28">
        <v>0.0</v>
      </c>
      <c r="Q188" s="33"/>
      <c r="R188" s="11"/>
    </row>
    <row r="189" ht="15.75" customHeight="1">
      <c r="A189" s="13">
        <f t="shared" si="1"/>
        <v>188</v>
      </c>
      <c r="B189" s="15" t="s">
        <v>24</v>
      </c>
      <c r="C189" s="17">
        <v>1585.0</v>
      </c>
      <c r="D189" s="15" t="s">
        <v>122</v>
      </c>
      <c r="E189" s="19" t="s">
        <v>682</v>
      </c>
      <c r="F189" s="25" t="s">
        <v>44</v>
      </c>
      <c r="G189" s="25" t="s">
        <v>478</v>
      </c>
      <c r="H189" s="25" t="s">
        <v>36</v>
      </c>
      <c r="I189" s="32">
        <v>46051.0</v>
      </c>
      <c r="J189" s="15">
        <v>1.0</v>
      </c>
      <c r="K189" s="25" t="s">
        <v>38</v>
      </c>
      <c r="L189" s="28">
        <v>1000.0</v>
      </c>
      <c r="M189" s="28">
        <v>0.0</v>
      </c>
      <c r="N189" s="28">
        <v>0.0</v>
      </c>
      <c r="O189" s="28">
        <v>0.0</v>
      </c>
      <c r="P189" s="28">
        <v>0.0</v>
      </c>
      <c r="Q189" s="33"/>
      <c r="R189" s="11"/>
    </row>
    <row r="190" ht="15.75" customHeight="1">
      <c r="A190" s="13">
        <f t="shared" si="1"/>
        <v>189</v>
      </c>
      <c r="B190" s="15" t="s">
        <v>24</v>
      </c>
      <c r="C190" s="17">
        <v>1585.0</v>
      </c>
      <c r="D190" s="15" t="s">
        <v>122</v>
      </c>
      <c r="E190" s="19" t="s">
        <v>685</v>
      </c>
      <c r="F190" s="25" t="s">
        <v>44</v>
      </c>
      <c r="G190" s="25" t="s">
        <v>493</v>
      </c>
      <c r="H190" s="25" t="s">
        <v>37</v>
      </c>
      <c r="I190" s="32">
        <v>46051.0</v>
      </c>
      <c r="J190" s="15">
        <v>1.0</v>
      </c>
      <c r="K190" s="25" t="s">
        <v>38</v>
      </c>
      <c r="L190" s="28">
        <v>1000.0</v>
      </c>
      <c r="M190" s="28">
        <v>0.0</v>
      </c>
      <c r="N190" s="28">
        <v>0.0</v>
      </c>
      <c r="O190" s="28">
        <v>0.0</v>
      </c>
      <c r="P190" s="28">
        <v>0.0</v>
      </c>
      <c r="Q190" s="33"/>
      <c r="R190" s="11"/>
    </row>
    <row r="191" ht="15.75" customHeight="1">
      <c r="A191" s="13">
        <f t="shared" si="1"/>
        <v>190</v>
      </c>
      <c r="B191" s="15" t="s">
        <v>24</v>
      </c>
      <c r="C191" s="17">
        <v>1585.0</v>
      </c>
      <c r="D191" s="154" t="s">
        <v>644</v>
      </c>
      <c r="E191" s="19" t="s">
        <v>687</v>
      </c>
      <c r="F191" s="99" t="s">
        <v>647</v>
      </c>
      <c r="G191" s="99" t="s">
        <v>688</v>
      </c>
      <c r="H191" s="99" t="s">
        <v>36</v>
      </c>
      <c r="I191" s="156">
        <v>46051.0</v>
      </c>
      <c r="J191" s="154">
        <v>1.0</v>
      </c>
      <c r="K191" s="99" t="s">
        <v>38</v>
      </c>
      <c r="L191" s="157">
        <v>0.0</v>
      </c>
      <c r="M191" s="157">
        <v>0.0</v>
      </c>
      <c r="N191" s="157">
        <v>20000.0</v>
      </c>
      <c r="O191" s="157">
        <v>0.0</v>
      </c>
      <c r="P191" s="157">
        <v>0.0</v>
      </c>
      <c r="Q191" s="33"/>
      <c r="R191" s="11"/>
    </row>
    <row r="192" ht="15.75" customHeight="1">
      <c r="A192" s="13">
        <f t="shared" si="1"/>
        <v>191</v>
      </c>
      <c r="B192" s="15" t="s">
        <v>24</v>
      </c>
      <c r="C192" s="17">
        <v>1585.0</v>
      </c>
      <c r="D192" s="154" t="s">
        <v>644</v>
      </c>
      <c r="E192" s="19" t="s">
        <v>690</v>
      </c>
      <c r="F192" s="99" t="s">
        <v>647</v>
      </c>
      <c r="G192" s="99" t="s">
        <v>648</v>
      </c>
      <c r="H192" s="99" t="s">
        <v>36</v>
      </c>
      <c r="I192" s="156">
        <v>46051.0</v>
      </c>
      <c r="J192" s="154">
        <v>0.0</v>
      </c>
      <c r="K192" s="99" t="s">
        <v>38</v>
      </c>
      <c r="L192" s="157">
        <v>0.0</v>
      </c>
      <c r="M192" s="157">
        <v>0.0</v>
      </c>
      <c r="N192" s="157">
        <v>100000.0</v>
      </c>
      <c r="O192" s="157">
        <v>0.0</v>
      </c>
      <c r="P192" s="157">
        <v>0.0</v>
      </c>
      <c r="Q192" s="33"/>
      <c r="R192" s="11"/>
    </row>
    <row r="193" ht="15.75" customHeight="1">
      <c r="A193" s="13">
        <f t="shared" si="1"/>
        <v>192</v>
      </c>
      <c r="B193" s="15" t="s">
        <v>24</v>
      </c>
      <c r="C193" s="17">
        <v>1585.0</v>
      </c>
      <c r="D193" s="15" t="s">
        <v>211</v>
      </c>
      <c r="E193" s="19" t="s">
        <v>692</v>
      </c>
      <c r="F193" s="25" t="s">
        <v>514</v>
      </c>
      <c r="G193" s="25" t="s">
        <v>64</v>
      </c>
      <c r="H193" s="25" t="s">
        <v>36</v>
      </c>
      <c r="I193" s="32">
        <v>46053.0</v>
      </c>
      <c r="J193" s="15">
        <v>0.0</v>
      </c>
      <c r="K193" s="25" t="s">
        <v>57</v>
      </c>
      <c r="L193" s="100">
        <v>0.0</v>
      </c>
      <c r="M193" s="28">
        <v>7500.0</v>
      </c>
      <c r="N193" s="100">
        <v>0.0</v>
      </c>
      <c r="O193" s="100">
        <v>0.0</v>
      </c>
      <c r="P193" s="100">
        <v>0.0</v>
      </c>
      <c r="Q193" s="33"/>
      <c r="R193" s="11"/>
    </row>
    <row r="194" ht="15.75" customHeight="1">
      <c r="A194" s="13">
        <f t="shared" si="1"/>
        <v>193</v>
      </c>
      <c r="B194" s="15" t="s">
        <v>24</v>
      </c>
      <c r="C194" s="17">
        <v>1585.0</v>
      </c>
      <c r="D194" s="15" t="s">
        <v>122</v>
      </c>
      <c r="E194" s="19" t="s">
        <v>694</v>
      </c>
      <c r="F194" s="25" t="s">
        <v>221</v>
      </c>
      <c r="G194" s="25" t="s">
        <v>189</v>
      </c>
      <c r="H194" s="25" t="s">
        <v>36</v>
      </c>
      <c r="I194" s="32">
        <v>46053.0</v>
      </c>
      <c r="J194" s="15">
        <v>0.0</v>
      </c>
      <c r="K194" s="25" t="s">
        <v>57</v>
      </c>
      <c r="L194" s="28">
        <v>7000.0</v>
      </c>
      <c r="M194" s="28">
        <v>0.0</v>
      </c>
      <c r="N194" s="28">
        <v>0.0</v>
      </c>
      <c r="O194" s="28">
        <v>0.0</v>
      </c>
      <c r="P194" s="28">
        <v>0.0</v>
      </c>
      <c r="Q194" s="33"/>
      <c r="R194" s="11"/>
    </row>
    <row r="195" ht="15.75" customHeight="1">
      <c r="A195" s="13">
        <f t="shared" si="1"/>
        <v>194</v>
      </c>
      <c r="B195" s="15" t="s">
        <v>24</v>
      </c>
      <c r="C195" s="17">
        <v>1585.0</v>
      </c>
      <c r="D195" s="15" t="s">
        <v>122</v>
      </c>
      <c r="E195" s="19" t="s">
        <v>696</v>
      </c>
      <c r="F195" s="25" t="s">
        <v>488</v>
      </c>
      <c r="G195" s="25" t="s">
        <v>697</v>
      </c>
      <c r="H195" s="25" t="s">
        <v>36</v>
      </c>
      <c r="I195" s="32">
        <v>46056.0</v>
      </c>
      <c r="J195" s="15">
        <v>0.0</v>
      </c>
      <c r="K195" s="25" t="s">
        <v>38</v>
      </c>
      <c r="L195" s="28">
        <v>20000.0</v>
      </c>
      <c r="M195" s="28">
        <v>0.0</v>
      </c>
      <c r="N195" s="28">
        <v>0.0</v>
      </c>
      <c r="O195" s="28">
        <v>0.0</v>
      </c>
      <c r="P195" s="28">
        <v>0.0</v>
      </c>
      <c r="Q195" s="33"/>
      <c r="R195" s="11"/>
    </row>
    <row r="196" ht="15.75" customHeight="1">
      <c r="A196" s="13">
        <f t="shared" si="1"/>
        <v>195</v>
      </c>
      <c r="B196" s="15" t="s">
        <v>24</v>
      </c>
      <c r="C196" s="17">
        <v>1585.0</v>
      </c>
      <c r="D196" s="15" t="s">
        <v>122</v>
      </c>
      <c r="E196" s="19" t="s">
        <v>699</v>
      </c>
      <c r="F196" s="25" t="s">
        <v>92</v>
      </c>
      <c r="G196" s="25" t="s">
        <v>700</v>
      </c>
      <c r="H196" s="25" t="s">
        <v>36</v>
      </c>
      <c r="I196" s="32">
        <v>46053.0</v>
      </c>
      <c r="J196" s="15">
        <v>1.0</v>
      </c>
      <c r="K196" s="25" t="s">
        <v>38</v>
      </c>
      <c r="L196" s="28">
        <v>0.0</v>
      </c>
      <c r="M196" s="28">
        <v>0.0</v>
      </c>
      <c r="N196" s="28">
        <v>0.0</v>
      </c>
      <c r="O196" s="28">
        <v>0.0</v>
      </c>
      <c r="P196" s="28">
        <v>100000.0</v>
      </c>
      <c r="Q196" s="33">
        <v>46068.0</v>
      </c>
      <c r="R196" s="11"/>
    </row>
    <row r="197" ht="15.75" customHeight="1">
      <c r="A197" s="13">
        <f t="shared" si="1"/>
        <v>196</v>
      </c>
      <c r="B197" s="15" t="s">
        <v>24</v>
      </c>
      <c r="C197" s="17">
        <v>1585.0</v>
      </c>
      <c r="D197" s="15" t="s">
        <v>122</v>
      </c>
      <c r="E197" s="19" t="s">
        <v>702</v>
      </c>
      <c r="F197" s="25" t="s">
        <v>116</v>
      </c>
      <c r="G197" s="25" t="s">
        <v>117</v>
      </c>
      <c r="H197" s="25" t="s">
        <v>36</v>
      </c>
      <c r="I197" s="30">
        <v>46055.0</v>
      </c>
      <c r="J197" s="15">
        <v>0.0</v>
      </c>
      <c r="K197" s="25" t="s">
        <v>38</v>
      </c>
      <c r="L197" s="28">
        <v>0.0</v>
      </c>
      <c r="M197" s="28">
        <v>0.0</v>
      </c>
      <c r="N197" s="28">
        <v>0.0</v>
      </c>
      <c r="O197" s="28">
        <v>150000.0</v>
      </c>
      <c r="P197" s="28">
        <v>0.0</v>
      </c>
      <c r="Q197" s="33">
        <v>46091.0</v>
      </c>
      <c r="R197" s="11"/>
    </row>
    <row r="198" ht="15.75" customHeight="1">
      <c r="A198" s="13">
        <f t="shared" si="1"/>
        <v>197</v>
      </c>
      <c r="B198" s="15" t="s">
        <v>24</v>
      </c>
      <c r="C198" s="17">
        <v>1585.0</v>
      </c>
      <c r="D198" s="15" t="s">
        <v>122</v>
      </c>
      <c r="E198" s="19" t="s">
        <v>704</v>
      </c>
      <c r="F198" s="25" t="s">
        <v>116</v>
      </c>
      <c r="G198" s="25" t="s">
        <v>117</v>
      </c>
      <c r="H198" s="25" t="s">
        <v>36</v>
      </c>
      <c r="I198" s="30">
        <v>46055.0</v>
      </c>
      <c r="J198" s="15">
        <v>0.0</v>
      </c>
      <c r="K198" s="25" t="s">
        <v>38</v>
      </c>
      <c r="L198" s="28">
        <v>45000.0</v>
      </c>
      <c r="M198" s="28">
        <v>0.0</v>
      </c>
      <c r="N198" s="28">
        <v>0.0</v>
      </c>
      <c r="O198" s="28">
        <v>0.0</v>
      </c>
      <c r="P198" s="28">
        <v>0.0</v>
      </c>
      <c r="Q198" s="33"/>
      <c r="R198" s="11"/>
    </row>
    <row r="199" ht="15.75" customHeight="1">
      <c r="A199" s="13">
        <f t="shared" si="1"/>
        <v>198</v>
      </c>
      <c r="B199" s="15" t="s">
        <v>24</v>
      </c>
      <c r="C199" s="17">
        <v>1585.0</v>
      </c>
      <c r="D199" s="15" t="s">
        <v>122</v>
      </c>
      <c r="E199" s="19" t="s">
        <v>706</v>
      </c>
      <c r="F199" s="25" t="s">
        <v>44</v>
      </c>
      <c r="G199" s="25" t="s">
        <v>478</v>
      </c>
      <c r="H199" s="25" t="s">
        <v>36</v>
      </c>
      <c r="I199" s="30">
        <v>46054.0</v>
      </c>
      <c r="J199" s="15">
        <v>0.0</v>
      </c>
      <c r="K199" s="25" t="s">
        <v>38</v>
      </c>
      <c r="L199" s="28">
        <v>0.0</v>
      </c>
      <c r="M199" s="28">
        <v>100000.0</v>
      </c>
      <c r="N199" s="28">
        <v>0.0</v>
      </c>
      <c r="O199" s="28">
        <v>0.0</v>
      </c>
      <c r="P199" s="28">
        <v>0.0</v>
      </c>
      <c r="Q199" s="33"/>
      <c r="R199" s="11"/>
    </row>
    <row r="200" ht="15.75" customHeight="1">
      <c r="A200" s="13">
        <f t="shared" si="1"/>
        <v>199</v>
      </c>
      <c r="B200" s="15" t="s">
        <v>24</v>
      </c>
      <c r="C200" s="17">
        <v>1585.0</v>
      </c>
      <c r="D200" s="15" t="s">
        <v>122</v>
      </c>
      <c r="E200" s="19" t="s">
        <v>708</v>
      </c>
      <c r="F200" s="25" t="s">
        <v>44</v>
      </c>
      <c r="G200" s="25" t="s">
        <v>478</v>
      </c>
      <c r="H200" s="25" t="s">
        <v>37</v>
      </c>
      <c r="I200" s="30">
        <v>46054.0</v>
      </c>
      <c r="J200" s="15">
        <v>0.0</v>
      </c>
      <c r="K200" s="25" t="s">
        <v>38</v>
      </c>
      <c r="L200" s="28">
        <v>0.0</v>
      </c>
      <c r="M200" s="28">
        <v>25000.0</v>
      </c>
      <c r="N200" s="28">
        <v>0.0</v>
      </c>
      <c r="O200" s="28">
        <v>0.0</v>
      </c>
      <c r="P200" s="28">
        <v>0.0</v>
      </c>
      <c r="Q200" s="33"/>
      <c r="R200" s="11"/>
    </row>
    <row r="201" ht="15.75" customHeight="1">
      <c r="A201" s="13">
        <f t="shared" si="1"/>
        <v>200</v>
      </c>
      <c r="B201" s="15" t="s">
        <v>24</v>
      </c>
      <c r="C201" s="17">
        <v>1585.0</v>
      </c>
      <c r="D201" s="15" t="s">
        <v>122</v>
      </c>
      <c r="E201" s="19" t="s">
        <v>709</v>
      </c>
      <c r="F201" s="25" t="s">
        <v>44</v>
      </c>
      <c r="G201" s="25" t="s">
        <v>493</v>
      </c>
      <c r="H201" s="25" t="s">
        <v>37</v>
      </c>
      <c r="I201" s="30">
        <v>46054.0</v>
      </c>
      <c r="J201" s="15">
        <v>0.0</v>
      </c>
      <c r="K201" s="25" t="s">
        <v>38</v>
      </c>
      <c r="L201" s="28">
        <v>0.0</v>
      </c>
      <c r="M201" s="28">
        <v>25000.0</v>
      </c>
      <c r="N201" s="28">
        <v>0.0</v>
      </c>
      <c r="O201" s="28">
        <v>0.0</v>
      </c>
      <c r="P201" s="28">
        <v>0.0</v>
      </c>
      <c r="Q201" s="33"/>
      <c r="R201" s="11"/>
    </row>
    <row r="202" ht="15.75" customHeight="1">
      <c r="A202" s="13">
        <f t="shared" si="1"/>
        <v>201</v>
      </c>
      <c r="B202" s="15" t="s">
        <v>24</v>
      </c>
      <c r="C202" s="17">
        <v>1613.0</v>
      </c>
      <c r="D202" s="15" t="s">
        <v>122</v>
      </c>
      <c r="E202" s="19" t="s">
        <v>711</v>
      </c>
      <c r="F202" s="25" t="s">
        <v>27</v>
      </c>
      <c r="G202" s="25" t="s">
        <v>283</v>
      </c>
      <c r="H202" s="25" t="s">
        <v>36</v>
      </c>
      <c r="I202" s="30">
        <v>46054.0</v>
      </c>
      <c r="J202" s="15">
        <v>0.0</v>
      </c>
      <c r="K202" s="25" t="s">
        <v>38</v>
      </c>
      <c r="L202" s="28">
        <v>0.0</v>
      </c>
      <c r="M202" s="28">
        <v>100000.0</v>
      </c>
      <c r="N202" s="28">
        <v>0.0</v>
      </c>
      <c r="O202" s="28">
        <v>0.0</v>
      </c>
      <c r="P202" s="28">
        <v>0.0</v>
      </c>
      <c r="Q202" s="33"/>
      <c r="R202" s="11"/>
    </row>
    <row r="203" ht="15.75" customHeight="1">
      <c r="A203" s="13">
        <f t="shared" si="1"/>
        <v>202</v>
      </c>
      <c r="B203" s="15" t="s">
        <v>24</v>
      </c>
      <c r="C203" s="17">
        <v>1613.0</v>
      </c>
      <c r="D203" s="15" t="s">
        <v>122</v>
      </c>
      <c r="E203" s="19" t="s">
        <v>714</v>
      </c>
      <c r="F203" s="25" t="s">
        <v>487</v>
      </c>
      <c r="G203" s="25" t="s">
        <v>488</v>
      </c>
      <c r="H203" s="25" t="s">
        <v>36</v>
      </c>
      <c r="I203" s="30">
        <v>46056.0</v>
      </c>
      <c r="J203" s="15">
        <v>0.0</v>
      </c>
      <c r="K203" s="25" t="s">
        <v>57</v>
      </c>
      <c r="L203" s="28">
        <v>10000.0</v>
      </c>
      <c r="M203" s="28">
        <v>0.0</v>
      </c>
      <c r="N203" s="28">
        <v>0.0</v>
      </c>
      <c r="O203" s="28">
        <v>0.0</v>
      </c>
      <c r="P203" s="28">
        <v>0.0</v>
      </c>
      <c r="Q203" s="33"/>
      <c r="R203" s="11"/>
    </row>
    <row r="204" ht="15.75" customHeight="1">
      <c r="A204" s="13">
        <f t="shared" si="1"/>
        <v>203</v>
      </c>
      <c r="B204" s="15" t="s">
        <v>24</v>
      </c>
      <c r="C204" s="17">
        <v>1613.0</v>
      </c>
      <c r="D204" s="15" t="s">
        <v>122</v>
      </c>
      <c r="E204" s="19" t="s">
        <v>716</v>
      </c>
      <c r="F204" s="25" t="s">
        <v>27</v>
      </c>
      <c r="G204" s="25" t="s">
        <v>717</v>
      </c>
      <c r="H204" s="25" t="s">
        <v>36</v>
      </c>
      <c r="I204" s="30">
        <v>46058.0</v>
      </c>
      <c r="J204" s="15">
        <v>0.0</v>
      </c>
      <c r="K204" s="25" t="s">
        <v>38</v>
      </c>
      <c r="L204" s="28">
        <v>25000.0</v>
      </c>
      <c r="M204" s="28">
        <v>0.0</v>
      </c>
      <c r="N204" s="28">
        <v>0.0</v>
      </c>
      <c r="O204" s="28">
        <v>0.0</v>
      </c>
      <c r="P204" s="28">
        <v>0.0</v>
      </c>
      <c r="Q204" s="33"/>
      <c r="R204" s="11"/>
    </row>
    <row r="205" ht="15.75" customHeight="1">
      <c r="A205" s="13">
        <f t="shared" si="1"/>
        <v>204</v>
      </c>
      <c r="B205" s="15" t="s">
        <v>24</v>
      </c>
      <c r="C205" s="17">
        <v>1613.0</v>
      </c>
      <c r="D205" s="15" t="s">
        <v>122</v>
      </c>
      <c r="E205" s="19" t="s">
        <v>719</v>
      </c>
      <c r="F205" s="25" t="s">
        <v>27</v>
      </c>
      <c r="G205" s="25" t="s">
        <v>717</v>
      </c>
      <c r="H205" s="25" t="s">
        <v>37</v>
      </c>
      <c r="I205" s="30">
        <v>46058.0</v>
      </c>
      <c r="J205" s="15">
        <v>0.0</v>
      </c>
      <c r="K205" s="25" t="s">
        <v>38</v>
      </c>
      <c r="L205" s="28">
        <v>25000.0</v>
      </c>
      <c r="M205" s="28">
        <v>0.0</v>
      </c>
      <c r="N205" s="28">
        <v>0.0</v>
      </c>
      <c r="O205" s="28">
        <v>0.0</v>
      </c>
      <c r="P205" s="28">
        <v>0.0</v>
      </c>
      <c r="Q205" s="33"/>
      <c r="R205" s="11"/>
    </row>
    <row r="206" ht="15.75" customHeight="1">
      <c r="A206" s="13">
        <f t="shared" si="1"/>
        <v>205</v>
      </c>
      <c r="B206" s="15" t="s">
        <v>24</v>
      </c>
      <c r="C206" s="17">
        <v>1613.0</v>
      </c>
      <c r="D206" s="15" t="s">
        <v>211</v>
      </c>
      <c r="E206" s="19" t="s">
        <v>720</v>
      </c>
      <c r="F206" s="25" t="s">
        <v>722</v>
      </c>
      <c r="G206" s="25" t="s">
        <v>723</v>
      </c>
      <c r="H206" s="25" t="s">
        <v>37</v>
      </c>
      <c r="I206" s="30">
        <v>46058.0</v>
      </c>
      <c r="J206" s="15">
        <v>1.0</v>
      </c>
      <c r="K206" s="25" t="s">
        <v>38</v>
      </c>
      <c r="L206" s="28">
        <v>2000.0</v>
      </c>
      <c r="M206" s="28">
        <v>0.0</v>
      </c>
      <c r="N206" s="28">
        <v>0.0</v>
      </c>
      <c r="O206" s="28">
        <v>0.0</v>
      </c>
      <c r="P206" s="28">
        <v>0.0</v>
      </c>
      <c r="Q206" s="33"/>
      <c r="R206" s="11"/>
    </row>
    <row r="207" ht="15.75" customHeight="1">
      <c r="A207" s="13">
        <f t="shared" si="1"/>
        <v>206</v>
      </c>
      <c r="B207" s="15" t="s">
        <v>24</v>
      </c>
      <c r="C207" s="17">
        <v>1613.0</v>
      </c>
      <c r="D207" s="15" t="s">
        <v>122</v>
      </c>
      <c r="E207" s="19" t="s">
        <v>725</v>
      </c>
      <c r="F207" s="25" t="s">
        <v>726</v>
      </c>
      <c r="G207" s="25" t="s">
        <v>727</v>
      </c>
      <c r="H207" s="25" t="s">
        <v>36</v>
      </c>
      <c r="I207" s="30">
        <v>46058.0</v>
      </c>
      <c r="J207" s="15">
        <v>2.0</v>
      </c>
      <c r="K207" s="25" t="s">
        <v>38</v>
      </c>
      <c r="L207" s="28">
        <v>1000.0</v>
      </c>
      <c r="M207" s="28">
        <v>0.0</v>
      </c>
      <c r="N207" s="28">
        <v>0.0</v>
      </c>
      <c r="O207" s="28">
        <v>0.0</v>
      </c>
      <c r="P207" s="28">
        <v>0.0</v>
      </c>
      <c r="Q207" s="33"/>
      <c r="R207" s="11"/>
    </row>
    <row r="208" ht="15.75" customHeight="1">
      <c r="A208" s="13">
        <f t="shared" si="1"/>
        <v>207</v>
      </c>
      <c r="B208" s="15" t="s">
        <v>24</v>
      </c>
      <c r="C208" s="17">
        <v>1613.0</v>
      </c>
      <c r="D208" s="15" t="s">
        <v>122</v>
      </c>
      <c r="E208" s="19" t="s">
        <v>728</v>
      </c>
      <c r="F208" s="25" t="s">
        <v>60</v>
      </c>
      <c r="G208" s="25" t="s">
        <v>161</v>
      </c>
      <c r="H208" s="25" t="s">
        <v>36</v>
      </c>
      <c r="I208" s="30">
        <v>46060.0</v>
      </c>
      <c r="J208" s="15">
        <v>0.0</v>
      </c>
      <c r="K208" s="25" t="s">
        <v>57</v>
      </c>
      <c r="L208" s="28">
        <v>7300.0</v>
      </c>
      <c r="M208" s="28">
        <v>0.0</v>
      </c>
      <c r="N208" s="28">
        <v>0.0</v>
      </c>
      <c r="O208" s="28">
        <v>0.0</v>
      </c>
      <c r="P208" s="28">
        <v>0.0</v>
      </c>
      <c r="Q208" s="33"/>
      <c r="R208" s="11"/>
    </row>
    <row r="209" ht="15.75" customHeight="1">
      <c r="A209" s="13">
        <f t="shared" si="1"/>
        <v>208</v>
      </c>
      <c r="B209" s="15" t="s">
        <v>24</v>
      </c>
      <c r="C209" s="17">
        <v>1613.0</v>
      </c>
      <c r="D209" s="15" t="s">
        <v>211</v>
      </c>
      <c r="E209" s="19" t="s">
        <v>730</v>
      </c>
      <c r="F209" s="25" t="s">
        <v>731</v>
      </c>
      <c r="G209" s="25" t="s">
        <v>733</v>
      </c>
      <c r="H209" s="25" t="s">
        <v>37</v>
      </c>
      <c r="I209" s="30">
        <v>46058.0</v>
      </c>
      <c r="J209" s="15">
        <v>2.0</v>
      </c>
      <c r="K209" s="25" t="s">
        <v>38</v>
      </c>
      <c r="L209" s="28">
        <v>0.0</v>
      </c>
      <c r="M209" s="28">
        <v>100000.0</v>
      </c>
      <c r="N209" s="28">
        <v>0.0</v>
      </c>
      <c r="O209" s="28">
        <v>0.0</v>
      </c>
      <c r="P209" s="28">
        <v>0.0</v>
      </c>
      <c r="Q209" s="33"/>
      <c r="R209" s="11"/>
    </row>
    <row r="210" ht="15.75" customHeight="1">
      <c r="A210" s="13">
        <f t="shared" si="1"/>
        <v>209</v>
      </c>
      <c r="B210" s="15" t="s">
        <v>24</v>
      </c>
      <c r="C210" s="17">
        <v>1613.0</v>
      </c>
      <c r="D210" s="154" t="s">
        <v>644</v>
      </c>
      <c r="E210" s="19" t="s">
        <v>735</v>
      </c>
      <c r="F210" s="99" t="s">
        <v>647</v>
      </c>
      <c r="G210" s="99" t="s">
        <v>648</v>
      </c>
      <c r="H210" s="99" t="s">
        <v>36</v>
      </c>
      <c r="I210" s="156">
        <v>46060.0</v>
      </c>
      <c r="J210" s="154">
        <v>0.0</v>
      </c>
      <c r="K210" s="99" t="s">
        <v>38</v>
      </c>
      <c r="L210" s="157">
        <v>0.0</v>
      </c>
      <c r="M210" s="157">
        <v>200000.0</v>
      </c>
      <c r="N210" s="157">
        <v>0.0</v>
      </c>
      <c r="O210" s="157">
        <v>0.0</v>
      </c>
      <c r="P210" s="157">
        <v>0.0</v>
      </c>
      <c r="Q210" s="33"/>
      <c r="R210" s="11"/>
    </row>
    <row r="211" ht="15.75" customHeight="1">
      <c r="A211" s="13">
        <f t="shared" si="1"/>
        <v>210</v>
      </c>
      <c r="B211" s="15" t="s">
        <v>24</v>
      </c>
      <c r="C211" s="17">
        <v>1613.0</v>
      </c>
      <c r="D211" s="15" t="s">
        <v>122</v>
      </c>
      <c r="E211" s="19" t="s">
        <v>737</v>
      </c>
      <c r="F211" s="25" t="s">
        <v>44</v>
      </c>
      <c r="G211" s="25" t="s">
        <v>45</v>
      </c>
      <c r="H211" s="25" t="s">
        <v>36</v>
      </c>
      <c r="I211" s="30">
        <v>46061.0</v>
      </c>
      <c r="J211" s="15">
        <v>0.0</v>
      </c>
      <c r="K211" s="25" t="s">
        <v>57</v>
      </c>
      <c r="L211" s="28">
        <v>8000.0</v>
      </c>
      <c r="M211" s="28">
        <v>0.0</v>
      </c>
      <c r="N211" s="28">
        <v>0.0</v>
      </c>
      <c r="O211" s="28">
        <v>0.0</v>
      </c>
      <c r="P211" s="28">
        <v>0.0</v>
      </c>
      <c r="Q211" s="33"/>
      <c r="R211" s="11"/>
    </row>
    <row r="212" ht="15.75" customHeight="1">
      <c r="A212" s="13">
        <f t="shared" si="1"/>
        <v>211</v>
      </c>
      <c r="B212" s="15" t="s">
        <v>24</v>
      </c>
      <c r="C212" s="17">
        <v>1613.0</v>
      </c>
      <c r="D212" s="15" t="s">
        <v>211</v>
      </c>
      <c r="E212" s="19" t="s">
        <v>739</v>
      </c>
      <c r="F212" s="25" t="s">
        <v>40</v>
      </c>
      <c r="G212" s="25" t="s">
        <v>41</v>
      </c>
      <c r="H212" s="25" t="s">
        <v>36</v>
      </c>
      <c r="I212" s="30">
        <v>46062.0</v>
      </c>
      <c r="J212" s="15">
        <v>0.0</v>
      </c>
      <c r="K212" s="25" t="s">
        <v>38</v>
      </c>
      <c r="L212" s="28">
        <v>20000.0</v>
      </c>
      <c r="M212" s="28">
        <v>0.0</v>
      </c>
      <c r="N212" s="28">
        <v>0.0</v>
      </c>
      <c r="O212" s="28">
        <v>0.0</v>
      </c>
      <c r="P212" s="28">
        <v>0.0</v>
      </c>
      <c r="Q212" s="33"/>
      <c r="R212" s="11"/>
    </row>
    <row r="213" ht="15.75" customHeight="1">
      <c r="A213" s="13">
        <f t="shared" si="1"/>
        <v>212</v>
      </c>
      <c r="B213" s="15" t="s">
        <v>24</v>
      </c>
      <c r="C213" s="17">
        <v>1613.0</v>
      </c>
      <c r="D213" s="15" t="s">
        <v>122</v>
      </c>
      <c r="E213" s="19" t="s">
        <v>741</v>
      </c>
      <c r="F213" s="25" t="s">
        <v>92</v>
      </c>
      <c r="G213" s="25" t="s">
        <v>742</v>
      </c>
      <c r="H213" s="25" t="s">
        <v>37</v>
      </c>
      <c r="I213" s="30">
        <v>46061.0</v>
      </c>
      <c r="J213" s="15">
        <v>2.0</v>
      </c>
      <c r="K213" s="25" t="s">
        <v>38</v>
      </c>
      <c r="L213" s="28">
        <v>5000.0</v>
      </c>
      <c r="M213" s="28">
        <v>0.0</v>
      </c>
      <c r="N213" s="28">
        <v>0.0</v>
      </c>
      <c r="O213" s="28">
        <v>0.0</v>
      </c>
      <c r="P213" s="28">
        <v>0.0</v>
      </c>
      <c r="Q213" s="33"/>
      <c r="R213" s="11"/>
    </row>
    <row r="214" ht="15.75" customHeight="1">
      <c r="A214" s="13">
        <f t="shared" si="1"/>
        <v>213</v>
      </c>
      <c r="B214" s="15" t="s">
        <v>24</v>
      </c>
      <c r="C214" s="17">
        <v>1613.0</v>
      </c>
      <c r="D214" s="15" t="s">
        <v>211</v>
      </c>
      <c r="E214" s="19" t="s">
        <v>744</v>
      </c>
      <c r="F214" s="25" t="s">
        <v>208</v>
      </c>
      <c r="G214" s="25" t="s">
        <v>653</v>
      </c>
      <c r="H214" s="25" t="s">
        <v>37</v>
      </c>
      <c r="I214" s="30">
        <v>46063.0</v>
      </c>
      <c r="J214" s="15">
        <v>0.0</v>
      </c>
      <c r="K214" s="25" t="s">
        <v>38</v>
      </c>
      <c r="L214" s="28">
        <v>16000.0</v>
      </c>
      <c r="M214" s="28">
        <v>0.0</v>
      </c>
      <c r="N214" s="28">
        <v>0.0</v>
      </c>
      <c r="O214" s="28">
        <v>0.0</v>
      </c>
      <c r="P214" s="28">
        <v>0.0</v>
      </c>
      <c r="Q214" s="33"/>
      <c r="R214" s="11"/>
    </row>
    <row r="215" ht="15.75" customHeight="1">
      <c r="A215" s="13">
        <f t="shared" si="1"/>
        <v>214</v>
      </c>
      <c r="B215" s="15" t="s">
        <v>24</v>
      </c>
      <c r="C215" s="17">
        <v>1613.0</v>
      </c>
      <c r="D215" s="15" t="s">
        <v>211</v>
      </c>
      <c r="E215" s="19" t="s">
        <v>746</v>
      </c>
      <c r="F215" s="25" t="s">
        <v>208</v>
      </c>
      <c r="G215" s="25" t="s">
        <v>653</v>
      </c>
      <c r="H215" s="25" t="s">
        <v>37</v>
      </c>
      <c r="I215" s="30">
        <v>46063.0</v>
      </c>
      <c r="J215" s="15">
        <v>0.0</v>
      </c>
      <c r="K215" s="25" t="s">
        <v>38</v>
      </c>
      <c r="L215" s="28">
        <v>500.0</v>
      </c>
      <c r="M215" s="28">
        <v>0.0</v>
      </c>
      <c r="N215" s="28">
        <v>0.0</v>
      </c>
      <c r="O215" s="28">
        <v>0.0</v>
      </c>
      <c r="P215" s="28">
        <v>0.0</v>
      </c>
      <c r="Q215" s="33"/>
      <c r="R215" s="11"/>
    </row>
    <row r="216" ht="15.75" customHeight="1">
      <c r="A216" s="13">
        <f t="shared" si="1"/>
        <v>215</v>
      </c>
      <c r="B216" s="15" t="s">
        <v>24</v>
      </c>
      <c r="C216" s="17">
        <v>1613.0</v>
      </c>
      <c r="D216" s="15" t="s">
        <v>122</v>
      </c>
      <c r="E216" s="19" t="s">
        <v>748</v>
      </c>
      <c r="F216" s="25" t="s">
        <v>44</v>
      </c>
      <c r="G216" s="25" t="s">
        <v>45</v>
      </c>
      <c r="H216" s="25" t="s">
        <v>36</v>
      </c>
      <c r="I216" s="30">
        <v>46067.0</v>
      </c>
      <c r="J216" s="15">
        <v>1.0</v>
      </c>
      <c r="K216" s="25" t="s">
        <v>38</v>
      </c>
      <c r="L216" s="28">
        <v>5000.0</v>
      </c>
      <c r="M216" s="28">
        <v>0.0</v>
      </c>
      <c r="N216" s="28">
        <v>0.0</v>
      </c>
      <c r="O216" s="28">
        <v>0.0</v>
      </c>
      <c r="P216" s="28">
        <v>0.0</v>
      </c>
      <c r="Q216" s="33"/>
      <c r="R216" s="11"/>
    </row>
    <row r="217" ht="15.75" customHeight="1">
      <c r="A217" s="13">
        <f t="shared" si="1"/>
        <v>216</v>
      </c>
      <c r="B217" s="15" t="s">
        <v>24</v>
      </c>
      <c r="C217" s="17">
        <v>1613.0</v>
      </c>
      <c r="D217" s="15" t="s">
        <v>211</v>
      </c>
      <c r="E217" s="19" t="s">
        <v>750</v>
      </c>
      <c r="F217" s="25" t="s">
        <v>731</v>
      </c>
      <c r="G217" s="25" t="s">
        <v>733</v>
      </c>
      <c r="H217" s="25" t="s">
        <v>37</v>
      </c>
      <c r="I217" s="30">
        <v>46068.0</v>
      </c>
      <c r="J217" s="15">
        <v>0.0</v>
      </c>
      <c r="K217" s="25" t="s">
        <v>38</v>
      </c>
      <c r="L217" s="28">
        <v>100000.0</v>
      </c>
      <c r="M217" s="28">
        <v>0.0</v>
      </c>
      <c r="N217" s="28">
        <v>0.0</v>
      </c>
      <c r="O217" s="28">
        <v>0.0</v>
      </c>
      <c r="P217" s="28">
        <v>0.0</v>
      </c>
      <c r="Q217" s="33"/>
      <c r="R217" s="11"/>
    </row>
    <row r="218" ht="15.75" customHeight="1">
      <c r="A218" s="13">
        <f t="shared" si="1"/>
        <v>217</v>
      </c>
      <c r="B218" s="15" t="s">
        <v>24</v>
      </c>
      <c r="C218" s="17">
        <v>1613.0</v>
      </c>
      <c r="D218" s="15" t="s">
        <v>122</v>
      </c>
      <c r="E218" s="19" t="s">
        <v>751</v>
      </c>
      <c r="F218" s="25" t="s">
        <v>92</v>
      </c>
      <c r="G218" s="25" t="s">
        <v>742</v>
      </c>
      <c r="H218" s="25" t="s">
        <v>37</v>
      </c>
      <c r="I218" s="30">
        <v>46068.0</v>
      </c>
      <c r="J218" s="15">
        <v>0.0</v>
      </c>
      <c r="K218" s="25" t="s">
        <v>38</v>
      </c>
      <c r="L218" s="28">
        <v>45000.0</v>
      </c>
      <c r="M218" s="28">
        <v>0.0</v>
      </c>
      <c r="N218" s="28">
        <v>0.0</v>
      </c>
      <c r="O218" s="28">
        <v>0.0</v>
      </c>
      <c r="P218" s="28">
        <v>0.0</v>
      </c>
      <c r="Q218" s="33"/>
      <c r="R218" s="11"/>
    </row>
    <row r="219" ht="15.75" customHeight="1">
      <c r="A219" s="13">
        <f t="shared" si="1"/>
        <v>218</v>
      </c>
      <c r="B219" s="15" t="s">
        <v>24</v>
      </c>
      <c r="C219" s="17">
        <v>1613.0</v>
      </c>
      <c r="D219" s="15" t="s">
        <v>211</v>
      </c>
      <c r="E219" s="19" t="s">
        <v>753</v>
      </c>
      <c r="F219" s="25" t="s">
        <v>722</v>
      </c>
      <c r="G219" s="25" t="s">
        <v>723</v>
      </c>
      <c r="H219" s="25" t="s">
        <v>37</v>
      </c>
      <c r="I219" s="30">
        <v>46069.0</v>
      </c>
      <c r="J219" s="15">
        <v>0.0</v>
      </c>
      <c r="K219" s="25" t="s">
        <v>38</v>
      </c>
      <c r="L219" s="28">
        <v>5000.0</v>
      </c>
      <c r="M219" s="28">
        <v>0.0</v>
      </c>
      <c r="N219" s="28">
        <v>0.0</v>
      </c>
      <c r="O219" s="28">
        <v>0.0</v>
      </c>
      <c r="P219" s="28">
        <v>0.0</v>
      </c>
      <c r="Q219" s="33"/>
      <c r="R219" s="11"/>
    </row>
    <row r="220" ht="15.75" customHeight="1">
      <c r="A220" s="13">
        <f t="shared" si="1"/>
        <v>219</v>
      </c>
      <c r="B220" s="15" t="s">
        <v>24</v>
      </c>
      <c r="C220" s="17">
        <v>1613.0</v>
      </c>
      <c r="D220" s="15"/>
      <c r="E220" s="19" t="s">
        <v>755</v>
      </c>
      <c r="F220" s="99" t="s">
        <v>82</v>
      </c>
      <c r="G220" s="99" t="s">
        <v>353</v>
      </c>
      <c r="H220" s="25"/>
      <c r="I220" s="30"/>
      <c r="J220" s="15"/>
      <c r="K220" s="25"/>
      <c r="L220" s="28"/>
      <c r="M220" s="28"/>
      <c r="N220" s="28"/>
      <c r="O220" s="28"/>
      <c r="P220" s="28"/>
      <c r="Q220" s="33"/>
      <c r="R220" s="11"/>
    </row>
    <row r="221" ht="15.75" customHeight="1">
      <c r="A221" s="13">
        <f t="shared" si="1"/>
        <v>220</v>
      </c>
      <c r="B221" s="15" t="s">
        <v>24</v>
      </c>
      <c r="C221" s="17">
        <v>1613.0</v>
      </c>
      <c r="D221" s="15" t="s">
        <v>122</v>
      </c>
      <c r="E221" s="19" t="s">
        <v>757</v>
      </c>
      <c r="F221" s="25" t="s">
        <v>27</v>
      </c>
      <c r="G221" s="25" t="s">
        <v>69</v>
      </c>
      <c r="H221" s="25" t="s">
        <v>36</v>
      </c>
      <c r="I221" s="30">
        <v>46069.0</v>
      </c>
      <c r="J221" s="15">
        <v>0.0</v>
      </c>
      <c r="K221" s="25" t="s">
        <v>57</v>
      </c>
      <c r="L221" s="28">
        <v>0.0</v>
      </c>
      <c r="M221" s="28">
        <v>17000.0</v>
      </c>
      <c r="N221" s="28">
        <v>0.0</v>
      </c>
      <c r="O221" s="28">
        <v>0.0</v>
      </c>
      <c r="P221" s="28">
        <v>0.0</v>
      </c>
      <c r="Q221" s="33"/>
      <c r="R221" s="11"/>
    </row>
    <row r="222" ht="15.75" customHeight="1">
      <c r="A222" s="13">
        <f t="shared" si="1"/>
        <v>221</v>
      </c>
      <c r="B222" s="15" t="s">
        <v>24</v>
      </c>
      <c r="C222" s="17">
        <v>1613.0</v>
      </c>
      <c r="D222" s="15" t="s">
        <v>122</v>
      </c>
      <c r="E222" s="19" t="s">
        <v>759</v>
      </c>
      <c r="F222" s="25" t="s">
        <v>180</v>
      </c>
      <c r="G222" s="25" t="s">
        <v>288</v>
      </c>
      <c r="H222" s="25" t="s">
        <v>36</v>
      </c>
      <c r="I222" s="30">
        <v>46069.0</v>
      </c>
      <c r="J222" s="15">
        <v>0.0</v>
      </c>
      <c r="K222" s="25" t="s">
        <v>57</v>
      </c>
      <c r="L222" s="28">
        <v>9000.0</v>
      </c>
      <c r="M222" s="28">
        <v>0.0</v>
      </c>
      <c r="N222" s="28">
        <v>0.0</v>
      </c>
      <c r="O222" s="28">
        <v>0.0</v>
      </c>
      <c r="P222" s="28">
        <v>0.0</v>
      </c>
      <c r="Q222" s="33"/>
      <c r="R222" s="11"/>
    </row>
    <row r="223" ht="15.75" customHeight="1">
      <c r="A223" s="13">
        <f t="shared" si="1"/>
        <v>222</v>
      </c>
      <c r="B223" s="15" t="s">
        <v>24</v>
      </c>
      <c r="C223" s="17">
        <v>1613.0</v>
      </c>
      <c r="D223" s="15" t="s">
        <v>211</v>
      </c>
      <c r="E223" s="19" t="s">
        <v>761</v>
      </c>
      <c r="F223" s="25" t="s">
        <v>731</v>
      </c>
      <c r="G223" s="25" t="s">
        <v>762</v>
      </c>
      <c r="H223" s="25" t="s">
        <v>37</v>
      </c>
      <c r="I223" s="30">
        <v>46069.0</v>
      </c>
      <c r="J223" s="15">
        <v>5.0</v>
      </c>
      <c r="K223" s="25" t="s">
        <v>38</v>
      </c>
      <c r="L223" s="28">
        <v>250000.0</v>
      </c>
      <c r="M223" s="28">
        <v>0.0</v>
      </c>
      <c r="N223" s="28">
        <v>0.0</v>
      </c>
      <c r="O223" s="28">
        <v>0.0</v>
      </c>
      <c r="P223" s="28">
        <v>0.0</v>
      </c>
      <c r="Q223" s="33"/>
      <c r="R223" s="11"/>
    </row>
    <row r="224" ht="15.75" customHeight="1">
      <c r="A224" s="13">
        <f t="shared" si="1"/>
        <v>223</v>
      </c>
      <c r="B224" s="15" t="s">
        <v>24</v>
      </c>
      <c r="C224" s="17">
        <v>1613.0</v>
      </c>
      <c r="D224" s="15" t="s">
        <v>122</v>
      </c>
      <c r="E224" s="19" t="s">
        <v>763</v>
      </c>
      <c r="F224" s="25" t="s">
        <v>184</v>
      </c>
      <c r="G224" s="25" t="s">
        <v>449</v>
      </c>
      <c r="H224" s="25" t="s">
        <v>37</v>
      </c>
      <c r="I224" s="30">
        <v>46070.0</v>
      </c>
      <c r="J224" s="15">
        <v>1.0</v>
      </c>
      <c r="K224" s="25" t="s">
        <v>38</v>
      </c>
      <c r="L224" s="28">
        <v>20000.0</v>
      </c>
      <c r="M224" s="100">
        <v>0.0</v>
      </c>
      <c r="N224" s="100">
        <v>0.0</v>
      </c>
      <c r="O224" s="100">
        <v>0.0</v>
      </c>
      <c r="P224" s="100">
        <v>0.0</v>
      </c>
      <c r="Q224" s="33"/>
      <c r="R224" s="11"/>
    </row>
    <row r="225" ht="15.75" customHeight="1">
      <c r="A225" s="13">
        <f t="shared" si="1"/>
        <v>224</v>
      </c>
      <c r="B225" s="15" t="s">
        <v>24</v>
      </c>
      <c r="C225" s="17">
        <v>1613.0</v>
      </c>
      <c r="D225" s="15" t="s">
        <v>122</v>
      </c>
      <c r="E225" s="19" t="s">
        <v>764</v>
      </c>
      <c r="F225" s="25" t="s">
        <v>51</v>
      </c>
      <c r="G225" s="25" t="s">
        <v>449</v>
      </c>
      <c r="H225" s="25" t="s">
        <v>36</v>
      </c>
      <c r="I225" s="30">
        <v>46070.0</v>
      </c>
      <c r="J225" s="15">
        <v>0.0</v>
      </c>
      <c r="K225" s="25" t="s">
        <v>57</v>
      </c>
      <c r="L225" s="28">
        <v>15000.0</v>
      </c>
      <c r="M225" s="100">
        <v>0.0</v>
      </c>
      <c r="N225" s="100">
        <v>0.0</v>
      </c>
      <c r="O225" s="100">
        <v>0.0</v>
      </c>
      <c r="P225" s="100">
        <v>0.0</v>
      </c>
      <c r="Q225" s="33"/>
      <c r="R225" s="11"/>
    </row>
    <row r="226" ht="15.75" customHeight="1">
      <c r="A226" s="13">
        <f t="shared" si="1"/>
        <v>225</v>
      </c>
      <c r="B226" s="15" t="s">
        <v>24</v>
      </c>
      <c r="C226" s="17">
        <v>1613.0</v>
      </c>
      <c r="D226" s="154" t="s">
        <v>644</v>
      </c>
      <c r="E226" s="19" t="s">
        <v>765</v>
      </c>
      <c r="F226" s="99" t="s">
        <v>766</v>
      </c>
      <c r="G226" s="99" t="s">
        <v>767</v>
      </c>
      <c r="H226" s="99" t="s">
        <v>36</v>
      </c>
      <c r="I226" s="159">
        <v>46071.0</v>
      </c>
      <c r="J226" s="154">
        <v>2.0</v>
      </c>
      <c r="K226" s="99" t="s">
        <v>38</v>
      </c>
      <c r="L226" s="157">
        <v>100000.0</v>
      </c>
      <c r="M226" s="160">
        <v>0.0</v>
      </c>
      <c r="N226" s="160">
        <v>0.0</v>
      </c>
      <c r="O226" s="160">
        <v>0.0</v>
      </c>
      <c r="P226" s="160">
        <v>0.0</v>
      </c>
      <c r="Q226" s="33"/>
      <c r="R226" s="11"/>
    </row>
    <row r="227" ht="15.75" customHeight="1">
      <c r="A227" s="13">
        <f t="shared" si="1"/>
        <v>226</v>
      </c>
      <c r="B227" s="15" t="s">
        <v>24</v>
      </c>
      <c r="C227" s="17">
        <v>1613.0</v>
      </c>
      <c r="D227" s="154" t="s">
        <v>644</v>
      </c>
      <c r="E227" s="19" t="s">
        <v>768</v>
      </c>
      <c r="F227" s="99" t="s">
        <v>769</v>
      </c>
      <c r="G227" s="99" t="s">
        <v>767</v>
      </c>
      <c r="H227" s="99" t="s">
        <v>36</v>
      </c>
      <c r="I227" s="159">
        <v>46071.0</v>
      </c>
      <c r="J227" s="154">
        <v>2.0</v>
      </c>
      <c r="K227" s="99" t="s">
        <v>38</v>
      </c>
      <c r="L227" s="157">
        <v>100000.0</v>
      </c>
      <c r="M227" s="160">
        <v>0.0</v>
      </c>
      <c r="N227" s="160">
        <v>0.0</v>
      </c>
      <c r="O227" s="160">
        <v>0.0</v>
      </c>
      <c r="P227" s="160">
        <v>0.0</v>
      </c>
      <c r="Q227" s="33"/>
      <c r="R227" s="11"/>
    </row>
    <row r="228" ht="15.75" customHeight="1">
      <c r="A228" s="13">
        <f t="shared" si="1"/>
        <v>227</v>
      </c>
      <c r="B228" s="15" t="s">
        <v>24</v>
      </c>
      <c r="C228" s="17">
        <v>1613.0</v>
      </c>
      <c r="D228" s="15" t="s">
        <v>211</v>
      </c>
      <c r="E228" s="19" t="s">
        <v>770</v>
      </c>
      <c r="F228" s="25" t="s">
        <v>142</v>
      </c>
      <c r="G228" s="25" t="s">
        <v>584</v>
      </c>
      <c r="H228" s="25" t="s">
        <v>36</v>
      </c>
      <c r="I228" s="30">
        <v>46071.0</v>
      </c>
      <c r="J228" s="15">
        <v>0.0</v>
      </c>
      <c r="K228" s="25" t="s">
        <v>57</v>
      </c>
      <c r="L228" s="28">
        <v>50000.0</v>
      </c>
      <c r="M228" s="28">
        <v>0.0</v>
      </c>
      <c r="N228" s="28">
        <v>0.0</v>
      </c>
      <c r="O228" s="28">
        <v>0.0</v>
      </c>
      <c r="P228" s="28">
        <v>0.0</v>
      </c>
      <c r="Q228" s="33"/>
      <c r="R228" s="11"/>
    </row>
    <row r="229" ht="15.75" customHeight="1">
      <c r="A229" s="13">
        <f t="shared" si="1"/>
        <v>228</v>
      </c>
      <c r="B229" s="15" t="s">
        <v>24</v>
      </c>
      <c r="C229" s="17">
        <v>1613.0</v>
      </c>
      <c r="D229" s="15" t="s">
        <v>122</v>
      </c>
      <c r="E229" s="19" t="s">
        <v>771</v>
      </c>
      <c r="F229" s="25" t="s">
        <v>488</v>
      </c>
      <c r="G229" s="25" t="s">
        <v>772</v>
      </c>
      <c r="H229" s="25" t="s">
        <v>36</v>
      </c>
      <c r="I229" s="30">
        <v>46071.0</v>
      </c>
      <c r="J229" s="15">
        <v>1.0</v>
      </c>
      <c r="K229" s="25" t="s">
        <v>38</v>
      </c>
      <c r="L229" s="28">
        <v>368000.0</v>
      </c>
      <c r="M229" s="28">
        <v>0.0</v>
      </c>
      <c r="N229" s="28">
        <v>0.0</v>
      </c>
      <c r="O229" s="28">
        <v>0.0</v>
      </c>
      <c r="P229" s="28">
        <v>0.0</v>
      </c>
      <c r="Q229" s="33"/>
      <c r="R229" s="11"/>
    </row>
    <row r="230" ht="15.75" customHeight="1">
      <c r="A230" s="13">
        <f t="shared" si="1"/>
        <v>229</v>
      </c>
      <c r="B230" s="15" t="s">
        <v>24</v>
      </c>
      <c r="C230" s="17">
        <v>1613.0</v>
      </c>
      <c r="D230" s="15" t="s">
        <v>211</v>
      </c>
      <c r="E230" s="19" t="s">
        <v>773</v>
      </c>
      <c r="F230" s="25" t="s">
        <v>731</v>
      </c>
      <c r="G230" s="25" t="s">
        <v>762</v>
      </c>
      <c r="H230" s="25" t="s">
        <v>37</v>
      </c>
      <c r="I230" s="30">
        <v>46071.0</v>
      </c>
      <c r="J230" s="15">
        <v>0.0</v>
      </c>
      <c r="K230" s="25" t="s">
        <v>38</v>
      </c>
      <c r="L230" s="28">
        <v>50000.0</v>
      </c>
      <c r="M230" s="28">
        <v>0.0</v>
      </c>
      <c r="N230" s="28">
        <v>0.0</v>
      </c>
      <c r="O230" s="28">
        <v>0.0</v>
      </c>
      <c r="P230" s="28">
        <v>0.0</v>
      </c>
      <c r="Q230" s="33"/>
      <c r="R230" s="11"/>
    </row>
    <row r="231" ht="15.75" customHeight="1">
      <c r="A231" s="13">
        <f t="shared" si="1"/>
        <v>230</v>
      </c>
      <c r="B231" s="15" t="s">
        <v>24</v>
      </c>
      <c r="C231" s="17">
        <v>1613.0</v>
      </c>
      <c r="D231" s="15" t="s">
        <v>211</v>
      </c>
      <c r="E231" s="19" t="s">
        <v>774</v>
      </c>
      <c r="F231" s="25" t="s">
        <v>208</v>
      </c>
      <c r="G231" s="25" t="s">
        <v>394</v>
      </c>
      <c r="H231" s="25" t="s">
        <v>36</v>
      </c>
      <c r="I231" s="30">
        <v>46071.0</v>
      </c>
      <c r="J231" s="15">
        <v>0.0</v>
      </c>
      <c r="K231" s="25" t="s">
        <v>38</v>
      </c>
      <c r="L231" s="28">
        <v>5000.0</v>
      </c>
      <c r="M231" s="28">
        <v>0.0</v>
      </c>
      <c r="N231" s="28">
        <v>0.0</v>
      </c>
      <c r="O231" s="76">
        <v>0.0</v>
      </c>
      <c r="P231" s="77">
        <v>0.0</v>
      </c>
      <c r="Q231" s="33"/>
      <c r="R231" s="11"/>
    </row>
    <row r="232" ht="15.75" customHeight="1">
      <c r="A232" s="13">
        <f t="shared" si="1"/>
        <v>231</v>
      </c>
      <c r="B232" s="15" t="s">
        <v>24</v>
      </c>
      <c r="C232" s="17">
        <v>1613.0</v>
      </c>
      <c r="D232" s="15" t="s">
        <v>122</v>
      </c>
      <c r="E232" s="19" t="s">
        <v>775</v>
      </c>
      <c r="F232" s="25" t="s">
        <v>184</v>
      </c>
      <c r="G232" s="25" t="s">
        <v>449</v>
      </c>
      <c r="H232" s="25" t="s">
        <v>37</v>
      </c>
      <c r="I232" s="30">
        <v>46072.0</v>
      </c>
      <c r="J232" s="15">
        <v>0.0</v>
      </c>
      <c r="K232" s="25" t="s">
        <v>38</v>
      </c>
      <c r="L232" s="28">
        <v>180000.0</v>
      </c>
      <c r="M232" s="100">
        <v>0.0</v>
      </c>
      <c r="N232" s="100">
        <v>0.0</v>
      </c>
      <c r="O232" s="100">
        <v>0.0</v>
      </c>
      <c r="P232" s="100">
        <v>0.0</v>
      </c>
      <c r="Q232" s="33"/>
      <c r="R232" s="11"/>
    </row>
    <row r="233" ht="15.75" customHeight="1">
      <c r="A233" s="13">
        <f t="shared" si="1"/>
        <v>232</v>
      </c>
      <c r="B233" s="15" t="s">
        <v>24</v>
      </c>
      <c r="C233" s="17">
        <v>1613.0</v>
      </c>
      <c r="D233" s="15"/>
      <c r="E233" s="19" t="s">
        <v>776</v>
      </c>
      <c r="F233" s="25"/>
      <c r="G233" s="25" t="s">
        <v>336</v>
      </c>
      <c r="H233" s="25" t="s">
        <v>36</v>
      </c>
      <c r="I233" s="30">
        <v>46072.0</v>
      </c>
      <c r="J233" s="15">
        <v>0.0</v>
      </c>
      <c r="K233" s="25" t="s">
        <v>38</v>
      </c>
      <c r="L233" s="28">
        <v>0.0</v>
      </c>
      <c r="M233" s="28">
        <v>16000.0</v>
      </c>
      <c r="N233" s="28">
        <v>0.0</v>
      </c>
      <c r="O233" s="28">
        <v>0.0</v>
      </c>
      <c r="P233" s="28">
        <v>0.0</v>
      </c>
      <c r="Q233" s="33"/>
      <c r="R233" s="11"/>
    </row>
    <row r="234" ht="15.75" customHeight="1">
      <c r="A234" s="13">
        <f t="shared" si="1"/>
        <v>233</v>
      </c>
      <c r="B234" s="15" t="s">
        <v>24</v>
      </c>
      <c r="C234" s="17">
        <v>1613.0</v>
      </c>
      <c r="D234" s="15" t="s">
        <v>122</v>
      </c>
      <c r="E234" s="19" t="s">
        <v>777</v>
      </c>
      <c r="F234" s="25" t="s">
        <v>487</v>
      </c>
      <c r="G234" s="25" t="s">
        <v>554</v>
      </c>
      <c r="H234" s="25" t="s">
        <v>36</v>
      </c>
      <c r="I234" s="32">
        <v>46074.0</v>
      </c>
      <c r="J234" s="15">
        <v>0.0</v>
      </c>
      <c r="K234" s="25" t="s">
        <v>57</v>
      </c>
      <c r="L234" s="28">
        <v>12000.0</v>
      </c>
      <c r="M234" s="28">
        <v>0.0</v>
      </c>
      <c r="N234" s="28">
        <v>0.0</v>
      </c>
      <c r="O234" s="76">
        <v>0.0</v>
      </c>
      <c r="P234" s="77">
        <v>0.0</v>
      </c>
      <c r="Q234" s="33"/>
      <c r="R234" s="11"/>
    </row>
    <row r="235" ht="15.75" customHeight="1">
      <c r="A235" s="13">
        <f t="shared" si="1"/>
        <v>234</v>
      </c>
      <c r="B235" s="15" t="s">
        <v>24</v>
      </c>
      <c r="C235" s="17">
        <v>1613.0</v>
      </c>
      <c r="D235" s="15" t="s">
        <v>122</v>
      </c>
      <c r="E235" s="19" t="s">
        <v>778</v>
      </c>
      <c r="F235" s="25" t="s">
        <v>488</v>
      </c>
      <c r="G235" s="25" t="s">
        <v>772</v>
      </c>
      <c r="H235" s="25" t="s">
        <v>36</v>
      </c>
      <c r="I235" s="32">
        <v>46075.0</v>
      </c>
      <c r="J235" s="15">
        <v>0.0</v>
      </c>
      <c r="K235" s="25" t="s">
        <v>38</v>
      </c>
      <c r="L235" s="28">
        <v>132000.0</v>
      </c>
      <c r="M235" s="28">
        <v>0.0</v>
      </c>
      <c r="N235" s="28">
        <v>0.0</v>
      </c>
      <c r="O235" s="76">
        <v>0.0</v>
      </c>
      <c r="P235" s="77">
        <v>0.0</v>
      </c>
      <c r="Q235" s="33"/>
      <c r="R235" s="11"/>
    </row>
    <row r="236" ht="15.75" customHeight="1">
      <c r="A236" s="13">
        <f t="shared" si="1"/>
        <v>235</v>
      </c>
      <c r="B236" s="15" t="s">
        <v>24</v>
      </c>
      <c r="C236" s="17">
        <v>1613.0</v>
      </c>
      <c r="D236" s="15" t="s">
        <v>122</v>
      </c>
      <c r="E236" s="19" t="s">
        <v>779</v>
      </c>
      <c r="F236" s="25" t="s">
        <v>27</v>
      </c>
      <c r="G236" s="25" t="s">
        <v>780</v>
      </c>
      <c r="H236" s="25" t="s">
        <v>36</v>
      </c>
      <c r="I236" s="32">
        <v>46076.0</v>
      </c>
      <c r="J236" s="15">
        <v>1.0</v>
      </c>
      <c r="K236" s="25" t="s">
        <v>38</v>
      </c>
      <c r="L236" s="28">
        <v>100000.0</v>
      </c>
      <c r="M236" s="28">
        <v>0.0</v>
      </c>
      <c r="N236" s="28">
        <v>0.0</v>
      </c>
      <c r="O236" s="76">
        <v>0.0</v>
      </c>
      <c r="P236" s="77">
        <v>0.0</v>
      </c>
      <c r="Q236" s="33"/>
      <c r="R236" s="11"/>
    </row>
    <row r="237" ht="15.75" customHeight="1">
      <c r="A237" s="13">
        <f t="shared" si="1"/>
        <v>236</v>
      </c>
      <c r="B237" s="15" t="s">
        <v>24</v>
      </c>
      <c r="C237" s="17">
        <v>1613.0</v>
      </c>
      <c r="D237" s="15" t="s">
        <v>122</v>
      </c>
      <c r="E237" s="19" t="s">
        <v>781</v>
      </c>
      <c r="F237" s="25" t="s">
        <v>92</v>
      </c>
      <c r="G237" s="25" t="s">
        <v>742</v>
      </c>
      <c r="H237" s="25" t="s">
        <v>37</v>
      </c>
      <c r="I237" s="32">
        <v>46076.0</v>
      </c>
      <c r="J237" s="15">
        <v>0.0</v>
      </c>
      <c r="K237" s="25" t="s">
        <v>38</v>
      </c>
      <c r="L237" s="28">
        <v>5000.0</v>
      </c>
      <c r="M237" s="28">
        <v>0.0</v>
      </c>
      <c r="N237" s="28">
        <v>0.0</v>
      </c>
      <c r="O237" s="28">
        <v>0.0</v>
      </c>
      <c r="P237" s="28">
        <v>0.0</v>
      </c>
      <c r="Q237" s="33"/>
      <c r="R237" s="11"/>
    </row>
    <row r="238" ht="15.75" customHeight="1">
      <c r="A238" s="13">
        <f t="shared" si="1"/>
        <v>237</v>
      </c>
      <c r="B238" s="15" t="s">
        <v>24</v>
      </c>
      <c r="C238" s="17">
        <v>1613.0</v>
      </c>
      <c r="D238" s="15" t="s">
        <v>122</v>
      </c>
      <c r="E238" s="19" t="s">
        <v>782</v>
      </c>
      <c r="F238" s="25" t="s">
        <v>92</v>
      </c>
      <c r="G238" s="25" t="s">
        <v>700</v>
      </c>
      <c r="H238" s="25" t="s">
        <v>36</v>
      </c>
      <c r="I238" s="32">
        <v>46076.0</v>
      </c>
      <c r="J238" s="15">
        <v>0.0</v>
      </c>
      <c r="K238" s="25" t="s">
        <v>38</v>
      </c>
      <c r="L238" s="28">
        <v>10000.0</v>
      </c>
      <c r="M238" s="28">
        <v>0.0</v>
      </c>
      <c r="N238" s="28">
        <v>0.0</v>
      </c>
      <c r="O238" s="28">
        <v>0.0</v>
      </c>
      <c r="P238" s="28">
        <v>0.0</v>
      </c>
      <c r="Q238" s="33"/>
      <c r="R238" s="11"/>
    </row>
    <row r="239" ht="15.75" customHeight="1">
      <c r="A239" s="13">
        <f t="shared" si="1"/>
        <v>238</v>
      </c>
      <c r="B239" s="15" t="s">
        <v>24</v>
      </c>
      <c r="C239" s="17">
        <v>1613.0</v>
      </c>
      <c r="D239" s="15" t="s">
        <v>122</v>
      </c>
      <c r="E239" s="19" t="s">
        <v>783</v>
      </c>
      <c r="F239" s="25" t="s">
        <v>92</v>
      </c>
      <c r="G239" s="25" t="s">
        <v>700</v>
      </c>
      <c r="H239" s="25" t="s">
        <v>36</v>
      </c>
      <c r="I239" s="32">
        <v>46076.0</v>
      </c>
      <c r="J239" s="15">
        <v>0.0</v>
      </c>
      <c r="K239" s="25" t="s">
        <v>38</v>
      </c>
      <c r="L239" s="28">
        <v>0.0</v>
      </c>
      <c r="M239" s="28">
        <v>10000.0</v>
      </c>
      <c r="N239" s="28">
        <v>0.0</v>
      </c>
      <c r="O239" s="28">
        <v>0.0</v>
      </c>
      <c r="P239" s="28">
        <v>0.0</v>
      </c>
      <c r="Q239" s="33"/>
      <c r="R239" s="11"/>
    </row>
    <row r="240" ht="15.75" customHeight="1">
      <c r="A240" s="13">
        <f t="shared" si="1"/>
        <v>239</v>
      </c>
      <c r="B240" s="15" t="s">
        <v>24</v>
      </c>
      <c r="C240" s="17">
        <v>1613.0</v>
      </c>
      <c r="D240" s="15" t="s">
        <v>122</v>
      </c>
      <c r="E240" s="19" t="s">
        <v>784</v>
      </c>
      <c r="F240" s="25" t="s">
        <v>272</v>
      </c>
      <c r="G240" s="25" t="s">
        <v>785</v>
      </c>
      <c r="H240" s="25" t="s">
        <v>37</v>
      </c>
      <c r="I240" s="32">
        <v>46076.0</v>
      </c>
      <c r="J240" s="15">
        <v>1.0</v>
      </c>
      <c r="K240" s="25" t="s">
        <v>38</v>
      </c>
      <c r="L240" s="28">
        <v>150000.0</v>
      </c>
      <c r="M240" s="28">
        <v>0.0</v>
      </c>
      <c r="N240" s="28">
        <v>0.0</v>
      </c>
      <c r="O240" s="28">
        <v>0.0</v>
      </c>
      <c r="P240" s="28">
        <v>0.0</v>
      </c>
      <c r="Q240" s="33">
        <v>46078.0</v>
      </c>
      <c r="R240" s="11"/>
    </row>
    <row r="241" ht="15.75" customHeight="1">
      <c r="A241" s="13">
        <f t="shared" si="1"/>
        <v>240</v>
      </c>
      <c r="B241" s="15" t="s">
        <v>24</v>
      </c>
      <c r="C241" s="17">
        <v>1613.0</v>
      </c>
      <c r="D241" s="15" t="s">
        <v>122</v>
      </c>
      <c r="E241" s="19" t="s">
        <v>786</v>
      </c>
      <c r="F241" s="25" t="s">
        <v>272</v>
      </c>
      <c r="G241" s="25" t="s">
        <v>787</v>
      </c>
      <c r="H241" s="25" t="s">
        <v>37</v>
      </c>
      <c r="I241" s="32">
        <v>46076.0</v>
      </c>
      <c r="J241" s="15">
        <v>1.0</v>
      </c>
      <c r="K241" s="25" t="s">
        <v>38</v>
      </c>
      <c r="L241" s="28">
        <v>150000.0</v>
      </c>
      <c r="M241" s="28">
        <v>0.0</v>
      </c>
      <c r="N241" s="28">
        <v>0.0</v>
      </c>
      <c r="O241" s="28">
        <v>0.0</v>
      </c>
      <c r="P241" s="28">
        <v>0.0</v>
      </c>
      <c r="Q241" s="33">
        <v>46078.0</v>
      </c>
      <c r="R241" s="11"/>
    </row>
    <row r="242" ht="15.75" customHeight="1">
      <c r="A242" s="13">
        <f t="shared" si="1"/>
        <v>241</v>
      </c>
      <c r="B242" s="15" t="s">
        <v>24</v>
      </c>
      <c r="C242" s="17">
        <v>1613.0</v>
      </c>
      <c r="D242" s="15" t="s">
        <v>122</v>
      </c>
      <c r="E242" s="19" t="s">
        <v>788</v>
      </c>
      <c r="F242" s="25" t="s">
        <v>191</v>
      </c>
      <c r="G242" s="25" t="s">
        <v>193</v>
      </c>
      <c r="H242" s="25" t="s">
        <v>37</v>
      </c>
      <c r="I242" s="32">
        <v>46076.0</v>
      </c>
      <c r="J242" s="15">
        <v>2.0</v>
      </c>
      <c r="K242" s="25" t="s">
        <v>38</v>
      </c>
      <c r="L242" s="28">
        <v>0.0</v>
      </c>
      <c r="M242" s="28">
        <v>50000.0</v>
      </c>
      <c r="N242" s="28">
        <v>0.0</v>
      </c>
      <c r="O242" s="28">
        <v>0.0</v>
      </c>
      <c r="P242" s="28">
        <v>0.0</v>
      </c>
      <c r="Q242" s="33"/>
      <c r="R242" s="11"/>
    </row>
    <row r="243" ht="15.75" customHeight="1">
      <c r="A243" s="13">
        <f t="shared" si="1"/>
        <v>242</v>
      </c>
      <c r="B243" s="15" t="s">
        <v>24</v>
      </c>
      <c r="C243" s="17">
        <v>1613.0</v>
      </c>
      <c r="D243" s="15" t="s">
        <v>122</v>
      </c>
      <c r="E243" s="19" t="s">
        <v>790</v>
      </c>
      <c r="F243" s="25" t="s">
        <v>303</v>
      </c>
      <c r="G243" s="25" t="s">
        <v>526</v>
      </c>
      <c r="H243" s="25" t="s">
        <v>36</v>
      </c>
      <c r="I243" s="32">
        <v>46078.0</v>
      </c>
      <c r="J243" s="15">
        <v>0.0</v>
      </c>
      <c r="K243" s="25" t="s">
        <v>57</v>
      </c>
      <c r="L243" s="28">
        <v>0.0</v>
      </c>
      <c r="M243" s="28">
        <v>6500.0</v>
      </c>
      <c r="N243" s="28">
        <v>0.0</v>
      </c>
      <c r="O243" s="28">
        <v>0.0</v>
      </c>
      <c r="P243" s="28">
        <v>0.0</v>
      </c>
      <c r="Q243" s="33"/>
      <c r="R243" s="11"/>
    </row>
    <row r="244" ht="15.75" customHeight="1">
      <c r="A244" s="13">
        <f t="shared" si="1"/>
        <v>243</v>
      </c>
      <c r="B244" s="15" t="s">
        <v>24</v>
      </c>
      <c r="C244" s="17">
        <v>1613.0</v>
      </c>
      <c r="D244" s="15" t="s">
        <v>122</v>
      </c>
      <c r="E244" s="19" t="s">
        <v>791</v>
      </c>
      <c r="F244" s="25" t="s">
        <v>303</v>
      </c>
      <c r="G244" s="25" t="s">
        <v>533</v>
      </c>
      <c r="H244" s="25" t="s">
        <v>36</v>
      </c>
      <c r="I244" s="32">
        <v>46078.0</v>
      </c>
      <c r="J244" s="15">
        <v>0.0</v>
      </c>
      <c r="K244" s="25" t="s">
        <v>57</v>
      </c>
      <c r="L244" s="28">
        <v>0.0</v>
      </c>
      <c r="M244" s="28">
        <v>6500.0</v>
      </c>
      <c r="N244" s="28">
        <v>0.0</v>
      </c>
      <c r="O244" s="28">
        <v>0.0</v>
      </c>
      <c r="P244" s="28">
        <v>0.0</v>
      </c>
      <c r="Q244" s="33"/>
      <c r="R244" s="11"/>
    </row>
    <row r="245" ht="15.75" customHeight="1">
      <c r="A245" s="13">
        <f t="shared" si="1"/>
        <v>244</v>
      </c>
      <c r="B245" s="15" t="s">
        <v>24</v>
      </c>
      <c r="C245" s="17">
        <v>1613.0</v>
      </c>
      <c r="D245" s="15" t="s">
        <v>122</v>
      </c>
      <c r="E245" s="19" t="s">
        <v>792</v>
      </c>
      <c r="F245" s="25" t="s">
        <v>487</v>
      </c>
      <c r="G245" s="25" t="s">
        <v>488</v>
      </c>
      <c r="H245" s="25" t="s">
        <v>36</v>
      </c>
      <c r="I245" s="32">
        <v>46078.0</v>
      </c>
      <c r="J245" s="15">
        <v>0.0</v>
      </c>
      <c r="K245" s="25" t="s">
        <v>57</v>
      </c>
      <c r="L245" s="28">
        <v>10000.0</v>
      </c>
      <c r="M245" s="28">
        <v>0.0</v>
      </c>
      <c r="N245" s="28">
        <v>0.0</v>
      </c>
      <c r="O245" s="28">
        <v>0.0</v>
      </c>
      <c r="P245" s="28">
        <v>0.0</v>
      </c>
      <c r="Q245" s="33"/>
      <c r="R245" s="11"/>
    </row>
    <row r="246" ht="15.75" customHeight="1">
      <c r="A246" s="13">
        <f t="shared" si="1"/>
        <v>245</v>
      </c>
      <c r="B246" s="15" t="s">
        <v>24</v>
      </c>
      <c r="C246" s="17">
        <v>1613.0</v>
      </c>
      <c r="D246" s="15" t="s">
        <v>122</v>
      </c>
      <c r="E246" s="19" t="s">
        <v>793</v>
      </c>
      <c r="F246" s="25" t="s">
        <v>27</v>
      </c>
      <c r="G246" s="25" t="s">
        <v>794</v>
      </c>
      <c r="H246" s="25" t="s">
        <v>36</v>
      </c>
      <c r="I246" s="32">
        <v>46078.0</v>
      </c>
      <c r="J246" s="15">
        <v>0.0</v>
      </c>
      <c r="K246" s="25" t="s">
        <v>57</v>
      </c>
      <c r="L246" s="28">
        <v>10000.0</v>
      </c>
      <c r="M246" s="28">
        <v>0.0</v>
      </c>
      <c r="N246" s="28">
        <v>0.0</v>
      </c>
      <c r="O246" s="28">
        <v>0.0</v>
      </c>
      <c r="P246" s="28">
        <v>0.0</v>
      </c>
      <c r="Q246" s="33"/>
      <c r="R246" s="11"/>
    </row>
    <row r="247" ht="15.75" customHeight="1">
      <c r="A247" s="13">
        <f t="shared" si="1"/>
        <v>246</v>
      </c>
      <c r="B247" s="15" t="s">
        <v>24</v>
      </c>
      <c r="C247" s="17">
        <v>1613.0</v>
      </c>
      <c r="D247" s="15" t="s">
        <v>122</v>
      </c>
      <c r="E247" s="19" t="s">
        <v>795</v>
      </c>
      <c r="F247" s="25" t="s">
        <v>221</v>
      </c>
      <c r="G247" s="25" t="s">
        <v>181</v>
      </c>
      <c r="H247" s="25" t="s">
        <v>36</v>
      </c>
      <c r="I247" s="32">
        <v>46079.0</v>
      </c>
      <c r="J247" s="15">
        <v>0.0</v>
      </c>
      <c r="K247" s="25" t="s">
        <v>57</v>
      </c>
      <c r="L247" s="28">
        <v>0.0</v>
      </c>
      <c r="M247" s="28">
        <v>7000.0</v>
      </c>
      <c r="N247" s="28">
        <v>0.0</v>
      </c>
      <c r="O247" s="28">
        <v>0.0</v>
      </c>
      <c r="P247" s="28">
        <v>0.0</v>
      </c>
      <c r="Q247" s="33"/>
      <c r="R247" s="11"/>
    </row>
    <row r="248" ht="15.75" customHeight="1">
      <c r="A248" s="13">
        <f t="shared" si="1"/>
        <v>247</v>
      </c>
      <c r="B248" s="15" t="s">
        <v>24</v>
      </c>
      <c r="C248" s="17">
        <v>1613.0</v>
      </c>
      <c r="D248" s="15"/>
      <c r="E248" s="19" t="s">
        <v>796</v>
      </c>
      <c r="F248" s="99" t="s">
        <v>82</v>
      </c>
      <c r="G248" s="99" t="s">
        <v>353</v>
      </c>
      <c r="H248" s="25"/>
      <c r="I248" s="30"/>
      <c r="J248" s="15"/>
      <c r="K248" s="25"/>
      <c r="L248" s="28"/>
      <c r="M248" s="28"/>
      <c r="N248" s="28"/>
      <c r="O248" s="28"/>
      <c r="P248" s="28"/>
      <c r="Q248" s="33"/>
      <c r="R248" s="11"/>
    </row>
    <row r="249" ht="15.75" customHeight="1">
      <c r="A249" s="13">
        <f t="shared" si="1"/>
        <v>248</v>
      </c>
      <c r="B249" s="15" t="s">
        <v>24</v>
      </c>
      <c r="C249" s="17">
        <v>1613.0</v>
      </c>
      <c r="D249" s="15"/>
      <c r="E249" s="19" t="s">
        <v>797</v>
      </c>
      <c r="F249" s="25"/>
      <c r="G249" s="25" t="s">
        <v>259</v>
      </c>
      <c r="H249" s="25" t="s">
        <v>36</v>
      </c>
      <c r="I249" s="32">
        <v>46079.0</v>
      </c>
      <c r="J249" s="15">
        <v>0.0</v>
      </c>
      <c r="K249" s="25" t="s">
        <v>57</v>
      </c>
      <c r="L249" s="28">
        <v>5000.0</v>
      </c>
      <c r="M249" s="100">
        <v>0.0</v>
      </c>
      <c r="N249" s="100">
        <v>0.0</v>
      </c>
      <c r="O249" s="100">
        <v>0.0</v>
      </c>
      <c r="P249" s="100">
        <v>0.0</v>
      </c>
      <c r="Q249" s="33"/>
      <c r="R249" s="11"/>
    </row>
    <row r="250" ht="15.75" customHeight="1">
      <c r="A250" s="13">
        <f t="shared" si="1"/>
        <v>249</v>
      </c>
      <c r="B250" s="15" t="s">
        <v>24</v>
      </c>
      <c r="C250" s="17">
        <v>1613.0</v>
      </c>
      <c r="D250" s="15"/>
      <c r="E250" s="19" t="s">
        <v>798</v>
      </c>
      <c r="F250" s="99" t="s">
        <v>82</v>
      </c>
      <c r="G250" s="99" t="s">
        <v>353</v>
      </c>
      <c r="H250" s="25"/>
      <c r="I250" s="30"/>
      <c r="J250" s="15"/>
      <c r="K250" s="25"/>
      <c r="L250" s="28"/>
      <c r="M250" s="28"/>
      <c r="N250" s="28"/>
      <c r="O250" s="28"/>
      <c r="P250" s="28"/>
      <c r="Q250" s="33"/>
      <c r="R250" s="11"/>
    </row>
    <row r="251" ht="15.75" customHeight="1">
      <c r="A251" s="13">
        <f t="shared" si="1"/>
        <v>250</v>
      </c>
      <c r="B251" s="15" t="s">
        <v>24</v>
      </c>
      <c r="C251" s="17">
        <v>1613.0</v>
      </c>
      <c r="D251" s="15" t="s">
        <v>122</v>
      </c>
      <c r="E251" s="19" t="s">
        <v>799</v>
      </c>
      <c r="F251" s="25" t="s">
        <v>221</v>
      </c>
      <c r="G251" s="25" t="s">
        <v>189</v>
      </c>
      <c r="H251" s="25" t="s">
        <v>36</v>
      </c>
      <c r="I251" s="32">
        <v>46079.0</v>
      </c>
      <c r="J251" s="15">
        <v>0.0</v>
      </c>
      <c r="K251" s="25" t="s">
        <v>57</v>
      </c>
      <c r="L251" s="28">
        <v>7000.0</v>
      </c>
      <c r="M251" s="28">
        <v>0.0</v>
      </c>
      <c r="N251" s="28">
        <v>0.0</v>
      </c>
      <c r="O251" s="28">
        <v>0.0</v>
      </c>
      <c r="P251" s="28">
        <v>0.0</v>
      </c>
      <c r="Q251" s="33"/>
      <c r="R251" s="11"/>
    </row>
    <row r="252" ht="15.75" customHeight="1">
      <c r="A252" s="13">
        <f t="shared" si="1"/>
        <v>251</v>
      </c>
      <c r="B252" s="15" t="s">
        <v>24</v>
      </c>
      <c r="C252" s="17">
        <v>1663.0</v>
      </c>
      <c r="D252" s="15" t="s">
        <v>122</v>
      </c>
      <c r="E252" s="19" t="s">
        <v>800</v>
      </c>
      <c r="F252" s="25" t="s">
        <v>191</v>
      </c>
      <c r="G252" s="25" t="s">
        <v>316</v>
      </c>
      <c r="H252" s="25" t="s">
        <v>36</v>
      </c>
      <c r="I252" s="32">
        <v>46081.0</v>
      </c>
      <c r="J252" s="15">
        <v>0.0</v>
      </c>
      <c r="K252" s="25" t="s">
        <v>57</v>
      </c>
      <c r="L252" s="28">
        <v>10000.0</v>
      </c>
      <c r="M252" s="100">
        <v>0.0</v>
      </c>
      <c r="N252" s="100">
        <v>0.0</v>
      </c>
      <c r="O252" s="100">
        <v>0.0</v>
      </c>
      <c r="P252" s="100">
        <v>0.0</v>
      </c>
      <c r="Q252" s="32"/>
      <c r="R252" s="11"/>
    </row>
    <row r="253" ht="15.75" customHeight="1">
      <c r="A253" s="13">
        <f t="shared" si="1"/>
        <v>252</v>
      </c>
      <c r="B253" s="15" t="s">
        <v>24</v>
      </c>
      <c r="C253" s="17">
        <v>1663.0</v>
      </c>
      <c r="D253" s="15" t="s">
        <v>211</v>
      </c>
      <c r="E253" s="19" t="s">
        <v>801</v>
      </c>
      <c r="F253" s="23" t="s">
        <v>142</v>
      </c>
      <c r="G253" s="25" t="s">
        <v>802</v>
      </c>
      <c r="H253" s="25" t="s">
        <v>36</v>
      </c>
      <c r="I253" s="32">
        <v>46081.0</v>
      </c>
      <c r="J253" s="15">
        <v>1.0</v>
      </c>
      <c r="K253" s="25" t="s">
        <v>38</v>
      </c>
      <c r="L253" s="28">
        <v>100000.0</v>
      </c>
      <c r="M253" s="100">
        <v>0.0</v>
      </c>
      <c r="N253" s="100">
        <v>0.0</v>
      </c>
      <c r="O253" s="100">
        <v>0.0</v>
      </c>
      <c r="P253" s="100">
        <v>0.0</v>
      </c>
      <c r="Q253" s="33"/>
      <c r="R253" s="11"/>
    </row>
    <row r="254" ht="15.75" customHeight="1">
      <c r="A254" s="13">
        <f t="shared" si="1"/>
        <v>253</v>
      </c>
      <c r="B254" s="15" t="s">
        <v>24</v>
      </c>
      <c r="C254" s="17">
        <v>1663.0</v>
      </c>
      <c r="D254" s="15" t="s">
        <v>122</v>
      </c>
      <c r="E254" s="19" t="s">
        <v>803</v>
      </c>
      <c r="F254" s="25" t="s">
        <v>180</v>
      </c>
      <c r="G254" s="25" t="s">
        <v>288</v>
      </c>
      <c r="H254" s="25" t="s">
        <v>36</v>
      </c>
      <c r="I254" s="32">
        <v>46083.0</v>
      </c>
      <c r="J254" s="15">
        <v>0.0</v>
      </c>
      <c r="K254" s="25" t="s">
        <v>57</v>
      </c>
      <c r="L254" s="28">
        <v>9000.0</v>
      </c>
      <c r="M254" s="28">
        <v>0.0</v>
      </c>
      <c r="N254" s="28">
        <v>0.0</v>
      </c>
      <c r="O254" s="28">
        <v>0.0</v>
      </c>
      <c r="P254" s="28">
        <v>0.0</v>
      </c>
      <c r="Q254" s="33"/>
      <c r="R254" s="11"/>
    </row>
    <row r="255" ht="15.75" customHeight="1">
      <c r="A255" s="13">
        <f t="shared" si="1"/>
        <v>254</v>
      </c>
      <c r="B255" s="15" t="s">
        <v>24</v>
      </c>
      <c r="C255" s="17">
        <v>1663.0</v>
      </c>
      <c r="D255" s="15" t="s">
        <v>211</v>
      </c>
      <c r="E255" s="19" t="s">
        <v>804</v>
      </c>
      <c r="F255" s="25" t="s">
        <v>169</v>
      </c>
      <c r="G255" s="25" t="s">
        <v>484</v>
      </c>
      <c r="H255" s="25" t="s">
        <v>36</v>
      </c>
      <c r="I255" s="32">
        <v>46083.0</v>
      </c>
      <c r="J255" s="15">
        <v>0.0</v>
      </c>
      <c r="K255" s="25" t="s">
        <v>38</v>
      </c>
      <c r="L255" s="28">
        <v>0.0</v>
      </c>
      <c r="M255" s="28">
        <v>5000.0</v>
      </c>
      <c r="N255" s="28">
        <v>0.0</v>
      </c>
      <c r="O255" s="76">
        <v>0.0</v>
      </c>
      <c r="P255" s="77">
        <v>0.0</v>
      </c>
      <c r="Q255" s="33"/>
      <c r="R255" s="11"/>
    </row>
    <row r="256" ht="15.75" customHeight="1">
      <c r="A256" s="13">
        <f t="shared" si="1"/>
        <v>255</v>
      </c>
      <c r="B256" s="15" t="s">
        <v>24</v>
      </c>
      <c r="C256" s="17">
        <v>1663.0</v>
      </c>
      <c r="D256" s="15" t="s">
        <v>211</v>
      </c>
      <c r="E256" s="19" t="s">
        <v>805</v>
      </c>
      <c r="F256" s="25" t="s">
        <v>293</v>
      </c>
      <c r="G256" s="25" t="s">
        <v>294</v>
      </c>
      <c r="H256" s="25" t="s">
        <v>37</v>
      </c>
      <c r="I256" s="32">
        <v>46083.0</v>
      </c>
      <c r="J256" s="15">
        <v>1.0</v>
      </c>
      <c r="K256" s="25" t="s">
        <v>38</v>
      </c>
      <c r="L256" s="28">
        <v>4000.0</v>
      </c>
      <c r="M256" s="28">
        <v>0.0</v>
      </c>
      <c r="N256" s="28">
        <v>0.0</v>
      </c>
      <c r="O256" s="28">
        <v>0.0</v>
      </c>
      <c r="P256" s="28">
        <v>0.0</v>
      </c>
      <c r="Q256" s="33"/>
      <c r="R256" s="11"/>
    </row>
    <row r="257" ht="15.75" customHeight="1">
      <c r="A257" s="13">
        <f t="shared" si="1"/>
        <v>256</v>
      </c>
      <c r="B257" s="15" t="s">
        <v>24</v>
      </c>
      <c r="C257" s="17">
        <v>1663.0</v>
      </c>
      <c r="D257" s="15" t="s">
        <v>122</v>
      </c>
      <c r="E257" s="19" t="s">
        <v>806</v>
      </c>
      <c r="F257" s="25" t="s">
        <v>27</v>
      </c>
      <c r="G257" s="25" t="s">
        <v>717</v>
      </c>
      <c r="H257" s="25" t="s">
        <v>807</v>
      </c>
      <c r="I257" s="30">
        <v>46085.0</v>
      </c>
      <c r="J257" s="15">
        <v>0.0</v>
      </c>
      <c r="K257" s="25" t="s">
        <v>38</v>
      </c>
      <c r="L257" s="28">
        <f>20000+15000</f>
        <v>35000</v>
      </c>
      <c r="M257" s="28">
        <v>0.0</v>
      </c>
      <c r="N257" s="28">
        <v>0.0</v>
      </c>
      <c r="O257" s="28">
        <v>0.0</v>
      </c>
      <c r="P257" s="28">
        <v>0.0</v>
      </c>
      <c r="Q257" s="33"/>
      <c r="R257" s="11"/>
    </row>
    <row r="258" ht="15.75" customHeight="1">
      <c r="A258" s="13">
        <f t="shared" si="1"/>
        <v>257</v>
      </c>
      <c r="B258" s="15" t="s">
        <v>24</v>
      </c>
      <c r="C258" s="17">
        <v>1663.0</v>
      </c>
      <c r="D258" s="17" t="s">
        <v>211</v>
      </c>
      <c r="E258" s="19" t="s">
        <v>808</v>
      </c>
      <c r="F258" s="25" t="s">
        <v>647</v>
      </c>
      <c r="G258" s="25" t="s">
        <v>809</v>
      </c>
      <c r="H258" s="168" t="s">
        <v>36</v>
      </c>
      <c r="I258" s="30">
        <v>46086.0</v>
      </c>
      <c r="J258" s="15">
        <v>1.0</v>
      </c>
      <c r="K258" s="25"/>
      <c r="L258" s="28">
        <v>0.0</v>
      </c>
      <c r="M258" s="28">
        <v>150000.0</v>
      </c>
      <c r="N258" s="28">
        <v>0.0</v>
      </c>
      <c r="O258" s="28">
        <v>0.0</v>
      </c>
      <c r="P258" s="28">
        <v>0.0</v>
      </c>
      <c r="Q258" s="33"/>
      <c r="R258" s="11"/>
    </row>
    <row r="259" ht="15.75" customHeight="1">
      <c r="A259" s="13">
        <f t="shared" si="1"/>
        <v>258</v>
      </c>
      <c r="B259" s="15" t="s">
        <v>24</v>
      </c>
      <c r="C259" s="17">
        <v>1663.0</v>
      </c>
      <c r="D259" s="15" t="s">
        <v>122</v>
      </c>
      <c r="E259" s="19" t="s">
        <v>810</v>
      </c>
      <c r="F259" s="25" t="s">
        <v>377</v>
      </c>
      <c r="G259" s="25" t="s">
        <v>582</v>
      </c>
      <c r="H259" s="25" t="s">
        <v>36</v>
      </c>
      <c r="I259" s="30">
        <v>46085.0</v>
      </c>
      <c r="J259" s="15">
        <v>0.0</v>
      </c>
      <c r="K259" s="25" t="s">
        <v>38</v>
      </c>
      <c r="L259" s="28">
        <v>100000.0</v>
      </c>
      <c r="M259" s="28">
        <v>0.0</v>
      </c>
      <c r="N259" s="76">
        <v>0.0</v>
      </c>
      <c r="O259" s="28">
        <v>0.0</v>
      </c>
      <c r="P259" s="77">
        <v>0.0</v>
      </c>
      <c r="Q259" s="33"/>
      <c r="R259" s="11"/>
    </row>
    <row r="260" ht="15.75" customHeight="1">
      <c r="A260" s="13">
        <f t="shared" si="1"/>
        <v>259</v>
      </c>
      <c r="B260" s="15" t="s">
        <v>24</v>
      </c>
      <c r="C260" s="17">
        <v>1663.0</v>
      </c>
      <c r="D260" s="15" t="s">
        <v>122</v>
      </c>
      <c r="E260" s="19" t="s">
        <v>811</v>
      </c>
      <c r="F260" s="25" t="s">
        <v>44</v>
      </c>
      <c r="G260" s="25" t="s">
        <v>478</v>
      </c>
      <c r="H260" s="25" t="s">
        <v>36</v>
      </c>
      <c r="I260" s="30">
        <v>46088.0</v>
      </c>
      <c r="J260" s="15">
        <v>0.0</v>
      </c>
      <c r="K260" s="25" t="s">
        <v>57</v>
      </c>
      <c r="L260" s="28">
        <v>11000.0</v>
      </c>
      <c r="M260" s="28">
        <v>0.0</v>
      </c>
      <c r="N260" s="76">
        <v>0.0</v>
      </c>
      <c r="O260" s="28">
        <v>0.0</v>
      </c>
      <c r="P260" s="77">
        <v>0.0</v>
      </c>
      <c r="Q260" s="33"/>
      <c r="R260" s="11"/>
    </row>
    <row r="261" ht="15.75" customHeight="1">
      <c r="A261" s="13">
        <f t="shared" si="1"/>
        <v>260</v>
      </c>
      <c r="B261" s="15" t="s">
        <v>24</v>
      </c>
      <c r="C261" s="17">
        <v>1663.0</v>
      </c>
      <c r="D261" s="15" t="s">
        <v>122</v>
      </c>
      <c r="E261" s="19" t="s">
        <v>812</v>
      </c>
      <c r="F261" s="25" t="s">
        <v>44</v>
      </c>
      <c r="G261" s="25" t="s">
        <v>478</v>
      </c>
      <c r="H261" s="25" t="s">
        <v>37</v>
      </c>
      <c r="I261" s="30">
        <v>46088.0</v>
      </c>
      <c r="J261" s="15">
        <v>0.0</v>
      </c>
      <c r="K261" s="25" t="s">
        <v>57</v>
      </c>
      <c r="L261" s="28">
        <v>5500.0</v>
      </c>
      <c r="M261" s="28">
        <v>0.0</v>
      </c>
      <c r="N261" s="76">
        <v>0.0</v>
      </c>
      <c r="O261" s="28">
        <v>0.0</v>
      </c>
      <c r="P261" s="77">
        <v>0.0</v>
      </c>
      <c r="Q261" s="33"/>
      <c r="R261" s="11"/>
    </row>
    <row r="262" ht="15.75" customHeight="1">
      <c r="A262" s="13">
        <f t="shared" si="1"/>
        <v>261</v>
      </c>
      <c r="B262" s="15" t="s">
        <v>24</v>
      </c>
      <c r="C262" s="17">
        <v>1663.0</v>
      </c>
      <c r="D262" s="15" t="s">
        <v>122</v>
      </c>
      <c r="E262" s="19" t="s">
        <v>813</v>
      </c>
      <c r="F262" s="25" t="s">
        <v>44</v>
      </c>
      <c r="G262" s="25" t="s">
        <v>493</v>
      </c>
      <c r="H262" s="25" t="s">
        <v>37</v>
      </c>
      <c r="I262" s="30">
        <v>46088.0</v>
      </c>
      <c r="J262" s="15">
        <v>0.0</v>
      </c>
      <c r="K262" s="25" t="s">
        <v>57</v>
      </c>
      <c r="L262" s="28">
        <v>5500.0</v>
      </c>
      <c r="M262" s="28">
        <v>0.0</v>
      </c>
      <c r="N262" s="76">
        <v>0.0</v>
      </c>
      <c r="O262" s="28">
        <v>0.0</v>
      </c>
      <c r="P262" s="77">
        <v>0.0</v>
      </c>
      <c r="Q262" s="33"/>
      <c r="R262" s="11"/>
    </row>
    <row r="263" ht="15.75" customHeight="1">
      <c r="A263" s="13">
        <f t="shared" si="1"/>
        <v>262</v>
      </c>
      <c r="B263" s="15" t="s">
        <v>24</v>
      </c>
      <c r="C263" s="17">
        <v>1663.0</v>
      </c>
      <c r="D263" s="15" t="s">
        <v>211</v>
      </c>
      <c r="E263" s="19" t="s">
        <v>814</v>
      </c>
      <c r="F263" s="25" t="s">
        <v>169</v>
      </c>
      <c r="G263" s="25" t="s">
        <v>170</v>
      </c>
      <c r="H263" s="25" t="s">
        <v>36</v>
      </c>
      <c r="I263" s="32">
        <v>46090.0</v>
      </c>
      <c r="J263" s="15">
        <v>0.0</v>
      </c>
      <c r="K263" s="25" t="s">
        <v>57</v>
      </c>
      <c r="L263" s="28">
        <v>17000.0</v>
      </c>
      <c r="M263" s="28">
        <v>0.0</v>
      </c>
      <c r="N263" s="28">
        <v>0.0</v>
      </c>
      <c r="O263" s="28">
        <v>0.0</v>
      </c>
      <c r="P263" s="28">
        <v>0.0</v>
      </c>
      <c r="Q263" s="33"/>
      <c r="R263" s="11"/>
    </row>
    <row r="264" ht="15.75" customHeight="1">
      <c r="A264" s="13">
        <f t="shared" si="1"/>
        <v>263</v>
      </c>
      <c r="B264" s="15" t="s">
        <v>24</v>
      </c>
      <c r="C264" s="17">
        <v>1663.0</v>
      </c>
      <c r="D264" s="15" t="s">
        <v>122</v>
      </c>
      <c r="E264" s="19" t="s">
        <v>815</v>
      </c>
      <c r="F264" s="25" t="s">
        <v>191</v>
      </c>
      <c r="G264" s="25" t="s">
        <v>252</v>
      </c>
      <c r="H264" s="25" t="s">
        <v>36</v>
      </c>
      <c r="I264" s="32">
        <v>46090.0</v>
      </c>
      <c r="J264" s="15">
        <v>0.0</v>
      </c>
      <c r="K264" s="25" t="s">
        <v>57</v>
      </c>
      <c r="L264" s="28">
        <v>0.0</v>
      </c>
      <c r="M264" s="28">
        <v>29700.0</v>
      </c>
      <c r="N264" s="28">
        <v>0.0</v>
      </c>
      <c r="O264" s="28">
        <v>0.0</v>
      </c>
      <c r="P264" s="28">
        <v>0.0</v>
      </c>
      <c r="Q264" s="33"/>
      <c r="R264" s="11"/>
    </row>
    <row r="265" ht="15.75" customHeight="1">
      <c r="A265" s="13">
        <f t="shared" si="1"/>
        <v>264</v>
      </c>
      <c r="B265" s="15" t="s">
        <v>24</v>
      </c>
      <c r="C265" s="17">
        <v>1663.0</v>
      </c>
      <c r="D265" s="15" t="s">
        <v>122</v>
      </c>
      <c r="E265" s="19" t="s">
        <v>816</v>
      </c>
      <c r="F265" s="25" t="s">
        <v>184</v>
      </c>
      <c r="G265" s="25" t="s">
        <v>449</v>
      </c>
      <c r="H265" s="25" t="s">
        <v>37</v>
      </c>
      <c r="I265" s="32">
        <v>46090.0</v>
      </c>
      <c r="J265" s="15">
        <v>0.0</v>
      </c>
      <c r="K265" s="25" t="s">
        <v>57</v>
      </c>
      <c r="L265" s="28">
        <v>5000.0</v>
      </c>
      <c r="M265" s="100">
        <v>0.0</v>
      </c>
      <c r="N265" s="100">
        <v>0.0</v>
      </c>
      <c r="O265" s="100">
        <v>0.0</v>
      </c>
      <c r="P265" s="100">
        <v>0.0</v>
      </c>
      <c r="Q265" s="33"/>
      <c r="R265" s="11"/>
    </row>
    <row r="266" ht="15.75" customHeight="1">
      <c r="A266" s="13">
        <f t="shared" si="1"/>
        <v>265</v>
      </c>
      <c r="B266" s="15" t="s">
        <v>24</v>
      </c>
      <c r="C266" s="17">
        <v>1663.0</v>
      </c>
      <c r="D266" s="15" t="s">
        <v>122</v>
      </c>
      <c r="E266" s="19" t="s">
        <v>817</v>
      </c>
      <c r="F266" s="25" t="s">
        <v>184</v>
      </c>
      <c r="G266" s="25" t="s">
        <v>449</v>
      </c>
      <c r="H266" s="25" t="s">
        <v>36</v>
      </c>
      <c r="I266" s="32">
        <v>46090.0</v>
      </c>
      <c r="J266" s="15">
        <v>0.0</v>
      </c>
      <c r="K266" s="25" t="s">
        <v>57</v>
      </c>
      <c r="L266" s="28">
        <v>15000.0</v>
      </c>
      <c r="M266" s="100">
        <v>0.0</v>
      </c>
      <c r="N266" s="100">
        <v>0.0</v>
      </c>
      <c r="O266" s="100">
        <v>0.0</v>
      </c>
      <c r="P266" s="100">
        <v>0.0</v>
      </c>
      <c r="Q266" s="33"/>
      <c r="R266" s="11"/>
    </row>
    <row r="267" ht="15.75" customHeight="1">
      <c r="A267" s="13">
        <f t="shared" si="1"/>
        <v>266</v>
      </c>
      <c r="B267" s="15" t="s">
        <v>24</v>
      </c>
      <c r="C267" s="17">
        <v>1663.0</v>
      </c>
      <c r="D267" s="15" t="s">
        <v>122</v>
      </c>
      <c r="E267" s="19" t="s">
        <v>818</v>
      </c>
      <c r="F267" s="25" t="s">
        <v>27</v>
      </c>
      <c r="G267" s="25" t="s">
        <v>69</v>
      </c>
      <c r="H267" s="25" t="s">
        <v>36</v>
      </c>
      <c r="I267" s="32">
        <v>46090.0</v>
      </c>
      <c r="J267" s="15">
        <v>0.0</v>
      </c>
      <c r="K267" s="25" t="s">
        <v>57</v>
      </c>
      <c r="L267" s="28">
        <v>0.0</v>
      </c>
      <c r="M267" s="28">
        <v>17000.0</v>
      </c>
      <c r="N267" s="28">
        <v>0.0</v>
      </c>
      <c r="O267" s="28">
        <v>0.0</v>
      </c>
      <c r="P267" s="28">
        <v>0.0</v>
      </c>
      <c r="Q267" s="33"/>
      <c r="R267" s="11"/>
    </row>
    <row r="268" ht="15.75" customHeight="1">
      <c r="A268" s="13">
        <f t="shared" si="1"/>
        <v>267</v>
      </c>
      <c r="B268" s="15" t="s">
        <v>24</v>
      </c>
      <c r="C268" s="17">
        <v>1663.0</v>
      </c>
      <c r="D268" s="15" t="s">
        <v>122</v>
      </c>
      <c r="E268" s="19" t="s">
        <v>819</v>
      </c>
      <c r="F268" s="25" t="s">
        <v>820</v>
      </c>
      <c r="G268" s="25" t="s">
        <v>821</v>
      </c>
      <c r="H268" s="25" t="s">
        <v>36</v>
      </c>
      <c r="I268" s="32">
        <v>46090.0</v>
      </c>
      <c r="J268" s="15">
        <v>1.0</v>
      </c>
      <c r="K268" s="25" t="s">
        <v>38</v>
      </c>
      <c r="L268" s="28">
        <v>10000.0</v>
      </c>
      <c r="M268" s="100">
        <v>0.0</v>
      </c>
      <c r="N268" s="100">
        <v>0.0</v>
      </c>
      <c r="O268" s="100">
        <v>0.0</v>
      </c>
      <c r="P268" s="100">
        <v>0.0</v>
      </c>
      <c r="Q268" s="33"/>
      <c r="R268" s="11"/>
    </row>
    <row r="269" ht="15.75" customHeight="1">
      <c r="A269" s="13">
        <f t="shared" si="1"/>
        <v>268</v>
      </c>
      <c r="B269" s="15" t="s">
        <v>24</v>
      </c>
      <c r="C269" s="17">
        <v>1663.0</v>
      </c>
      <c r="D269" s="15" t="s">
        <v>122</v>
      </c>
      <c r="E269" s="19" t="s">
        <v>822</v>
      </c>
      <c r="F269" s="25" t="s">
        <v>514</v>
      </c>
      <c r="G269" s="25" t="s">
        <v>64</v>
      </c>
      <c r="H269" s="25" t="s">
        <v>36</v>
      </c>
      <c r="I269" s="32">
        <v>46090.0</v>
      </c>
      <c r="J269" s="15">
        <v>0.0</v>
      </c>
      <c r="K269" s="25" t="s">
        <v>57</v>
      </c>
      <c r="L269" s="28">
        <v>7500.0</v>
      </c>
      <c r="M269" s="28">
        <v>0.0</v>
      </c>
      <c r="N269" s="100">
        <v>0.0</v>
      </c>
      <c r="O269" s="100">
        <v>0.0</v>
      </c>
      <c r="P269" s="100">
        <v>0.0</v>
      </c>
      <c r="Q269" s="33"/>
      <c r="R269" s="11"/>
    </row>
    <row r="270" ht="15.75" customHeight="1">
      <c r="A270" s="13">
        <f t="shared" si="1"/>
        <v>269</v>
      </c>
      <c r="B270" s="15" t="s">
        <v>24</v>
      </c>
      <c r="C270" s="17">
        <v>1663.0</v>
      </c>
      <c r="D270" s="15" t="s">
        <v>122</v>
      </c>
      <c r="E270" s="19" t="s">
        <v>823</v>
      </c>
      <c r="F270" s="153" t="s">
        <v>272</v>
      </c>
      <c r="G270" s="25" t="s">
        <v>824</v>
      </c>
      <c r="H270" s="25" t="s">
        <v>36</v>
      </c>
      <c r="I270" s="32">
        <v>46090.0</v>
      </c>
      <c r="J270" s="15">
        <v>1.0</v>
      </c>
      <c r="K270" s="25" t="s">
        <v>38</v>
      </c>
      <c r="L270" s="28">
        <v>5000.0</v>
      </c>
      <c r="M270" s="100">
        <v>0.0</v>
      </c>
      <c r="N270" s="100">
        <v>0.0</v>
      </c>
      <c r="O270" s="100">
        <v>0.0</v>
      </c>
      <c r="P270" s="100">
        <v>0.0</v>
      </c>
      <c r="Q270" s="33"/>
      <c r="R270" s="11"/>
    </row>
    <row r="271" ht="15.75" customHeight="1">
      <c r="A271" s="13">
        <f t="shared" si="1"/>
        <v>270</v>
      </c>
      <c r="B271" s="15" t="s">
        <v>24</v>
      </c>
      <c r="C271" s="17">
        <v>1663.0</v>
      </c>
      <c r="D271" s="17" t="s">
        <v>122</v>
      </c>
      <c r="E271" s="19" t="s">
        <v>825</v>
      </c>
      <c r="F271" s="25"/>
      <c r="G271" s="25" t="s">
        <v>428</v>
      </c>
      <c r="H271" s="25" t="s">
        <v>36</v>
      </c>
      <c r="I271" s="32">
        <v>46091.0</v>
      </c>
      <c r="J271" s="15">
        <v>0.0</v>
      </c>
      <c r="K271" s="25" t="s">
        <v>57</v>
      </c>
      <c r="L271" s="28">
        <v>7000.0</v>
      </c>
      <c r="M271" s="100">
        <v>0.0</v>
      </c>
      <c r="N271" s="100">
        <v>0.0</v>
      </c>
      <c r="O271" s="100">
        <v>0.0</v>
      </c>
      <c r="P271" s="100">
        <v>0.0</v>
      </c>
      <c r="Q271" s="33"/>
      <c r="R271" s="11"/>
    </row>
    <row r="272" ht="15.75" customHeight="1">
      <c r="A272" s="13">
        <f t="shared" si="1"/>
        <v>271</v>
      </c>
      <c r="B272" s="15" t="s">
        <v>24</v>
      </c>
      <c r="C272" s="17">
        <v>1663.0</v>
      </c>
      <c r="D272" s="15" t="s">
        <v>211</v>
      </c>
      <c r="E272" s="19" t="s">
        <v>826</v>
      </c>
      <c r="F272" s="25" t="s">
        <v>208</v>
      </c>
      <c r="G272" s="25" t="s">
        <v>653</v>
      </c>
      <c r="H272" s="25" t="s">
        <v>37</v>
      </c>
      <c r="I272" s="32">
        <v>46091.0</v>
      </c>
      <c r="J272" s="15">
        <v>0.0</v>
      </c>
      <c r="K272" s="25" t="s">
        <v>57</v>
      </c>
      <c r="L272" s="28">
        <v>6000.0</v>
      </c>
      <c r="M272" s="28">
        <v>0.0</v>
      </c>
      <c r="N272" s="28">
        <v>0.0</v>
      </c>
      <c r="O272" s="28">
        <v>0.0</v>
      </c>
      <c r="P272" s="28">
        <v>0.0</v>
      </c>
      <c r="Q272" s="33"/>
      <c r="R272" s="11"/>
    </row>
    <row r="273" ht="15.75" customHeight="1">
      <c r="A273" s="13">
        <f t="shared" si="1"/>
        <v>272</v>
      </c>
      <c r="B273" s="15" t="s">
        <v>24</v>
      </c>
      <c r="C273" s="17">
        <v>1663.0</v>
      </c>
      <c r="D273" s="15" t="s">
        <v>122</v>
      </c>
      <c r="E273" s="19" t="s">
        <v>827</v>
      </c>
      <c r="F273" s="25" t="s">
        <v>27</v>
      </c>
      <c r="G273" s="25" t="s">
        <v>780</v>
      </c>
      <c r="H273" s="25" t="s">
        <v>36</v>
      </c>
      <c r="I273" s="32">
        <v>46091.0</v>
      </c>
      <c r="J273" s="15">
        <v>0.0</v>
      </c>
      <c r="K273" s="25" t="s">
        <v>57</v>
      </c>
      <c r="L273" s="28">
        <v>0.0</v>
      </c>
      <c r="M273" s="28">
        <v>10000.0</v>
      </c>
      <c r="N273" s="28">
        <v>0.0</v>
      </c>
      <c r="O273" s="76">
        <v>0.0</v>
      </c>
      <c r="P273" s="77">
        <v>0.0</v>
      </c>
      <c r="Q273" s="33"/>
      <c r="R273" s="11"/>
    </row>
    <row r="274" ht="15.75" customHeight="1">
      <c r="A274" s="13">
        <f t="shared" si="1"/>
        <v>273</v>
      </c>
      <c r="B274" s="15" t="s">
        <v>24</v>
      </c>
      <c r="C274" s="17">
        <v>1663.0</v>
      </c>
      <c r="D274" s="15" t="s">
        <v>122</v>
      </c>
      <c r="E274" s="19" t="s">
        <v>828</v>
      </c>
      <c r="F274" s="25" t="s">
        <v>44</v>
      </c>
      <c r="G274" s="25" t="s">
        <v>45</v>
      </c>
      <c r="H274" s="25" t="s">
        <v>36</v>
      </c>
      <c r="I274" s="73">
        <v>46091.0</v>
      </c>
      <c r="J274" s="15">
        <v>0.0</v>
      </c>
      <c r="K274" s="25" t="s">
        <v>57</v>
      </c>
      <c r="L274" s="28">
        <v>8000.0</v>
      </c>
      <c r="M274" s="28">
        <v>0.0</v>
      </c>
      <c r="N274" s="28">
        <v>0.0</v>
      </c>
      <c r="O274" s="28">
        <v>0.0</v>
      </c>
      <c r="P274" s="28">
        <v>0.0</v>
      </c>
      <c r="Q274" s="33"/>
      <c r="R274" s="11"/>
    </row>
    <row r="275" ht="15.75" customHeight="1">
      <c r="A275" s="13">
        <f t="shared" si="1"/>
        <v>274</v>
      </c>
      <c r="B275" s="15" t="s">
        <v>24</v>
      </c>
      <c r="C275" s="17">
        <v>1663.0</v>
      </c>
      <c r="D275" s="169" t="s">
        <v>211</v>
      </c>
      <c r="E275" s="19" t="s">
        <v>829</v>
      </c>
      <c r="F275" s="168" t="s">
        <v>647</v>
      </c>
      <c r="G275" s="168" t="s">
        <v>688</v>
      </c>
      <c r="H275" s="168" t="s">
        <v>36</v>
      </c>
      <c r="I275" s="170">
        <v>46091.0</v>
      </c>
      <c r="J275" s="171">
        <v>1.0</v>
      </c>
      <c r="K275" s="172" t="s">
        <v>38</v>
      </c>
      <c r="L275" s="173">
        <v>0.0</v>
      </c>
      <c r="M275" s="173">
        <v>150000.0</v>
      </c>
      <c r="N275" s="173">
        <v>0.0</v>
      </c>
      <c r="O275" s="173">
        <v>0.0</v>
      </c>
      <c r="P275" s="174">
        <v>0.0</v>
      </c>
      <c r="Q275" s="23"/>
      <c r="R275" s="11"/>
    </row>
    <row r="276" ht="15.75" customHeight="1">
      <c r="A276" s="13">
        <f t="shared" si="1"/>
        <v>275</v>
      </c>
      <c r="B276" s="15" t="s">
        <v>24</v>
      </c>
      <c r="C276" s="17">
        <v>1663.0</v>
      </c>
      <c r="D276" s="17" t="s">
        <v>211</v>
      </c>
      <c r="E276" s="19" t="s">
        <v>830</v>
      </c>
      <c r="F276" s="23" t="s">
        <v>208</v>
      </c>
      <c r="G276" s="23" t="s">
        <v>661</v>
      </c>
      <c r="H276" s="23" t="s">
        <v>36</v>
      </c>
      <c r="I276" s="175">
        <v>46092.0</v>
      </c>
      <c r="J276" s="17">
        <v>0.0</v>
      </c>
      <c r="K276" s="28" t="s">
        <v>57</v>
      </c>
      <c r="L276" s="28">
        <v>0.0</v>
      </c>
      <c r="M276" s="28">
        <v>0.0</v>
      </c>
      <c r="N276" s="28">
        <v>12500.0</v>
      </c>
      <c r="O276" s="28">
        <v>0.0</v>
      </c>
      <c r="P276" s="174">
        <v>0.0</v>
      </c>
      <c r="Q276" s="176">
        <v>46047.0</v>
      </c>
      <c r="R276" s="11"/>
    </row>
    <row r="277" ht="15.75" customHeight="1">
      <c r="A277" s="13">
        <f t="shared" si="1"/>
        <v>276</v>
      </c>
      <c r="B277" s="15" t="s">
        <v>24</v>
      </c>
      <c r="C277" s="17">
        <v>1663.0</v>
      </c>
      <c r="D277" s="17" t="s">
        <v>211</v>
      </c>
      <c r="E277" s="19" t="s">
        <v>831</v>
      </c>
      <c r="F277" s="23" t="s">
        <v>208</v>
      </c>
      <c r="G277" s="23" t="s">
        <v>661</v>
      </c>
      <c r="H277" s="23" t="s">
        <v>36</v>
      </c>
      <c r="I277" s="175">
        <v>46092.0</v>
      </c>
      <c r="J277" s="17">
        <v>0.0</v>
      </c>
      <c r="K277" s="28" t="s">
        <v>57</v>
      </c>
      <c r="L277" s="28">
        <v>0.0</v>
      </c>
      <c r="M277" s="28">
        <v>0.0</v>
      </c>
      <c r="N277" s="28">
        <v>12500.0</v>
      </c>
      <c r="O277" s="28">
        <v>0.0</v>
      </c>
      <c r="P277" s="174">
        <v>0.0</v>
      </c>
      <c r="Q277" s="176">
        <v>46047.0</v>
      </c>
      <c r="R277" s="11"/>
    </row>
    <row r="278" ht="15.75" customHeight="1">
      <c r="A278" s="13">
        <f t="shared" si="1"/>
        <v>277</v>
      </c>
      <c r="B278" s="15" t="s">
        <v>24</v>
      </c>
      <c r="C278" s="17">
        <v>1663.0</v>
      </c>
      <c r="D278" s="17" t="s">
        <v>211</v>
      </c>
      <c r="E278" s="19" t="s">
        <v>832</v>
      </c>
      <c r="F278" s="23" t="s">
        <v>208</v>
      </c>
      <c r="G278" s="23" t="s">
        <v>661</v>
      </c>
      <c r="H278" s="23" t="s">
        <v>36</v>
      </c>
      <c r="I278" s="175">
        <v>46092.0</v>
      </c>
      <c r="J278" s="17">
        <v>0.0</v>
      </c>
      <c r="K278" s="28" t="s">
        <v>57</v>
      </c>
      <c r="L278" s="28">
        <v>0.0</v>
      </c>
      <c r="M278" s="28">
        <v>0.0</v>
      </c>
      <c r="N278" s="28">
        <v>12500.0</v>
      </c>
      <c r="O278" s="28">
        <v>0.0</v>
      </c>
      <c r="P278" s="174">
        <v>0.0</v>
      </c>
      <c r="Q278" s="176">
        <v>46163.0</v>
      </c>
      <c r="R278" s="11"/>
    </row>
    <row r="279" ht="15.75" customHeight="1">
      <c r="A279" s="13">
        <f t="shared" si="1"/>
        <v>278</v>
      </c>
      <c r="B279" s="15" t="s">
        <v>24</v>
      </c>
      <c r="C279" s="17">
        <v>1663.0</v>
      </c>
      <c r="D279" s="17" t="s">
        <v>211</v>
      </c>
      <c r="E279" s="19" t="s">
        <v>833</v>
      </c>
      <c r="F279" s="23" t="s">
        <v>208</v>
      </c>
      <c r="G279" s="23" t="s">
        <v>661</v>
      </c>
      <c r="H279" s="23" t="s">
        <v>36</v>
      </c>
      <c r="I279" s="175">
        <v>46092.0</v>
      </c>
      <c r="J279" s="17">
        <v>0.0</v>
      </c>
      <c r="K279" s="28" t="s">
        <v>57</v>
      </c>
      <c r="L279" s="28">
        <v>0.0</v>
      </c>
      <c r="M279" s="28">
        <v>0.0</v>
      </c>
      <c r="N279" s="28">
        <v>12500.0</v>
      </c>
      <c r="O279" s="28">
        <v>0.0</v>
      </c>
      <c r="P279" s="174">
        <v>0.0</v>
      </c>
      <c r="Q279" s="176">
        <v>46195.0</v>
      </c>
      <c r="R279" s="11"/>
    </row>
    <row r="280" ht="15.75" customHeight="1">
      <c r="A280" s="13">
        <f t="shared" si="1"/>
        <v>279</v>
      </c>
      <c r="B280" s="15" t="s">
        <v>24</v>
      </c>
      <c r="C280" s="17">
        <v>1663.0</v>
      </c>
      <c r="D280" s="17" t="s">
        <v>211</v>
      </c>
      <c r="E280" s="19" t="s">
        <v>834</v>
      </c>
      <c r="F280" s="23" t="s">
        <v>208</v>
      </c>
      <c r="G280" s="23" t="s">
        <v>661</v>
      </c>
      <c r="H280" s="23" t="s">
        <v>36</v>
      </c>
      <c r="I280" s="175">
        <v>46092.0</v>
      </c>
      <c r="J280" s="17">
        <v>0.0</v>
      </c>
      <c r="K280" s="28" t="s">
        <v>57</v>
      </c>
      <c r="L280" s="28">
        <v>0.0</v>
      </c>
      <c r="M280" s="28">
        <v>0.0</v>
      </c>
      <c r="N280" s="28">
        <v>12500.0</v>
      </c>
      <c r="O280" s="28">
        <v>0.0</v>
      </c>
      <c r="P280" s="174">
        <v>0.0</v>
      </c>
      <c r="Q280" s="176">
        <v>46226.0</v>
      </c>
      <c r="R280" s="11"/>
    </row>
    <row r="281" ht="15.75" customHeight="1">
      <c r="A281" s="13">
        <f t="shared" si="1"/>
        <v>280</v>
      </c>
      <c r="B281" s="15" t="s">
        <v>24</v>
      </c>
      <c r="C281" s="17">
        <v>1663.0</v>
      </c>
      <c r="D281" s="17" t="s">
        <v>122</v>
      </c>
      <c r="E281" s="19" t="s">
        <v>835</v>
      </c>
      <c r="F281" s="25" t="s">
        <v>191</v>
      </c>
      <c r="G281" s="25" t="s">
        <v>316</v>
      </c>
      <c r="H281" s="25" t="s">
        <v>36</v>
      </c>
      <c r="I281" s="177">
        <v>46092.0</v>
      </c>
      <c r="J281" s="15">
        <v>0.0</v>
      </c>
      <c r="K281" s="15" t="s">
        <v>57</v>
      </c>
      <c r="L281" s="28">
        <v>10000.0</v>
      </c>
      <c r="M281" s="100">
        <v>0.0</v>
      </c>
      <c r="N281" s="100">
        <v>0.0</v>
      </c>
      <c r="O281" s="100">
        <v>0.0</v>
      </c>
      <c r="P281" s="100">
        <v>0.0</v>
      </c>
      <c r="Q281" s="33"/>
      <c r="R281" s="11"/>
    </row>
    <row r="282" ht="15.75" customHeight="1">
      <c r="A282" s="13">
        <f t="shared" si="1"/>
        <v>281</v>
      </c>
      <c r="B282" s="15" t="s">
        <v>24</v>
      </c>
      <c r="C282" s="17">
        <v>1663.0</v>
      </c>
      <c r="D282" s="17" t="s">
        <v>211</v>
      </c>
      <c r="E282" s="19" t="s">
        <v>836</v>
      </c>
      <c r="F282" s="23" t="s">
        <v>647</v>
      </c>
      <c r="G282" s="23" t="s">
        <v>688</v>
      </c>
      <c r="H282" s="168" t="s">
        <v>36</v>
      </c>
      <c r="I282" s="177">
        <v>46093.0</v>
      </c>
      <c r="J282" s="178">
        <v>0.0</v>
      </c>
      <c r="K282" s="172" t="s">
        <v>38</v>
      </c>
      <c r="L282" s="173">
        <v>0.0</v>
      </c>
      <c r="M282" s="173">
        <v>150000.0</v>
      </c>
      <c r="N282" s="173">
        <v>0.0</v>
      </c>
      <c r="O282" s="173">
        <v>0.0</v>
      </c>
      <c r="P282" s="174">
        <v>0.0</v>
      </c>
      <c r="Q282" s="33"/>
      <c r="R282" s="11"/>
    </row>
    <row r="283" ht="15.75" customHeight="1">
      <c r="A283" s="13">
        <f t="shared" si="1"/>
        <v>282</v>
      </c>
      <c r="B283" s="15" t="s">
        <v>24</v>
      </c>
      <c r="C283" s="17">
        <v>1663.0</v>
      </c>
      <c r="D283" s="17" t="s">
        <v>122</v>
      </c>
      <c r="E283" s="19" t="s">
        <v>837</v>
      </c>
      <c r="F283" s="25" t="s">
        <v>191</v>
      </c>
      <c r="G283" s="25" t="s">
        <v>252</v>
      </c>
      <c r="H283" s="25" t="s">
        <v>36</v>
      </c>
      <c r="I283" s="177">
        <v>46093.0</v>
      </c>
      <c r="J283" s="17">
        <v>0.0</v>
      </c>
      <c r="K283" s="25" t="s">
        <v>38</v>
      </c>
      <c r="L283" s="28">
        <v>100000.0</v>
      </c>
      <c r="M283" s="28">
        <v>0.0</v>
      </c>
      <c r="N283" s="28">
        <v>0.0</v>
      </c>
      <c r="O283" s="28">
        <v>0.0</v>
      </c>
      <c r="P283" s="28">
        <v>0.0</v>
      </c>
      <c r="Q283" s="33"/>
      <c r="R283" s="11"/>
    </row>
    <row r="284" ht="15.75" customHeight="1">
      <c r="A284" s="13">
        <f t="shared" si="1"/>
        <v>283</v>
      </c>
      <c r="B284" s="15" t="s">
        <v>24</v>
      </c>
      <c r="C284" s="17">
        <v>1663.0</v>
      </c>
      <c r="D284" s="17" t="s">
        <v>122</v>
      </c>
      <c r="E284" s="19" t="s">
        <v>838</v>
      </c>
      <c r="F284" s="25" t="s">
        <v>92</v>
      </c>
      <c r="G284" s="25" t="s">
        <v>700</v>
      </c>
      <c r="H284" s="25" t="s">
        <v>36</v>
      </c>
      <c r="I284" s="179">
        <v>46093.0</v>
      </c>
      <c r="J284" s="15">
        <v>0.0</v>
      </c>
      <c r="K284" s="25" t="s">
        <v>38</v>
      </c>
      <c r="L284" s="28">
        <v>10000.0</v>
      </c>
      <c r="M284" s="28">
        <v>0.0</v>
      </c>
      <c r="N284" s="28">
        <v>0.0</v>
      </c>
      <c r="O284" s="28">
        <v>0.0</v>
      </c>
      <c r="P284" s="28">
        <v>0.0</v>
      </c>
      <c r="Q284" s="33"/>
      <c r="R284" s="11"/>
    </row>
    <row r="285" ht="15.75" customHeight="1">
      <c r="A285" s="13">
        <f t="shared" si="1"/>
        <v>284</v>
      </c>
      <c r="B285" s="15" t="s">
        <v>24</v>
      </c>
      <c r="C285" s="17">
        <v>1663.0</v>
      </c>
      <c r="D285" s="17" t="s">
        <v>211</v>
      </c>
      <c r="E285" s="19" t="s">
        <v>839</v>
      </c>
      <c r="F285" s="25" t="s">
        <v>169</v>
      </c>
      <c r="G285" s="23" t="s">
        <v>840</v>
      </c>
      <c r="H285" s="25" t="s">
        <v>36</v>
      </c>
      <c r="I285" s="179">
        <v>46093.0</v>
      </c>
      <c r="J285" s="17">
        <v>1.0</v>
      </c>
      <c r="K285" s="25" t="s">
        <v>38</v>
      </c>
      <c r="L285" s="28">
        <v>5000.0</v>
      </c>
      <c r="M285" s="28">
        <v>0.0</v>
      </c>
      <c r="N285" s="28">
        <v>0.0</v>
      </c>
      <c r="O285" s="28">
        <v>0.0</v>
      </c>
      <c r="P285" s="28">
        <v>0.0</v>
      </c>
      <c r="Q285" s="33"/>
      <c r="R285" s="11"/>
    </row>
    <row r="286" ht="15.75" customHeight="1">
      <c r="A286" s="13">
        <f t="shared" si="1"/>
        <v>285</v>
      </c>
      <c r="B286" s="15" t="s">
        <v>24</v>
      </c>
      <c r="C286" s="17">
        <v>1663.0</v>
      </c>
      <c r="D286" s="17" t="s">
        <v>211</v>
      </c>
      <c r="E286" s="19" t="s">
        <v>841</v>
      </c>
      <c r="F286" s="25" t="s">
        <v>293</v>
      </c>
      <c r="G286" s="25" t="s">
        <v>294</v>
      </c>
      <c r="H286" s="25" t="s">
        <v>37</v>
      </c>
      <c r="I286" s="179">
        <v>46093.0</v>
      </c>
      <c r="J286" s="17">
        <v>0.0</v>
      </c>
      <c r="K286" s="25" t="s">
        <v>38</v>
      </c>
      <c r="L286" s="28">
        <v>0.0</v>
      </c>
      <c r="M286" s="28">
        <v>0.0</v>
      </c>
      <c r="N286" s="28">
        <v>96000.0</v>
      </c>
      <c r="O286" s="28">
        <v>0.0</v>
      </c>
      <c r="P286" s="28">
        <v>0.0</v>
      </c>
      <c r="Q286" s="180">
        <v>46096.0</v>
      </c>
      <c r="R286" s="11"/>
    </row>
    <row r="287" ht="15.75" customHeight="1">
      <c r="A287" s="13">
        <f t="shared" si="1"/>
        <v>286</v>
      </c>
      <c r="B287" s="15" t="s">
        <v>24</v>
      </c>
      <c r="C287" s="17">
        <v>1663.0</v>
      </c>
      <c r="D287" s="17" t="s">
        <v>211</v>
      </c>
      <c r="E287" s="19" t="s">
        <v>842</v>
      </c>
      <c r="F287" s="181" t="s">
        <v>82</v>
      </c>
      <c r="G287" s="182" t="s">
        <v>843</v>
      </c>
      <c r="H287" s="25"/>
      <c r="I287" s="179"/>
      <c r="J287" s="17"/>
      <c r="K287" s="25"/>
      <c r="L287" s="28"/>
      <c r="M287" s="28"/>
      <c r="N287" s="28"/>
      <c r="O287" s="28"/>
      <c r="P287" s="28"/>
      <c r="Q287" s="33"/>
      <c r="R287" s="11"/>
    </row>
    <row r="288" ht="15.75" customHeight="1">
      <c r="A288" s="13">
        <f t="shared" si="1"/>
        <v>287</v>
      </c>
      <c r="B288" s="15" t="s">
        <v>24</v>
      </c>
      <c r="C288" s="17">
        <v>1663.0</v>
      </c>
      <c r="D288" s="17" t="s">
        <v>122</v>
      </c>
      <c r="E288" s="19" t="s">
        <v>844</v>
      </c>
      <c r="F288" s="25"/>
      <c r="G288" s="25" t="s">
        <v>336</v>
      </c>
      <c r="H288" s="25" t="s">
        <v>36</v>
      </c>
      <c r="I288" s="179">
        <v>46093.0</v>
      </c>
      <c r="J288" s="15">
        <v>0.0</v>
      </c>
      <c r="K288" s="25" t="s">
        <v>57</v>
      </c>
      <c r="L288" s="28">
        <v>0.0</v>
      </c>
      <c r="M288" s="28">
        <v>16000.0</v>
      </c>
      <c r="N288" s="28">
        <v>0.0</v>
      </c>
      <c r="O288" s="28">
        <v>0.0</v>
      </c>
      <c r="P288" s="28">
        <v>0.0</v>
      </c>
      <c r="Q288" s="33"/>
      <c r="R288" s="11"/>
    </row>
    <row r="289" ht="15.75" customHeight="1">
      <c r="A289" s="13">
        <f t="shared" si="1"/>
        <v>288</v>
      </c>
      <c r="B289" s="15" t="s">
        <v>24</v>
      </c>
      <c r="C289" s="17">
        <v>1663.0</v>
      </c>
      <c r="D289" s="17" t="s">
        <v>211</v>
      </c>
      <c r="E289" s="19" t="s">
        <v>845</v>
      </c>
      <c r="F289" s="71" t="s">
        <v>84</v>
      </c>
      <c r="G289" s="71" t="s">
        <v>420</v>
      </c>
      <c r="H289" s="72" t="s">
        <v>37</v>
      </c>
      <c r="I289" s="73">
        <v>46093.0</v>
      </c>
      <c r="J289" s="17">
        <v>1.0</v>
      </c>
      <c r="K289" s="25" t="s">
        <v>38</v>
      </c>
      <c r="L289" s="28">
        <v>10000.0</v>
      </c>
      <c r="M289" s="28">
        <v>0.0</v>
      </c>
      <c r="N289" s="28">
        <v>0.0</v>
      </c>
      <c r="O289" s="28">
        <v>0.0</v>
      </c>
      <c r="P289" s="28">
        <v>0.0</v>
      </c>
      <c r="Q289" s="33"/>
      <c r="R289" s="11"/>
    </row>
    <row r="290" ht="15.75" customHeight="1">
      <c r="A290" s="13">
        <f t="shared" si="1"/>
        <v>289</v>
      </c>
      <c r="B290" s="15" t="s">
        <v>24</v>
      </c>
      <c r="C290" s="17">
        <v>1663.0</v>
      </c>
      <c r="D290" s="17" t="s">
        <v>211</v>
      </c>
      <c r="E290" s="19" t="s">
        <v>846</v>
      </c>
      <c r="F290" s="23" t="s">
        <v>847</v>
      </c>
      <c r="G290" s="23" t="s">
        <v>848</v>
      </c>
      <c r="H290" s="72" t="s">
        <v>37</v>
      </c>
      <c r="I290" s="179">
        <v>46093.0</v>
      </c>
      <c r="J290" s="17">
        <v>2.0</v>
      </c>
      <c r="K290" s="25" t="s">
        <v>38</v>
      </c>
      <c r="L290" s="28">
        <v>100000.0</v>
      </c>
      <c r="M290" s="28">
        <v>0.0</v>
      </c>
      <c r="N290" s="28">
        <v>0.0</v>
      </c>
      <c r="O290" s="28">
        <v>0.0</v>
      </c>
      <c r="P290" s="28">
        <v>0.0</v>
      </c>
      <c r="Q290" s="33"/>
      <c r="R290" s="11"/>
    </row>
    <row r="291" ht="15.75" customHeight="1">
      <c r="A291" s="13">
        <f t="shared" si="1"/>
        <v>290</v>
      </c>
      <c r="B291" s="15" t="s">
        <v>24</v>
      </c>
      <c r="C291" s="17">
        <v>1663.0</v>
      </c>
      <c r="D291" s="17" t="s">
        <v>122</v>
      </c>
      <c r="E291" s="19" t="s">
        <v>849</v>
      </c>
      <c r="F291" s="25" t="s">
        <v>27</v>
      </c>
      <c r="G291" s="23" t="s">
        <v>850</v>
      </c>
      <c r="H291" s="72" t="s">
        <v>37</v>
      </c>
      <c r="I291" s="179">
        <v>46093.0</v>
      </c>
      <c r="J291" s="17">
        <v>1.0</v>
      </c>
      <c r="K291" s="23" t="s">
        <v>38</v>
      </c>
      <c r="L291" s="28">
        <v>100000.0</v>
      </c>
      <c r="M291" s="28">
        <v>0.0</v>
      </c>
      <c r="N291" s="28">
        <v>0.0</v>
      </c>
      <c r="O291" s="28">
        <v>0.0</v>
      </c>
      <c r="P291" s="28">
        <v>0.0</v>
      </c>
      <c r="Q291" s="33"/>
      <c r="R291" s="11"/>
    </row>
    <row r="292" ht="15.75" customHeight="1">
      <c r="A292" s="13">
        <f t="shared" si="1"/>
        <v>291</v>
      </c>
      <c r="B292" s="15" t="s">
        <v>24</v>
      </c>
      <c r="C292" s="17">
        <v>1663.0</v>
      </c>
      <c r="D292" s="17" t="s">
        <v>122</v>
      </c>
      <c r="E292" s="19" t="s">
        <v>851</v>
      </c>
      <c r="F292" s="25" t="s">
        <v>184</v>
      </c>
      <c r="G292" s="25" t="s">
        <v>449</v>
      </c>
      <c r="H292" s="25" t="s">
        <v>36</v>
      </c>
      <c r="I292" s="179">
        <v>46093.0</v>
      </c>
      <c r="J292" s="15">
        <v>0.0</v>
      </c>
      <c r="K292" s="25" t="s">
        <v>57</v>
      </c>
      <c r="L292" s="28">
        <v>100000.0</v>
      </c>
      <c r="M292" s="100">
        <v>0.0</v>
      </c>
      <c r="N292" s="100">
        <v>0.0</v>
      </c>
      <c r="O292" s="100">
        <v>0.0</v>
      </c>
      <c r="P292" s="100">
        <v>0.0</v>
      </c>
      <c r="Q292" s="183" t="s">
        <v>852</v>
      </c>
      <c r="R292" s="11"/>
    </row>
    <row r="293" ht="15.75" customHeight="1">
      <c r="A293" s="13">
        <f t="shared" si="1"/>
        <v>292</v>
      </c>
      <c r="B293" s="15" t="s">
        <v>24</v>
      </c>
      <c r="C293" s="17">
        <v>1663.0</v>
      </c>
      <c r="D293" s="17" t="s">
        <v>211</v>
      </c>
      <c r="E293" s="19" t="s">
        <v>853</v>
      </c>
      <c r="F293" s="25" t="s">
        <v>631</v>
      </c>
      <c r="G293" s="25" t="s">
        <v>632</v>
      </c>
      <c r="H293" s="25" t="s">
        <v>36</v>
      </c>
      <c r="I293" s="179">
        <v>46093.0</v>
      </c>
      <c r="J293" s="17">
        <v>0.0</v>
      </c>
      <c r="K293" s="25" t="s">
        <v>38</v>
      </c>
      <c r="L293" s="28">
        <v>10000.0</v>
      </c>
      <c r="M293" s="28">
        <v>0.0</v>
      </c>
      <c r="N293" s="28">
        <v>0.0</v>
      </c>
      <c r="O293" s="28">
        <v>0.0</v>
      </c>
      <c r="P293" s="28">
        <v>0.0</v>
      </c>
      <c r="Q293" s="33"/>
      <c r="R293" s="11"/>
    </row>
    <row r="294" ht="15.75" customHeight="1">
      <c r="A294" s="13">
        <f t="shared" si="1"/>
        <v>293</v>
      </c>
      <c r="B294" s="15" t="s">
        <v>24</v>
      </c>
      <c r="C294" s="17">
        <v>1663.0</v>
      </c>
      <c r="D294" s="17" t="s">
        <v>122</v>
      </c>
      <c r="E294" s="19" t="s">
        <v>854</v>
      </c>
      <c r="F294" s="25" t="s">
        <v>191</v>
      </c>
      <c r="G294" s="25" t="s">
        <v>193</v>
      </c>
      <c r="H294" s="25" t="s">
        <v>37</v>
      </c>
      <c r="I294" s="179">
        <v>46095.0</v>
      </c>
      <c r="J294" s="17">
        <v>0.0</v>
      </c>
      <c r="K294" s="25" t="s">
        <v>38</v>
      </c>
      <c r="L294" s="28">
        <v>0.0</v>
      </c>
      <c r="M294" s="28">
        <v>200000.0</v>
      </c>
      <c r="N294" s="28">
        <v>0.0</v>
      </c>
      <c r="O294" s="28">
        <v>0.0</v>
      </c>
      <c r="P294" s="28">
        <v>0.0</v>
      </c>
      <c r="Q294" s="33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3">
        <f t="shared" si="1"/>
        <v>294</v>
      </c>
      <c r="B295" s="15" t="s">
        <v>24</v>
      </c>
      <c r="C295" s="17">
        <v>1663.0</v>
      </c>
      <c r="D295" s="17" t="s">
        <v>122</v>
      </c>
      <c r="E295" s="19" t="s">
        <v>855</v>
      </c>
      <c r="F295" s="25"/>
      <c r="G295" s="25" t="s">
        <v>143</v>
      </c>
      <c r="H295" s="25" t="s">
        <v>36</v>
      </c>
      <c r="I295" s="184">
        <v>46095.0</v>
      </c>
      <c r="J295" s="15">
        <v>0.0</v>
      </c>
      <c r="K295" s="25" t="s">
        <v>57</v>
      </c>
      <c r="L295" s="28">
        <v>5800.0</v>
      </c>
      <c r="M295" s="28">
        <v>0.0</v>
      </c>
      <c r="N295" s="28">
        <v>0.0</v>
      </c>
      <c r="O295" s="28">
        <v>0.0</v>
      </c>
      <c r="P295" s="28">
        <v>0.0</v>
      </c>
      <c r="Q295" s="33"/>
      <c r="R295" s="11"/>
    </row>
    <row r="296" ht="15.75" customHeight="1">
      <c r="A296" s="13">
        <f t="shared" si="1"/>
        <v>295</v>
      </c>
      <c r="B296" s="15" t="s">
        <v>24</v>
      </c>
      <c r="C296" s="17">
        <v>1663.0</v>
      </c>
      <c r="D296" s="15" t="s">
        <v>122</v>
      </c>
      <c r="E296" s="15" t="s">
        <v>856</v>
      </c>
      <c r="F296" s="25" t="s">
        <v>44</v>
      </c>
      <c r="G296" s="25" t="s">
        <v>45</v>
      </c>
      <c r="H296" s="25" t="s">
        <v>36</v>
      </c>
      <c r="I296" s="184">
        <v>46096.0</v>
      </c>
      <c r="J296" s="17">
        <v>0.0</v>
      </c>
      <c r="K296" s="23" t="s">
        <v>38</v>
      </c>
      <c r="L296" s="28">
        <v>100000.0</v>
      </c>
      <c r="M296" s="28">
        <v>0.0</v>
      </c>
      <c r="N296" s="28">
        <v>0.0</v>
      </c>
      <c r="O296" s="28">
        <v>0.0</v>
      </c>
      <c r="P296" s="28">
        <v>0.0</v>
      </c>
      <c r="Q296" s="33"/>
      <c r="R296" s="11"/>
    </row>
    <row r="297" ht="15.75" customHeight="1">
      <c r="A297" s="13">
        <f t="shared" si="1"/>
        <v>296</v>
      </c>
      <c r="B297" s="15" t="s">
        <v>24</v>
      </c>
      <c r="C297" s="17">
        <v>1663.0</v>
      </c>
      <c r="D297" s="17" t="s">
        <v>211</v>
      </c>
      <c r="E297" s="19" t="s">
        <v>857</v>
      </c>
      <c r="F297" s="25" t="s">
        <v>647</v>
      </c>
      <c r="G297" s="25" t="s">
        <v>809</v>
      </c>
      <c r="H297" s="25" t="s">
        <v>36</v>
      </c>
      <c r="I297" s="104">
        <v>46096.0</v>
      </c>
      <c r="J297" s="17">
        <v>0.0</v>
      </c>
      <c r="K297" s="172" t="s">
        <v>38</v>
      </c>
      <c r="L297" s="28">
        <v>0.0</v>
      </c>
      <c r="M297" s="28">
        <v>50000.0</v>
      </c>
      <c r="N297" s="28">
        <v>0.0</v>
      </c>
      <c r="O297" s="28">
        <v>0.0</v>
      </c>
      <c r="P297" s="28">
        <v>0.0</v>
      </c>
      <c r="Q297" s="33"/>
      <c r="R297" s="11"/>
    </row>
    <row r="298" ht="15.75" customHeight="1">
      <c r="A298" s="185">
        <f t="shared" si="1"/>
        <v>297</v>
      </c>
      <c r="B298" s="15" t="s">
        <v>24</v>
      </c>
      <c r="C298" s="17">
        <v>1663.0</v>
      </c>
      <c r="D298" s="17" t="s">
        <v>211</v>
      </c>
      <c r="E298" s="19" t="s">
        <v>858</v>
      </c>
      <c r="F298" s="153" t="s">
        <v>731</v>
      </c>
      <c r="G298" s="17" t="s">
        <v>859</v>
      </c>
      <c r="H298" s="15" t="s">
        <v>37</v>
      </c>
      <c r="I298" s="179">
        <v>46100.0</v>
      </c>
      <c r="J298" s="17">
        <v>0.0</v>
      </c>
      <c r="K298" s="15" t="s">
        <v>38</v>
      </c>
      <c r="L298" s="186">
        <v>200000.0</v>
      </c>
      <c r="M298" s="186">
        <v>0.0</v>
      </c>
      <c r="N298" s="186">
        <v>0.0</v>
      </c>
      <c r="O298" s="186">
        <v>0.0</v>
      </c>
      <c r="P298" s="186">
        <v>0.0</v>
      </c>
      <c r="Q298" s="187"/>
      <c r="R298" s="166"/>
      <c r="S298" s="188"/>
      <c r="T298" s="188"/>
      <c r="U298" s="188"/>
      <c r="V298" s="188"/>
      <c r="W298" s="188"/>
      <c r="X298" s="188"/>
      <c r="Y298" s="188"/>
      <c r="Z298" s="188"/>
    </row>
    <row r="299" ht="15.75" customHeight="1">
      <c r="A299" s="13">
        <f t="shared" si="1"/>
        <v>298</v>
      </c>
      <c r="B299" s="15" t="s">
        <v>24</v>
      </c>
      <c r="C299" s="17">
        <v>1663.0</v>
      </c>
      <c r="D299" s="17" t="s">
        <v>122</v>
      </c>
      <c r="E299" s="19" t="s">
        <v>860</v>
      </c>
      <c r="F299" s="23" t="s">
        <v>861</v>
      </c>
      <c r="G299" s="23" t="s">
        <v>648</v>
      </c>
      <c r="H299" s="25" t="s">
        <v>36</v>
      </c>
      <c r="I299" s="104">
        <v>46096.0</v>
      </c>
      <c r="J299" s="17">
        <v>1.0</v>
      </c>
      <c r="K299" s="23" t="s">
        <v>38</v>
      </c>
      <c r="L299" s="28">
        <v>10000.0</v>
      </c>
      <c r="M299" s="28">
        <v>0.0</v>
      </c>
      <c r="N299" s="28">
        <v>0.0</v>
      </c>
      <c r="O299" s="28">
        <v>0.0</v>
      </c>
      <c r="P299" s="28">
        <v>0.0</v>
      </c>
      <c r="Q299" s="33"/>
      <c r="R299" s="11"/>
    </row>
    <row r="300" ht="15.75" customHeight="1">
      <c r="A300" s="13">
        <f t="shared" si="1"/>
        <v>299</v>
      </c>
      <c r="B300" s="15" t="s">
        <v>24</v>
      </c>
      <c r="C300" s="17">
        <v>1663.0</v>
      </c>
      <c r="D300" s="17" t="s">
        <v>122</v>
      </c>
      <c r="E300" s="19" t="s">
        <v>862</v>
      </c>
      <c r="F300" s="23" t="s">
        <v>861</v>
      </c>
      <c r="G300" s="23" t="s">
        <v>863</v>
      </c>
      <c r="H300" s="25" t="s">
        <v>36</v>
      </c>
      <c r="I300" s="104">
        <v>46096.0</v>
      </c>
      <c r="J300" s="17">
        <v>1.0</v>
      </c>
      <c r="K300" s="23" t="s">
        <v>38</v>
      </c>
      <c r="L300" s="28">
        <v>10000.0</v>
      </c>
      <c r="M300" s="28">
        <v>0.0</v>
      </c>
      <c r="N300" s="28">
        <v>0.0</v>
      </c>
      <c r="O300" s="28">
        <v>0.0</v>
      </c>
      <c r="P300" s="28">
        <v>0.0</v>
      </c>
      <c r="Q300" s="33"/>
      <c r="R300" s="11"/>
    </row>
    <row r="301" ht="15.75" customHeight="1">
      <c r="A301" s="13">
        <f t="shared" si="1"/>
        <v>300</v>
      </c>
      <c r="B301" s="15" t="s">
        <v>24</v>
      </c>
      <c r="C301" s="17">
        <v>1663.0</v>
      </c>
      <c r="D301" s="17" t="s">
        <v>122</v>
      </c>
      <c r="E301" s="19" t="s">
        <v>864</v>
      </c>
      <c r="F301" s="189" t="s">
        <v>487</v>
      </c>
      <c r="G301" s="25" t="s">
        <v>554</v>
      </c>
      <c r="H301" s="25" t="s">
        <v>36</v>
      </c>
      <c r="I301" s="104">
        <v>46096.0</v>
      </c>
      <c r="J301" s="15">
        <v>0.0</v>
      </c>
      <c r="K301" s="25" t="s">
        <v>57</v>
      </c>
      <c r="L301" s="28">
        <v>50000.0</v>
      </c>
      <c r="M301" s="28">
        <v>0.0</v>
      </c>
      <c r="N301" s="28">
        <v>0.0</v>
      </c>
      <c r="O301" s="76">
        <v>0.0</v>
      </c>
      <c r="P301" s="190">
        <v>0.0</v>
      </c>
      <c r="Q301" s="33"/>
      <c r="R301" s="11"/>
    </row>
    <row r="302" ht="15.75" customHeight="1">
      <c r="A302" s="13">
        <f t="shared" si="1"/>
        <v>301</v>
      </c>
      <c r="B302" s="15" t="s">
        <v>24</v>
      </c>
      <c r="C302" s="17">
        <v>1692.0</v>
      </c>
      <c r="D302" s="17" t="s">
        <v>122</v>
      </c>
      <c r="E302" s="35" t="s">
        <v>865</v>
      </c>
      <c r="F302" s="25" t="s">
        <v>820</v>
      </c>
      <c r="G302" s="25" t="s">
        <v>821</v>
      </c>
      <c r="H302" s="25" t="s">
        <v>36</v>
      </c>
      <c r="I302" s="64">
        <v>46096.0</v>
      </c>
      <c r="J302" s="17">
        <v>0.0</v>
      </c>
      <c r="K302" s="25" t="s">
        <v>38</v>
      </c>
      <c r="L302" s="28">
        <v>10000.0</v>
      </c>
      <c r="M302" s="100">
        <v>0.0</v>
      </c>
      <c r="N302" s="100">
        <v>0.0</v>
      </c>
      <c r="O302" s="100">
        <v>0.0</v>
      </c>
      <c r="P302" s="100">
        <v>0.0</v>
      </c>
      <c r="Q302" s="33"/>
      <c r="R302" s="11"/>
    </row>
    <row r="303" ht="15.75" customHeight="1">
      <c r="A303" s="13">
        <f t="shared" si="1"/>
        <v>302</v>
      </c>
      <c r="B303" s="15" t="s">
        <v>24</v>
      </c>
      <c r="C303" s="17">
        <v>1692.0</v>
      </c>
      <c r="D303" s="17" t="s">
        <v>211</v>
      </c>
      <c r="E303" s="17" t="s">
        <v>866</v>
      </c>
      <c r="F303" s="23" t="s">
        <v>84</v>
      </c>
      <c r="G303" s="23" t="s">
        <v>149</v>
      </c>
      <c r="H303" s="25" t="s">
        <v>36</v>
      </c>
      <c r="I303" s="30">
        <v>46097.0</v>
      </c>
      <c r="J303" s="17">
        <v>0.0</v>
      </c>
      <c r="K303" s="25" t="s">
        <v>57</v>
      </c>
      <c r="L303" s="28">
        <v>110000.0</v>
      </c>
      <c r="M303" s="100">
        <v>0.0</v>
      </c>
      <c r="N303" s="100">
        <v>0.0</v>
      </c>
      <c r="O303" s="100">
        <v>0.0</v>
      </c>
      <c r="P303" s="100">
        <v>0.0</v>
      </c>
      <c r="Q303" s="33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3">
        <f t="shared" si="1"/>
        <v>303</v>
      </c>
      <c r="B304" s="15" t="s">
        <v>24</v>
      </c>
      <c r="C304" s="17">
        <v>1692.0</v>
      </c>
      <c r="D304" s="17" t="s">
        <v>211</v>
      </c>
      <c r="E304" s="17" t="s">
        <v>867</v>
      </c>
      <c r="F304" s="23" t="s">
        <v>49</v>
      </c>
      <c r="G304" s="23" t="s">
        <v>54</v>
      </c>
      <c r="H304" s="23" t="s">
        <v>55</v>
      </c>
      <c r="I304" s="180">
        <v>46098.0</v>
      </c>
      <c r="J304" s="17">
        <v>1.0</v>
      </c>
      <c r="K304" s="23" t="s">
        <v>38</v>
      </c>
      <c r="L304" s="28">
        <v>10000.0</v>
      </c>
      <c r="M304" s="28">
        <v>0.0</v>
      </c>
      <c r="N304" s="28">
        <v>0.0</v>
      </c>
      <c r="O304" s="28">
        <v>0.0</v>
      </c>
      <c r="P304" s="28">
        <v>0.0</v>
      </c>
      <c r="Q304" s="180">
        <v>46111.0</v>
      </c>
      <c r="R304" s="11"/>
    </row>
    <row r="305" ht="15.75" customHeight="1">
      <c r="A305" s="13">
        <f t="shared" si="1"/>
        <v>304</v>
      </c>
      <c r="B305" s="15" t="s">
        <v>24</v>
      </c>
      <c r="C305" s="17">
        <v>1692.0</v>
      </c>
      <c r="D305" s="17" t="s">
        <v>122</v>
      </c>
      <c r="E305" s="17" t="s">
        <v>868</v>
      </c>
      <c r="F305" s="25" t="s">
        <v>60</v>
      </c>
      <c r="G305" s="25" t="s">
        <v>161</v>
      </c>
      <c r="H305" s="25" t="s">
        <v>36</v>
      </c>
      <c r="I305" s="30">
        <v>46098.0</v>
      </c>
      <c r="J305" s="15">
        <v>0.0</v>
      </c>
      <c r="K305" s="25" t="s">
        <v>57</v>
      </c>
      <c r="L305" s="28">
        <v>7300.0</v>
      </c>
      <c r="M305" s="28">
        <v>0.0</v>
      </c>
      <c r="N305" s="28">
        <v>0.0</v>
      </c>
      <c r="O305" s="28">
        <v>0.0</v>
      </c>
      <c r="P305" s="28">
        <v>0.0</v>
      </c>
      <c r="Q305" s="33"/>
      <c r="R305" s="11"/>
    </row>
    <row r="306" ht="15.75" customHeight="1">
      <c r="A306" s="13">
        <f t="shared" si="1"/>
        <v>305</v>
      </c>
      <c r="B306" s="15" t="s">
        <v>24</v>
      </c>
      <c r="C306" s="17">
        <v>1692.0</v>
      </c>
      <c r="D306" s="17"/>
      <c r="E306" s="17" t="s">
        <v>869</v>
      </c>
      <c r="F306" s="181" t="s">
        <v>82</v>
      </c>
      <c r="G306" s="182" t="s">
        <v>843</v>
      </c>
      <c r="H306" s="25"/>
      <c r="I306" s="30"/>
      <c r="J306" s="15"/>
      <c r="K306" s="25"/>
      <c r="L306" s="28"/>
      <c r="M306" s="28"/>
      <c r="N306" s="28"/>
      <c r="O306" s="28"/>
      <c r="P306" s="28"/>
      <c r="Q306" s="33"/>
      <c r="R306" s="11"/>
    </row>
    <row r="307" ht="15.75" customHeight="1">
      <c r="A307" s="13">
        <f t="shared" si="1"/>
        <v>306</v>
      </c>
      <c r="B307" s="15" t="s">
        <v>24</v>
      </c>
      <c r="C307" s="17">
        <v>1692.0</v>
      </c>
      <c r="D307" s="17" t="s">
        <v>211</v>
      </c>
      <c r="E307" s="17" t="s">
        <v>870</v>
      </c>
      <c r="F307" s="23" t="s">
        <v>142</v>
      </c>
      <c r="G307" s="25" t="s">
        <v>802</v>
      </c>
      <c r="H307" s="25" t="s">
        <v>36</v>
      </c>
      <c r="I307" s="30">
        <v>46098.0</v>
      </c>
      <c r="J307" s="17">
        <v>0.0</v>
      </c>
      <c r="K307" s="25" t="s">
        <v>38</v>
      </c>
      <c r="L307" s="28">
        <v>100000.0</v>
      </c>
      <c r="M307" s="28">
        <v>0.0</v>
      </c>
      <c r="N307" s="28">
        <v>0.0</v>
      </c>
      <c r="O307" s="28">
        <v>0.0</v>
      </c>
      <c r="P307" s="28">
        <v>0.0</v>
      </c>
      <c r="Q307" s="33"/>
      <c r="R307" s="11"/>
    </row>
    <row r="308" ht="15.75" customHeight="1">
      <c r="A308" s="13">
        <f t="shared" si="1"/>
        <v>307</v>
      </c>
      <c r="B308" s="15" t="s">
        <v>24</v>
      </c>
      <c r="C308" s="17">
        <v>1692.0</v>
      </c>
      <c r="D308" s="17" t="s">
        <v>211</v>
      </c>
      <c r="E308" s="17" t="s">
        <v>871</v>
      </c>
      <c r="F308" s="23" t="s">
        <v>208</v>
      </c>
      <c r="G308" s="23" t="s">
        <v>208</v>
      </c>
      <c r="H308" s="25" t="s">
        <v>36</v>
      </c>
      <c r="I308" s="30">
        <v>46098.0</v>
      </c>
      <c r="J308" s="15">
        <v>0.0</v>
      </c>
      <c r="K308" s="25" t="s">
        <v>38</v>
      </c>
      <c r="L308" s="28">
        <v>5000.0</v>
      </c>
      <c r="M308" s="28">
        <v>0.0</v>
      </c>
      <c r="N308" s="28">
        <v>0.0</v>
      </c>
      <c r="O308" s="76">
        <v>0.0</v>
      </c>
      <c r="P308" s="77">
        <v>0.0</v>
      </c>
      <c r="Q308" s="33"/>
      <c r="R308" s="11"/>
      <c r="U308" s="191"/>
    </row>
    <row r="309" ht="15.75" customHeight="1">
      <c r="A309" s="13">
        <f t="shared" si="1"/>
        <v>308</v>
      </c>
      <c r="B309" s="15" t="s">
        <v>24</v>
      </c>
      <c r="C309" s="17">
        <v>1692.0</v>
      </c>
      <c r="D309" s="17" t="s">
        <v>211</v>
      </c>
      <c r="E309" s="17" t="s">
        <v>872</v>
      </c>
      <c r="F309" s="25" t="s">
        <v>722</v>
      </c>
      <c r="G309" s="25" t="s">
        <v>723</v>
      </c>
      <c r="H309" s="25" t="s">
        <v>37</v>
      </c>
      <c r="I309" s="64">
        <v>46098.0</v>
      </c>
      <c r="J309" s="15">
        <v>0.0</v>
      </c>
      <c r="K309" s="25" t="s">
        <v>38</v>
      </c>
      <c r="L309" s="28">
        <v>5000.0</v>
      </c>
      <c r="M309" s="28">
        <v>0.0</v>
      </c>
      <c r="N309" s="28">
        <v>0.0</v>
      </c>
      <c r="O309" s="28">
        <v>0.0</v>
      </c>
      <c r="P309" s="28">
        <v>0.0</v>
      </c>
      <c r="Q309" s="33"/>
      <c r="R309" s="11"/>
    </row>
    <row r="310" ht="15.75" customHeight="1">
      <c r="A310" s="13">
        <f t="shared" si="1"/>
        <v>309</v>
      </c>
      <c r="B310" s="15" t="s">
        <v>24</v>
      </c>
      <c r="C310" s="17">
        <v>1692.0</v>
      </c>
      <c r="D310" s="17" t="s">
        <v>211</v>
      </c>
      <c r="E310" s="17" t="s">
        <v>873</v>
      </c>
      <c r="F310" s="25" t="s">
        <v>40</v>
      </c>
      <c r="G310" s="23" t="s">
        <v>558</v>
      </c>
      <c r="H310" s="25" t="s">
        <v>36</v>
      </c>
      <c r="I310" s="64">
        <v>46098.0</v>
      </c>
      <c r="J310" s="17">
        <v>2.0</v>
      </c>
      <c r="K310" s="25" t="s">
        <v>38</v>
      </c>
      <c r="L310" s="28">
        <v>100000.0</v>
      </c>
      <c r="M310" s="28">
        <v>0.0</v>
      </c>
      <c r="N310" s="28">
        <v>0.0</v>
      </c>
      <c r="O310" s="28">
        <v>0.0</v>
      </c>
      <c r="P310" s="28">
        <v>0.0</v>
      </c>
      <c r="Q310" s="33"/>
      <c r="R310" s="11"/>
    </row>
    <row r="311" ht="15.75" customHeight="1">
      <c r="A311" s="13">
        <f t="shared" si="1"/>
        <v>310</v>
      </c>
      <c r="B311" s="15" t="s">
        <v>24</v>
      </c>
      <c r="C311" s="17">
        <v>1692.0</v>
      </c>
      <c r="D311" s="17" t="s">
        <v>211</v>
      </c>
      <c r="E311" s="17" t="s">
        <v>874</v>
      </c>
      <c r="F311" s="25" t="s">
        <v>169</v>
      </c>
      <c r="G311" s="23" t="s">
        <v>875</v>
      </c>
      <c r="H311" s="25" t="s">
        <v>36</v>
      </c>
      <c r="I311" s="64">
        <v>46098.0</v>
      </c>
      <c r="J311" s="17">
        <v>1.0</v>
      </c>
      <c r="K311" s="25" t="s">
        <v>38</v>
      </c>
      <c r="L311" s="28">
        <v>0.0</v>
      </c>
      <c r="M311" s="28">
        <v>400000.0</v>
      </c>
      <c r="N311" s="28">
        <v>0.0</v>
      </c>
      <c r="O311" s="28">
        <v>0.0</v>
      </c>
      <c r="P311" s="28">
        <v>0.0</v>
      </c>
      <c r="Q311" s="33"/>
      <c r="R311" s="11"/>
    </row>
    <row r="312" ht="15.75" customHeight="1">
      <c r="A312" s="13">
        <f t="shared" si="1"/>
        <v>311</v>
      </c>
      <c r="B312" s="15" t="s">
        <v>24</v>
      </c>
      <c r="C312" s="17">
        <v>1692.0</v>
      </c>
      <c r="D312" s="17" t="s">
        <v>211</v>
      </c>
      <c r="E312" s="17" t="s">
        <v>876</v>
      </c>
      <c r="F312" s="25" t="s">
        <v>169</v>
      </c>
      <c r="G312" s="23" t="s">
        <v>875</v>
      </c>
      <c r="H312" s="25" t="s">
        <v>36</v>
      </c>
      <c r="I312" s="64">
        <v>46099.0</v>
      </c>
      <c r="J312" s="17">
        <v>0.0</v>
      </c>
      <c r="K312" s="25" t="s">
        <v>38</v>
      </c>
      <c r="L312" s="28">
        <v>0.0</v>
      </c>
      <c r="M312" s="28">
        <v>40000.0</v>
      </c>
      <c r="N312" s="28">
        <v>0.0</v>
      </c>
      <c r="O312" s="28">
        <v>0.0</v>
      </c>
      <c r="P312" s="28">
        <v>0.0</v>
      </c>
      <c r="Q312" s="33"/>
      <c r="R312" s="11"/>
    </row>
    <row r="313" ht="15.75" customHeight="1">
      <c r="A313" s="13">
        <f t="shared" si="1"/>
        <v>312</v>
      </c>
      <c r="B313" s="15" t="s">
        <v>24</v>
      </c>
      <c r="C313" s="17">
        <v>1692.0</v>
      </c>
      <c r="D313" s="17" t="s">
        <v>122</v>
      </c>
      <c r="E313" s="17" t="s">
        <v>877</v>
      </c>
      <c r="F313" s="23" t="s">
        <v>191</v>
      </c>
      <c r="G313" s="23" t="s">
        <v>193</v>
      </c>
      <c r="H313" s="23" t="s">
        <v>37</v>
      </c>
      <c r="I313" s="64">
        <v>46098.0</v>
      </c>
      <c r="J313" s="17">
        <v>0.0</v>
      </c>
      <c r="K313" s="23" t="s">
        <v>38</v>
      </c>
      <c r="L313" s="28">
        <v>20000.0</v>
      </c>
      <c r="M313" s="28">
        <v>0.0</v>
      </c>
      <c r="N313" s="28">
        <v>0.0</v>
      </c>
      <c r="O313" s="28">
        <v>0.0</v>
      </c>
      <c r="P313" s="28">
        <v>0.0</v>
      </c>
      <c r="Q313" s="33"/>
      <c r="R313" s="11"/>
    </row>
    <row r="314" ht="15.75" customHeight="1">
      <c r="A314" s="13">
        <f t="shared" si="1"/>
        <v>313</v>
      </c>
      <c r="B314" s="15" t="s">
        <v>24</v>
      </c>
      <c r="C314" s="17">
        <v>1692.0</v>
      </c>
      <c r="D314" s="17" t="s">
        <v>211</v>
      </c>
      <c r="E314" s="17" t="s">
        <v>878</v>
      </c>
      <c r="F314" s="23" t="s">
        <v>142</v>
      </c>
      <c r="G314" s="23" t="s">
        <v>879</v>
      </c>
      <c r="H314" s="25" t="s">
        <v>36</v>
      </c>
      <c r="I314" s="64">
        <v>46099.0</v>
      </c>
      <c r="J314" s="17">
        <v>1.0</v>
      </c>
      <c r="K314" s="23" t="s">
        <v>38</v>
      </c>
      <c r="L314" s="28">
        <v>10000.0</v>
      </c>
      <c r="M314" s="28">
        <v>0.0</v>
      </c>
      <c r="N314" s="28">
        <v>0.0</v>
      </c>
      <c r="O314" s="28">
        <v>0.0</v>
      </c>
      <c r="P314" s="28">
        <v>0.0</v>
      </c>
      <c r="Q314" s="33"/>
      <c r="R314" s="11"/>
    </row>
    <row r="315" ht="15.75" customHeight="1">
      <c r="A315" s="13">
        <f t="shared" si="1"/>
        <v>314</v>
      </c>
      <c r="B315" s="15" t="s">
        <v>24</v>
      </c>
      <c r="C315" s="17">
        <v>1692.0</v>
      </c>
      <c r="D315" s="17" t="s">
        <v>122</v>
      </c>
      <c r="E315" s="17" t="s">
        <v>880</v>
      </c>
      <c r="F315" s="23" t="s">
        <v>27</v>
      </c>
      <c r="G315" s="23" t="s">
        <v>881</v>
      </c>
      <c r="H315" s="25" t="s">
        <v>36</v>
      </c>
      <c r="I315" s="64">
        <v>46099.0</v>
      </c>
      <c r="J315" s="17">
        <v>1.0</v>
      </c>
      <c r="K315" s="23" t="s">
        <v>38</v>
      </c>
      <c r="L315" s="28">
        <v>150000.0</v>
      </c>
      <c r="M315" s="28">
        <v>0.0</v>
      </c>
      <c r="N315" s="28">
        <v>0.0</v>
      </c>
      <c r="O315" s="28">
        <v>0.0</v>
      </c>
      <c r="P315" s="28">
        <v>0.0</v>
      </c>
      <c r="Q315" s="33"/>
      <c r="R315" s="11"/>
    </row>
    <row r="316" ht="15.75" customHeight="1">
      <c r="A316" s="13">
        <f t="shared" si="1"/>
        <v>315</v>
      </c>
      <c r="B316" s="15" t="s">
        <v>24</v>
      </c>
      <c r="C316" s="17">
        <v>1692.0</v>
      </c>
      <c r="D316" s="17" t="s">
        <v>211</v>
      </c>
      <c r="E316" s="17" t="s">
        <v>882</v>
      </c>
      <c r="F316" s="25" t="s">
        <v>731</v>
      </c>
      <c r="G316" s="25" t="s">
        <v>762</v>
      </c>
      <c r="H316" s="25" t="s">
        <v>37</v>
      </c>
      <c r="I316" s="64">
        <v>46100.0</v>
      </c>
      <c r="J316" s="15">
        <v>0.0</v>
      </c>
      <c r="K316" s="25" t="s">
        <v>38</v>
      </c>
      <c r="L316" s="28">
        <v>200000.0</v>
      </c>
      <c r="M316" s="28">
        <v>0.0</v>
      </c>
      <c r="N316" s="28">
        <v>0.0</v>
      </c>
      <c r="O316" s="28">
        <v>0.0</v>
      </c>
      <c r="P316" s="28">
        <v>0.0</v>
      </c>
      <c r="Q316" s="33"/>
      <c r="R316" s="11"/>
    </row>
    <row r="317" ht="15.75" customHeight="1">
      <c r="A317" s="13">
        <f t="shared" si="1"/>
        <v>316</v>
      </c>
      <c r="B317" s="15" t="s">
        <v>24</v>
      </c>
      <c r="C317" s="17">
        <v>1692.0</v>
      </c>
      <c r="D317" s="17" t="s">
        <v>211</v>
      </c>
      <c r="E317" s="17" t="s">
        <v>883</v>
      </c>
      <c r="F317" s="25" t="s">
        <v>731</v>
      </c>
      <c r="G317" s="23" t="s">
        <v>884</v>
      </c>
      <c r="H317" s="25" t="s">
        <v>36</v>
      </c>
      <c r="I317" s="64">
        <v>46100.0</v>
      </c>
      <c r="J317" s="17">
        <v>1.0</v>
      </c>
      <c r="K317" s="23" t="s">
        <v>38</v>
      </c>
      <c r="L317" s="28">
        <v>100000.0</v>
      </c>
      <c r="M317" s="28">
        <v>0.0</v>
      </c>
      <c r="N317" s="28">
        <v>0.0</v>
      </c>
      <c r="O317" s="28">
        <v>0.0</v>
      </c>
      <c r="P317" s="28">
        <v>0.0</v>
      </c>
      <c r="Q317" s="33"/>
      <c r="R317" s="11"/>
    </row>
    <row r="318" ht="15.75" customHeight="1">
      <c r="A318" s="13">
        <f t="shared" si="1"/>
        <v>317</v>
      </c>
      <c r="B318" s="15" t="s">
        <v>24</v>
      </c>
      <c r="C318" s="17">
        <v>1692.0</v>
      </c>
      <c r="D318" s="17" t="s">
        <v>211</v>
      </c>
      <c r="E318" s="17" t="s">
        <v>885</v>
      </c>
      <c r="F318" s="25" t="s">
        <v>169</v>
      </c>
      <c r="G318" s="25" t="s">
        <v>484</v>
      </c>
      <c r="H318" s="25" t="s">
        <v>36</v>
      </c>
      <c r="I318" s="32">
        <v>46109.0</v>
      </c>
      <c r="J318" s="15">
        <v>0.0</v>
      </c>
      <c r="K318" s="25" t="s">
        <v>38</v>
      </c>
      <c r="L318" s="28">
        <v>0.0</v>
      </c>
      <c r="M318" s="28">
        <v>5000.0</v>
      </c>
      <c r="N318" s="28">
        <v>0.0</v>
      </c>
      <c r="O318" s="76">
        <v>0.0</v>
      </c>
      <c r="P318" s="77">
        <v>0.0</v>
      </c>
      <c r="Q318" s="33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3">
        <f t="shared" si="1"/>
        <v>318</v>
      </c>
      <c r="B319" s="15" t="s">
        <v>24</v>
      </c>
      <c r="C319" s="17">
        <v>1692.0</v>
      </c>
      <c r="D319" s="17" t="s">
        <v>122</v>
      </c>
      <c r="E319" s="17" t="s">
        <v>886</v>
      </c>
      <c r="F319" s="25" t="s">
        <v>27</v>
      </c>
      <c r="G319" s="25" t="s">
        <v>548</v>
      </c>
      <c r="H319" s="25" t="s">
        <v>36</v>
      </c>
      <c r="I319" s="32">
        <v>46109.0</v>
      </c>
      <c r="J319" s="17">
        <v>0.0</v>
      </c>
      <c r="K319" s="25" t="s">
        <v>38</v>
      </c>
      <c r="L319" s="28">
        <v>10000.0</v>
      </c>
      <c r="M319" s="28">
        <v>0.0</v>
      </c>
      <c r="N319" s="28">
        <v>0.0</v>
      </c>
      <c r="O319" s="76">
        <v>0.0</v>
      </c>
      <c r="P319" s="77">
        <v>0.0</v>
      </c>
      <c r="Q319" s="33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3">
        <f t="shared" si="1"/>
        <v>319</v>
      </c>
      <c r="B320" s="15" t="s">
        <v>24</v>
      </c>
      <c r="C320" s="17">
        <v>1692.0</v>
      </c>
      <c r="D320" s="17" t="s">
        <v>122</v>
      </c>
      <c r="E320" s="17" t="s">
        <v>887</v>
      </c>
      <c r="F320" s="153" t="s">
        <v>272</v>
      </c>
      <c r="G320" s="23" t="s">
        <v>643</v>
      </c>
      <c r="H320" s="23" t="s">
        <v>37</v>
      </c>
      <c r="I320" s="32">
        <v>46109.0</v>
      </c>
      <c r="J320" s="15">
        <v>0.0</v>
      </c>
      <c r="K320" s="25" t="s">
        <v>57</v>
      </c>
      <c r="L320" s="28">
        <v>0.0</v>
      </c>
      <c r="M320" s="28">
        <v>2500.0</v>
      </c>
      <c r="N320" s="28">
        <v>0.0</v>
      </c>
      <c r="O320" s="76">
        <v>0.0</v>
      </c>
      <c r="P320" s="77">
        <v>0.0</v>
      </c>
      <c r="Q320" s="33"/>
      <c r="R320" s="11"/>
    </row>
    <row r="321" ht="15.75" customHeight="1">
      <c r="A321" s="13">
        <f t="shared" si="1"/>
        <v>320</v>
      </c>
      <c r="B321" s="15" t="s">
        <v>24</v>
      </c>
      <c r="C321" s="17">
        <v>1692.0</v>
      </c>
      <c r="D321" s="17" t="s">
        <v>122</v>
      </c>
      <c r="E321" s="17" t="s">
        <v>888</v>
      </c>
      <c r="F321" s="23" t="s">
        <v>488</v>
      </c>
      <c r="G321" s="23" t="s">
        <v>889</v>
      </c>
      <c r="H321" s="23" t="s">
        <v>37</v>
      </c>
      <c r="I321" s="32">
        <v>46109.0</v>
      </c>
      <c r="J321" s="17">
        <v>1.0</v>
      </c>
      <c r="K321" s="25" t="s">
        <v>38</v>
      </c>
      <c r="L321" s="28">
        <v>150000.0</v>
      </c>
      <c r="M321" s="28">
        <v>0.0</v>
      </c>
      <c r="N321" s="28">
        <v>0.0</v>
      </c>
      <c r="O321" s="28">
        <v>0.0</v>
      </c>
      <c r="P321" s="28">
        <v>0.0</v>
      </c>
      <c r="Q321" s="32">
        <v>46109.0</v>
      </c>
      <c r="R321" s="11"/>
    </row>
    <row r="322" ht="15.75" customHeight="1">
      <c r="A322" s="13">
        <f t="shared" si="1"/>
        <v>321</v>
      </c>
      <c r="B322" s="15" t="s">
        <v>24</v>
      </c>
      <c r="C322" s="17">
        <v>1692.0</v>
      </c>
      <c r="D322" s="17" t="s">
        <v>122</v>
      </c>
      <c r="E322" s="17" t="s">
        <v>890</v>
      </c>
      <c r="F322" s="23" t="s">
        <v>488</v>
      </c>
      <c r="G322" s="23" t="s">
        <v>891</v>
      </c>
      <c r="H322" s="23" t="s">
        <v>37</v>
      </c>
      <c r="I322" s="32">
        <v>46109.0</v>
      </c>
      <c r="J322" s="17">
        <v>1.0</v>
      </c>
      <c r="K322" s="25" t="s">
        <v>38</v>
      </c>
      <c r="L322" s="28">
        <v>150000.0</v>
      </c>
      <c r="M322" s="28">
        <v>0.0</v>
      </c>
      <c r="N322" s="28">
        <v>0.0</v>
      </c>
      <c r="O322" s="28">
        <v>0.0</v>
      </c>
      <c r="P322" s="28">
        <v>0.0</v>
      </c>
      <c r="Q322" s="32">
        <v>46109.0</v>
      </c>
      <c r="R322" s="11"/>
    </row>
    <row r="323" ht="15.75" customHeight="1">
      <c r="A323" s="13">
        <f t="shared" si="1"/>
        <v>322</v>
      </c>
      <c r="B323" s="15" t="s">
        <v>24</v>
      </c>
      <c r="C323" s="17">
        <v>1692.0</v>
      </c>
      <c r="D323" s="17" t="s">
        <v>122</v>
      </c>
      <c r="E323" s="17" t="s">
        <v>892</v>
      </c>
      <c r="F323" s="25" t="s">
        <v>221</v>
      </c>
      <c r="G323" s="25" t="s">
        <v>181</v>
      </c>
      <c r="H323" s="25" t="s">
        <v>36</v>
      </c>
      <c r="I323" s="32">
        <v>46110.0</v>
      </c>
      <c r="J323" s="15">
        <v>0.0</v>
      </c>
      <c r="K323" s="25" t="s">
        <v>57</v>
      </c>
      <c r="L323" s="28">
        <v>0.0</v>
      </c>
      <c r="M323" s="28">
        <v>7000.0</v>
      </c>
      <c r="N323" s="28">
        <v>0.0</v>
      </c>
      <c r="O323" s="28">
        <v>0.0</v>
      </c>
      <c r="P323" s="28">
        <v>0.0</v>
      </c>
      <c r="Q323" s="33"/>
      <c r="R323" s="11"/>
    </row>
    <row r="324" ht="15.75" customHeight="1">
      <c r="A324" s="13">
        <f t="shared" si="1"/>
        <v>323</v>
      </c>
      <c r="B324" s="15" t="s">
        <v>24</v>
      </c>
      <c r="C324" s="17">
        <v>1692.0</v>
      </c>
      <c r="D324" s="17"/>
      <c r="E324" s="17" t="s">
        <v>893</v>
      </c>
      <c r="F324" s="25"/>
      <c r="G324" s="25" t="s">
        <v>428</v>
      </c>
      <c r="H324" s="25" t="s">
        <v>36</v>
      </c>
      <c r="I324" s="32">
        <v>46111.0</v>
      </c>
      <c r="J324" s="15">
        <v>0.0</v>
      </c>
      <c r="K324" s="25" t="s">
        <v>57</v>
      </c>
      <c r="L324" s="28">
        <v>7000.0</v>
      </c>
      <c r="M324" s="100">
        <v>0.0</v>
      </c>
      <c r="N324" s="100">
        <v>0.0</v>
      </c>
      <c r="O324" s="100">
        <v>0.0</v>
      </c>
      <c r="P324" s="100">
        <v>0.0</v>
      </c>
      <c r="Q324" s="33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3">
        <f t="shared" si="1"/>
        <v>324</v>
      </c>
      <c r="B325" s="15" t="s">
        <v>24</v>
      </c>
      <c r="C325" s="17">
        <v>1692.0</v>
      </c>
      <c r="D325" s="17" t="s">
        <v>122</v>
      </c>
      <c r="E325" s="17" t="s">
        <v>894</v>
      </c>
      <c r="F325" s="25" t="s">
        <v>27</v>
      </c>
      <c r="G325" s="25" t="s">
        <v>283</v>
      </c>
      <c r="H325" s="25" t="s">
        <v>36</v>
      </c>
      <c r="I325" s="32">
        <v>46111.0</v>
      </c>
      <c r="J325" s="15">
        <v>0.0</v>
      </c>
      <c r="K325" s="25" t="s">
        <v>57</v>
      </c>
      <c r="L325" s="28">
        <v>0.0</v>
      </c>
      <c r="M325" s="28">
        <v>100000.0</v>
      </c>
      <c r="N325" s="28">
        <v>0.0</v>
      </c>
      <c r="O325" s="28">
        <v>0.0</v>
      </c>
      <c r="P325" s="28">
        <v>0.0</v>
      </c>
      <c r="Q325" s="33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3">
        <f t="shared" si="1"/>
        <v>325</v>
      </c>
      <c r="B326" s="15" t="s">
        <v>24</v>
      </c>
      <c r="C326" s="17">
        <v>1692.0</v>
      </c>
      <c r="D326" s="17" t="s">
        <v>122</v>
      </c>
      <c r="E326" s="17" t="s">
        <v>895</v>
      </c>
      <c r="F326" s="25" t="s">
        <v>303</v>
      </c>
      <c r="G326" s="25" t="s">
        <v>533</v>
      </c>
      <c r="H326" s="25" t="s">
        <v>36</v>
      </c>
      <c r="I326" s="32">
        <v>46112.0</v>
      </c>
      <c r="J326" s="15">
        <v>0.0</v>
      </c>
      <c r="K326" s="25" t="s">
        <v>57</v>
      </c>
      <c r="L326" s="28">
        <v>0.0</v>
      </c>
      <c r="M326" s="28">
        <v>6500.0</v>
      </c>
      <c r="N326" s="28">
        <v>0.0</v>
      </c>
      <c r="O326" s="28">
        <v>0.0</v>
      </c>
      <c r="P326" s="28">
        <v>0.0</v>
      </c>
      <c r="Q326" s="33"/>
      <c r="R326" s="11"/>
    </row>
    <row r="327" ht="15.75" customHeight="1">
      <c r="A327" s="13">
        <f t="shared" si="1"/>
        <v>326</v>
      </c>
      <c r="B327" s="15" t="s">
        <v>24</v>
      </c>
      <c r="C327" s="17">
        <v>1692.0</v>
      </c>
      <c r="D327" s="17" t="s">
        <v>122</v>
      </c>
      <c r="E327" s="17" t="s">
        <v>896</v>
      </c>
      <c r="F327" s="25" t="s">
        <v>303</v>
      </c>
      <c r="G327" s="25" t="s">
        <v>526</v>
      </c>
      <c r="H327" s="25" t="s">
        <v>36</v>
      </c>
      <c r="I327" s="32">
        <v>46112.0</v>
      </c>
      <c r="J327" s="15">
        <v>0.0</v>
      </c>
      <c r="K327" s="25" t="s">
        <v>57</v>
      </c>
      <c r="L327" s="28">
        <v>0.0</v>
      </c>
      <c r="M327" s="28">
        <v>6500.0</v>
      </c>
      <c r="N327" s="28">
        <v>0.0</v>
      </c>
      <c r="O327" s="28">
        <v>0.0</v>
      </c>
      <c r="P327" s="28">
        <v>0.0</v>
      </c>
      <c r="Q327" s="33"/>
      <c r="R327" s="11"/>
    </row>
    <row r="328" ht="15.75" customHeight="1">
      <c r="A328" s="13">
        <f t="shared" si="1"/>
        <v>327</v>
      </c>
      <c r="B328" s="15" t="s">
        <v>24</v>
      </c>
      <c r="C328" s="17">
        <v>1692.0</v>
      </c>
      <c r="D328" s="17" t="s">
        <v>122</v>
      </c>
      <c r="E328" s="17" t="s">
        <v>897</v>
      </c>
      <c r="F328" s="23" t="s">
        <v>142</v>
      </c>
      <c r="G328" s="25" t="s">
        <v>802</v>
      </c>
      <c r="H328" s="25" t="s">
        <v>36</v>
      </c>
      <c r="I328" s="32">
        <v>46112.0</v>
      </c>
      <c r="J328" s="17">
        <v>0.0</v>
      </c>
      <c r="K328" s="25" t="s">
        <v>38</v>
      </c>
      <c r="L328" s="28">
        <v>50000.0</v>
      </c>
      <c r="M328" s="28">
        <v>0.0</v>
      </c>
      <c r="N328" s="28">
        <v>0.0</v>
      </c>
      <c r="O328" s="28">
        <v>0.0</v>
      </c>
      <c r="P328" s="28">
        <v>0.0</v>
      </c>
      <c r="Q328" s="33"/>
      <c r="R328" s="11"/>
    </row>
    <row r="329" ht="15.75" customHeight="1">
      <c r="A329" s="13">
        <f t="shared" si="1"/>
        <v>328</v>
      </c>
      <c r="B329" s="15" t="s">
        <v>24</v>
      </c>
      <c r="C329" s="17">
        <v>1692.0</v>
      </c>
      <c r="D329" s="17" t="s">
        <v>122</v>
      </c>
      <c r="E329" s="17" t="s">
        <v>898</v>
      </c>
      <c r="F329" s="25" t="s">
        <v>377</v>
      </c>
      <c r="G329" s="25" t="s">
        <v>582</v>
      </c>
      <c r="H329" s="25" t="s">
        <v>36</v>
      </c>
      <c r="I329" s="32">
        <v>46112.0</v>
      </c>
      <c r="J329" s="15">
        <v>0.0</v>
      </c>
      <c r="K329" s="25" t="s">
        <v>38</v>
      </c>
      <c r="L329" s="28">
        <v>100000.0</v>
      </c>
      <c r="M329" s="28">
        <v>0.0</v>
      </c>
      <c r="N329" s="76">
        <v>0.0</v>
      </c>
      <c r="O329" s="28">
        <v>0.0</v>
      </c>
      <c r="P329" s="77">
        <v>0.0</v>
      </c>
      <c r="Q329" s="33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3">
        <f t="shared" si="1"/>
        <v>329</v>
      </c>
      <c r="B330" s="15" t="s">
        <v>24</v>
      </c>
      <c r="C330" s="17">
        <v>1692.0</v>
      </c>
      <c r="D330" s="17" t="s">
        <v>122</v>
      </c>
      <c r="E330" s="17" t="s">
        <v>899</v>
      </c>
      <c r="F330" s="25" t="s">
        <v>92</v>
      </c>
      <c r="G330" s="25" t="s">
        <v>742</v>
      </c>
      <c r="H330" s="25" t="s">
        <v>37</v>
      </c>
      <c r="I330" s="32">
        <v>46113.0</v>
      </c>
      <c r="J330" s="15">
        <v>0.0</v>
      </c>
      <c r="K330" s="25" t="s">
        <v>57</v>
      </c>
      <c r="L330" s="28">
        <v>9000.0</v>
      </c>
      <c r="M330" s="28">
        <v>0.0</v>
      </c>
      <c r="N330" s="28">
        <v>0.0</v>
      </c>
      <c r="O330" s="28">
        <v>0.0</v>
      </c>
      <c r="P330" s="28">
        <v>0.0</v>
      </c>
      <c r="Q330" s="33"/>
      <c r="R330" s="11"/>
    </row>
    <row r="331" ht="15.75" customHeight="1">
      <c r="A331" s="13">
        <f t="shared" si="1"/>
        <v>330</v>
      </c>
      <c r="B331" s="15" t="s">
        <v>24</v>
      </c>
      <c r="C331" s="17">
        <v>1692.0</v>
      </c>
      <c r="D331" s="17" t="s">
        <v>122</v>
      </c>
      <c r="E331" s="17" t="s">
        <v>900</v>
      </c>
      <c r="F331" s="25" t="s">
        <v>27</v>
      </c>
      <c r="G331" s="25" t="s">
        <v>794</v>
      </c>
      <c r="H331" s="25" t="s">
        <v>36</v>
      </c>
      <c r="I331" s="32">
        <v>46113.0</v>
      </c>
      <c r="J331" s="15">
        <v>0.0</v>
      </c>
      <c r="K331" s="25" t="s">
        <v>57</v>
      </c>
      <c r="L331" s="28">
        <v>10000.0</v>
      </c>
      <c r="M331" s="28">
        <v>0.0</v>
      </c>
      <c r="N331" s="28">
        <v>0.0</v>
      </c>
      <c r="O331" s="28">
        <v>0.0</v>
      </c>
      <c r="P331" s="28">
        <v>0.0</v>
      </c>
      <c r="Q331" s="33"/>
      <c r="R331" s="11"/>
    </row>
    <row r="332" ht="15.75" customHeight="1">
      <c r="A332" s="13">
        <f t="shared" si="1"/>
        <v>331</v>
      </c>
      <c r="B332" s="15" t="s">
        <v>24</v>
      </c>
      <c r="C332" s="17">
        <v>1692.0</v>
      </c>
      <c r="D332" s="17" t="s">
        <v>211</v>
      </c>
      <c r="E332" s="17" t="s">
        <v>901</v>
      </c>
      <c r="F332" s="23" t="s">
        <v>902</v>
      </c>
      <c r="G332" s="23" t="s">
        <v>903</v>
      </c>
      <c r="H332" s="25" t="s">
        <v>36</v>
      </c>
      <c r="I332" s="32">
        <v>46114.0</v>
      </c>
      <c r="J332" s="17">
        <v>1.0</v>
      </c>
      <c r="K332" s="25" t="s">
        <v>38</v>
      </c>
      <c r="L332" s="28">
        <v>50000.0</v>
      </c>
      <c r="M332" s="28">
        <v>0.0</v>
      </c>
      <c r="N332" s="28">
        <v>0.0</v>
      </c>
      <c r="O332" s="28">
        <v>0.0</v>
      </c>
      <c r="P332" s="28">
        <v>0.0</v>
      </c>
      <c r="Q332" s="33"/>
      <c r="R332" s="11"/>
    </row>
    <row r="333" ht="15.75" customHeight="1">
      <c r="A333" s="13">
        <f t="shared" si="1"/>
        <v>332</v>
      </c>
      <c r="B333" s="15" t="s">
        <v>24</v>
      </c>
      <c r="C333" s="17">
        <v>1692.0</v>
      </c>
      <c r="D333" s="17" t="s">
        <v>211</v>
      </c>
      <c r="E333" s="17" t="s">
        <v>904</v>
      </c>
      <c r="F333" s="23" t="s">
        <v>905</v>
      </c>
      <c r="G333" s="23" t="s">
        <v>906</v>
      </c>
      <c r="H333" s="25" t="s">
        <v>36</v>
      </c>
      <c r="I333" s="32">
        <v>46114.0</v>
      </c>
      <c r="J333" s="17">
        <v>1.0</v>
      </c>
      <c r="K333" s="25" t="s">
        <v>38</v>
      </c>
      <c r="L333" s="28">
        <v>0.0</v>
      </c>
      <c r="M333" s="28">
        <v>50000.0</v>
      </c>
      <c r="N333" s="28">
        <v>0.0</v>
      </c>
      <c r="O333" s="28">
        <v>0.0</v>
      </c>
      <c r="P333" s="28">
        <v>0.0</v>
      </c>
      <c r="Q333" s="33"/>
      <c r="R333" s="11"/>
    </row>
    <row r="334" ht="15.75" customHeight="1">
      <c r="A334" s="13">
        <f t="shared" si="1"/>
        <v>333</v>
      </c>
      <c r="B334" s="15" t="s">
        <v>24</v>
      </c>
      <c r="C334" s="17">
        <v>1692.0</v>
      </c>
      <c r="D334" s="17" t="s">
        <v>122</v>
      </c>
      <c r="E334" s="17" t="s">
        <v>907</v>
      </c>
      <c r="F334" s="25" t="s">
        <v>92</v>
      </c>
      <c r="G334" s="25" t="s">
        <v>700</v>
      </c>
      <c r="H334" s="25" t="s">
        <v>36</v>
      </c>
      <c r="I334" s="32">
        <v>46114.0</v>
      </c>
      <c r="J334" s="15">
        <v>0.0</v>
      </c>
      <c r="K334" s="25" t="s">
        <v>38</v>
      </c>
      <c r="L334" s="28">
        <v>15000.0</v>
      </c>
      <c r="M334" s="28">
        <v>0.0</v>
      </c>
      <c r="N334" s="28">
        <v>0.0</v>
      </c>
      <c r="O334" s="28">
        <v>0.0</v>
      </c>
      <c r="P334" s="28">
        <v>0.0</v>
      </c>
      <c r="Q334" s="33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3">
        <f t="shared" si="1"/>
        <v>334</v>
      </c>
      <c r="B335" s="15" t="s">
        <v>24</v>
      </c>
      <c r="C335" s="17">
        <v>1692.0</v>
      </c>
      <c r="D335" s="17" t="s">
        <v>211</v>
      </c>
      <c r="E335" s="17" t="s">
        <v>908</v>
      </c>
      <c r="F335" s="25" t="s">
        <v>647</v>
      </c>
      <c r="G335" s="25" t="s">
        <v>809</v>
      </c>
      <c r="H335" s="25" t="s">
        <v>36</v>
      </c>
      <c r="I335" s="32">
        <v>46114.0</v>
      </c>
      <c r="J335" s="17">
        <v>0.0</v>
      </c>
      <c r="K335" s="172" t="s">
        <v>38</v>
      </c>
      <c r="L335" s="28">
        <v>0.0</v>
      </c>
      <c r="M335" s="28">
        <v>85000.0</v>
      </c>
      <c r="N335" s="28">
        <v>0.0</v>
      </c>
      <c r="O335" s="28">
        <v>0.0</v>
      </c>
      <c r="P335" s="28">
        <v>0.0</v>
      </c>
      <c r="Q335" s="33"/>
      <c r="R335" s="11"/>
    </row>
    <row r="336" ht="15.75" customHeight="1">
      <c r="A336" s="13">
        <f t="shared" si="1"/>
        <v>335</v>
      </c>
      <c r="B336" s="15" t="s">
        <v>24</v>
      </c>
      <c r="C336" s="17">
        <v>1692.0</v>
      </c>
      <c r="D336" s="17" t="s">
        <v>211</v>
      </c>
      <c r="E336" s="17" t="s">
        <v>909</v>
      </c>
      <c r="F336" s="25" t="s">
        <v>647</v>
      </c>
      <c r="G336" s="25" t="s">
        <v>809</v>
      </c>
      <c r="H336" s="25" t="s">
        <v>36</v>
      </c>
      <c r="I336" s="32">
        <v>46114.0</v>
      </c>
      <c r="J336" s="17">
        <v>0.0</v>
      </c>
      <c r="K336" s="172" t="s">
        <v>38</v>
      </c>
      <c r="L336" s="28">
        <v>0.0</v>
      </c>
      <c r="M336" s="28">
        <v>15000.0</v>
      </c>
      <c r="N336" s="28">
        <v>0.0</v>
      </c>
      <c r="O336" s="28">
        <v>0.0</v>
      </c>
      <c r="P336" s="28">
        <v>0.0</v>
      </c>
      <c r="Q336" s="33"/>
      <c r="R336" s="11"/>
    </row>
    <row r="337" ht="15.75" customHeight="1">
      <c r="A337" s="13">
        <f t="shared" si="1"/>
        <v>336</v>
      </c>
      <c r="B337" s="15" t="s">
        <v>24</v>
      </c>
      <c r="C337" s="17">
        <v>1692.0</v>
      </c>
      <c r="D337" s="17" t="s">
        <v>122</v>
      </c>
      <c r="E337" s="17" t="s">
        <v>910</v>
      </c>
      <c r="F337" s="23" t="s">
        <v>208</v>
      </c>
      <c r="G337" s="23" t="s">
        <v>911</v>
      </c>
      <c r="H337" s="23" t="s">
        <v>37</v>
      </c>
      <c r="I337" s="32">
        <v>46115.0</v>
      </c>
      <c r="J337" s="17">
        <v>0.0</v>
      </c>
      <c r="K337" s="23" t="s">
        <v>57</v>
      </c>
      <c r="L337" s="28">
        <v>6000.0</v>
      </c>
      <c r="M337" s="28">
        <v>0.0</v>
      </c>
      <c r="N337" s="28">
        <v>0.0</v>
      </c>
      <c r="O337" s="28">
        <v>0.0</v>
      </c>
      <c r="P337" s="28">
        <v>0.0</v>
      </c>
      <c r="Q337" s="33"/>
      <c r="R337" s="11"/>
    </row>
    <row r="338" ht="15.75" customHeight="1">
      <c r="A338" s="13">
        <f t="shared" si="1"/>
        <v>337</v>
      </c>
      <c r="B338" s="15" t="s">
        <v>24</v>
      </c>
      <c r="C338" s="17">
        <v>1692.0</v>
      </c>
      <c r="D338" s="17" t="s">
        <v>211</v>
      </c>
      <c r="E338" s="17" t="s">
        <v>912</v>
      </c>
      <c r="F338" s="25" t="s">
        <v>647</v>
      </c>
      <c r="G338" s="25" t="s">
        <v>809</v>
      </c>
      <c r="H338" s="25" t="s">
        <v>36</v>
      </c>
      <c r="I338" s="32">
        <v>46115.0</v>
      </c>
      <c r="J338" s="17">
        <v>0.0</v>
      </c>
      <c r="K338" s="25" t="s">
        <v>38</v>
      </c>
      <c r="L338" s="28">
        <v>1000.0</v>
      </c>
      <c r="M338" s="28">
        <v>49000.0</v>
      </c>
      <c r="N338" s="28">
        <v>0.0</v>
      </c>
      <c r="O338" s="28">
        <v>0.0</v>
      </c>
      <c r="P338" s="28">
        <v>0.0</v>
      </c>
      <c r="Q338" s="33"/>
      <c r="R338" s="11"/>
    </row>
    <row r="339" ht="15.75" customHeight="1">
      <c r="A339" s="13">
        <f t="shared" si="1"/>
        <v>338</v>
      </c>
      <c r="B339" s="15" t="s">
        <v>24</v>
      </c>
      <c r="C339" s="17">
        <v>1692.0</v>
      </c>
      <c r="D339" s="17" t="s">
        <v>211</v>
      </c>
      <c r="E339" s="17" t="s">
        <v>913</v>
      </c>
      <c r="F339" s="25" t="s">
        <v>647</v>
      </c>
      <c r="G339" s="25" t="s">
        <v>809</v>
      </c>
      <c r="H339" s="25" t="s">
        <v>36</v>
      </c>
      <c r="I339" s="32">
        <v>46115.0</v>
      </c>
      <c r="J339" s="17">
        <v>0.0</v>
      </c>
      <c r="K339" s="25" t="s">
        <v>38</v>
      </c>
      <c r="L339" s="28">
        <v>50000.0</v>
      </c>
      <c r="M339" s="28">
        <v>0.0</v>
      </c>
      <c r="N339" s="28">
        <v>0.0</v>
      </c>
      <c r="O339" s="28">
        <v>0.0</v>
      </c>
      <c r="P339" s="28">
        <v>0.0</v>
      </c>
      <c r="Q339" s="158">
        <v>46117.0</v>
      </c>
      <c r="R339" s="11"/>
    </row>
    <row r="340" ht="15.75" customHeight="1">
      <c r="A340" s="13">
        <f t="shared" si="1"/>
        <v>339</v>
      </c>
      <c r="B340" s="15" t="s">
        <v>24</v>
      </c>
      <c r="C340" s="17">
        <v>1692.0</v>
      </c>
      <c r="D340" s="17" t="s">
        <v>122</v>
      </c>
      <c r="E340" s="17" t="s">
        <v>914</v>
      </c>
      <c r="F340" s="25" t="s">
        <v>71</v>
      </c>
      <c r="G340" s="23" t="s">
        <v>915</v>
      </c>
      <c r="H340" s="25" t="s">
        <v>37</v>
      </c>
      <c r="I340" s="32">
        <v>46115.0</v>
      </c>
      <c r="J340" s="17">
        <v>1.0</v>
      </c>
      <c r="K340" s="25" t="s">
        <v>38</v>
      </c>
      <c r="L340" s="23">
        <v>5000.0</v>
      </c>
      <c r="M340" s="28">
        <v>0.0</v>
      </c>
      <c r="N340" s="28">
        <v>0.0</v>
      </c>
      <c r="O340" s="28">
        <v>0.0</v>
      </c>
      <c r="P340" s="28">
        <v>0.0</v>
      </c>
      <c r="Q340" s="33"/>
      <c r="R340" s="11"/>
    </row>
    <row r="341" ht="15.75" customHeight="1">
      <c r="A341" s="13">
        <f t="shared" si="1"/>
        <v>340</v>
      </c>
      <c r="B341" s="15" t="s">
        <v>24</v>
      </c>
      <c r="C341" s="17">
        <v>1692.0</v>
      </c>
      <c r="D341" s="17"/>
      <c r="E341" s="17" t="s">
        <v>917</v>
      </c>
      <c r="F341" s="153"/>
      <c r="G341" s="23" t="s">
        <v>918</v>
      </c>
      <c r="H341" s="25" t="s">
        <v>36</v>
      </c>
      <c r="I341" s="32">
        <v>46116.0</v>
      </c>
      <c r="J341" s="17">
        <v>0.0</v>
      </c>
      <c r="K341" s="23" t="s">
        <v>57</v>
      </c>
      <c r="L341" s="28">
        <v>3300.0</v>
      </c>
      <c r="M341" s="28">
        <v>0.0</v>
      </c>
      <c r="N341" s="28">
        <v>0.0</v>
      </c>
      <c r="O341" s="28">
        <v>0.0</v>
      </c>
      <c r="P341" s="28">
        <v>0.0</v>
      </c>
      <c r="Q341" s="33"/>
      <c r="R341" s="11"/>
    </row>
    <row r="342" ht="15.75" customHeight="1">
      <c r="A342" s="13">
        <f t="shared" si="1"/>
        <v>341</v>
      </c>
      <c r="B342" s="15" t="s">
        <v>24</v>
      </c>
      <c r="C342" s="17">
        <v>1692.0</v>
      </c>
      <c r="D342" s="17" t="s">
        <v>211</v>
      </c>
      <c r="E342" s="17" t="s">
        <v>919</v>
      </c>
      <c r="F342" s="153" t="s">
        <v>731</v>
      </c>
      <c r="G342" s="23" t="s">
        <v>920</v>
      </c>
      <c r="H342" s="23" t="s">
        <v>37</v>
      </c>
      <c r="I342" s="32">
        <v>46116.0</v>
      </c>
      <c r="J342" s="17">
        <v>1.0</v>
      </c>
      <c r="K342" s="23" t="s">
        <v>38</v>
      </c>
      <c r="L342" s="28">
        <v>100000.0</v>
      </c>
      <c r="M342" s="28">
        <v>0.0</v>
      </c>
      <c r="N342" s="28">
        <v>0.0</v>
      </c>
      <c r="O342" s="28">
        <v>0.0</v>
      </c>
      <c r="P342" s="28">
        <v>0.0</v>
      </c>
      <c r="Q342" s="192">
        <v>46116.0</v>
      </c>
      <c r="R342" s="11"/>
    </row>
    <row r="343" ht="15.75" customHeight="1">
      <c r="A343" s="13">
        <f t="shared" si="1"/>
        <v>342</v>
      </c>
      <c r="B343" s="15" t="s">
        <v>24</v>
      </c>
      <c r="C343" s="17">
        <v>1692.0</v>
      </c>
      <c r="D343" s="17"/>
      <c r="E343" s="17" t="s">
        <v>921</v>
      </c>
      <c r="F343" s="153"/>
      <c r="G343" s="80" t="s">
        <v>922</v>
      </c>
      <c r="H343" s="23" t="s">
        <v>36</v>
      </c>
      <c r="I343" s="32">
        <v>46116.0</v>
      </c>
      <c r="J343" s="17">
        <v>0.0</v>
      </c>
      <c r="K343" s="23" t="s">
        <v>57</v>
      </c>
      <c r="L343" s="28">
        <v>0.0</v>
      </c>
      <c r="M343" s="28">
        <v>16000.0</v>
      </c>
      <c r="N343" s="28">
        <v>0.0</v>
      </c>
      <c r="O343" s="28">
        <v>0.0</v>
      </c>
      <c r="P343" s="28">
        <v>0.0</v>
      </c>
      <c r="Q343" s="33"/>
      <c r="R343" s="11"/>
    </row>
    <row r="344" ht="15.75" customHeight="1">
      <c r="A344" s="13">
        <f t="shared" si="1"/>
        <v>343</v>
      </c>
      <c r="B344" s="15" t="s">
        <v>24</v>
      </c>
      <c r="C344" s="17">
        <v>1692.0</v>
      </c>
      <c r="D344" s="17" t="s">
        <v>211</v>
      </c>
      <c r="E344" s="17" t="s">
        <v>923</v>
      </c>
      <c r="F344" s="23" t="s">
        <v>49</v>
      </c>
      <c r="G344" s="23" t="s">
        <v>54</v>
      </c>
      <c r="H344" s="23" t="s">
        <v>55</v>
      </c>
      <c r="I344" s="158">
        <v>46117.0</v>
      </c>
      <c r="J344" s="17">
        <v>0.0</v>
      </c>
      <c r="K344" s="23" t="s">
        <v>38</v>
      </c>
      <c r="L344" s="28">
        <v>65000.0</v>
      </c>
      <c r="M344" s="28">
        <v>0.0</v>
      </c>
      <c r="N344" s="28">
        <v>0.0</v>
      </c>
      <c r="O344" s="28">
        <v>0.0</v>
      </c>
      <c r="P344" s="28">
        <v>0.0</v>
      </c>
      <c r="Q344" s="158">
        <v>46142.0</v>
      </c>
      <c r="R344" s="11"/>
    </row>
    <row r="345" ht="15.75" customHeight="1">
      <c r="A345" s="13">
        <f t="shared" si="1"/>
        <v>344</v>
      </c>
      <c r="B345" s="15" t="s">
        <v>24</v>
      </c>
      <c r="C345" s="17">
        <v>1692.0</v>
      </c>
      <c r="D345" s="17"/>
      <c r="E345" s="17" t="s">
        <v>924</v>
      </c>
      <c r="F345" s="25"/>
      <c r="G345" s="23" t="s">
        <v>288</v>
      </c>
      <c r="H345" s="25" t="s">
        <v>36</v>
      </c>
      <c r="I345" s="158">
        <v>46117.0</v>
      </c>
      <c r="J345" s="15">
        <v>0.0</v>
      </c>
      <c r="K345" s="25" t="s">
        <v>57</v>
      </c>
      <c r="L345" s="28">
        <v>9000.0</v>
      </c>
      <c r="M345" s="28">
        <v>0.0</v>
      </c>
      <c r="N345" s="28">
        <v>0.0</v>
      </c>
      <c r="O345" s="28">
        <v>0.0</v>
      </c>
      <c r="P345" s="28">
        <v>0.0</v>
      </c>
      <c r="Q345" s="33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3">
        <f t="shared" si="1"/>
        <v>345</v>
      </c>
      <c r="B346" s="15" t="s">
        <v>24</v>
      </c>
      <c r="C346" s="17">
        <v>1692.0</v>
      </c>
      <c r="D346" s="17" t="s">
        <v>211</v>
      </c>
      <c r="E346" s="17" t="s">
        <v>925</v>
      </c>
      <c r="F346" s="25" t="s">
        <v>40</v>
      </c>
      <c r="G346" s="23" t="s">
        <v>558</v>
      </c>
      <c r="H346" s="25" t="s">
        <v>36</v>
      </c>
      <c r="I346" s="158">
        <v>46117.0</v>
      </c>
      <c r="J346" s="17">
        <v>0.0</v>
      </c>
      <c r="K346" s="25" t="s">
        <v>38</v>
      </c>
      <c r="L346" s="28">
        <v>0.0</v>
      </c>
      <c r="M346" s="28">
        <v>0.0</v>
      </c>
      <c r="N346" s="28">
        <v>200000.0</v>
      </c>
      <c r="O346" s="28">
        <v>0.0</v>
      </c>
      <c r="P346" s="28">
        <v>0.0</v>
      </c>
      <c r="Q346" s="158">
        <v>46118.0</v>
      </c>
      <c r="R346" s="11"/>
    </row>
    <row r="347" ht="15.75" customHeight="1">
      <c r="A347" s="13">
        <f t="shared" si="1"/>
        <v>346</v>
      </c>
      <c r="B347" s="15" t="s">
        <v>24</v>
      </c>
      <c r="C347" s="17">
        <v>1692.0</v>
      </c>
      <c r="D347" s="17"/>
      <c r="E347" s="17" t="s">
        <v>926</v>
      </c>
      <c r="F347" s="25"/>
      <c r="G347" s="23" t="s">
        <v>927</v>
      </c>
      <c r="H347" s="25" t="s">
        <v>36</v>
      </c>
      <c r="I347" s="158">
        <v>46117.0</v>
      </c>
      <c r="J347" s="17">
        <v>0.0</v>
      </c>
      <c r="K347" s="23" t="s">
        <v>57</v>
      </c>
      <c r="L347" s="28">
        <v>6000.0</v>
      </c>
      <c r="M347" s="28">
        <v>0.0</v>
      </c>
      <c r="N347" s="28">
        <v>0.0</v>
      </c>
      <c r="O347" s="28">
        <v>0.0</v>
      </c>
      <c r="P347" s="28">
        <v>0.0</v>
      </c>
      <c r="Q347" s="33"/>
      <c r="R347" s="11"/>
    </row>
    <row r="348" ht="15.75" customHeight="1">
      <c r="A348" s="13">
        <f t="shared" si="1"/>
        <v>347</v>
      </c>
      <c r="B348" s="15" t="s">
        <v>24</v>
      </c>
      <c r="C348" s="17">
        <v>1692.0</v>
      </c>
      <c r="D348" s="17"/>
      <c r="E348" s="17" t="s">
        <v>928</v>
      </c>
      <c r="F348" s="25"/>
      <c r="G348" s="23" t="s">
        <v>927</v>
      </c>
      <c r="H348" s="25" t="s">
        <v>36</v>
      </c>
      <c r="I348" s="158">
        <v>46117.0</v>
      </c>
      <c r="J348" s="17">
        <v>0.0</v>
      </c>
      <c r="K348" s="23" t="s">
        <v>57</v>
      </c>
      <c r="L348" s="28">
        <v>12000.0</v>
      </c>
      <c r="M348" s="28">
        <v>0.0</v>
      </c>
      <c r="N348" s="28">
        <v>0.0</v>
      </c>
      <c r="O348" s="28">
        <v>0.0</v>
      </c>
      <c r="P348" s="28">
        <v>0.0</v>
      </c>
      <c r="Q348" s="33"/>
      <c r="R348" s="11"/>
    </row>
    <row r="349" ht="15.75" customHeight="1">
      <c r="A349" s="13">
        <f t="shared" si="1"/>
        <v>348</v>
      </c>
      <c r="B349" s="15" t="s">
        <v>24</v>
      </c>
      <c r="C349" s="17">
        <v>1692.0</v>
      </c>
      <c r="D349" s="17" t="s">
        <v>211</v>
      </c>
      <c r="E349" s="17" t="s">
        <v>929</v>
      </c>
      <c r="F349" s="25" t="s">
        <v>169</v>
      </c>
      <c r="G349" s="25" t="s">
        <v>170</v>
      </c>
      <c r="H349" s="25" t="s">
        <v>36</v>
      </c>
      <c r="I349" s="30">
        <v>46118.0</v>
      </c>
      <c r="J349" s="15">
        <v>0.0</v>
      </c>
      <c r="K349" s="25" t="s">
        <v>57</v>
      </c>
      <c r="L349" s="28">
        <v>8500.0</v>
      </c>
      <c r="M349" s="28">
        <v>0.0</v>
      </c>
      <c r="N349" s="28">
        <v>0.0</v>
      </c>
      <c r="O349" s="28">
        <v>0.0</v>
      </c>
      <c r="P349" s="28">
        <v>0.0</v>
      </c>
      <c r="Q349" s="33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3">
        <f t="shared" si="1"/>
        <v>349</v>
      </c>
      <c r="B350" s="15" t="s">
        <v>24</v>
      </c>
      <c r="C350" s="17">
        <v>1692.0</v>
      </c>
      <c r="D350" s="17" t="s">
        <v>122</v>
      </c>
      <c r="E350" s="17" t="s">
        <v>930</v>
      </c>
      <c r="F350" s="25" t="s">
        <v>116</v>
      </c>
      <c r="G350" s="25" t="s">
        <v>117</v>
      </c>
      <c r="H350" s="25" t="s">
        <v>36</v>
      </c>
      <c r="I350" s="30">
        <v>46118.0</v>
      </c>
      <c r="J350" s="15">
        <v>0.0</v>
      </c>
      <c r="K350" s="25" t="s">
        <v>57</v>
      </c>
      <c r="L350" s="28">
        <v>8000.0</v>
      </c>
      <c r="M350" s="28">
        <v>0.0</v>
      </c>
      <c r="N350" s="28">
        <v>0.0</v>
      </c>
      <c r="O350" s="28">
        <v>0.0</v>
      </c>
      <c r="P350" s="28">
        <v>0.0</v>
      </c>
      <c r="Q350" s="33"/>
      <c r="R350" s="11"/>
    </row>
    <row r="351" ht="15.75" customHeight="1">
      <c r="A351" s="13">
        <f t="shared" si="1"/>
        <v>350</v>
      </c>
      <c r="B351" s="15" t="s">
        <v>24</v>
      </c>
      <c r="C351" s="17">
        <v>1692.0</v>
      </c>
      <c r="D351" s="17" t="s">
        <v>122</v>
      </c>
      <c r="E351" s="17" t="s">
        <v>932</v>
      </c>
      <c r="F351" s="25" t="s">
        <v>71</v>
      </c>
      <c r="G351" s="23" t="s">
        <v>915</v>
      </c>
      <c r="H351" s="25" t="s">
        <v>37</v>
      </c>
      <c r="I351" s="30">
        <v>46118.0</v>
      </c>
      <c r="J351" s="17">
        <v>0.0</v>
      </c>
      <c r="K351" s="25" t="s">
        <v>38</v>
      </c>
      <c r="L351" s="23">
        <v>45000.0</v>
      </c>
      <c r="M351" s="28">
        <v>0.0</v>
      </c>
      <c r="N351" s="28">
        <v>0.0</v>
      </c>
      <c r="O351" s="28">
        <v>0.0</v>
      </c>
      <c r="P351" s="28">
        <v>0.0</v>
      </c>
      <c r="Q351" s="33"/>
      <c r="R351" s="11"/>
    </row>
    <row r="352" ht="15.75" customHeight="1">
      <c r="A352" s="13">
        <f t="shared" si="1"/>
        <v>351</v>
      </c>
      <c r="B352" s="15" t="s">
        <v>24</v>
      </c>
      <c r="C352" s="17">
        <v>1704.0</v>
      </c>
      <c r="D352" s="17" t="s">
        <v>122</v>
      </c>
      <c r="E352" s="35" t="s">
        <v>933</v>
      </c>
      <c r="F352" s="72" t="s">
        <v>272</v>
      </c>
      <c r="G352" s="72" t="s">
        <v>274</v>
      </c>
      <c r="H352" s="25" t="s">
        <v>36</v>
      </c>
      <c r="I352" s="30">
        <v>46118.0</v>
      </c>
      <c r="J352" s="17">
        <v>0.0</v>
      </c>
      <c r="K352" s="23" t="s">
        <v>57</v>
      </c>
      <c r="L352" s="28">
        <v>10000.0</v>
      </c>
      <c r="M352" s="28">
        <v>0.0</v>
      </c>
      <c r="N352" s="28">
        <v>0.0</v>
      </c>
      <c r="O352" s="28">
        <v>0.0</v>
      </c>
      <c r="P352" s="28">
        <v>0.0</v>
      </c>
      <c r="Q352" s="33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3">
        <f t="shared" si="1"/>
        <v>352</v>
      </c>
      <c r="B353" s="15" t="s">
        <v>24</v>
      </c>
      <c r="C353" s="17">
        <v>1704.0</v>
      </c>
      <c r="D353" s="17" t="s">
        <v>211</v>
      </c>
      <c r="E353" s="17" t="s">
        <v>934</v>
      </c>
      <c r="F353" s="25" t="s">
        <v>169</v>
      </c>
      <c r="G353" s="23" t="s">
        <v>935</v>
      </c>
      <c r="H353" s="25" t="s">
        <v>36</v>
      </c>
      <c r="I353" s="30">
        <v>46118.0</v>
      </c>
      <c r="J353" s="17">
        <v>1.0</v>
      </c>
      <c r="K353" s="25" t="s">
        <v>38</v>
      </c>
      <c r="L353" s="23">
        <v>3000.0</v>
      </c>
      <c r="M353" s="28">
        <v>0.0</v>
      </c>
      <c r="N353" s="28">
        <v>0.0</v>
      </c>
      <c r="O353" s="28">
        <v>0.0</v>
      </c>
      <c r="P353" s="28">
        <v>0.0</v>
      </c>
      <c r="Q353" s="33"/>
      <c r="R353" s="11"/>
    </row>
    <row r="354" ht="15.75" customHeight="1">
      <c r="A354" s="13">
        <f t="shared" si="1"/>
        <v>353</v>
      </c>
      <c r="B354" s="15" t="s">
        <v>24</v>
      </c>
      <c r="C354" s="17">
        <v>1704.0</v>
      </c>
      <c r="D354" s="154" t="s">
        <v>644</v>
      </c>
      <c r="E354" s="17" t="s">
        <v>936</v>
      </c>
      <c r="F354" s="23" t="s">
        <v>937</v>
      </c>
      <c r="G354" s="23" t="s">
        <v>938</v>
      </c>
      <c r="H354" s="25" t="s">
        <v>36</v>
      </c>
      <c r="I354" s="30">
        <v>46120.0</v>
      </c>
      <c r="J354" s="17">
        <v>0.0</v>
      </c>
      <c r="K354" s="23" t="s">
        <v>57</v>
      </c>
      <c r="L354" s="28">
        <v>0.0</v>
      </c>
      <c r="M354" s="28">
        <v>0.0</v>
      </c>
      <c r="N354" s="28">
        <v>90000.0</v>
      </c>
      <c r="O354" s="28">
        <v>0.0</v>
      </c>
      <c r="P354" s="28">
        <v>0.0</v>
      </c>
      <c r="Q354" s="30">
        <v>46120.0</v>
      </c>
      <c r="R354" s="11"/>
    </row>
    <row r="355" ht="15.75" customHeight="1">
      <c r="A355" s="13">
        <f t="shared" si="1"/>
        <v>354</v>
      </c>
      <c r="B355" s="15" t="s">
        <v>24</v>
      </c>
      <c r="C355" s="17">
        <v>1704.0</v>
      </c>
      <c r="D355" s="17" t="s">
        <v>211</v>
      </c>
      <c r="E355" s="17" t="s">
        <v>939</v>
      </c>
      <c r="F355" s="71" t="s">
        <v>84</v>
      </c>
      <c r="G355" s="72" t="s">
        <v>324</v>
      </c>
      <c r="H355" s="25" t="s">
        <v>36</v>
      </c>
      <c r="I355" s="73">
        <v>46125.0</v>
      </c>
      <c r="J355" s="17">
        <v>2.0</v>
      </c>
      <c r="K355" s="25" t="s">
        <v>38</v>
      </c>
      <c r="L355" s="28">
        <v>0.0</v>
      </c>
      <c r="M355" s="28">
        <v>10000.0</v>
      </c>
      <c r="N355" s="28">
        <v>0.0</v>
      </c>
      <c r="O355" s="28">
        <v>0.0</v>
      </c>
      <c r="P355" s="28">
        <v>0.0</v>
      </c>
      <c r="Q355" s="30"/>
      <c r="R355" s="11"/>
    </row>
    <row r="356" ht="15.75" customHeight="1">
      <c r="A356" s="13">
        <f t="shared" si="1"/>
        <v>355</v>
      </c>
      <c r="B356" s="15" t="s">
        <v>24</v>
      </c>
      <c r="C356" s="17">
        <v>1704.0</v>
      </c>
      <c r="D356" s="17" t="s">
        <v>211</v>
      </c>
      <c r="E356" s="17" t="s">
        <v>941</v>
      </c>
      <c r="F356" s="71" t="s">
        <v>84</v>
      </c>
      <c r="G356" s="72" t="s">
        <v>324</v>
      </c>
      <c r="H356" s="25" t="s">
        <v>36</v>
      </c>
      <c r="I356" s="73">
        <v>46125.0</v>
      </c>
      <c r="J356" s="17">
        <v>0.0</v>
      </c>
      <c r="K356" s="25" t="s">
        <v>38</v>
      </c>
      <c r="L356" s="28">
        <v>0.0</v>
      </c>
      <c r="M356" s="28">
        <v>15000.0</v>
      </c>
      <c r="N356" s="28">
        <v>0.0</v>
      </c>
      <c r="O356" s="28">
        <v>0.0</v>
      </c>
      <c r="P356" s="28">
        <v>0.0</v>
      </c>
      <c r="Q356" s="193"/>
      <c r="R356" s="11"/>
    </row>
    <row r="357" ht="15.75" customHeight="1">
      <c r="A357" s="13">
        <f t="shared" si="1"/>
        <v>356</v>
      </c>
      <c r="B357" s="15" t="s">
        <v>24</v>
      </c>
      <c r="C357" s="17">
        <v>1704.0</v>
      </c>
      <c r="D357" s="194" t="s">
        <v>122</v>
      </c>
      <c r="E357" s="17" t="s">
        <v>943</v>
      </c>
      <c r="F357" s="25" t="s">
        <v>488</v>
      </c>
      <c r="G357" s="25" t="s">
        <v>697</v>
      </c>
      <c r="H357" s="25" t="s">
        <v>36</v>
      </c>
      <c r="I357" s="30">
        <v>46121.0</v>
      </c>
      <c r="J357" s="15">
        <v>0.0</v>
      </c>
      <c r="K357" s="25" t="s">
        <v>38</v>
      </c>
      <c r="L357" s="28">
        <v>80000.0</v>
      </c>
      <c r="M357" s="28">
        <v>0.0</v>
      </c>
      <c r="N357" s="28">
        <v>0.0</v>
      </c>
      <c r="O357" s="28">
        <v>0.0</v>
      </c>
      <c r="P357" s="28">
        <v>0.0</v>
      </c>
      <c r="Q357" s="30">
        <v>46132.0</v>
      </c>
      <c r="R357" s="11"/>
    </row>
    <row r="358" ht="15.75" customHeight="1">
      <c r="A358" s="13">
        <f t="shared" si="1"/>
        <v>357</v>
      </c>
      <c r="B358" s="15" t="s">
        <v>24</v>
      </c>
      <c r="C358" s="17">
        <v>1704.0</v>
      </c>
      <c r="D358" s="194" t="s">
        <v>122</v>
      </c>
      <c r="E358" s="17" t="s">
        <v>944</v>
      </c>
      <c r="F358" s="78" t="s">
        <v>487</v>
      </c>
      <c r="G358" s="78" t="s">
        <v>945</v>
      </c>
      <c r="H358" s="195" t="s">
        <v>36</v>
      </c>
      <c r="I358" s="73">
        <v>46122.0</v>
      </c>
      <c r="J358" s="194">
        <v>1.0</v>
      </c>
      <c r="K358" s="78" t="s">
        <v>38</v>
      </c>
      <c r="L358" s="101">
        <v>0.0</v>
      </c>
      <c r="M358" s="101">
        <v>300000.0</v>
      </c>
      <c r="N358" s="101">
        <v>0.0</v>
      </c>
      <c r="O358" s="101">
        <v>0.0</v>
      </c>
      <c r="P358" s="101">
        <v>0.0</v>
      </c>
      <c r="Q358" s="193"/>
      <c r="R358" s="11"/>
    </row>
    <row r="359" ht="15.75" customHeight="1">
      <c r="A359" s="13">
        <f t="shared" si="1"/>
        <v>358</v>
      </c>
      <c r="B359" s="15" t="s">
        <v>24</v>
      </c>
      <c r="C359" s="17">
        <v>1704.0</v>
      </c>
      <c r="D359" s="194" t="s">
        <v>122</v>
      </c>
      <c r="E359" s="17" t="s">
        <v>946</v>
      </c>
      <c r="F359" s="78" t="s">
        <v>487</v>
      </c>
      <c r="G359" s="78" t="s">
        <v>947</v>
      </c>
      <c r="H359" s="78" t="s">
        <v>36</v>
      </c>
      <c r="I359" s="73">
        <v>46122.0</v>
      </c>
      <c r="J359" s="194">
        <v>1.0</v>
      </c>
      <c r="K359" s="78" t="s">
        <v>38</v>
      </c>
      <c r="L359" s="101">
        <v>0.0</v>
      </c>
      <c r="M359" s="101">
        <v>225000.0</v>
      </c>
      <c r="N359" s="101">
        <v>0.0</v>
      </c>
      <c r="O359" s="101">
        <v>0.0</v>
      </c>
      <c r="P359" s="101">
        <v>0.0</v>
      </c>
      <c r="Q359" s="193"/>
      <c r="R359" s="11"/>
    </row>
    <row r="360" ht="15.75" customHeight="1">
      <c r="A360" s="13">
        <f t="shared" si="1"/>
        <v>359</v>
      </c>
      <c r="B360" s="15" t="s">
        <v>24</v>
      </c>
      <c r="C360" s="17">
        <v>1704.0</v>
      </c>
      <c r="D360" s="194" t="s">
        <v>122</v>
      </c>
      <c r="E360" s="17" t="s">
        <v>948</v>
      </c>
      <c r="F360" s="78" t="s">
        <v>487</v>
      </c>
      <c r="G360" s="78" t="s">
        <v>947</v>
      </c>
      <c r="H360" s="78" t="s">
        <v>36</v>
      </c>
      <c r="I360" s="73">
        <v>46122.0</v>
      </c>
      <c r="J360" s="194">
        <v>0.0</v>
      </c>
      <c r="K360" s="78" t="s">
        <v>38</v>
      </c>
      <c r="L360" s="101">
        <v>75000.0</v>
      </c>
      <c r="M360" s="101">
        <v>0.0</v>
      </c>
      <c r="N360" s="101">
        <v>0.0</v>
      </c>
      <c r="O360" s="101">
        <v>0.0</v>
      </c>
      <c r="P360" s="101">
        <v>0.0</v>
      </c>
      <c r="Q360" s="193"/>
      <c r="R360" s="11"/>
    </row>
    <row r="361" ht="15.75" customHeight="1">
      <c r="A361" s="13">
        <f t="shared" si="1"/>
        <v>360</v>
      </c>
      <c r="B361" s="15" t="s">
        <v>24</v>
      </c>
      <c r="C361" s="17">
        <v>1704.0</v>
      </c>
      <c r="D361" s="194" t="s">
        <v>122</v>
      </c>
      <c r="E361" s="17" t="s">
        <v>949</v>
      </c>
      <c r="F361" s="78" t="s">
        <v>191</v>
      </c>
      <c r="G361" s="78" t="s">
        <v>950</v>
      </c>
      <c r="H361" s="78" t="s">
        <v>36</v>
      </c>
      <c r="I361" s="73">
        <v>46122.0</v>
      </c>
      <c r="J361" s="194">
        <v>1.0</v>
      </c>
      <c r="K361" s="78" t="s">
        <v>38</v>
      </c>
      <c r="L361" s="101">
        <v>0.0</v>
      </c>
      <c r="M361" s="101">
        <v>20000.0</v>
      </c>
      <c r="N361" s="101">
        <v>0.0</v>
      </c>
      <c r="O361" s="101">
        <v>0.0</v>
      </c>
      <c r="P361" s="101">
        <v>0.0</v>
      </c>
      <c r="Q361" s="193"/>
      <c r="R361" s="11"/>
    </row>
    <row r="362" ht="15.75" customHeight="1">
      <c r="A362" s="13">
        <f t="shared" si="1"/>
        <v>361</v>
      </c>
      <c r="B362" s="15" t="s">
        <v>24</v>
      </c>
      <c r="C362" s="17">
        <v>1704.0</v>
      </c>
      <c r="D362" s="194"/>
      <c r="E362" s="17" t="s">
        <v>951</v>
      </c>
      <c r="F362" s="25" t="s">
        <v>44</v>
      </c>
      <c r="G362" s="25" t="s">
        <v>478</v>
      </c>
      <c r="H362" s="25" t="s">
        <v>36</v>
      </c>
      <c r="I362" s="73">
        <v>46123.0</v>
      </c>
      <c r="J362" s="15">
        <v>0.0</v>
      </c>
      <c r="K362" s="25" t="s">
        <v>57</v>
      </c>
      <c r="L362" s="28">
        <v>11000.0</v>
      </c>
      <c r="M362" s="28">
        <v>0.0</v>
      </c>
      <c r="N362" s="28">
        <v>0.0</v>
      </c>
      <c r="O362" s="76">
        <v>0.0</v>
      </c>
      <c r="P362" s="77">
        <v>0.0</v>
      </c>
      <c r="Q362" s="105"/>
      <c r="R362" s="11"/>
    </row>
    <row r="363" ht="15.75" customHeight="1">
      <c r="A363" s="13">
        <f t="shared" si="1"/>
        <v>362</v>
      </c>
      <c r="B363" s="15" t="s">
        <v>24</v>
      </c>
      <c r="C363" s="17">
        <v>1704.0</v>
      </c>
      <c r="D363" s="194"/>
      <c r="E363" s="17" t="s">
        <v>952</v>
      </c>
      <c r="F363" s="25" t="s">
        <v>44</v>
      </c>
      <c r="G363" s="25" t="s">
        <v>478</v>
      </c>
      <c r="H363" s="25" t="s">
        <v>37</v>
      </c>
      <c r="I363" s="73">
        <v>46123.0</v>
      </c>
      <c r="J363" s="15">
        <v>0.0</v>
      </c>
      <c r="K363" s="25" t="s">
        <v>57</v>
      </c>
      <c r="L363" s="28">
        <v>5500.0</v>
      </c>
      <c r="M363" s="28">
        <v>0.0</v>
      </c>
      <c r="N363" s="28">
        <v>0.0</v>
      </c>
      <c r="O363" s="28">
        <v>0.0</v>
      </c>
      <c r="P363" s="28">
        <v>0.0</v>
      </c>
      <c r="Q363" s="32"/>
      <c r="R363" s="11"/>
    </row>
    <row r="364" ht="15.75" customHeight="1">
      <c r="A364" s="13">
        <f t="shared" si="1"/>
        <v>363</v>
      </c>
      <c r="B364" s="15" t="s">
        <v>24</v>
      </c>
      <c r="C364" s="17">
        <v>1704.0</v>
      </c>
      <c r="D364" s="194"/>
      <c r="E364" s="17" t="s">
        <v>954</v>
      </c>
      <c r="F364" s="25" t="s">
        <v>44</v>
      </c>
      <c r="G364" s="25" t="s">
        <v>493</v>
      </c>
      <c r="H364" s="25" t="s">
        <v>37</v>
      </c>
      <c r="I364" s="73">
        <v>46123.0</v>
      </c>
      <c r="J364" s="15">
        <v>0.0</v>
      </c>
      <c r="K364" s="25" t="s">
        <v>57</v>
      </c>
      <c r="L364" s="28">
        <v>5500.0</v>
      </c>
      <c r="M364" s="28">
        <v>0.0</v>
      </c>
      <c r="N364" s="28">
        <v>0.0</v>
      </c>
      <c r="O364" s="28">
        <v>0.0</v>
      </c>
      <c r="P364" s="28">
        <v>0.0</v>
      </c>
      <c r="Q364" s="32"/>
      <c r="R364" s="11"/>
    </row>
    <row r="365" ht="15.75" customHeight="1">
      <c r="A365" s="13">
        <f t="shared" si="1"/>
        <v>364</v>
      </c>
      <c r="B365" s="15" t="s">
        <v>24</v>
      </c>
      <c r="C365" s="17">
        <v>1704.0</v>
      </c>
      <c r="D365" s="17"/>
      <c r="E365" s="17" t="s">
        <v>956</v>
      </c>
      <c r="F365" s="25" t="s">
        <v>44</v>
      </c>
      <c r="G365" s="25" t="s">
        <v>45</v>
      </c>
      <c r="H365" s="25" t="s">
        <v>36</v>
      </c>
      <c r="I365" s="73">
        <v>46125.0</v>
      </c>
      <c r="J365" s="15">
        <v>0.0</v>
      </c>
      <c r="K365" s="25" t="s">
        <v>57</v>
      </c>
      <c r="L365" s="28">
        <v>8000.0</v>
      </c>
      <c r="M365" s="28">
        <v>0.0</v>
      </c>
      <c r="N365" s="28">
        <v>0.0</v>
      </c>
      <c r="O365" s="28">
        <v>0.0</v>
      </c>
      <c r="P365" s="28">
        <v>0.0</v>
      </c>
      <c r="Q365" s="33"/>
      <c r="R365" s="11"/>
    </row>
    <row r="366" ht="15.75" customHeight="1">
      <c r="A366" s="13">
        <f t="shared" si="1"/>
        <v>365</v>
      </c>
      <c r="B366" s="15" t="s">
        <v>24</v>
      </c>
      <c r="C366" s="17">
        <v>1704.0</v>
      </c>
      <c r="D366" s="17" t="s">
        <v>211</v>
      </c>
      <c r="E366" s="17" t="s">
        <v>958</v>
      </c>
      <c r="F366" s="25" t="s">
        <v>647</v>
      </c>
      <c r="G366" s="25" t="s">
        <v>809</v>
      </c>
      <c r="H366" s="25" t="s">
        <v>36</v>
      </c>
      <c r="I366" s="73">
        <v>46126.0</v>
      </c>
      <c r="J366" s="17">
        <v>0.0</v>
      </c>
      <c r="K366" s="25" t="s">
        <v>38</v>
      </c>
      <c r="L366" s="28">
        <v>0.0</v>
      </c>
      <c r="M366" s="28">
        <v>30000.0</v>
      </c>
      <c r="N366" s="28">
        <v>0.0</v>
      </c>
      <c r="O366" s="28">
        <v>0.0</v>
      </c>
      <c r="P366" s="28">
        <v>0.0</v>
      </c>
      <c r="Q366" s="33"/>
      <c r="R366" s="11"/>
    </row>
    <row r="367" ht="15.75" customHeight="1">
      <c r="A367" s="13">
        <f t="shared" si="1"/>
        <v>366</v>
      </c>
      <c r="B367" s="15" t="s">
        <v>24</v>
      </c>
      <c r="C367" s="17">
        <v>1704.0</v>
      </c>
      <c r="D367" s="17" t="s">
        <v>211</v>
      </c>
      <c r="E367" s="17" t="s">
        <v>960</v>
      </c>
      <c r="F367" s="25" t="s">
        <v>647</v>
      </c>
      <c r="G367" s="23" t="s">
        <v>961</v>
      </c>
      <c r="H367" s="25" t="s">
        <v>36</v>
      </c>
      <c r="I367" s="73">
        <v>46126.0</v>
      </c>
      <c r="J367" s="17">
        <v>0.0</v>
      </c>
      <c r="K367" s="25" t="s">
        <v>38</v>
      </c>
      <c r="L367" s="28">
        <v>0.0</v>
      </c>
      <c r="M367" s="28">
        <v>130000.0</v>
      </c>
      <c r="N367" s="28">
        <v>0.0</v>
      </c>
      <c r="O367" s="28">
        <v>0.0</v>
      </c>
      <c r="P367" s="28">
        <v>0.0</v>
      </c>
      <c r="Q367" s="33"/>
      <c r="R367" s="11"/>
    </row>
    <row r="368" ht="15.75" customHeight="1">
      <c r="A368" s="13">
        <f t="shared" si="1"/>
        <v>367</v>
      </c>
      <c r="B368" s="15" t="s">
        <v>24</v>
      </c>
      <c r="C368" s="17">
        <v>1704.0</v>
      </c>
      <c r="D368" s="17" t="s">
        <v>122</v>
      </c>
      <c r="E368" s="17" t="s">
        <v>962</v>
      </c>
      <c r="F368" s="23" t="s">
        <v>60</v>
      </c>
      <c r="G368" s="23" t="s">
        <v>963</v>
      </c>
      <c r="H368" s="25" t="s">
        <v>36</v>
      </c>
      <c r="I368" s="73">
        <v>46126.0</v>
      </c>
      <c r="J368" s="17">
        <v>1.0</v>
      </c>
      <c r="K368" s="25" t="s">
        <v>38</v>
      </c>
      <c r="L368" s="28">
        <v>5500.0</v>
      </c>
      <c r="M368" s="28">
        <v>0.0</v>
      </c>
      <c r="N368" s="28">
        <v>0.0</v>
      </c>
      <c r="O368" s="28">
        <v>0.0</v>
      </c>
      <c r="P368" s="28">
        <v>0.0</v>
      </c>
      <c r="Q368" s="33"/>
      <c r="R368" s="11"/>
    </row>
    <row r="369" ht="15.75" customHeight="1">
      <c r="A369" s="13">
        <f t="shared" si="1"/>
        <v>368</v>
      </c>
      <c r="B369" s="15" t="s">
        <v>24</v>
      </c>
      <c r="C369" s="17">
        <v>1704.0</v>
      </c>
      <c r="D369" s="17" t="s">
        <v>211</v>
      </c>
      <c r="E369" s="17" t="s">
        <v>966</v>
      </c>
      <c r="F369" s="23" t="s">
        <v>49</v>
      </c>
      <c r="G369" s="23" t="s">
        <v>967</v>
      </c>
      <c r="H369" s="23" t="s">
        <v>55</v>
      </c>
      <c r="I369" s="73">
        <v>46126.0</v>
      </c>
      <c r="J369" s="17">
        <v>1.0</v>
      </c>
      <c r="K369" s="23" t="s">
        <v>38</v>
      </c>
      <c r="L369" s="28">
        <v>100000.0</v>
      </c>
      <c r="M369" s="28">
        <v>0.0</v>
      </c>
      <c r="N369" s="28">
        <v>0.0</v>
      </c>
      <c r="O369" s="28">
        <v>0.0</v>
      </c>
      <c r="P369" s="28">
        <v>0.0</v>
      </c>
      <c r="Q369" s="33"/>
      <c r="R369" s="11"/>
    </row>
    <row r="370" ht="15.75" customHeight="1">
      <c r="A370" s="13">
        <f t="shared" si="1"/>
        <v>369</v>
      </c>
      <c r="B370" s="15" t="s">
        <v>24</v>
      </c>
      <c r="C370" s="17">
        <v>1704.0</v>
      </c>
      <c r="D370" s="17" t="s">
        <v>122</v>
      </c>
      <c r="E370" s="17" t="s">
        <v>969</v>
      </c>
      <c r="F370" s="25" t="s">
        <v>60</v>
      </c>
      <c r="G370" s="25" t="s">
        <v>161</v>
      </c>
      <c r="H370" s="25" t="s">
        <v>36</v>
      </c>
      <c r="I370" s="73">
        <v>46126.0</v>
      </c>
      <c r="J370" s="15">
        <v>0.0</v>
      </c>
      <c r="K370" s="25" t="s">
        <v>57</v>
      </c>
      <c r="L370" s="28">
        <v>7300.0</v>
      </c>
      <c r="M370" s="28">
        <v>0.0</v>
      </c>
      <c r="N370" s="28">
        <v>0.0</v>
      </c>
      <c r="O370" s="28">
        <v>0.0</v>
      </c>
      <c r="P370" s="28">
        <v>0.0</v>
      </c>
      <c r="Q370" s="33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3">
        <f t="shared" si="1"/>
        <v>370</v>
      </c>
      <c r="B371" s="15" t="s">
        <v>24</v>
      </c>
      <c r="C371" s="17">
        <v>1704.0</v>
      </c>
      <c r="D371" s="17" t="s">
        <v>211</v>
      </c>
      <c r="E371" s="17" t="s">
        <v>971</v>
      </c>
      <c r="F371" s="71" t="s">
        <v>84</v>
      </c>
      <c r="G371" s="72" t="s">
        <v>324</v>
      </c>
      <c r="H371" s="25" t="s">
        <v>36</v>
      </c>
      <c r="I371" s="73">
        <v>46126.0</v>
      </c>
      <c r="J371" s="17">
        <v>0.0</v>
      </c>
      <c r="K371" s="25" t="s">
        <v>38</v>
      </c>
      <c r="L371" s="28">
        <v>25000.0</v>
      </c>
      <c r="M371" s="28">
        <v>0.0</v>
      </c>
      <c r="N371" s="28">
        <v>0.0</v>
      </c>
      <c r="O371" s="28">
        <v>0.0</v>
      </c>
      <c r="P371" s="28">
        <v>0.0</v>
      </c>
      <c r="Q371" s="33"/>
      <c r="R371" s="11"/>
    </row>
    <row r="372" ht="15.75" customHeight="1">
      <c r="A372" s="13">
        <f t="shared" si="1"/>
        <v>371</v>
      </c>
      <c r="B372" s="15" t="s">
        <v>24</v>
      </c>
      <c r="C372" s="17">
        <v>1704.0</v>
      </c>
      <c r="D372" s="17" t="s">
        <v>122</v>
      </c>
      <c r="E372" s="17" t="s">
        <v>972</v>
      </c>
      <c r="F372" s="23" t="s">
        <v>142</v>
      </c>
      <c r="G372" s="23" t="s">
        <v>974</v>
      </c>
      <c r="H372" s="25" t="s">
        <v>36</v>
      </c>
      <c r="I372" s="73">
        <v>46126.0</v>
      </c>
      <c r="J372" s="17">
        <v>1.0</v>
      </c>
      <c r="K372" s="25" t="s">
        <v>38</v>
      </c>
      <c r="L372" s="28">
        <v>1000.0</v>
      </c>
      <c r="M372" s="28">
        <v>0.0</v>
      </c>
      <c r="N372" s="28">
        <v>0.0</v>
      </c>
      <c r="O372" s="28">
        <v>0.0</v>
      </c>
      <c r="P372" s="28">
        <v>0.0</v>
      </c>
      <c r="Q372" s="33"/>
      <c r="R372" s="11"/>
    </row>
    <row r="373" ht="15.75" customHeight="1">
      <c r="A373" s="13">
        <f t="shared" si="1"/>
        <v>372</v>
      </c>
      <c r="B373" s="15" t="s">
        <v>24</v>
      </c>
      <c r="C373" s="17">
        <v>1704.0</v>
      </c>
      <c r="D373" s="17" t="s">
        <v>122</v>
      </c>
      <c r="E373" s="17" t="s">
        <v>976</v>
      </c>
      <c r="F373" s="23" t="s">
        <v>977</v>
      </c>
      <c r="G373" s="23" t="s">
        <v>979</v>
      </c>
      <c r="H373" s="25" t="s">
        <v>36</v>
      </c>
      <c r="I373" s="73">
        <v>46126.0</v>
      </c>
      <c r="J373" s="17">
        <v>1.0</v>
      </c>
      <c r="K373" s="25" t="s">
        <v>38</v>
      </c>
      <c r="L373" s="28">
        <v>20000.0</v>
      </c>
      <c r="M373" s="28">
        <v>0.0</v>
      </c>
      <c r="N373" s="28">
        <v>0.0</v>
      </c>
      <c r="O373" s="28">
        <v>0.0</v>
      </c>
      <c r="P373" s="28">
        <v>0.0</v>
      </c>
      <c r="Q373" s="33"/>
      <c r="R373" s="11"/>
    </row>
    <row r="374" ht="15.75" customHeight="1">
      <c r="A374" s="13">
        <f t="shared" si="1"/>
        <v>373</v>
      </c>
      <c r="B374" s="15" t="s">
        <v>24</v>
      </c>
      <c r="C374" s="17">
        <v>1704.0</v>
      </c>
      <c r="D374" s="17" t="s">
        <v>122</v>
      </c>
      <c r="E374" s="17" t="s">
        <v>981</v>
      </c>
      <c r="F374" s="78" t="s">
        <v>191</v>
      </c>
      <c r="G374" s="78" t="s">
        <v>950</v>
      </c>
      <c r="H374" s="78" t="s">
        <v>36</v>
      </c>
      <c r="I374" s="73">
        <v>46126.0</v>
      </c>
      <c r="J374" s="194">
        <v>0.0</v>
      </c>
      <c r="K374" s="78" t="s">
        <v>38</v>
      </c>
      <c r="L374" s="101">
        <v>0.0</v>
      </c>
      <c r="M374" s="101">
        <v>100000.0</v>
      </c>
      <c r="N374" s="101">
        <v>0.0</v>
      </c>
      <c r="O374" s="101">
        <v>0.0</v>
      </c>
      <c r="P374" s="101">
        <v>0.0</v>
      </c>
      <c r="Q374" s="33"/>
      <c r="R374" s="11"/>
    </row>
    <row r="375" ht="15.75" customHeight="1">
      <c r="A375" s="13">
        <f t="shared" si="1"/>
        <v>374</v>
      </c>
      <c r="B375" s="15" t="s">
        <v>24</v>
      </c>
      <c r="C375" s="17">
        <v>1704.0</v>
      </c>
      <c r="D375" s="17" t="s">
        <v>122</v>
      </c>
      <c r="E375" s="17" t="s">
        <v>982</v>
      </c>
      <c r="F375" s="78" t="s">
        <v>487</v>
      </c>
      <c r="G375" s="78" t="s">
        <v>950</v>
      </c>
      <c r="H375" s="25" t="s">
        <v>37</v>
      </c>
      <c r="I375" s="73">
        <v>46126.0</v>
      </c>
      <c r="J375" s="194">
        <v>1.0</v>
      </c>
      <c r="K375" s="78" t="s">
        <v>38</v>
      </c>
      <c r="L375" s="101">
        <v>0.0</v>
      </c>
      <c r="M375" s="101">
        <v>50000.0</v>
      </c>
      <c r="N375" s="101">
        <v>0.0</v>
      </c>
      <c r="O375" s="101">
        <v>0.0</v>
      </c>
      <c r="P375" s="101">
        <v>0.0</v>
      </c>
      <c r="Q375" s="33"/>
      <c r="R375" s="11"/>
    </row>
    <row r="376" ht="15.75" customHeight="1">
      <c r="A376" s="13">
        <f t="shared" si="1"/>
        <v>375</v>
      </c>
      <c r="B376" s="15" t="s">
        <v>24</v>
      </c>
      <c r="C376" s="17">
        <v>1704.0</v>
      </c>
      <c r="D376" s="17" t="s">
        <v>122</v>
      </c>
      <c r="E376" s="17" t="s">
        <v>984</v>
      </c>
      <c r="F376" s="23" t="s">
        <v>142</v>
      </c>
      <c r="G376" s="23" t="s">
        <v>985</v>
      </c>
      <c r="H376" s="25" t="s">
        <v>36</v>
      </c>
      <c r="I376" s="73">
        <v>46126.0</v>
      </c>
      <c r="J376" s="17">
        <v>1.0</v>
      </c>
      <c r="K376" s="25" t="s">
        <v>38</v>
      </c>
      <c r="L376" s="28">
        <v>5000.0</v>
      </c>
      <c r="M376" s="28">
        <v>0.0</v>
      </c>
      <c r="N376" s="28">
        <v>0.0</v>
      </c>
      <c r="O376" s="28">
        <v>0.0</v>
      </c>
      <c r="P376" s="28">
        <v>0.0</v>
      </c>
      <c r="Q376" s="33"/>
      <c r="R376" s="11"/>
    </row>
    <row r="377" ht="15.75" customHeight="1">
      <c r="A377" s="13">
        <f t="shared" si="1"/>
        <v>376</v>
      </c>
      <c r="B377" s="15" t="s">
        <v>24</v>
      </c>
      <c r="C377" s="17">
        <v>1704.0</v>
      </c>
      <c r="D377" s="17" t="s">
        <v>122</v>
      </c>
      <c r="E377" s="17" t="s">
        <v>987</v>
      </c>
      <c r="F377" s="23" t="s">
        <v>142</v>
      </c>
      <c r="G377" s="23" t="s">
        <v>988</v>
      </c>
      <c r="H377" s="25" t="s">
        <v>36</v>
      </c>
      <c r="I377" s="73">
        <v>46126.0</v>
      </c>
      <c r="J377" s="17">
        <v>1.0</v>
      </c>
      <c r="K377" s="25" t="s">
        <v>38</v>
      </c>
      <c r="L377" s="28">
        <v>2000.0</v>
      </c>
      <c r="M377" s="28">
        <v>0.0</v>
      </c>
      <c r="N377" s="28">
        <v>0.0</v>
      </c>
      <c r="O377" s="28">
        <v>0.0</v>
      </c>
      <c r="P377" s="28">
        <v>0.0</v>
      </c>
      <c r="Q377" s="33"/>
      <c r="R377" s="11"/>
    </row>
    <row r="378" ht="15.75" customHeight="1">
      <c r="A378" s="13">
        <f t="shared" si="1"/>
        <v>377</v>
      </c>
      <c r="B378" s="15" t="s">
        <v>24</v>
      </c>
      <c r="C378" s="17">
        <v>1704.0</v>
      </c>
      <c r="D378" s="17" t="s">
        <v>122</v>
      </c>
      <c r="E378" s="17" t="s">
        <v>990</v>
      </c>
      <c r="F378" s="25" t="s">
        <v>92</v>
      </c>
      <c r="G378" s="25" t="s">
        <v>700</v>
      </c>
      <c r="H378" s="25" t="s">
        <v>36</v>
      </c>
      <c r="I378" s="73">
        <v>46126.0</v>
      </c>
      <c r="J378" s="15">
        <v>0.0</v>
      </c>
      <c r="K378" s="25" t="s">
        <v>38</v>
      </c>
      <c r="L378" s="28">
        <v>0.0</v>
      </c>
      <c r="M378" s="28">
        <v>10000.0</v>
      </c>
      <c r="N378" s="28">
        <v>0.0</v>
      </c>
      <c r="O378" s="28">
        <v>0.0</v>
      </c>
      <c r="P378" s="28">
        <v>0.0</v>
      </c>
      <c r="Q378" s="33"/>
      <c r="R378" s="11"/>
    </row>
    <row r="379" ht="15.75" customHeight="1">
      <c r="A379" s="13">
        <f t="shared" si="1"/>
        <v>378</v>
      </c>
      <c r="B379" s="15" t="s">
        <v>24</v>
      </c>
      <c r="C379" s="17">
        <v>1704.0</v>
      </c>
      <c r="D379" s="17" t="s">
        <v>122</v>
      </c>
      <c r="E379" s="17" t="s">
        <v>991</v>
      </c>
      <c r="F379" s="25" t="s">
        <v>377</v>
      </c>
      <c r="G379" s="25" t="s">
        <v>582</v>
      </c>
      <c r="H379" s="25" t="s">
        <v>36</v>
      </c>
      <c r="I379" s="73">
        <v>46126.0</v>
      </c>
      <c r="J379" s="15">
        <v>0.0</v>
      </c>
      <c r="K379" s="25" t="s">
        <v>38</v>
      </c>
      <c r="L379" s="28">
        <v>250000.0</v>
      </c>
      <c r="M379" s="28">
        <v>0.0</v>
      </c>
      <c r="N379" s="76">
        <v>0.0</v>
      </c>
      <c r="O379" s="28">
        <v>0.0</v>
      </c>
      <c r="P379" s="77">
        <v>0.0</v>
      </c>
      <c r="Q379" s="33"/>
      <c r="R379" s="11"/>
    </row>
    <row r="380" ht="15.75" customHeight="1">
      <c r="A380" s="13">
        <f t="shared" si="1"/>
        <v>379</v>
      </c>
      <c r="B380" s="15" t="s">
        <v>24</v>
      </c>
      <c r="C380" s="17">
        <v>1704.0</v>
      </c>
      <c r="D380" s="17" t="s">
        <v>122</v>
      </c>
      <c r="E380" s="17" t="s">
        <v>992</v>
      </c>
      <c r="F380" s="23" t="s">
        <v>977</v>
      </c>
      <c r="G380" s="23" t="s">
        <v>979</v>
      </c>
      <c r="H380" s="25" t="s">
        <v>36</v>
      </c>
      <c r="I380" s="73">
        <v>46127.0</v>
      </c>
      <c r="J380" s="17">
        <v>0.0</v>
      </c>
      <c r="K380" s="25" t="s">
        <v>38</v>
      </c>
      <c r="L380" s="28">
        <v>0.0</v>
      </c>
      <c r="M380" s="28">
        <v>0.0</v>
      </c>
      <c r="N380" s="28">
        <v>0.0</v>
      </c>
      <c r="O380" s="28">
        <v>100000.0</v>
      </c>
      <c r="P380" s="28">
        <v>0.0</v>
      </c>
      <c r="Q380" s="73">
        <v>46149.0</v>
      </c>
      <c r="R380" s="11"/>
    </row>
    <row r="381" ht="15.75" customHeight="1">
      <c r="A381" s="13">
        <f t="shared" si="1"/>
        <v>380</v>
      </c>
      <c r="B381" s="15" t="s">
        <v>24</v>
      </c>
      <c r="C381" s="17">
        <v>1704.0</v>
      </c>
      <c r="D381" s="17" t="s">
        <v>122</v>
      </c>
      <c r="E381" s="17" t="s">
        <v>993</v>
      </c>
      <c r="F381" s="23" t="s">
        <v>977</v>
      </c>
      <c r="G381" s="23" t="s">
        <v>979</v>
      </c>
      <c r="H381" s="25" t="s">
        <v>36</v>
      </c>
      <c r="I381" s="73">
        <v>46127.0</v>
      </c>
      <c r="J381" s="17">
        <v>0.0</v>
      </c>
      <c r="K381" s="25" t="s">
        <v>38</v>
      </c>
      <c r="L381" s="28">
        <v>0.0</v>
      </c>
      <c r="M381" s="28">
        <v>0.0</v>
      </c>
      <c r="N381" s="28">
        <v>0.0</v>
      </c>
      <c r="O381" s="28">
        <v>80000.0</v>
      </c>
      <c r="P381" s="28">
        <v>0.0</v>
      </c>
      <c r="Q381" s="73">
        <v>46134.0</v>
      </c>
      <c r="R381" s="11"/>
    </row>
    <row r="382" ht="15.75" customHeight="1">
      <c r="A382" s="13">
        <f t="shared" si="1"/>
        <v>381</v>
      </c>
      <c r="B382" s="15" t="s">
        <v>24</v>
      </c>
      <c r="C382" s="17">
        <v>1704.0</v>
      </c>
      <c r="D382" s="17" t="s">
        <v>122</v>
      </c>
      <c r="E382" s="17" t="s">
        <v>994</v>
      </c>
      <c r="F382" s="23" t="s">
        <v>977</v>
      </c>
      <c r="G382" s="23" t="s">
        <v>979</v>
      </c>
      <c r="H382" s="25" t="s">
        <v>36</v>
      </c>
      <c r="I382" s="73">
        <v>46127.0</v>
      </c>
      <c r="J382" s="17">
        <v>0.0</v>
      </c>
      <c r="K382" s="25" t="s">
        <v>38</v>
      </c>
      <c r="L382" s="28">
        <v>0.0</v>
      </c>
      <c r="M382" s="28">
        <v>0.0</v>
      </c>
      <c r="N382" s="28">
        <v>0.0</v>
      </c>
      <c r="O382" s="28">
        <v>300000.0</v>
      </c>
      <c r="P382" s="28">
        <v>0.0</v>
      </c>
      <c r="Q382" s="73">
        <v>46193.0</v>
      </c>
      <c r="R382" s="11"/>
    </row>
    <row r="383" ht="15.75" customHeight="1">
      <c r="A383" s="13">
        <f t="shared" si="1"/>
        <v>382</v>
      </c>
      <c r="B383" s="15" t="s">
        <v>24</v>
      </c>
      <c r="C383" s="17">
        <v>1704.0</v>
      </c>
      <c r="D383" s="17" t="s">
        <v>122</v>
      </c>
      <c r="E383" s="17" t="s">
        <v>996</v>
      </c>
      <c r="F383" s="25" t="s">
        <v>184</v>
      </c>
      <c r="G383" s="25" t="s">
        <v>449</v>
      </c>
      <c r="H383" s="25" t="s">
        <v>37</v>
      </c>
      <c r="I383" s="73">
        <v>46128.0</v>
      </c>
      <c r="J383" s="15">
        <v>0.0</v>
      </c>
      <c r="K383" s="25" t="s">
        <v>57</v>
      </c>
      <c r="L383" s="28">
        <v>5000.0</v>
      </c>
      <c r="M383" s="100">
        <v>0.0</v>
      </c>
      <c r="N383" s="100">
        <v>0.0</v>
      </c>
      <c r="O383" s="100">
        <v>0.0</v>
      </c>
      <c r="P383" s="100">
        <v>0.0</v>
      </c>
      <c r="Q383" s="33"/>
      <c r="R383" s="11"/>
    </row>
    <row r="384" ht="15.75" customHeight="1">
      <c r="A384" s="13">
        <f t="shared" si="1"/>
        <v>383</v>
      </c>
      <c r="B384" s="15" t="s">
        <v>24</v>
      </c>
      <c r="C384" s="17">
        <v>1704.0</v>
      </c>
      <c r="D384" s="17" t="s">
        <v>122</v>
      </c>
      <c r="E384" s="17" t="s">
        <v>997</v>
      </c>
      <c r="F384" s="23" t="s">
        <v>142</v>
      </c>
      <c r="G384" s="51" t="s">
        <v>338</v>
      </c>
      <c r="H384" s="25" t="s">
        <v>36</v>
      </c>
      <c r="I384" s="73">
        <v>46128.0</v>
      </c>
      <c r="J384" s="17">
        <v>1.0</v>
      </c>
      <c r="K384" s="25" t="s">
        <v>38</v>
      </c>
      <c r="L384" s="28">
        <v>0.0</v>
      </c>
      <c r="M384" s="199">
        <v>0.0</v>
      </c>
      <c r="N384" s="199">
        <v>50000.0</v>
      </c>
      <c r="O384" s="199">
        <v>0.0</v>
      </c>
      <c r="P384" s="100">
        <v>0.0</v>
      </c>
      <c r="Q384" s="73">
        <v>46132.0</v>
      </c>
      <c r="R384" s="11"/>
    </row>
    <row r="385" ht="15.75" customHeight="1">
      <c r="A385" s="13">
        <f t="shared" si="1"/>
        <v>384</v>
      </c>
      <c r="B385" s="15" t="s">
        <v>24</v>
      </c>
      <c r="C385" s="17">
        <v>1704.0</v>
      </c>
      <c r="D385" s="17" t="s">
        <v>122</v>
      </c>
      <c r="E385" s="17" t="s">
        <v>999</v>
      </c>
      <c r="F385" s="23" t="s">
        <v>142</v>
      </c>
      <c r="G385" s="23" t="s">
        <v>1000</v>
      </c>
      <c r="H385" s="25" t="s">
        <v>36</v>
      </c>
      <c r="I385" s="73">
        <v>46128.0</v>
      </c>
      <c r="J385" s="15">
        <v>0.0</v>
      </c>
      <c r="K385" s="25" t="s">
        <v>57</v>
      </c>
      <c r="L385" s="28">
        <v>12000.0</v>
      </c>
      <c r="M385" s="100">
        <v>0.0</v>
      </c>
      <c r="N385" s="100">
        <v>0.0</v>
      </c>
      <c r="O385" s="100">
        <v>0.0</v>
      </c>
      <c r="P385" s="100">
        <v>0.0</v>
      </c>
      <c r="Q385" s="33"/>
      <c r="R385" s="11"/>
    </row>
    <row r="386" ht="15.75" customHeight="1">
      <c r="A386" s="13">
        <f t="shared" si="1"/>
        <v>385</v>
      </c>
      <c r="B386" s="15" t="s">
        <v>24</v>
      </c>
      <c r="C386" s="17">
        <v>1704.0</v>
      </c>
      <c r="D386" s="17" t="s">
        <v>122</v>
      </c>
      <c r="E386" s="17" t="s">
        <v>1002</v>
      </c>
      <c r="F386" s="25" t="s">
        <v>191</v>
      </c>
      <c r="G386" s="25" t="s">
        <v>316</v>
      </c>
      <c r="H386" s="25" t="s">
        <v>36</v>
      </c>
      <c r="I386" s="73">
        <v>46128.0</v>
      </c>
      <c r="J386" s="15">
        <v>0.0</v>
      </c>
      <c r="K386" s="153" t="s">
        <v>57</v>
      </c>
      <c r="L386" s="28">
        <v>10000.0</v>
      </c>
      <c r="M386" s="100">
        <v>0.0</v>
      </c>
      <c r="N386" s="100">
        <v>0.0</v>
      </c>
      <c r="O386" s="100">
        <v>0.0</v>
      </c>
      <c r="P386" s="100">
        <v>0.0</v>
      </c>
      <c r="Q386" s="33"/>
      <c r="R386" s="11"/>
    </row>
    <row r="387" ht="15.75" customHeight="1">
      <c r="A387" s="13">
        <f t="shared" si="1"/>
        <v>386</v>
      </c>
      <c r="B387" s="15" t="s">
        <v>24</v>
      </c>
      <c r="C387" s="17">
        <v>1704.0</v>
      </c>
      <c r="D387" s="17"/>
      <c r="E387" s="17" t="s">
        <v>1004</v>
      </c>
      <c r="F387" s="25" t="s">
        <v>27</v>
      </c>
      <c r="G387" s="25" t="s">
        <v>780</v>
      </c>
      <c r="H387" s="25" t="s">
        <v>36</v>
      </c>
      <c r="I387" s="73">
        <v>46130.0</v>
      </c>
      <c r="J387" s="15">
        <v>0.0</v>
      </c>
      <c r="K387" s="25" t="s">
        <v>57</v>
      </c>
      <c r="L387" s="28">
        <v>10000.0</v>
      </c>
      <c r="M387" s="28">
        <v>0.0</v>
      </c>
      <c r="N387" s="28">
        <v>0.0</v>
      </c>
      <c r="O387" s="76">
        <v>0.0</v>
      </c>
      <c r="P387" s="77">
        <v>0.0</v>
      </c>
      <c r="Q387" s="33"/>
      <c r="R387" s="11"/>
    </row>
    <row r="388" ht="15.75" customHeight="1">
      <c r="A388" s="13">
        <f t="shared" si="1"/>
        <v>387</v>
      </c>
      <c r="B388" s="15" t="s">
        <v>24</v>
      </c>
      <c r="C388" s="17">
        <v>1704.0</v>
      </c>
      <c r="D388" s="154" t="s">
        <v>644</v>
      </c>
      <c r="E388" s="17" t="s">
        <v>1006</v>
      </c>
      <c r="F388" s="201" t="s">
        <v>1007</v>
      </c>
      <c r="G388" s="201" t="s">
        <v>1008</v>
      </c>
      <c r="H388" s="99" t="s">
        <v>36</v>
      </c>
      <c r="I388" s="73">
        <v>46132.0</v>
      </c>
      <c r="J388" s="202">
        <v>0.0</v>
      </c>
      <c r="K388" s="99" t="s">
        <v>38</v>
      </c>
      <c r="L388" s="157">
        <v>100000.0</v>
      </c>
      <c r="M388" s="160">
        <v>0.0</v>
      </c>
      <c r="N388" s="160">
        <v>0.0</v>
      </c>
      <c r="O388" s="160">
        <v>0.0</v>
      </c>
      <c r="P388" s="160">
        <v>0.0</v>
      </c>
      <c r="Q388" s="33"/>
      <c r="R388" s="11"/>
    </row>
    <row r="389" ht="15.75" customHeight="1">
      <c r="A389" s="13">
        <f t="shared" si="1"/>
        <v>388</v>
      </c>
      <c r="B389" s="15" t="s">
        <v>24</v>
      </c>
      <c r="C389" s="17">
        <v>1704.0</v>
      </c>
      <c r="D389" s="17" t="s">
        <v>1010</v>
      </c>
      <c r="E389" s="17" t="s">
        <v>1011</v>
      </c>
      <c r="F389" s="23" t="s">
        <v>1012</v>
      </c>
      <c r="G389" s="23" t="s">
        <v>1013</v>
      </c>
      <c r="H389" s="25" t="s">
        <v>36</v>
      </c>
      <c r="I389" s="73">
        <v>46132.0</v>
      </c>
      <c r="J389" s="17">
        <v>1.0</v>
      </c>
      <c r="K389" s="25" t="s">
        <v>38</v>
      </c>
      <c r="L389" s="28">
        <v>190000.0</v>
      </c>
      <c r="M389" s="28">
        <v>0.0</v>
      </c>
      <c r="N389" s="28">
        <v>0.0</v>
      </c>
      <c r="O389" s="76">
        <v>0.0</v>
      </c>
      <c r="P389" s="77">
        <v>0.0</v>
      </c>
      <c r="Q389" s="33"/>
      <c r="R389" s="11"/>
    </row>
    <row r="390" ht="15.75" customHeight="1">
      <c r="A390" s="13">
        <f t="shared" si="1"/>
        <v>389</v>
      </c>
      <c r="B390" s="15" t="s">
        <v>24</v>
      </c>
      <c r="C390" s="17">
        <v>1704.0</v>
      </c>
      <c r="D390" s="17"/>
      <c r="E390" s="17" t="s">
        <v>1015</v>
      </c>
      <c r="F390" s="23" t="s">
        <v>1016</v>
      </c>
      <c r="G390" s="23" t="s">
        <v>1017</v>
      </c>
      <c r="H390" s="25" t="s">
        <v>37</v>
      </c>
      <c r="I390" s="73">
        <v>46133.0</v>
      </c>
      <c r="J390" s="17">
        <v>0.0</v>
      </c>
      <c r="K390" s="25" t="s">
        <v>38</v>
      </c>
      <c r="L390" s="28">
        <v>30000.0</v>
      </c>
      <c r="M390" s="100">
        <v>0.0</v>
      </c>
      <c r="N390" s="100">
        <v>0.0</v>
      </c>
      <c r="O390" s="100">
        <v>0.0</v>
      </c>
      <c r="P390" s="100">
        <v>0.0</v>
      </c>
      <c r="Q390" s="33"/>
      <c r="R390" s="11"/>
    </row>
    <row r="391" ht="15.75" customHeight="1">
      <c r="A391" s="13">
        <f t="shared" si="1"/>
        <v>390</v>
      </c>
      <c r="B391" s="15" t="s">
        <v>24</v>
      </c>
      <c r="C391" s="17">
        <v>1704.0</v>
      </c>
      <c r="D391" s="17"/>
      <c r="E391" s="17" t="s">
        <v>1018</v>
      </c>
      <c r="F391" s="23" t="s">
        <v>1019</v>
      </c>
      <c r="G391" s="23" t="s">
        <v>1021</v>
      </c>
      <c r="H391" s="25" t="s">
        <v>36</v>
      </c>
      <c r="I391" s="73">
        <v>46132.0</v>
      </c>
      <c r="J391" s="17">
        <v>1.0</v>
      </c>
      <c r="K391" s="25" t="s">
        <v>38</v>
      </c>
      <c r="L391" s="28">
        <v>50000.0</v>
      </c>
      <c r="M391" s="28">
        <v>0.0</v>
      </c>
      <c r="N391" s="28">
        <v>0.0</v>
      </c>
      <c r="O391" s="76">
        <v>0.0</v>
      </c>
      <c r="P391" s="77">
        <v>0.0</v>
      </c>
      <c r="Q391" s="33"/>
      <c r="R391" s="11"/>
    </row>
    <row r="392" ht="15.75" customHeight="1">
      <c r="A392" s="13">
        <f t="shared" si="1"/>
        <v>391</v>
      </c>
      <c r="B392" s="15" t="s">
        <v>24</v>
      </c>
      <c r="C392" s="17">
        <v>1704.0</v>
      </c>
      <c r="D392" s="202" t="s">
        <v>1022</v>
      </c>
      <c r="E392" s="17" t="s">
        <v>1023</v>
      </c>
      <c r="F392" s="182" t="s">
        <v>44</v>
      </c>
      <c r="G392" s="182" t="s">
        <v>1024</v>
      </c>
      <c r="H392" s="181" t="s">
        <v>36</v>
      </c>
      <c r="I392" s="203">
        <v>46132.0</v>
      </c>
      <c r="J392" s="204">
        <v>1.0</v>
      </c>
      <c r="K392" s="181" t="s">
        <v>38</v>
      </c>
      <c r="L392" s="205">
        <v>10000.0</v>
      </c>
      <c r="M392" s="205">
        <v>0.0</v>
      </c>
      <c r="N392" s="205">
        <v>0.0</v>
      </c>
      <c r="O392" s="206">
        <v>0.0</v>
      </c>
      <c r="P392" s="207">
        <v>0.0</v>
      </c>
      <c r="Q392" s="33"/>
      <c r="R392" s="11"/>
    </row>
    <row r="393" ht="15.75" customHeight="1">
      <c r="A393" s="13">
        <f t="shared" si="1"/>
        <v>392</v>
      </c>
      <c r="B393" s="15" t="s">
        <v>24</v>
      </c>
      <c r="C393" s="17">
        <v>1704.0</v>
      </c>
      <c r="D393" s="17" t="s">
        <v>122</v>
      </c>
      <c r="E393" s="17" t="s">
        <v>1026</v>
      </c>
      <c r="F393" s="23" t="s">
        <v>142</v>
      </c>
      <c r="G393" s="25" t="s">
        <v>802</v>
      </c>
      <c r="H393" s="25" t="s">
        <v>36</v>
      </c>
      <c r="I393" s="208">
        <v>46134.0</v>
      </c>
      <c r="J393" s="17">
        <v>0.0</v>
      </c>
      <c r="K393" s="25" t="s">
        <v>38</v>
      </c>
      <c r="L393" s="28">
        <v>50000.0</v>
      </c>
      <c r="M393" s="28">
        <v>0.0</v>
      </c>
      <c r="N393" s="28">
        <v>0.0</v>
      </c>
      <c r="O393" s="28">
        <v>0.0</v>
      </c>
      <c r="P393" s="28">
        <v>0.0</v>
      </c>
      <c r="Q393" s="33"/>
      <c r="R393" s="11"/>
    </row>
    <row r="394" ht="15.75" customHeight="1">
      <c r="A394" s="13">
        <f t="shared" si="1"/>
        <v>393</v>
      </c>
      <c r="B394" s="15" t="s">
        <v>24</v>
      </c>
      <c r="C394" s="17">
        <v>1704.0</v>
      </c>
      <c r="D394" s="17"/>
      <c r="E394" s="17" t="s">
        <v>1028</v>
      </c>
      <c r="F394" s="25" t="s">
        <v>84</v>
      </c>
      <c r="G394" s="25" t="s">
        <v>270</v>
      </c>
      <c r="H394" s="25" t="s">
        <v>36</v>
      </c>
      <c r="I394" s="208">
        <v>46135.0</v>
      </c>
      <c r="J394" s="15">
        <v>0.0</v>
      </c>
      <c r="K394" s="25" t="s">
        <v>38</v>
      </c>
      <c r="L394" s="28">
        <v>25000.0</v>
      </c>
      <c r="M394" s="28">
        <v>0.0</v>
      </c>
      <c r="N394" s="28">
        <v>0.0</v>
      </c>
      <c r="O394" s="28">
        <v>0.0</v>
      </c>
      <c r="P394" s="28">
        <v>0.0</v>
      </c>
      <c r="Q394" s="33"/>
      <c r="R394" s="11"/>
    </row>
    <row r="395" ht="15.75" customHeight="1">
      <c r="A395" s="13">
        <f t="shared" si="1"/>
        <v>394</v>
      </c>
      <c r="B395" s="15" t="s">
        <v>24</v>
      </c>
      <c r="C395" s="17">
        <v>1704.0</v>
      </c>
      <c r="D395" s="17"/>
      <c r="E395" s="17" t="s">
        <v>1030</v>
      </c>
      <c r="F395" s="25" t="s">
        <v>84</v>
      </c>
      <c r="G395" s="25" t="s">
        <v>254</v>
      </c>
      <c r="H395" s="25" t="s">
        <v>36</v>
      </c>
      <c r="I395" s="208">
        <v>46135.0</v>
      </c>
      <c r="J395" s="15">
        <v>0.0</v>
      </c>
      <c r="K395" s="25" t="s">
        <v>38</v>
      </c>
      <c r="L395" s="28">
        <v>25000.0</v>
      </c>
      <c r="M395" s="28">
        <v>0.0</v>
      </c>
      <c r="N395" s="28">
        <v>0.0</v>
      </c>
      <c r="O395" s="28">
        <v>0.0</v>
      </c>
      <c r="P395" s="28">
        <v>0.0</v>
      </c>
      <c r="Q395" s="33"/>
      <c r="R395" s="11"/>
    </row>
    <row r="396" ht="15.75" customHeight="1">
      <c r="A396" s="13">
        <f t="shared" si="1"/>
        <v>395</v>
      </c>
      <c r="B396" s="15" t="s">
        <v>24</v>
      </c>
      <c r="C396" s="17">
        <v>1704.0</v>
      </c>
      <c r="D396" s="17"/>
      <c r="E396" s="17" t="s">
        <v>1031</v>
      </c>
      <c r="F396" s="25" t="s">
        <v>44</v>
      </c>
      <c r="G396" s="25" t="s">
        <v>45</v>
      </c>
      <c r="H396" s="25" t="s">
        <v>36</v>
      </c>
      <c r="I396" s="208">
        <v>46135.0</v>
      </c>
      <c r="J396" s="17">
        <v>0.0</v>
      </c>
      <c r="K396" s="23" t="s">
        <v>38</v>
      </c>
      <c r="L396" s="28">
        <v>15000.0</v>
      </c>
      <c r="M396" s="28">
        <v>0.0</v>
      </c>
      <c r="N396" s="28">
        <v>0.0</v>
      </c>
      <c r="O396" s="28">
        <v>0.0</v>
      </c>
      <c r="P396" s="28">
        <v>0.0</v>
      </c>
      <c r="Q396" s="33"/>
      <c r="R396" s="11"/>
    </row>
    <row r="397" ht="15.75" customHeight="1">
      <c r="A397" s="13">
        <f t="shared" si="1"/>
        <v>396</v>
      </c>
      <c r="B397" s="15" t="s">
        <v>24</v>
      </c>
      <c r="C397" s="17">
        <v>1704.0</v>
      </c>
      <c r="D397" s="17"/>
      <c r="E397" s="17" t="s">
        <v>1033</v>
      </c>
      <c r="F397" s="25"/>
      <c r="G397" s="25" t="s">
        <v>259</v>
      </c>
      <c r="H397" s="25" t="s">
        <v>36</v>
      </c>
      <c r="I397" s="208">
        <v>46135.0</v>
      </c>
      <c r="J397" s="15">
        <v>0.0</v>
      </c>
      <c r="K397" s="25" t="s">
        <v>57</v>
      </c>
      <c r="L397" s="28">
        <v>10000.0</v>
      </c>
      <c r="M397" s="100">
        <v>0.0</v>
      </c>
      <c r="N397" s="100">
        <v>0.0</v>
      </c>
      <c r="O397" s="100">
        <v>0.0</v>
      </c>
      <c r="P397" s="100">
        <v>0.0</v>
      </c>
      <c r="Q397" s="33"/>
      <c r="R397" s="11"/>
    </row>
    <row r="398" ht="15.75" customHeight="1">
      <c r="A398" s="13">
        <f t="shared" si="1"/>
        <v>397</v>
      </c>
      <c r="B398" s="15" t="s">
        <v>24</v>
      </c>
      <c r="C398" s="17">
        <v>1704.0</v>
      </c>
      <c r="D398" s="17"/>
      <c r="E398" s="17" t="s">
        <v>1034</v>
      </c>
      <c r="F398" s="25"/>
      <c r="G398" s="25" t="s">
        <v>143</v>
      </c>
      <c r="H398" s="25" t="s">
        <v>36</v>
      </c>
      <c r="I398" s="208">
        <v>46137.0</v>
      </c>
      <c r="J398" s="15">
        <v>0.0</v>
      </c>
      <c r="K398" s="25" t="s">
        <v>57</v>
      </c>
      <c r="L398" s="28">
        <v>5800.0</v>
      </c>
      <c r="M398" s="28">
        <v>0.0</v>
      </c>
      <c r="N398" s="28">
        <v>0.0</v>
      </c>
      <c r="O398" s="28">
        <v>0.0</v>
      </c>
      <c r="P398" s="28">
        <v>0.0</v>
      </c>
      <c r="Q398" s="33"/>
      <c r="R398" s="11"/>
    </row>
    <row r="399" ht="15.75" customHeight="1">
      <c r="A399" s="13">
        <f t="shared" si="1"/>
        <v>398</v>
      </c>
      <c r="B399" s="15" t="s">
        <v>24</v>
      </c>
      <c r="C399" s="17">
        <v>1704.0</v>
      </c>
      <c r="D399" s="17"/>
      <c r="E399" s="17" t="s">
        <v>1036</v>
      </c>
      <c r="F399" s="23" t="s">
        <v>49</v>
      </c>
      <c r="G399" s="23" t="s">
        <v>967</v>
      </c>
      <c r="H399" s="23" t="s">
        <v>55</v>
      </c>
      <c r="I399" s="208">
        <v>46139.0</v>
      </c>
      <c r="J399" s="17">
        <v>0.0</v>
      </c>
      <c r="K399" s="23" t="s">
        <v>38</v>
      </c>
      <c r="L399" s="28">
        <v>100000.0</v>
      </c>
      <c r="M399" s="28">
        <v>0.0</v>
      </c>
      <c r="N399" s="28">
        <v>0.0</v>
      </c>
      <c r="O399" s="28">
        <v>0.0</v>
      </c>
      <c r="P399" s="28">
        <v>0.0</v>
      </c>
      <c r="Q399" s="33"/>
      <c r="R399" s="11"/>
    </row>
    <row r="400" ht="15.75" customHeight="1">
      <c r="A400" s="13">
        <f t="shared" si="1"/>
        <v>399</v>
      </c>
      <c r="B400" s="15" t="s">
        <v>24</v>
      </c>
      <c r="C400" s="17">
        <v>1704.0</v>
      </c>
      <c r="D400" s="17"/>
      <c r="E400" s="17" t="s">
        <v>1039</v>
      </c>
      <c r="F400" s="71" t="s">
        <v>84</v>
      </c>
      <c r="G400" s="72" t="s">
        <v>324</v>
      </c>
      <c r="H400" s="25" t="s">
        <v>36</v>
      </c>
      <c r="I400" s="208">
        <v>46139.0</v>
      </c>
      <c r="J400" s="17">
        <v>0.0</v>
      </c>
      <c r="K400" s="25" t="s">
        <v>38</v>
      </c>
      <c r="L400" s="28">
        <v>50000.0</v>
      </c>
      <c r="M400" s="28">
        <v>0.0</v>
      </c>
      <c r="N400" s="28">
        <v>0.0</v>
      </c>
      <c r="O400" s="28">
        <v>0.0</v>
      </c>
      <c r="P400" s="28">
        <v>0.0</v>
      </c>
      <c r="Q400" s="33"/>
      <c r="R400" s="11"/>
    </row>
    <row r="401" ht="15.75" customHeight="1">
      <c r="A401" s="13">
        <f t="shared" si="1"/>
        <v>400</v>
      </c>
      <c r="B401" s="15" t="s">
        <v>24</v>
      </c>
      <c r="C401" s="17">
        <v>1704.0</v>
      </c>
      <c r="D401" s="17"/>
      <c r="E401" s="17" t="s">
        <v>1041</v>
      </c>
      <c r="F401" s="25" t="s">
        <v>169</v>
      </c>
      <c r="G401" s="25" t="s">
        <v>484</v>
      </c>
      <c r="H401" s="25" t="s">
        <v>36</v>
      </c>
      <c r="I401" s="208">
        <v>46139.0</v>
      </c>
      <c r="J401" s="15">
        <v>0.0</v>
      </c>
      <c r="K401" s="25" t="s">
        <v>38</v>
      </c>
      <c r="L401" s="28">
        <v>5000.0</v>
      </c>
      <c r="M401" s="28">
        <v>0.0</v>
      </c>
      <c r="N401" s="28">
        <v>0.0</v>
      </c>
      <c r="O401" s="76">
        <v>0.0</v>
      </c>
      <c r="P401" s="77">
        <v>0.0</v>
      </c>
      <c r="Q401" s="33"/>
      <c r="R401" s="11"/>
    </row>
    <row r="402" ht="15.75" customHeight="1">
      <c r="A402" s="13">
        <f t="shared" si="1"/>
        <v>401</v>
      </c>
      <c r="B402" s="15" t="s">
        <v>24</v>
      </c>
      <c r="C402" s="17">
        <v>1729.0</v>
      </c>
      <c r="D402" s="15"/>
      <c r="E402" s="35" t="s">
        <v>1043</v>
      </c>
      <c r="F402" s="23" t="s">
        <v>977</v>
      </c>
      <c r="G402" s="23" t="s">
        <v>1044</v>
      </c>
      <c r="H402" s="25" t="s">
        <v>37</v>
      </c>
      <c r="I402" s="30">
        <v>46139.0</v>
      </c>
      <c r="J402" s="17">
        <v>1.0</v>
      </c>
      <c r="K402" s="25" t="s">
        <v>38</v>
      </c>
      <c r="L402" s="28">
        <v>5000.0</v>
      </c>
      <c r="M402" s="28">
        <v>0.0</v>
      </c>
      <c r="N402" s="28">
        <v>0.0</v>
      </c>
      <c r="O402" s="76">
        <v>0.0</v>
      </c>
      <c r="P402" s="77">
        <v>0.0</v>
      </c>
      <c r="Q402" s="33"/>
      <c r="R402" s="11"/>
    </row>
    <row r="403" ht="15.75" customHeight="1">
      <c r="A403" s="13">
        <f t="shared" si="1"/>
        <v>402</v>
      </c>
      <c r="B403" s="15" t="s">
        <v>24</v>
      </c>
      <c r="C403" s="17">
        <v>1729.0</v>
      </c>
      <c r="D403" s="15"/>
      <c r="E403" s="17" t="s">
        <v>1046</v>
      </c>
      <c r="F403" s="23" t="s">
        <v>977</v>
      </c>
      <c r="G403" s="23" t="s">
        <v>1047</v>
      </c>
      <c r="H403" s="25" t="s">
        <v>36</v>
      </c>
      <c r="I403" s="208">
        <v>46139.0</v>
      </c>
      <c r="J403" s="17">
        <v>1.0</v>
      </c>
      <c r="K403" s="25" t="s">
        <v>38</v>
      </c>
      <c r="L403" s="28">
        <v>5000.0</v>
      </c>
      <c r="M403" s="28">
        <v>0.0</v>
      </c>
      <c r="N403" s="28">
        <v>0.0</v>
      </c>
      <c r="O403" s="76">
        <v>0.0</v>
      </c>
      <c r="P403" s="77">
        <v>0.0</v>
      </c>
      <c r="Q403" s="33"/>
      <c r="R403" s="11"/>
    </row>
    <row r="404" ht="15.75" customHeight="1">
      <c r="A404" s="13">
        <f t="shared" si="1"/>
        <v>403</v>
      </c>
      <c r="B404" s="15" t="s">
        <v>24</v>
      </c>
      <c r="C404" s="17">
        <v>1729.0</v>
      </c>
      <c r="D404" s="15"/>
      <c r="E404" s="17" t="s">
        <v>1049</v>
      </c>
      <c r="F404" s="181" t="s">
        <v>82</v>
      </c>
      <c r="G404" s="201" t="s">
        <v>1050</v>
      </c>
      <c r="H404" s="25"/>
      <c r="I404" s="208"/>
      <c r="J404" s="15"/>
      <c r="K404" s="25"/>
      <c r="L404" s="28"/>
      <c r="M404" s="28"/>
      <c r="N404" s="28"/>
      <c r="O404" s="28"/>
      <c r="P404" s="28"/>
      <c r="Q404" s="33"/>
      <c r="R404" s="11"/>
    </row>
    <row r="405" ht="15.75" customHeight="1">
      <c r="A405" s="13">
        <f t="shared" si="1"/>
        <v>404</v>
      </c>
      <c r="B405" s="15" t="s">
        <v>24</v>
      </c>
      <c r="C405" s="17">
        <v>1729.0</v>
      </c>
      <c r="D405" s="15"/>
      <c r="E405" s="17" t="s">
        <v>1052</v>
      </c>
      <c r="F405" s="25" t="s">
        <v>92</v>
      </c>
      <c r="G405" s="25" t="s">
        <v>700</v>
      </c>
      <c r="H405" s="25" t="s">
        <v>36</v>
      </c>
      <c r="I405" s="208">
        <v>46139.0</v>
      </c>
      <c r="J405" s="15">
        <v>0.0</v>
      </c>
      <c r="K405" s="25" t="s">
        <v>38</v>
      </c>
      <c r="L405" s="28">
        <v>0.0</v>
      </c>
      <c r="M405" s="28">
        <v>40000.0</v>
      </c>
      <c r="N405" s="28">
        <v>0.0</v>
      </c>
      <c r="O405" s="28">
        <v>0.0</v>
      </c>
      <c r="P405" s="28">
        <v>0.0</v>
      </c>
      <c r="Q405" s="33"/>
      <c r="R405" s="11"/>
    </row>
    <row r="406" ht="15.75" customHeight="1">
      <c r="A406" s="13">
        <f t="shared" si="1"/>
        <v>405</v>
      </c>
      <c r="B406" s="15" t="s">
        <v>24</v>
      </c>
      <c r="C406" s="17">
        <v>1729.0</v>
      </c>
      <c r="D406" s="15"/>
      <c r="E406" s="17" t="s">
        <v>1054</v>
      </c>
      <c r="F406" s="23" t="s">
        <v>208</v>
      </c>
      <c r="G406" s="23" t="s">
        <v>208</v>
      </c>
      <c r="H406" s="25" t="s">
        <v>36</v>
      </c>
      <c r="I406" s="208">
        <v>46139.0</v>
      </c>
      <c r="J406" s="15">
        <v>0.0</v>
      </c>
      <c r="K406" s="25" t="s">
        <v>57</v>
      </c>
      <c r="L406" s="28">
        <v>5000.0</v>
      </c>
      <c r="M406" s="28">
        <v>0.0</v>
      </c>
      <c r="N406" s="28">
        <v>0.0</v>
      </c>
      <c r="O406" s="76">
        <v>0.0</v>
      </c>
      <c r="P406" s="77">
        <v>0.0</v>
      </c>
      <c r="Q406" s="33"/>
      <c r="R406" s="11"/>
    </row>
    <row r="407" ht="15.75" customHeight="1">
      <c r="A407" s="13">
        <f t="shared" si="1"/>
        <v>406</v>
      </c>
      <c r="B407" s="15" t="s">
        <v>24</v>
      </c>
      <c r="C407" s="17">
        <v>1729.0</v>
      </c>
      <c r="D407" s="15"/>
      <c r="E407" s="17" t="s">
        <v>1058</v>
      </c>
      <c r="F407" s="78" t="s">
        <v>191</v>
      </c>
      <c r="G407" s="78" t="s">
        <v>950</v>
      </c>
      <c r="H407" s="78" t="s">
        <v>36</v>
      </c>
      <c r="I407" s="208">
        <v>46140.0</v>
      </c>
      <c r="J407" s="194">
        <v>0.0</v>
      </c>
      <c r="K407" s="78" t="s">
        <v>38</v>
      </c>
      <c r="L407" s="101">
        <v>0.0</v>
      </c>
      <c r="M407" s="101">
        <v>180000.0</v>
      </c>
      <c r="N407" s="101">
        <v>0.0</v>
      </c>
      <c r="O407" s="101">
        <v>0.0</v>
      </c>
      <c r="P407" s="101">
        <v>0.0</v>
      </c>
      <c r="Q407" s="33"/>
      <c r="R407" s="11"/>
    </row>
    <row r="408" ht="15.75" customHeight="1">
      <c r="A408" s="13">
        <f t="shared" si="1"/>
        <v>407</v>
      </c>
      <c r="B408" s="15" t="s">
        <v>24</v>
      </c>
      <c r="C408" s="17">
        <v>1729.0</v>
      </c>
      <c r="D408" s="15"/>
      <c r="E408" s="17" t="s">
        <v>1061</v>
      </c>
      <c r="F408" s="25"/>
      <c r="G408" s="25" t="s">
        <v>181</v>
      </c>
      <c r="H408" s="25" t="s">
        <v>36</v>
      </c>
      <c r="I408" s="208">
        <v>46140.0</v>
      </c>
      <c r="J408" s="15">
        <v>0.0</v>
      </c>
      <c r="K408" s="25" t="s">
        <v>57</v>
      </c>
      <c r="L408" s="28">
        <v>0.0</v>
      </c>
      <c r="M408" s="28">
        <v>7000.0</v>
      </c>
      <c r="N408" s="28">
        <v>0.0</v>
      </c>
      <c r="O408" s="28">
        <v>0.0</v>
      </c>
      <c r="P408" s="28">
        <v>0.0</v>
      </c>
      <c r="Q408" s="33"/>
      <c r="R408" s="11"/>
    </row>
    <row r="409" ht="15.75" customHeight="1">
      <c r="A409" s="13">
        <f t="shared" si="1"/>
        <v>408</v>
      </c>
      <c r="B409" s="15" t="s">
        <v>24</v>
      </c>
      <c r="C409" s="17">
        <v>1729.0</v>
      </c>
      <c r="D409" s="15"/>
      <c r="E409" s="17" t="s">
        <v>1063</v>
      </c>
      <c r="F409" s="25"/>
      <c r="G409" s="25" t="s">
        <v>428</v>
      </c>
      <c r="H409" s="25" t="s">
        <v>36</v>
      </c>
      <c r="I409" s="30">
        <v>46142.0</v>
      </c>
      <c r="J409" s="15">
        <v>0.0</v>
      </c>
      <c r="K409" s="25" t="s">
        <v>57</v>
      </c>
      <c r="L409" s="28">
        <v>7000.0</v>
      </c>
      <c r="M409" s="100">
        <v>0.0</v>
      </c>
      <c r="N409" s="100">
        <v>0.0</v>
      </c>
      <c r="O409" s="100">
        <v>0.0</v>
      </c>
      <c r="P409" s="100">
        <v>0.0</v>
      </c>
      <c r="Q409" s="33"/>
      <c r="R409" s="11"/>
    </row>
    <row r="410" ht="15.75" customHeight="1">
      <c r="A410" s="13">
        <f t="shared" si="1"/>
        <v>409</v>
      </c>
      <c r="B410" s="15" t="s">
        <v>24</v>
      </c>
      <c r="C410" s="17">
        <v>1729.0</v>
      </c>
      <c r="D410" s="15"/>
      <c r="E410" s="17" t="s">
        <v>1064</v>
      </c>
      <c r="F410" s="25" t="s">
        <v>84</v>
      </c>
      <c r="G410" s="25" t="s">
        <v>461</v>
      </c>
      <c r="H410" s="25" t="s">
        <v>36</v>
      </c>
      <c r="I410" s="30">
        <v>46142.0</v>
      </c>
      <c r="J410" s="15">
        <v>0.0</v>
      </c>
      <c r="K410" s="25" t="s">
        <v>57</v>
      </c>
      <c r="L410" s="28">
        <v>0.0</v>
      </c>
      <c r="M410" s="28">
        <v>8300.0</v>
      </c>
      <c r="N410" s="28">
        <v>0.0</v>
      </c>
      <c r="O410" s="28">
        <v>0.0</v>
      </c>
      <c r="P410" s="28">
        <v>0.0</v>
      </c>
      <c r="Q410" s="33"/>
      <c r="R410" s="11"/>
    </row>
    <row r="411" ht="15.75" customHeight="1">
      <c r="A411" s="13">
        <f t="shared" si="1"/>
        <v>410</v>
      </c>
      <c r="B411" s="15" t="s">
        <v>24</v>
      </c>
      <c r="C411" s="17">
        <v>1729.0</v>
      </c>
      <c r="D411" s="15"/>
      <c r="E411" s="17" t="s">
        <v>1066</v>
      </c>
      <c r="F411" s="25" t="s">
        <v>92</v>
      </c>
      <c r="G411" s="25" t="s">
        <v>742</v>
      </c>
      <c r="H411" s="25" t="s">
        <v>37</v>
      </c>
      <c r="I411" s="30">
        <v>46142.0</v>
      </c>
      <c r="J411" s="15">
        <v>0.0</v>
      </c>
      <c r="K411" s="25" t="s">
        <v>57</v>
      </c>
      <c r="L411" s="28">
        <v>9000.0</v>
      </c>
      <c r="M411" s="28">
        <v>0.0</v>
      </c>
      <c r="N411" s="28">
        <v>0.0</v>
      </c>
      <c r="O411" s="28">
        <v>0.0</v>
      </c>
      <c r="P411" s="28">
        <v>0.0</v>
      </c>
      <c r="Q411" s="33"/>
      <c r="R411" s="11"/>
    </row>
    <row r="412" ht="15.75" customHeight="1">
      <c r="A412" s="13">
        <f t="shared" si="1"/>
        <v>411</v>
      </c>
      <c r="B412" s="15" t="s">
        <v>24</v>
      </c>
      <c r="C412" s="17">
        <v>1729.0</v>
      </c>
      <c r="D412" s="15"/>
      <c r="E412" s="17" t="s">
        <v>1067</v>
      </c>
      <c r="F412" s="23" t="s">
        <v>1012</v>
      </c>
      <c r="G412" s="23" t="s">
        <v>1069</v>
      </c>
      <c r="H412" s="25" t="s">
        <v>36</v>
      </c>
      <c r="I412" s="30">
        <v>46142.0</v>
      </c>
      <c r="J412" s="17">
        <v>2.0</v>
      </c>
      <c r="K412" s="23" t="s">
        <v>38</v>
      </c>
      <c r="L412" s="28">
        <v>10000.0</v>
      </c>
      <c r="M412" s="28">
        <v>0.0</v>
      </c>
      <c r="N412" s="28">
        <v>0.0</v>
      </c>
      <c r="O412" s="28">
        <v>0.0</v>
      </c>
      <c r="P412" s="28">
        <v>0.0</v>
      </c>
      <c r="Q412" s="33"/>
      <c r="R412" s="11"/>
    </row>
    <row r="413" ht="15.75" customHeight="1">
      <c r="A413" s="13">
        <f t="shared" si="1"/>
        <v>412</v>
      </c>
      <c r="B413" s="15" t="s">
        <v>24</v>
      </c>
      <c r="C413" s="17">
        <v>1729.0</v>
      </c>
      <c r="D413" s="15"/>
      <c r="E413" s="17" t="s">
        <v>1072</v>
      </c>
      <c r="F413" s="25" t="s">
        <v>356</v>
      </c>
      <c r="G413" s="25" t="s">
        <v>388</v>
      </c>
      <c r="H413" s="25" t="s">
        <v>36</v>
      </c>
      <c r="I413" s="30">
        <v>46142.0</v>
      </c>
      <c r="J413" s="15">
        <v>0.0</v>
      </c>
      <c r="K413" s="25" t="s">
        <v>57</v>
      </c>
      <c r="L413" s="28">
        <v>7500.0</v>
      </c>
      <c r="M413" s="28">
        <v>0.0</v>
      </c>
      <c r="N413" s="28">
        <v>0.0</v>
      </c>
      <c r="O413" s="28">
        <v>0.0</v>
      </c>
      <c r="P413" s="100">
        <v>0.0</v>
      </c>
      <c r="Q413" s="33"/>
      <c r="R413" s="11"/>
    </row>
    <row r="414" ht="15.75" customHeight="1">
      <c r="A414" s="13">
        <f t="shared" si="1"/>
        <v>413</v>
      </c>
      <c r="B414" s="15" t="s">
        <v>24</v>
      </c>
      <c r="C414" s="17">
        <v>1729.0</v>
      </c>
      <c r="D414" s="15"/>
      <c r="E414" s="17" t="s">
        <v>1074</v>
      </c>
      <c r="F414" s="23" t="s">
        <v>1016</v>
      </c>
      <c r="G414" s="23" t="s">
        <v>1017</v>
      </c>
      <c r="H414" s="25" t="s">
        <v>37</v>
      </c>
      <c r="I414" s="30">
        <v>46142.0</v>
      </c>
      <c r="J414" s="17">
        <v>0.0</v>
      </c>
      <c r="K414" s="25" t="s">
        <v>38</v>
      </c>
      <c r="L414" s="28">
        <v>20000.0</v>
      </c>
      <c r="M414" s="100">
        <v>0.0</v>
      </c>
      <c r="N414" s="100">
        <v>0.0</v>
      </c>
      <c r="O414" s="100">
        <v>0.0</v>
      </c>
      <c r="P414" s="100">
        <v>0.0</v>
      </c>
      <c r="Q414" s="33"/>
      <c r="R414" s="11"/>
    </row>
    <row r="415" ht="15.75" customHeight="1">
      <c r="A415" s="13">
        <f t="shared" si="1"/>
        <v>414</v>
      </c>
      <c r="B415" s="15" t="s">
        <v>24</v>
      </c>
      <c r="C415" s="17">
        <v>1729.0</v>
      </c>
      <c r="D415" s="15"/>
      <c r="E415" s="17" t="s">
        <v>1075</v>
      </c>
      <c r="F415" s="23" t="s">
        <v>1012</v>
      </c>
      <c r="G415" s="23" t="s">
        <v>1069</v>
      </c>
      <c r="H415" s="25" t="s">
        <v>36</v>
      </c>
      <c r="I415" s="30">
        <v>46142.0</v>
      </c>
      <c r="J415" s="17">
        <v>3.0</v>
      </c>
      <c r="K415" s="23" t="s">
        <v>38</v>
      </c>
      <c r="L415" s="28">
        <v>0.0</v>
      </c>
      <c r="M415" s="28">
        <v>0.0</v>
      </c>
      <c r="N415" s="28">
        <v>0.0</v>
      </c>
      <c r="O415" s="28">
        <v>300000.0</v>
      </c>
      <c r="P415" s="28">
        <v>0.0</v>
      </c>
      <c r="Q415" s="200">
        <v>46162.0</v>
      </c>
      <c r="R415" s="11"/>
    </row>
    <row r="416" ht="15.75" customHeight="1">
      <c r="A416" s="13">
        <f t="shared" si="1"/>
        <v>415</v>
      </c>
      <c r="B416" s="15" t="s">
        <v>24</v>
      </c>
      <c r="C416" s="17">
        <v>1729.0</v>
      </c>
      <c r="D416" s="15"/>
      <c r="E416" s="17" t="s">
        <v>1076</v>
      </c>
      <c r="F416" s="23" t="s">
        <v>977</v>
      </c>
      <c r="G416" s="23" t="s">
        <v>1077</v>
      </c>
      <c r="H416" s="25" t="s">
        <v>36</v>
      </c>
      <c r="I416" s="30">
        <v>46142.0</v>
      </c>
      <c r="J416" s="17">
        <v>1.0</v>
      </c>
      <c r="K416" s="23" t="s">
        <v>38</v>
      </c>
      <c r="L416" s="28">
        <v>1000.0</v>
      </c>
      <c r="M416" s="28">
        <v>0.0</v>
      </c>
      <c r="N416" s="28">
        <v>0.0</v>
      </c>
      <c r="O416" s="28">
        <v>0.0</v>
      </c>
      <c r="P416" s="28">
        <v>0.0</v>
      </c>
      <c r="Q416" s="33"/>
      <c r="R416" s="11"/>
    </row>
    <row r="417" ht="15.75" customHeight="1">
      <c r="A417" s="13">
        <f t="shared" si="1"/>
        <v>416</v>
      </c>
      <c r="B417" s="15" t="s">
        <v>24</v>
      </c>
      <c r="C417" s="17">
        <v>1729.0</v>
      </c>
      <c r="D417" s="15"/>
      <c r="E417" s="17" t="s">
        <v>1078</v>
      </c>
      <c r="F417" s="23" t="s">
        <v>977</v>
      </c>
      <c r="G417" s="23" t="s">
        <v>1080</v>
      </c>
      <c r="H417" s="25" t="s">
        <v>36</v>
      </c>
      <c r="I417" s="30">
        <v>46142.0</v>
      </c>
      <c r="J417" s="17">
        <v>1.0</v>
      </c>
      <c r="K417" s="23" t="s">
        <v>38</v>
      </c>
      <c r="L417" s="28">
        <v>1000.0</v>
      </c>
      <c r="M417" s="28">
        <v>0.0</v>
      </c>
      <c r="N417" s="28">
        <v>0.0</v>
      </c>
      <c r="O417" s="28">
        <v>0.0</v>
      </c>
      <c r="P417" s="28">
        <v>0.0</v>
      </c>
      <c r="Q417" s="72"/>
      <c r="R417" s="11"/>
    </row>
    <row r="418" ht="15.75" customHeight="1">
      <c r="A418" s="13">
        <f t="shared" si="1"/>
        <v>417</v>
      </c>
      <c r="B418" s="15" t="s">
        <v>24</v>
      </c>
      <c r="C418" s="17">
        <v>1729.0</v>
      </c>
      <c r="D418" s="15"/>
      <c r="E418" s="17" t="s">
        <v>1081</v>
      </c>
      <c r="F418" s="23" t="s">
        <v>977</v>
      </c>
      <c r="G418" s="23" t="s">
        <v>1077</v>
      </c>
      <c r="H418" s="23" t="s">
        <v>55</v>
      </c>
      <c r="I418" s="30">
        <v>46142.0</v>
      </c>
      <c r="J418" s="17">
        <v>2.0</v>
      </c>
      <c r="K418" s="23" t="s">
        <v>38</v>
      </c>
      <c r="L418" s="28">
        <v>2000.0</v>
      </c>
      <c r="M418" s="28">
        <v>0.0</v>
      </c>
      <c r="N418" s="28">
        <v>0.0</v>
      </c>
      <c r="O418" s="28">
        <v>0.0</v>
      </c>
      <c r="P418" s="28">
        <v>0.0</v>
      </c>
      <c r="Q418" s="33"/>
      <c r="R418" s="11"/>
    </row>
    <row r="419" ht="15.75" customHeight="1">
      <c r="A419" s="13">
        <f t="shared" si="1"/>
        <v>418</v>
      </c>
      <c r="B419" s="15" t="s">
        <v>24</v>
      </c>
      <c r="C419" s="17">
        <v>1729.0</v>
      </c>
      <c r="D419" s="15"/>
      <c r="E419" s="17" t="s">
        <v>1083</v>
      </c>
      <c r="F419" s="23" t="s">
        <v>977</v>
      </c>
      <c r="G419" s="23" t="s">
        <v>1080</v>
      </c>
      <c r="H419" s="23" t="s">
        <v>55</v>
      </c>
      <c r="I419" s="30">
        <v>46142.0</v>
      </c>
      <c r="J419" s="17">
        <v>1.0</v>
      </c>
      <c r="K419" s="23" t="s">
        <v>38</v>
      </c>
      <c r="L419" s="28">
        <v>1000.0</v>
      </c>
      <c r="M419" s="28">
        <v>0.0</v>
      </c>
      <c r="N419" s="28">
        <v>0.0</v>
      </c>
      <c r="O419" s="28">
        <v>0.0</v>
      </c>
      <c r="P419" s="28">
        <v>0.0</v>
      </c>
      <c r="Q419" s="33"/>
      <c r="R419" s="11"/>
    </row>
    <row r="420" ht="15.75" customHeight="1">
      <c r="A420" s="13">
        <f t="shared" si="1"/>
        <v>419</v>
      </c>
      <c r="B420" s="15" t="s">
        <v>24</v>
      </c>
      <c r="C420" s="17">
        <v>1729.0</v>
      </c>
      <c r="D420" s="15"/>
      <c r="E420" s="17" t="s">
        <v>1085</v>
      </c>
      <c r="F420" s="25" t="s">
        <v>71</v>
      </c>
      <c r="G420" s="23" t="s">
        <v>915</v>
      </c>
      <c r="H420" s="25" t="s">
        <v>37</v>
      </c>
      <c r="I420" s="32">
        <v>46142.0</v>
      </c>
      <c r="J420" s="17">
        <v>0.0</v>
      </c>
      <c r="K420" s="25" t="s">
        <v>38</v>
      </c>
      <c r="L420" s="28">
        <v>10000.0</v>
      </c>
      <c r="M420" s="28">
        <v>0.0</v>
      </c>
      <c r="N420" s="28">
        <v>0.0</v>
      </c>
      <c r="O420" s="28">
        <v>0.0</v>
      </c>
      <c r="P420" s="28">
        <v>0.0</v>
      </c>
      <c r="Q420" s="33"/>
      <c r="R420" s="11"/>
    </row>
    <row r="421" ht="15.75" customHeight="1">
      <c r="A421" s="13">
        <f t="shared" si="1"/>
        <v>420</v>
      </c>
      <c r="B421" s="15" t="s">
        <v>24</v>
      </c>
      <c r="C421" s="17">
        <v>1729.0</v>
      </c>
      <c r="D421" s="15"/>
      <c r="E421" s="17" t="s">
        <v>1089</v>
      </c>
      <c r="F421" s="181" t="s">
        <v>82</v>
      </c>
      <c r="G421" s="201" t="s">
        <v>1090</v>
      </c>
      <c r="H421" s="25"/>
      <c r="I421" s="30"/>
      <c r="J421" s="15"/>
      <c r="K421" s="25"/>
      <c r="L421" s="28"/>
      <c r="M421" s="28"/>
      <c r="N421" s="28"/>
      <c r="O421" s="28"/>
      <c r="P421" s="28"/>
      <c r="Q421" s="33"/>
      <c r="R421" s="11"/>
    </row>
    <row r="422" ht="15.75" customHeight="1">
      <c r="A422" s="13">
        <f t="shared" si="1"/>
        <v>421</v>
      </c>
      <c r="B422" s="15" t="s">
        <v>24</v>
      </c>
      <c r="C422" s="17">
        <v>1729.0</v>
      </c>
      <c r="D422" s="17" t="s">
        <v>1093</v>
      </c>
      <c r="E422" s="17" t="s">
        <v>1094</v>
      </c>
      <c r="F422" s="25" t="s">
        <v>169</v>
      </c>
      <c r="G422" s="25" t="s">
        <v>170</v>
      </c>
      <c r="H422" s="25" t="s">
        <v>36</v>
      </c>
      <c r="I422" s="30">
        <v>46145.0</v>
      </c>
      <c r="J422" s="15">
        <v>0.0</v>
      </c>
      <c r="K422" s="25" t="s">
        <v>57</v>
      </c>
      <c r="L422" s="28">
        <v>8500.0</v>
      </c>
      <c r="M422" s="28">
        <v>0.0</v>
      </c>
      <c r="N422" s="28">
        <v>0.0</v>
      </c>
      <c r="O422" s="28">
        <v>0.0</v>
      </c>
      <c r="P422" s="28">
        <v>0.0</v>
      </c>
      <c r="Q422" s="33"/>
      <c r="R422" s="11"/>
    </row>
    <row r="423" ht="15.75" customHeight="1">
      <c r="A423" s="13">
        <f t="shared" si="1"/>
        <v>422</v>
      </c>
      <c r="B423" s="15" t="s">
        <v>24</v>
      </c>
      <c r="C423" s="17">
        <v>1729.0</v>
      </c>
      <c r="D423" s="15"/>
      <c r="E423" s="17" t="s">
        <v>1097</v>
      </c>
      <c r="F423" s="217" t="s">
        <v>71</v>
      </c>
      <c r="G423" s="25" t="s">
        <v>114</v>
      </c>
      <c r="H423" s="25" t="s">
        <v>36</v>
      </c>
      <c r="I423" s="32">
        <v>46146.0</v>
      </c>
      <c r="J423" s="17">
        <v>1.0</v>
      </c>
      <c r="K423" s="25" t="s">
        <v>38</v>
      </c>
      <c r="L423" s="28">
        <v>80000.0</v>
      </c>
      <c r="M423" s="28">
        <v>0.0</v>
      </c>
      <c r="N423" s="28">
        <v>0.0</v>
      </c>
      <c r="O423" s="28">
        <v>0.0</v>
      </c>
      <c r="P423" s="28">
        <v>0.0</v>
      </c>
      <c r="Q423" s="33"/>
      <c r="R423" s="11"/>
    </row>
    <row r="424" ht="15.75" customHeight="1">
      <c r="A424" s="13">
        <f t="shared" si="1"/>
        <v>423</v>
      </c>
      <c r="B424" s="15" t="s">
        <v>24</v>
      </c>
      <c r="C424" s="17">
        <v>1729.0</v>
      </c>
      <c r="D424" s="15"/>
      <c r="E424" s="17" t="s">
        <v>1099</v>
      </c>
      <c r="F424" s="217" t="s">
        <v>71</v>
      </c>
      <c r="G424" s="25" t="s">
        <v>114</v>
      </c>
      <c r="H424" s="25" t="s">
        <v>37</v>
      </c>
      <c r="I424" s="32">
        <v>46146.0</v>
      </c>
      <c r="J424" s="17">
        <v>2.0</v>
      </c>
      <c r="K424" s="25" t="s">
        <v>38</v>
      </c>
      <c r="L424" s="28">
        <v>50000.0</v>
      </c>
      <c r="M424" s="28">
        <v>0.0</v>
      </c>
      <c r="N424" s="28">
        <v>0.0</v>
      </c>
      <c r="O424" s="28">
        <v>0.0</v>
      </c>
      <c r="P424" s="28">
        <v>0.0</v>
      </c>
      <c r="Q424" s="33"/>
      <c r="R424" s="11"/>
    </row>
    <row r="425" ht="15.75" customHeight="1">
      <c r="A425" s="13">
        <f t="shared" si="1"/>
        <v>424</v>
      </c>
      <c r="B425" s="15" t="s">
        <v>24</v>
      </c>
      <c r="C425" s="17">
        <v>1729.0</v>
      </c>
      <c r="D425" s="17" t="s">
        <v>46</v>
      </c>
      <c r="E425" s="17" t="s">
        <v>1100</v>
      </c>
      <c r="F425" s="25"/>
      <c r="G425" s="25" t="s">
        <v>288</v>
      </c>
      <c r="H425" s="25" t="s">
        <v>36</v>
      </c>
      <c r="I425" s="32">
        <v>46146.0</v>
      </c>
      <c r="J425" s="15">
        <v>0.0</v>
      </c>
      <c r="K425" s="25" t="s">
        <v>57</v>
      </c>
      <c r="L425" s="28">
        <v>9000.0</v>
      </c>
      <c r="M425" s="28">
        <v>0.0</v>
      </c>
      <c r="N425" s="28">
        <v>0.0</v>
      </c>
      <c r="O425" s="28">
        <v>0.0</v>
      </c>
      <c r="P425" s="28">
        <v>0.0</v>
      </c>
      <c r="Q425" s="33"/>
      <c r="R425" s="11"/>
    </row>
    <row r="426" ht="15.75" customHeight="1">
      <c r="A426" s="13">
        <f t="shared" si="1"/>
        <v>425</v>
      </c>
      <c r="B426" s="15" t="s">
        <v>24</v>
      </c>
      <c r="C426" s="17">
        <v>1729.0</v>
      </c>
      <c r="D426" s="15"/>
      <c r="E426" s="17" t="s">
        <v>1104</v>
      </c>
      <c r="F426" s="23" t="s">
        <v>726</v>
      </c>
      <c r="G426" s="23" t="s">
        <v>1105</v>
      </c>
      <c r="H426" s="25" t="s">
        <v>36</v>
      </c>
      <c r="I426" s="32">
        <v>46148.0</v>
      </c>
      <c r="J426" s="17">
        <v>1.0</v>
      </c>
      <c r="K426" s="25" t="s">
        <v>38</v>
      </c>
      <c r="L426" s="28">
        <v>2000.0</v>
      </c>
      <c r="M426" s="28">
        <v>0.0</v>
      </c>
      <c r="N426" s="28">
        <v>0.0</v>
      </c>
      <c r="O426" s="28">
        <v>0.0</v>
      </c>
      <c r="P426" s="28">
        <v>0.0</v>
      </c>
      <c r="Q426" s="33"/>
      <c r="R426" s="11"/>
    </row>
    <row r="427" ht="15.75" customHeight="1">
      <c r="A427" s="13">
        <f t="shared" si="1"/>
        <v>426</v>
      </c>
      <c r="B427" s="15" t="s">
        <v>24</v>
      </c>
      <c r="C427" s="17">
        <v>1729.0</v>
      </c>
      <c r="D427" s="15"/>
      <c r="E427" s="17" t="s">
        <v>1106</v>
      </c>
      <c r="F427" s="23" t="s">
        <v>142</v>
      </c>
      <c r="G427" s="25" t="s">
        <v>802</v>
      </c>
      <c r="H427" s="25" t="s">
        <v>36</v>
      </c>
      <c r="I427" s="32">
        <v>46146.0</v>
      </c>
      <c r="J427" s="17">
        <v>0.0</v>
      </c>
      <c r="K427" s="25" t="s">
        <v>38</v>
      </c>
      <c r="L427" s="28">
        <v>100000.0</v>
      </c>
      <c r="M427" s="28">
        <v>0.0</v>
      </c>
      <c r="N427" s="28">
        <v>0.0</v>
      </c>
      <c r="O427" s="28">
        <v>0.0</v>
      </c>
      <c r="P427" s="28">
        <v>0.0</v>
      </c>
      <c r="Q427" s="33"/>
      <c r="R427" s="11"/>
    </row>
    <row r="428" ht="15.75" customHeight="1">
      <c r="A428" s="13">
        <f t="shared" si="1"/>
        <v>427</v>
      </c>
      <c r="B428" s="15" t="s">
        <v>24</v>
      </c>
      <c r="C428" s="17">
        <v>1729.0</v>
      </c>
      <c r="D428" s="15"/>
      <c r="E428" s="17" t="s">
        <v>1114</v>
      </c>
      <c r="F428" s="23" t="s">
        <v>1012</v>
      </c>
      <c r="G428" s="23" t="s">
        <v>1013</v>
      </c>
      <c r="H428" s="25" t="s">
        <v>36</v>
      </c>
      <c r="I428" s="32">
        <v>46148.0</v>
      </c>
      <c r="J428" s="17">
        <v>0.0</v>
      </c>
      <c r="K428" s="25" t="s">
        <v>38</v>
      </c>
      <c r="L428" s="28">
        <v>100000.0</v>
      </c>
      <c r="M428" s="28">
        <v>0.0</v>
      </c>
      <c r="N428" s="28">
        <v>0.0</v>
      </c>
      <c r="O428" s="76">
        <v>0.0</v>
      </c>
      <c r="P428" s="77">
        <v>0.0</v>
      </c>
      <c r="Q428" s="33"/>
      <c r="R428" s="11"/>
    </row>
    <row r="429" ht="15.75" customHeight="1">
      <c r="A429" s="13">
        <f t="shared" si="1"/>
        <v>428</v>
      </c>
      <c r="B429" s="15" t="s">
        <v>24</v>
      </c>
      <c r="C429" s="17">
        <v>1729.0</v>
      </c>
      <c r="D429" s="15"/>
      <c r="E429" s="17" t="s">
        <v>1117</v>
      </c>
      <c r="F429" s="23" t="s">
        <v>49</v>
      </c>
      <c r="G429" s="23" t="s">
        <v>54</v>
      </c>
      <c r="H429" s="23" t="s">
        <v>55</v>
      </c>
      <c r="I429" s="32">
        <v>46149.0</v>
      </c>
      <c r="J429" s="17">
        <v>0.0</v>
      </c>
      <c r="K429" s="23" t="s">
        <v>38</v>
      </c>
      <c r="L429" s="28">
        <v>25000.0</v>
      </c>
      <c r="M429" s="28">
        <v>0.0</v>
      </c>
      <c r="N429" s="28">
        <v>0.0</v>
      </c>
      <c r="O429" s="28">
        <v>0.0</v>
      </c>
      <c r="P429" s="28">
        <v>0.0</v>
      </c>
      <c r="Q429" s="158">
        <v>46183.0</v>
      </c>
      <c r="R429" s="11"/>
    </row>
    <row r="430" ht="15.75" customHeight="1">
      <c r="A430" s="13">
        <f t="shared" si="1"/>
        <v>429</v>
      </c>
      <c r="B430" s="15" t="s">
        <v>24</v>
      </c>
      <c r="C430" s="17">
        <v>1729.0</v>
      </c>
      <c r="D430" s="15"/>
      <c r="E430" s="17" t="s">
        <v>1120</v>
      </c>
      <c r="F430" s="23" t="s">
        <v>142</v>
      </c>
      <c r="G430" s="23" t="s">
        <v>1121</v>
      </c>
      <c r="H430" s="25" t="s">
        <v>36</v>
      </c>
      <c r="I430" s="32">
        <v>46149.0</v>
      </c>
      <c r="J430" s="17">
        <v>1.0</v>
      </c>
      <c r="K430" s="25" t="s">
        <v>38</v>
      </c>
      <c r="L430" s="28">
        <v>5000.0</v>
      </c>
      <c r="M430" s="28">
        <v>0.0</v>
      </c>
      <c r="N430" s="28">
        <v>0.0</v>
      </c>
      <c r="O430" s="28">
        <v>0.0</v>
      </c>
      <c r="P430" s="28">
        <v>0.0</v>
      </c>
      <c r="Q430" s="33"/>
      <c r="R430" s="11"/>
    </row>
    <row r="431" ht="15.75" customHeight="1">
      <c r="A431" s="13">
        <f t="shared" si="1"/>
        <v>430</v>
      </c>
      <c r="B431" s="15" t="s">
        <v>24</v>
      </c>
      <c r="C431" s="17">
        <v>1729.0</v>
      </c>
      <c r="D431" s="17" t="s">
        <v>46</v>
      </c>
      <c r="E431" s="17" t="s">
        <v>1124</v>
      </c>
      <c r="F431" s="71" t="s">
        <v>84</v>
      </c>
      <c r="G431" s="72" t="s">
        <v>324</v>
      </c>
      <c r="H431" s="25" t="s">
        <v>36</v>
      </c>
      <c r="I431" s="32">
        <v>46149.0</v>
      </c>
      <c r="J431" s="17">
        <v>0.0</v>
      </c>
      <c r="K431" s="25" t="s">
        <v>57</v>
      </c>
      <c r="L431" s="28">
        <v>15000.0</v>
      </c>
      <c r="M431" s="28">
        <v>0.0</v>
      </c>
      <c r="N431" s="28">
        <v>0.0</v>
      </c>
      <c r="O431" s="28">
        <v>0.0</v>
      </c>
      <c r="P431" s="28">
        <v>0.0</v>
      </c>
      <c r="Q431" s="33"/>
      <c r="R431" s="11"/>
    </row>
    <row r="432" ht="15.75" customHeight="1">
      <c r="A432" s="13">
        <f t="shared" si="1"/>
        <v>431</v>
      </c>
      <c r="B432" s="15" t="s">
        <v>24</v>
      </c>
      <c r="C432" s="17">
        <v>1729.0</v>
      </c>
      <c r="D432" s="15"/>
      <c r="E432" s="17" t="s">
        <v>1128</v>
      </c>
      <c r="F432" s="23" t="s">
        <v>142</v>
      </c>
      <c r="G432" s="23" t="s">
        <v>1129</v>
      </c>
      <c r="H432" s="25" t="s">
        <v>36</v>
      </c>
      <c r="I432" s="32">
        <v>46149.0</v>
      </c>
      <c r="J432" s="17">
        <v>1.0</v>
      </c>
      <c r="K432" s="25" t="s">
        <v>38</v>
      </c>
      <c r="L432" s="28">
        <v>0.0</v>
      </c>
      <c r="M432" s="28">
        <v>0.0</v>
      </c>
      <c r="N432" s="28">
        <v>0.0</v>
      </c>
      <c r="O432" s="28">
        <v>100000.0</v>
      </c>
      <c r="P432" s="28"/>
      <c r="Q432" s="200">
        <v>46164.0</v>
      </c>
      <c r="R432" s="11"/>
    </row>
    <row r="433" ht="15.75" customHeight="1">
      <c r="A433" s="13">
        <f t="shared" si="1"/>
        <v>432</v>
      </c>
      <c r="B433" s="15" t="s">
        <v>24</v>
      </c>
      <c r="C433" s="17">
        <v>1729.0</v>
      </c>
      <c r="D433" s="15"/>
      <c r="E433" s="17" t="s">
        <v>1131</v>
      </c>
      <c r="F433" s="25" t="s">
        <v>60</v>
      </c>
      <c r="G433" s="23" t="s">
        <v>1132</v>
      </c>
      <c r="H433" s="25" t="s">
        <v>36</v>
      </c>
      <c r="I433" s="32">
        <v>46149.0</v>
      </c>
      <c r="J433" s="17">
        <v>1.0</v>
      </c>
      <c r="K433" s="25" t="s">
        <v>38</v>
      </c>
      <c r="L433" s="28">
        <v>10000.0</v>
      </c>
      <c r="M433" s="28">
        <v>0.0</v>
      </c>
      <c r="N433" s="28">
        <v>0.0</v>
      </c>
      <c r="O433" s="28">
        <v>0.0</v>
      </c>
      <c r="P433" s="28">
        <v>0.0</v>
      </c>
      <c r="Q433" s="33"/>
      <c r="R433" s="11"/>
    </row>
    <row r="434" ht="15.75" customHeight="1">
      <c r="A434" s="13">
        <f t="shared" si="1"/>
        <v>433</v>
      </c>
      <c r="B434" s="15" t="s">
        <v>24</v>
      </c>
      <c r="C434" s="17">
        <v>1729.0</v>
      </c>
      <c r="D434" s="17" t="s">
        <v>46</v>
      </c>
      <c r="E434" s="17" t="s">
        <v>1134</v>
      </c>
      <c r="F434" s="25"/>
      <c r="G434" s="25" t="s">
        <v>117</v>
      </c>
      <c r="H434" s="25" t="s">
        <v>36</v>
      </c>
      <c r="I434" s="32">
        <v>46149.0</v>
      </c>
      <c r="J434" s="15">
        <v>0.0</v>
      </c>
      <c r="K434" s="25" t="s">
        <v>57</v>
      </c>
      <c r="L434" s="28">
        <v>8000.0</v>
      </c>
      <c r="M434" s="28">
        <v>0.0</v>
      </c>
      <c r="N434" s="28">
        <v>0.0</v>
      </c>
      <c r="O434" s="28">
        <v>0.0</v>
      </c>
      <c r="P434" s="28">
        <v>0.0</v>
      </c>
      <c r="Q434" s="33"/>
      <c r="R434" s="11"/>
    </row>
    <row r="435" ht="15.75" customHeight="1">
      <c r="A435" s="13">
        <f t="shared" si="1"/>
        <v>434</v>
      </c>
      <c r="B435" s="15" t="s">
        <v>24</v>
      </c>
      <c r="C435" s="17">
        <v>1729.0</v>
      </c>
      <c r="D435" s="17" t="s">
        <v>46</v>
      </c>
      <c r="E435" s="17" t="s">
        <v>1138</v>
      </c>
      <c r="F435" s="25"/>
      <c r="G435" s="25" t="s">
        <v>478</v>
      </c>
      <c r="H435" s="25" t="s">
        <v>37</v>
      </c>
      <c r="I435" s="32">
        <v>46149.0</v>
      </c>
      <c r="J435" s="15">
        <v>0.0</v>
      </c>
      <c r="K435" s="25" t="s">
        <v>57</v>
      </c>
      <c r="L435" s="28">
        <v>5500.0</v>
      </c>
      <c r="M435" s="28">
        <v>0.0</v>
      </c>
      <c r="N435" s="28">
        <v>0.0</v>
      </c>
      <c r="O435" s="28">
        <v>0.0</v>
      </c>
      <c r="P435" s="28">
        <v>0.0</v>
      </c>
      <c r="Q435" s="33"/>
      <c r="R435" s="11"/>
    </row>
    <row r="436" ht="15.75" customHeight="1">
      <c r="A436" s="13">
        <f t="shared" si="1"/>
        <v>435</v>
      </c>
      <c r="B436" s="15" t="s">
        <v>24</v>
      </c>
      <c r="C436" s="17">
        <v>1729.0</v>
      </c>
      <c r="D436" s="15"/>
      <c r="E436" s="17" t="s">
        <v>1139</v>
      </c>
      <c r="F436" s="220" t="s">
        <v>82</v>
      </c>
      <c r="G436" s="221" t="s">
        <v>1142</v>
      </c>
      <c r="H436" s="25"/>
      <c r="I436" s="30"/>
      <c r="J436" s="15"/>
      <c r="K436" s="25"/>
      <c r="L436" s="28">
        <v>0.0</v>
      </c>
      <c r="M436" s="28">
        <v>0.0</v>
      </c>
      <c r="N436" s="76">
        <v>0.0</v>
      </c>
      <c r="O436" s="77">
        <v>0.0</v>
      </c>
      <c r="P436" s="76">
        <v>0.0</v>
      </c>
      <c r="Q436" s="33"/>
      <c r="R436" s="11"/>
    </row>
    <row r="437" ht="15.75" customHeight="1">
      <c r="A437" s="13">
        <f t="shared" si="1"/>
        <v>436</v>
      </c>
      <c r="B437" s="15" t="s">
        <v>24</v>
      </c>
      <c r="C437" s="17">
        <v>1729.0</v>
      </c>
      <c r="D437" s="17" t="s">
        <v>46</v>
      </c>
      <c r="E437" s="17" t="s">
        <v>1146</v>
      </c>
      <c r="F437" s="25"/>
      <c r="G437" s="25" t="s">
        <v>478</v>
      </c>
      <c r="H437" s="25" t="s">
        <v>36</v>
      </c>
      <c r="I437" s="32">
        <v>46149.0</v>
      </c>
      <c r="J437" s="15">
        <v>0.0</v>
      </c>
      <c r="K437" s="25" t="s">
        <v>57</v>
      </c>
      <c r="L437" s="28">
        <v>11000.0</v>
      </c>
      <c r="M437" s="28">
        <v>0.0</v>
      </c>
      <c r="N437" s="28">
        <v>0.0</v>
      </c>
      <c r="O437" s="76">
        <v>0.0</v>
      </c>
      <c r="P437" s="77">
        <v>0.0</v>
      </c>
      <c r="Q437" s="33"/>
      <c r="R437" s="11"/>
    </row>
    <row r="438" ht="15.75" customHeight="1">
      <c r="A438" s="13">
        <f t="shared" si="1"/>
        <v>437</v>
      </c>
      <c r="B438" s="15" t="s">
        <v>24</v>
      </c>
      <c r="C438" s="17">
        <v>1729.0</v>
      </c>
      <c r="D438" s="17" t="s">
        <v>46</v>
      </c>
      <c r="E438" s="17" t="s">
        <v>1151</v>
      </c>
      <c r="F438" s="14"/>
      <c r="G438" s="25" t="s">
        <v>493</v>
      </c>
      <c r="H438" s="25" t="s">
        <v>37</v>
      </c>
      <c r="I438" s="32">
        <v>46149.0</v>
      </c>
      <c r="J438" s="15">
        <v>0.0</v>
      </c>
      <c r="K438" s="25" t="s">
        <v>57</v>
      </c>
      <c r="L438" s="28">
        <v>5500.0</v>
      </c>
      <c r="M438" s="28">
        <v>0.0</v>
      </c>
      <c r="N438" s="28">
        <v>0.0</v>
      </c>
      <c r="O438" s="28">
        <v>0.0</v>
      </c>
      <c r="P438" s="28">
        <v>0.0</v>
      </c>
      <c r="Q438" s="33"/>
      <c r="R438" s="11"/>
    </row>
    <row r="439" ht="15.75" customHeight="1">
      <c r="A439" s="13">
        <f t="shared" si="1"/>
        <v>438</v>
      </c>
      <c r="B439" s="15" t="s">
        <v>24</v>
      </c>
      <c r="C439" s="17">
        <v>1729.0</v>
      </c>
      <c r="D439" s="202" t="s">
        <v>1153</v>
      </c>
      <c r="E439" s="17" t="s">
        <v>1154</v>
      </c>
      <c r="F439" s="56" t="s">
        <v>766</v>
      </c>
      <c r="G439" s="99" t="s">
        <v>767</v>
      </c>
      <c r="H439" s="99" t="s">
        <v>36</v>
      </c>
      <c r="I439" s="159">
        <v>46151.0</v>
      </c>
      <c r="J439" s="202">
        <v>1.0</v>
      </c>
      <c r="K439" s="99" t="s">
        <v>38</v>
      </c>
      <c r="L439" s="157">
        <v>100000.0</v>
      </c>
      <c r="M439" s="160">
        <v>0.0</v>
      </c>
      <c r="N439" s="160">
        <v>0.0</v>
      </c>
      <c r="O439" s="160">
        <v>0.0</v>
      </c>
      <c r="P439" s="160">
        <v>0.0</v>
      </c>
      <c r="Q439" s="33"/>
      <c r="R439" s="11"/>
    </row>
    <row r="440" ht="15.75" customHeight="1">
      <c r="A440" s="13">
        <f t="shared" si="1"/>
        <v>439</v>
      </c>
      <c r="B440" s="15" t="s">
        <v>24</v>
      </c>
      <c r="C440" s="17">
        <v>1729.0</v>
      </c>
      <c r="D440" s="17" t="s">
        <v>46</v>
      </c>
      <c r="E440" s="17" t="s">
        <v>1157</v>
      </c>
      <c r="F440" s="22" t="s">
        <v>208</v>
      </c>
      <c r="G440" s="23" t="s">
        <v>911</v>
      </c>
      <c r="H440" s="23" t="s">
        <v>37</v>
      </c>
      <c r="I440" s="32">
        <v>46151.0</v>
      </c>
      <c r="J440" s="17">
        <v>0.0</v>
      </c>
      <c r="K440" s="23" t="s">
        <v>57</v>
      </c>
      <c r="L440" s="28">
        <v>6000.0</v>
      </c>
      <c r="M440" s="28">
        <v>0.0</v>
      </c>
      <c r="N440" s="28">
        <v>0.0</v>
      </c>
      <c r="O440" s="76">
        <v>0.0</v>
      </c>
      <c r="P440" s="77">
        <v>0.0</v>
      </c>
      <c r="Q440" s="33"/>
      <c r="R440" s="11"/>
    </row>
    <row r="441" ht="15.75" customHeight="1">
      <c r="A441" s="13">
        <f t="shared" si="1"/>
        <v>440</v>
      </c>
      <c r="B441" s="15" t="s">
        <v>24</v>
      </c>
      <c r="C441" s="17">
        <v>1729.0</v>
      </c>
      <c r="D441" s="17" t="s">
        <v>46</v>
      </c>
      <c r="E441" s="17" t="s">
        <v>1160</v>
      </c>
      <c r="F441" s="14" t="s">
        <v>487</v>
      </c>
      <c r="G441" s="25" t="s">
        <v>488</v>
      </c>
      <c r="H441" s="25" t="s">
        <v>36</v>
      </c>
      <c r="I441" s="32">
        <v>46151.0</v>
      </c>
      <c r="J441" s="15">
        <v>0.0</v>
      </c>
      <c r="K441" s="25" t="s">
        <v>57</v>
      </c>
      <c r="L441" s="28">
        <v>10000.0</v>
      </c>
      <c r="M441" s="28">
        <v>0.0</v>
      </c>
      <c r="N441" s="28">
        <v>0.0</v>
      </c>
      <c r="O441" s="76">
        <v>0.0</v>
      </c>
      <c r="P441" s="77">
        <v>0.0</v>
      </c>
      <c r="Q441" s="33"/>
      <c r="R441" s="11"/>
    </row>
    <row r="442" ht="15.75" customHeight="1">
      <c r="A442" s="13">
        <f t="shared" si="1"/>
        <v>441</v>
      </c>
      <c r="B442" s="15" t="s">
        <v>24</v>
      </c>
      <c r="C442" s="17">
        <v>1729.0</v>
      </c>
      <c r="D442" s="15"/>
      <c r="E442" s="17" t="s">
        <v>1162</v>
      </c>
      <c r="F442" s="22" t="s">
        <v>49</v>
      </c>
      <c r="G442" s="23" t="s">
        <v>967</v>
      </c>
      <c r="H442" s="23" t="s">
        <v>55</v>
      </c>
      <c r="I442" s="32">
        <v>46152.0</v>
      </c>
      <c r="J442" s="17">
        <v>0.0</v>
      </c>
      <c r="K442" s="23" t="s">
        <v>38</v>
      </c>
      <c r="L442" s="28">
        <v>100000.0</v>
      </c>
      <c r="M442" s="28">
        <v>0.0</v>
      </c>
      <c r="N442" s="28">
        <v>0.0</v>
      </c>
      <c r="O442" s="76">
        <v>0.0</v>
      </c>
      <c r="P442" s="77">
        <v>0.0</v>
      </c>
      <c r="Q442" s="33"/>
      <c r="R442" s="11"/>
    </row>
    <row r="443" ht="15.75" customHeight="1">
      <c r="A443" s="13">
        <f t="shared" si="1"/>
        <v>442</v>
      </c>
      <c r="B443" s="15" t="s">
        <v>24</v>
      </c>
      <c r="C443" s="17">
        <v>1729.0</v>
      </c>
      <c r="D443" s="17" t="s">
        <v>46</v>
      </c>
      <c r="E443" s="17" t="s">
        <v>1166</v>
      </c>
      <c r="F443" s="91" t="s">
        <v>272</v>
      </c>
      <c r="G443" s="23" t="s">
        <v>318</v>
      </c>
      <c r="H443" s="25" t="s">
        <v>36</v>
      </c>
      <c r="I443" s="32">
        <v>46153.0</v>
      </c>
      <c r="J443" s="17">
        <v>0.0</v>
      </c>
      <c r="K443" s="23" t="s">
        <v>57</v>
      </c>
      <c r="L443" s="28">
        <v>5000.0</v>
      </c>
      <c r="M443" s="28">
        <v>0.0</v>
      </c>
      <c r="N443" s="28">
        <v>0.0</v>
      </c>
      <c r="O443" s="76">
        <v>0.0</v>
      </c>
      <c r="P443" s="77">
        <v>0.0</v>
      </c>
      <c r="Q443" s="33"/>
      <c r="R443" s="11"/>
    </row>
    <row r="444" ht="15.75" customHeight="1">
      <c r="A444" s="13">
        <f t="shared" si="1"/>
        <v>443</v>
      </c>
      <c r="B444" s="15" t="s">
        <v>24</v>
      </c>
      <c r="C444" s="17">
        <v>1729.0</v>
      </c>
      <c r="D444" s="17" t="s">
        <v>46</v>
      </c>
      <c r="E444" s="17" t="s">
        <v>1169</v>
      </c>
      <c r="F444" s="14" t="s">
        <v>293</v>
      </c>
      <c r="G444" s="25" t="s">
        <v>294</v>
      </c>
      <c r="H444" s="25" t="s">
        <v>37</v>
      </c>
      <c r="I444" s="32">
        <v>46154.0</v>
      </c>
      <c r="J444" s="17">
        <v>0.0</v>
      </c>
      <c r="K444" s="23" t="s">
        <v>57</v>
      </c>
      <c r="L444" s="28">
        <v>3100.0</v>
      </c>
      <c r="M444" s="28">
        <v>0.0</v>
      </c>
      <c r="N444" s="28">
        <v>0.0</v>
      </c>
      <c r="O444" s="76">
        <v>0.0</v>
      </c>
      <c r="P444" s="77">
        <v>0.0</v>
      </c>
      <c r="Q444" s="33"/>
      <c r="R444" s="11"/>
    </row>
    <row r="445" ht="15.75" customHeight="1">
      <c r="A445" s="13">
        <f t="shared" si="1"/>
        <v>444</v>
      </c>
      <c r="B445" s="15" t="s">
        <v>24</v>
      </c>
      <c r="C445" s="17">
        <v>1729.0</v>
      </c>
      <c r="D445" s="15"/>
      <c r="E445" s="17" t="s">
        <v>1171</v>
      </c>
      <c r="F445" s="21" t="s">
        <v>71</v>
      </c>
      <c r="G445" s="21" t="s">
        <v>114</v>
      </c>
      <c r="H445" s="23" t="s">
        <v>37</v>
      </c>
      <c r="I445" s="32">
        <v>46155.0</v>
      </c>
      <c r="J445" s="17">
        <v>0.0</v>
      </c>
      <c r="K445" s="23" t="s">
        <v>38</v>
      </c>
      <c r="L445" s="28">
        <v>20000.0</v>
      </c>
      <c r="M445" s="28">
        <v>0.0</v>
      </c>
      <c r="N445" s="28">
        <v>0.0</v>
      </c>
      <c r="O445" s="76">
        <v>0.0</v>
      </c>
      <c r="P445" s="77">
        <v>0.0</v>
      </c>
      <c r="Q445" s="33"/>
      <c r="R445" s="11"/>
    </row>
    <row r="446" ht="15.75" customHeight="1">
      <c r="A446" s="13">
        <f t="shared" si="1"/>
        <v>445</v>
      </c>
      <c r="B446" s="15" t="s">
        <v>24</v>
      </c>
      <c r="C446" s="17">
        <v>1729.0</v>
      </c>
      <c r="D446" s="17" t="s">
        <v>46</v>
      </c>
      <c r="E446" s="17" t="s">
        <v>1173</v>
      </c>
      <c r="F446" s="21" t="s">
        <v>71</v>
      </c>
      <c r="G446" s="21" t="s">
        <v>114</v>
      </c>
      <c r="H446" s="25" t="s">
        <v>36</v>
      </c>
      <c r="I446" s="32">
        <v>46155.0</v>
      </c>
      <c r="J446" s="17">
        <v>0.0</v>
      </c>
      <c r="K446" s="23" t="s">
        <v>57</v>
      </c>
      <c r="L446" s="28">
        <v>4000.0</v>
      </c>
      <c r="M446" s="28">
        <v>0.0</v>
      </c>
      <c r="N446" s="28">
        <v>0.0</v>
      </c>
      <c r="O446" s="76">
        <v>0.0</v>
      </c>
      <c r="P446" s="77">
        <v>0.0</v>
      </c>
      <c r="Q446" s="33"/>
      <c r="R446" s="11"/>
    </row>
    <row r="447" ht="15.75" customHeight="1">
      <c r="A447" s="13">
        <f t="shared" si="1"/>
        <v>446</v>
      </c>
      <c r="B447" s="15" t="s">
        <v>24</v>
      </c>
      <c r="C447" s="17">
        <v>1729.0</v>
      </c>
      <c r="D447" s="17" t="s">
        <v>46</v>
      </c>
      <c r="E447" s="17" t="s">
        <v>1175</v>
      </c>
      <c r="F447" s="21" t="s">
        <v>71</v>
      </c>
      <c r="G447" s="21" t="s">
        <v>114</v>
      </c>
      <c r="H447" s="25" t="s">
        <v>36</v>
      </c>
      <c r="I447" s="32">
        <v>46155.0</v>
      </c>
      <c r="J447" s="17">
        <v>0.0</v>
      </c>
      <c r="K447" s="23" t="s">
        <v>57</v>
      </c>
      <c r="L447" s="28">
        <v>4000.0</v>
      </c>
      <c r="M447" s="28">
        <v>0.0</v>
      </c>
      <c r="N447" s="28">
        <v>0.0</v>
      </c>
      <c r="O447" s="76">
        <v>0.0</v>
      </c>
      <c r="P447" s="77">
        <v>0.0</v>
      </c>
      <c r="Q447" s="33"/>
      <c r="R447" s="11"/>
    </row>
    <row r="448" ht="15.75" customHeight="1">
      <c r="A448" s="13">
        <f t="shared" si="1"/>
        <v>447</v>
      </c>
      <c r="B448" s="15" t="s">
        <v>24</v>
      </c>
      <c r="C448" s="17">
        <v>1729.0</v>
      </c>
      <c r="D448" s="15"/>
      <c r="E448" s="17" t="s">
        <v>1177</v>
      </c>
      <c r="F448" s="22" t="s">
        <v>1012</v>
      </c>
      <c r="G448" s="23" t="s">
        <v>1178</v>
      </c>
      <c r="H448" s="25" t="s">
        <v>36</v>
      </c>
      <c r="I448" s="32">
        <v>46156.0</v>
      </c>
      <c r="J448" s="17">
        <v>0.0</v>
      </c>
      <c r="K448" s="23" t="s">
        <v>38</v>
      </c>
      <c r="L448" s="28">
        <v>100000.0</v>
      </c>
      <c r="M448" s="28">
        <v>0.0</v>
      </c>
      <c r="N448" s="28">
        <v>0.0</v>
      </c>
      <c r="O448" s="76">
        <v>0.0</v>
      </c>
      <c r="P448" s="77">
        <v>0.0</v>
      </c>
      <c r="Q448" s="33"/>
      <c r="R448" s="11"/>
    </row>
    <row r="449" ht="15.75" customHeight="1">
      <c r="A449" s="13">
        <f t="shared" si="1"/>
        <v>448</v>
      </c>
      <c r="B449" s="15" t="s">
        <v>24</v>
      </c>
      <c r="C449" s="17">
        <v>1729.0</v>
      </c>
      <c r="D449" s="17" t="s">
        <v>46</v>
      </c>
      <c r="E449" s="17" t="s">
        <v>1180</v>
      </c>
      <c r="F449" s="65" t="s">
        <v>487</v>
      </c>
      <c r="G449" s="65" t="s">
        <v>554</v>
      </c>
      <c r="H449" s="25" t="s">
        <v>36</v>
      </c>
      <c r="I449" s="32">
        <v>46156.0</v>
      </c>
      <c r="J449" s="17">
        <v>0.0</v>
      </c>
      <c r="K449" s="23" t="s">
        <v>57</v>
      </c>
      <c r="L449" s="28">
        <v>24000.0</v>
      </c>
      <c r="M449" s="28">
        <v>0.0</v>
      </c>
      <c r="N449" s="28">
        <v>0.0</v>
      </c>
      <c r="O449" s="76">
        <v>0.0</v>
      </c>
      <c r="P449" s="77">
        <v>0.0</v>
      </c>
      <c r="Q449" s="33"/>
      <c r="R449" s="11"/>
    </row>
    <row r="450" ht="15.75" customHeight="1">
      <c r="A450" s="13">
        <f t="shared" si="1"/>
        <v>449</v>
      </c>
      <c r="B450" s="15" t="s">
        <v>24</v>
      </c>
      <c r="C450" s="17">
        <v>1729.0</v>
      </c>
      <c r="D450" s="17" t="s">
        <v>46</v>
      </c>
      <c r="E450" s="17" t="s">
        <v>1184</v>
      </c>
      <c r="F450" s="152" t="s">
        <v>44</v>
      </c>
      <c r="G450" s="152" t="s">
        <v>45</v>
      </c>
      <c r="H450" s="25" t="s">
        <v>36</v>
      </c>
      <c r="I450" s="73">
        <v>46156.0</v>
      </c>
      <c r="J450" s="194">
        <v>0.0</v>
      </c>
      <c r="K450" s="23" t="s">
        <v>57</v>
      </c>
      <c r="L450" s="28">
        <v>8000.0</v>
      </c>
      <c r="M450" s="28">
        <v>0.0</v>
      </c>
      <c r="N450" s="28">
        <v>0.0</v>
      </c>
      <c r="O450" s="76">
        <v>0.0</v>
      </c>
      <c r="P450" s="77">
        <v>0.0</v>
      </c>
      <c r="Q450" s="33"/>
      <c r="R450" s="11"/>
    </row>
    <row r="451" ht="15.75" customHeight="1">
      <c r="A451" s="13">
        <f t="shared" si="1"/>
        <v>450</v>
      </c>
      <c r="B451" s="15" t="s">
        <v>24</v>
      </c>
      <c r="C451" s="17">
        <v>1729.0</v>
      </c>
      <c r="D451" s="17" t="s">
        <v>46</v>
      </c>
      <c r="E451" s="17" t="s">
        <v>1187</v>
      </c>
      <c r="F451" s="152" t="s">
        <v>44</v>
      </c>
      <c r="G451" s="152" t="s">
        <v>45</v>
      </c>
      <c r="H451" s="25" t="s">
        <v>36</v>
      </c>
      <c r="I451" s="73">
        <v>46156.0</v>
      </c>
      <c r="J451" s="194">
        <v>0.0</v>
      </c>
      <c r="K451" s="23" t="s">
        <v>57</v>
      </c>
      <c r="L451" s="28">
        <v>10000.0</v>
      </c>
      <c r="M451" s="28">
        <v>0.0</v>
      </c>
      <c r="N451" s="28">
        <v>0.0</v>
      </c>
      <c r="O451" s="76">
        <v>0.0</v>
      </c>
      <c r="P451" s="77">
        <v>0.0</v>
      </c>
      <c r="Q451" s="33"/>
      <c r="R451" s="11"/>
    </row>
    <row r="452" ht="15.75" customHeight="1">
      <c r="A452" s="13">
        <f t="shared" si="1"/>
        <v>451</v>
      </c>
      <c r="B452" s="15" t="s">
        <v>24</v>
      </c>
      <c r="C452" s="17">
        <v>1762.0</v>
      </c>
      <c r="D452" s="17" t="s">
        <v>46</v>
      </c>
      <c r="E452" s="35" t="s">
        <v>1191</v>
      </c>
      <c r="F452" s="25" t="s">
        <v>184</v>
      </c>
      <c r="G452" s="25" t="s">
        <v>449</v>
      </c>
      <c r="H452" s="25" t="s">
        <v>37</v>
      </c>
      <c r="I452" s="30">
        <v>46156.0</v>
      </c>
      <c r="J452" s="17">
        <v>0.0</v>
      </c>
      <c r="K452" s="23" t="s">
        <v>57</v>
      </c>
      <c r="L452" s="28">
        <v>5000.0</v>
      </c>
      <c r="M452" s="28">
        <v>0.0</v>
      </c>
      <c r="N452" s="28">
        <v>0.0</v>
      </c>
      <c r="O452" s="76">
        <v>0.0</v>
      </c>
      <c r="P452" s="77">
        <v>0.0</v>
      </c>
      <c r="Q452" s="33"/>
      <c r="R452" s="11"/>
    </row>
    <row r="453" ht="15.75" customHeight="1">
      <c r="A453" s="13">
        <f t="shared" si="1"/>
        <v>452</v>
      </c>
      <c r="B453" s="15" t="s">
        <v>24</v>
      </c>
      <c r="C453" s="17">
        <v>1762.0</v>
      </c>
      <c r="D453" s="15"/>
      <c r="E453" s="17" t="s">
        <v>1192</v>
      </c>
      <c r="F453" s="220" t="s">
        <v>82</v>
      </c>
      <c r="G453" s="222" t="s">
        <v>1193</v>
      </c>
      <c r="H453" s="25"/>
      <c r="I453" s="30"/>
      <c r="J453" s="15"/>
      <c r="K453" s="25"/>
      <c r="L453" s="28">
        <v>0.0</v>
      </c>
      <c r="M453" s="28">
        <v>0.0</v>
      </c>
      <c r="N453" s="28">
        <v>0.0</v>
      </c>
      <c r="O453" s="76">
        <v>0.0</v>
      </c>
      <c r="P453" s="77">
        <v>0.0</v>
      </c>
      <c r="Q453" s="33"/>
      <c r="R453" s="11"/>
    </row>
    <row r="454" ht="15.75" customHeight="1">
      <c r="A454" s="13">
        <f t="shared" si="1"/>
        <v>453</v>
      </c>
      <c r="B454" s="15" t="s">
        <v>24</v>
      </c>
      <c r="C454" s="17">
        <v>1762.0</v>
      </c>
      <c r="D454" s="15"/>
      <c r="E454" s="17" t="s">
        <v>1195</v>
      </c>
      <c r="F454" s="65" t="s">
        <v>84</v>
      </c>
      <c r="G454" s="21" t="s">
        <v>270</v>
      </c>
      <c r="H454" s="25" t="s">
        <v>36</v>
      </c>
      <c r="I454" s="32">
        <v>46156.0</v>
      </c>
      <c r="J454" s="17">
        <v>0.0</v>
      </c>
      <c r="K454" s="23" t="s">
        <v>38</v>
      </c>
      <c r="L454" s="28">
        <v>12500.0</v>
      </c>
      <c r="M454" s="28">
        <v>0.0</v>
      </c>
      <c r="N454" s="28" t="s">
        <v>267</v>
      </c>
      <c r="O454" s="76">
        <v>0.0</v>
      </c>
      <c r="P454" s="77">
        <v>0.0</v>
      </c>
      <c r="Q454" s="33"/>
      <c r="R454" s="11"/>
    </row>
    <row r="455" ht="15.75" customHeight="1">
      <c r="A455" s="13">
        <f t="shared" si="1"/>
        <v>454</v>
      </c>
      <c r="B455" s="15" t="s">
        <v>24</v>
      </c>
      <c r="C455" s="17">
        <v>1762.0</v>
      </c>
      <c r="D455" s="15"/>
      <c r="E455" s="17" t="s">
        <v>1199</v>
      </c>
      <c r="F455" s="65" t="s">
        <v>84</v>
      </c>
      <c r="G455" s="65" t="s">
        <v>254</v>
      </c>
      <c r="H455" s="25" t="s">
        <v>36</v>
      </c>
      <c r="I455" s="32">
        <v>46156.0</v>
      </c>
      <c r="J455" s="17">
        <v>0.0</v>
      </c>
      <c r="K455" s="23" t="s">
        <v>38</v>
      </c>
      <c r="L455" s="28">
        <v>12500.0</v>
      </c>
      <c r="M455" s="28">
        <v>0.0</v>
      </c>
      <c r="N455" s="28">
        <v>0.0</v>
      </c>
      <c r="O455" s="76">
        <v>0.0</v>
      </c>
      <c r="P455" s="77">
        <v>0.0</v>
      </c>
      <c r="Q455" s="33"/>
      <c r="R455" s="11"/>
    </row>
    <row r="456" ht="15.75" customHeight="1">
      <c r="A456" s="13">
        <f t="shared" si="1"/>
        <v>455</v>
      </c>
      <c r="B456" s="15" t="s">
        <v>24</v>
      </c>
      <c r="C456" s="17">
        <v>1762.0</v>
      </c>
      <c r="D456" s="17"/>
      <c r="E456" s="17" t="s">
        <v>1202</v>
      </c>
      <c r="F456" s="23" t="s">
        <v>142</v>
      </c>
      <c r="G456" s="23" t="s">
        <v>452</v>
      </c>
      <c r="H456" s="25" t="s">
        <v>37</v>
      </c>
      <c r="I456" s="32">
        <v>46156.0</v>
      </c>
      <c r="J456" s="17">
        <v>2.0</v>
      </c>
      <c r="K456" s="23" t="s">
        <v>38</v>
      </c>
      <c r="L456" s="28">
        <v>15000.0</v>
      </c>
      <c r="M456" s="28">
        <v>0.0</v>
      </c>
      <c r="N456" s="28">
        <v>0.0</v>
      </c>
      <c r="O456" s="76">
        <v>0.0</v>
      </c>
      <c r="P456" s="77">
        <v>0.0</v>
      </c>
      <c r="Q456" s="33"/>
      <c r="R456" s="11"/>
    </row>
    <row r="457" ht="15.75" customHeight="1">
      <c r="A457" s="13">
        <f t="shared" si="1"/>
        <v>456</v>
      </c>
      <c r="B457" s="15" t="s">
        <v>24</v>
      </c>
      <c r="C457" s="17">
        <v>1762.0</v>
      </c>
      <c r="D457" s="17" t="s">
        <v>87</v>
      </c>
      <c r="E457" s="17" t="s">
        <v>1205</v>
      </c>
      <c r="F457" s="23" t="s">
        <v>377</v>
      </c>
      <c r="G457" s="23" t="s">
        <v>723</v>
      </c>
      <c r="H457" s="25" t="s">
        <v>37</v>
      </c>
      <c r="I457" s="32">
        <v>46156.0</v>
      </c>
      <c r="J457" s="17">
        <v>2.0</v>
      </c>
      <c r="K457" s="23" t="s">
        <v>38</v>
      </c>
      <c r="L457" s="28">
        <v>1000.0</v>
      </c>
      <c r="M457" s="28">
        <v>0.0</v>
      </c>
      <c r="N457" s="28">
        <v>0.0</v>
      </c>
      <c r="O457" s="76">
        <v>0.0</v>
      </c>
      <c r="P457" s="77">
        <v>0.0</v>
      </c>
      <c r="Q457" s="105"/>
      <c r="R457" s="11"/>
    </row>
    <row r="458" ht="15.75" customHeight="1">
      <c r="A458" s="13">
        <f t="shared" si="1"/>
        <v>457</v>
      </c>
      <c r="B458" s="15" t="s">
        <v>24</v>
      </c>
      <c r="C458" s="17">
        <v>1762.0</v>
      </c>
      <c r="D458" s="17" t="s">
        <v>46</v>
      </c>
      <c r="E458" s="17" t="s">
        <v>1208</v>
      </c>
      <c r="F458" s="21" t="s">
        <v>488</v>
      </c>
      <c r="G458" s="224" t="s">
        <v>697</v>
      </c>
      <c r="H458" s="25" t="s">
        <v>36</v>
      </c>
      <c r="I458" s="32">
        <v>46156.0</v>
      </c>
      <c r="J458" s="17">
        <v>0.0</v>
      </c>
      <c r="K458" s="23" t="s">
        <v>57</v>
      </c>
      <c r="L458" s="28">
        <v>10000.0</v>
      </c>
      <c r="M458" s="28">
        <v>0.0</v>
      </c>
      <c r="N458" s="28">
        <v>0.0</v>
      </c>
      <c r="O458" s="76">
        <v>0.0</v>
      </c>
      <c r="P458" s="77">
        <v>0.0</v>
      </c>
      <c r="Q458" s="105"/>
      <c r="R458" s="11"/>
    </row>
    <row r="459" ht="15.75" customHeight="1">
      <c r="A459" s="13">
        <f t="shared" si="1"/>
        <v>458</v>
      </c>
      <c r="B459" s="15" t="s">
        <v>24</v>
      </c>
      <c r="C459" s="17">
        <v>1762.0</v>
      </c>
      <c r="D459" s="15"/>
      <c r="E459" s="17" t="s">
        <v>1212</v>
      </c>
      <c r="F459" s="23" t="s">
        <v>91</v>
      </c>
      <c r="G459" s="23" t="s">
        <v>1213</v>
      </c>
      <c r="H459" s="25" t="s">
        <v>37</v>
      </c>
      <c r="I459" s="30">
        <v>46159.0</v>
      </c>
      <c r="J459" s="17">
        <v>1.0</v>
      </c>
      <c r="K459" s="23" t="s">
        <v>38</v>
      </c>
      <c r="L459" s="28">
        <v>0.0</v>
      </c>
      <c r="M459" s="28">
        <v>10000.0</v>
      </c>
      <c r="N459" s="28">
        <v>0.0</v>
      </c>
      <c r="O459" s="76">
        <v>0.0</v>
      </c>
      <c r="P459" s="77">
        <v>0.0</v>
      </c>
      <c r="Q459" s="105"/>
      <c r="R459" s="11"/>
    </row>
    <row r="460" ht="15.75" customHeight="1">
      <c r="A460" s="13">
        <f t="shared" si="1"/>
        <v>459</v>
      </c>
      <c r="B460" s="15" t="s">
        <v>24</v>
      </c>
      <c r="C460" s="17">
        <v>1762.0</v>
      </c>
      <c r="D460" s="15"/>
      <c r="E460" s="17" t="s">
        <v>1215</v>
      </c>
      <c r="F460" s="23" t="s">
        <v>91</v>
      </c>
      <c r="G460" s="23" t="s">
        <v>423</v>
      </c>
      <c r="H460" s="25" t="s">
        <v>36</v>
      </c>
      <c r="I460" s="30">
        <v>46159.0</v>
      </c>
      <c r="J460" s="17">
        <v>1.0</v>
      </c>
      <c r="K460" s="23" t="s">
        <v>38</v>
      </c>
      <c r="L460" s="28">
        <v>0.0</v>
      </c>
      <c r="M460" s="28">
        <v>100000.0</v>
      </c>
      <c r="N460" s="28">
        <v>0.0</v>
      </c>
      <c r="O460" s="76">
        <v>0.0</v>
      </c>
      <c r="P460" s="77">
        <v>0.0</v>
      </c>
      <c r="Q460" s="105"/>
      <c r="R460" s="11"/>
    </row>
    <row r="461" ht="15.75" customHeight="1">
      <c r="A461" s="13">
        <f t="shared" si="1"/>
        <v>460</v>
      </c>
      <c r="B461" s="15" t="s">
        <v>24</v>
      </c>
      <c r="C461" s="17">
        <v>1762.0</v>
      </c>
      <c r="D461" s="17" t="s">
        <v>46</v>
      </c>
      <c r="E461" s="17" t="s">
        <v>1217</v>
      </c>
      <c r="F461" s="22" t="s">
        <v>1012</v>
      </c>
      <c r="G461" s="23" t="s">
        <v>1218</v>
      </c>
      <c r="H461" s="25" t="s">
        <v>36</v>
      </c>
      <c r="I461" s="30">
        <v>46159.0</v>
      </c>
      <c r="J461" s="17">
        <v>0.0</v>
      </c>
      <c r="K461" s="23" t="s">
        <v>57</v>
      </c>
      <c r="L461" s="28">
        <v>9600.0</v>
      </c>
      <c r="M461" s="28">
        <v>0.0</v>
      </c>
      <c r="N461" s="28">
        <v>0.0</v>
      </c>
      <c r="O461" s="76">
        <v>0.0</v>
      </c>
      <c r="P461" s="77">
        <v>0.0</v>
      </c>
      <c r="Q461" s="105"/>
      <c r="R461" s="11"/>
    </row>
    <row r="462" ht="15.75" customHeight="1">
      <c r="A462" s="13">
        <f t="shared" si="1"/>
        <v>461</v>
      </c>
      <c r="B462" s="15" t="s">
        <v>24</v>
      </c>
      <c r="C462" s="17">
        <v>1762.0</v>
      </c>
      <c r="D462" s="15"/>
      <c r="E462" s="17" t="s">
        <v>1220</v>
      </c>
      <c r="F462" s="23" t="s">
        <v>223</v>
      </c>
      <c r="G462" s="23" t="s">
        <v>392</v>
      </c>
      <c r="H462" s="25" t="s">
        <v>37</v>
      </c>
      <c r="I462" s="30">
        <v>46159.0</v>
      </c>
      <c r="J462" s="17">
        <v>1.0</v>
      </c>
      <c r="K462" s="23" t="s">
        <v>38</v>
      </c>
      <c r="L462" s="28">
        <v>100000.0</v>
      </c>
      <c r="M462" s="28">
        <v>0.0</v>
      </c>
      <c r="N462" s="28">
        <v>0.0</v>
      </c>
      <c r="O462" s="76">
        <v>0.0</v>
      </c>
      <c r="P462" s="77">
        <v>0.0</v>
      </c>
      <c r="Q462" s="105"/>
      <c r="R462" s="11"/>
    </row>
    <row r="463" ht="15.75" customHeight="1">
      <c r="A463" s="13">
        <f t="shared" si="1"/>
        <v>462</v>
      </c>
      <c r="B463" s="15" t="s">
        <v>24</v>
      </c>
      <c r="C463" s="17">
        <v>1762.0</v>
      </c>
      <c r="D463" s="15"/>
      <c r="E463" s="17" t="s">
        <v>1221</v>
      </c>
      <c r="F463" s="65" t="s">
        <v>40</v>
      </c>
      <c r="G463" s="65" t="s">
        <v>41</v>
      </c>
      <c r="H463" s="25" t="s">
        <v>36</v>
      </c>
      <c r="I463" s="30">
        <v>46160.0</v>
      </c>
      <c r="J463" s="17">
        <v>0.0</v>
      </c>
      <c r="K463" s="23" t="s">
        <v>38</v>
      </c>
      <c r="L463" s="28">
        <v>40000.0</v>
      </c>
      <c r="M463" s="28">
        <v>0.0</v>
      </c>
      <c r="N463" s="28">
        <v>0.0</v>
      </c>
      <c r="O463" s="76">
        <v>0.0</v>
      </c>
      <c r="P463" s="77">
        <v>0.0</v>
      </c>
      <c r="Q463" s="105"/>
      <c r="R463" s="11"/>
    </row>
    <row r="464" ht="15.75" customHeight="1">
      <c r="A464" s="13">
        <f t="shared" si="1"/>
        <v>463</v>
      </c>
      <c r="B464" s="15" t="s">
        <v>24</v>
      </c>
      <c r="C464" s="17">
        <v>1762.0</v>
      </c>
      <c r="D464" s="15"/>
      <c r="E464" s="17" t="s">
        <v>1223</v>
      </c>
      <c r="F464" s="23" t="s">
        <v>223</v>
      </c>
      <c r="G464" s="23" t="s">
        <v>1224</v>
      </c>
      <c r="H464" s="25" t="s">
        <v>36</v>
      </c>
      <c r="I464" s="30">
        <v>46160.0</v>
      </c>
      <c r="J464" s="17">
        <v>1.0</v>
      </c>
      <c r="K464" s="23" t="s">
        <v>38</v>
      </c>
      <c r="L464" s="28">
        <v>0.0</v>
      </c>
      <c r="M464" s="28">
        <v>10000.0</v>
      </c>
      <c r="N464" s="28">
        <v>0.0</v>
      </c>
      <c r="O464" s="76">
        <v>0.0</v>
      </c>
      <c r="P464" s="77">
        <v>0.0</v>
      </c>
      <c r="Q464" s="33"/>
      <c r="R464" s="11"/>
    </row>
    <row r="465" ht="15.75" customHeight="1">
      <c r="A465" s="13">
        <f t="shared" si="1"/>
        <v>464</v>
      </c>
      <c r="B465" s="15" t="s">
        <v>24</v>
      </c>
      <c r="C465" s="17">
        <v>1762.0</v>
      </c>
      <c r="D465" s="15"/>
      <c r="E465" s="17" t="s">
        <v>1225</v>
      </c>
      <c r="F465" s="65" t="s">
        <v>71</v>
      </c>
      <c r="G465" s="69" t="s">
        <v>915</v>
      </c>
      <c r="H465" s="25" t="s">
        <v>37</v>
      </c>
      <c r="I465" s="32">
        <v>46158.0</v>
      </c>
      <c r="J465" s="17">
        <v>0.0</v>
      </c>
      <c r="K465" s="23" t="s">
        <v>38</v>
      </c>
      <c r="L465" s="28">
        <v>40000.0</v>
      </c>
      <c r="M465" s="28">
        <v>0.0</v>
      </c>
      <c r="N465" s="28">
        <v>0.0</v>
      </c>
      <c r="O465" s="76">
        <v>0.0</v>
      </c>
      <c r="P465" s="77">
        <v>0.0</v>
      </c>
      <c r="Q465" s="105"/>
      <c r="R465" s="11"/>
    </row>
    <row r="466" ht="15.75" customHeight="1">
      <c r="A466" s="13">
        <f t="shared" si="1"/>
        <v>465</v>
      </c>
      <c r="B466" s="15" t="s">
        <v>24</v>
      </c>
      <c r="C466" s="17">
        <v>1762.0</v>
      </c>
      <c r="D466" s="17" t="s">
        <v>46</v>
      </c>
      <c r="E466" s="17" t="s">
        <v>1226</v>
      </c>
      <c r="F466" s="23" t="s">
        <v>60</v>
      </c>
      <c r="G466" s="23" t="s">
        <v>161</v>
      </c>
      <c r="H466" s="25" t="s">
        <v>36</v>
      </c>
      <c r="I466" s="30">
        <v>46160.0</v>
      </c>
      <c r="J466" s="17">
        <v>0.0</v>
      </c>
      <c r="K466" s="23" t="s">
        <v>57</v>
      </c>
      <c r="L466" s="28">
        <v>7300.0</v>
      </c>
      <c r="M466" s="28">
        <v>0.0</v>
      </c>
      <c r="N466" s="28">
        <v>0.0</v>
      </c>
      <c r="O466" s="76">
        <v>0.0</v>
      </c>
      <c r="P466" s="77">
        <v>0.0</v>
      </c>
      <c r="Q466" s="105"/>
      <c r="R466" s="11"/>
    </row>
    <row r="467" ht="15.75" customHeight="1">
      <c r="A467" s="13">
        <f t="shared" si="1"/>
        <v>466</v>
      </c>
      <c r="B467" s="15" t="s">
        <v>24</v>
      </c>
      <c r="C467" s="17">
        <v>1762.0</v>
      </c>
      <c r="D467" s="17" t="s">
        <v>87</v>
      </c>
      <c r="E467" s="17" t="s">
        <v>1228</v>
      </c>
      <c r="F467" s="23" t="s">
        <v>91</v>
      </c>
      <c r="G467" s="23" t="s">
        <v>134</v>
      </c>
      <c r="H467" s="25" t="s">
        <v>36</v>
      </c>
      <c r="I467" s="30">
        <v>46161.0</v>
      </c>
      <c r="J467" s="17">
        <v>1.0</v>
      </c>
      <c r="K467" s="23" t="s">
        <v>38</v>
      </c>
      <c r="L467" s="28">
        <v>0.0</v>
      </c>
      <c r="M467" s="28">
        <v>50000.0</v>
      </c>
      <c r="N467" s="28">
        <v>0.0</v>
      </c>
      <c r="O467" s="76">
        <v>0.0</v>
      </c>
      <c r="P467" s="77">
        <v>0.0</v>
      </c>
      <c r="Q467" s="105"/>
      <c r="R467" s="11"/>
    </row>
    <row r="468" ht="15.75" customHeight="1">
      <c r="A468" s="13">
        <f t="shared" si="1"/>
        <v>467</v>
      </c>
      <c r="B468" s="15" t="s">
        <v>24</v>
      </c>
      <c r="C468" s="17">
        <v>1762.0</v>
      </c>
      <c r="D468" s="17" t="s">
        <v>46</v>
      </c>
      <c r="E468" s="17" t="s">
        <v>1230</v>
      </c>
      <c r="F468" s="65" t="s">
        <v>84</v>
      </c>
      <c r="G468" s="67" t="s">
        <v>324</v>
      </c>
      <c r="H468" s="25" t="s">
        <v>36</v>
      </c>
      <c r="I468" s="30">
        <v>46161.0</v>
      </c>
      <c r="J468" s="17">
        <v>0.0</v>
      </c>
      <c r="K468" s="23" t="s">
        <v>57</v>
      </c>
      <c r="L468" s="28">
        <v>60000.0</v>
      </c>
      <c r="M468" s="28">
        <v>0.0</v>
      </c>
      <c r="N468" s="28">
        <v>0.0</v>
      </c>
      <c r="O468" s="76">
        <v>0.0</v>
      </c>
      <c r="P468" s="77">
        <v>0.0</v>
      </c>
      <c r="Q468" s="33"/>
      <c r="R468" s="11"/>
    </row>
    <row r="469" ht="15.75" customHeight="1">
      <c r="A469" s="13">
        <f t="shared" si="1"/>
        <v>468</v>
      </c>
      <c r="B469" s="15" t="s">
        <v>24</v>
      </c>
      <c r="C469" s="17">
        <v>1762.0</v>
      </c>
      <c r="D469" s="15"/>
      <c r="E469" s="17" t="s">
        <v>1233</v>
      </c>
      <c r="F469" s="23" t="s">
        <v>487</v>
      </c>
      <c r="G469" s="78" t="s">
        <v>950</v>
      </c>
      <c r="H469" s="25" t="s">
        <v>37</v>
      </c>
      <c r="I469" s="30">
        <v>46162.0</v>
      </c>
      <c r="J469" s="17">
        <v>0.0</v>
      </c>
      <c r="K469" s="23" t="s">
        <v>38</v>
      </c>
      <c r="L469" s="28">
        <v>0.0</v>
      </c>
      <c r="M469" s="28">
        <v>100000.0</v>
      </c>
      <c r="N469" s="28">
        <v>0.0</v>
      </c>
      <c r="O469" s="76">
        <v>0.0</v>
      </c>
      <c r="P469" s="77">
        <v>0.0</v>
      </c>
      <c r="Q469" s="33"/>
      <c r="R469" s="11"/>
    </row>
    <row r="470" ht="15.75" customHeight="1">
      <c r="A470" s="13">
        <f t="shared" si="1"/>
        <v>469</v>
      </c>
      <c r="B470" s="15" t="s">
        <v>24</v>
      </c>
      <c r="C470" s="17">
        <v>1762.0</v>
      </c>
      <c r="D470" s="17" t="s">
        <v>87</v>
      </c>
      <c r="E470" s="17" t="s">
        <v>1235</v>
      </c>
      <c r="F470" s="23" t="s">
        <v>377</v>
      </c>
      <c r="G470" s="23" t="s">
        <v>723</v>
      </c>
      <c r="H470" s="25" t="s">
        <v>37</v>
      </c>
      <c r="I470" s="30">
        <v>46163.0</v>
      </c>
      <c r="J470" s="17">
        <v>0.0</v>
      </c>
      <c r="K470" s="23" t="s">
        <v>38</v>
      </c>
      <c r="L470" s="28">
        <v>5000.0</v>
      </c>
      <c r="M470" s="28">
        <v>0.0</v>
      </c>
      <c r="N470" s="28">
        <v>0.0</v>
      </c>
      <c r="O470" s="76">
        <v>0.0</v>
      </c>
      <c r="P470" s="77">
        <v>0.0</v>
      </c>
      <c r="Q470" s="33"/>
      <c r="R470" s="11"/>
    </row>
    <row r="471" ht="15.75" customHeight="1">
      <c r="A471" s="13">
        <f t="shared" si="1"/>
        <v>470</v>
      </c>
      <c r="B471" s="15" t="s">
        <v>24</v>
      </c>
      <c r="C471" s="17">
        <v>1762.0</v>
      </c>
      <c r="D471" s="15"/>
      <c r="E471" s="17" t="s">
        <v>1236</v>
      </c>
      <c r="F471" s="23" t="s">
        <v>977</v>
      </c>
      <c r="G471" s="23" t="s">
        <v>1237</v>
      </c>
      <c r="H471" s="25" t="s">
        <v>37</v>
      </c>
      <c r="I471" s="30">
        <v>46163.0</v>
      </c>
      <c r="J471" s="17">
        <v>1.0</v>
      </c>
      <c r="K471" s="23" t="s">
        <v>38</v>
      </c>
      <c r="L471" s="28">
        <v>1000.0</v>
      </c>
      <c r="M471" s="28">
        <v>0.0</v>
      </c>
      <c r="N471" s="28">
        <v>0.0</v>
      </c>
      <c r="O471" s="76">
        <v>0.0</v>
      </c>
      <c r="P471" s="77">
        <v>0.0</v>
      </c>
      <c r="Q471" s="33"/>
      <c r="R471" s="11"/>
    </row>
    <row r="472" ht="15.75" customHeight="1">
      <c r="A472" s="13">
        <f t="shared" si="1"/>
        <v>471</v>
      </c>
      <c r="B472" s="15" t="s">
        <v>24</v>
      </c>
      <c r="C472" s="17">
        <v>1762.0</v>
      </c>
      <c r="D472" s="15"/>
      <c r="E472" s="17" t="s">
        <v>1240</v>
      </c>
      <c r="F472" s="23" t="s">
        <v>377</v>
      </c>
      <c r="G472" s="23" t="s">
        <v>1241</v>
      </c>
      <c r="H472" s="25" t="s">
        <v>36</v>
      </c>
      <c r="I472" s="30">
        <v>46163.0</v>
      </c>
      <c r="J472" s="17">
        <v>2.0</v>
      </c>
      <c r="K472" s="23" t="s">
        <v>38</v>
      </c>
      <c r="L472" s="28">
        <v>50000.0</v>
      </c>
      <c r="M472" s="28">
        <v>0.0</v>
      </c>
      <c r="N472" s="28">
        <v>0.0</v>
      </c>
      <c r="O472" s="28">
        <v>0.0</v>
      </c>
      <c r="P472" s="28">
        <v>0.0</v>
      </c>
      <c r="Q472" s="33"/>
      <c r="R472" s="11"/>
    </row>
    <row r="473" ht="15.75" customHeight="1">
      <c r="A473" s="13">
        <f t="shared" si="1"/>
        <v>472</v>
      </c>
      <c r="B473" s="15" t="s">
        <v>24</v>
      </c>
      <c r="C473" s="17">
        <v>1762.0</v>
      </c>
      <c r="D473" s="17" t="s">
        <v>46</v>
      </c>
      <c r="E473" s="17" t="s">
        <v>1242</v>
      </c>
      <c r="F473" s="23" t="s">
        <v>191</v>
      </c>
      <c r="G473" s="23" t="s">
        <v>316</v>
      </c>
      <c r="H473" s="25" t="s">
        <v>36</v>
      </c>
      <c r="I473" s="30">
        <v>46163.0</v>
      </c>
      <c r="J473" s="17">
        <v>0.0</v>
      </c>
      <c r="K473" s="23" t="s">
        <v>57</v>
      </c>
      <c r="L473" s="28">
        <v>10000.0</v>
      </c>
      <c r="M473" s="28">
        <v>0.0</v>
      </c>
      <c r="N473" s="28">
        <v>0.0</v>
      </c>
      <c r="O473" s="28">
        <v>0.0</v>
      </c>
      <c r="P473" s="28">
        <v>0.0</v>
      </c>
      <c r="Q473" s="33"/>
      <c r="R473" s="11"/>
    </row>
    <row r="474" ht="15.75" customHeight="1">
      <c r="A474" s="13">
        <f t="shared" si="1"/>
        <v>473</v>
      </c>
      <c r="B474" s="15" t="s">
        <v>24</v>
      </c>
      <c r="C474" s="17">
        <v>1762.0</v>
      </c>
      <c r="D474" s="17" t="s">
        <v>46</v>
      </c>
      <c r="E474" s="17" t="s">
        <v>1245</v>
      </c>
      <c r="F474" s="22" t="s">
        <v>1012</v>
      </c>
      <c r="G474" s="23" t="s">
        <v>1246</v>
      </c>
      <c r="H474" s="25" t="s">
        <v>37</v>
      </c>
      <c r="I474" s="30">
        <v>46163.0</v>
      </c>
      <c r="J474" s="17">
        <v>0.0</v>
      </c>
      <c r="K474" s="23" t="s">
        <v>57</v>
      </c>
      <c r="L474" s="28">
        <v>5000.0</v>
      </c>
      <c r="M474" s="28">
        <v>0.0</v>
      </c>
      <c r="N474" s="28">
        <v>0.0</v>
      </c>
      <c r="O474" s="28">
        <v>0.0</v>
      </c>
      <c r="P474" s="28">
        <v>0.0</v>
      </c>
      <c r="Q474" s="33"/>
      <c r="R474" s="11"/>
    </row>
    <row r="475" ht="15.75" customHeight="1">
      <c r="A475" s="13">
        <f t="shared" si="1"/>
        <v>474</v>
      </c>
      <c r="B475" s="15" t="s">
        <v>24</v>
      </c>
      <c r="C475" s="17">
        <v>1762.0</v>
      </c>
      <c r="D475" s="17" t="s">
        <v>46</v>
      </c>
      <c r="E475" s="17" t="s">
        <v>1248</v>
      </c>
      <c r="F475" s="22" t="s">
        <v>1012</v>
      </c>
      <c r="G475" s="23" t="s">
        <v>1249</v>
      </c>
      <c r="H475" s="25" t="s">
        <v>36</v>
      </c>
      <c r="I475" s="30">
        <v>46163.0</v>
      </c>
      <c r="J475" s="17">
        <v>0.0</v>
      </c>
      <c r="K475" s="23" t="s">
        <v>57</v>
      </c>
      <c r="L475" s="28">
        <v>0.0</v>
      </c>
      <c r="M475" s="28">
        <v>24000.0</v>
      </c>
      <c r="N475" s="28">
        <v>0.0</v>
      </c>
      <c r="O475" s="28">
        <v>0.0</v>
      </c>
      <c r="P475" s="28">
        <v>0.0</v>
      </c>
      <c r="Q475" s="33"/>
      <c r="R475" s="11"/>
    </row>
    <row r="476" ht="15.75" customHeight="1">
      <c r="A476" s="13">
        <f t="shared" si="1"/>
        <v>475</v>
      </c>
      <c r="B476" s="15" t="s">
        <v>24</v>
      </c>
      <c r="C476" s="17">
        <v>1762.0</v>
      </c>
      <c r="D476" s="17" t="s">
        <v>46</v>
      </c>
      <c r="E476" s="17" t="s">
        <v>1251</v>
      </c>
      <c r="F476" s="22" t="s">
        <v>1012</v>
      </c>
      <c r="G476" s="23" t="s">
        <v>1252</v>
      </c>
      <c r="H476" s="25" t="s">
        <v>36</v>
      </c>
      <c r="I476" s="30">
        <v>46163.0</v>
      </c>
      <c r="J476" s="17">
        <v>0.0</v>
      </c>
      <c r="K476" s="23" t="s">
        <v>57</v>
      </c>
      <c r="L476" s="28">
        <v>0.0</v>
      </c>
      <c r="M476" s="28">
        <v>5000.0</v>
      </c>
      <c r="N476" s="28">
        <v>0.0</v>
      </c>
      <c r="O476" s="28">
        <v>0.0</v>
      </c>
      <c r="P476" s="28">
        <v>0.0</v>
      </c>
      <c r="Q476" s="33"/>
      <c r="R476" s="11"/>
    </row>
    <row r="477" ht="15.75" customHeight="1">
      <c r="A477" s="13">
        <f t="shared" si="1"/>
        <v>476</v>
      </c>
      <c r="B477" s="15" t="s">
        <v>24</v>
      </c>
      <c r="C477" s="17">
        <v>1762.0</v>
      </c>
      <c r="D477" s="17" t="s">
        <v>46</v>
      </c>
      <c r="E477" s="17" t="s">
        <v>1253</v>
      </c>
      <c r="F477" s="22" t="s">
        <v>1012</v>
      </c>
      <c r="G477" s="23" t="s">
        <v>1252</v>
      </c>
      <c r="H477" s="25" t="s">
        <v>36</v>
      </c>
      <c r="I477" s="30">
        <v>46163.0</v>
      </c>
      <c r="J477" s="17">
        <v>0.0</v>
      </c>
      <c r="K477" s="23" t="s">
        <v>57</v>
      </c>
      <c r="L477" s="28">
        <v>0.0</v>
      </c>
      <c r="M477" s="28">
        <v>4000.0</v>
      </c>
      <c r="N477" s="28">
        <v>0.0</v>
      </c>
      <c r="O477" s="28">
        <v>0.0</v>
      </c>
      <c r="P477" s="28">
        <v>0.0</v>
      </c>
      <c r="Q477" s="33"/>
      <c r="R477" s="11"/>
    </row>
    <row r="478" ht="15.75" customHeight="1">
      <c r="A478" s="13">
        <f t="shared" si="1"/>
        <v>477</v>
      </c>
      <c r="B478" s="15" t="s">
        <v>24</v>
      </c>
      <c r="C478" s="17">
        <v>1762.0</v>
      </c>
      <c r="D478" s="17" t="s">
        <v>58</v>
      </c>
      <c r="E478" s="17" t="s">
        <v>1255</v>
      </c>
      <c r="F478" s="23" t="s">
        <v>142</v>
      </c>
      <c r="G478" s="78" t="s">
        <v>1227</v>
      </c>
      <c r="H478" s="25" t="s">
        <v>37</v>
      </c>
      <c r="I478" s="30">
        <v>46163.0</v>
      </c>
      <c r="J478" s="17">
        <v>1.0</v>
      </c>
      <c r="K478" s="23" t="s">
        <v>38</v>
      </c>
      <c r="L478" s="28">
        <v>2000.0</v>
      </c>
      <c r="M478" s="28">
        <v>0.0</v>
      </c>
      <c r="N478" s="28">
        <v>0.0</v>
      </c>
      <c r="O478" s="28">
        <v>0.0</v>
      </c>
      <c r="P478" s="28">
        <v>0.0</v>
      </c>
      <c r="Q478" s="33"/>
      <c r="R478" s="11"/>
    </row>
    <row r="479" ht="15.75" customHeight="1">
      <c r="A479" s="13">
        <f t="shared" si="1"/>
        <v>478</v>
      </c>
      <c r="B479" s="15" t="s">
        <v>24</v>
      </c>
      <c r="C479" s="17">
        <v>1762.0</v>
      </c>
      <c r="D479" s="202" t="s">
        <v>1153</v>
      </c>
      <c r="E479" s="204" t="s">
        <v>1258</v>
      </c>
      <c r="F479" s="182" t="s">
        <v>1259</v>
      </c>
      <c r="G479" s="182" t="s">
        <v>1260</v>
      </c>
      <c r="H479" s="181" t="s">
        <v>37</v>
      </c>
      <c r="I479" s="227">
        <v>46163.0</v>
      </c>
      <c r="J479" s="204">
        <v>0.0</v>
      </c>
      <c r="K479" s="182" t="s">
        <v>38</v>
      </c>
      <c r="L479" s="205">
        <v>150000.0</v>
      </c>
      <c r="M479" s="205">
        <v>0.0</v>
      </c>
      <c r="N479" s="205">
        <v>0.0</v>
      </c>
      <c r="O479" s="205">
        <v>0.0</v>
      </c>
      <c r="P479" s="205">
        <v>0.0</v>
      </c>
      <c r="Q479" s="33"/>
      <c r="R479" s="11"/>
    </row>
    <row r="480" ht="15.75" customHeight="1">
      <c r="A480" s="13">
        <f t="shared" si="1"/>
        <v>479</v>
      </c>
      <c r="B480" s="15" t="s">
        <v>24</v>
      </c>
      <c r="C480" s="17">
        <v>1762.0</v>
      </c>
      <c r="D480" s="17" t="s">
        <v>46</v>
      </c>
      <c r="E480" s="17" t="s">
        <v>1262</v>
      </c>
      <c r="F480" s="23" t="s">
        <v>1259</v>
      </c>
      <c r="G480" s="23" t="s">
        <v>1260</v>
      </c>
      <c r="H480" s="25" t="s">
        <v>37</v>
      </c>
      <c r="I480" s="30">
        <v>46163.0</v>
      </c>
      <c r="J480" s="17">
        <v>0.0</v>
      </c>
      <c r="K480" s="23" t="s">
        <v>57</v>
      </c>
      <c r="L480" s="28">
        <v>13700.0</v>
      </c>
      <c r="M480" s="28">
        <v>0.0</v>
      </c>
      <c r="N480" s="28">
        <v>0.0</v>
      </c>
      <c r="O480" s="28">
        <v>0.0</v>
      </c>
      <c r="P480" s="28">
        <v>0.0</v>
      </c>
      <c r="Q480" s="33"/>
      <c r="R480" s="11"/>
    </row>
    <row r="481" ht="15.75" customHeight="1">
      <c r="A481" s="13">
        <f t="shared" si="1"/>
        <v>480</v>
      </c>
      <c r="B481" s="15" t="s">
        <v>24</v>
      </c>
      <c r="C481" s="17">
        <v>1762.0</v>
      </c>
      <c r="D481" s="15"/>
      <c r="E481" s="17" t="s">
        <v>1265</v>
      </c>
      <c r="F481" s="37" t="s">
        <v>184</v>
      </c>
      <c r="G481" s="37" t="s">
        <v>543</v>
      </c>
      <c r="H481" s="25" t="s">
        <v>36</v>
      </c>
      <c r="I481" s="30">
        <v>46163.0</v>
      </c>
      <c r="J481" s="17">
        <v>0.0</v>
      </c>
      <c r="K481" s="23" t="s">
        <v>38</v>
      </c>
      <c r="L481" s="28">
        <v>50000.0</v>
      </c>
      <c r="M481" s="28">
        <v>0.0</v>
      </c>
      <c r="N481" s="28">
        <v>0.0</v>
      </c>
      <c r="O481" s="28">
        <v>0.0</v>
      </c>
      <c r="P481" s="28">
        <v>0.0</v>
      </c>
      <c r="Q481" s="33"/>
      <c r="R481" s="11"/>
    </row>
    <row r="482" ht="15.75" customHeight="1">
      <c r="A482" s="13">
        <f t="shared" si="1"/>
        <v>481</v>
      </c>
      <c r="B482" s="15" t="s">
        <v>24</v>
      </c>
      <c r="C482" s="17">
        <v>1762.0</v>
      </c>
      <c r="D482" s="17" t="s">
        <v>46</v>
      </c>
      <c r="E482" s="17" t="s">
        <v>1269</v>
      </c>
      <c r="F482" s="65" t="s">
        <v>141</v>
      </c>
      <c r="G482" s="65" t="s">
        <v>143</v>
      </c>
      <c r="H482" s="25" t="s">
        <v>36</v>
      </c>
      <c r="I482" s="104">
        <v>46163.0</v>
      </c>
      <c r="J482" s="17">
        <v>0.0</v>
      </c>
      <c r="K482" s="23" t="s">
        <v>57</v>
      </c>
      <c r="L482" s="28">
        <v>5800.0</v>
      </c>
      <c r="M482" s="28">
        <v>0.0</v>
      </c>
      <c r="N482" s="28">
        <v>0.0</v>
      </c>
      <c r="O482" s="28">
        <v>0.0</v>
      </c>
      <c r="P482" s="28">
        <v>0.0</v>
      </c>
      <c r="Q482" s="33"/>
      <c r="R482" s="11"/>
    </row>
    <row r="483" ht="15.75" customHeight="1">
      <c r="A483" s="13">
        <f t="shared" si="1"/>
        <v>482</v>
      </c>
      <c r="B483" s="15" t="s">
        <v>24</v>
      </c>
      <c r="C483" s="17">
        <v>1762.0</v>
      </c>
      <c r="D483" s="15"/>
      <c r="E483" s="17" t="s">
        <v>1271</v>
      </c>
      <c r="F483" s="37" t="s">
        <v>84</v>
      </c>
      <c r="G483" s="23" t="s">
        <v>575</v>
      </c>
      <c r="H483" s="25" t="s">
        <v>36</v>
      </c>
      <c r="I483" s="30">
        <v>46163.0</v>
      </c>
      <c r="J483" s="17">
        <v>1.0</v>
      </c>
      <c r="K483" s="23" t="s">
        <v>38</v>
      </c>
      <c r="L483" s="28">
        <v>30000.0</v>
      </c>
      <c r="M483" s="28">
        <v>0.0</v>
      </c>
      <c r="N483" s="28">
        <v>0.0</v>
      </c>
      <c r="O483" s="28">
        <v>0.0</v>
      </c>
      <c r="P483" s="28">
        <v>0.0</v>
      </c>
      <c r="Q483" s="33"/>
      <c r="R483" s="11"/>
    </row>
    <row r="484" ht="15.75" customHeight="1">
      <c r="A484" s="13">
        <f t="shared" si="1"/>
        <v>483</v>
      </c>
      <c r="B484" s="15" t="s">
        <v>24</v>
      </c>
      <c r="C484" s="17">
        <v>1762.0</v>
      </c>
      <c r="D484" s="15"/>
      <c r="E484" s="17" t="s">
        <v>1273</v>
      </c>
      <c r="F484" s="80" t="s">
        <v>60</v>
      </c>
      <c r="G484" s="23" t="s">
        <v>209</v>
      </c>
      <c r="H484" s="25" t="s">
        <v>36</v>
      </c>
      <c r="I484" s="30">
        <v>46163.0</v>
      </c>
      <c r="J484" s="17">
        <v>1.0</v>
      </c>
      <c r="K484" s="23" t="s">
        <v>38</v>
      </c>
      <c r="L484" s="28">
        <v>5000.0</v>
      </c>
      <c r="M484" s="28">
        <v>0.0</v>
      </c>
      <c r="N484" s="28">
        <v>0.0</v>
      </c>
      <c r="O484" s="28">
        <v>0.0</v>
      </c>
      <c r="P484" s="28">
        <v>0.0</v>
      </c>
      <c r="Q484" s="33"/>
      <c r="R484" s="11"/>
    </row>
    <row r="485" ht="15.75" customHeight="1">
      <c r="A485" s="13">
        <f t="shared" si="1"/>
        <v>484</v>
      </c>
      <c r="B485" s="15" t="s">
        <v>24</v>
      </c>
      <c r="C485" s="17">
        <v>1762.0</v>
      </c>
      <c r="D485" s="15"/>
      <c r="E485" s="17" t="s">
        <v>1275</v>
      </c>
      <c r="F485" s="37" t="s">
        <v>84</v>
      </c>
      <c r="G485" s="23" t="s">
        <v>420</v>
      </c>
      <c r="H485" s="25" t="s">
        <v>37</v>
      </c>
      <c r="I485" s="32">
        <v>46163.0</v>
      </c>
      <c r="J485" s="17">
        <v>0.0</v>
      </c>
      <c r="K485" s="23" t="s">
        <v>38</v>
      </c>
      <c r="L485" s="28">
        <v>50000.0</v>
      </c>
      <c r="M485" s="28">
        <v>0.0</v>
      </c>
      <c r="N485" s="28">
        <v>0.0</v>
      </c>
      <c r="O485" s="28">
        <v>0.0</v>
      </c>
      <c r="P485" s="28">
        <v>0.0</v>
      </c>
      <c r="Q485" s="33"/>
      <c r="R485" s="11"/>
    </row>
    <row r="486" ht="15.75" customHeight="1">
      <c r="A486" s="13">
        <f t="shared" si="1"/>
        <v>485</v>
      </c>
      <c r="B486" s="15" t="s">
        <v>24</v>
      </c>
      <c r="C486" s="17">
        <v>1762.0</v>
      </c>
      <c r="D486" s="15"/>
      <c r="E486" s="17" t="s">
        <v>1276</v>
      </c>
      <c r="F486" s="23" t="s">
        <v>1016</v>
      </c>
      <c r="G486" s="23" t="s">
        <v>1279</v>
      </c>
      <c r="H486" s="25" t="s">
        <v>37</v>
      </c>
      <c r="I486" s="30">
        <v>46163.0</v>
      </c>
      <c r="J486" s="17">
        <v>1.0</v>
      </c>
      <c r="K486" s="23" t="s">
        <v>38</v>
      </c>
      <c r="L486" s="28">
        <v>3000.0</v>
      </c>
      <c r="M486" s="28">
        <v>0.0</v>
      </c>
      <c r="N486" s="28">
        <v>0.0</v>
      </c>
      <c r="O486" s="28">
        <v>0.0</v>
      </c>
      <c r="P486" s="28">
        <v>0.0</v>
      </c>
      <c r="Q486" s="33"/>
      <c r="R486" s="11"/>
    </row>
    <row r="487" ht="15.75" customHeight="1">
      <c r="A487" s="13">
        <f t="shared" si="1"/>
        <v>486</v>
      </c>
      <c r="B487" s="15" t="s">
        <v>24</v>
      </c>
      <c r="C487" s="17">
        <v>1762.0</v>
      </c>
      <c r="D487" s="15"/>
      <c r="E487" s="17" t="s">
        <v>1280</v>
      </c>
      <c r="F487" s="23" t="s">
        <v>1016</v>
      </c>
      <c r="G487" s="23" t="s">
        <v>1088</v>
      </c>
      <c r="H487" s="25" t="s">
        <v>37</v>
      </c>
      <c r="I487" s="30">
        <v>46163.0</v>
      </c>
      <c r="J487" s="17">
        <v>1.0</v>
      </c>
      <c r="K487" s="23" t="s">
        <v>38</v>
      </c>
      <c r="L487" s="28">
        <v>3000.0</v>
      </c>
      <c r="M487" s="28">
        <v>0.0</v>
      </c>
      <c r="N487" s="28">
        <v>0.0</v>
      </c>
      <c r="O487" s="28">
        <v>0.0</v>
      </c>
      <c r="P487" s="28">
        <v>0.0</v>
      </c>
      <c r="Q487" s="33"/>
      <c r="R487" s="11"/>
    </row>
    <row r="488" ht="15.75" customHeight="1">
      <c r="A488" s="13">
        <f t="shared" si="1"/>
        <v>487</v>
      </c>
      <c r="B488" s="15" t="s">
        <v>24</v>
      </c>
      <c r="C488" s="17">
        <v>1762.0</v>
      </c>
      <c r="D488" s="15"/>
      <c r="E488" s="17" t="s">
        <v>1284</v>
      </c>
      <c r="F488" s="80" t="s">
        <v>60</v>
      </c>
      <c r="G488" s="23" t="s">
        <v>209</v>
      </c>
      <c r="H488" s="25" t="s">
        <v>36</v>
      </c>
      <c r="I488" s="30">
        <v>46165.0</v>
      </c>
      <c r="J488" s="17">
        <v>0.0</v>
      </c>
      <c r="K488" s="23" t="s">
        <v>38</v>
      </c>
      <c r="L488" s="28">
        <v>50000.0</v>
      </c>
      <c r="M488" s="28">
        <v>0.0</v>
      </c>
      <c r="N488" s="28">
        <v>0.0</v>
      </c>
      <c r="O488" s="28">
        <v>0.0</v>
      </c>
      <c r="P488" s="28">
        <v>0.0</v>
      </c>
      <c r="Q488" s="33"/>
      <c r="R488" s="11"/>
    </row>
    <row r="489" ht="15.75" customHeight="1">
      <c r="A489" s="13">
        <f t="shared" si="1"/>
        <v>488</v>
      </c>
      <c r="B489" s="15" t="s">
        <v>24</v>
      </c>
      <c r="C489" s="17">
        <v>1762.0</v>
      </c>
      <c r="D489" s="17" t="s">
        <v>46</v>
      </c>
      <c r="E489" s="17" t="s">
        <v>1287</v>
      </c>
      <c r="F489" s="23" t="s">
        <v>356</v>
      </c>
      <c r="G489" s="23" t="s">
        <v>388</v>
      </c>
      <c r="H489" s="25" t="s">
        <v>36</v>
      </c>
      <c r="I489" s="30">
        <v>46165.0</v>
      </c>
      <c r="J489" s="17">
        <v>0.0</v>
      </c>
      <c r="K489" s="23" t="s">
        <v>57</v>
      </c>
      <c r="L489" s="28">
        <v>15000.0</v>
      </c>
      <c r="M489" s="28">
        <v>0.0</v>
      </c>
      <c r="N489" s="28">
        <v>0.0</v>
      </c>
      <c r="O489" s="28">
        <v>0.0</v>
      </c>
      <c r="P489" s="28">
        <v>0.0</v>
      </c>
      <c r="Q489" s="33"/>
      <c r="R489" s="11"/>
    </row>
    <row r="490" ht="15.75" customHeight="1">
      <c r="A490" s="13">
        <f t="shared" si="1"/>
        <v>489</v>
      </c>
      <c r="B490" s="15" t="s">
        <v>24</v>
      </c>
      <c r="C490" s="17">
        <v>1762.0</v>
      </c>
      <c r="D490" s="15"/>
      <c r="E490" s="17" t="s">
        <v>1289</v>
      </c>
      <c r="F490" s="37" t="s">
        <v>84</v>
      </c>
      <c r="G490" s="23" t="s">
        <v>575</v>
      </c>
      <c r="H490" s="25" t="s">
        <v>36</v>
      </c>
      <c r="I490" s="30">
        <v>46166.0</v>
      </c>
      <c r="J490" s="17">
        <v>0.0</v>
      </c>
      <c r="K490" s="23" t="s">
        <v>38</v>
      </c>
      <c r="L490" s="28">
        <v>70000.0</v>
      </c>
      <c r="M490" s="28">
        <v>0.0</v>
      </c>
      <c r="N490" s="28">
        <v>0.0</v>
      </c>
      <c r="O490" s="28">
        <v>0.0</v>
      </c>
      <c r="P490" s="28">
        <v>0.0</v>
      </c>
      <c r="Q490" s="33"/>
      <c r="R490" s="11"/>
    </row>
    <row r="491" ht="15.75" customHeight="1">
      <c r="A491" s="13">
        <f t="shared" si="1"/>
        <v>490</v>
      </c>
      <c r="B491" s="15" t="s">
        <v>24</v>
      </c>
      <c r="C491" s="17">
        <v>1762.0</v>
      </c>
      <c r="D491" s="15"/>
      <c r="E491" s="17" t="s">
        <v>1292</v>
      </c>
      <c r="F491" s="181" t="s">
        <v>82</v>
      </c>
      <c r="G491" s="201" t="s">
        <v>1050</v>
      </c>
      <c r="H491" s="25"/>
      <c r="I491" s="30"/>
      <c r="J491" s="17">
        <v>0.0</v>
      </c>
      <c r="K491" s="23">
        <v>0.0</v>
      </c>
      <c r="L491" s="28">
        <v>0.0</v>
      </c>
      <c r="M491" s="28">
        <v>0.0</v>
      </c>
      <c r="N491" s="28">
        <v>0.0</v>
      </c>
      <c r="O491" s="28">
        <v>0.0</v>
      </c>
      <c r="P491" s="28">
        <v>0.0</v>
      </c>
      <c r="Q491" s="33"/>
      <c r="R491" s="11"/>
    </row>
    <row r="492" ht="15.75" customHeight="1">
      <c r="A492" s="13">
        <f t="shared" si="1"/>
        <v>491</v>
      </c>
      <c r="B492" s="15" t="s">
        <v>24</v>
      </c>
      <c r="C492" s="17">
        <v>1762.0</v>
      </c>
      <c r="D492" s="17" t="s">
        <v>46</v>
      </c>
      <c r="E492" s="17" t="s">
        <v>1296</v>
      </c>
      <c r="F492" s="23" t="s">
        <v>40</v>
      </c>
      <c r="G492" s="23" t="s">
        <v>558</v>
      </c>
      <c r="H492" s="25" t="s">
        <v>36</v>
      </c>
      <c r="I492" s="30">
        <v>46166.0</v>
      </c>
      <c r="J492" s="17">
        <v>0.0</v>
      </c>
      <c r="K492" s="23" t="s">
        <v>57</v>
      </c>
      <c r="L492" s="28">
        <v>17500.0</v>
      </c>
      <c r="M492" s="28">
        <v>0.0</v>
      </c>
      <c r="N492" s="28">
        <v>0.0</v>
      </c>
      <c r="O492" s="28">
        <v>0.0</v>
      </c>
      <c r="P492" s="28">
        <v>0.0</v>
      </c>
      <c r="Q492" s="33"/>
      <c r="R492" s="11"/>
    </row>
    <row r="493" ht="15.75" customHeight="1">
      <c r="A493" s="13">
        <f t="shared" si="1"/>
        <v>492</v>
      </c>
      <c r="B493" s="15" t="s">
        <v>24</v>
      </c>
      <c r="C493" s="17">
        <v>1762.0</v>
      </c>
      <c r="D493" s="15"/>
      <c r="E493" s="17" t="s">
        <v>1299</v>
      </c>
      <c r="F493" s="23" t="s">
        <v>1300</v>
      </c>
      <c r="G493" s="78" t="s">
        <v>1301</v>
      </c>
      <c r="H493" s="25" t="s">
        <v>36</v>
      </c>
      <c r="I493" s="30">
        <v>46166.0</v>
      </c>
      <c r="J493" s="17">
        <v>10.0</v>
      </c>
      <c r="K493" s="23" t="s">
        <v>38</v>
      </c>
      <c r="L493" s="28">
        <v>0.0</v>
      </c>
      <c r="M493" s="28">
        <v>100000.0</v>
      </c>
      <c r="N493" s="28">
        <v>0.0</v>
      </c>
      <c r="O493" s="28">
        <v>0.0</v>
      </c>
      <c r="P493" s="28">
        <v>0.0</v>
      </c>
      <c r="Q493" s="33"/>
      <c r="R493" s="11"/>
    </row>
    <row r="494" ht="15.75" customHeight="1">
      <c r="A494" s="13">
        <f t="shared" si="1"/>
        <v>493</v>
      </c>
      <c r="B494" s="15" t="s">
        <v>24</v>
      </c>
      <c r="C494" s="17">
        <v>1762.0</v>
      </c>
      <c r="D494" s="15"/>
      <c r="E494" s="17" t="s">
        <v>1303</v>
      </c>
      <c r="F494" s="23" t="s">
        <v>40</v>
      </c>
      <c r="G494" s="37" t="s">
        <v>41</v>
      </c>
      <c r="H494" s="25" t="s">
        <v>36</v>
      </c>
      <c r="I494" s="30">
        <v>46166.0</v>
      </c>
      <c r="J494" s="17">
        <v>0.0</v>
      </c>
      <c r="K494" s="23" t="s">
        <v>38</v>
      </c>
      <c r="L494" s="28">
        <v>10000.0</v>
      </c>
      <c r="M494" s="28">
        <v>0.0</v>
      </c>
      <c r="N494" s="28">
        <v>0.0</v>
      </c>
      <c r="O494" s="28">
        <v>0.0</v>
      </c>
      <c r="P494" s="28">
        <v>0.0</v>
      </c>
      <c r="Q494" s="33"/>
      <c r="R494" s="11"/>
    </row>
    <row r="495" ht="15.75" customHeight="1">
      <c r="A495" s="13">
        <f t="shared" si="1"/>
        <v>494</v>
      </c>
      <c r="B495" s="15" t="s">
        <v>24</v>
      </c>
      <c r="C495" s="17">
        <v>1762.0</v>
      </c>
      <c r="D495" s="15"/>
      <c r="E495" s="17" t="s">
        <v>1306</v>
      </c>
      <c r="F495" s="23" t="s">
        <v>142</v>
      </c>
      <c r="G495" s="23" t="s">
        <v>1121</v>
      </c>
      <c r="H495" s="25" t="s">
        <v>36</v>
      </c>
      <c r="I495" s="30">
        <v>46166.0</v>
      </c>
      <c r="J495" s="17">
        <v>0.0</v>
      </c>
      <c r="K495" s="23" t="s">
        <v>38</v>
      </c>
      <c r="L495" s="28">
        <v>10000.0</v>
      </c>
      <c r="M495" s="28">
        <v>0.0</v>
      </c>
      <c r="N495" s="28">
        <v>0.0</v>
      </c>
      <c r="O495" s="28">
        <v>0.0</v>
      </c>
      <c r="P495" s="28">
        <v>0.0</v>
      </c>
      <c r="Q495" s="33"/>
      <c r="R495" s="11"/>
    </row>
    <row r="496" ht="15.75" customHeight="1">
      <c r="A496" s="13">
        <f t="shared" si="1"/>
        <v>495</v>
      </c>
      <c r="B496" s="15" t="s">
        <v>24</v>
      </c>
      <c r="C496" s="17">
        <v>1762.0</v>
      </c>
      <c r="D496" s="15"/>
      <c r="E496" s="17" t="s">
        <v>1307</v>
      </c>
      <c r="F496" s="23" t="s">
        <v>1308</v>
      </c>
      <c r="G496" s="23" t="s">
        <v>1310</v>
      </c>
      <c r="H496" s="25" t="s">
        <v>37</v>
      </c>
      <c r="I496" s="30">
        <v>46166.0</v>
      </c>
      <c r="J496" s="17">
        <v>1.0</v>
      </c>
      <c r="K496" s="23" t="s">
        <v>38</v>
      </c>
      <c r="L496" s="28">
        <v>1000.0</v>
      </c>
      <c r="M496" s="28">
        <v>0.0</v>
      </c>
      <c r="N496" s="28">
        <v>0.0</v>
      </c>
      <c r="O496" s="28">
        <v>0.0</v>
      </c>
      <c r="P496" s="28">
        <v>0.0</v>
      </c>
      <c r="Q496" s="33"/>
      <c r="R496" s="11"/>
    </row>
    <row r="497" ht="15.75" customHeight="1">
      <c r="A497" s="13">
        <f t="shared" si="1"/>
        <v>496</v>
      </c>
      <c r="B497" s="15" t="s">
        <v>24</v>
      </c>
      <c r="C497" s="17">
        <v>1762.0</v>
      </c>
      <c r="D497" s="15"/>
      <c r="E497" s="17" t="s">
        <v>1311</v>
      </c>
      <c r="F497" s="23" t="s">
        <v>91</v>
      </c>
      <c r="G497" s="23" t="s">
        <v>1312</v>
      </c>
      <c r="H497" s="25" t="s">
        <v>37</v>
      </c>
      <c r="I497" s="30">
        <v>46166.0</v>
      </c>
      <c r="J497" s="17">
        <v>1.0</v>
      </c>
      <c r="K497" s="23" t="s">
        <v>38</v>
      </c>
      <c r="L497" s="28">
        <v>50000.0</v>
      </c>
      <c r="M497" s="28">
        <v>0.0</v>
      </c>
      <c r="N497" s="28">
        <v>0.0</v>
      </c>
      <c r="O497" s="28">
        <v>0.0</v>
      </c>
      <c r="P497" s="28">
        <v>0.0</v>
      </c>
      <c r="Q497" s="33"/>
      <c r="R497" s="11"/>
    </row>
    <row r="498" ht="15.75" customHeight="1">
      <c r="A498" s="13">
        <f t="shared" si="1"/>
        <v>497</v>
      </c>
      <c r="B498" s="15" t="s">
        <v>24</v>
      </c>
      <c r="C498" s="17">
        <v>1762.0</v>
      </c>
      <c r="D498" s="15"/>
      <c r="E498" s="17" t="s">
        <v>1313</v>
      </c>
      <c r="F498" s="23" t="s">
        <v>91</v>
      </c>
      <c r="G498" s="23" t="s">
        <v>1312</v>
      </c>
      <c r="H498" s="25" t="s">
        <v>37</v>
      </c>
      <c r="I498" s="30">
        <v>46166.0</v>
      </c>
      <c r="J498" s="17">
        <v>1.0</v>
      </c>
      <c r="K498" s="23" t="s">
        <v>38</v>
      </c>
      <c r="L498" s="28">
        <v>50000.0</v>
      </c>
      <c r="M498" s="28">
        <v>0.0</v>
      </c>
      <c r="N498" s="28">
        <v>0.0</v>
      </c>
      <c r="O498" s="28">
        <v>0.0</v>
      </c>
      <c r="P498" s="28">
        <v>0.0</v>
      </c>
      <c r="Q498" s="33"/>
      <c r="R498" s="11"/>
    </row>
    <row r="499" ht="15.75" customHeight="1">
      <c r="A499" s="13">
        <f t="shared" si="1"/>
        <v>498</v>
      </c>
      <c r="B499" s="15" t="s">
        <v>24</v>
      </c>
      <c r="C499" s="17">
        <v>1762.0</v>
      </c>
      <c r="D499" s="15"/>
      <c r="E499" s="17" t="s">
        <v>1315</v>
      </c>
      <c r="F499" s="80" t="s">
        <v>60</v>
      </c>
      <c r="G499" s="23" t="s">
        <v>209</v>
      </c>
      <c r="H499" s="17" t="s">
        <v>212</v>
      </c>
      <c r="I499" s="30">
        <v>46166.0</v>
      </c>
      <c r="J499" s="17">
        <v>10.0</v>
      </c>
      <c r="K499" s="23" t="s">
        <v>38</v>
      </c>
      <c r="L499" s="28">
        <v>10000.0</v>
      </c>
      <c r="M499" s="28">
        <v>0.0</v>
      </c>
      <c r="N499" s="28">
        <v>0.0</v>
      </c>
      <c r="O499" s="28">
        <v>0.0</v>
      </c>
      <c r="P499" s="28">
        <v>0.0</v>
      </c>
      <c r="Q499" s="33"/>
      <c r="R499" s="11"/>
    </row>
    <row r="500" ht="15.75" customHeight="1">
      <c r="A500" s="13">
        <f t="shared" si="1"/>
        <v>499</v>
      </c>
      <c r="B500" s="15" t="s">
        <v>24</v>
      </c>
      <c r="C500" s="17">
        <v>1762.0</v>
      </c>
      <c r="D500" s="15"/>
      <c r="E500" s="35" t="s">
        <v>1317</v>
      </c>
      <c r="F500" s="23" t="s">
        <v>614</v>
      </c>
      <c r="G500" s="23" t="s">
        <v>1318</v>
      </c>
      <c r="H500" s="25" t="s">
        <v>37</v>
      </c>
      <c r="I500" s="30">
        <v>46166.0</v>
      </c>
      <c r="J500" s="17">
        <v>1.0</v>
      </c>
      <c r="K500" s="23" t="s">
        <v>38</v>
      </c>
      <c r="L500" s="28">
        <v>10000.0</v>
      </c>
      <c r="M500" s="28">
        <v>0.0</v>
      </c>
      <c r="N500" s="28">
        <v>0.0</v>
      </c>
      <c r="O500" s="28">
        <v>0.0</v>
      </c>
      <c r="P500" s="28">
        <v>0.0</v>
      </c>
      <c r="Q500" s="33"/>
      <c r="R500" s="11"/>
    </row>
    <row r="501" ht="15.75" customHeight="1">
      <c r="A501" s="13">
        <f t="shared" si="1"/>
        <v>500</v>
      </c>
      <c r="B501" s="15" t="s">
        <v>24</v>
      </c>
      <c r="C501" s="17">
        <v>1762.0</v>
      </c>
      <c r="D501" s="17" t="s">
        <v>58</v>
      </c>
      <c r="E501" s="17" t="s">
        <v>1322</v>
      </c>
      <c r="F501" s="23" t="s">
        <v>92</v>
      </c>
      <c r="G501" s="23" t="s">
        <v>1323</v>
      </c>
      <c r="H501" s="25" t="s">
        <v>36</v>
      </c>
      <c r="I501" s="30">
        <v>46166.0</v>
      </c>
      <c r="J501" s="17">
        <v>1.0</v>
      </c>
      <c r="K501" s="23" t="s">
        <v>38</v>
      </c>
      <c r="L501" s="28">
        <v>0.0</v>
      </c>
      <c r="M501" s="28">
        <v>0.0</v>
      </c>
      <c r="N501" s="28">
        <v>0.0</v>
      </c>
      <c r="O501" s="28">
        <v>175000.0</v>
      </c>
      <c r="P501" s="28">
        <v>0.0</v>
      </c>
      <c r="Q501" s="200">
        <v>46178.0</v>
      </c>
      <c r="R501" s="11"/>
    </row>
    <row r="502" ht="15.75" customHeight="1">
      <c r="A502" s="13">
        <f t="shared" si="1"/>
        <v>501</v>
      </c>
      <c r="B502" s="15" t="s">
        <v>24</v>
      </c>
      <c r="C502" s="17">
        <v>1814.0</v>
      </c>
      <c r="D502" s="15"/>
      <c r="E502" s="35" t="s">
        <v>1325</v>
      </c>
      <c r="F502" s="23" t="s">
        <v>1012</v>
      </c>
      <c r="G502" s="23" t="s">
        <v>1069</v>
      </c>
      <c r="H502" s="25" t="s">
        <v>36</v>
      </c>
      <c r="I502" s="30">
        <v>46166.0</v>
      </c>
      <c r="J502" s="17">
        <v>0.0</v>
      </c>
      <c r="K502" s="23" t="s">
        <v>38</v>
      </c>
      <c r="L502" s="28">
        <v>50000.0</v>
      </c>
      <c r="M502" s="28">
        <v>0.0</v>
      </c>
      <c r="N502" s="28">
        <v>0.0</v>
      </c>
      <c r="O502" s="28">
        <v>0.0</v>
      </c>
      <c r="P502" s="28">
        <v>0.0</v>
      </c>
      <c r="Q502" s="33"/>
      <c r="R502" s="11"/>
    </row>
    <row r="503" ht="15.75" customHeight="1">
      <c r="A503" s="13">
        <f t="shared" si="1"/>
        <v>502</v>
      </c>
      <c r="B503" s="15" t="s">
        <v>24</v>
      </c>
      <c r="C503" s="17">
        <v>1814.0</v>
      </c>
      <c r="D503" s="17" t="s">
        <v>46</v>
      </c>
      <c r="E503" s="17" t="s">
        <v>1327</v>
      </c>
      <c r="F503" s="23" t="s">
        <v>208</v>
      </c>
      <c r="G503" s="23" t="s">
        <v>208</v>
      </c>
      <c r="H503" s="25" t="s">
        <v>36</v>
      </c>
      <c r="I503" s="30">
        <v>46167.0</v>
      </c>
      <c r="J503" s="17">
        <v>0.0</v>
      </c>
      <c r="K503" s="23" t="s">
        <v>57</v>
      </c>
      <c r="L503" s="28">
        <v>5000.0</v>
      </c>
      <c r="M503" s="28">
        <v>0.0</v>
      </c>
      <c r="N503" s="28">
        <v>0.0</v>
      </c>
      <c r="O503" s="28">
        <v>0.0</v>
      </c>
      <c r="P503" s="28">
        <v>0.0</v>
      </c>
      <c r="Q503" s="33"/>
      <c r="R503" s="11"/>
    </row>
    <row r="504" ht="15.75" customHeight="1">
      <c r="A504" s="13">
        <f t="shared" si="1"/>
        <v>503</v>
      </c>
      <c r="B504" s="15" t="s">
        <v>24</v>
      </c>
      <c r="C504" s="17">
        <v>1814.0</v>
      </c>
      <c r="D504" s="17" t="s">
        <v>58</v>
      </c>
      <c r="E504" s="17" t="s">
        <v>1331</v>
      </c>
      <c r="F504" s="23" t="s">
        <v>169</v>
      </c>
      <c r="G504" s="23" t="s">
        <v>170</v>
      </c>
      <c r="H504" s="25" t="s">
        <v>37</v>
      </c>
      <c r="I504" s="30">
        <v>46167.0</v>
      </c>
      <c r="J504" s="17">
        <v>1.0</v>
      </c>
      <c r="K504" s="23" t="s">
        <v>38</v>
      </c>
      <c r="L504" s="28">
        <v>50000.0</v>
      </c>
      <c r="M504" s="28">
        <v>0.0</v>
      </c>
      <c r="N504" s="28">
        <v>0.0</v>
      </c>
      <c r="O504" s="28">
        <v>0.0</v>
      </c>
      <c r="P504" s="28">
        <v>0.0</v>
      </c>
      <c r="Q504" s="33"/>
      <c r="R504" s="11"/>
    </row>
    <row r="505" ht="15.75" customHeight="1">
      <c r="A505" s="13">
        <f t="shared" si="1"/>
        <v>504</v>
      </c>
      <c r="B505" s="15" t="s">
        <v>24</v>
      </c>
      <c r="C505" s="17">
        <v>1814.0</v>
      </c>
      <c r="D505" s="17" t="s">
        <v>46</v>
      </c>
      <c r="E505" s="17" t="s">
        <v>1333</v>
      </c>
      <c r="F505" s="234" t="s">
        <v>191</v>
      </c>
      <c r="G505" s="23" t="s">
        <v>252</v>
      </c>
      <c r="H505" s="25" t="s">
        <v>36</v>
      </c>
      <c r="I505" s="30">
        <v>46167.0</v>
      </c>
      <c r="J505" s="17">
        <v>0.0</v>
      </c>
      <c r="K505" s="23" t="s">
        <v>57</v>
      </c>
      <c r="L505" s="28">
        <v>20000.0</v>
      </c>
      <c r="M505" s="28">
        <v>0.0</v>
      </c>
      <c r="N505" s="28">
        <v>0.0</v>
      </c>
      <c r="O505" s="28">
        <v>0.0</v>
      </c>
      <c r="P505" s="28">
        <v>0.0</v>
      </c>
      <c r="Q505" s="33"/>
      <c r="R505" s="11"/>
    </row>
    <row r="506" ht="15.75" customHeight="1">
      <c r="A506" s="13">
        <f t="shared" si="1"/>
        <v>505</v>
      </c>
      <c r="B506" s="15" t="s">
        <v>24</v>
      </c>
      <c r="C506" s="17">
        <v>1814.0</v>
      </c>
      <c r="D506" s="17" t="s">
        <v>182</v>
      </c>
      <c r="E506" s="17" t="s">
        <v>1337</v>
      </c>
      <c r="F506" s="37" t="s">
        <v>84</v>
      </c>
      <c r="G506" s="23" t="s">
        <v>420</v>
      </c>
      <c r="H506" s="25" t="s">
        <v>37</v>
      </c>
      <c r="I506" s="64">
        <v>46167.0</v>
      </c>
      <c r="J506" s="17">
        <v>0.0</v>
      </c>
      <c r="K506" s="23" t="s">
        <v>38</v>
      </c>
      <c r="L506" s="28">
        <v>5000.0</v>
      </c>
      <c r="M506" s="28">
        <v>0.0</v>
      </c>
      <c r="N506" s="28">
        <v>0.0</v>
      </c>
      <c r="O506" s="28">
        <v>0.0</v>
      </c>
      <c r="P506" s="28">
        <v>0.0</v>
      </c>
      <c r="Q506" s="33"/>
      <c r="R506" s="11"/>
    </row>
    <row r="507" ht="15.75" customHeight="1">
      <c r="A507" s="13">
        <f t="shared" si="1"/>
        <v>506</v>
      </c>
      <c r="B507" s="15" t="s">
        <v>24</v>
      </c>
      <c r="C507" s="17">
        <v>1814.0</v>
      </c>
      <c r="D507" s="17" t="s">
        <v>46</v>
      </c>
      <c r="E507" s="17" t="s">
        <v>1338</v>
      </c>
      <c r="F507" s="23" t="s">
        <v>84</v>
      </c>
      <c r="G507" s="23" t="s">
        <v>329</v>
      </c>
      <c r="H507" s="25" t="s">
        <v>36</v>
      </c>
      <c r="I507" s="64">
        <v>46167.0</v>
      </c>
      <c r="J507" s="17">
        <v>0.0</v>
      </c>
      <c r="K507" s="23" t="s">
        <v>57</v>
      </c>
      <c r="L507" s="28">
        <v>0.0</v>
      </c>
      <c r="M507" s="28">
        <v>10000.0</v>
      </c>
      <c r="N507" s="28">
        <v>0.0</v>
      </c>
      <c r="O507" s="28">
        <v>0.0</v>
      </c>
      <c r="P507" s="28">
        <v>0.0</v>
      </c>
      <c r="Q507" s="33"/>
      <c r="R507" s="11"/>
    </row>
    <row r="508" ht="15.75" customHeight="1">
      <c r="A508" s="13">
        <f t="shared" si="1"/>
        <v>507</v>
      </c>
      <c r="B508" s="15" t="s">
        <v>24</v>
      </c>
      <c r="C508" s="17">
        <v>1814.0</v>
      </c>
      <c r="D508" s="17" t="s">
        <v>87</v>
      </c>
      <c r="E508" s="17" t="s">
        <v>1340</v>
      </c>
      <c r="F508" s="23" t="s">
        <v>91</v>
      </c>
      <c r="G508" s="23" t="s">
        <v>1341</v>
      </c>
      <c r="H508" s="25" t="s">
        <v>37</v>
      </c>
      <c r="I508" s="64">
        <v>46167.0</v>
      </c>
      <c r="J508" s="17">
        <v>1.0</v>
      </c>
      <c r="K508" s="23" t="s">
        <v>38</v>
      </c>
      <c r="L508" s="28">
        <v>50000.0</v>
      </c>
      <c r="M508" s="28">
        <v>0.0</v>
      </c>
      <c r="N508" s="28">
        <v>0.0</v>
      </c>
      <c r="O508" s="28">
        <v>0.0</v>
      </c>
      <c r="P508" s="28">
        <v>0.0</v>
      </c>
      <c r="Q508" s="33"/>
      <c r="R508" s="11"/>
    </row>
    <row r="509" ht="15.75" customHeight="1">
      <c r="A509" s="13">
        <f t="shared" si="1"/>
        <v>508</v>
      </c>
      <c r="B509" s="15" t="s">
        <v>24</v>
      </c>
      <c r="C509" s="17">
        <v>1814.0</v>
      </c>
      <c r="D509" s="17" t="s">
        <v>87</v>
      </c>
      <c r="E509" s="17" t="s">
        <v>1342</v>
      </c>
      <c r="F509" s="23" t="s">
        <v>1016</v>
      </c>
      <c r="G509" s="23" t="s">
        <v>1088</v>
      </c>
      <c r="H509" s="25" t="s">
        <v>37</v>
      </c>
      <c r="I509" s="64">
        <v>46167.0</v>
      </c>
      <c r="J509" s="17">
        <v>0.0</v>
      </c>
      <c r="K509" s="23" t="s">
        <v>38</v>
      </c>
      <c r="L509" s="28">
        <v>5000.0</v>
      </c>
      <c r="M509" s="28">
        <v>0.0</v>
      </c>
      <c r="N509" s="28">
        <v>0.0</v>
      </c>
      <c r="O509" s="28">
        <v>0.0</v>
      </c>
      <c r="P509" s="28">
        <v>0.0</v>
      </c>
      <c r="Q509" s="33"/>
      <c r="R509" s="11"/>
    </row>
    <row r="510" ht="15.75" customHeight="1">
      <c r="A510" s="13">
        <f t="shared" si="1"/>
        <v>509</v>
      </c>
      <c r="B510" s="15" t="s">
        <v>24</v>
      </c>
      <c r="C510" s="17">
        <v>1814.0</v>
      </c>
      <c r="D510" s="17" t="s">
        <v>87</v>
      </c>
      <c r="E510" s="17" t="s">
        <v>1344</v>
      </c>
      <c r="F510" s="23" t="s">
        <v>91</v>
      </c>
      <c r="G510" s="23" t="s">
        <v>1103</v>
      </c>
      <c r="H510" s="25" t="s">
        <v>37</v>
      </c>
      <c r="I510" s="64">
        <v>46167.0</v>
      </c>
      <c r="J510" s="17">
        <v>1.0</v>
      </c>
      <c r="K510" s="23" t="s">
        <v>38</v>
      </c>
      <c r="L510" s="28">
        <v>50000.0</v>
      </c>
      <c r="M510" s="28">
        <v>0.0</v>
      </c>
      <c r="N510" s="28">
        <v>0.0</v>
      </c>
      <c r="O510" s="28">
        <v>0.0</v>
      </c>
      <c r="P510" s="28">
        <v>0.0</v>
      </c>
      <c r="Q510" s="33"/>
      <c r="R510" s="11"/>
    </row>
    <row r="511" ht="15.75" customHeight="1">
      <c r="A511" s="13">
        <f t="shared" si="1"/>
        <v>510</v>
      </c>
      <c r="B511" s="15" t="s">
        <v>24</v>
      </c>
      <c r="C511" s="17">
        <v>1814.0</v>
      </c>
      <c r="D511" s="17" t="s">
        <v>46</v>
      </c>
      <c r="E511" s="17" t="s">
        <v>1346</v>
      </c>
      <c r="F511" s="23" t="s">
        <v>191</v>
      </c>
      <c r="G511" s="23" t="s">
        <v>193</v>
      </c>
      <c r="H511" s="23" t="s">
        <v>37</v>
      </c>
      <c r="I511" s="64">
        <v>46168.0</v>
      </c>
      <c r="J511" s="17">
        <v>0.0</v>
      </c>
      <c r="K511" s="23" t="s">
        <v>57</v>
      </c>
      <c r="L511" s="28">
        <v>0.0</v>
      </c>
      <c r="M511" s="28">
        <v>30000.0</v>
      </c>
      <c r="N511" s="28">
        <v>0.0</v>
      </c>
      <c r="O511" s="28">
        <v>0.0</v>
      </c>
      <c r="P511" s="28">
        <v>0.0</v>
      </c>
      <c r="Q511" s="33"/>
      <c r="R511" s="11"/>
    </row>
    <row r="512" ht="15.75" customHeight="1">
      <c r="A512" s="13">
        <f t="shared" si="1"/>
        <v>511</v>
      </c>
      <c r="B512" s="15" t="s">
        <v>24</v>
      </c>
      <c r="C512" s="17">
        <v>1814.0</v>
      </c>
      <c r="D512" s="17" t="s">
        <v>87</v>
      </c>
      <c r="E512" s="17" t="s">
        <v>1348</v>
      </c>
      <c r="F512" s="23" t="s">
        <v>142</v>
      </c>
      <c r="G512" s="78" t="s">
        <v>1227</v>
      </c>
      <c r="H512" s="23" t="s">
        <v>55</v>
      </c>
      <c r="I512" s="32">
        <v>46175.0</v>
      </c>
      <c r="J512" s="17">
        <v>2.0</v>
      </c>
      <c r="K512" s="23" t="s">
        <v>38</v>
      </c>
      <c r="L512" s="28">
        <v>50000.0</v>
      </c>
      <c r="M512" s="28">
        <v>0.0</v>
      </c>
      <c r="N512" s="28">
        <v>0.0</v>
      </c>
      <c r="O512" s="28">
        <v>0.0</v>
      </c>
      <c r="P512" s="28">
        <v>0.0</v>
      </c>
      <c r="Q512" s="33"/>
      <c r="R512" s="11"/>
    </row>
    <row r="513" ht="15.75" customHeight="1">
      <c r="A513" s="13">
        <f t="shared" si="1"/>
        <v>512</v>
      </c>
      <c r="B513" s="15" t="s">
        <v>24</v>
      </c>
      <c r="C513" s="17">
        <v>1814.0</v>
      </c>
      <c r="D513" s="17" t="s">
        <v>87</v>
      </c>
      <c r="E513" s="17" t="s">
        <v>1232</v>
      </c>
      <c r="F513" s="69" t="s">
        <v>377</v>
      </c>
      <c r="G513" s="225" t="s">
        <v>723</v>
      </c>
      <c r="H513" s="23" t="s">
        <v>37</v>
      </c>
      <c r="I513" s="32">
        <v>46177.0</v>
      </c>
      <c r="J513" s="17">
        <v>0.0</v>
      </c>
      <c r="K513" s="23" t="s">
        <v>38</v>
      </c>
      <c r="L513" s="28">
        <v>2000.0</v>
      </c>
      <c r="M513" s="28">
        <v>0.0</v>
      </c>
      <c r="N513" s="28">
        <v>0.0</v>
      </c>
      <c r="O513" s="28">
        <v>0.0</v>
      </c>
      <c r="P513" s="28">
        <v>0.0</v>
      </c>
      <c r="Q513" s="33"/>
      <c r="R513" s="11"/>
    </row>
    <row r="514" ht="15.75" customHeight="1">
      <c r="A514" s="13">
        <f t="shared" si="1"/>
        <v>513</v>
      </c>
      <c r="B514" s="15" t="s">
        <v>24</v>
      </c>
      <c r="C514" s="17">
        <v>1814.0</v>
      </c>
      <c r="D514" s="17" t="s">
        <v>58</v>
      </c>
      <c r="E514" s="17" t="s">
        <v>1238</v>
      </c>
      <c r="F514" s="23" t="s">
        <v>169</v>
      </c>
      <c r="G514" s="23" t="s">
        <v>170</v>
      </c>
      <c r="H514" s="25" t="s">
        <v>37</v>
      </c>
      <c r="I514" s="30">
        <v>46177.0</v>
      </c>
      <c r="J514" s="17">
        <v>0.0</v>
      </c>
      <c r="K514" s="23" t="s">
        <v>38</v>
      </c>
      <c r="L514" s="28">
        <v>50000.0</v>
      </c>
      <c r="M514" s="28">
        <v>0.0</v>
      </c>
      <c r="N514" s="28">
        <v>0.0</v>
      </c>
      <c r="O514" s="28">
        <v>0.0</v>
      </c>
      <c r="P514" s="28">
        <v>0.0</v>
      </c>
      <c r="Q514" s="33"/>
      <c r="R514" s="11"/>
    </row>
    <row r="515" ht="15.75" customHeight="1">
      <c r="A515" s="13">
        <f t="shared" si="1"/>
        <v>514</v>
      </c>
      <c r="B515" s="15" t="s">
        <v>24</v>
      </c>
      <c r="C515" s="17">
        <v>1814.0</v>
      </c>
      <c r="D515" s="17" t="s">
        <v>46</v>
      </c>
      <c r="E515" s="17" t="s">
        <v>1244</v>
      </c>
      <c r="F515" s="21" t="s">
        <v>116</v>
      </c>
      <c r="G515" s="21" t="s">
        <v>117</v>
      </c>
      <c r="H515" s="25" t="s">
        <v>36</v>
      </c>
      <c r="I515" s="30">
        <v>46177.0</v>
      </c>
      <c r="J515" s="17">
        <v>0.0</v>
      </c>
      <c r="K515" s="23" t="s">
        <v>57</v>
      </c>
      <c r="L515" s="28">
        <v>8000.0</v>
      </c>
      <c r="M515" s="28">
        <v>0.0</v>
      </c>
      <c r="N515" s="28">
        <v>0.0</v>
      </c>
      <c r="O515" s="28">
        <v>0.0</v>
      </c>
      <c r="P515" s="28">
        <v>0.0</v>
      </c>
      <c r="Q515" s="33"/>
      <c r="R515" s="11"/>
    </row>
    <row r="516" ht="15.75" customHeight="1">
      <c r="A516" s="13">
        <f t="shared" si="1"/>
        <v>515</v>
      </c>
      <c r="B516" s="15" t="s">
        <v>24</v>
      </c>
      <c r="C516" s="17">
        <v>1814.0</v>
      </c>
      <c r="D516" s="17" t="s">
        <v>46</v>
      </c>
      <c r="E516" s="17" t="s">
        <v>1257</v>
      </c>
      <c r="F516" s="36" t="s">
        <v>279</v>
      </c>
      <c r="G516" s="23" t="s">
        <v>496</v>
      </c>
      <c r="H516" s="25" t="s">
        <v>36</v>
      </c>
      <c r="I516" s="30">
        <v>46180.0</v>
      </c>
      <c r="J516" s="17">
        <v>0.0</v>
      </c>
      <c r="K516" s="23" t="s">
        <v>57</v>
      </c>
      <c r="L516" s="28">
        <v>20000.0</v>
      </c>
      <c r="M516" s="28">
        <v>0.0</v>
      </c>
      <c r="N516" s="28">
        <v>0.0</v>
      </c>
      <c r="O516" s="28">
        <v>0.0</v>
      </c>
      <c r="P516" s="28">
        <v>0.0</v>
      </c>
      <c r="Q516" s="33"/>
      <c r="R516" s="11"/>
    </row>
    <row r="517" ht="15.75" customHeight="1">
      <c r="A517" s="13">
        <f t="shared" si="1"/>
        <v>516</v>
      </c>
      <c r="B517" s="15" t="s">
        <v>24</v>
      </c>
      <c r="C517" s="17">
        <v>1814.0</v>
      </c>
      <c r="D517" s="17" t="s">
        <v>87</v>
      </c>
      <c r="E517" s="17" t="s">
        <v>1250</v>
      </c>
      <c r="F517" s="23" t="s">
        <v>91</v>
      </c>
      <c r="G517" s="23" t="s">
        <v>1103</v>
      </c>
      <c r="H517" s="25" t="s">
        <v>37</v>
      </c>
      <c r="I517" s="30">
        <v>46177.0</v>
      </c>
      <c r="J517" s="17">
        <v>0.0</v>
      </c>
      <c r="K517" s="23" t="s">
        <v>38</v>
      </c>
      <c r="L517" s="28">
        <v>10000.0</v>
      </c>
      <c r="M517" s="28">
        <v>0.0</v>
      </c>
      <c r="N517" s="28">
        <v>0.0</v>
      </c>
      <c r="O517" s="28">
        <v>0.0</v>
      </c>
      <c r="P517" s="28">
        <v>0.0</v>
      </c>
      <c r="Q517" s="33"/>
      <c r="R517" s="11"/>
    </row>
    <row r="518" ht="15.75" customHeight="1">
      <c r="A518" s="13">
        <f t="shared" si="1"/>
        <v>517</v>
      </c>
      <c r="B518" s="15" t="s">
        <v>24</v>
      </c>
      <c r="C518" s="17">
        <v>1814.0</v>
      </c>
      <c r="D518" s="17" t="s">
        <v>87</v>
      </c>
      <c r="E518" s="17" t="s">
        <v>1254</v>
      </c>
      <c r="F518" s="23" t="s">
        <v>91</v>
      </c>
      <c r="G518" s="23" t="s">
        <v>1103</v>
      </c>
      <c r="H518" s="25" t="s">
        <v>37</v>
      </c>
      <c r="I518" s="30">
        <v>46177.0</v>
      </c>
      <c r="J518" s="17">
        <v>0.0</v>
      </c>
      <c r="K518" s="23" t="s">
        <v>38</v>
      </c>
      <c r="L518" s="28">
        <v>10000.0</v>
      </c>
      <c r="M518" s="28">
        <v>0.0</v>
      </c>
      <c r="N518" s="28">
        <v>0.0</v>
      </c>
      <c r="O518" s="28">
        <v>0.0</v>
      </c>
      <c r="P518" s="28">
        <v>0.0</v>
      </c>
      <c r="Q518" s="33"/>
      <c r="R518" s="11"/>
    </row>
    <row r="519" ht="15.75" customHeight="1">
      <c r="A519" s="13">
        <f t="shared" si="1"/>
        <v>518</v>
      </c>
      <c r="B519" s="15" t="s">
        <v>24</v>
      </c>
      <c r="C519" s="17">
        <v>1814.0</v>
      </c>
      <c r="D519" s="17" t="s">
        <v>46</v>
      </c>
      <c r="E519" s="17" t="s">
        <v>1261</v>
      </c>
      <c r="F519" s="36" t="s">
        <v>279</v>
      </c>
      <c r="G519" s="23" t="s">
        <v>500</v>
      </c>
      <c r="H519" s="25" t="s">
        <v>36</v>
      </c>
      <c r="I519" s="30">
        <v>46180.0</v>
      </c>
      <c r="J519" s="17">
        <v>0.0</v>
      </c>
      <c r="K519" s="23" t="s">
        <v>57</v>
      </c>
      <c r="L519" s="28">
        <v>20000.0</v>
      </c>
      <c r="M519" s="28">
        <v>0.0</v>
      </c>
      <c r="N519" s="28">
        <v>0.0</v>
      </c>
      <c r="O519" s="28">
        <v>0.0</v>
      </c>
      <c r="P519" s="28">
        <v>0.0</v>
      </c>
      <c r="Q519" s="33"/>
      <c r="R519" s="11"/>
    </row>
    <row r="520" ht="15.75" customHeight="1">
      <c r="A520" s="13">
        <f t="shared" si="1"/>
        <v>519</v>
      </c>
      <c r="B520" s="15" t="s">
        <v>24</v>
      </c>
      <c r="C520" s="17">
        <v>1814.0</v>
      </c>
      <c r="D520" s="17" t="s">
        <v>46</v>
      </c>
      <c r="E520" s="17" t="s">
        <v>1264</v>
      </c>
      <c r="F520" s="67" t="s">
        <v>184</v>
      </c>
      <c r="G520" s="67" t="s">
        <v>449</v>
      </c>
      <c r="H520" s="25" t="s">
        <v>37</v>
      </c>
      <c r="I520" s="30">
        <v>46181.0</v>
      </c>
      <c r="J520" s="17">
        <v>0.0</v>
      </c>
      <c r="K520" s="23" t="s">
        <v>57</v>
      </c>
      <c r="L520" s="28">
        <v>5000.0</v>
      </c>
      <c r="M520" s="28">
        <v>0.0</v>
      </c>
      <c r="N520" s="28">
        <v>0.0</v>
      </c>
      <c r="O520" s="28">
        <v>0.0</v>
      </c>
      <c r="P520" s="28">
        <v>0.0</v>
      </c>
      <c r="Q520" s="33"/>
      <c r="R520" s="11"/>
    </row>
    <row r="521" ht="15.75" customHeight="1">
      <c r="A521" s="13">
        <f t="shared" si="1"/>
        <v>520</v>
      </c>
      <c r="B521" s="15" t="s">
        <v>24</v>
      </c>
      <c r="C521" s="17">
        <v>1814.0</v>
      </c>
      <c r="D521" s="17" t="s">
        <v>46</v>
      </c>
      <c r="E521" s="17" t="s">
        <v>1268</v>
      </c>
      <c r="F521" s="65" t="s">
        <v>180</v>
      </c>
      <c r="G521" s="65" t="s">
        <v>288</v>
      </c>
      <c r="H521" s="25" t="s">
        <v>36</v>
      </c>
      <c r="I521" s="30">
        <v>46181.0</v>
      </c>
      <c r="J521" s="17">
        <v>0.0</v>
      </c>
      <c r="K521" s="23" t="s">
        <v>57</v>
      </c>
      <c r="L521" s="28">
        <v>9000.0</v>
      </c>
      <c r="M521" s="28">
        <v>0.0</v>
      </c>
      <c r="N521" s="28">
        <v>0.0</v>
      </c>
      <c r="O521" s="28">
        <v>0.0</v>
      </c>
      <c r="P521" s="28">
        <v>0.0</v>
      </c>
      <c r="Q521" s="33"/>
      <c r="R521" s="11"/>
    </row>
    <row r="522" ht="15.75" customHeight="1">
      <c r="A522" s="13">
        <f t="shared" si="1"/>
        <v>521</v>
      </c>
      <c r="B522" s="15" t="s">
        <v>24</v>
      </c>
      <c r="C522" s="17">
        <v>1814.0</v>
      </c>
      <c r="D522" s="17" t="s">
        <v>182</v>
      </c>
      <c r="E522" s="17" t="s">
        <v>1272</v>
      </c>
      <c r="F522" s="25" t="s">
        <v>84</v>
      </c>
      <c r="G522" s="25" t="s">
        <v>270</v>
      </c>
      <c r="H522" s="25" t="s">
        <v>37</v>
      </c>
      <c r="I522" s="30">
        <v>46181.0</v>
      </c>
      <c r="J522" s="17">
        <v>0.0</v>
      </c>
      <c r="K522" s="23" t="s">
        <v>38</v>
      </c>
      <c r="L522" s="28">
        <v>15000.0</v>
      </c>
      <c r="M522" s="28">
        <v>0.0</v>
      </c>
      <c r="N522" s="28">
        <v>0.0</v>
      </c>
      <c r="O522" s="28">
        <v>0.0</v>
      </c>
      <c r="P522" s="28">
        <v>0.0</v>
      </c>
      <c r="Q522" s="33"/>
      <c r="R522" s="11"/>
    </row>
    <row r="523" ht="15.75" customHeight="1">
      <c r="A523" s="13">
        <f t="shared" si="1"/>
        <v>522</v>
      </c>
      <c r="B523" s="15" t="s">
        <v>24</v>
      </c>
      <c r="C523" s="17">
        <v>1814.0</v>
      </c>
      <c r="D523" s="17" t="s">
        <v>182</v>
      </c>
      <c r="E523" s="17" t="s">
        <v>1274</v>
      </c>
      <c r="F523" s="65" t="s">
        <v>84</v>
      </c>
      <c r="G523" s="65" t="s">
        <v>254</v>
      </c>
      <c r="H523" s="25" t="s">
        <v>37</v>
      </c>
      <c r="I523" s="30">
        <v>46181.0</v>
      </c>
      <c r="J523" s="17">
        <v>1.0</v>
      </c>
      <c r="K523" s="23" t="s">
        <v>38</v>
      </c>
      <c r="L523" s="28">
        <v>15000.0</v>
      </c>
      <c r="M523" s="28">
        <v>0.0</v>
      </c>
      <c r="N523" s="28">
        <v>0.0</v>
      </c>
      <c r="O523" s="28">
        <v>0.0</v>
      </c>
      <c r="P523" s="28">
        <v>0.0</v>
      </c>
      <c r="Q523" s="33"/>
      <c r="R523" s="11"/>
    </row>
    <row r="524" ht="15.75" customHeight="1">
      <c r="A524" s="13">
        <f t="shared" si="1"/>
        <v>523</v>
      </c>
      <c r="B524" s="15" t="s">
        <v>24</v>
      </c>
      <c r="C524" s="17">
        <v>1814.0</v>
      </c>
      <c r="D524" s="17" t="s">
        <v>46</v>
      </c>
      <c r="E524" s="17" t="s">
        <v>1278</v>
      </c>
      <c r="F524" s="65" t="s">
        <v>84</v>
      </c>
      <c r="G524" s="65" t="s">
        <v>254</v>
      </c>
      <c r="H524" s="25" t="s">
        <v>36</v>
      </c>
      <c r="I524" s="30">
        <v>46181.0</v>
      </c>
      <c r="J524" s="17">
        <v>0.0</v>
      </c>
      <c r="K524" s="23" t="s">
        <v>57</v>
      </c>
      <c r="L524" s="28">
        <v>5000.0</v>
      </c>
      <c r="M524" s="28">
        <v>0.0</v>
      </c>
      <c r="N524" s="28">
        <v>0.0</v>
      </c>
      <c r="O524" s="28">
        <v>0.0</v>
      </c>
      <c r="P524" s="28">
        <v>0.0</v>
      </c>
      <c r="Q524" s="33"/>
      <c r="R524" s="11"/>
    </row>
    <row r="525" ht="15.75" customHeight="1">
      <c r="A525" s="13">
        <f t="shared" si="1"/>
        <v>524</v>
      </c>
      <c r="B525" s="15" t="s">
        <v>24</v>
      </c>
      <c r="C525" s="17">
        <v>1814.0</v>
      </c>
      <c r="D525" s="17" t="s">
        <v>46</v>
      </c>
      <c r="E525" s="17" t="s">
        <v>1282</v>
      </c>
      <c r="F525" s="65" t="s">
        <v>84</v>
      </c>
      <c r="G525" s="25" t="s">
        <v>270</v>
      </c>
      <c r="H525" s="25" t="s">
        <v>36</v>
      </c>
      <c r="I525" s="30">
        <v>46181.0</v>
      </c>
      <c r="J525" s="17">
        <v>0.0</v>
      </c>
      <c r="K525" s="23" t="s">
        <v>57</v>
      </c>
      <c r="L525" s="28">
        <v>5000.0</v>
      </c>
      <c r="M525" s="28">
        <v>0.0</v>
      </c>
      <c r="N525" s="28">
        <v>0.0</v>
      </c>
      <c r="O525" s="28">
        <v>0.0</v>
      </c>
      <c r="P525" s="28">
        <v>0.0</v>
      </c>
      <c r="Q525" s="33"/>
      <c r="R525" s="11"/>
    </row>
    <row r="526" ht="15.75" customHeight="1">
      <c r="A526" s="13">
        <f t="shared" si="1"/>
        <v>525</v>
      </c>
      <c r="B526" s="15" t="s">
        <v>24</v>
      </c>
      <c r="C526" s="17">
        <v>1814.0</v>
      </c>
      <c r="D526" s="17" t="s">
        <v>182</v>
      </c>
      <c r="E526" s="17" t="s">
        <v>1285</v>
      </c>
      <c r="F526" s="25" t="s">
        <v>84</v>
      </c>
      <c r="G526" s="25" t="s">
        <v>270</v>
      </c>
      <c r="H526" s="25" t="s">
        <v>37</v>
      </c>
      <c r="I526" s="30">
        <v>46181.0</v>
      </c>
      <c r="J526" s="17">
        <v>0.0</v>
      </c>
      <c r="K526" s="23" t="s">
        <v>38</v>
      </c>
      <c r="L526" s="28">
        <v>5000.0</v>
      </c>
      <c r="M526" s="28">
        <v>0.0</v>
      </c>
      <c r="N526" s="28">
        <v>0.0</v>
      </c>
      <c r="O526" s="28">
        <v>0.0</v>
      </c>
      <c r="P526" s="28">
        <v>0.0</v>
      </c>
      <c r="Q526" s="33"/>
      <c r="R526" s="11"/>
    </row>
    <row r="527" ht="15.75" customHeight="1">
      <c r="A527" s="13">
        <f t="shared" si="1"/>
        <v>526</v>
      </c>
      <c r="B527" s="15" t="s">
        <v>24</v>
      </c>
      <c r="C527" s="17">
        <v>1814.0</v>
      </c>
      <c r="D527" s="17" t="s">
        <v>182</v>
      </c>
      <c r="E527" s="17" t="s">
        <v>1288</v>
      </c>
      <c r="F527" s="65" t="s">
        <v>84</v>
      </c>
      <c r="G527" s="65" t="s">
        <v>254</v>
      </c>
      <c r="H527" s="25" t="s">
        <v>37</v>
      </c>
      <c r="I527" s="30">
        <v>46181.0</v>
      </c>
      <c r="J527" s="17">
        <v>0.0</v>
      </c>
      <c r="K527" s="23" t="s">
        <v>38</v>
      </c>
      <c r="L527" s="28">
        <v>5000.0</v>
      </c>
      <c r="M527" s="28">
        <v>0.0</v>
      </c>
      <c r="N527" s="28">
        <v>0.0</v>
      </c>
      <c r="O527" s="28">
        <v>0.0</v>
      </c>
      <c r="P527" s="28">
        <v>0.0</v>
      </c>
      <c r="Q527" s="33"/>
      <c r="R527" s="11"/>
    </row>
    <row r="528" ht="15.75" customHeight="1">
      <c r="A528" s="13">
        <f t="shared" si="1"/>
        <v>527</v>
      </c>
      <c r="B528" s="15" t="s">
        <v>24</v>
      </c>
      <c r="C528" s="17">
        <v>1814.0</v>
      </c>
      <c r="D528" s="17" t="s">
        <v>87</v>
      </c>
      <c r="E528" s="17" t="s">
        <v>1294</v>
      </c>
      <c r="F528" s="23" t="s">
        <v>614</v>
      </c>
      <c r="G528" s="23" t="s">
        <v>1295</v>
      </c>
      <c r="H528" s="25" t="s">
        <v>36</v>
      </c>
      <c r="I528" s="30">
        <v>46181.0</v>
      </c>
      <c r="J528" s="17">
        <v>1.0</v>
      </c>
      <c r="K528" s="23" t="s">
        <v>38</v>
      </c>
      <c r="L528" s="28">
        <v>30000.0</v>
      </c>
      <c r="M528" s="28">
        <v>0.0</v>
      </c>
      <c r="N528" s="28">
        <v>0.0</v>
      </c>
      <c r="O528" s="28">
        <v>0.0</v>
      </c>
      <c r="P528" s="28">
        <v>0.0</v>
      </c>
      <c r="Q528" s="33"/>
      <c r="R528" s="11"/>
    </row>
    <row r="529" ht="15.75" customHeight="1">
      <c r="A529" s="13">
        <f t="shared" si="1"/>
        <v>528</v>
      </c>
      <c r="B529" s="15" t="s">
        <v>24</v>
      </c>
      <c r="C529" s="17">
        <v>1814.0</v>
      </c>
      <c r="D529" s="17" t="s">
        <v>46</v>
      </c>
      <c r="E529" s="17" t="s">
        <v>1298</v>
      </c>
      <c r="F529" s="152" t="s">
        <v>44</v>
      </c>
      <c r="G529" s="152" t="s">
        <v>45</v>
      </c>
      <c r="H529" s="25" t="s">
        <v>36</v>
      </c>
      <c r="I529" s="73">
        <v>46182.0</v>
      </c>
      <c r="J529" s="194">
        <v>0.0</v>
      </c>
      <c r="K529" s="23" t="s">
        <v>57</v>
      </c>
      <c r="L529" s="28">
        <v>8000.0</v>
      </c>
      <c r="M529" s="28">
        <v>0.0</v>
      </c>
      <c r="N529" s="28">
        <v>0.0</v>
      </c>
      <c r="O529" s="76">
        <v>0.0</v>
      </c>
      <c r="P529" s="77">
        <v>0.0</v>
      </c>
      <c r="Q529" s="33"/>
      <c r="R529" s="11"/>
    </row>
    <row r="530" ht="15.75" customHeight="1">
      <c r="A530" s="13">
        <f t="shared" si="1"/>
        <v>529</v>
      </c>
      <c r="B530" s="15" t="s">
        <v>24</v>
      </c>
      <c r="C530" s="17">
        <v>1814.0</v>
      </c>
      <c r="D530" s="17" t="s">
        <v>58</v>
      </c>
      <c r="E530" s="17" t="s">
        <v>1319</v>
      </c>
      <c r="F530" s="23" t="s">
        <v>92</v>
      </c>
      <c r="G530" s="23" t="s">
        <v>1056</v>
      </c>
      <c r="H530" s="25" t="s">
        <v>37</v>
      </c>
      <c r="I530" s="73">
        <v>46183.0</v>
      </c>
      <c r="J530" s="17">
        <v>1.0</v>
      </c>
      <c r="K530" s="23" t="s">
        <v>38</v>
      </c>
      <c r="L530" s="28">
        <v>10000.0</v>
      </c>
      <c r="M530" s="28">
        <v>0.0</v>
      </c>
      <c r="N530" s="28">
        <v>0.0</v>
      </c>
      <c r="O530" s="76">
        <v>0.0</v>
      </c>
      <c r="P530" s="77">
        <v>0.0</v>
      </c>
      <c r="Q530" s="33"/>
      <c r="R530" s="11"/>
    </row>
    <row r="531" ht="15.75" customHeight="1">
      <c r="A531" s="13">
        <f t="shared" si="1"/>
        <v>530</v>
      </c>
      <c r="B531" s="15" t="s">
        <v>24</v>
      </c>
      <c r="C531" s="17">
        <v>1814.0</v>
      </c>
      <c r="D531" s="17" t="s">
        <v>58</v>
      </c>
      <c r="E531" s="17" t="s">
        <v>1055</v>
      </c>
      <c r="F531" s="23" t="s">
        <v>92</v>
      </c>
      <c r="G531" s="23" t="s">
        <v>1056</v>
      </c>
      <c r="H531" s="25" t="s">
        <v>37</v>
      </c>
      <c r="I531" s="73">
        <v>46183.0</v>
      </c>
      <c r="J531" s="17">
        <v>0.0</v>
      </c>
      <c r="K531" s="23" t="s">
        <v>38</v>
      </c>
      <c r="L531" s="28">
        <v>70000.0</v>
      </c>
      <c r="M531" s="28">
        <v>0.0</v>
      </c>
      <c r="N531" s="28">
        <v>0.0</v>
      </c>
      <c r="O531" s="28">
        <v>0.0</v>
      </c>
      <c r="P531" s="28">
        <v>0.0</v>
      </c>
      <c r="Q531" s="200">
        <v>46205.0</v>
      </c>
      <c r="R531" s="11"/>
    </row>
    <row r="532" ht="15.75" customHeight="1">
      <c r="A532" s="13">
        <f t="shared" si="1"/>
        <v>531</v>
      </c>
      <c r="B532" s="15" t="s">
        <v>24</v>
      </c>
      <c r="C532" s="17">
        <v>1814.0</v>
      </c>
      <c r="D532" s="17" t="s">
        <v>87</v>
      </c>
      <c r="E532" s="17" t="s">
        <v>1329</v>
      </c>
      <c r="F532" s="23" t="s">
        <v>1189</v>
      </c>
      <c r="G532" s="23" t="s">
        <v>1330</v>
      </c>
      <c r="H532" s="25" t="s">
        <v>36</v>
      </c>
      <c r="I532" s="73">
        <v>46183.0</v>
      </c>
      <c r="J532" s="17">
        <v>1.0</v>
      </c>
      <c r="K532" s="23" t="s">
        <v>38</v>
      </c>
      <c r="L532" s="28">
        <v>10000.0</v>
      </c>
      <c r="M532" s="28">
        <v>0.0</v>
      </c>
      <c r="N532" s="28">
        <v>0.0</v>
      </c>
      <c r="O532" s="76">
        <v>0.0</v>
      </c>
      <c r="P532" s="77">
        <v>0.0</v>
      </c>
      <c r="Q532" s="33"/>
      <c r="R532" s="11"/>
    </row>
    <row r="533" ht="15.75" customHeight="1">
      <c r="A533" s="13">
        <f t="shared" si="1"/>
        <v>532</v>
      </c>
      <c r="B533" s="15" t="s">
        <v>24</v>
      </c>
      <c r="C533" s="17">
        <v>1814.0</v>
      </c>
      <c r="D533" s="17" t="s">
        <v>46</v>
      </c>
      <c r="E533" s="17" t="s">
        <v>1334</v>
      </c>
      <c r="F533" s="21" t="s">
        <v>52</v>
      </c>
      <c r="G533" s="21" t="s">
        <v>114</v>
      </c>
      <c r="H533" s="25" t="s">
        <v>36</v>
      </c>
      <c r="I533" s="73">
        <v>46184.0</v>
      </c>
      <c r="J533" s="17">
        <v>0.0</v>
      </c>
      <c r="K533" s="23" t="s">
        <v>57</v>
      </c>
      <c r="L533" s="28">
        <v>4000.0</v>
      </c>
      <c r="M533" s="28">
        <v>0.0</v>
      </c>
      <c r="N533" s="28">
        <v>0.0</v>
      </c>
      <c r="O533" s="76">
        <v>0.0</v>
      </c>
      <c r="P533" s="77">
        <v>0.0</v>
      </c>
      <c r="Q533" s="33"/>
      <c r="R533" s="11"/>
    </row>
    <row r="534" ht="15.75" customHeight="1">
      <c r="A534" s="13">
        <f t="shared" si="1"/>
        <v>533</v>
      </c>
      <c r="B534" s="15" t="s">
        <v>24</v>
      </c>
      <c r="C534" s="17">
        <v>1814.0</v>
      </c>
      <c r="D534" s="17" t="s">
        <v>46</v>
      </c>
      <c r="E534" s="17" t="s">
        <v>1336</v>
      </c>
      <c r="F534" s="65" t="s">
        <v>71</v>
      </c>
      <c r="G534" s="21" t="s">
        <v>114</v>
      </c>
      <c r="H534" s="25" t="s">
        <v>36</v>
      </c>
      <c r="I534" s="73">
        <v>46184.0</v>
      </c>
      <c r="J534" s="17">
        <v>0.0</v>
      </c>
      <c r="K534" s="23" t="s">
        <v>57</v>
      </c>
      <c r="L534" s="28">
        <v>4000.0</v>
      </c>
      <c r="M534" s="28">
        <v>0.0</v>
      </c>
      <c r="N534" s="28">
        <v>0.0</v>
      </c>
      <c r="O534" s="76">
        <v>0.0</v>
      </c>
      <c r="P534" s="77">
        <v>0.0</v>
      </c>
      <c r="Q534" s="33"/>
      <c r="R534" s="11"/>
    </row>
    <row r="535" ht="15.75" customHeight="1">
      <c r="A535" s="13">
        <f t="shared" si="1"/>
        <v>534</v>
      </c>
      <c r="B535" s="15" t="s">
        <v>24</v>
      </c>
      <c r="C535" s="17">
        <v>1814.0</v>
      </c>
      <c r="D535" s="17" t="s">
        <v>46</v>
      </c>
      <c r="E535" s="17" t="s">
        <v>1339</v>
      </c>
      <c r="F535" s="65" t="s">
        <v>71</v>
      </c>
      <c r="G535" s="21" t="s">
        <v>114</v>
      </c>
      <c r="H535" s="25" t="s">
        <v>36</v>
      </c>
      <c r="I535" s="73">
        <v>46184.0</v>
      </c>
      <c r="J535" s="17">
        <v>0.0</v>
      </c>
      <c r="K535" s="23" t="s">
        <v>38</v>
      </c>
      <c r="L535" s="28">
        <v>7000.0</v>
      </c>
      <c r="M535" s="28">
        <v>0.0</v>
      </c>
      <c r="N535" s="28">
        <v>0.0</v>
      </c>
      <c r="O535" s="76">
        <v>0.0</v>
      </c>
      <c r="P535" s="77">
        <v>0.0</v>
      </c>
      <c r="Q535" s="33"/>
      <c r="R535" s="11"/>
    </row>
    <row r="536" ht="15.75" customHeight="1">
      <c r="A536" s="13">
        <f t="shared" si="1"/>
        <v>535</v>
      </c>
      <c r="B536" s="15" t="s">
        <v>24</v>
      </c>
      <c r="C536" s="17">
        <v>1814.0</v>
      </c>
      <c r="D536" s="17" t="s">
        <v>87</v>
      </c>
      <c r="E536" s="17" t="s">
        <v>1343</v>
      </c>
      <c r="F536" s="23" t="s">
        <v>377</v>
      </c>
      <c r="G536" s="23" t="s">
        <v>1241</v>
      </c>
      <c r="H536" s="25" t="s">
        <v>36</v>
      </c>
      <c r="I536" s="73">
        <v>46184.0</v>
      </c>
      <c r="J536" s="17">
        <v>0.0</v>
      </c>
      <c r="K536" s="23" t="s">
        <v>38</v>
      </c>
      <c r="L536" s="28">
        <v>150000.0</v>
      </c>
      <c r="M536" s="28">
        <v>0.0</v>
      </c>
      <c r="N536" s="28">
        <v>0.0</v>
      </c>
      <c r="O536" s="28">
        <v>0.0</v>
      </c>
      <c r="P536" s="28">
        <v>0.0</v>
      </c>
      <c r="Q536" s="33"/>
      <c r="R536" s="11"/>
    </row>
    <row r="537" ht="15.75" customHeight="1">
      <c r="A537" s="13">
        <f t="shared" si="1"/>
        <v>536</v>
      </c>
      <c r="B537" s="15" t="s">
        <v>24</v>
      </c>
      <c r="C537" s="17">
        <v>1814.0</v>
      </c>
      <c r="D537" s="15"/>
      <c r="E537" s="17" t="s">
        <v>1361</v>
      </c>
      <c r="F537" s="181" t="s">
        <v>82</v>
      </c>
      <c r="G537" s="201" t="s">
        <v>1362</v>
      </c>
      <c r="H537" s="25"/>
      <c r="I537" s="30"/>
      <c r="J537" s="15"/>
      <c r="K537" s="25"/>
      <c r="L537" s="28"/>
      <c r="M537" s="28"/>
      <c r="N537" s="28"/>
      <c r="O537" s="28"/>
      <c r="P537" s="28"/>
      <c r="Q537" s="33"/>
      <c r="R537" s="11"/>
    </row>
    <row r="538" ht="15.75" customHeight="1">
      <c r="A538" s="13">
        <f t="shared" si="1"/>
        <v>537</v>
      </c>
      <c r="B538" s="15" t="s">
        <v>24</v>
      </c>
      <c r="C538" s="17">
        <v>1814.0</v>
      </c>
      <c r="D538" s="17" t="s">
        <v>87</v>
      </c>
      <c r="E538" s="17" t="s">
        <v>1345</v>
      </c>
      <c r="F538" s="23" t="s">
        <v>1016</v>
      </c>
      <c r="G538" s="23" t="s">
        <v>1347</v>
      </c>
      <c r="H538" s="25" t="s">
        <v>37</v>
      </c>
      <c r="I538" s="73">
        <v>46184.0</v>
      </c>
      <c r="J538" s="17">
        <v>1.0</v>
      </c>
      <c r="K538" s="23" t="s">
        <v>38</v>
      </c>
      <c r="L538" s="28">
        <v>5000.0</v>
      </c>
      <c r="M538" s="28">
        <v>0.0</v>
      </c>
      <c r="N538" s="28">
        <v>0.0</v>
      </c>
      <c r="O538" s="28">
        <v>0.0</v>
      </c>
      <c r="P538" s="28">
        <v>0.0</v>
      </c>
      <c r="Q538" s="33"/>
      <c r="R538" s="11"/>
    </row>
    <row r="539" ht="15.75" customHeight="1">
      <c r="A539" s="13">
        <f t="shared" si="1"/>
        <v>538</v>
      </c>
      <c r="B539" s="15" t="s">
        <v>24</v>
      </c>
      <c r="C539" s="17">
        <v>1814.0</v>
      </c>
      <c r="D539" s="17" t="s">
        <v>46</v>
      </c>
      <c r="E539" s="17" t="s">
        <v>1349</v>
      </c>
      <c r="F539" s="36" t="s">
        <v>169</v>
      </c>
      <c r="G539" s="36" t="s">
        <v>170</v>
      </c>
      <c r="H539" s="25" t="s">
        <v>36</v>
      </c>
      <c r="I539" s="73">
        <v>46184.0</v>
      </c>
      <c r="J539" s="17">
        <v>0.0</v>
      </c>
      <c r="K539" s="23" t="s">
        <v>57</v>
      </c>
      <c r="L539" s="28">
        <v>8500.0</v>
      </c>
      <c r="M539" s="28">
        <v>0.0</v>
      </c>
      <c r="N539" s="28">
        <v>0.0</v>
      </c>
      <c r="O539" s="76">
        <v>0.0</v>
      </c>
      <c r="P539" s="77">
        <v>0.0</v>
      </c>
      <c r="Q539" s="33"/>
      <c r="R539" s="11"/>
    </row>
    <row r="540" ht="15.75" customHeight="1">
      <c r="A540" s="13">
        <f t="shared" si="1"/>
        <v>539</v>
      </c>
      <c r="B540" s="15" t="s">
        <v>24</v>
      </c>
      <c r="C540" s="17">
        <v>1814.0</v>
      </c>
      <c r="D540" s="17" t="s">
        <v>58</v>
      </c>
      <c r="E540" s="17" t="s">
        <v>1350</v>
      </c>
      <c r="F540" s="36" t="s">
        <v>169</v>
      </c>
      <c r="G540" s="36" t="s">
        <v>170</v>
      </c>
      <c r="H540" s="25" t="s">
        <v>37</v>
      </c>
      <c r="I540" s="73">
        <v>46184.0</v>
      </c>
      <c r="J540" s="17">
        <v>0.0</v>
      </c>
      <c r="K540" s="23" t="s">
        <v>38</v>
      </c>
      <c r="L540" s="28">
        <v>3000.0</v>
      </c>
      <c r="M540" s="28">
        <v>0.0</v>
      </c>
      <c r="N540" s="28">
        <v>0.0</v>
      </c>
      <c r="O540" s="76">
        <v>0.0</v>
      </c>
      <c r="P540" s="77">
        <v>0.0</v>
      </c>
      <c r="Q540" s="33"/>
      <c r="R540" s="11"/>
    </row>
    <row r="541" ht="15.75" customHeight="1">
      <c r="A541" s="13">
        <f t="shared" si="1"/>
        <v>540</v>
      </c>
      <c r="B541" s="15" t="s">
        <v>24</v>
      </c>
      <c r="C541" s="17">
        <v>1814.0</v>
      </c>
      <c r="D541" s="17" t="s">
        <v>87</v>
      </c>
      <c r="E541" s="17" t="s">
        <v>1351</v>
      </c>
      <c r="F541" s="23" t="s">
        <v>142</v>
      </c>
      <c r="G541" s="23" t="s">
        <v>512</v>
      </c>
      <c r="H541" s="25" t="s">
        <v>37</v>
      </c>
      <c r="I541" s="73">
        <v>46184.0</v>
      </c>
      <c r="J541" s="17">
        <v>2.0</v>
      </c>
      <c r="K541" s="23" t="s">
        <v>38</v>
      </c>
      <c r="L541" s="28">
        <v>15000.0</v>
      </c>
      <c r="M541" s="28">
        <v>0.0</v>
      </c>
      <c r="N541" s="28">
        <v>0.0</v>
      </c>
      <c r="O541" s="76">
        <v>0.0</v>
      </c>
      <c r="P541" s="77">
        <v>0.0</v>
      </c>
      <c r="Q541" s="33"/>
      <c r="R541" s="11"/>
    </row>
    <row r="542" ht="15.75" customHeight="1">
      <c r="A542" s="13">
        <f t="shared" si="1"/>
        <v>541</v>
      </c>
      <c r="B542" s="15" t="s">
        <v>24</v>
      </c>
      <c r="C542" s="17">
        <v>1814.0</v>
      </c>
      <c r="D542" s="17" t="s">
        <v>46</v>
      </c>
      <c r="E542" s="17" t="s">
        <v>1352</v>
      </c>
      <c r="F542" s="94" t="s">
        <v>92</v>
      </c>
      <c r="G542" s="21" t="s">
        <v>742</v>
      </c>
      <c r="H542" s="25" t="s">
        <v>37</v>
      </c>
      <c r="I542" s="73">
        <v>46184.0</v>
      </c>
      <c r="J542" s="17">
        <v>0.0</v>
      </c>
      <c r="K542" s="23" t="s">
        <v>57</v>
      </c>
      <c r="L542" s="28">
        <v>9000.0</v>
      </c>
      <c r="M542" s="28">
        <v>0.0</v>
      </c>
      <c r="N542" s="28">
        <v>0.0</v>
      </c>
      <c r="O542" s="76">
        <v>0.0</v>
      </c>
      <c r="P542" s="77">
        <v>0.0</v>
      </c>
      <c r="Q542" s="33"/>
      <c r="R542" s="11"/>
    </row>
    <row r="543" ht="15.75" customHeight="1">
      <c r="A543" s="13">
        <f t="shared" si="1"/>
        <v>542</v>
      </c>
      <c r="B543" s="15" t="s">
        <v>24</v>
      </c>
      <c r="C543" s="17">
        <v>1814.0</v>
      </c>
      <c r="D543" s="17" t="s">
        <v>87</v>
      </c>
      <c r="E543" s="17" t="s">
        <v>1353</v>
      </c>
      <c r="F543" s="198" t="s">
        <v>142</v>
      </c>
      <c r="G543" s="223" t="s">
        <v>452</v>
      </c>
      <c r="H543" s="25" t="s">
        <v>37</v>
      </c>
      <c r="I543" s="73">
        <v>46184.0</v>
      </c>
      <c r="J543" s="17">
        <v>0.0</v>
      </c>
      <c r="K543" s="23" t="s">
        <v>38</v>
      </c>
      <c r="L543" s="28">
        <v>15000.0</v>
      </c>
      <c r="M543" s="28">
        <v>0.0</v>
      </c>
      <c r="N543" s="28">
        <v>0.0</v>
      </c>
      <c r="O543" s="76">
        <v>0.0</v>
      </c>
      <c r="P543" s="77">
        <v>0.0</v>
      </c>
      <c r="Q543" s="33"/>
      <c r="R543" s="11"/>
    </row>
    <row r="544" ht="15.75" customHeight="1">
      <c r="A544" s="13">
        <f t="shared" si="1"/>
        <v>543</v>
      </c>
      <c r="B544" s="15" t="s">
        <v>24</v>
      </c>
      <c r="C544" s="17">
        <v>1814.0</v>
      </c>
      <c r="D544" s="17" t="s">
        <v>58</v>
      </c>
      <c r="E544" s="17" t="s">
        <v>1354</v>
      </c>
      <c r="F544" s="94" t="s">
        <v>92</v>
      </c>
      <c r="G544" s="23" t="s">
        <v>700</v>
      </c>
      <c r="H544" s="25" t="s">
        <v>36</v>
      </c>
      <c r="I544" s="73">
        <v>46184.0</v>
      </c>
      <c r="J544" s="17">
        <v>0.0</v>
      </c>
      <c r="K544" s="23" t="s">
        <v>38</v>
      </c>
      <c r="L544" s="28">
        <v>10000.0</v>
      </c>
      <c r="M544" s="28">
        <v>0.0</v>
      </c>
      <c r="N544" s="28">
        <v>0.0</v>
      </c>
      <c r="O544" s="76">
        <v>0.0</v>
      </c>
      <c r="P544" s="77">
        <v>0.0</v>
      </c>
      <c r="Q544" s="33"/>
      <c r="R544" s="11"/>
    </row>
    <row r="545" ht="15.75" customHeight="1">
      <c r="A545" s="13">
        <f t="shared" si="1"/>
        <v>544</v>
      </c>
      <c r="B545" s="15" t="s">
        <v>24</v>
      </c>
      <c r="C545" s="17">
        <v>1814.0</v>
      </c>
      <c r="D545" s="17" t="s">
        <v>46</v>
      </c>
      <c r="E545" s="17" t="s">
        <v>1355</v>
      </c>
      <c r="F545" s="21" t="s">
        <v>488</v>
      </c>
      <c r="G545" s="36" t="s">
        <v>697</v>
      </c>
      <c r="H545" s="25" t="s">
        <v>36</v>
      </c>
      <c r="I545" s="73">
        <v>46184.0</v>
      </c>
      <c r="J545" s="17">
        <v>0.0</v>
      </c>
      <c r="K545" s="23" t="s">
        <v>57</v>
      </c>
      <c r="L545" s="28">
        <v>10000.0</v>
      </c>
      <c r="M545" s="28">
        <v>0.0</v>
      </c>
      <c r="N545" s="28">
        <v>0.0</v>
      </c>
      <c r="O545" s="76">
        <v>0.0</v>
      </c>
      <c r="P545" s="77">
        <v>0.0</v>
      </c>
      <c r="Q545" s="33"/>
      <c r="R545" s="11"/>
    </row>
    <row r="546" ht="15.75" customHeight="1">
      <c r="A546" s="13">
        <f t="shared" si="1"/>
        <v>545</v>
      </c>
      <c r="B546" s="15" t="s">
        <v>24</v>
      </c>
      <c r="C546" s="17">
        <v>1814.0</v>
      </c>
      <c r="D546" s="17" t="s">
        <v>87</v>
      </c>
      <c r="E546" s="17" t="s">
        <v>1356</v>
      </c>
      <c r="F546" s="23" t="s">
        <v>223</v>
      </c>
      <c r="G546" s="23" t="s">
        <v>392</v>
      </c>
      <c r="H546" s="25" t="s">
        <v>37</v>
      </c>
      <c r="I546" s="30">
        <v>46184.0</v>
      </c>
      <c r="J546" s="17">
        <v>0.0</v>
      </c>
      <c r="K546" s="23" t="s">
        <v>38</v>
      </c>
      <c r="L546" s="28">
        <v>100000.0</v>
      </c>
      <c r="M546" s="28">
        <v>0.0</v>
      </c>
      <c r="N546" s="28">
        <v>0.0</v>
      </c>
      <c r="O546" s="76">
        <v>0.0</v>
      </c>
      <c r="P546" s="77">
        <v>0.0</v>
      </c>
      <c r="Q546" s="33"/>
      <c r="R546" s="11"/>
    </row>
    <row r="547" ht="15.75" customHeight="1">
      <c r="A547" s="13">
        <f t="shared" si="1"/>
        <v>546</v>
      </c>
      <c r="B547" s="15" t="s">
        <v>24</v>
      </c>
      <c r="C547" s="17">
        <v>1814.0</v>
      </c>
      <c r="D547" s="17" t="s">
        <v>87</v>
      </c>
      <c r="E547" s="17" t="s">
        <v>1357</v>
      </c>
      <c r="F547" s="23" t="s">
        <v>49</v>
      </c>
      <c r="G547" s="236" t="s">
        <v>967</v>
      </c>
      <c r="H547" s="25" t="s">
        <v>36</v>
      </c>
      <c r="I547" s="30">
        <v>46186.0</v>
      </c>
      <c r="J547" s="17">
        <v>1.0</v>
      </c>
      <c r="K547" s="23" t="s">
        <v>38</v>
      </c>
      <c r="L547" s="28">
        <v>50000.0</v>
      </c>
      <c r="M547" s="28">
        <v>0.0</v>
      </c>
      <c r="N547" s="28">
        <v>0.0</v>
      </c>
      <c r="O547" s="76">
        <v>0.0</v>
      </c>
      <c r="P547" s="77">
        <v>0.0</v>
      </c>
      <c r="Q547" s="33"/>
      <c r="R547" s="11"/>
    </row>
    <row r="548" ht="15.75" customHeight="1">
      <c r="A548" s="13">
        <f t="shared" si="1"/>
        <v>547</v>
      </c>
      <c r="B548" s="15" t="s">
        <v>24</v>
      </c>
      <c r="C548" s="17">
        <v>1814.0</v>
      </c>
      <c r="D548" s="17" t="s">
        <v>46</v>
      </c>
      <c r="E548" s="17" t="s">
        <v>1358</v>
      </c>
      <c r="F548" s="237" t="s">
        <v>272</v>
      </c>
      <c r="G548" s="23" t="s">
        <v>318</v>
      </c>
      <c r="H548" s="25" t="s">
        <v>36</v>
      </c>
      <c r="I548" s="30">
        <v>46186.0</v>
      </c>
      <c r="J548" s="17">
        <v>0.0</v>
      </c>
      <c r="K548" s="23" t="s">
        <v>57</v>
      </c>
      <c r="L548" s="28">
        <v>5000.0</v>
      </c>
      <c r="M548" s="28">
        <v>0.0</v>
      </c>
      <c r="N548" s="28">
        <v>0.0</v>
      </c>
      <c r="O548" s="76">
        <v>0.0</v>
      </c>
      <c r="P548" s="77">
        <v>0.0</v>
      </c>
      <c r="Q548" s="33"/>
      <c r="R548" s="11"/>
    </row>
    <row r="549" ht="15.75" customHeight="1">
      <c r="A549" s="13">
        <f t="shared" si="1"/>
        <v>548</v>
      </c>
      <c r="B549" s="15" t="s">
        <v>24</v>
      </c>
      <c r="C549" s="17">
        <v>1814.0</v>
      </c>
      <c r="D549" s="17" t="s">
        <v>46</v>
      </c>
      <c r="E549" s="17" t="s">
        <v>1359</v>
      </c>
      <c r="F549" s="21" t="s">
        <v>60</v>
      </c>
      <c r="G549" s="21" t="s">
        <v>161</v>
      </c>
      <c r="H549" s="25" t="s">
        <v>36</v>
      </c>
      <c r="I549" s="30">
        <v>46186.0</v>
      </c>
      <c r="J549" s="17">
        <v>0.0</v>
      </c>
      <c r="K549" s="23" t="s">
        <v>57</v>
      </c>
      <c r="L549" s="28">
        <v>7300.0</v>
      </c>
      <c r="M549" s="28">
        <v>0.0</v>
      </c>
      <c r="N549" s="28">
        <v>0.0</v>
      </c>
      <c r="O549" s="76">
        <v>0.0</v>
      </c>
      <c r="P549" s="77">
        <v>0.0</v>
      </c>
      <c r="Q549" s="33"/>
      <c r="R549" s="11"/>
    </row>
    <row r="550" ht="15.75" customHeight="1">
      <c r="A550" s="13">
        <f t="shared" si="1"/>
        <v>549</v>
      </c>
      <c r="B550" s="15" t="s">
        <v>24</v>
      </c>
      <c r="C550" s="17">
        <v>1814.0</v>
      </c>
      <c r="D550" s="17" t="s">
        <v>182</v>
      </c>
      <c r="E550" s="17" t="s">
        <v>1363</v>
      </c>
      <c r="F550" s="23" t="s">
        <v>1364</v>
      </c>
      <c r="G550" s="23" t="s">
        <v>1365</v>
      </c>
      <c r="H550" s="25" t="s">
        <v>36</v>
      </c>
      <c r="I550" s="30">
        <v>46187.0</v>
      </c>
      <c r="J550" s="17">
        <v>0.0</v>
      </c>
      <c r="K550" s="23" t="s">
        <v>38</v>
      </c>
      <c r="L550" s="28">
        <v>0.0</v>
      </c>
      <c r="M550" s="28">
        <v>0.0</v>
      </c>
      <c r="N550" s="28">
        <v>0.0</v>
      </c>
      <c r="O550" s="28">
        <v>100000.0</v>
      </c>
      <c r="P550" s="28">
        <v>0.0</v>
      </c>
      <c r="Q550" s="30">
        <v>46203.0</v>
      </c>
      <c r="R550" s="11"/>
    </row>
    <row r="551" ht="15.75" customHeight="1">
      <c r="A551" s="13">
        <f t="shared" si="1"/>
        <v>550</v>
      </c>
      <c r="B551" s="15" t="s">
        <v>24</v>
      </c>
      <c r="C551" s="17">
        <v>1814.0</v>
      </c>
      <c r="D551" s="17" t="s">
        <v>87</v>
      </c>
      <c r="E551" s="17" t="s">
        <v>1367</v>
      </c>
      <c r="F551" s="23" t="s">
        <v>614</v>
      </c>
      <c r="G551" s="23" t="s">
        <v>1368</v>
      </c>
      <c r="H551" s="25" t="s">
        <v>37</v>
      </c>
      <c r="I551" s="30">
        <v>46187.0</v>
      </c>
      <c r="J551" s="17">
        <v>1.0</v>
      </c>
      <c r="K551" s="23" t="s">
        <v>38</v>
      </c>
      <c r="L551" s="28">
        <v>0.0</v>
      </c>
      <c r="M551" s="28">
        <v>100000.0</v>
      </c>
      <c r="N551" s="28">
        <v>0.0</v>
      </c>
      <c r="O551" s="76">
        <v>0.0</v>
      </c>
      <c r="P551" s="77">
        <v>0.0</v>
      </c>
      <c r="Q551" s="33"/>
      <c r="R551" s="11"/>
    </row>
    <row r="552" ht="15.75" customHeight="1">
      <c r="A552" s="13">
        <f t="shared" si="1"/>
        <v>551</v>
      </c>
      <c r="B552" s="15" t="s">
        <v>24</v>
      </c>
      <c r="C552" s="17">
        <v>1829.0</v>
      </c>
      <c r="D552" s="17" t="s">
        <v>46</v>
      </c>
      <c r="E552" s="35" t="s">
        <v>1366</v>
      </c>
      <c r="F552" s="238" t="s">
        <v>377</v>
      </c>
      <c r="G552" s="78" t="s">
        <v>1164</v>
      </c>
      <c r="H552" s="25" t="s">
        <v>36</v>
      </c>
      <c r="I552" s="30">
        <v>46187.0</v>
      </c>
      <c r="J552" s="17">
        <v>0.0</v>
      </c>
      <c r="K552" s="23" t="s">
        <v>57</v>
      </c>
      <c r="L552" s="28">
        <v>6100.0</v>
      </c>
      <c r="M552" s="28">
        <v>0.0</v>
      </c>
      <c r="N552" s="28">
        <v>0.0</v>
      </c>
      <c r="O552" s="76">
        <v>0.0</v>
      </c>
      <c r="P552" s="77">
        <v>0.0</v>
      </c>
      <c r="Q552" s="33"/>
      <c r="R552" s="11"/>
    </row>
    <row r="553" ht="15.75" customHeight="1">
      <c r="A553" s="13">
        <f t="shared" si="1"/>
        <v>552</v>
      </c>
      <c r="B553" s="15" t="s">
        <v>24</v>
      </c>
      <c r="C553" s="17">
        <v>1829.0</v>
      </c>
      <c r="D553" s="17" t="s">
        <v>87</v>
      </c>
      <c r="E553" s="17" t="s">
        <v>1360</v>
      </c>
      <c r="F553" s="23" t="s">
        <v>49</v>
      </c>
      <c r="G553" s="236" t="s">
        <v>967</v>
      </c>
      <c r="H553" s="25" t="s">
        <v>36</v>
      </c>
      <c r="I553" s="30">
        <v>46187.0</v>
      </c>
      <c r="J553" s="17">
        <v>0.0</v>
      </c>
      <c r="K553" s="23" t="s">
        <v>38</v>
      </c>
      <c r="L553" s="28">
        <v>50000.0</v>
      </c>
      <c r="M553" s="28">
        <v>0.0</v>
      </c>
      <c r="N553" s="28">
        <v>0.0</v>
      </c>
      <c r="O553" s="76">
        <v>0.0</v>
      </c>
      <c r="P553" s="77">
        <v>0.0</v>
      </c>
      <c r="Q553" s="33"/>
      <c r="R553" s="11"/>
    </row>
    <row r="554" ht="15.75" customHeight="1">
      <c r="A554" s="13">
        <f t="shared" si="1"/>
        <v>553</v>
      </c>
      <c r="B554" s="15" t="s">
        <v>24</v>
      </c>
      <c r="C554" s="17">
        <v>1829.0</v>
      </c>
      <c r="D554" s="17" t="s">
        <v>87</v>
      </c>
      <c r="E554" s="17" t="s">
        <v>1370</v>
      </c>
      <c r="F554" s="23" t="s">
        <v>142</v>
      </c>
      <c r="G554" s="78" t="s">
        <v>1227</v>
      </c>
      <c r="H554" s="23" t="s">
        <v>55</v>
      </c>
      <c r="I554" s="32">
        <v>46189.0</v>
      </c>
      <c r="J554" s="17">
        <v>0.0</v>
      </c>
      <c r="K554" s="23" t="s">
        <v>38</v>
      </c>
      <c r="L554" s="28">
        <v>40000.0</v>
      </c>
      <c r="M554" s="28">
        <v>0.0</v>
      </c>
      <c r="N554" s="28">
        <v>0.0</v>
      </c>
      <c r="O554" s="28">
        <v>0.0</v>
      </c>
      <c r="P554" s="28">
        <v>0.0</v>
      </c>
      <c r="Q554" s="33"/>
      <c r="R554" s="11"/>
    </row>
    <row r="555" ht="15.75" customHeight="1">
      <c r="A555" s="13">
        <f t="shared" si="1"/>
        <v>554</v>
      </c>
      <c r="B555" s="15" t="s">
        <v>24</v>
      </c>
      <c r="C555" s="17">
        <v>1829.0</v>
      </c>
      <c r="D555" s="17" t="s">
        <v>58</v>
      </c>
      <c r="E555" s="17" t="s">
        <v>1369</v>
      </c>
      <c r="F555" s="80" t="s">
        <v>60</v>
      </c>
      <c r="G555" s="23" t="s">
        <v>209</v>
      </c>
      <c r="H555" s="17" t="s">
        <v>212</v>
      </c>
      <c r="I555" s="30">
        <v>46188.0</v>
      </c>
      <c r="J555" s="17">
        <v>0.0</v>
      </c>
      <c r="K555" s="23" t="s">
        <v>38</v>
      </c>
      <c r="L555" s="28">
        <v>5000.0</v>
      </c>
      <c r="M555" s="28">
        <v>0.0</v>
      </c>
      <c r="N555" s="28">
        <v>0.0</v>
      </c>
      <c r="O555" s="28">
        <v>0.0</v>
      </c>
      <c r="P555" s="28">
        <v>0.0</v>
      </c>
      <c r="Q555" s="33"/>
      <c r="R555" s="11"/>
    </row>
    <row r="556" ht="15.75" customHeight="1">
      <c r="A556" s="13">
        <f t="shared" si="1"/>
        <v>555</v>
      </c>
      <c r="B556" s="15" t="s">
        <v>24</v>
      </c>
      <c r="C556" s="17">
        <v>1829.0</v>
      </c>
      <c r="D556" s="17" t="s">
        <v>182</v>
      </c>
      <c r="E556" s="17" t="s">
        <v>1371</v>
      </c>
      <c r="F556" s="23" t="s">
        <v>1364</v>
      </c>
      <c r="G556" s="23" t="s">
        <v>1372</v>
      </c>
      <c r="H556" s="25" t="s">
        <v>37</v>
      </c>
      <c r="I556" s="32">
        <v>46189.0</v>
      </c>
      <c r="J556" s="17">
        <v>20.0</v>
      </c>
      <c r="K556" s="23" t="s">
        <v>38</v>
      </c>
      <c r="L556" s="28">
        <v>0.0</v>
      </c>
      <c r="M556" s="28">
        <v>0.0</v>
      </c>
      <c r="N556" s="28">
        <v>0.0</v>
      </c>
      <c r="O556" s="28">
        <v>20000.0</v>
      </c>
      <c r="P556" s="28"/>
      <c r="Q556" s="30">
        <v>46199.0</v>
      </c>
      <c r="R556" s="11"/>
    </row>
    <row r="557" ht="15.75" customHeight="1">
      <c r="A557" s="13">
        <f t="shared" si="1"/>
        <v>556</v>
      </c>
      <c r="B557" s="15" t="s">
        <v>24</v>
      </c>
      <c r="C557" s="17">
        <v>1848.0</v>
      </c>
      <c r="D557" s="17" t="s">
        <v>182</v>
      </c>
      <c r="E557" s="35" t="s">
        <v>1380</v>
      </c>
      <c r="F557" s="23" t="s">
        <v>1364</v>
      </c>
      <c r="G557" s="23" t="s">
        <v>1373</v>
      </c>
      <c r="H557" s="25" t="s">
        <v>37</v>
      </c>
      <c r="I557" s="32">
        <v>46189.0</v>
      </c>
      <c r="J557" s="17">
        <v>20.0</v>
      </c>
      <c r="K557" s="23" t="s">
        <v>38</v>
      </c>
      <c r="L557" s="28">
        <v>0.0</v>
      </c>
      <c r="M557" s="28">
        <v>0.0</v>
      </c>
      <c r="N557" s="28">
        <v>0.0</v>
      </c>
      <c r="O557" s="28">
        <v>20000.0</v>
      </c>
      <c r="P557" s="28"/>
      <c r="Q557" s="30">
        <v>46199.0</v>
      </c>
      <c r="R557" s="11"/>
    </row>
    <row r="558" ht="15.75" customHeight="1">
      <c r="A558" s="13">
        <f t="shared" si="1"/>
        <v>557</v>
      </c>
      <c r="B558" s="15" t="s">
        <v>24</v>
      </c>
      <c r="C558" s="17">
        <v>1848.0</v>
      </c>
      <c r="D558" s="17" t="s">
        <v>87</v>
      </c>
      <c r="E558" s="17" t="s">
        <v>1374</v>
      </c>
      <c r="F558" s="23" t="s">
        <v>1189</v>
      </c>
      <c r="G558" s="23" t="s">
        <v>1190</v>
      </c>
      <c r="H558" s="25" t="s">
        <v>36</v>
      </c>
      <c r="I558" s="32">
        <v>46190.0</v>
      </c>
      <c r="J558" s="17">
        <v>1.0</v>
      </c>
      <c r="K558" s="23" t="s">
        <v>38</v>
      </c>
      <c r="L558" s="28">
        <v>0.0</v>
      </c>
      <c r="M558" s="28">
        <v>60000.0</v>
      </c>
      <c r="N558" s="28">
        <v>0.0</v>
      </c>
      <c r="O558" s="28">
        <v>0.0</v>
      </c>
      <c r="P558" s="28">
        <v>0.0</v>
      </c>
      <c r="Q558" s="33"/>
      <c r="R558" s="11"/>
    </row>
    <row r="559" ht="15.75" customHeight="1">
      <c r="A559" s="13">
        <f t="shared" si="1"/>
        <v>558</v>
      </c>
      <c r="B559" s="15" t="s">
        <v>24</v>
      </c>
      <c r="C559" s="17">
        <v>1848.0</v>
      </c>
      <c r="D559" s="17" t="s">
        <v>87</v>
      </c>
      <c r="E559" s="17" t="s">
        <v>1375</v>
      </c>
      <c r="F559" s="23" t="s">
        <v>91</v>
      </c>
      <c r="G559" s="23" t="s">
        <v>134</v>
      </c>
      <c r="H559" s="25" t="s">
        <v>36</v>
      </c>
      <c r="I559" s="30">
        <v>46191.0</v>
      </c>
      <c r="J559" s="17">
        <v>0.0</v>
      </c>
      <c r="K559" s="23" t="s">
        <v>38</v>
      </c>
      <c r="L559" s="28">
        <v>0.0</v>
      </c>
      <c r="M559" s="28">
        <v>50000.0</v>
      </c>
      <c r="N559" s="28">
        <v>0.0</v>
      </c>
      <c r="O559" s="76">
        <v>0.0</v>
      </c>
      <c r="P559" s="77">
        <v>0.0</v>
      </c>
      <c r="Q559" s="33"/>
      <c r="R559" s="11"/>
    </row>
    <row r="560" ht="15.75" customHeight="1">
      <c r="A560" s="13">
        <f t="shared" si="1"/>
        <v>559</v>
      </c>
      <c r="B560" s="15" t="s">
        <v>24</v>
      </c>
      <c r="C560" s="17">
        <v>1848.0</v>
      </c>
      <c r="D560" s="17" t="s">
        <v>87</v>
      </c>
      <c r="E560" s="17" t="s">
        <v>1376</v>
      </c>
      <c r="F560" s="23" t="s">
        <v>142</v>
      </c>
      <c r="G560" s="78" t="s">
        <v>1227</v>
      </c>
      <c r="H560" s="23" t="s">
        <v>55</v>
      </c>
      <c r="I560" s="32">
        <v>46191.0</v>
      </c>
      <c r="J560" s="17">
        <v>0.0</v>
      </c>
      <c r="K560" s="23" t="s">
        <v>38</v>
      </c>
      <c r="L560" s="28">
        <v>46000.0</v>
      </c>
      <c r="M560" s="28">
        <v>0.0</v>
      </c>
      <c r="N560" s="28">
        <v>0.0</v>
      </c>
      <c r="O560" s="28">
        <v>0.0</v>
      </c>
      <c r="P560" s="28">
        <v>0.0</v>
      </c>
      <c r="Q560" s="33"/>
      <c r="R560" s="11"/>
    </row>
    <row r="561" ht="15.75" customHeight="1">
      <c r="A561" s="13">
        <f t="shared" si="1"/>
        <v>560</v>
      </c>
      <c r="B561" s="15" t="s">
        <v>24</v>
      </c>
      <c r="C561" s="17">
        <v>1848.0</v>
      </c>
      <c r="D561" s="17" t="s">
        <v>46</v>
      </c>
      <c r="E561" s="17" t="s">
        <v>1377</v>
      </c>
      <c r="F561" s="152" t="s">
        <v>44</v>
      </c>
      <c r="G561" s="152" t="s">
        <v>478</v>
      </c>
      <c r="H561" s="25" t="s">
        <v>37</v>
      </c>
      <c r="I561" s="32">
        <v>46191.0</v>
      </c>
      <c r="J561" s="17">
        <v>0.0</v>
      </c>
      <c r="K561" s="23" t="s">
        <v>57</v>
      </c>
      <c r="L561" s="28">
        <v>5500.0</v>
      </c>
      <c r="M561" s="28">
        <v>0.0</v>
      </c>
      <c r="N561" s="28">
        <v>0.0</v>
      </c>
      <c r="O561" s="28">
        <v>0.0</v>
      </c>
      <c r="P561" s="28">
        <v>0.0</v>
      </c>
      <c r="Q561" s="33"/>
      <c r="R561" s="11"/>
    </row>
    <row r="562" ht="15.75" customHeight="1">
      <c r="A562" s="13">
        <f t="shared" si="1"/>
        <v>561</v>
      </c>
      <c r="B562" s="15" t="s">
        <v>24</v>
      </c>
      <c r="C562" s="17">
        <v>1848.0</v>
      </c>
      <c r="D562" s="17" t="s">
        <v>46</v>
      </c>
      <c r="E562" s="17" t="s">
        <v>1378</v>
      </c>
      <c r="F562" s="152" t="s">
        <v>44</v>
      </c>
      <c r="G562" s="152" t="s">
        <v>478</v>
      </c>
      <c r="H562" s="25" t="s">
        <v>36</v>
      </c>
      <c r="I562" s="32">
        <v>46191.0</v>
      </c>
      <c r="J562" s="17">
        <v>0.0</v>
      </c>
      <c r="K562" s="23" t="s">
        <v>57</v>
      </c>
      <c r="L562" s="28">
        <v>11000.0</v>
      </c>
      <c r="M562" s="28">
        <v>0.0</v>
      </c>
      <c r="N562" s="28">
        <v>0.0</v>
      </c>
      <c r="O562" s="28">
        <v>0.0</v>
      </c>
      <c r="P562" s="28">
        <v>0.0</v>
      </c>
      <c r="Q562" s="33"/>
      <c r="R562" s="11"/>
    </row>
    <row r="563" ht="15.75" customHeight="1">
      <c r="A563" s="13">
        <f t="shared" si="1"/>
        <v>562</v>
      </c>
      <c r="B563" s="15" t="s">
        <v>24</v>
      </c>
      <c r="C563" s="17">
        <v>1848.0</v>
      </c>
      <c r="D563" s="17" t="s">
        <v>46</v>
      </c>
      <c r="E563" s="17" t="s">
        <v>1379</v>
      </c>
      <c r="F563" s="67" t="s">
        <v>44</v>
      </c>
      <c r="G563" s="67" t="s">
        <v>493</v>
      </c>
      <c r="H563" s="25" t="s">
        <v>37</v>
      </c>
      <c r="I563" s="32">
        <v>46191.0</v>
      </c>
      <c r="J563" s="17">
        <v>0.0</v>
      </c>
      <c r="K563" s="23" t="s">
        <v>57</v>
      </c>
      <c r="L563" s="28">
        <v>5500.0</v>
      </c>
      <c r="M563" s="28">
        <v>0.0</v>
      </c>
      <c r="N563" s="28">
        <v>0.0</v>
      </c>
      <c r="O563" s="28">
        <v>0.0</v>
      </c>
      <c r="P563" s="28">
        <v>0.0</v>
      </c>
      <c r="Q563" s="33"/>
      <c r="R563" s="11"/>
    </row>
    <row r="564" ht="15.75" customHeight="1">
      <c r="A564" s="13">
        <f t="shared" si="1"/>
        <v>563</v>
      </c>
      <c r="B564" s="15" t="s">
        <v>24</v>
      </c>
      <c r="C564" s="17">
        <v>1848.0</v>
      </c>
      <c r="D564" s="17" t="s">
        <v>87</v>
      </c>
      <c r="E564" s="17" t="s">
        <v>1381</v>
      </c>
      <c r="F564" s="23" t="s">
        <v>223</v>
      </c>
      <c r="G564" s="23" t="s">
        <v>392</v>
      </c>
      <c r="H564" s="25" t="s">
        <v>37</v>
      </c>
      <c r="I564" s="30">
        <v>46191.0</v>
      </c>
      <c r="J564" s="17">
        <v>0.0</v>
      </c>
      <c r="K564" s="23" t="s">
        <v>38</v>
      </c>
      <c r="L564" s="28">
        <v>50000.0</v>
      </c>
      <c r="M564" s="28">
        <v>0.0</v>
      </c>
      <c r="N564" s="28">
        <v>0.0</v>
      </c>
      <c r="O564" s="76">
        <v>0.0</v>
      </c>
      <c r="P564" s="77">
        <v>0.0</v>
      </c>
      <c r="Q564" s="33"/>
      <c r="R564" s="11"/>
    </row>
    <row r="565" ht="15.75" customHeight="1">
      <c r="A565" s="13">
        <f t="shared" si="1"/>
        <v>564</v>
      </c>
      <c r="B565" s="15" t="s">
        <v>24</v>
      </c>
      <c r="C565" s="17">
        <v>1848.0</v>
      </c>
      <c r="D565" s="17" t="s">
        <v>46</v>
      </c>
      <c r="E565" s="17" t="s">
        <v>1382</v>
      </c>
      <c r="F565" s="67" t="s">
        <v>51</v>
      </c>
      <c r="G565" s="67" t="s">
        <v>428</v>
      </c>
      <c r="H565" s="25" t="s">
        <v>36</v>
      </c>
      <c r="I565" s="30">
        <v>46193.0</v>
      </c>
      <c r="J565" s="17">
        <v>0.0</v>
      </c>
      <c r="K565" s="23" t="s">
        <v>57</v>
      </c>
      <c r="L565" s="28">
        <v>7000.0</v>
      </c>
      <c r="M565" s="28">
        <v>0.0</v>
      </c>
      <c r="N565" s="28">
        <v>0.0</v>
      </c>
      <c r="O565" s="28">
        <v>0.0</v>
      </c>
      <c r="P565" s="28">
        <v>0.0</v>
      </c>
      <c r="Q565" s="33"/>
      <c r="R565" s="11"/>
    </row>
    <row r="566" ht="15.75" customHeight="1">
      <c r="A566" s="13">
        <f t="shared" si="1"/>
        <v>565</v>
      </c>
      <c r="B566" s="15" t="s">
        <v>24</v>
      </c>
      <c r="C566" s="17">
        <v>1848.0</v>
      </c>
      <c r="D566" s="17" t="s">
        <v>46</v>
      </c>
      <c r="E566" s="17" t="s">
        <v>1383</v>
      </c>
      <c r="F566" s="21" t="s">
        <v>142</v>
      </c>
      <c r="G566" s="51" t="s">
        <v>338</v>
      </c>
      <c r="H566" s="25" t="s">
        <v>36</v>
      </c>
      <c r="I566" s="30">
        <v>46194.0</v>
      </c>
      <c r="J566" s="17">
        <v>0.0</v>
      </c>
      <c r="K566" s="23" t="s">
        <v>57</v>
      </c>
      <c r="L566" s="28">
        <v>20000.0</v>
      </c>
      <c r="M566" s="28">
        <v>0.0</v>
      </c>
      <c r="N566" s="28">
        <v>0.0</v>
      </c>
      <c r="O566" s="28">
        <v>0.0</v>
      </c>
      <c r="P566" s="28">
        <v>0.0</v>
      </c>
      <c r="Q566" s="33"/>
      <c r="R566" s="11"/>
    </row>
    <row r="567" ht="15.75" customHeight="1">
      <c r="A567" s="13">
        <f t="shared" si="1"/>
        <v>566</v>
      </c>
      <c r="B567" s="15" t="s">
        <v>24</v>
      </c>
      <c r="C567" s="17">
        <v>1848.0</v>
      </c>
      <c r="D567" s="17" t="s">
        <v>87</v>
      </c>
      <c r="E567" s="17" t="s">
        <v>1384</v>
      </c>
      <c r="F567" s="23" t="s">
        <v>614</v>
      </c>
      <c r="G567" s="23" t="s">
        <v>1385</v>
      </c>
      <c r="H567" s="25" t="s">
        <v>36</v>
      </c>
      <c r="I567" s="30">
        <v>46195.0</v>
      </c>
      <c r="J567" s="17">
        <v>1.0</v>
      </c>
      <c r="K567" s="23" t="s">
        <v>38</v>
      </c>
      <c r="L567" s="28">
        <v>0.0</v>
      </c>
      <c r="M567" s="28">
        <v>50000.0</v>
      </c>
      <c r="N567" s="28">
        <v>0.0</v>
      </c>
      <c r="O567" s="28">
        <v>0.0</v>
      </c>
      <c r="P567" s="28">
        <v>0.0</v>
      </c>
      <c r="Q567" s="33"/>
      <c r="R567" s="11"/>
    </row>
    <row r="568" ht="15.75" customHeight="1">
      <c r="A568" s="13">
        <f t="shared" si="1"/>
        <v>567</v>
      </c>
      <c r="B568" s="15" t="s">
        <v>24</v>
      </c>
      <c r="C568" s="17">
        <v>1848.0</v>
      </c>
      <c r="D568" s="17" t="s">
        <v>182</v>
      </c>
      <c r="E568" s="17" t="s">
        <v>1386</v>
      </c>
      <c r="F568" s="23" t="s">
        <v>84</v>
      </c>
      <c r="G568" s="23" t="s">
        <v>575</v>
      </c>
      <c r="H568" s="25" t="s">
        <v>36</v>
      </c>
      <c r="I568" s="30">
        <v>46195.0</v>
      </c>
      <c r="J568" s="17">
        <v>0.0</v>
      </c>
      <c r="K568" s="23" t="s">
        <v>38</v>
      </c>
      <c r="L568" s="28">
        <v>50000.0</v>
      </c>
      <c r="M568" s="28">
        <v>0.0</v>
      </c>
      <c r="N568" s="28">
        <v>0.0</v>
      </c>
      <c r="O568" s="28">
        <v>0.0</v>
      </c>
      <c r="P568" s="28">
        <v>0.0</v>
      </c>
      <c r="Q568" s="33"/>
      <c r="R568" s="11"/>
    </row>
    <row r="569" ht="15.75" customHeight="1">
      <c r="A569" s="13">
        <f t="shared" si="1"/>
        <v>568</v>
      </c>
      <c r="B569" s="15" t="s">
        <v>24</v>
      </c>
      <c r="C569" s="17">
        <v>1848.0</v>
      </c>
      <c r="D569" s="17" t="s">
        <v>87</v>
      </c>
      <c r="E569" s="17" t="s">
        <v>1387</v>
      </c>
      <c r="F569" s="21" t="s">
        <v>142</v>
      </c>
      <c r="G569" s="23" t="s">
        <v>1227</v>
      </c>
      <c r="H569" s="17" t="s">
        <v>212</v>
      </c>
      <c r="I569" s="30">
        <v>46195.0</v>
      </c>
      <c r="J569" s="17">
        <v>2.0</v>
      </c>
      <c r="K569" s="23" t="s">
        <v>38</v>
      </c>
      <c r="L569" s="28">
        <v>2000.0</v>
      </c>
      <c r="M569" s="28">
        <v>0.0</v>
      </c>
      <c r="N569" s="28">
        <v>0.0</v>
      </c>
      <c r="O569" s="28">
        <v>0.0</v>
      </c>
      <c r="P569" s="28">
        <v>0.0</v>
      </c>
      <c r="Q569" s="33"/>
      <c r="R569" s="11"/>
    </row>
    <row r="570" ht="15.75" customHeight="1">
      <c r="A570" s="13">
        <f t="shared" si="1"/>
        <v>569</v>
      </c>
      <c r="B570" s="15" t="s">
        <v>24</v>
      </c>
      <c r="C570" s="17">
        <v>1848.0</v>
      </c>
      <c r="D570" s="17" t="s">
        <v>46</v>
      </c>
      <c r="E570" s="35" t="s">
        <v>1388</v>
      </c>
      <c r="F570" s="152" t="s">
        <v>44</v>
      </c>
      <c r="G570" s="152" t="s">
        <v>45</v>
      </c>
      <c r="H570" s="25" t="s">
        <v>36</v>
      </c>
      <c r="I570" s="30">
        <v>46196.0</v>
      </c>
      <c r="J570" s="194">
        <v>0.0</v>
      </c>
      <c r="K570" s="23" t="s">
        <v>57</v>
      </c>
      <c r="L570" s="28">
        <v>10000.0</v>
      </c>
      <c r="M570" s="28">
        <v>0.0</v>
      </c>
      <c r="N570" s="28">
        <v>0.0</v>
      </c>
      <c r="O570" s="76">
        <v>0.0</v>
      </c>
      <c r="P570" s="77">
        <v>0.0</v>
      </c>
      <c r="Q570" s="33"/>
      <c r="R570" s="11"/>
    </row>
    <row r="571" ht="15.75" customHeight="1">
      <c r="A571" s="13">
        <f t="shared" si="1"/>
        <v>570</v>
      </c>
      <c r="B571" s="15" t="s">
        <v>24</v>
      </c>
      <c r="C571" s="17">
        <v>1848.0</v>
      </c>
      <c r="D571" s="17" t="s">
        <v>46</v>
      </c>
      <c r="E571" s="17" t="s">
        <v>1389</v>
      </c>
      <c r="F571" s="23" t="s">
        <v>191</v>
      </c>
      <c r="G571" s="23" t="s">
        <v>316</v>
      </c>
      <c r="H571" s="25" t="s">
        <v>36</v>
      </c>
      <c r="I571" s="30">
        <v>46196.0</v>
      </c>
      <c r="J571" s="17">
        <v>0.0</v>
      </c>
      <c r="K571" s="23" t="s">
        <v>57</v>
      </c>
      <c r="L571" s="28">
        <v>10000.0</v>
      </c>
      <c r="M571" s="28">
        <v>0.0</v>
      </c>
      <c r="N571" s="28">
        <v>0.0</v>
      </c>
      <c r="O571" s="28">
        <v>0.0</v>
      </c>
      <c r="P571" s="28">
        <v>0.0</v>
      </c>
      <c r="Q571" s="33"/>
      <c r="R571" s="11"/>
    </row>
    <row r="572" ht="15.75" customHeight="1">
      <c r="A572" s="13">
        <f t="shared" si="1"/>
        <v>571</v>
      </c>
      <c r="B572" s="15" t="s">
        <v>24</v>
      </c>
      <c r="C572" s="17">
        <v>1848.0</v>
      </c>
      <c r="D572" s="17" t="s">
        <v>46</v>
      </c>
      <c r="E572" s="17" t="s">
        <v>1390</v>
      </c>
      <c r="F572" s="21" t="s">
        <v>488</v>
      </c>
      <c r="G572" s="36" t="s">
        <v>697</v>
      </c>
      <c r="H572" s="25" t="s">
        <v>36</v>
      </c>
      <c r="I572" s="30">
        <v>46196.0</v>
      </c>
      <c r="J572" s="17">
        <v>0.0</v>
      </c>
      <c r="K572" s="23" t="s">
        <v>57</v>
      </c>
      <c r="L572" s="28">
        <v>10000.0</v>
      </c>
      <c r="M572" s="28">
        <v>0.0</v>
      </c>
      <c r="N572" s="28">
        <v>0.0</v>
      </c>
      <c r="O572" s="76">
        <v>0.0</v>
      </c>
      <c r="P572" s="77">
        <v>0.0</v>
      </c>
      <c r="Q572" s="33"/>
      <c r="R572" s="11"/>
    </row>
    <row r="573" ht="15.75" customHeight="1">
      <c r="A573" s="13">
        <f t="shared" si="1"/>
        <v>572</v>
      </c>
      <c r="B573" s="15" t="s">
        <v>24</v>
      </c>
      <c r="C573" s="17">
        <v>1848.0</v>
      </c>
      <c r="D573" s="17" t="s">
        <v>46</v>
      </c>
      <c r="E573" s="17" t="s">
        <v>1391</v>
      </c>
      <c r="F573" s="21" t="s">
        <v>71</v>
      </c>
      <c r="G573" s="36" t="s">
        <v>915</v>
      </c>
      <c r="H573" s="25" t="s">
        <v>37</v>
      </c>
      <c r="I573" s="30">
        <v>46197.0</v>
      </c>
      <c r="J573" s="17">
        <v>0.0</v>
      </c>
      <c r="K573" s="23" t="s">
        <v>57</v>
      </c>
      <c r="L573" s="28">
        <v>10000.0</v>
      </c>
      <c r="M573" s="28">
        <v>0.0</v>
      </c>
      <c r="N573" s="28">
        <v>0.0</v>
      </c>
      <c r="O573" s="76">
        <v>0.0</v>
      </c>
      <c r="P573" s="77">
        <v>0.0</v>
      </c>
      <c r="Q573" s="33"/>
      <c r="R573" s="11"/>
    </row>
    <row r="574" ht="15.75" customHeight="1">
      <c r="A574" s="13">
        <f t="shared" si="1"/>
        <v>573</v>
      </c>
      <c r="B574" s="15" t="s">
        <v>24</v>
      </c>
      <c r="C574" s="17">
        <v>1848.0</v>
      </c>
      <c r="D574" s="17" t="s">
        <v>46</v>
      </c>
      <c r="E574" s="17" t="s">
        <v>1392</v>
      </c>
      <c r="F574" s="21" t="s">
        <v>40</v>
      </c>
      <c r="G574" s="36" t="s">
        <v>558</v>
      </c>
      <c r="H574" s="25" t="s">
        <v>36</v>
      </c>
      <c r="I574" s="30">
        <v>46198.0</v>
      </c>
      <c r="J574" s="17">
        <v>0.0</v>
      </c>
      <c r="K574" s="23" t="s">
        <v>57</v>
      </c>
      <c r="L574" s="28">
        <v>0.0</v>
      </c>
      <c r="M574" s="28">
        <v>17500.0</v>
      </c>
      <c r="N574" s="28">
        <v>0.0</v>
      </c>
      <c r="O574" s="76">
        <v>0.0</v>
      </c>
      <c r="P574" s="77">
        <v>0.0</v>
      </c>
      <c r="Q574" s="33"/>
      <c r="R574" s="11"/>
    </row>
    <row r="575" ht="15.75" customHeight="1">
      <c r="A575" s="13">
        <f t="shared" si="1"/>
        <v>574</v>
      </c>
      <c r="B575" s="15" t="s">
        <v>24</v>
      </c>
      <c r="C575" s="17">
        <v>1848.0</v>
      </c>
      <c r="D575" s="17" t="s">
        <v>46</v>
      </c>
      <c r="E575" s="17" t="s">
        <v>1393</v>
      </c>
      <c r="F575" s="23" t="s">
        <v>208</v>
      </c>
      <c r="G575" s="23" t="s">
        <v>208</v>
      </c>
      <c r="H575" s="25" t="s">
        <v>36</v>
      </c>
      <c r="I575" s="30">
        <v>46200.0</v>
      </c>
      <c r="J575" s="17">
        <v>0.0</v>
      </c>
      <c r="K575" s="23" t="s">
        <v>57</v>
      </c>
      <c r="L575" s="28">
        <v>5000.0</v>
      </c>
      <c r="M575" s="28">
        <v>0.0</v>
      </c>
      <c r="N575" s="28">
        <v>0.0</v>
      </c>
      <c r="O575" s="28">
        <v>0.0</v>
      </c>
      <c r="P575" s="28">
        <v>0.0</v>
      </c>
      <c r="Q575" s="33"/>
      <c r="R575" s="11"/>
    </row>
    <row r="576" ht="15.75" customHeight="1">
      <c r="A576" s="13">
        <f t="shared" si="1"/>
        <v>575</v>
      </c>
      <c r="B576" s="15" t="s">
        <v>24</v>
      </c>
      <c r="C576" s="17">
        <v>1848.0</v>
      </c>
      <c r="D576" s="17" t="s">
        <v>87</v>
      </c>
      <c r="E576" s="17" t="s">
        <v>1394</v>
      </c>
      <c r="F576" s="23" t="s">
        <v>279</v>
      </c>
      <c r="G576" s="23" t="s">
        <v>1395</v>
      </c>
      <c r="H576" s="25" t="s">
        <v>36</v>
      </c>
      <c r="I576" s="30">
        <v>46200.0</v>
      </c>
      <c r="J576" s="17">
        <v>0.0</v>
      </c>
      <c r="K576" s="23" t="s">
        <v>38</v>
      </c>
      <c r="L576" s="28">
        <v>50000.0</v>
      </c>
      <c r="M576" s="28">
        <v>0.0</v>
      </c>
      <c r="N576" s="28">
        <v>0.0</v>
      </c>
      <c r="O576" s="28">
        <v>0.0</v>
      </c>
      <c r="P576" s="28">
        <v>0.0</v>
      </c>
      <c r="Q576" s="33"/>
      <c r="R576" s="11"/>
    </row>
    <row r="577" ht="15.75" customHeight="1">
      <c r="A577" s="13">
        <f t="shared" si="1"/>
        <v>576</v>
      </c>
      <c r="B577" s="15" t="s">
        <v>24</v>
      </c>
      <c r="C577" s="17">
        <v>1848.0</v>
      </c>
      <c r="D577" s="17" t="s">
        <v>46</v>
      </c>
      <c r="E577" s="17" t="s">
        <v>1396</v>
      </c>
      <c r="F577" s="23" t="s">
        <v>356</v>
      </c>
      <c r="G577" s="23" t="s">
        <v>388</v>
      </c>
      <c r="H577" s="25" t="s">
        <v>36</v>
      </c>
      <c r="I577" s="30">
        <v>46200.0</v>
      </c>
      <c r="J577" s="17">
        <v>0.0</v>
      </c>
      <c r="K577" s="23" t="s">
        <v>57</v>
      </c>
      <c r="L577" s="28">
        <v>7500.0</v>
      </c>
      <c r="M577" s="28">
        <v>0.0</v>
      </c>
      <c r="N577" s="28">
        <v>0.0</v>
      </c>
      <c r="O577" s="28">
        <v>0.0</v>
      </c>
      <c r="P577" s="28">
        <v>0.0</v>
      </c>
      <c r="Q577" s="33"/>
      <c r="R577" s="11"/>
    </row>
    <row r="578" ht="15.75" customHeight="1">
      <c r="A578" s="13">
        <f t="shared" si="1"/>
        <v>577</v>
      </c>
      <c r="B578" s="15" t="s">
        <v>24</v>
      </c>
      <c r="C578" s="17">
        <v>1848.0</v>
      </c>
      <c r="D578" s="17" t="s">
        <v>182</v>
      </c>
      <c r="E578" s="17" t="s">
        <v>1397</v>
      </c>
      <c r="F578" s="23" t="s">
        <v>1364</v>
      </c>
      <c r="G578" s="23" t="s">
        <v>1398</v>
      </c>
      <c r="H578" s="25" t="s">
        <v>36</v>
      </c>
      <c r="I578" s="30">
        <v>46200.0</v>
      </c>
      <c r="J578" s="17">
        <v>2.0</v>
      </c>
      <c r="K578" s="23" t="s">
        <v>38</v>
      </c>
      <c r="L578" s="28">
        <v>0.0</v>
      </c>
      <c r="M578" s="28">
        <v>10000.0</v>
      </c>
      <c r="N578" s="28">
        <v>0.0</v>
      </c>
      <c r="O578" s="76">
        <v>0.0</v>
      </c>
      <c r="P578" s="77">
        <v>0.0</v>
      </c>
      <c r="Q578" s="33"/>
      <c r="R578" s="11"/>
    </row>
    <row r="579" ht="15.75" customHeight="1">
      <c r="A579" s="13">
        <f t="shared" si="1"/>
        <v>578</v>
      </c>
      <c r="B579" s="15" t="s">
        <v>24</v>
      </c>
      <c r="C579" s="17">
        <v>1848.0</v>
      </c>
      <c r="D579" s="17" t="s">
        <v>182</v>
      </c>
      <c r="E579" s="17" t="s">
        <v>1399</v>
      </c>
      <c r="F579" s="65" t="s">
        <v>40</v>
      </c>
      <c r="G579" s="65" t="s">
        <v>41</v>
      </c>
      <c r="H579" s="25" t="s">
        <v>36</v>
      </c>
      <c r="I579" s="30">
        <v>46201.0</v>
      </c>
      <c r="J579" s="17">
        <v>0.0</v>
      </c>
      <c r="K579" s="23" t="s">
        <v>38</v>
      </c>
      <c r="L579" s="28">
        <v>30000.0</v>
      </c>
      <c r="M579" s="28">
        <v>0.0</v>
      </c>
      <c r="N579" s="28">
        <v>0.0</v>
      </c>
      <c r="O579" s="28">
        <v>0.0</v>
      </c>
      <c r="P579" s="28">
        <v>0.0</v>
      </c>
      <c r="Q579" s="33"/>
      <c r="R579" s="11"/>
    </row>
    <row r="580" ht="15.75" customHeight="1">
      <c r="A580" s="13">
        <f t="shared" si="1"/>
        <v>579</v>
      </c>
      <c r="B580" s="15" t="s">
        <v>24</v>
      </c>
      <c r="C580" s="17">
        <v>1848.0</v>
      </c>
      <c r="D580" s="17" t="s">
        <v>46</v>
      </c>
      <c r="E580" s="17" t="s">
        <v>1400</v>
      </c>
      <c r="F580" s="65" t="s">
        <v>84</v>
      </c>
      <c r="G580" s="65" t="s">
        <v>329</v>
      </c>
      <c r="H580" s="25" t="s">
        <v>36</v>
      </c>
      <c r="I580" s="30">
        <v>46201.0</v>
      </c>
      <c r="J580" s="17">
        <v>0.0</v>
      </c>
      <c r="K580" s="23" t="s">
        <v>57</v>
      </c>
      <c r="L580" s="28">
        <v>0.0</v>
      </c>
      <c r="M580" s="28">
        <v>10000.0</v>
      </c>
      <c r="N580" s="28">
        <v>0.0</v>
      </c>
      <c r="O580" s="28">
        <v>0.0</v>
      </c>
      <c r="P580" s="28">
        <v>0.0</v>
      </c>
      <c r="Q580" s="33"/>
      <c r="R580" s="11"/>
    </row>
    <row r="581" ht="15.75" customHeight="1">
      <c r="A581" s="13">
        <f t="shared" si="1"/>
        <v>580</v>
      </c>
      <c r="B581" s="15" t="s">
        <v>24</v>
      </c>
      <c r="C581" s="17">
        <v>1848.0</v>
      </c>
      <c r="D581" s="17" t="s">
        <v>46</v>
      </c>
      <c r="E581" s="17" t="s">
        <v>1401</v>
      </c>
      <c r="F581" s="65" t="s">
        <v>141</v>
      </c>
      <c r="G581" s="65" t="s">
        <v>143</v>
      </c>
      <c r="H581" s="25" t="s">
        <v>36</v>
      </c>
      <c r="I581" s="30">
        <v>46201.0</v>
      </c>
      <c r="J581" s="17">
        <v>0.0</v>
      </c>
      <c r="K581" s="23" t="s">
        <v>57</v>
      </c>
      <c r="L581" s="28">
        <v>5800.0</v>
      </c>
      <c r="M581" s="28">
        <v>0.0</v>
      </c>
      <c r="N581" s="28">
        <v>0.0</v>
      </c>
      <c r="O581" s="28">
        <v>0.0</v>
      </c>
      <c r="P581" s="28">
        <v>0.0</v>
      </c>
      <c r="Q581" s="33"/>
      <c r="R581" s="11"/>
    </row>
    <row r="582" ht="15.75" customHeight="1">
      <c r="A582" s="13">
        <f t="shared" si="1"/>
        <v>581</v>
      </c>
      <c r="B582" s="15" t="s">
        <v>24</v>
      </c>
      <c r="C582" s="17">
        <v>1848.0</v>
      </c>
      <c r="D582" s="17" t="s">
        <v>46</v>
      </c>
      <c r="E582" s="17" t="s">
        <v>1402</v>
      </c>
      <c r="F582" s="21" t="s">
        <v>293</v>
      </c>
      <c r="G582" s="36" t="s">
        <v>294</v>
      </c>
      <c r="H582" s="25" t="s">
        <v>37</v>
      </c>
      <c r="I582" s="30">
        <v>46203.0</v>
      </c>
      <c r="J582" s="17">
        <v>0.0</v>
      </c>
      <c r="K582" s="23" t="s">
        <v>57</v>
      </c>
      <c r="L582" s="28">
        <v>3100.0</v>
      </c>
      <c r="M582" s="28">
        <v>0.0</v>
      </c>
      <c r="N582" s="28">
        <v>0.0</v>
      </c>
      <c r="O582" s="28">
        <v>0.0</v>
      </c>
      <c r="P582" s="28">
        <v>0.0</v>
      </c>
      <c r="Q582" s="33"/>
      <c r="R582" s="11"/>
    </row>
    <row r="583" ht="15.75" customHeight="1">
      <c r="A583" s="13">
        <f t="shared" si="1"/>
        <v>582</v>
      </c>
      <c r="B583" s="15" t="s">
        <v>24</v>
      </c>
      <c r="C583" s="17">
        <v>1848.0</v>
      </c>
      <c r="D583" s="17" t="s">
        <v>87</v>
      </c>
      <c r="E583" s="17" t="s">
        <v>1403</v>
      </c>
      <c r="F583" s="23" t="s">
        <v>49</v>
      </c>
      <c r="G583" s="23" t="s">
        <v>265</v>
      </c>
      <c r="H583" s="25" t="s">
        <v>36</v>
      </c>
      <c r="I583" s="30">
        <v>46202.0</v>
      </c>
      <c r="J583" s="17">
        <v>1.0</v>
      </c>
      <c r="K583" s="23" t="s">
        <v>38</v>
      </c>
      <c r="L583" s="28">
        <v>20000.0</v>
      </c>
      <c r="M583" s="28">
        <v>0.0</v>
      </c>
      <c r="N583" s="28">
        <v>0.0</v>
      </c>
      <c r="O583" s="28">
        <v>0.0</v>
      </c>
      <c r="P583" s="28">
        <v>0.0</v>
      </c>
      <c r="Q583" s="33"/>
      <c r="R583" s="11"/>
    </row>
    <row r="584" ht="15.75" customHeight="1">
      <c r="A584" s="13">
        <f t="shared" si="1"/>
        <v>583</v>
      </c>
      <c r="B584" s="15" t="s">
        <v>24</v>
      </c>
      <c r="C584" s="17">
        <v>1848.0</v>
      </c>
      <c r="D584" s="15"/>
      <c r="E584" s="17" t="s">
        <v>1404</v>
      </c>
      <c r="F584" s="181" t="s">
        <v>82</v>
      </c>
      <c r="G584" s="201" t="s">
        <v>1405</v>
      </c>
      <c r="H584" s="25"/>
      <c r="I584" s="30"/>
      <c r="J584" s="15"/>
      <c r="K584" s="25"/>
      <c r="L584" s="28"/>
      <c r="M584" s="28"/>
      <c r="N584" s="28"/>
      <c r="O584" s="28"/>
      <c r="P584" s="28"/>
      <c r="Q584" s="33"/>
      <c r="R584" s="11"/>
    </row>
    <row r="585" ht="15.75" customHeight="1">
      <c r="A585" s="13">
        <f t="shared" si="1"/>
        <v>584</v>
      </c>
      <c r="B585" s="15" t="s">
        <v>24</v>
      </c>
      <c r="C585" s="17">
        <v>1848.0</v>
      </c>
      <c r="D585" s="17" t="s">
        <v>182</v>
      </c>
      <c r="E585" s="17" t="s">
        <v>1406</v>
      </c>
      <c r="F585" s="23" t="s">
        <v>1364</v>
      </c>
      <c r="G585" s="23" t="s">
        <v>1398</v>
      </c>
      <c r="H585" s="25" t="s">
        <v>36</v>
      </c>
      <c r="I585" s="30">
        <v>46203.0</v>
      </c>
      <c r="J585" s="17">
        <v>0.0</v>
      </c>
      <c r="K585" s="23" t="s">
        <v>38</v>
      </c>
      <c r="L585" s="28">
        <v>0.0</v>
      </c>
      <c r="M585" s="28">
        <v>90000.0</v>
      </c>
      <c r="N585" s="28">
        <v>0.0</v>
      </c>
      <c r="O585" s="28">
        <v>0.0</v>
      </c>
      <c r="P585" s="28">
        <v>0.0</v>
      </c>
      <c r="Q585" s="33"/>
      <c r="R585" s="11"/>
    </row>
    <row r="586" ht="15.75" customHeight="1">
      <c r="A586" s="13">
        <f t="shared" si="1"/>
        <v>585</v>
      </c>
      <c r="B586" s="15" t="s">
        <v>24</v>
      </c>
      <c r="C586" s="17">
        <v>1848.0</v>
      </c>
      <c r="D586" s="17" t="s">
        <v>46</v>
      </c>
      <c r="E586" s="17" t="s">
        <v>1407</v>
      </c>
      <c r="F586" s="21" t="s">
        <v>92</v>
      </c>
      <c r="G586" s="21" t="s">
        <v>742</v>
      </c>
      <c r="H586" s="25" t="s">
        <v>37</v>
      </c>
      <c r="I586" s="30">
        <v>46203.0</v>
      </c>
      <c r="J586" s="17">
        <v>0.0</v>
      </c>
      <c r="K586" s="23" t="s">
        <v>57</v>
      </c>
      <c r="L586" s="28">
        <v>9000.0</v>
      </c>
      <c r="M586" s="28">
        <v>0.0</v>
      </c>
      <c r="N586" s="28">
        <v>0.0</v>
      </c>
      <c r="O586" s="28">
        <v>0.0</v>
      </c>
      <c r="P586" s="28">
        <v>0.0</v>
      </c>
      <c r="Q586" s="33"/>
      <c r="R586" s="11"/>
    </row>
    <row r="587" ht="15.75" customHeight="1">
      <c r="A587" s="13">
        <f t="shared" si="1"/>
        <v>586</v>
      </c>
      <c r="B587" s="15" t="s">
        <v>24</v>
      </c>
      <c r="C587" s="17">
        <v>1848.0</v>
      </c>
      <c r="D587" s="17" t="s">
        <v>87</v>
      </c>
      <c r="E587" s="17" t="s">
        <v>1060</v>
      </c>
      <c r="F587" s="36" t="s">
        <v>377</v>
      </c>
      <c r="G587" s="36" t="s">
        <v>723</v>
      </c>
      <c r="H587" s="25" t="s">
        <v>37</v>
      </c>
      <c r="I587" s="30">
        <v>46205.0</v>
      </c>
      <c r="J587" s="17">
        <v>0.0</v>
      </c>
      <c r="K587" s="23" t="s">
        <v>38</v>
      </c>
      <c r="L587" s="28">
        <v>3000.0</v>
      </c>
      <c r="M587" s="28">
        <v>0.0</v>
      </c>
      <c r="N587" s="28">
        <v>0.0</v>
      </c>
      <c r="O587" s="28">
        <v>0.0</v>
      </c>
      <c r="P587" s="28">
        <v>0.0</v>
      </c>
      <c r="Q587" s="33"/>
      <c r="R587" s="11"/>
    </row>
    <row r="588" ht="15.75" customHeight="1">
      <c r="A588" s="13">
        <f t="shared" si="1"/>
        <v>587</v>
      </c>
      <c r="B588" s="15" t="s">
        <v>24</v>
      </c>
      <c r="C588" s="17">
        <v>1848.0</v>
      </c>
      <c r="D588" s="17" t="s">
        <v>87</v>
      </c>
      <c r="E588" s="17" t="s">
        <v>1071</v>
      </c>
      <c r="F588" s="23" t="s">
        <v>91</v>
      </c>
      <c r="G588" s="23" t="s">
        <v>967</v>
      </c>
      <c r="H588" s="25" t="s">
        <v>36</v>
      </c>
      <c r="I588" s="30">
        <v>46207.0</v>
      </c>
      <c r="J588" s="17">
        <v>1.0</v>
      </c>
      <c r="K588" s="23" t="s">
        <v>38</v>
      </c>
      <c r="L588" s="28">
        <v>50000.0</v>
      </c>
      <c r="M588" s="28">
        <v>0.0</v>
      </c>
      <c r="N588" s="28">
        <v>0.0</v>
      </c>
      <c r="O588" s="28">
        <v>0.0</v>
      </c>
      <c r="P588" s="28">
        <v>0.0</v>
      </c>
      <c r="Q588" s="33"/>
      <c r="R588" s="11"/>
    </row>
    <row r="589" ht="15.75" customHeight="1">
      <c r="A589" s="13">
        <f t="shared" si="1"/>
        <v>588</v>
      </c>
      <c r="B589" s="15" t="s">
        <v>24</v>
      </c>
      <c r="C589" s="17">
        <v>1848.0</v>
      </c>
      <c r="D589" s="17" t="s">
        <v>182</v>
      </c>
      <c r="E589" s="17" t="s">
        <v>1082</v>
      </c>
      <c r="F589" s="51" t="s">
        <v>84</v>
      </c>
      <c r="G589" s="51" t="s">
        <v>531</v>
      </c>
      <c r="H589" s="25" t="s">
        <v>36</v>
      </c>
      <c r="I589" s="30">
        <v>46209.0</v>
      </c>
      <c r="J589" s="17">
        <v>1.0</v>
      </c>
      <c r="K589" s="23" t="s">
        <v>38</v>
      </c>
      <c r="L589" s="28">
        <v>1000.0</v>
      </c>
      <c r="M589" s="28">
        <v>0.0</v>
      </c>
      <c r="N589" s="28">
        <v>0.0</v>
      </c>
      <c r="O589" s="28">
        <v>0.0</v>
      </c>
      <c r="P589" s="28">
        <v>0.0</v>
      </c>
      <c r="Q589" s="33"/>
      <c r="R589" s="11"/>
    </row>
    <row r="590" ht="15.75" customHeight="1">
      <c r="A590" s="13">
        <f t="shared" si="1"/>
        <v>589</v>
      </c>
      <c r="B590" s="15" t="s">
        <v>24</v>
      </c>
      <c r="C590" s="17">
        <v>1848.0</v>
      </c>
      <c r="D590" s="17" t="s">
        <v>46</v>
      </c>
      <c r="E590" s="17" t="s">
        <v>1408</v>
      </c>
      <c r="F590" s="21" t="s">
        <v>51</v>
      </c>
      <c r="G590" s="21" t="s">
        <v>259</v>
      </c>
      <c r="H590" s="25" t="s">
        <v>36</v>
      </c>
      <c r="I590" s="30">
        <v>46209.0</v>
      </c>
      <c r="J590" s="17">
        <v>0.0</v>
      </c>
      <c r="K590" s="23" t="s">
        <v>57</v>
      </c>
      <c r="L590" s="28">
        <v>5000.0</v>
      </c>
      <c r="M590" s="28">
        <v>0.0</v>
      </c>
      <c r="N590" s="28">
        <v>0.0</v>
      </c>
      <c r="O590" s="28">
        <v>0.0</v>
      </c>
      <c r="P590" s="28">
        <v>0.0</v>
      </c>
      <c r="Q590" s="33"/>
      <c r="R590" s="11"/>
    </row>
    <row r="591" ht="15.75" customHeight="1">
      <c r="A591" s="13">
        <f t="shared" si="1"/>
        <v>590</v>
      </c>
      <c r="B591" s="15" t="s">
        <v>24</v>
      </c>
      <c r="C591" s="17">
        <v>1848.0</v>
      </c>
      <c r="D591" s="17" t="s">
        <v>182</v>
      </c>
      <c r="E591" s="17" t="s">
        <v>1087</v>
      </c>
      <c r="F591" s="23" t="s">
        <v>1016</v>
      </c>
      <c r="G591" s="23" t="s">
        <v>1088</v>
      </c>
      <c r="H591" s="25" t="s">
        <v>37</v>
      </c>
      <c r="I591" s="30">
        <v>46210.0</v>
      </c>
      <c r="J591" s="17">
        <v>0.0</v>
      </c>
      <c r="K591" s="23" t="s">
        <v>38</v>
      </c>
      <c r="L591" s="28">
        <v>30000.0</v>
      </c>
      <c r="M591" s="28">
        <v>0.0</v>
      </c>
      <c r="N591" s="28">
        <v>0.0</v>
      </c>
      <c r="O591" s="28">
        <v>0.0</v>
      </c>
      <c r="P591" s="28">
        <v>0.0</v>
      </c>
      <c r="Q591" s="33"/>
      <c r="R591" s="11"/>
    </row>
    <row r="592" ht="15.75" customHeight="1">
      <c r="A592" s="13">
        <f t="shared" si="1"/>
        <v>591</v>
      </c>
      <c r="B592" s="15" t="s">
        <v>24</v>
      </c>
      <c r="C592" s="17">
        <v>1848.0</v>
      </c>
      <c r="D592" s="17" t="s">
        <v>46</v>
      </c>
      <c r="E592" s="17" t="s">
        <v>1092</v>
      </c>
      <c r="F592" s="21" t="s">
        <v>487</v>
      </c>
      <c r="G592" s="21" t="s">
        <v>554</v>
      </c>
      <c r="H592" s="25" t="s">
        <v>36</v>
      </c>
      <c r="I592" s="30">
        <v>46210.0</v>
      </c>
      <c r="J592" s="17">
        <v>0.0</v>
      </c>
      <c r="K592" s="23" t="s">
        <v>57</v>
      </c>
      <c r="L592" s="28">
        <v>8000.0</v>
      </c>
      <c r="M592" s="28">
        <v>0.0</v>
      </c>
      <c r="N592" s="28">
        <v>0.0</v>
      </c>
      <c r="O592" s="28">
        <v>0.0</v>
      </c>
      <c r="P592" s="28">
        <v>0.0</v>
      </c>
      <c r="Q592" s="33"/>
      <c r="R592" s="11"/>
    </row>
    <row r="593" ht="15.75" customHeight="1">
      <c r="A593" s="13">
        <f t="shared" si="1"/>
        <v>592</v>
      </c>
      <c r="B593" s="15" t="s">
        <v>24</v>
      </c>
      <c r="C593" s="17">
        <v>1848.0</v>
      </c>
      <c r="D593" s="17" t="s">
        <v>46</v>
      </c>
      <c r="E593" s="17" t="s">
        <v>1096</v>
      </c>
      <c r="F593" s="21" t="s">
        <v>334</v>
      </c>
      <c r="G593" s="21" t="s">
        <v>922</v>
      </c>
      <c r="H593" s="25" t="s">
        <v>36</v>
      </c>
      <c r="I593" s="30">
        <v>46210.0</v>
      </c>
      <c r="J593" s="17">
        <v>0.0</v>
      </c>
      <c r="K593" s="23" t="s">
        <v>57</v>
      </c>
      <c r="L593" s="28">
        <v>0.0</v>
      </c>
      <c r="M593" s="28">
        <v>16000.0</v>
      </c>
      <c r="N593" s="28">
        <v>0.0</v>
      </c>
      <c r="O593" s="28">
        <v>0.0</v>
      </c>
      <c r="P593" s="28">
        <v>0.0</v>
      </c>
      <c r="Q593" s="33"/>
      <c r="R593" s="11"/>
    </row>
    <row r="594" ht="15.75" customHeight="1">
      <c r="A594" s="13">
        <f t="shared" si="1"/>
        <v>593</v>
      </c>
      <c r="B594" s="15" t="s">
        <v>24</v>
      </c>
      <c r="C594" s="17">
        <v>1848.0</v>
      </c>
      <c r="D594" s="17" t="s">
        <v>58</v>
      </c>
      <c r="E594" s="17" t="s">
        <v>1098</v>
      </c>
      <c r="F594" s="36" t="s">
        <v>60</v>
      </c>
      <c r="G594" s="36" t="s">
        <v>209</v>
      </c>
      <c r="H594" s="70" t="s">
        <v>212</v>
      </c>
      <c r="I594" s="30">
        <v>46210.0</v>
      </c>
      <c r="J594" s="17">
        <v>0.0</v>
      </c>
      <c r="K594" s="23" t="s">
        <v>38</v>
      </c>
      <c r="L594" s="28">
        <v>35000.0</v>
      </c>
      <c r="M594" s="28">
        <v>0.0</v>
      </c>
      <c r="N594" s="28">
        <v>0.0</v>
      </c>
      <c r="O594" s="28">
        <v>0.0</v>
      </c>
      <c r="P594" s="28">
        <v>0.0</v>
      </c>
      <c r="Q594" s="33"/>
      <c r="R594" s="11"/>
    </row>
    <row r="595" ht="15.75" customHeight="1">
      <c r="A595" s="13">
        <f t="shared" si="1"/>
        <v>594</v>
      </c>
      <c r="B595" s="15" t="s">
        <v>24</v>
      </c>
      <c r="C595" s="17">
        <v>1848.0</v>
      </c>
      <c r="D595" s="17" t="s">
        <v>46</v>
      </c>
      <c r="E595" s="17" t="s">
        <v>1101</v>
      </c>
      <c r="F595" s="21" t="s">
        <v>116</v>
      </c>
      <c r="G595" s="21" t="s">
        <v>117</v>
      </c>
      <c r="H595" s="25" t="s">
        <v>36</v>
      </c>
      <c r="I595" s="30">
        <v>46210.0</v>
      </c>
      <c r="J595" s="17">
        <v>0.0</v>
      </c>
      <c r="K595" s="23" t="s">
        <v>57</v>
      </c>
      <c r="L595" s="28">
        <v>8000.0</v>
      </c>
      <c r="M595" s="28">
        <v>0.0</v>
      </c>
      <c r="N595" s="28">
        <v>0.0</v>
      </c>
      <c r="O595" s="28">
        <v>0.0</v>
      </c>
      <c r="P595" s="28">
        <v>0.0</v>
      </c>
      <c r="Q595" s="33"/>
      <c r="R595" s="11"/>
    </row>
    <row r="596" ht="15.75" customHeight="1">
      <c r="A596" s="13">
        <f t="shared" si="1"/>
        <v>595</v>
      </c>
      <c r="B596" s="15" t="s">
        <v>24</v>
      </c>
      <c r="C596" s="17">
        <v>1848.0</v>
      </c>
      <c r="D596" s="17" t="s">
        <v>182</v>
      </c>
      <c r="E596" s="17" t="s">
        <v>1109</v>
      </c>
      <c r="F596" s="23" t="s">
        <v>33</v>
      </c>
      <c r="G596" s="23" t="s">
        <v>1110</v>
      </c>
      <c r="H596" s="25" t="s">
        <v>37</v>
      </c>
      <c r="I596" s="30">
        <v>46212.0</v>
      </c>
      <c r="J596" s="17">
        <v>3.0</v>
      </c>
      <c r="K596" s="23" t="s">
        <v>38</v>
      </c>
      <c r="L596" s="28">
        <v>50000.0</v>
      </c>
      <c r="M596" s="28">
        <v>0.0</v>
      </c>
      <c r="N596" s="28">
        <v>0.0</v>
      </c>
      <c r="O596" s="28">
        <v>0.0</v>
      </c>
      <c r="P596" s="28">
        <v>0.0</v>
      </c>
      <c r="Q596" s="33"/>
      <c r="R596" s="11"/>
    </row>
    <row r="597" ht="15.75" customHeight="1">
      <c r="A597" s="13">
        <f t="shared" si="1"/>
        <v>596</v>
      </c>
      <c r="B597" s="15" t="s">
        <v>24</v>
      </c>
      <c r="C597" s="17">
        <v>1848.0</v>
      </c>
      <c r="D597" s="17" t="s">
        <v>46</v>
      </c>
      <c r="E597" s="17" t="s">
        <v>1112</v>
      </c>
      <c r="F597" s="23" t="s">
        <v>33</v>
      </c>
      <c r="G597" s="23" t="s">
        <v>1113</v>
      </c>
      <c r="H597" s="25" t="s">
        <v>37</v>
      </c>
      <c r="I597" s="30">
        <v>46212.0</v>
      </c>
      <c r="J597" s="17">
        <v>0.0</v>
      </c>
      <c r="K597" s="23" t="s">
        <v>57</v>
      </c>
      <c r="L597" s="28">
        <v>29600.0</v>
      </c>
      <c r="M597" s="28">
        <v>0.0</v>
      </c>
      <c r="N597" s="28">
        <v>0.0</v>
      </c>
      <c r="O597" s="28">
        <v>0.0</v>
      </c>
      <c r="P597" s="28">
        <v>0.0</v>
      </c>
      <c r="Q597" s="33"/>
      <c r="R597" s="11"/>
    </row>
    <row r="598" ht="15.75" customHeight="1">
      <c r="A598" s="13">
        <f t="shared" si="1"/>
        <v>597</v>
      </c>
      <c r="B598" s="15" t="s">
        <v>24</v>
      </c>
      <c r="C598" s="17">
        <v>1848.0</v>
      </c>
      <c r="D598" s="17" t="s">
        <v>46</v>
      </c>
      <c r="E598" s="17" t="s">
        <v>1116</v>
      </c>
      <c r="F598" s="23" t="s">
        <v>33</v>
      </c>
      <c r="G598" s="23" t="s">
        <v>1113</v>
      </c>
      <c r="H598" s="25" t="s">
        <v>36</v>
      </c>
      <c r="I598" s="30">
        <v>46212.0</v>
      </c>
      <c r="J598" s="17">
        <v>0.0</v>
      </c>
      <c r="K598" s="23" t="s">
        <v>57</v>
      </c>
      <c r="L598" s="28">
        <v>40000.0</v>
      </c>
      <c r="M598" s="28">
        <v>0.0</v>
      </c>
      <c r="N598" s="28">
        <v>0.0</v>
      </c>
      <c r="O598" s="28">
        <v>0.0</v>
      </c>
      <c r="P598" s="28">
        <v>0.0</v>
      </c>
      <c r="Q598" s="33"/>
      <c r="R598" s="11"/>
    </row>
    <row r="599" ht="15.75" customHeight="1">
      <c r="A599" s="13">
        <f t="shared" si="1"/>
        <v>598</v>
      </c>
      <c r="B599" s="15" t="s">
        <v>24</v>
      </c>
      <c r="C599" s="17">
        <v>1848.0</v>
      </c>
      <c r="D599" s="17" t="s">
        <v>46</v>
      </c>
      <c r="E599" s="17" t="s">
        <v>1118</v>
      </c>
      <c r="F599" s="23" t="s">
        <v>33</v>
      </c>
      <c r="G599" s="23" t="s">
        <v>1113</v>
      </c>
      <c r="H599" s="23" t="s">
        <v>55</v>
      </c>
      <c r="I599" s="30">
        <v>46212.0</v>
      </c>
      <c r="J599" s="17">
        <v>0.0</v>
      </c>
      <c r="K599" s="23" t="s">
        <v>57</v>
      </c>
      <c r="L599" s="28">
        <v>29000.0</v>
      </c>
      <c r="M599" s="28">
        <v>0.0</v>
      </c>
      <c r="N599" s="28">
        <v>0.0</v>
      </c>
      <c r="O599" s="28">
        <v>0.0</v>
      </c>
      <c r="P599" s="28">
        <v>0.0</v>
      </c>
      <c r="Q599" s="33"/>
      <c r="R599" s="11"/>
    </row>
    <row r="600" ht="15.75" customHeight="1">
      <c r="A600" s="13">
        <f t="shared" si="1"/>
        <v>599</v>
      </c>
      <c r="B600" s="15" t="s">
        <v>24</v>
      </c>
      <c r="C600" s="17">
        <v>1848.0</v>
      </c>
      <c r="D600" s="17" t="s">
        <v>46</v>
      </c>
      <c r="E600" s="17" t="s">
        <v>1122</v>
      </c>
      <c r="F600" s="23" t="s">
        <v>33</v>
      </c>
      <c r="G600" s="23" t="s">
        <v>1123</v>
      </c>
      <c r="H600" s="25" t="s">
        <v>37</v>
      </c>
      <c r="I600" s="30">
        <v>46212.0</v>
      </c>
      <c r="J600" s="17">
        <v>0.0</v>
      </c>
      <c r="K600" s="23" t="s">
        <v>57</v>
      </c>
      <c r="L600" s="28">
        <v>29600.0</v>
      </c>
      <c r="M600" s="28">
        <v>0.0</v>
      </c>
      <c r="N600" s="28">
        <v>0.0</v>
      </c>
      <c r="O600" s="28">
        <v>0.0</v>
      </c>
      <c r="P600" s="28">
        <v>0.0</v>
      </c>
      <c r="Q600" s="33"/>
      <c r="R600" s="11"/>
    </row>
    <row r="601" ht="15.75" customHeight="1">
      <c r="A601" s="13">
        <f t="shared" si="1"/>
        <v>600</v>
      </c>
      <c r="B601" s="15" t="s">
        <v>24</v>
      </c>
      <c r="C601" s="17">
        <v>1848.0</v>
      </c>
      <c r="D601" s="17" t="s">
        <v>46</v>
      </c>
      <c r="E601" s="17" t="s">
        <v>1126</v>
      </c>
      <c r="F601" s="23" t="s">
        <v>33</v>
      </c>
      <c r="G601" s="23" t="s">
        <v>1123</v>
      </c>
      <c r="H601" s="25" t="s">
        <v>36</v>
      </c>
      <c r="I601" s="30">
        <v>46212.0</v>
      </c>
      <c r="J601" s="17">
        <v>0.0</v>
      </c>
      <c r="K601" s="23" t="s">
        <v>57</v>
      </c>
      <c r="L601" s="28">
        <v>40000.0</v>
      </c>
      <c r="M601" s="28">
        <v>0.0</v>
      </c>
      <c r="N601" s="28">
        <v>0.0</v>
      </c>
      <c r="O601" s="28">
        <v>0.0</v>
      </c>
      <c r="P601" s="28">
        <v>0.0</v>
      </c>
      <c r="Q601" s="33"/>
      <c r="R601" s="11"/>
    </row>
    <row r="602" ht="15.75" customHeight="1">
      <c r="A602" s="13">
        <f t="shared" si="1"/>
        <v>601</v>
      </c>
      <c r="B602" s="15" t="s">
        <v>24</v>
      </c>
      <c r="C602" s="17">
        <v>1848.0</v>
      </c>
      <c r="D602" s="17" t="s">
        <v>46</v>
      </c>
      <c r="E602" s="17" t="s">
        <v>1130</v>
      </c>
      <c r="F602" s="23" t="s">
        <v>33</v>
      </c>
      <c r="G602" s="23" t="s">
        <v>1123</v>
      </c>
      <c r="H602" s="23" t="s">
        <v>55</v>
      </c>
      <c r="I602" s="30">
        <v>46212.0</v>
      </c>
      <c r="J602" s="17">
        <v>0.0</v>
      </c>
      <c r="K602" s="23" t="s">
        <v>57</v>
      </c>
      <c r="L602" s="28">
        <v>29000.0</v>
      </c>
      <c r="M602" s="28">
        <v>0.0</v>
      </c>
      <c r="N602" s="28">
        <v>0.0</v>
      </c>
      <c r="O602" s="28">
        <v>0.0</v>
      </c>
      <c r="P602" s="28">
        <v>0.0</v>
      </c>
      <c r="Q602" s="33"/>
      <c r="R602" s="11"/>
    </row>
    <row r="603" ht="15.75" customHeight="1">
      <c r="A603" s="13">
        <f t="shared" si="1"/>
        <v>602</v>
      </c>
      <c r="B603" s="15" t="s">
        <v>24</v>
      </c>
      <c r="C603" s="17">
        <v>1848.0</v>
      </c>
      <c r="D603" s="17" t="s">
        <v>46</v>
      </c>
      <c r="E603" s="17" t="s">
        <v>1133</v>
      </c>
      <c r="F603" s="36" t="s">
        <v>60</v>
      </c>
      <c r="G603" s="36" t="s">
        <v>209</v>
      </c>
      <c r="H603" s="25" t="s">
        <v>36</v>
      </c>
      <c r="I603" s="30">
        <v>46212.0</v>
      </c>
      <c r="J603" s="17">
        <v>0.0</v>
      </c>
      <c r="K603" s="23" t="s">
        <v>57</v>
      </c>
      <c r="L603" s="28">
        <v>8900.0</v>
      </c>
      <c r="M603" s="28">
        <v>0.0</v>
      </c>
      <c r="N603" s="28">
        <v>0.0</v>
      </c>
      <c r="O603" s="28">
        <v>0.0</v>
      </c>
      <c r="P603" s="28">
        <v>0.0</v>
      </c>
      <c r="Q603" s="33"/>
      <c r="R603" s="11"/>
    </row>
    <row r="604" ht="15.75" customHeight="1">
      <c r="A604" s="13">
        <f t="shared" si="1"/>
        <v>603</v>
      </c>
      <c r="B604" s="15" t="s">
        <v>24</v>
      </c>
      <c r="C604" s="17">
        <v>1848.0</v>
      </c>
      <c r="D604" s="17" t="s">
        <v>46</v>
      </c>
      <c r="E604" s="17" t="s">
        <v>1135</v>
      </c>
      <c r="F604" s="65" t="s">
        <v>184</v>
      </c>
      <c r="G604" s="65" t="s">
        <v>449</v>
      </c>
      <c r="H604" s="25" t="s">
        <v>37</v>
      </c>
      <c r="I604" s="30">
        <v>46212.0</v>
      </c>
      <c r="J604" s="17">
        <v>0.0</v>
      </c>
      <c r="K604" s="23" t="s">
        <v>57</v>
      </c>
      <c r="L604" s="28">
        <v>5000.0</v>
      </c>
      <c r="M604" s="28">
        <v>0.0</v>
      </c>
      <c r="N604" s="28">
        <v>0.0</v>
      </c>
      <c r="O604" s="28">
        <v>0.0</v>
      </c>
      <c r="P604" s="28">
        <v>0.0</v>
      </c>
      <c r="Q604" s="33"/>
      <c r="R604" s="11"/>
    </row>
    <row r="605" ht="15.75" customHeight="1">
      <c r="A605" s="13">
        <f t="shared" si="1"/>
        <v>604</v>
      </c>
      <c r="B605" s="15" t="s">
        <v>24</v>
      </c>
      <c r="C605" s="17">
        <v>1848.0</v>
      </c>
      <c r="D605" s="17" t="s">
        <v>46</v>
      </c>
      <c r="E605" s="17" t="s">
        <v>1140</v>
      </c>
      <c r="F605" s="67" t="s">
        <v>49</v>
      </c>
      <c r="G605" s="67" t="s">
        <v>54</v>
      </c>
      <c r="H605" s="23" t="s">
        <v>55</v>
      </c>
      <c r="I605" s="30">
        <v>46212.0</v>
      </c>
      <c r="J605" s="17">
        <v>0.0</v>
      </c>
      <c r="K605" s="23" t="s">
        <v>57</v>
      </c>
      <c r="L605" s="28">
        <v>5000.0</v>
      </c>
      <c r="M605" s="28">
        <v>0.0</v>
      </c>
      <c r="N605" s="28">
        <v>0.0</v>
      </c>
      <c r="O605" s="28">
        <v>0.0</v>
      </c>
      <c r="P605" s="28">
        <v>0.0</v>
      </c>
      <c r="Q605" s="33"/>
      <c r="R605" s="11"/>
    </row>
    <row r="606" ht="15.75" customHeight="1">
      <c r="A606" s="13">
        <f t="shared" si="1"/>
        <v>605</v>
      </c>
      <c r="B606" s="15" t="s">
        <v>24</v>
      </c>
      <c r="C606" s="17">
        <v>1848.0</v>
      </c>
      <c r="D606" s="17" t="s">
        <v>46</v>
      </c>
      <c r="E606" s="17" t="s">
        <v>1143</v>
      </c>
      <c r="F606" s="65" t="s">
        <v>208</v>
      </c>
      <c r="G606" s="65" t="s">
        <v>653</v>
      </c>
      <c r="H606" s="25" t="s">
        <v>37</v>
      </c>
      <c r="I606" s="30">
        <v>46212.0</v>
      </c>
      <c r="J606" s="17">
        <v>0.0</v>
      </c>
      <c r="K606" s="23" t="s">
        <v>57</v>
      </c>
      <c r="L606" s="28">
        <v>6000.0</v>
      </c>
      <c r="M606" s="28">
        <v>0.0</v>
      </c>
      <c r="N606" s="28">
        <v>0.0</v>
      </c>
      <c r="O606" s="28">
        <v>0.0</v>
      </c>
      <c r="P606" s="28">
        <v>0.0</v>
      </c>
      <c r="Q606" s="33"/>
      <c r="R606" s="11"/>
    </row>
    <row r="607" ht="15.75" customHeight="1">
      <c r="A607" s="13">
        <f t="shared" si="1"/>
        <v>606</v>
      </c>
      <c r="B607" s="15" t="s">
        <v>24</v>
      </c>
      <c r="C607" s="17">
        <v>1885.0</v>
      </c>
      <c r="D607" s="17" t="s">
        <v>58</v>
      </c>
      <c r="E607" s="35" t="s">
        <v>1147</v>
      </c>
      <c r="F607" s="23" t="s">
        <v>1148</v>
      </c>
      <c r="G607" s="23" t="s">
        <v>127</v>
      </c>
      <c r="H607" s="25" t="s">
        <v>37</v>
      </c>
      <c r="I607" s="30">
        <v>46212.0</v>
      </c>
      <c r="J607" s="17">
        <v>2.0</v>
      </c>
      <c r="K607" s="23" t="s">
        <v>38</v>
      </c>
      <c r="L607" s="28">
        <v>25000.0</v>
      </c>
      <c r="M607" s="28">
        <v>0.0</v>
      </c>
      <c r="N607" s="28">
        <v>0.0</v>
      </c>
      <c r="O607" s="28">
        <v>0.0</v>
      </c>
      <c r="P607" s="28">
        <v>0.0</v>
      </c>
      <c r="Q607" s="33"/>
      <c r="R607" s="11"/>
    </row>
    <row r="608" ht="15.75" customHeight="1">
      <c r="A608" s="13">
        <f t="shared" si="1"/>
        <v>607</v>
      </c>
      <c r="B608" s="15" t="s">
        <v>24</v>
      </c>
      <c r="C608" s="17">
        <v>1885.0</v>
      </c>
      <c r="D608" s="17" t="s">
        <v>46</v>
      </c>
      <c r="E608" s="17" t="s">
        <v>1152</v>
      </c>
      <c r="F608" s="65" t="s">
        <v>293</v>
      </c>
      <c r="G608" s="67" t="s">
        <v>294</v>
      </c>
      <c r="H608" s="25" t="s">
        <v>37</v>
      </c>
      <c r="I608" s="30">
        <v>46212.0</v>
      </c>
      <c r="J608" s="17">
        <v>0.0</v>
      </c>
      <c r="K608" s="23" t="s">
        <v>57</v>
      </c>
      <c r="L608" s="28">
        <v>3100.0</v>
      </c>
      <c r="M608" s="28">
        <v>0.0</v>
      </c>
      <c r="N608" s="28">
        <v>0.0</v>
      </c>
      <c r="O608" s="28">
        <v>0.0</v>
      </c>
      <c r="P608" s="28">
        <v>0.0</v>
      </c>
      <c r="Q608" s="33"/>
      <c r="R608" s="11"/>
    </row>
    <row r="609" ht="15.75" customHeight="1">
      <c r="A609" s="13">
        <f t="shared" si="1"/>
        <v>608</v>
      </c>
      <c r="B609" s="15" t="s">
        <v>24</v>
      </c>
      <c r="C609" s="17">
        <v>1885.0</v>
      </c>
      <c r="D609" s="17" t="s">
        <v>87</v>
      </c>
      <c r="E609" s="17" t="s">
        <v>1156</v>
      </c>
      <c r="F609" s="66" t="s">
        <v>49</v>
      </c>
      <c r="G609" s="66" t="s">
        <v>265</v>
      </c>
      <c r="H609" s="25" t="s">
        <v>36</v>
      </c>
      <c r="I609" s="30">
        <v>46212.0</v>
      </c>
      <c r="J609" s="17">
        <v>0.0</v>
      </c>
      <c r="K609" s="23" t="s">
        <v>38</v>
      </c>
      <c r="L609" s="28">
        <v>20000.0</v>
      </c>
      <c r="M609" s="28">
        <v>0.0</v>
      </c>
      <c r="N609" s="28">
        <v>0.0</v>
      </c>
      <c r="O609" s="28">
        <v>0.0</v>
      </c>
      <c r="P609" s="28">
        <v>0.0</v>
      </c>
      <c r="Q609" s="33"/>
      <c r="R609" s="11"/>
    </row>
    <row r="610" ht="15.75" customHeight="1">
      <c r="A610" s="13">
        <f t="shared" si="1"/>
        <v>609</v>
      </c>
      <c r="B610" s="15" t="s">
        <v>24</v>
      </c>
      <c r="C610" s="17">
        <v>1885.0</v>
      </c>
      <c r="D610" s="17" t="s">
        <v>46</v>
      </c>
      <c r="E610" s="17" t="s">
        <v>1158</v>
      </c>
      <c r="F610" s="23" t="s">
        <v>33</v>
      </c>
      <c r="G610" s="23" t="s">
        <v>1159</v>
      </c>
      <c r="H610" s="25" t="s">
        <v>36</v>
      </c>
      <c r="I610" s="30">
        <v>46215.0</v>
      </c>
      <c r="J610" s="17">
        <v>0.0</v>
      </c>
      <c r="K610" s="23" t="s">
        <v>57</v>
      </c>
      <c r="L610" s="28">
        <v>50000.0</v>
      </c>
      <c r="M610" s="28">
        <v>0.0</v>
      </c>
      <c r="N610" s="28">
        <v>0.0</v>
      </c>
      <c r="O610" s="28">
        <v>0.0</v>
      </c>
      <c r="P610" s="28">
        <v>0.0</v>
      </c>
      <c r="Q610" s="33"/>
      <c r="R610" s="11"/>
    </row>
    <row r="611" ht="15.75" customHeight="1">
      <c r="A611" s="13">
        <f t="shared" si="1"/>
        <v>610</v>
      </c>
      <c r="B611" s="15" t="s">
        <v>24</v>
      </c>
      <c r="C611" s="17">
        <v>1885.0</v>
      </c>
      <c r="D611" s="17" t="s">
        <v>46</v>
      </c>
      <c r="E611" s="17" t="s">
        <v>1161</v>
      </c>
      <c r="F611" s="21" t="s">
        <v>44</v>
      </c>
      <c r="G611" s="21" t="s">
        <v>45</v>
      </c>
      <c r="H611" s="25" t="s">
        <v>36</v>
      </c>
      <c r="I611" s="30">
        <v>46215.0</v>
      </c>
      <c r="J611" s="17">
        <v>0.0</v>
      </c>
      <c r="K611" s="23" t="s">
        <v>57</v>
      </c>
      <c r="L611" s="28">
        <v>8000.0</v>
      </c>
      <c r="M611" s="28">
        <v>0.0</v>
      </c>
      <c r="N611" s="28">
        <v>0.0</v>
      </c>
      <c r="O611" s="28">
        <v>0.0</v>
      </c>
      <c r="P611" s="28">
        <v>0.0</v>
      </c>
      <c r="Q611" s="33"/>
      <c r="R611" s="11"/>
    </row>
    <row r="612" ht="15.75" customHeight="1">
      <c r="A612" s="13">
        <f t="shared" si="1"/>
        <v>611</v>
      </c>
      <c r="B612" s="15" t="s">
        <v>24</v>
      </c>
      <c r="C612" s="17">
        <v>1885.0</v>
      </c>
      <c r="D612" s="17" t="s">
        <v>46</v>
      </c>
      <c r="E612" s="17" t="s">
        <v>1167</v>
      </c>
      <c r="F612" s="21" t="s">
        <v>180</v>
      </c>
      <c r="G612" s="21" t="s">
        <v>288</v>
      </c>
      <c r="H612" s="25" t="s">
        <v>36</v>
      </c>
      <c r="I612" s="30">
        <v>46216.0</v>
      </c>
      <c r="J612" s="17">
        <v>0.0</v>
      </c>
      <c r="K612" s="23" t="s">
        <v>57</v>
      </c>
      <c r="L612" s="28">
        <v>9000.0</v>
      </c>
      <c r="M612" s="28">
        <v>0.0</v>
      </c>
      <c r="N612" s="28">
        <v>0.0</v>
      </c>
      <c r="O612" s="28">
        <v>0.0</v>
      </c>
      <c r="P612" s="28">
        <v>0.0</v>
      </c>
      <c r="Q612" s="33"/>
      <c r="R612" s="11"/>
    </row>
    <row r="613" ht="15.75" customHeight="1">
      <c r="A613" s="13">
        <f t="shared" si="1"/>
        <v>612</v>
      </c>
      <c r="B613" s="15" t="s">
        <v>24</v>
      </c>
      <c r="C613" s="17">
        <v>1885.0</v>
      </c>
      <c r="D613" s="17" t="s">
        <v>46</v>
      </c>
      <c r="E613" s="17" t="s">
        <v>1165</v>
      </c>
      <c r="F613" s="25" t="s">
        <v>142</v>
      </c>
      <c r="G613" s="25" t="s">
        <v>584</v>
      </c>
      <c r="H613" s="25" t="s">
        <v>36</v>
      </c>
      <c r="I613" s="30">
        <v>46215.0</v>
      </c>
      <c r="J613" s="15">
        <v>0.0</v>
      </c>
      <c r="K613" s="25" t="s">
        <v>57</v>
      </c>
      <c r="L613" s="28">
        <v>20000.0</v>
      </c>
      <c r="M613" s="28">
        <v>0.0</v>
      </c>
      <c r="N613" s="28">
        <v>0.0</v>
      </c>
      <c r="O613" s="28">
        <v>0.0</v>
      </c>
      <c r="P613" s="28">
        <v>0.0</v>
      </c>
      <c r="Q613" s="33"/>
      <c r="R613" s="11"/>
    </row>
    <row r="614" ht="15.75" customHeight="1">
      <c r="A614" s="13">
        <f t="shared" si="1"/>
        <v>613</v>
      </c>
      <c r="B614" s="15" t="s">
        <v>24</v>
      </c>
      <c r="C614" s="17">
        <v>1885.0</v>
      </c>
      <c r="D614" s="17" t="s">
        <v>182</v>
      </c>
      <c r="E614" s="17" t="s">
        <v>1170</v>
      </c>
      <c r="F614" s="198" t="s">
        <v>1016</v>
      </c>
      <c r="G614" s="198" t="s">
        <v>1088</v>
      </c>
      <c r="H614" s="25" t="s">
        <v>37</v>
      </c>
      <c r="I614" s="30">
        <v>46216.0</v>
      </c>
      <c r="J614" s="17">
        <v>0.0</v>
      </c>
      <c r="K614" s="23" t="s">
        <v>38</v>
      </c>
      <c r="L614" s="28">
        <v>62000.0</v>
      </c>
      <c r="M614" s="28">
        <v>0.0</v>
      </c>
      <c r="N614" s="28">
        <v>0.0</v>
      </c>
      <c r="O614" s="28">
        <v>0.0</v>
      </c>
      <c r="P614" s="28">
        <v>0.0</v>
      </c>
      <c r="Q614" s="33"/>
      <c r="R614" s="11"/>
    </row>
    <row r="615" ht="15.75" customHeight="1">
      <c r="A615" s="13">
        <f t="shared" si="1"/>
        <v>614</v>
      </c>
      <c r="B615" s="15" t="s">
        <v>24</v>
      </c>
      <c r="C615" s="17">
        <v>1885.0</v>
      </c>
      <c r="D615" s="17" t="s">
        <v>46</v>
      </c>
      <c r="E615" s="17" t="s">
        <v>1172</v>
      </c>
      <c r="F615" s="72" t="s">
        <v>272</v>
      </c>
      <c r="G615" s="72" t="s">
        <v>274</v>
      </c>
      <c r="H615" s="25" t="s">
        <v>36</v>
      </c>
      <c r="I615" s="30">
        <v>46216.0</v>
      </c>
      <c r="J615" s="17">
        <v>0.0</v>
      </c>
      <c r="K615" s="23" t="s">
        <v>57</v>
      </c>
      <c r="L615" s="28">
        <v>5000.0</v>
      </c>
      <c r="M615" s="28">
        <v>0.0</v>
      </c>
      <c r="N615" s="28">
        <v>0.0</v>
      </c>
      <c r="O615" s="28">
        <v>0.0</v>
      </c>
      <c r="P615" s="28">
        <v>0.0</v>
      </c>
      <c r="Q615" s="33"/>
      <c r="R615" s="11"/>
    </row>
    <row r="616" ht="15.75" customHeight="1">
      <c r="A616" s="13">
        <f t="shared" si="1"/>
        <v>615</v>
      </c>
      <c r="B616" s="15" t="s">
        <v>24</v>
      </c>
      <c r="C616" s="17">
        <v>1885.0</v>
      </c>
      <c r="D616" s="17" t="s">
        <v>182</v>
      </c>
      <c r="E616" s="17" t="s">
        <v>1176</v>
      </c>
      <c r="F616" s="198" t="s">
        <v>84</v>
      </c>
      <c r="G616" s="198" t="s">
        <v>531</v>
      </c>
      <c r="H616" s="25" t="s">
        <v>36</v>
      </c>
      <c r="I616" s="30">
        <v>46216.0</v>
      </c>
      <c r="J616" s="17">
        <v>0.0</v>
      </c>
      <c r="K616" s="23" t="s">
        <v>38</v>
      </c>
      <c r="L616" s="28">
        <v>9000.0</v>
      </c>
      <c r="M616" s="28">
        <v>0.0</v>
      </c>
      <c r="N616" s="28">
        <v>0.0</v>
      </c>
      <c r="O616" s="28">
        <v>0.0</v>
      </c>
      <c r="P616" s="28">
        <v>0.0</v>
      </c>
      <c r="Q616" s="33"/>
      <c r="R616" s="11"/>
    </row>
    <row r="617" ht="15.75" customHeight="1">
      <c r="A617" s="13">
        <f t="shared" si="1"/>
        <v>616</v>
      </c>
      <c r="B617" s="15" t="s">
        <v>24</v>
      </c>
      <c r="C617" s="17">
        <v>1885.0</v>
      </c>
      <c r="D617" s="17" t="s">
        <v>46</v>
      </c>
      <c r="E617" s="17" t="s">
        <v>1182</v>
      </c>
      <c r="F617" s="23" t="s">
        <v>279</v>
      </c>
      <c r="G617" s="23" t="s">
        <v>1183</v>
      </c>
      <c r="H617" s="25" t="s">
        <v>36</v>
      </c>
      <c r="I617" s="30">
        <v>46217.0</v>
      </c>
      <c r="J617" s="17">
        <v>0.0</v>
      </c>
      <c r="K617" s="23" t="s">
        <v>57</v>
      </c>
      <c r="L617" s="28">
        <v>10000.0</v>
      </c>
      <c r="M617" s="28">
        <v>0.0</v>
      </c>
      <c r="N617" s="28">
        <v>0.0</v>
      </c>
      <c r="O617" s="28">
        <v>0.0</v>
      </c>
      <c r="P617" s="28">
        <v>0.0</v>
      </c>
      <c r="Q617" s="33"/>
      <c r="R617" s="11"/>
    </row>
    <row r="618" ht="15.75" customHeight="1">
      <c r="A618" s="13">
        <f t="shared" si="1"/>
        <v>617</v>
      </c>
      <c r="B618" s="15" t="s">
        <v>24</v>
      </c>
      <c r="C618" s="17">
        <v>1885.0</v>
      </c>
      <c r="D618" s="17" t="s">
        <v>46</v>
      </c>
      <c r="E618" s="17" t="s">
        <v>1185</v>
      </c>
      <c r="F618" s="152" t="s">
        <v>51</v>
      </c>
      <c r="G618" s="65" t="s">
        <v>428</v>
      </c>
      <c r="H618" s="25" t="s">
        <v>36</v>
      </c>
      <c r="I618" s="30">
        <v>46217.0</v>
      </c>
      <c r="J618" s="17">
        <v>0.0</v>
      </c>
      <c r="K618" s="23" t="s">
        <v>57</v>
      </c>
      <c r="L618" s="28">
        <v>7000.0</v>
      </c>
      <c r="M618" s="28">
        <v>0.0</v>
      </c>
      <c r="N618" s="28">
        <v>0.0</v>
      </c>
      <c r="O618" s="28">
        <v>0.0</v>
      </c>
      <c r="P618" s="28">
        <v>0.0</v>
      </c>
      <c r="Q618" s="33"/>
      <c r="R618" s="11"/>
    </row>
    <row r="619" ht="15.75" customHeight="1">
      <c r="A619" s="13">
        <f t="shared" si="1"/>
        <v>618</v>
      </c>
      <c r="B619" s="15" t="s">
        <v>24</v>
      </c>
      <c r="C619" s="17">
        <v>1885.0</v>
      </c>
      <c r="D619" s="17" t="s">
        <v>182</v>
      </c>
      <c r="E619" s="17" t="s">
        <v>1194</v>
      </c>
      <c r="F619" s="198" t="s">
        <v>84</v>
      </c>
      <c r="G619" s="198" t="s">
        <v>531</v>
      </c>
      <c r="H619" s="25" t="s">
        <v>36</v>
      </c>
      <c r="I619" s="30">
        <v>46219.0</v>
      </c>
      <c r="J619" s="17">
        <v>0.0</v>
      </c>
      <c r="K619" s="23" t="s">
        <v>38</v>
      </c>
      <c r="L619" s="28">
        <v>55000.0</v>
      </c>
      <c r="M619" s="28">
        <v>0.0</v>
      </c>
      <c r="N619" s="28">
        <v>0.0</v>
      </c>
      <c r="O619" s="28">
        <v>0.0</v>
      </c>
      <c r="P619" s="28">
        <v>0.0</v>
      </c>
      <c r="Q619" s="33"/>
      <c r="R619" s="11"/>
    </row>
    <row r="620" ht="15.75" customHeight="1">
      <c r="A620" s="13">
        <f t="shared" si="1"/>
        <v>619</v>
      </c>
      <c r="B620" s="15" t="s">
        <v>24</v>
      </c>
      <c r="C620" s="17">
        <v>1885.0</v>
      </c>
      <c r="D620" s="17" t="s">
        <v>58</v>
      </c>
      <c r="E620" s="17" t="s">
        <v>1197</v>
      </c>
      <c r="F620" s="25" t="s">
        <v>184</v>
      </c>
      <c r="G620" s="25" t="s">
        <v>449</v>
      </c>
      <c r="H620" s="25" t="s">
        <v>36</v>
      </c>
      <c r="I620" s="30">
        <v>46219.0</v>
      </c>
      <c r="J620" s="17">
        <v>1.0</v>
      </c>
      <c r="K620" s="25" t="s">
        <v>38</v>
      </c>
      <c r="L620" s="28">
        <v>30000.0</v>
      </c>
      <c r="M620" s="100">
        <v>0.0</v>
      </c>
      <c r="N620" s="100">
        <v>0.0</v>
      </c>
      <c r="O620" s="100">
        <v>0.0</v>
      </c>
      <c r="P620" s="100">
        <v>0.0</v>
      </c>
      <c r="Q620" s="33"/>
      <c r="R620" s="11"/>
    </row>
    <row r="621" ht="15.75" customHeight="1">
      <c r="A621" s="13">
        <f t="shared" si="1"/>
        <v>620</v>
      </c>
      <c r="B621" s="15" t="s">
        <v>24</v>
      </c>
      <c r="C621" s="17">
        <v>1885.0</v>
      </c>
      <c r="D621" s="17" t="s">
        <v>182</v>
      </c>
      <c r="E621" s="17" t="s">
        <v>1201</v>
      </c>
      <c r="F621" s="198" t="s">
        <v>84</v>
      </c>
      <c r="G621" s="223" t="s">
        <v>517</v>
      </c>
      <c r="H621" s="25" t="s">
        <v>36</v>
      </c>
      <c r="I621" s="30">
        <v>46219.0</v>
      </c>
      <c r="J621" s="17">
        <v>1.0</v>
      </c>
      <c r="K621" s="23" t="s">
        <v>38</v>
      </c>
      <c r="L621" s="28">
        <v>40000.0</v>
      </c>
      <c r="M621" s="28">
        <v>0.0</v>
      </c>
      <c r="N621" s="28">
        <v>0.0</v>
      </c>
      <c r="O621" s="28">
        <v>0.0</v>
      </c>
      <c r="P621" s="28">
        <v>0.0</v>
      </c>
      <c r="Q621" s="33"/>
      <c r="R621" s="11"/>
    </row>
    <row r="622" ht="15.75" customHeight="1">
      <c r="A622" s="13">
        <f t="shared" si="1"/>
        <v>621</v>
      </c>
      <c r="B622" s="15" t="s">
        <v>24</v>
      </c>
      <c r="C622" s="17">
        <v>1885.0</v>
      </c>
      <c r="D622" s="17" t="s">
        <v>46</v>
      </c>
      <c r="E622" s="17" t="s">
        <v>1207</v>
      </c>
      <c r="F622" s="23" t="s">
        <v>33</v>
      </c>
      <c r="G622" s="23" t="s">
        <v>233</v>
      </c>
      <c r="H622" s="25" t="s">
        <v>37</v>
      </c>
      <c r="I622" s="30">
        <v>46219.0</v>
      </c>
      <c r="J622" s="17">
        <v>0.0</v>
      </c>
      <c r="K622" s="23" t="s">
        <v>57</v>
      </c>
      <c r="L622" s="28">
        <v>50000.0</v>
      </c>
      <c r="M622" s="28">
        <v>0.0</v>
      </c>
      <c r="N622" s="28">
        <v>0.0</v>
      </c>
      <c r="O622" s="28">
        <v>0.0</v>
      </c>
      <c r="P622" s="28">
        <v>0.0</v>
      </c>
      <c r="Q622" s="33"/>
      <c r="R622" s="11"/>
    </row>
    <row r="623" ht="15.75" customHeight="1">
      <c r="A623" s="13">
        <f t="shared" si="1"/>
        <v>622</v>
      </c>
      <c r="B623" s="15" t="s">
        <v>24</v>
      </c>
      <c r="C623" s="17">
        <v>1885.0</v>
      </c>
      <c r="D623" s="17" t="s">
        <v>87</v>
      </c>
      <c r="E623" s="17" t="s">
        <v>1210</v>
      </c>
      <c r="F623" s="223" t="s">
        <v>91</v>
      </c>
      <c r="G623" s="223" t="s">
        <v>135</v>
      </c>
      <c r="H623" s="25" t="s">
        <v>37</v>
      </c>
      <c r="I623" s="30">
        <v>46219.0</v>
      </c>
      <c r="J623" s="17">
        <v>1.0</v>
      </c>
      <c r="K623" s="23" t="s">
        <v>38</v>
      </c>
      <c r="L623" s="28">
        <v>100000.0</v>
      </c>
      <c r="M623" s="28">
        <v>0.0</v>
      </c>
      <c r="N623" s="28">
        <v>0.0</v>
      </c>
      <c r="O623" s="28">
        <v>0.0</v>
      </c>
      <c r="P623" s="28">
        <v>0.0</v>
      </c>
      <c r="Q623" s="33"/>
      <c r="R623" s="11"/>
    </row>
    <row r="624" ht="15.75" customHeight="1">
      <c r="A624" s="13">
        <f t="shared" si="1"/>
        <v>623</v>
      </c>
      <c r="B624" s="15" t="s">
        <v>24</v>
      </c>
      <c r="C624" s="17">
        <v>1885.0</v>
      </c>
      <c r="D624" s="15"/>
      <c r="E624" s="17" t="s">
        <v>1409</v>
      </c>
      <c r="F624" s="181" t="s">
        <v>82</v>
      </c>
      <c r="G624" s="201" t="s">
        <v>1410</v>
      </c>
      <c r="H624" s="25"/>
      <c r="I624" s="30"/>
      <c r="J624" s="15"/>
      <c r="K624" s="25"/>
      <c r="L624" s="28"/>
      <c r="M624" s="28"/>
      <c r="N624" s="28"/>
      <c r="O624" s="28"/>
      <c r="P624" s="28"/>
      <c r="Q624" s="33"/>
      <c r="R624" s="11"/>
    </row>
    <row r="625" ht="15.75" customHeight="1">
      <c r="A625" s="13">
        <f t="shared" si="1"/>
        <v>624</v>
      </c>
      <c r="B625" s="15" t="s">
        <v>24</v>
      </c>
      <c r="C625" s="17">
        <v>1885.0</v>
      </c>
      <c r="D625" s="15"/>
      <c r="E625" s="17" t="s">
        <v>1411</v>
      </c>
      <c r="F625" s="181" t="s">
        <v>82</v>
      </c>
      <c r="G625" s="201" t="s">
        <v>1410</v>
      </c>
      <c r="H625" s="25"/>
      <c r="I625" s="30"/>
      <c r="J625" s="15"/>
      <c r="K625" s="25"/>
      <c r="L625" s="28"/>
      <c r="M625" s="28"/>
      <c r="N625" s="28"/>
      <c r="O625" s="28"/>
      <c r="P625" s="28"/>
      <c r="Q625" s="33"/>
      <c r="R625" s="11"/>
    </row>
    <row r="626" ht="15.75" customHeight="1">
      <c r="A626" s="13">
        <f t="shared" si="1"/>
        <v>625</v>
      </c>
      <c r="B626" s="15" t="s">
        <v>24</v>
      </c>
      <c r="C626" s="17">
        <v>1885.0</v>
      </c>
      <c r="D626" s="17" t="s">
        <v>46</v>
      </c>
      <c r="E626" s="17" t="s">
        <v>1229</v>
      </c>
      <c r="F626" s="94" t="s">
        <v>84</v>
      </c>
      <c r="G626" s="94" t="s">
        <v>270</v>
      </c>
      <c r="H626" s="25" t="s">
        <v>36</v>
      </c>
      <c r="I626" s="30">
        <v>46223.0</v>
      </c>
      <c r="J626" s="17">
        <v>0.0</v>
      </c>
      <c r="K626" s="23" t="s">
        <v>57</v>
      </c>
      <c r="L626" s="28">
        <v>5000.0</v>
      </c>
      <c r="M626" s="28">
        <v>0.0</v>
      </c>
      <c r="N626" s="28">
        <v>0.0</v>
      </c>
      <c r="O626" s="28">
        <v>0.0</v>
      </c>
      <c r="P626" s="28">
        <v>0.0</v>
      </c>
      <c r="Q626" s="33"/>
      <c r="R626" s="11"/>
    </row>
    <row r="627" ht="15.75" customHeight="1">
      <c r="A627" s="13">
        <f t="shared" si="1"/>
        <v>626</v>
      </c>
      <c r="B627" s="15" t="s">
        <v>24</v>
      </c>
      <c r="C627" s="17">
        <v>1885.0</v>
      </c>
      <c r="D627" s="17" t="s">
        <v>58</v>
      </c>
      <c r="E627" s="17" t="s">
        <v>1231</v>
      </c>
      <c r="F627" s="25" t="s">
        <v>184</v>
      </c>
      <c r="G627" s="25" t="s">
        <v>449</v>
      </c>
      <c r="H627" s="25" t="s">
        <v>36</v>
      </c>
      <c r="I627" s="30">
        <v>46223.0</v>
      </c>
      <c r="J627" s="17">
        <v>0.0</v>
      </c>
      <c r="K627" s="23" t="s">
        <v>38</v>
      </c>
      <c r="L627" s="28">
        <v>270000.0</v>
      </c>
      <c r="M627" s="28">
        <v>0.0</v>
      </c>
      <c r="N627" s="28">
        <v>0.0</v>
      </c>
      <c r="O627" s="28">
        <v>0.0</v>
      </c>
      <c r="P627" s="28">
        <v>0.0</v>
      </c>
      <c r="Q627" s="33"/>
      <c r="R627" s="11"/>
    </row>
    <row r="628" ht="15.75" customHeight="1">
      <c r="A628" s="13">
        <f t="shared" si="1"/>
        <v>627</v>
      </c>
      <c r="B628" s="15" t="s">
        <v>24</v>
      </c>
      <c r="C628" s="17">
        <v>1885.0</v>
      </c>
      <c r="D628" s="17" t="s">
        <v>46</v>
      </c>
      <c r="E628" s="17" t="s">
        <v>1234</v>
      </c>
      <c r="F628" s="81" t="s">
        <v>208</v>
      </c>
      <c r="G628" s="83" t="s">
        <v>208</v>
      </c>
      <c r="H628" s="25" t="s">
        <v>36</v>
      </c>
      <c r="I628" s="30">
        <v>46223.0</v>
      </c>
      <c r="J628" s="17">
        <v>0.0</v>
      </c>
      <c r="K628" s="23" t="s">
        <v>57</v>
      </c>
      <c r="L628" s="28">
        <v>5000.0</v>
      </c>
      <c r="M628" s="28">
        <v>0.0</v>
      </c>
      <c r="N628" s="28">
        <v>0.0</v>
      </c>
      <c r="O628" s="28">
        <v>0.0</v>
      </c>
      <c r="P628" s="28">
        <v>0.0</v>
      </c>
      <c r="Q628" s="33"/>
      <c r="R628" s="11"/>
    </row>
    <row r="629" ht="15.75" customHeight="1">
      <c r="A629" s="13">
        <f t="shared" si="1"/>
        <v>628</v>
      </c>
      <c r="B629" s="15" t="s">
        <v>24</v>
      </c>
      <c r="C629" s="17">
        <v>1885.0</v>
      </c>
      <c r="D629" s="17" t="s">
        <v>46</v>
      </c>
      <c r="E629" s="17" t="s">
        <v>1256</v>
      </c>
      <c r="F629" s="94" t="s">
        <v>44</v>
      </c>
      <c r="G629" s="94" t="s">
        <v>45</v>
      </c>
      <c r="H629" s="25" t="s">
        <v>36</v>
      </c>
      <c r="I629" s="30">
        <v>46225.0</v>
      </c>
      <c r="J629" s="17">
        <v>0.0</v>
      </c>
      <c r="K629" s="23" t="s">
        <v>57</v>
      </c>
      <c r="L629" s="28">
        <v>10000.0</v>
      </c>
      <c r="M629" s="28">
        <v>0.0</v>
      </c>
      <c r="N629" s="28">
        <v>0.0</v>
      </c>
      <c r="O629" s="28">
        <v>0.0</v>
      </c>
      <c r="P629" s="28">
        <v>0.0</v>
      </c>
      <c r="Q629" s="33"/>
      <c r="R629" s="11"/>
    </row>
    <row r="630" ht="15.75" customHeight="1">
      <c r="A630" s="13">
        <f t="shared" si="1"/>
        <v>629</v>
      </c>
      <c r="B630" s="15" t="s">
        <v>24</v>
      </c>
      <c r="C630" s="17">
        <v>1885.0</v>
      </c>
      <c r="D630" s="17" t="s">
        <v>46</v>
      </c>
      <c r="E630" s="17" t="s">
        <v>1263</v>
      </c>
      <c r="F630" s="94" t="s">
        <v>191</v>
      </c>
      <c r="G630" s="94" t="s">
        <v>316</v>
      </c>
      <c r="H630" s="25" t="s">
        <v>36</v>
      </c>
      <c r="I630" s="30">
        <v>46226.0</v>
      </c>
      <c r="J630" s="17">
        <v>0.0</v>
      </c>
      <c r="K630" s="23" t="s">
        <v>57</v>
      </c>
      <c r="L630" s="28">
        <v>10000.0</v>
      </c>
      <c r="M630" s="28">
        <v>0.0</v>
      </c>
      <c r="N630" s="28">
        <v>0.0</v>
      </c>
      <c r="O630" s="28">
        <v>0.0</v>
      </c>
      <c r="P630" s="28">
        <v>0.0</v>
      </c>
      <c r="Q630" s="33"/>
      <c r="R630" s="11"/>
    </row>
    <row r="631" ht="15.75" customHeight="1">
      <c r="A631" s="13">
        <f t="shared" si="1"/>
        <v>630</v>
      </c>
      <c r="B631" s="15" t="s">
        <v>24</v>
      </c>
      <c r="C631" s="17">
        <v>1885.0</v>
      </c>
      <c r="D631" s="17" t="s">
        <v>87</v>
      </c>
      <c r="E631" s="17" t="s">
        <v>1266</v>
      </c>
      <c r="F631" s="223" t="s">
        <v>614</v>
      </c>
      <c r="G631" s="23" t="s">
        <v>1267</v>
      </c>
      <c r="H631" s="25" t="s">
        <v>36</v>
      </c>
      <c r="I631" s="30">
        <v>46226.0</v>
      </c>
      <c r="J631" s="17">
        <v>1.0</v>
      </c>
      <c r="K631" s="23" t="s">
        <v>38</v>
      </c>
      <c r="L631" s="28">
        <v>10000.0</v>
      </c>
      <c r="M631" s="28">
        <v>0.0</v>
      </c>
      <c r="N631" s="28">
        <v>0.0</v>
      </c>
      <c r="O631" s="28">
        <v>0.0</v>
      </c>
      <c r="P631" s="28">
        <v>0.0</v>
      </c>
      <c r="Q631" s="33"/>
      <c r="R631" s="11"/>
    </row>
    <row r="632" ht="15.75" customHeight="1">
      <c r="A632" s="13">
        <f t="shared" si="1"/>
        <v>631</v>
      </c>
      <c r="B632" s="15" t="s">
        <v>24</v>
      </c>
      <c r="C632" s="17">
        <v>1885.0</v>
      </c>
      <c r="D632" s="17" t="s">
        <v>46</v>
      </c>
      <c r="E632" s="17" t="s">
        <v>1270</v>
      </c>
      <c r="F632" s="102" t="s">
        <v>84</v>
      </c>
      <c r="G632" s="102" t="s">
        <v>575</v>
      </c>
      <c r="H632" s="25" t="s">
        <v>36</v>
      </c>
      <c r="I632" s="30">
        <v>46226.0</v>
      </c>
      <c r="J632" s="17">
        <v>0.0</v>
      </c>
      <c r="K632" s="23" t="s">
        <v>57</v>
      </c>
      <c r="L632" s="28">
        <v>6000.0</v>
      </c>
      <c r="M632" s="28">
        <v>0.0</v>
      </c>
      <c r="N632" s="28">
        <v>0.0</v>
      </c>
      <c r="O632" s="28">
        <v>0.0</v>
      </c>
      <c r="P632" s="28">
        <v>0.0</v>
      </c>
      <c r="Q632" s="33"/>
      <c r="R632" s="11"/>
    </row>
    <row r="633" ht="15.75" customHeight="1">
      <c r="A633" s="13">
        <f t="shared" si="1"/>
        <v>632</v>
      </c>
      <c r="B633" s="15" t="s">
        <v>24</v>
      </c>
      <c r="C633" s="17">
        <v>1885.0</v>
      </c>
      <c r="D633" s="17" t="s">
        <v>46</v>
      </c>
      <c r="E633" s="17" t="s">
        <v>1214</v>
      </c>
      <c r="F633" s="152" t="s">
        <v>44</v>
      </c>
      <c r="G633" s="152" t="s">
        <v>478</v>
      </c>
      <c r="H633" s="25" t="s">
        <v>37</v>
      </c>
      <c r="I633" s="30">
        <v>46219.0</v>
      </c>
      <c r="J633" s="17">
        <v>0.0</v>
      </c>
      <c r="K633" s="23" t="s">
        <v>57</v>
      </c>
      <c r="L633" s="28">
        <v>5500.0</v>
      </c>
      <c r="M633" s="28">
        <v>0.0</v>
      </c>
      <c r="N633" s="28">
        <v>0.0</v>
      </c>
      <c r="O633" s="28">
        <v>0.0</v>
      </c>
      <c r="P633" s="28">
        <v>0.0</v>
      </c>
      <c r="Q633" s="33"/>
      <c r="R633" s="11"/>
    </row>
    <row r="634" ht="15.75" customHeight="1">
      <c r="A634" s="13">
        <f t="shared" si="1"/>
        <v>633</v>
      </c>
      <c r="B634" s="15" t="s">
        <v>24</v>
      </c>
      <c r="C634" s="17">
        <v>1885.0</v>
      </c>
      <c r="D634" s="17" t="s">
        <v>46</v>
      </c>
      <c r="E634" s="17" t="s">
        <v>1219</v>
      </c>
      <c r="F634" s="152" t="s">
        <v>44</v>
      </c>
      <c r="G634" s="152" t="s">
        <v>478</v>
      </c>
      <c r="H634" s="25" t="s">
        <v>36</v>
      </c>
      <c r="I634" s="30">
        <v>46219.0</v>
      </c>
      <c r="J634" s="17">
        <v>0.0</v>
      </c>
      <c r="K634" s="23" t="s">
        <v>57</v>
      </c>
      <c r="L634" s="28">
        <v>11000.0</v>
      </c>
      <c r="M634" s="28">
        <v>0.0</v>
      </c>
      <c r="N634" s="28">
        <v>0.0</v>
      </c>
      <c r="O634" s="28">
        <v>0.0</v>
      </c>
      <c r="P634" s="28">
        <v>0.0</v>
      </c>
      <c r="Q634" s="33"/>
      <c r="R634" s="11"/>
    </row>
    <row r="635" ht="15.75" customHeight="1">
      <c r="A635" s="13">
        <f t="shared" si="1"/>
        <v>634</v>
      </c>
      <c r="B635" s="15" t="s">
        <v>24</v>
      </c>
      <c r="C635" s="17">
        <v>1885.0</v>
      </c>
      <c r="D635" s="17" t="s">
        <v>46</v>
      </c>
      <c r="E635" s="17" t="s">
        <v>1222</v>
      </c>
      <c r="F635" s="67" t="s">
        <v>44</v>
      </c>
      <c r="G635" s="67" t="s">
        <v>493</v>
      </c>
      <c r="H635" s="25" t="s">
        <v>37</v>
      </c>
      <c r="I635" s="30">
        <v>46219.0</v>
      </c>
      <c r="J635" s="17">
        <v>0.0</v>
      </c>
      <c r="K635" s="23" t="s">
        <v>57</v>
      </c>
      <c r="L635" s="28">
        <v>5500.0</v>
      </c>
      <c r="M635" s="28">
        <v>0.0</v>
      </c>
      <c r="N635" s="28">
        <v>0.0</v>
      </c>
      <c r="O635" s="28">
        <v>0.0</v>
      </c>
      <c r="P635" s="28">
        <v>0.0</v>
      </c>
      <c r="Q635" s="33"/>
      <c r="R635" s="11"/>
    </row>
    <row r="636" ht="15.75" customHeight="1">
      <c r="A636" s="13">
        <f t="shared" si="1"/>
        <v>635</v>
      </c>
      <c r="B636" s="15" t="s">
        <v>24</v>
      </c>
      <c r="C636" s="17">
        <v>1885.0</v>
      </c>
      <c r="D636" s="17" t="s">
        <v>46</v>
      </c>
      <c r="E636" s="17" t="s">
        <v>1239</v>
      </c>
      <c r="F636" s="23" t="s">
        <v>33</v>
      </c>
      <c r="G636" s="23" t="s">
        <v>1412</v>
      </c>
      <c r="H636" s="25" t="s">
        <v>36</v>
      </c>
      <c r="I636" s="30">
        <v>46223.0</v>
      </c>
      <c r="J636" s="17">
        <v>0.0</v>
      </c>
      <c r="K636" s="23" t="s">
        <v>57</v>
      </c>
      <c r="L636" s="28">
        <v>5000.0</v>
      </c>
      <c r="M636" s="28">
        <v>0.0</v>
      </c>
      <c r="N636" s="28">
        <v>0.0</v>
      </c>
      <c r="O636" s="28">
        <v>0.0</v>
      </c>
      <c r="P636" s="28">
        <v>0.0</v>
      </c>
      <c r="Q636" s="33"/>
      <c r="R636" s="11"/>
    </row>
    <row r="637" ht="15.75" customHeight="1">
      <c r="A637" s="13">
        <f t="shared" si="1"/>
        <v>636</v>
      </c>
      <c r="B637" s="15" t="s">
        <v>24</v>
      </c>
      <c r="C637" s="17">
        <v>1885.0</v>
      </c>
      <c r="D637" s="17" t="s">
        <v>46</v>
      </c>
      <c r="E637" s="17" t="s">
        <v>1243</v>
      </c>
      <c r="F637" s="23" t="s">
        <v>33</v>
      </c>
      <c r="G637" s="23" t="s">
        <v>158</v>
      </c>
      <c r="H637" s="25" t="s">
        <v>36</v>
      </c>
      <c r="I637" s="30">
        <v>46223.0</v>
      </c>
      <c r="J637" s="17">
        <v>0.0</v>
      </c>
      <c r="K637" s="23" t="s">
        <v>57</v>
      </c>
      <c r="L637" s="28">
        <v>20000.0</v>
      </c>
      <c r="M637" s="28">
        <v>0.0</v>
      </c>
      <c r="N637" s="28">
        <v>0.0</v>
      </c>
      <c r="O637" s="28">
        <v>0.0</v>
      </c>
      <c r="P637" s="28">
        <v>0.0</v>
      </c>
      <c r="Q637" s="33"/>
      <c r="R637" s="11"/>
    </row>
    <row r="638" ht="15.75" customHeight="1">
      <c r="A638" s="13">
        <f t="shared" si="1"/>
        <v>637</v>
      </c>
      <c r="B638" s="15" t="s">
        <v>24</v>
      </c>
      <c r="C638" s="17">
        <v>1885.0</v>
      </c>
      <c r="D638" s="17" t="s">
        <v>46</v>
      </c>
      <c r="E638" s="17" t="s">
        <v>1247</v>
      </c>
      <c r="F638" s="65" t="s">
        <v>84</v>
      </c>
      <c r="G638" s="65" t="s">
        <v>254</v>
      </c>
      <c r="H638" s="25" t="s">
        <v>36</v>
      </c>
      <c r="I638" s="30">
        <v>46223.0</v>
      </c>
      <c r="J638" s="17">
        <v>0.0</v>
      </c>
      <c r="K638" s="23" t="s">
        <v>57</v>
      </c>
      <c r="L638" s="28">
        <v>5000.0</v>
      </c>
      <c r="M638" s="28">
        <v>0.0</v>
      </c>
      <c r="N638" s="28">
        <v>0.0</v>
      </c>
      <c r="O638" s="28">
        <v>0.0</v>
      </c>
      <c r="P638" s="28">
        <v>0.0</v>
      </c>
      <c r="Q638" s="33"/>
      <c r="R638" s="11"/>
    </row>
    <row r="639" ht="15.75" customHeight="1">
      <c r="A639" s="13">
        <f t="shared" si="1"/>
        <v>638</v>
      </c>
      <c r="B639" s="15" t="s">
        <v>24</v>
      </c>
      <c r="C639" s="17">
        <v>1885.0</v>
      </c>
      <c r="D639" s="15"/>
      <c r="E639" s="17" t="s">
        <v>1413</v>
      </c>
      <c r="F639" s="181" t="s">
        <v>82</v>
      </c>
      <c r="G639" s="201" t="s">
        <v>1414</v>
      </c>
      <c r="H639" s="25"/>
      <c r="I639" s="30"/>
      <c r="J639" s="15"/>
      <c r="K639" s="25"/>
      <c r="L639" s="28"/>
      <c r="M639" s="28"/>
      <c r="N639" s="28"/>
      <c r="O639" s="28"/>
      <c r="P639" s="28"/>
      <c r="Q639" s="33"/>
      <c r="R639" s="11"/>
    </row>
    <row r="640" ht="15.75" customHeight="1">
      <c r="A640" s="13">
        <f t="shared" si="1"/>
        <v>639</v>
      </c>
      <c r="B640" s="15" t="s">
        <v>24</v>
      </c>
      <c r="C640" s="17">
        <v>1885.0</v>
      </c>
      <c r="D640" s="17" t="s">
        <v>182</v>
      </c>
      <c r="E640" s="17" t="s">
        <v>1277</v>
      </c>
      <c r="F640" s="23" t="s">
        <v>33</v>
      </c>
      <c r="G640" s="23" t="s">
        <v>1070</v>
      </c>
      <c r="H640" s="25" t="s">
        <v>36</v>
      </c>
      <c r="I640" s="30">
        <v>46228.0</v>
      </c>
      <c r="J640" s="17">
        <v>1.0</v>
      </c>
      <c r="K640" s="23" t="s">
        <v>38</v>
      </c>
      <c r="L640" s="28">
        <v>20000.0</v>
      </c>
      <c r="M640" s="28">
        <v>0.0</v>
      </c>
      <c r="N640" s="28">
        <v>0.0</v>
      </c>
      <c r="O640" s="28">
        <v>0.0</v>
      </c>
      <c r="P640" s="28">
        <v>0.0</v>
      </c>
      <c r="Q640" s="33"/>
      <c r="R640" s="11"/>
    </row>
    <row r="641" ht="15.75" customHeight="1">
      <c r="A641" s="13">
        <f t="shared" si="1"/>
        <v>640</v>
      </c>
      <c r="B641" s="15" t="s">
        <v>24</v>
      </c>
      <c r="C641" s="17">
        <v>1885.0</v>
      </c>
      <c r="D641" s="17" t="s">
        <v>46</v>
      </c>
      <c r="E641" s="17" t="s">
        <v>1281</v>
      </c>
      <c r="F641" s="21" t="s">
        <v>40</v>
      </c>
      <c r="G641" s="21" t="s">
        <v>41</v>
      </c>
      <c r="H641" s="25" t="s">
        <v>36</v>
      </c>
      <c r="I641" s="30">
        <v>46228.0</v>
      </c>
      <c r="J641" s="17">
        <v>0.0</v>
      </c>
      <c r="K641" s="23" t="s">
        <v>57</v>
      </c>
      <c r="L641" s="28">
        <v>10000.0</v>
      </c>
      <c r="M641" s="28">
        <v>0.0</v>
      </c>
      <c r="N641" s="28">
        <v>0.0</v>
      </c>
      <c r="O641" s="28">
        <v>0.0</v>
      </c>
      <c r="P641" s="28">
        <v>0.0</v>
      </c>
      <c r="Q641" s="33"/>
      <c r="R641" s="11"/>
    </row>
    <row r="642" ht="15.75" customHeight="1">
      <c r="A642" s="13">
        <f t="shared" si="1"/>
        <v>641</v>
      </c>
      <c r="B642" s="15" t="s">
        <v>24</v>
      </c>
      <c r="C642" s="17">
        <v>1885.0</v>
      </c>
      <c r="D642" s="17" t="s">
        <v>46</v>
      </c>
      <c r="E642" s="17" t="s">
        <v>1283</v>
      </c>
      <c r="F642" s="36" t="s">
        <v>40</v>
      </c>
      <c r="G642" s="36" t="s">
        <v>558</v>
      </c>
      <c r="H642" s="25" t="s">
        <v>36</v>
      </c>
      <c r="I642" s="30">
        <v>46229.0</v>
      </c>
      <c r="J642" s="17">
        <v>0.0</v>
      </c>
      <c r="K642" s="23" t="s">
        <v>57</v>
      </c>
      <c r="L642" s="28">
        <v>17500.0</v>
      </c>
      <c r="M642" s="28">
        <v>0.0</v>
      </c>
      <c r="N642" s="28">
        <v>0.0</v>
      </c>
      <c r="O642" s="28">
        <v>0.0</v>
      </c>
      <c r="P642" s="28">
        <v>0.0</v>
      </c>
      <c r="Q642" s="33"/>
      <c r="R642" s="11"/>
    </row>
    <row r="643" ht="15.75" customHeight="1">
      <c r="A643" s="13">
        <f t="shared" si="1"/>
        <v>642</v>
      </c>
      <c r="B643" s="15" t="s">
        <v>24</v>
      </c>
      <c r="C643" s="17">
        <v>1885.0</v>
      </c>
      <c r="D643" s="17" t="s">
        <v>46</v>
      </c>
      <c r="E643" s="17" t="s">
        <v>1286</v>
      </c>
      <c r="F643" s="23" t="s">
        <v>356</v>
      </c>
      <c r="G643" s="23" t="s">
        <v>388</v>
      </c>
      <c r="H643" s="25" t="s">
        <v>36</v>
      </c>
      <c r="I643" s="30">
        <v>46230.0</v>
      </c>
      <c r="J643" s="17">
        <v>0.0</v>
      </c>
      <c r="K643" s="23" t="s">
        <v>57</v>
      </c>
      <c r="L643" s="28">
        <v>7500.0</v>
      </c>
      <c r="M643" s="28">
        <v>0.0</v>
      </c>
      <c r="N643" s="28">
        <v>0.0</v>
      </c>
      <c r="O643" s="28">
        <v>0.0</v>
      </c>
      <c r="P643" s="28">
        <v>0.0</v>
      </c>
      <c r="Q643" s="33"/>
      <c r="R643" s="11"/>
    </row>
    <row r="644" ht="15.75" customHeight="1">
      <c r="A644" s="13">
        <f t="shared" si="1"/>
        <v>643</v>
      </c>
      <c r="B644" s="15" t="s">
        <v>24</v>
      </c>
      <c r="C644" s="17">
        <v>1885.0</v>
      </c>
      <c r="D644" s="17" t="s">
        <v>58</v>
      </c>
      <c r="E644" s="17" t="s">
        <v>1290</v>
      </c>
      <c r="F644" s="23" t="s">
        <v>1148</v>
      </c>
      <c r="G644" s="23" t="s">
        <v>1291</v>
      </c>
      <c r="H644" s="25" t="s">
        <v>37</v>
      </c>
      <c r="I644" s="30">
        <v>46230.0</v>
      </c>
      <c r="J644" s="17">
        <v>2.0</v>
      </c>
      <c r="K644" s="23" t="s">
        <v>38</v>
      </c>
      <c r="L644" s="28">
        <v>200000.0</v>
      </c>
      <c r="M644" s="28">
        <v>0.0</v>
      </c>
      <c r="N644" s="28">
        <v>0.0</v>
      </c>
      <c r="O644" s="28">
        <v>0.0</v>
      </c>
      <c r="P644" s="28">
        <v>0.0</v>
      </c>
      <c r="Q644" s="33"/>
      <c r="R644" s="11"/>
    </row>
    <row r="645" ht="15.75" customHeight="1">
      <c r="A645" s="13">
        <f t="shared" si="1"/>
        <v>644</v>
      </c>
      <c r="B645" s="15" t="s">
        <v>24</v>
      </c>
      <c r="C645" s="17">
        <v>1885.0</v>
      </c>
      <c r="D645" s="17" t="s">
        <v>46</v>
      </c>
      <c r="E645" s="17" t="s">
        <v>1293</v>
      </c>
      <c r="F645" s="65" t="s">
        <v>84</v>
      </c>
      <c r="G645" s="65" t="s">
        <v>329</v>
      </c>
      <c r="H645" s="25" t="s">
        <v>36</v>
      </c>
      <c r="I645" s="30">
        <v>46230.0</v>
      </c>
      <c r="J645" s="17">
        <v>0.0</v>
      </c>
      <c r="K645" s="23" t="s">
        <v>57</v>
      </c>
      <c r="L645" s="28">
        <v>0.0</v>
      </c>
      <c r="M645" s="28">
        <v>10000.0</v>
      </c>
      <c r="N645" s="28">
        <v>0.0</v>
      </c>
      <c r="O645" s="28">
        <v>0.0</v>
      </c>
      <c r="P645" s="28">
        <v>0.0</v>
      </c>
      <c r="Q645" s="33"/>
      <c r="R645" s="11"/>
    </row>
    <row r="646" ht="15.75" customHeight="1">
      <c r="A646" s="13">
        <f t="shared" si="1"/>
        <v>645</v>
      </c>
      <c r="B646" s="15" t="s">
        <v>24</v>
      </c>
      <c r="C646" s="17">
        <v>1885.0</v>
      </c>
      <c r="D646" s="17" t="s">
        <v>46</v>
      </c>
      <c r="E646" s="17" t="s">
        <v>1297</v>
      </c>
      <c r="F646" s="36" t="s">
        <v>169</v>
      </c>
      <c r="G646" s="36" t="s">
        <v>170</v>
      </c>
      <c r="H646" s="25" t="s">
        <v>36</v>
      </c>
      <c r="I646" s="30">
        <v>46230.0</v>
      </c>
      <c r="J646" s="17">
        <v>0.0</v>
      </c>
      <c r="K646" s="23" t="s">
        <v>57</v>
      </c>
      <c r="L646" s="28">
        <v>17000.0</v>
      </c>
      <c r="M646" s="28">
        <v>0.0</v>
      </c>
      <c r="N646" s="28">
        <v>0.0</v>
      </c>
      <c r="O646" s="28">
        <v>0.0</v>
      </c>
      <c r="P646" s="28">
        <v>0.0</v>
      </c>
      <c r="Q646" s="33"/>
      <c r="R646" s="11"/>
    </row>
    <row r="647" ht="15.75" customHeight="1">
      <c r="A647" s="13">
        <f t="shared" si="1"/>
        <v>646</v>
      </c>
      <c r="B647" s="15" t="s">
        <v>24</v>
      </c>
      <c r="C647" s="17">
        <v>1885.0</v>
      </c>
      <c r="D647" s="15"/>
      <c r="E647" s="17" t="s">
        <v>1415</v>
      </c>
      <c r="F647" s="181" t="s">
        <v>82</v>
      </c>
      <c r="G647" s="201" t="s">
        <v>1416</v>
      </c>
      <c r="H647" s="25"/>
      <c r="I647" s="30"/>
      <c r="J647" s="15"/>
      <c r="K647" s="25"/>
      <c r="L647" s="28"/>
      <c r="M647" s="28"/>
      <c r="N647" s="28"/>
      <c r="O647" s="28"/>
      <c r="P647" s="28"/>
      <c r="Q647" s="33"/>
      <c r="R647" s="11"/>
    </row>
    <row r="648" ht="15.75" customHeight="1">
      <c r="A648" s="13">
        <f t="shared" si="1"/>
        <v>647</v>
      </c>
      <c r="B648" s="15" t="s">
        <v>24</v>
      </c>
      <c r="C648" s="17">
        <v>1885.0</v>
      </c>
      <c r="D648" s="17" t="s">
        <v>46</v>
      </c>
      <c r="E648" s="17" t="s">
        <v>1302</v>
      </c>
      <c r="F648" s="36" t="s">
        <v>169</v>
      </c>
      <c r="G648" s="36" t="s">
        <v>170</v>
      </c>
      <c r="H648" s="25" t="s">
        <v>37</v>
      </c>
      <c r="I648" s="30">
        <v>46230.0</v>
      </c>
      <c r="J648" s="17">
        <v>0.0</v>
      </c>
      <c r="K648" s="23" t="s">
        <v>38</v>
      </c>
      <c r="L648" s="28">
        <v>6000.0</v>
      </c>
      <c r="M648" s="28">
        <v>0.0</v>
      </c>
      <c r="N648" s="28">
        <v>0.0</v>
      </c>
      <c r="O648" s="28">
        <v>0.0</v>
      </c>
      <c r="P648" s="28">
        <v>0.0</v>
      </c>
      <c r="Q648" s="33"/>
      <c r="R648" s="11"/>
    </row>
    <row r="649" ht="15.75" customHeight="1">
      <c r="A649" s="13">
        <f t="shared" si="1"/>
        <v>648</v>
      </c>
      <c r="B649" s="15" t="s">
        <v>24</v>
      </c>
      <c r="C649" s="17">
        <v>1885.0</v>
      </c>
      <c r="D649" s="17" t="s">
        <v>58</v>
      </c>
      <c r="E649" s="17" t="s">
        <v>1304</v>
      </c>
      <c r="F649" s="23" t="s">
        <v>1305</v>
      </c>
      <c r="G649" s="23" t="s">
        <v>700</v>
      </c>
      <c r="H649" s="25" t="s">
        <v>36</v>
      </c>
      <c r="I649" s="30">
        <v>46230.0</v>
      </c>
      <c r="J649" s="17">
        <v>1.0</v>
      </c>
      <c r="K649" s="23" t="s">
        <v>38</v>
      </c>
      <c r="L649" s="28">
        <v>5000.0</v>
      </c>
      <c r="M649" s="28">
        <v>0.0</v>
      </c>
      <c r="N649" s="28">
        <v>0.0</v>
      </c>
      <c r="O649" s="28">
        <v>0.0</v>
      </c>
      <c r="P649" s="28">
        <v>0.0</v>
      </c>
      <c r="Q649" s="33"/>
      <c r="R649" s="11"/>
    </row>
    <row r="650" ht="15.75" customHeight="1">
      <c r="A650" s="13">
        <f t="shared" si="1"/>
        <v>649</v>
      </c>
      <c r="B650" s="15" t="s">
        <v>24</v>
      </c>
      <c r="C650" s="17">
        <v>1885.0</v>
      </c>
      <c r="D650" s="17" t="s">
        <v>46</v>
      </c>
      <c r="E650" s="17" t="s">
        <v>1309</v>
      </c>
      <c r="F650" s="21" t="s">
        <v>60</v>
      </c>
      <c r="G650" s="21" t="s">
        <v>161</v>
      </c>
      <c r="H650" s="25" t="s">
        <v>36</v>
      </c>
      <c r="I650" s="30">
        <v>46231.0</v>
      </c>
      <c r="J650" s="17">
        <v>0.0</v>
      </c>
      <c r="K650" s="23" t="s">
        <v>57</v>
      </c>
      <c r="L650" s="28">
        <v>7300.0</v>
      </c>
      <c r="M650" s="28">
        <v>0.0</v>
      </c>
      <c r="N650" s="28">
        <v>0.0</v>
      </c>
      <c r="O650" s="76">
        <v>0.0</v>
      </c>
      <c r="P650" s="77">
        <v>0.0</v>
      </c>
      <c r="Q650" s="33"/>
      <c r="R650" s="11"/>
    </row>
    <row r="651" ht="15.75" customHeight="1">
      <c r="A651" s="13">
        <f t="shared" si="1"/>
        <v>650</v>
      </c>
      <c r="B651" s="15" t="s">
        <v>24</v>
      </c>
      <c r="C651" s="17">
        <v>1885.0</v>
      </c>
      <c r="D651" s="17" t="s">
        <v>46</v>
      </c>
      <c r="E651" s="17" t="s">
        <v>1314</v>
      </c>
      <c r="F651" s="36" t="s">
        <v>1189</v>
      </c>
      <c r="G651" s="36" t="s">
        <v>1190</v>
      </c>
      <c r="H651" s="25" t="s">
        <v>36</v>
      </c>
      <c r="I651" s="30">
        <v>46231.0</v>
      </c>
      <c r="J651" s="17">
        <v>0.0</v>
      </c>
      <c r="K651" s="23" t="s">
        <v>57</v>
      </c>
      <c r="L651" s="28">
        <v>11500.0</v>
      </c>
      <c r="M651" s="28">
        <v>0.0</v>
      </c>
      <c r="N651" s="28">
        <v>0.0</v>
      </c>
      <c r="O651" s="76">
        <v>0.0</v>
      </c>
      <c r="P651" s="77">
        <v>0.0</v>
      </c>
      <c r="Q651" s="33"/>
      <c r="R651" s="11"/>
    </row>
    <row r="652" ht="15.75" customHeight="1">
      <c r="A652" s="13">
        <f t="shared" si="1"/>
        <v>651</v>
      </c>
      <c r="B652" s="15" t="s">
        <v>24</v>
      </c>
      <c r="C652" s="17">
        <v>1885.0</v>
      </c>
      <c r="D652" s="17" t="s">
        <v>87</v>
      </c>
      <c r="E652" s="17" t="s">
        <v>1316</v>
      </c>
      <c r="F652" s="23" t="s">
        <v>279</v>
      </c>
      <c r="G652" s="23" t="s">
        <v>280</v>
      </c>
      <c r="H652" s="25" t="s">
        <v>37</v>
      </c>
      <c r="I652" s="30">
        <v>46232.0</v>
      </c>
      <c r="J652" s="17">
        <v>1.0</v>
      </c>
      <c r="K652" s="23" t="s">
        <v>38</v>
      </c>
      <c r="L652" s="28">
        <v>0.0</v>
      </c>
      <c r="M652" s="28">
        <v>50000.0</v>
      </c>
      <c r="N652" s="28">
        <v>0.0</v>
      </c>
      <c r="O652" s="28">
        <v>0.0</v>
      </c>
      <c r="P652" s="28">
        <v>0.0</v>
      </c>
      <c r="Q652" s="33"/>
      <c r="R652" s="11"/>
    </row>
    <row r="653" ht="15.75" customHeight="1">
      <c r="A653" s="13">
        <f t="shared" si="1"/>
        <v>652</v>
      </c>
      <c r="B653" s="15" t="s">
        <v>24</v>
      </c>
      <c r="C653" s="17">
        <v>1885.0</v>
      </c>
      <c r="D653" s="17" t="s">
        <v>182</v>
      </c>
      <c r="E653" s="17" t="s">
        <v>1320</v>
      </c>
      <c r="F653" s="23" t="s">
        <v>142</v>
      </c>
      <c r="G653" s="23" t="s">
        <v>1321</v>
      </c>
      <c r="H653" s="25" t="s">
        <v>37</v>
      </c>
      <c r="I653" s="30">
        <v>46232.0</v>
      </c>
      <c r="J653" s="17">
        <v>5.0</v>
      </c>
      <c r="K653" s="23" t="s">
        <v>38</v>
      </c>
      <c r="L653" s="28">
        <v>50000.0</v>
      </c>
      <c r="M653" s="28">
        <v>0.0</v>
      </c>
      <c r="N653" s="28">
        <v>0.0</v>
      </c>
      <c r="O653" s="76">
        <v>0.0</v>
      </c>
      <c r="P653" s="77">
        <v>0.0</v>
      </c>
      <c r="Q653" s="33"/>
      <c r="R653" s="11"/>
    </row>
    <row r="654" ht="15.75" customHeight="1">
      <c r="A654" s="13">
        <f t="shared" si="1"/>
        <v>653</v>
      </c>
      <c r="B654" s="15" t="s">
        <v>24</v>
      </c>
      <c r="C654" s="17">
        <v>1885.0</v>
      </c>
      <c r="D654" s="17" t="s">
        <v>87</v>
      </c>
      <c r="E654" s="17" t="s">
        <v>1324</v>
      </c>
      <c r="F654" s="23" t="s">
        <v>91</v>
      </c>
      <c r="G654" s="23" t="s">
        <v>1326</v>
      </c>
      <c r="H654" s="25" t="s">
        <v>37</v>
      </c>
      <c r="I654" s="30">
        <v>46232.0</v>
      </c>
      <c r="J654" s="17">
        <v>1.0</v>
      </c>
      <c r="K654" s="23" t="s">
        <v>38</v>
      </c>
      <c r="L654" s="28">
        <v>15000.0</v>
      </c>
      <c r="M654" s="28">
        <v>0.0</v>
      </c>
      <c r="N654" s="28">
        <v>0.0</v>
      </c>
      <c r="O654" s="76">
        <v>0.0</v>
      </c>
      <c r="P654" s="77">
        <v>0.0</v>
      </c>
      <c r="Q654" s="33"/>
      <c r="R654" s="11"/>
    </row>
    <row r="655" ht="15.75" customHeight="1">
      <c r="A655" s="13">
        <f t="shared" si="1"/>
        <v>654</v>
      </c>
      <c r="B655" s="15" t="s">
        <v>24</v>
      </c>
      <c r="C655" s="17">
        <v>1885.0</v>
      </c>
      <c r="D655" s="17" t="s">
        <v>182</v>
      </c>
      <c r="E655" s="17" t="s">
        <v>1328</v>
      </c>
      <c r="F655" s="21" t="s">
        <v>33</v>
      </c>
      <c r="G655" s="21" t="s">
        <v>1070</v>
      </c>
      <c r="H655" s="25" t="s">
        <v>36</v>
      </c>
      <c r="I655" s="30">
        <v>46232.0</v>
      </c>
      <c r="J655" s="17">
        <v>0.0</v>
      </c>
      <c r="K655" s="23" t="s">
        <v>38</v>
      </c>
      <c r="L655" s="28">
        <v>80000.0</v>
      </c>
      <c r="M655" s="28">
        <v>0.0</v>
      </c>
      <c r="N655" s="28">
        <v>0.0</v>
      </c>
      <c r="O655" s="76">
        <v>0.0</v>
      </c>
      <c r="P655" s="77">
        <v>0.0</v>
      </c>
      <c r="Q655" s="33"/>
      <c r="R655" s="11"/>
    </row>
    <row r="656" ht="15.75" customHeight="1">
      <c r="A656" s="13">
        <f t="shared" si="1"/>
        <v>655</v>
      </c>
      <c r="B656" s="15" t="s">
        <v>24</v>
      </c>
      <c r="C656" s="17">
        <v>1885.0</v>
      </c>
      <c r="D656" s="17" t="s">
        <v>46</v>
      </c>
      <c r="E656" s="17" t="s">
        <v>1332</v>
      </c>
      <c r="F656" s="36" t="s">
        <v>49</v>
      </c>
      <c r="G656" s="36" t="s">
        <v>54</v>
      </c>
      <c r="H656" s="23" t="s">
        <v>55</v>
      </c>
      <c r="I656" s="30">
        <v>46233.0</v>
      </c>
      <c r="J656" s="17">
        <v>0.0</v>
      </c>
      <c r="K656" s="23" t="s">
        <v>57</v>
      </c>
      <c r="L656" s="28">
        <v>5000.0</v>
      </c>
      <c r="M656" s="28">
        <v>0.0</v>
      </c>
      <c r="N656" s="28">
        <v>0.0</v>
      </c>
      <c r="O656" s="28">
        <v>0.0</v>
      </c>
      <c r="P656" s="28">
        <v>0.0</v>
      </c>
      <c r="Q656" s="33"/>
      <c r="R656" s="11"/>
    </row>
    <row r="657" ht="15.75" customHeight="1">
      <c r="A657" s="13">
        <f t="shared" si="1"/>
        <v>656</v>
      </c>
      <c r="B657" s="15" t="s">
        <v>24</v>
      </c>
      <c r="C657" s="17">
        <v>1904.0</v>
      </c>
      <c r="D657" s="17" t="s">
        <v>58</v>
      </c>
      <c r="E657" s="35" t="s">
        <v>931</v>
      </c>
      <c r="F657" s="51" t="s">
        <v>116</v>
      </c>
      <c r="G657" s="51" t="s">
        <v>434</v>
      </c>
      <c r="H657" s="25" t="s">
        <v>36</v>
      </c>
      <c r="I657" s="30">
        <v>46235.0</v>
      </c>
      <c r="J657" s="17">
        <v>1.0</v>
      </c>
      <c r="K657" s="23" t="s">
        <v>38</v>
      </c>
      <c r="L657" s="28">
        <v>20000.0</v>
      </c>
      <c r="M657" s="28">
        <v>0.0</v>
      </c>
      <c r="N657" s="28">
        <v>0.0</v>
      </c>
      <c r="O657" s="28">
        <v>0.0</v>
      </c>
      <c r="P657" s="28">
        <v>0.0</v>
      </c>
      <c r="Q657" s="33"/>
      <c r="R657" s="11"/>
    </row>
    <row r="658" ht="15.75" customHeight="1">
      <c r="A658" s="13">
        <f t="shared" si="1"/>
        <v>657</v>
      </c>
      <c r="B658" s="15" t="s">
        <v>24</v>
      </c>
      <c r="C658" s="17">
        <v>1904.0</v>
      </c>
      <c r="D658" s="17" t="s">
        <v>87</v>
      </c>
      <c r="E658" s="17" t="s">
        <v>940</v>
      </c>
      <c r="F658" s="23" t="s">
        <v>223</v>
      </c>
      <c r="G658" s="23" t="s">
        <v>224</v>
      </c>
      <c r="H658" s="25" t="s">
        <v>36</v>
      </c>
      <c r="I658" s="30">
        <v>46236.0</v>
      </c>
      <c r="J658" s="17">
        <v>1.0</v>
      </c>
      <c r="K658" s="23" t="s">
        <v>38</v>
      </c>
      <c r="L658" s="28">
        <v>10000.0</v>
      </c>
      <c r="M658" s="28">
        <v>0.0</v>
      </c>
      <c r="N658" s="28">
        <v>0.0</v>
      </c>
      <c r="O658" s="28">
        <v>0.0</v>
      </c>
      <c r="P658" s="28">
        <v>0.0</v>
      </c>
      <c r="Q658" s="33"/>
      <c r="R658" s="11"/>
    </row>
    <row r="659" ht="15.75" customHeight="1">
      <c r="A659" s="13">
        <f t="shared" si="1"/>
        <v>658</v>
      </c>
      <c r="B659" s="15" t="s">
        <v>24</v>
      </c>
      <c r="C659" s="17">
        <v>1904.0</v>
      </c>
      <c r="D659" s="17" t="s">
        <v>182</v>
      </c>
      <c r="E659" s="17" t="s">
        <v>942</v>
      </c>
      <c r="F659" s="21" t="s">
        <v>84</v>
      </c>
      <c r="G659" s="36" t="s">
        <v>86</v>
      </c>
      <c r="H659" s="14" t="s">
        <v>36</v>
      </c>
      <c r="I659" s="30">
        <v>46236.0</v>
      </c>
      <c r="J659" s="17">
        <v>0.0</v>
      </c>
      <c r="K659" s="23" t="s">
        <v>38</v>
      </c>
      <c r="L659" s="28">
        <v>0.0</v>
      </c>
      <c r="M659" s="28">
        <v>5000.0</v>
      </c>
      <c r="N659" s="28">
        <v>0.0</v>
      </c>
      <c r="O659" s="28">
        <v>0.0</v>
      </c>
      <c r="P659" s="28">
        <v>0.0</v>
      </c>
      <c r="Q659" s="33"/>
      <c r="R659" s="11"/>
    </row>
    <row r="660" ht="15.75" customHeight="1">
      <c r="A660" s="13">
        <f t="shared" si="1"/>
        <v>659</v>
      </c>
      <c r="B660" s="15" t="s">
        <v>24</v>
      </c>
      <c r="C660" s="17">
        <v>1904.0</v>
      </c>
      <c r="D660" s="17" t="s">
        <v>87</v>
      </c>
      <c r="E660" s="17" t="s">
        <v>953</v>
      </c>
      <c r="F660" s="23" t="s">
        <v>279</v>
      </c>
      <c r="G660" s="23" t="s">
        <v>280</v>
      </c>
      <c r="H660" s="25" t="s">
        <v>37</v>
      </c>
      <c r="I660" s="30">
        <v>46237.0</v>
      </c>
      <c r="J660" s="17">
        <v>0.0</v>
      </c>
      <c r="K660" s="23" t="s">
        <v>38</v>
      </c>
      <c r="L660" s="28">
        <v>0.0</v>
      </c>
      <c r="M660" s="28">
        <v>100000.0</v>
      </c>
      <c r="N660" s="28">
        <v>0.0</v>
      </c>
      <c r="O660" s="28">
        <v>0.0</v>
      </c>
      <c r="P660" s="28">
        <v>0.0</v>
      </c>
      <c r="Q660" s="33"/>
      <c r="R660" s="11"/>
    </row>
    <row r="661" ht="15.75" customHeight="1">
      <c r="A661" s="13">
        <f t="shared" si="1"/>
        <v>660</v>
      </c>
      <c r="B661" s="15" t="s">
        <v>24</v>
      </c>
      <c r="C661" s="17">
        <v>1904.0</v>
      </c>
      <c r="D661" s="17" t="s">
        <v>87</v>
      </c>
      <c r="E661" s="17" t="s">
        <v>955</v>
      </c>
      <c r="F661" s="23" t="s">
        <v>223</v>
      </c>
      <c r="G661" s="23" t="s">
        <v>224</v>
      </c>
      <c r="H661" s="25" t="s">
        <v>36</v>
      </c>
      <c r="I661" s="30">
        <v>46237.0</v>
      </c>
      <c r="J661" s="17">
        <v>0.0</v>
      </c>
      <c r="K661" s="23" t="s">
        <v>38</v>
      </c>
      <c r="L661" s="28">
        <v>0.0</v>
      </c>
      <c r="M661" s="28">
        <v>76000.0</v>
      </c>
      <c r="N661" s="28">
        <v>0.0</v>
      </c>
      <c r="O661" s="28">
        <v>0.0</v>
      </c>
      <c r="P661" s="28">
        <v>0.0</v>
      </c>
      <c r="Q661" s="33"/>
      <c r="R661" s="11"/>
    </row>
    <row r="662" ht="15.75" customHeight="1">
      <c r="A662" s="13">
        <f t="shared" si="1"/>
        <v>661</v>
      </c>
      <c r="B662" s="15" t="s">
        <v>24</v>
      </c>
      <c r="C662" s="17">
        <v>1904.0</v>
      </c>
      <c r="D662" s="17" t="s">
        <v>87</v>
      </c>
      <c r="E662" s="17" t="s">
        <v>957</v>
      </c>
      <c r="F662" s="23" t="s">
        <v>223</v>
      </c>
      <c r="G662" s="23" t="s">
        <v>224</v>
      </c>
      <c r="H662" s="25" t="s">
        <v>36</v>
      </c>
      <c r="I662" s="30">
        <v>46237.0</v>
      </c>
      <c r="J662" s="17">
        <v>0.0</v>
      </c>
      <c r="K662" s="23" t="s">
        <v>38</v>
      </c>
      <c r="L662" s="28">
        <v>0.0</v>
      </c>
      <c r="M662" s="28">
        <v>14000.0</v>
      </c>
      <c r="N662" s="28">
        <v>0.0</v>
      </c>
      <c r="O662" s="28">
        <v>0.0</v>
      </c>
      <c r="P662" s="28">
        <v>0.0</v>
      </c>
      <c r="Q662" s="33"/>
      <c r="R662" s="11"/>
    </row>
    <row r="663" ht="15.75" customHeight="1">
      <c r="A663" s="13">
        <f t="shared" si="1"/>
        <v>662</v>
      </c>
      <c r="B663" s="15" t="s">
        <v>24</v>
      </c>
      <c r="C663" s="17">
        <v>1904.0</v>
      </c>
      <c r="D663" s="17" t="s">
        <v>182</v>
      </c>
      <c r="E663" s="17" t="s">
        <v>959</v>
      </c>
      <c r="F663" s="198" t="s">
        <v>84</v>
      </c>
      <c r="G663" s="198" t="s">
        <v>531</v>
      </c>
      <c r="H663" s="25" t="s">
        <v>36</v>
      </c>
      <c r="I663" s="30">
        <v>46237.0</v>
      </c>
      <c r="J663" s="17">
        <v>0.0</v>
      </c>
      <c r="K663" s="23" t="s">
        <v>38</v>
      </c>
      <c r="L663" s="28">
        <v>4000.0</v>
      </c>
      <c r="M663" s="28">
        <v>0.0</v>
      </c>
      <c r="N663" s="28">
        <v>0.0</v>
      </c>
      <c r="O663" s="28">
        <v>0.0</v>
      </c>
      <c r="P663" s="28">
        <v>0.0</v>
      </c>
      <c r="Q663" s="33"/>
      <c r="R663" s="11"/>
    </row>
    <row r="664" ht="15.75" customHeight="1">
      <c r="A664" s="13">
        <f t="shared" si="1"/>
        <v>663</v>
      </c>
      <c r="B664" s="15" t="s">
        <v>24</v>
      </c>
      <c r="C664" s="17">
        <v>1904.0</v>
      </c>
      <c r="D664" s="17" t="s">
        <v>46</v>
      </c>
      <c r="E664" s="17" t="s">
        <v>964</v>
      </c>
      <c r="F664" s="23" t="s">
        <v>33</v>
      </c>
      <c r="G664" s="23" t="s">
        <v>233</v>
      </c>
      <c r="H664" s="25" t="s">
        <v>37</v>
      </c>
      <c r="I664" s="30">
        <v>46238.0</v>
      </c>
      <c r="J664" s="17">
        <v>0.0</v>
      </c>
      <c r="K664" s="23" t="s">
        <v>57</v>
      </c>
      <c r="L664" s="28">
        <v>50000.0</v>
      </c>
      <c r="M664" s="28">
        <v>0.0</v>
      </c>
      <c r="N664" s="28">
        <v>0.0</v>
      </c>
      <c r="O664" s="28">
        <v>0.0</v>
      </c>
      <c r="P664" s="28">
        <v>0.0</v>
      </c>
      <c r="Q664" s="33"/>
      <c r="R664" s="11"/>
    </row>
    <row r="665" ht="15.75" customHeight="1">
      <c r="A665" s="13">
        <f t="shared" si="1"/>
        <v>664</v>
      </c>
      <c r="B665" s="15" t="s">
        <v>24</v>
      </c>
      <c r="C665" s="17">
        <v>1904.0</v>
      </c>
      <c r="D665" s="17" t="s">
        <v>46</v>
      </c>
      <c r="E665" s="17" t="s">
        <v>968</v>
      </c>
      <c r="F665" s="21" t="s">
        <v>71</v>
      </c>
      <c r="G665" s="36" t="s">
        <v>915</v>
      </c>
      <c r="H665" s="25" t="s">
        <v>37</v>
      </c>
      <c r="I665" s="30">
        <v>46240.0</v>
      </c>
      <c r="J665" s="17">
        <v>0.0</v>
      </c>
      <c r="K665" s="23" t="s">
        <v>57</v>
      </c>
      <c r="L665" s="28">
        <v>10000.0</v>
      </c>
      <c r="M665" s="28">
        <v>0.0</v>
      </c>
      <c r="N665" s="28">
        <v>0.0</v>
      </c>
      <c r="O665" s="28">
        <v>0.0</v>
      </c>
      <c r="P665" s="28">
        <v>0.0</v>
      </c>
      <c r="Q665" s="33"/>
      <c r="R665" s="11"/>
    </row>
    <row r="666" ht="15.75" customHeight="1">
      <c r="A666" s="13">
        <f t="shared" si="1"/>
        <v>665</v>
      </c>
      <c r="B666" s="15" t="s">
        <v>24</v>
      </c>
      <c r="C666" s="17">
        <v>1904.0</v>
      </c>
      <c r="D666" s="17" t="s">
        <v>58</v>
      </c>
      <c r="E666" s="17" t="s">
        <v>970</v>
      </c>
      <c r="F666" s="94" t="s">
        <v>92</v>
      </c>
      <c r="G666" s="23" t="s">
        <v>700</v>
      </c>
      <c r="H666" s="25" t="s">
        <v>36</v>
      </c>
      <c r="I666" s="30">
        <v>46240.0</v>
      </c>
      <c r="J666" s="17">
        <v>0.0</v>
      </c>
      <c r="K666" s="23" t="s">
        <v>38</v>
      </c>
      <c r="L666" s="28">
        <v>10000.0</v>
      </c>
      <c r="M666" s="28">
        <v>0.0</v>
      </c>
      <c r="N666" s="28">
        <v>0.0</v>
      </c>
      <c r="O666" s="28">
        <v>0.0</v>
      </c>
      <c r="P666" s="28">
        <v>0.0</v>
      </c>
      <c r="Q666" s="33"/>
      <c r="R666" s="11"/>
    </row>
    <row r="667" ht="15.75" customHeight="1">
      <c r="A667" s="13">
        <f t="shared" si="1"/>
        <v>666</v>
      </c>
      <c r="B667" s="15" t="s">
        <v>24</v>
      </c>
      <c r="C667" s="17">
        <v>1904.0</v>
      </c>
      <c r="D667" s="17" t="s">
        <v>87</v>
      </c>
      <c r="E667" s="17" t="s">
        <v>973</v>
      </c>
      <c r="F667" s="23" t="s">
        <v>91</v>
      </c>
      <c r="G667" s="23" t="s">
        <v>975</v>
      </c>
      <c r="H667" s="25" t="s">
        <v>37</v>
      </c>
      <c r="I667" s="30">
        <v>46240.0</v>
      </c>
      <c r="J667" s="17">
        <v>1.0</v>
      </c>
      <c r="K667" s="23" t="s">
        <v>38</v>
      </c>
      <c r="L667" s="28">
        <v>10000.0</v>
      </c>
      <c r="M667" s="28">
        <v>0.0</v>
      </c>
      <c r="N667" s="28">
        <v>0.0</v>
      </c>
      <c r="O667" s="28">
        <v>0.0</v>
      </c>
      <c r="P667" s="28">
        <v>0.0</v>
      </c>
      <c r="Q667" s="33"/>
      <c r="R667" s="11"/>
    </row>
    <row r="668" ht="15.75" customHeight="1">
      <c r="A668" s="13">
        <f t="shared" si="1"/>
        <v>667</v>
      </c>
      <c r="B668" s="15" t="s">
        <v>24</v>
      </c>
      <c r="C668" s="17">
        <v>1904.0</v>
      </c>
      <c r="D668" s="17" t="s">
        <v>46</v>
      </c>
      <c r="E668" s="17" t="s">
        <v>978</v>
      </c>
      <c r="F668" s="21" t="s">
        <v>33</v>
      </c>
      <c r="G668" s="21" t="s">
        <v>980</v>
      </c>
      <c r="H668" s="25" t="s">
        <v>36</v>
      </c>
      <c r="I668" s="30">
        <v>46240.0</v>
      </c>
      <c r="J668" s="17">
        <v>0.0</v>
      </c>
      <c r="K668" s="23" t="s">
        <v>57</v>
      </c>
      <c r="L668" s="28">
        <v>10000.0</v>
      </c>
      <c r="M668" s="28">
        <v>0.0</v>
      </c>
      <c r="N668" s="28">
        <v>0.0</v>
      </c>
      <c r="O668" s="28">
        <v>0.0</v>
      </c>
      <c r="P668" s="28">
        <v>0.0</v>
      </c>
      <c r="Q668" s="33"/>
      <c r="R668" s="11"/>
    </row>
    <row r="669" ht="15.75" customHeight="1">
      <c r="A669" s="13">
        <f t="shared" si="1"/>
        <v>668</v>
      </c>
      <c r="B669" s="15" t="s">
        <v>24</v>
      </c>
      <c r="C669" s="17">
        <v>1904.0</v>
      </c>
      <c r="D669" s="17" t="s">
        <v>87</v>
      </c>
      <c r="E669" s="17" t="s">
        <v>983</v>
      </c>
      <c r="F669" s="23" t="s">
        <v>279</v>
      </c>
      <c r="G669" s="23" t="s">
        <v>280</v>
      </c>
      <c r="H669" s="25" t="s">
        <v>37</v>
      </c>
      <c r="I669" s="30">
        <v>46242.0</v>
      </c>
      <c r="J669" s="17">
        <v>0.0</v>
      </c>
      <c r="K669" s="23" t="s">
        <v>38</v>
      </c>
      <c r="L669" s="28">
        <v>20000.0</v>
      </c>
      <c r="M669" s="28">
        <v>0.0</v>
      </c>
      <c r="N669" s="28">
        <v>0.0</v>
      </c>
      <c r="O669" s="28">
        <v>0.0</v>
      </c>
      <c r="P669" s="28">
        <v>0.0</v>
      </c>
      <c r="Q669" s="33"/>
      <c r="R669" s="11"/>
    </row>
    <row r="670" ht="15.75" customHeight="1">
      <c r="A670" s="13">
        <f t="shared" si="1"/>
        <v>669</v>
      </c>
      <c r="B670" s="15" t="s">
        <v>24</v>
      </c>
      <c r="C670" s="17">
        <v>1904.0</v>
      </c>
      <c r="D670" s="17" t="s">
        <v>87</v>
      </c>
      <c r="E670" s="17" t="s">
        <v>986</v>
      </c>
      <c r="F670" s="23" t="s">
        <v>91</v>
      </c>
      <c r="G670" s="23" t="s">
        <v>659</v>
      </c>
      <c r="H670" s="25" t="s">
        <v>36</v>
      </c>
      <c r="I670" s="30">
        <v>46243.0</v>
      </c>
      <c r="J670" s="17">
        <v>1.0</v>
      </c>
      <c r="K670" s="23" t="s">
        <v>38</v>
      </c>
      <c r="L670" s="28">
        <v>10000.0</v>
      </c>
      <c r="M670" s="28">
        <v>0.0</v>
      </c>
      <c r="N670" s="28">
        <v>0.0</v>
      </c>
      <c r="O670" s="28">
        <v>0.0</v>
      </c>
      <c r="P670" s="28">
        <v>0.0</v>
      </c>
      <c r="Q670" s="33"/>
      <c r="R670" s="11"/>
    </row>
    <row r="671" ht="15.75" customHeight="1">
      <c r="A671" s="13">
        <f t="shared" si="1"/>
        <v>670</v>
      </c>
      <c r="B671" s="15" t="s">
        <v>24</v>
      </c>
      <c r="C671" s="17">
        <v>1904.0</v>
      </c>
      <c r="D671" s="17" t="s">
        <v>87</v>
      </c>
      <c r="E671" s="17" t="s">
        <v>989</v>
      </c>
      <c r="F671" s="66" t="s">
        <v>49</v>
      </c>
      <c r="G671" s="66" t="s">
        <v>265</v>
      </c>
      <c r="H671" s="25" t="s">
        <v>36</v>
      </c>
      <c r="I671" s="30">
        <v>46243.0</v>
      </c>
      <c r="J671" s="17">
        <v>0.0</v>
      </c>
      <c r="K671" s="23" t="s">
        <v>38</v>
      </c>
      <c r="L671" s="28">
        <v>20000.0</v>
      </c>
      <c r="M671" s="28">
        <v>0.0</v>
      </c>
      <c r="N671" s="28">
        <v>0.0</v>
      </c>
      <c r="O671" s="28">
        <v>0.0</v>
      </c>
      <c r="P671" s="28">
        <v>0.0</v>
      </c>
      <c r="Q671" s="33"/>
      <c r="R671" s="11"/>
    </row>
    <row r="672" ht="15.75" customHeight="1">
      <c r="A672" s="13">
        <f t="shared" si="1"/>
        <v>671</v>
      </c>
      <c r="B672" s="15" t="s">
        <v>24</v>
      </c>
      <c r="C672" s="17">
        <v>1904.0</v>
      </c>
      <c r="D672" s="17" t="s">
        <v>501</v>
      </c>
      <c r="E672" s="17" t="s">
        <v>1417</v>
      </c>
      <c r="F672" s="181" t="s">
        <v>82</v>
      </c>
      <c r="G672" s="201" t="s">
        <v>1414</v>
      </c>
      <c r="H672" s="25"/>
      <c r="I672" s="30"/>
      <c r="J672" s="15"/>
      <c r="K672" s="25"/>
      <c r="L672" s="28"/>
      <c r="M672" s="28"/>
      <c r="N672" s="28"/>
      <c r="O672" s="28"/>
      <c r="P672" s="28"/>
      <c r="Q672" s="33"/>
      <c r="R672" s="11"/>
    </row>
    <row r="673" ht="15.75" customHeight="1">
      <c r="A673" s="13">
        <f t="shared" si="1"/>
        <v>672</v>
      </c>
      <c r="B673" s="15" t="s">
        <v>24</v>
      </c>
      <c r="C673" s="17">
        <v>1904.0</v>
      </c>
      <c r="D673" s="17" t="s">
        <v>182</v>
      </c>
      <c r="E673" s="17" t="s">
        <v>995</v>
      </c>
      <c r="F673" s="51" t="s">
        <v>84</v>
      </c>
      <c r="G673" s="51" t="s">
        <v>531</v>
      </c>
      <c r="H673" s="25" t="s">
        <v>36</v>
      </c>
      <c r="I673" s="30">
        <v>46244.0</v>
      </c>
      <c r="J673" s="17">
        <v>0.0</v>
      </c>
      <c r="K673" s="23" t="s">
        <v>38</v>
      </c>
      <c r="L673" s="28">
        <v>100000.0</v>
      </c>
      <c r="M673" s="28">
        <v>0.0</v>
      </c>
      <c r="N673" s="28">
        <v>0.0</v>
      </c>
      <c r="O673" s="28">
        <v>0.0</v>
      </c>
      <c r="P673" s="28">
        <v>0.0</v>
      </c>
      <c r="Q673" s="33"/>
      <c r="R673" s="11"/>
    </row>
    <row r="674" ht="15.75" customHeight="1">
      <c r="A674" s="13">
        <f t="shared" si="1"/>
        <v>673</v>
      </c>
      <c r="B674" s="15" t="s">
        <v>24</v>
      </c>
      <c r="C674" s="17">
        <v>1904.0</v>
      </c>
      <c r="D674" s="17" t="s">
        <v>87</v>
      </c>
      <c r="E674" s="17" t="s">
        <v>998</v>
      </c>
      <c r="F674" s="23" t="s">
        <v>279</v>
      </c>
      <c r="G674" s="23" t="s">
        <v>280</v>
      </c>
      <c r="H674" s="25" t="s">
        <v>37</v>
      </c>
      <c r="I674" s="30">
        <v>46244.0</v>
      </c>
      <c r="J674" s="17">
        <v>0.0</v>
      </c>
      <c r="K674" s="23" t="s">
        <v>38</v>
      </c>
      <c r="L674" s="28">
        <v>30000.0</v>
      </c>
      <c r="M674" s="28">
        <v>0.0</v>
      </c>
      <c r="N674" s="28">
        <v>0.0</v>
      </c>
      <c r="O674" s="28">
        <v>0.0</v>
      </c>
      <c r="P674" s="28">
        <v>0.0</v>
      </c>
      <c r="Q674" s="33"/>
      <c r="R674" s="11"/>
    </row>
    <row r="675" ht="15.75" customHeight="1">
      <c r="A675" s="13">
        <f t="shared" si="1"/>
        <v>674</v>
      </c>
      <c r="B675" s="15" t="s">
        <v>24</v>
      </c>
      <c r="C675" s="17">
        <v>1904.0</v>
      </c>
      <c r="D675" s="17" t="s">
        <v>46</v>
      </c>
      <c r="E675" s="17" t="s">
        <v>1001</v>
      </c>
      <c r="F675" s="21" t="s">
        <v>180</v>
      </c>
      <c r="G675" s="21" t="s">
        <v>288</v>
      </c>
      <c r="H675" s="25" t="s">
        <v>36</v>
      </c>
      <c r="I675" s="30">
        <v>46244.0</v>
      </c>
      <c r="J675" s="17">
        <v>0.0</v>
      </c>
      <c r="K675" s="23" t="s">
        <v>57</v>
      </c>
      <c r="L675" s="28">
        <v>9000.0</v>
      </c>
      <c r="M675" s="28">
        <v>0.0</v>
      </c>
      <c r="N675" s="28">
        <v>0.0</v>
      </c>
      <c r="O675" s="28">
        <v>0.0</v>
      </c>
      <c r="P675" s="28">
        <v>0.0</v>
      </c>
      <c r="Q675" s="33"/>
      <c r="R675" s="11"/>
    </row>
    <row r="676" ht="15.75" customHeight="1">
      <c r="A676" s="13">
        <f t="shared" si="1"/>
        <v>675</v>
      </c>
      <c r="B676" s="15" t="s">
        <v>24</v>
      </c>
      <c r="C676" s="17">
        <v>1904.0</v>
      </c>
      <c r="D676" s="17" t="s">
        <v>87</v>
      </c>
      <c r="E676" s="17" t="s">
        <v>1003</v>
      </c>
      <c r="F676" s="23" t="s">
        <v>91</v>
      </c>
      <c r="G676" s="23" t="s">
        <v>134</v>
      </c>
      <c r="H676" s="25" t="s">
        <v>36</v>
      </c>
      <c r="I676" s="30">
        <v>46244.0</v>
      </c>
      <c r="J676" s="17">
        <v>0.0</v>
      </c>
      <c r="K676" s="23" t="s">
        <v>38</v>
      </c>
      <c r="L676" s="28">
        <v>0.0</v>
      </c>
      <c r="M676" s="28">
        <v>50000.0</v>
      </c>
      <c r="N676" s="28">
        <v>0.0</v>
      </c>
      <c r="O676" s="28">
        <v>0.0</v>
      </c>
      <c r="P676" s="28">
        <v>0.0</v>
      </c>
      <c r="Q676" s="33"/>
      <c r="R676" s="11"/>
    </row>
    <row r="677" ht="15.75" customHeight="1">
      <c r="A677" s="13">
        <f t="shared" si="1"/>
        <v>676</v>
      </c>
      <c r="B677" s="15" t="s">
        <v>24</v>
      </c>
      <c r="C677" s="17">
        <v>1904.0</v>
      </c>
      <c r="D677" s="17" t="s">
        <v>501</v>
      </c>
      <c r="E677" s="17" t="s">
        <v>1418</v>
      </c>
      <c r="F677" s="181" t="s">
        <v>82</v>
      </c>
      <c r="G677" s="201" t="s">
        <v>1416</v>
      </c>
      <c r="H677" s="25"/>
      <c r="I677" s="30"/>
      <c r="J677" s="15"/>
      <c r="K677" s="25"/>
      <c r="L677" s="28"/>
      <c r="M677" s="28"/>
      <c r="N677" s="28"/>
      <c r="O677" s="28"/>
      <c r="P677" s="28"/>
      <c r="Q677" s="33"/>
      <c r="R677" s="11"/>
    </row>
    <row r="678" ht="15.75" customHeight="1">
      <c r="A678" s="13">
        <f t="shared" si="1"/>
        <v>677</v>
      </c>
      <c r="B678" s="15" t="s">
        <v>24</v>
      </c>
      <c r="C678" s="17">
        <v>1904.0</v>
      </c>
      <c r="D678" s="17" t="s">
        <v>87</v>
      </c>
      <c r="E678" s="17" t="s">
        <v>1005</v>
      </c>
      <c r="F678" s="36" t="s">
        <v>91</v>
      </c>
      <c r="G678" s="36" t="s">
        <v>135</v>
      </c>
      <c r="H678" s="25" t="s">
        <v>37</v>
      </c>
      <c r="I678" s="30">
        <v>46244.0</v>
      </c>
      <c r="J678" s="17">
        <v>0.0</v>
      </c>
      <c r="K678" s="23" t="s">
        <v>38</v>
      </c>
      <c r="L678" s="28">
        <v>20000.0</v>
      </c>
      <c r="M678" s="28">
        <v>0.0</v>
      </c>
      <c r="N678" s="28">
        <v>0.0</v>
      </c>
      <c r="O678" s="28">
        <v>0.0</v>
      </c>
      <c r="P678" s="28">
        <v>0.0</v>
      </c>
      <c r="Q678" s="33"/>
      <c r="R678" s="11"/>
    </row>
    <row r="679" ht="15.75" customHeight="1">
      <c r="A679" s="13">
        <f t="shared" si="1"/>
        <v>678</v>
      </c>
      <c r="B679" s="15" t="s">
        <v>24</v>
      </c>
      <c r="C679" s="17">
        <v>1904.0</v>
      </c>
      <c r="D679" s="17" t="s">
        <v>182</v>
      </c>
      <c r="E679" s="17" t="s">
        <v>1009</v>
      </c>
      <c r="F679" s="51" t="s">
        <v>84</v>
      </c>
      <c r="G679" s="51" t="s">
        <v>531</v>
      </c>
      <c r="H679" s="25" t="s">
        <v>36</v>
      </c>
      <c r="I679" s="30">
        <v>46244.0</v>
      </c>
      <c r="J679" s="17">
        <v>0.0</v>
      </c>
      <c r="K679" s="23" t="s">
        <v>38</v>
      </c>
      <c r="L679" s="28">
        <v>30000.0</v>
      </c>
      <c r="M679" s="28">
        <v>0.0</v>
      </c>
      <c r="N679" s="28">
        <v>0.0</v>
      </c>
      <c r="O679" s="28">
        <v>0.0</v>
      </c>
      <c r="P679" s="28">
        <v>0.0</v>
      </c>
      <c r="Q679" s="33"/>
      <c r="R679" s="11"/>
    </row>
    <row r="680" ht="15.75" customHeight="1">
      <c r="A680" s="13">
        <f t="shared" si="1"/>
        <v>679</v>
      </c>
      <c r="B680" s="15" t="s">
        <v>24</v>
      </c>
      <c r="C680" s="17">
        <v>1904.0</v>
      </c>
      <c r="D680" s="17" t="s">
        <v>46</v>
      </c>
      <c r="E680" s="17" t="s">
        <v>1014</v>
      </c>
      <c r="F680" s="21" t="s">
        <v>116</v>
      </c>
      <c r="G680" s="21" t="s">
        <v>117</v>
      </c>
      <c r="H680" s="25" t="s">
        <v>36</v>
      </c>
      <c r="I680" s="30">
        <v>46246.0</v>
      </c>
      <c r="J680" s="17">
        <v>0.0</v>
      </c>
      <c r="K680" s="23" t="s">
        <v>57</v>
      </c>
      <c r="L680" s="28">
        <v>8000.0</v>
      </c>
      <c r="M680" s="28">
        <v>0.0</v>
      </c>
      <c r="N680" s="28">
        <v>0.0</v>
      </c>
      <c r="O680" s="28">
        <v>0.0</v>
      </c>
      <c r="P680" s="28">
        <v>0.0</v>
      </c>
      <c r="Q680" s="33"/>
      <c r="R680" s="11"/>
    </row>
    <row r="681" ht="15.75" customHeight="1">
      <c r="A681" s="13">
        <f t="shared" si="1"/>
        <v>680</v>
      </c>
      <c r="B681" s="15" t="s">
        <v>24</v>
      </c>
      <c r="C681" s="17">
        <v>1904.0</v>
      </c>
      <c r="D681" s="17" t="s">
        <v>46</v>
      </c>
      <c r="E681" s="17" t="s">
        <v>1020</v>
      </c>
      <c r="F681" s="21" t="s">
        <v>60</v>
      </c>
      <c r="G681" s="21" t="s">
        <v>161</v>
      </c>
      <c r="H681" s="25" t="s">
        <v>36</v>
      </c>
      <c r="I681" s="30">
        <v>46246.0</v>
      </c>
      <c r="J681" s="17">
        <v>0.0</v>
      </c>
      <c r="K681" s="23" t="s">
        <v>57</v>
      </c>
      <c r="L681" s="28">
        <v>7300.0</v>
      </c>
      <c r="M681" s="28">
        <v>0.0</v>
      </c>
      <c r="N681" s="28">
        <v>0.0</v>
      </c>
      <c r="O681" s="28">
        <v>0.0</v>
      </c>
      <c r="P681" s="28">
        <v>0.0</v>
      </c>
      <c r="Q681" s="33"/>
      <c r="R681" s="11"/>
    </row>
    <row r="682" ht="15.75" customHeight="1">
      <c r="A682" s="13">
        <f t="shared" si="1"/>
        <v>681</v>
      </c>
      <c r="B682" s="15" t="s">
        <v>24</v>
      </c>
      <c r="C682" s="17">
        <v>1904.0</v>
      </c>
      <c r="D682" s="17" t="s">
        <v>46</v>
      </c>
      <c r="E682" s="17" t="s">
        <v>1025</v>
      </c>
      <c r="F682" s="21" t="s">
        <v>44</v>
      </c>
      <c r="G682" s="21" t="s">
        <v>45</v>
      </c>
      <c r="H682" s="25" t="s">
        <v>36</v>
      </c>
      <c r="I682" s="30">
        <v>46246.0</v>
      </c>
      <c r="J682" s="17">
        <v>0.0</v>
      </c>
      <c r="K682" s="23" t="s">
        <v>57</v>
      </c>
      <c r="L682" s="28">
        <v>8000.0</v>
      </c>
      <c r="M682" s="28">
        <v>0.0</v>
      </c>
      <c r="N682" s="28">
        <v>0.0</v>
      </c>
      <c r="O682" s="28">
        <v>0.0</v>
      </c>
      <c r="P682" s="28">
        <v>0.0</v>
      </c>
      <c r="Q682" s="33"/>
      <c r="R682" s="11"/>
    </row>
    <row r="683" ht="15.75" customHeight="1">
      <c r="A683" s="13">
        <f t="shared" si="1"/>
        <v>682</v>
      </c>
      <c r="B683" s="15" t="s">
        <v>24</v>
      </c>
      <c r="C683" s="17">
        <v>1904.0</v>
      </c>
      <c r="D683" s="17" t="s">
        <v>46</v>
      </c>
      <c r="E683" s="17" t="s">
        <v>1027</v>
      </c>
      <c r="F683" s="21" t="s">
        <v>44</v>
      </c>
      <c r="G683" s="21" t="s">
        <v>45</v>
      </c>
      <c r="H683" s="25" t="s">
        <v>36</v>
      </c>
      <c r="I683" s="30">
        <v>46246.0</v>
      </c>
      <c r="J683" s="17">
        <v>0.0</v>
      </c>
      <c r="K683" s="23" t="s">
        <v>57</v>
      </c>
      <c r="L683" s="28">
        <v>10000.0</v>
      </c>
      <c r="M683" s="28">
        <v>0.0</v>
      </c>
      <c r="N683" s="28">
        <v>0.0</v>
      </c>
      <c r="O683" s="28">
        <v>0.0</v>
      </c>
      <c r="P683" s="28">
        <v>0.0</v>
      </c>
      <c r="Q683" s="33"/>
      <c r="R683" s="11"/>
    </row>
    <row r="684" ht="15.75" customHeight="1">
      <c r="A684" s="13">
        <f t="shared" si="1"/>
        <v>683</v>
      </c>
      <c r="B684" s="15" t="s">
        <v>24</v>
      </c>
      <c r="C684" s="17">
        <v>1904.0</v>
      </c>
      <c r="D684" s="17" t="s">
        <v>46</v>
      </c>
      <c r="E684" s="17" t="s">
        <v>1029</v>
      </c>
      <c r="F684" s="36" t="s">
        <v>49</v>
      </c>
      <c r="G684" s="36" t="s">
        <v>54</v>
      </c>
      <c r="H684" s="23" t="s">
        <v>55</v>
      </c>
      <c r="I684" s="30">
        <v>46247.0</v>
      </c>
      <c r="J684" s="17">
        <v>0.0</v>
      </c>
      <c r="K684" s="23" t="s">
        <v>57</v>
      </c>
      <c r="L684" s="28">
        <v>5000.0</v>
      </c>
      <c r="M684" s="28">
        <v>0.0</v>
      </c>
      <c r="N684" s="28">
        <v>0.0</v>
      </c>
      <c r="O684" s="28">
        <v>0.0</v>
      </c>
      <c r="P684" s="28">
        <v>0.0</v>
      </c>
      <c r="Q684" s="33"/>
      <c r="R684" s="11"/>
    </row>
    <row r="685" ht="15.75" customHeight="1">
      <c r="A685" s="13">
        <f t="shared" si="1"/>
        <v>684</v>
      </c>
      <c r="B685" s="15" t="s">
        <v>24</v>
      </c>
      <c r="C685" s="17">
        <v>1904.0</v>
      </c>
      <c r="D685" s="17" t="s">
        <v>46</v>
      </c>
      <c r="E685" s="18" t="s">
        <v>1032</v>
      </c>
      <c r="F685" s="21" t="s">
        <v>44</v>
      </c>
      <c r="G685" s="21" t="s">
        <v>478</v>
      </c>
      <c r="H685" s="14" t="s">
        <v>37</v>
      </c>
      <c r="I685" s="30">
        <v>46247.0</v>
      </c>
      <c r="J685" s="18">
        <v>0.0</v>
      </c>
      <c r="K685" s="23" t="s">
        <v>57</v>
      </c>
      <c r="L685" s="29">
        <v>5500.0</v>
      </c>
      <c r="M685" s="28">
        <v>0.0</v>
      </c>
      <c r="N685" s="28">
        <v>0.0</v>
      </c>
      <c r="O685" s="28">
        <v>0.0</v>
      </c>
      <c r="P685" s="28">
        <v>0.0</v>
      </c>
      <c r="Q685" s="33"/>
      <c r="R685" s="11"/>
    </row>
    <row r="686" ht="15.75" customHeight="1">
      <c r="A686" s="13">
        <f t="shared" si="1"/>
        <v>685</v>
      </c>
      <c r="B686" s="15" t="s">
        <v>24</v>
      </c>
      <c r="C686" s="17">
        <v>1904.0</v>
      </c>
      <c r="D686" s="17" t="s">
        <v>46</v>
      </c>
      <c r="E686" s="18" t="s">
        <v>1035</v>
      </c>
      <c r="F686" s="94" t="s">
        <v>44</v>
      </c>
      <c r="G686" s="94" t="s">
        <v>478</v>
      </c>
      <c r="H686" s="14" t="s">
        <v>36</v>
      </c>
      <c r="I686" s="30">
        <v>46247.0</v>
      </c>
      <c r="J686" s="18">
        <v>0.0</v>
      </c>
      <c r="K686" s="23" t="s">
        <v>57</v>
      </c>
      <c r="L686" s="29">
        <v>11000.0</v>
      </c>
      <c r="M686" s="28">
        <v>0.0</v>
      </c>
      <c r="N686" s="28">
        <v>0.0</v>
      </c>
      <c r="O686" s="28">
        <v>0.0</v>
      </c>
      <c r="P686" s="28">
        <v>0.0</v>
      </c>
      <c r="Q686" s="33"/>
      <c r="R686" s="11"/>
    </row>
    <row r="687" ht="15.75" customHeight="1">
      <c r="A687" s="13">
        <f t="shared" si="1"/>
        <v>686</v>
      </c>
      <c r="B687" s="15" t="s">
        <v>24</v>
      </c>
      <c r="C687" s="17">
        <v>1904.0</v>
      </c>
      <c r="D687" s="17" t="s">
        <v>46</v>
      </c>
      <c r="E687" s="18" t="s">
        <v>1037</v>
      </c>
      <c r="F687" s="21" t="s">
        <v>44</v>
      </c>
      <c r="G687" s="21" t="s">
        <v>493</v>
      </c>
      <c r="H687" s="14" t="s">
        <v>37</v>
      </c>
      <c r="I687" s="30">
        <v>46247.0</v>
      </c>
      <c r="J687" s="18">
        <v>0.0</v>
      </c>
      <c r="K687" s="23" t="s">
        <v>57</v>
      </c>
      <c r="L687" s="29">
        <v>5500.0</v>
      </c>
      <c r="M687" s="28">
        <v>0.0</v>
      </c>
      <c r="N687" s="28">
        <v>0.0</v>
      </c>
      <c r="O687" s="28">
        <v>0.0</v>
      </c>
      <c r="P687" s="28">
        <v>0.0</v>
      </c>
      <c r="Q687" s="33"/>
      <c r="R687" s="11"/>
    </row>
    <row r="688" ht="15.75" customHeight="1">
      <c r="A688" s="13">
        <f t="shared" si="1"/>
        <v>687</v>
      </c>
      <c r="B688" s="15" t="s">
        <v>24</v>
      </c>
      <c r="C688" s="17">
        <v>1904.0</v>
      </c>
      <c r="D688" s="17" t="s">
        <v>182</v>
      </c>
      <c r="E688" s="18" t="s">
        <v>1040</v>
      </c>
      <c r="F688" s="36" t="s">
        <v>84</v>
      </c>
      <c r="G688" s="36" t="s">
        <v>517</v>
      </c>
      <c r="H688" s="14" t="s">
        <v>36</v>
      </c>
      <c r="I688" s="47">
        <v>46247.0</v>
      </c>
      <c r="J688" s="18">
        <v>0.0</v>
      </c>
      <c r="K688" s="22" t="s">
        <v>38</v>
      </c>
      <c r="L688" s="29">
        <v>30000.0</v>
      </c>
      <c r="M688" s="28">
        <v>0.0</v>
      </c>
      <c r="N688" s="28">
        <v>0.0</v>
      </c>
      <c r="O688" s="28">
        <v>0.0</v>
      </c>
      <c r="P688" s="28">
        <v>0.0</v>
      </c>
      <c r="Q688" s="33"/>
      <c r="R688" s="11"/>
    </row>
    <row r="689" ht="15.75" customHeight="1">
      <c r="A689" s="13">
        <f t="shared" si="1"/>
        <v>688</v>
      </c>
      <c r="B689" s="15" t="s">
        <v>24</v>
      </c>
      <c r="C689" s="17">
        <v>1904.0</v>
      </c>
      <c r="D689" s="17" t="s">
        <v>182</v>
      </c>
      <c r="E689" s="18" t="s">
        <v>1042</v>
      </c>
      <c r="F689" s="22" t="s">
        <v>142</v>
      </c>
      <c r="G689" s="22" t="s">
        <v>452</v>
      </c>
      <c r="H689" s="14" t="s">
        <v>37</v>
      </c>
      <c r="I689" s="47">
        <v>46247.0</v>
      </c>
      <c r="J689" s="18">
        <v>0.0</v>
      </c>
      <c r="K689" s="22" t="s">
        <v>38</v>
      </c>
      <c r="L689" s="29">
        <v>10000.0</v>
      </c>
      <c r="M689" s="28">
        <v>0.0</v>
      </c>
      <c r="N689" s="28">
        <v>0.0</v>
      </c>
      <c r="O689" s="28">
        <v>0.0</v>
      </c>
      <c r="P689" s="28">
        <v>0.0</v>
      </c>
      <c r="Q689" s="33"/>
      <c r="R689" s="11"/>
    </row>
    <row r="690" ht="15.75" customHeight="1">
      <c r="A690" s="13">
        <f t="shared" si="1"/>
        <v>689</v>
      </c>
      <c r="B690" s="15" t="s">
        <v>24</v>
      </c>
      <c r="C690" s="17">
        <v>1904.0</v>
      </c>
      <c r="D690" s="17" t="s">
        <v>46</v>
      </c>
      <c r="E690" s="18" t="s">
        <v>1045</v>
      </c>
      <c r="F690" s="21" t="s">
        <v>488</v>
      </c>
      <c r="G690" s="36" t="s">
        <v>697</v>
      </c>
      <c r="H690" s="14" t="s">
        <v>36</v>
      </c>
      <c r="I690" s="47">
        <v>46247.0</v>
      </c>
      <c r="J690" s="18">
        <v>0.0</v>
      </c>
      <c r="K690" s="22" t="s">
        <v>57</v>
      </c>
      <c r="L690" s="29">
        <v>20000.0</v>
      </c>
      <c r="M690" s="28">
        <v>0.0</v>
      </c>
      <c r="N690" s="28">
        <v>0.0</v>
      </c>
      <c r="O690" s="28">
        <v>0.0</v>
      </c>
      <c r="P690" s="28">
        <v>0.0</v>
      </c>
      <c r="Q690" s="33"/>
      <c r="R690" s="11"/>
    </row>
    <row r="691" ht="15.75" customHeight="1">
      <c r="A691" s="13">
        <f t="shared" si="1"/>
        <v>690</v>
      </c>
      <c r="B691" s="15" t="s">
        <v>24</v>
      </c>
      <c r="C691" s="17">
        <v>1904.0</v>
      </c>
      <c r="D691" s="17" t="s">
        <v>46</v>
      </c>
      <c r="E691" s="18" t="s">
        <v>1048</v>
      </c>
      <c r="F691" s="21" t="s">
        <v>208</v>
      </c>
      <c r="G691" s="21" t="s">
        <v>653</v>
      </c>
      <c r="H691" s="14" t="s">
        <v>37</v>
      </c>
      <c r="I691" s="47">
        <v>46247.0</v>
      </c>
      <c r="J691" s="18">
        <v>0.0</v>
      </c>
      <c r="K691" s="22" t="s">
        <v>57</v>
      </c>
      <c r="L691" s="29">
        <v>6000.0</v>
      </c>
      <c r="M691" s="28">
        <v>0.0</v>
      </c>
      <c r="N691" s="28">
        <v>0.0</v>
      </c>
      <c r="O691" s="28">
        <v>0.0</v>
      </c>
      <c r="P691" s="28">
        <v>0.0</v>
      </c>
      <c r="Q691" s="33"/>
      <c r="R691" s="11"/>
    </row>
    <row r="692" ht="15.75" customHeight="1">
      <c r="A692" s="13">
        <f t="shared" si="1"/>
        <v>691</v>
      </c>
      <c r="B692" s="15" t="s">
        <v>24</v>
      </c>
      <c r="C692" s="17">
        <v>1904.0</v>
      </c>
      <c r="D692" s="17" t="s">
        <v>182</v>
      </c>
      <c r="E692" s="18" t="s">
        <v>1051</v>
      </c>
      <c r="F692" s="22" t="s">
        <v>84</v>
      </c>
      <c r="G692" s="22" t="s">
        <v>517</v>
      </c>
      <c r="H692" s="14" t="s">
        <v>36</v>
      </c>
      <c r="I692" s="47">
        <v>46247.0</v>
      </c>
      <c r="J692" s="18">
        <v>0.0</v>
      </c>
      <c r="K692" s="22" t="s">
        <v>38</v>
      </c>
      <c r="L692" s="29">
        <v>4000.0</v>
      </c>
      <c r="M692" s="28">
        <v>0.0</v>
      </c>
      <c r="N692" s="28">
        <v>0.0</v>
      </c>
      <c r="O692" s="28">
        <v>0.0</v>
      </c>
      <c r="P692" s="28">
        <v>0.0</v>
      </c>
      <c r="Q692" s="33"/>
      <c r="R692" s="11"/>
    </row>
    <row r="693" ht="15.75" customHeight="1">
      <c r="A693" s="13">
        <f t="shared" si="1"/>
        <v>692</v>
      </c>
      <c r="B693" s="15" t="s">
        <v>24</v>
      </c>
      <c r="C693" s="17">
        <v>1904.0</v>
      </c>
      <c r="D693" s="17" t="s">
        <v>182</v>
      </c>
      <c r="E693" s="18" t="s">
        <v>1053</v>
      </c>
      <c r="F693" s="22" t="s">
        <v>84</v>
      </c>
      <c r="G693" s="22" t="s">
        <v>531</v>
      </c>
      <c r="H693" s="14" t="s">
        <v>36</v>
      </c>
      <c r="I693" s="47">
        <v>46247.0</v>
      </c>
      <c r="J693" s="18">
        <v>0.0</v>
      </c>
      <c r="K693" s="22" t="s">
        <v>38</v>
      </c>
      <c r="L693" s="29">
        <v>16000.0</v>
      </c>
      <c r="M693" s="28">
        <v>0.0</v>
      </c>
      <c r="N693" s="28">
        <v>0.0</v>
      </c>
      <c r="O693" s="28">
        <v>0.0</v>
      </c>
      <c r="P693" s="28">
        <v>0.0</v>
      </c>
      <c r="Q693" s="33"/>
      <c r="R693" s="11"/>
    </row>
    <row r="694" ht="15.75" customHeight="1">
      <c r="A694" s="13">
        <f t="shared" si="1"/>
        <v>693</v>
      </c>
      <c r="B694" s="15" t="s">
        <v>24</v>
      </c>
      <c r="C694" s="17">
        <v>1904.0</v>
      </c>
      <c r="D694" s="17" t="s">
        <v>46</v>
      </c>
      <c r="E694" s="17" t="s">
        <v>1057</v>
      </c>
      <c r="F694" s="21" t="s">
        <v>191</v>
      </c>
      <c r="G694" s="21" t="s">
        <v>316</v>
      </c>
      <c r="H694" s="14" t="s">
        <v>36</v>
      </c>
      <c r="I694" s="47">
        <v>46247.0</v>
      </c>
      <c r="J694" s="18">
        <v>0.0</v>
      </c>
      <c r="K694" s="22" t="s">
        <v>57</v>
      </c>
      <c r="L694" s="29">
        <v>10000.0</v>
      </c>
      <c r="M694" s="28">
        <v>0.0</v>
      </c>
      <c r="N694" s="28">
        <v>0.0</v>
      </c>
      <c r="O694" s="28">
        <v>0.0</v>
      </c>
      <c r="P694" s="28">
        <v>0.0</v>
      </c>
      <c r="Q694" s="33"/>
      <c r="R694" s="11"/>
    </row>
    <row r="695" ht="15.75" customHeight="1">
      <c r="A695" s="13">
        <f t="shared" si="1"/>
        <v>694</v>
      </c>
      <c r="B695" s="15" t="s">
        <v>24</v>
      </c>
      <c r="C695" s="17">
        <v>1904.0</v>
      </c>
      <c r="D695" s="17" t="s">
        <v>182</v>
      </c>
      <c r="E695" s="17" t="s">
        <v>1059</v>
      </c>
      <c r="F695" s="22" t="s">
        <v>142</v>
      </c>
      <c r="G695" s="23" t="s">
        <v>1062</v>
      </c>
      <c r="H695" s="14" t="s">
        <v>36</v>
      </c>
      <c r="I695" s="47">
        <v>46247.0</v>
      </c>
      <c r="J695" s="18">
        <v>1.0</v>
      </c>
      <c r="K695" s="22" t="s">
        <v>38</v>
      </c>
      <c r="L695" s="29">
        <v>7000.0</v>
      </c>
      <c r="M695" s="28">
        <v>0.0</v>
      </c>
      <c r="N695" s="28">
        <v>0.0</v>
      </c>
      <c r="O695" s="28">
        <v>0.0</v>
      </c>
      <c r="P695" s="28">
        <v>0.0</v>
      </c>
      <c r="Q695" s="33"/>
      <c r="R695" s="11"/>
    </row>
    <row r="696" ht="15.75" customHeight="1">
      <c r="A696" s="13">
        <f t="shared" si="1"/>
        <v>695</v>
      </c>
      <c r="B696" s="15" t="s">
        <v>24</v>
      </c>
      <c r="C696" s="17">
        <v>1904.0</v>
      </c>
      <c r="D696" s="17" t="s">
        <v>46</v>
      </c>
      <c r="E696" s="17" t="s">
        <v>1065</v>
      </c>
      <c r="F696" s="21" t="s">
        <v>184</v>
      </c>
      <c r="G696" s="21" t="s">
        <v>449</v>
      </c>
      <c r="H696" s="14" t="s">
        <v>37</v>
      </c>
      <c r="I696" s="47">
        <v>46251.0</v>
      </c>
      <c r="J696" s="18">
        <v>0.0</v>
      </c>
      <c r="K696" s="22" t="s">
        <v>57</v>
      </c>
      <c r="L696" s="29">
        <v>5000.0</v>
      </c>
      <c r="M696" s="28">
        <v>0.0</v>
      </c>
      <c r="N696" s="28">
        <v>0.0</v>
      </c>
      <c r="O696" s="28">
        <v>0.0</v>
      </c>
      <c r="P696" s="28">
        <v>0.0</v>
      </c>
      <c r="Q696" s="33"/>
      <c r="R696" s="11"/>
    </row>
    <row r="697" ht="15.75" customHeight="1">
      <c r="A697" s="13">
        <f t="shared" si="1"/>
        <v>696</v>
      </c>
      <c r="B697" s="15" t="s">
        <v>24</v>
      </c>
      <c r="C697" s="17">
        <v>1904.0</v>
      </c>
      <c r="D697" s="17" t="s">
        <v>501</v>
      </c>
      <c r="E697" s="17" t="s">
        <v>1419</v>
      </c>
      <c r="F697" s="181" t="s">
        <v>82</v>
      </c>
      <c r="G697" s="201" t="s">
        <v>1416</v>
      </c>
      <c r="H697" s="25"/>
      <c r="I697" s="30"/>
      <c r="J697" s="15"/>
      <c r="K697" s="25"/>
      <c r="L697" s="28"/>
      <c r="M697" s="28"/>
      <c r="N697" s="28"/>
      <c r="O697" s="28"/>
      <c r="P697" s="28"/>
      <c r="Q697" s="33"/>
      <c r="R697" s="11"/>
    </row>
    <row r="698" ht="15.75" customHeight="1">
      <c r="A698" s="13">
        <f t="shared" si="1"/>
        <v>697</v>
      </c>
      <c r="B698" s="15" t="s">
        <v>24</v>
      </c>
      <c r="C698" s="17">
        <v>1904.0</v>
      </c>
      <c r="D698" s="17" t="s">
        <v>46</v>
      </c>
      <c r="E698" s="17" t="s">
        <v>1068</v>
      </c>
      <c r="F698" s="36" t="s">
        <v>33</v>
      </c>
      <c r="G698" s="36" t="s">
        <v>1070</v>
      </c>
      <c r="H698" s="14" t="s">
        <v>36</v>
      </c>
      <c r="I698" s="47">
        <v>46251.0</v>
      </c>
      <c r="J698" s="18">
        <v>0.0</v>
      </c>
      <c r="K698" s="22" t="s">
        <v>57</v>
      </c>
      <c r="L698" s="29">
        <v>6000.0</v>
      </c>
      <c r="M698" s="28">
        <v>0.0</v>
      </c>
      <c r="N698" s="28">
        <v>0.0</v>
      </c>
      <c r="O698" s="28">
        <v>0.0</v>
      </c>
      <c r="P698" s="28">
        <v>0.0</v>
      </c>
      <c r="Q698" s="33"/>
      <c r="R698" s="11"/>
    </row>
    <row r="699" ht="15.75" customHeight="1">
      <c r="A699" s="13">
        <f t="shared" si="1"/>
        <v>698</v>
      </c>
      <c r="B699" s="15" t="s">
        <v>24</v>
      </c>
      <c r="C699" s="17">
        <v>1904.0</v>
      </c>
      <c r="D699" s="17" t="s">
        <v>46</v>
      </c>
      <c r="E699" s="17" t="s">
        <v>1073</v>
      </c>
      <c r="F699" s="21" t="s">
        <v>293</v>
      </c>
      <c r="G699" s="36" t="s">
        <v>294</v>
      </c>
      <c r="H699" s="14" t="s">
        <v>37</v>
      </c>
      <c r="I699" s="47">
        <v>46251.0</v>
      </c>
      <c r="J699" s="18">
        <v>0.0</v>
      </c>
      <c r="K699" s="22" t="s">
        <v>57</v>
      </c>
      <c r="L699" s="29">
        <v>3100.0</v>
      </c>
      <c r="M699" s="28">
        <v>0.0</v>
      </c>
      <c r="N699" s="28">
        <v>0.0</v>
      </c>
      <c r="O699" s="28">
        <v>0.0</v>
      </c>
      <c r="P699" s="28">
        <v>0.0</v>
      </c>
      <c r="Q699" s="33"/>
      <c r="R699" s="11"/>
    </row>
    <row r="700" ht="15.75" customHeight="1">
      <c r="A700" s="13">
        <f t="shared" si="1"/>
        <v>699</v>
      </c>
      <c r="B700" s="15" t="s">
        <v>24</v>
      </c>
      <c r="C700" s="17">
        <v>1904.0</v>
      </c>
      <c r="D700" s="17" t="s">
        <v>58</v>
      </c>
      <c r="E700" s="17" t="s">
        <v>1079</v>
      </c>
      <c r="F700" s="216" t="s">
        <v>116</v>
      </c>
      <c r="G700" s="216" t="s">
        <v>434</v>
      </c>
      <c r="H700" s="25" t="s">
        <v>36</v>
      </c>
      <c r="I700" s="47">
        <v>46251.0</v>
      </c>
      <c r="J700" s="17">
        <v>0.0</v>
      </c>
      <c r="K700" s="23" t="s">
        <v>38</v>
      </c>
      <c r="L700" s="28">
        <v>180000.0</v>
      </c>
      <c r="M700" s="28">
        <v>0.0</v>
      </c>
      <c r="N700" s="28">
        <v>0.0</v>
      </c>
      <c r="O700" s="28">
        <v>0.0</v>
      </c>
      <c r="P700" s="28">
        <v>0.0</v>
      </c>
      <c r="Q700" s="47">
        <v>46252.0</v>
      </c>
      <c r="R700" s="11"/>
    </row>
    <row r="701" ht="15.75" customHeight="1">
      <c r="A701" s="13">
        <f t="shared" si="1"/>
        <v>700</v>
      </c>
      <c r="B701" s="15" t="s">
        <v>24</v>
      </c>
      <c r="C701" s="17">
        <v>1904.0</v>
      </c>
      <c r="D701" s="17" t="s">
        <v>46</v>
      </c>
      <c r="E701" s="17" t="s">
        <v>1084</v>
      </c>
      <c r="F701" s="36" t="s">
        <v>91</v>
      </c>
      <c r="G701" s="23" t="s">
        <v>120</v>
      </c>
      <c r="H701" s="25" t="s">
        <v>36</v>
      </c>
      <c r="I701" s="47">
        <v>46252.0</v>
      </c>
      <c r="J701" s="17">
        <v>0.0</v>
      </c>
      <c r="K701" s="22" t="s">
        <v>57</v>
      </c>
      <c r="L701" s="28">
        <v>0.0</v>
      </c>
      <c r="M701" s="28">
        <v>4000.0</v>
      </c>
      <c r="N701" s="28">
        <v>0.0</v>
      </c>
      <c r="O701" s="28">
        <v>0.0</v>
      </c>
      <c r="P701" s="28">
        <v>0.0</v>
      </c>
      <c r="Q701" s="33"/>
      <c r="R701" s="11"/>
    </row>
    <row r="702" ht="15.75" customHeight="1">
      <c r="A702" s="13">
        <f t="shared" si="1"/>
        <v>701</v>
      </c>
      <c r="B702" s="15" t="s">
        <v>24</v>
      </c>
      <c r="C702" s="17">
        <v>1904.0</v>
      </c>
      <c r="D702" s="17" t="s">
        <v>87</v>
      </c>
      <c r="E702" s="17" t="s">
        <v>1086</v>
      </c>
      <c r="F702" s="36" t="s">
        <v>279</v>
      </c>
      <c r="G702" s="36" t="s">
        <v>280</v>
      </c>
      <c r="H702" s="25" t="s">
        <v>36</v>
      </c>
      <c r="I702" s="47">
        <v>46252.0</v>
      </c>
      <c r="J702" s="17">
        <v>1.0</v>
      </c>
      <c r="K702" s="23" t="s">
        <v>38</v>
      </c>
      <c r="L702" s="28">
        <v>30000.0</v>
      </c>
      <c r="M702" s="28">
        <v>0.0</v>
      </c>
      <c r="N702" s="28">
        <v>0.0</v>
      </c>
      <c r="O702" s="28">
        <v>0.0</v>
      </c>
      <c r="P702" s="28">
        <v>0.0</v>
      </c>
      <c r="Q702" s="33"/>
      <c r="R702" s="11"/>
    </row>
    <row r="703" ht="15.75" customHeight="1">
      <c r="A703" s="13">
        <f t="shared" si="1"/>
        <v>702</v>
      </c>
      <c r="B703" s="15" t="s">
        <v>24</v>
      </c>
      <c r="C703" s="17">
        <v>1904.0</v>
      </c>
      <c r="D703" s="17" t="s">
        <v>46</v>
      </c>
      <c r="E703" s="17" t="s">
        <v>1091</v>
      </c>
      <c r="F703" s="36" t="s">
        <v>169</v>
      </c>
      <c r="G703" s="36" t="s">
        <v>170</v>
      </c>
      <c r="H703" s="14" t="s">
        <v>37</v>
      </c>
      <c r="I703" s="47">
        <v>46252.0</v>
      </c>
      <c r="J703" s="17">
        <v>0.0</v>
      </c>
      <c r="K703" s="23" t="s">
        <v>38</v>
      </c>
      <c r="L703" s="28">
        <v>14000.0</v>
      </c>
      <c r="M703" s="28">
        <v>0.0</v>
      </c>
      <c r="N703" s="28">
        <v>0.0</v>
      </c>
      <c r="O703" s="28">
        <v>0.0</v>
      </c>
      <c r="P703" s="28">
        <v>0.0</v>
      </c>
      <c r="Q703" s="33"/>
      <c r="R703" s="11"/>
    </row>
    <row r="704" ht="15.75" customHeight="1">
      <c r="A704" s="13">
        <f t="shared" si="1"/>
        <v>703</v>
      </c>
      <c r="B704" s="15" t="s">
        <v>24</v>
      </c>
      <c r="C704" s="17">
        <v>1904.0</v>
      </c>
      <c r="D704" s="17" t="s">
        <v>46</v>
      </c>
      <c r="E704" s="17" t="s">
        <v>1095</v>
      </c>
      <c r="F704" s="36" t="s">
        <v>169</v>
      </c>
      <c r="G704" s="36" t="s">
        <v>170</v>
      </c>
      <c r="H704" s="14" t="s">
        <v>37</v>
      </c>
      <c r="I704" s="47">
        <v>46252.0</v>
      </c>
      <c r="J704" s="17">
        <v>0.0</v>
      </c>
      <c r="K704" s="22" t="s">
        <v>57</v>
      </c>
      <c r="L704" s="28">
        <v>3000.0</v>
      </c>
      <c r="M704" s="28">
        <v>0.0</v>
      </c>
      <c r="N704" s="28">
        <v>0.0</v>
      </c>
      <c r="O704" s="28">
        <v>0.0</v>
      </c>
      <c r="P704" s="28">
        <v>0.0</v>
      </c>
      <c r="Q704" s="33"/>
      <c r="R704" s="11"/>
    </row>
    <row r="705" ht="15.75" customHeight="1">
      <c r="A705" s="13">
        <f t="shared" si="1"/>
        <v>704</v>
      </c>
      <c r="B705" s="15" t="s">
        <v>24</v>
      </c>
      <c r="C705" s="17">
        <v>1904.0</v>
      </c>
      <c r="D705" s="17" t="s">
        <v>87</v>
      </c>
      <c r="E705" s="17" t="s">
        <v>1102</v>
      </c>
      <c r="F705" s="23" t="s">
        <v>91</v>
      </c>
      <c r="G705" s="23" t="s">
        <v>1103</v>
      </c>
      <c r="H705" s="25" t="s">
        <v>37</v>
      </c>
      <c r="I705" s="64">
        <v>46254.0</v>
      </c>
      <c r="J705" s="17">
        <v>1.0</v>
      </c>
      <c r="K705" s="23" t="s">
        <v>38</v>
      </c>
      <c r="L705" s="28">
        <v>10000.0</v>
      </c>
      <c r="M705" s="28">
        <v>0.0</v>
      </c>
      <c r="N705" s="28">
        <v>0.0</v>
      </c>
      <c r="O705" s="28">
        <v>0.0</v>
      </c>
      <c r="P705" s="28">
        <v>0.0</v>
      </c>
      <c r="Q705" s="33"/>
      <c r="R705" s="11"/>
    </row>
    <row r="706" ht="15.75" customHeight="1">
      <c r="A706" s="13">
        <f t="shared" si="1"/>
        <v>705</v>
      </c>
      <c r="B706" s="15" t="s">
        <v>24</v>
      </c>
      <c r="C706" s="17">
        <v>1904.0</v>
      </c>
      <c r="D706" s="17" t="s">
        <v>87</v>
      </c>
      <c r="E706" s="17" t="s">
        <v>1107</v>
      </c>
      <c r="F706" s="23" t="s">
        <v>223</v>
      </c>
      <c r="G706" s="23" t="s">
        <v>1108</v>
      </c>
      <c r="H706" s="14" t="s">
        <v>37</v>
      </c>
      <c r="I706" s="47">
        <v>46254.0</v>
      </c>
      <c r="J706" s="17">
        <v>1.0</v>
      </c>
      <c r="K706" s="23" t="s">
        <v>38</v>
      </c>
      <c r="L706" s="28">
        <v>90000.0</v>
      </c>
      <c r="M706" s="28">
        <v>0.0</v>
      </c>
      <c r="N706" s="28">
        <v>0.0</v>
      </c>
      <c r="O706" s="28">
        <v>0.0</v>
      </c>
      <c r="P706" s="28">
        <v>0.0</v>
      </c>
      <c r="Q706" s="33"/>
      <c r="R706" s="11"/>
    </row>
    <row r="707" ht="15.75" customHeight="1">
      <c r="A707" s="13">
        <f t="shared" si="1"/>
        <v>706</v>
      </c>
      <c r="B707" s="15" t="s">
        <v>24</v>
      </c>
      <c r="C707" s="35" t="s">
        <v>1420</v>
      </c>
      <c r="D707" s="17" t="s">
        <v>46</v>
      </c>
      <c r="E707" s="35" t="s">
        <v>1335</v>
      </c>
      <c r="F707" s="21" t="s">
        <v>141</v>
      </c>
      <c r="G707" s="21" t="s">
        <v>143</v>
      </c>
      <c r="H707" s="25" t="s">
        <v>36</v>
      </c>
      <c r="I707" s="30">
        <v>46233.0</v>
      </c>
      <c r="J707" s="17">
        <v>0.0</v>
      </c>
      <c r="K707" s="23" t="s">
        <v>57</v>
      </c>
      <c r="L707" s="28">
        <v>11600.0</v>
      </c>
      <c r="M707" s="28">
        <v>0.0</v>
      </c>
      <c r="N707" s="28">
        <v>0.0</v>
      </c>
      <c r="O707" s="28">
        <v>0.0</v>
      </c>
      <c r="P707" s="28">
        <v>0.0</v>
      </c>
      <c r="Q707" s="33"/>
      <c r="R707" s="11"/>
    </row>
    <row r="708" ht="15.75" customHeight="1">
      <c r="A708" s="13">
        <f t="shared" si="1"/>
        <v>707</v>
      </c>
      <c r="B708" s="15" t="s">
        <v>24</v>
      </c>
      <c r="C708" s="35" t="s">
        <v>1420</v>
      </c>
      <c r="D708" s="17" t="s">
        <v>46</v>
      </c>
      <c r="E708" s="17" t="s">
        <v>1111</v>
      </c>
      <c r="F708" s="21" t="s">
        <v>84</v>
      </c>
      <c r="G708" s="21" t="s">
        <v>254</v>
      </c>
      <c r="H708" s="25" t="s">
        <v>36</v>
      </c>
      <c r="I708" s="47">
        <v>46254.0</v>
      </c>
      <c r="J708" s="17">
        <v>0.0</v>
      </c>
      <c r="K708" s="23" t="s">
        <v>57</v>
      </c>
      <c r="L708" s="28">
        <v>5000.0</v>
      </c>
      <c r="M708" s="28">
        <v>0.0</v>
      </c>
      <c r="N708" s="28">
        <v>0.0</v>
      </c>
      <c r="O708" s="28">
        <v>0.0</v>
      </c>
      <c r="P708" s="28">
        <v>0.0</v>
      </c>
      <c r="Q708" s="33"/>
      <c r="R708" s="11"/>
    </row>
    <row r="709" ht="15.75" customHeight="1">
      <c r="A709" s="13">
        <f t="shared" si="1"/>
        <v>708</v>
      </c>
      <c r="B709" s="15" t="s">
        <v>24</v>
      </c>
      <c r="C709" s="35" t="s">
        <v>1420</v>
      </c>
      <c r="D709" s="17" t="s">
        <v>46</v>
      </c>
      <c r="E709" s="17" t="s">
        <v>1115</v>
      </c>
      <c r="F709" s="21" t="s">
        <v>84</v>
      </c>
      <c r="G709" s="21" t="s">
        <v>270</v>
      </c>
      <c r="H709" s="25" t="s">
        <v>36</v>
      </c>
      <c r="I709" s="47">
        <v>46254.0</v>
      </c>
      <c r="J709" s="17">
        <v>0.0</v>
      </c>
      <c r="K709" s="23" t="s">
        <v>57</v>
      </c>
      <c r="L709" s="28">
        <v>5000.0</v>
      </c>
      <c r="M709" s="28">
        <v>0.0</v>
      </c>
      <c r="N709" s="28">
        <v>0.0</v>
      </c>
      <c r="O709" s="28">
        <v>0.0</v>
      </c>
      <c r="P709" s="28">
        <v>0.0</v>
      </c>
      <c r="Q709" s="33"/>
      <c r="R709" s="11"/>
    </row>
    <row r="710" ht="15.75" customHeight="1">
      <c r="A710" s="13">
        <f t="shared" si="1"/>
        <v>709</v>
      </c>
      <c r="B710" s="15" t="s">
        <v>24</v>
      </c>
      <c r="C710" s="35" t="s">
        <v>1420</v>
      </c>
      <c r="D710" s="17" t="s">
        <v>46</v>
      </c>
      <c r="E710" s="17" t="s">
        <v>1119</v>
      </c>
      <c r="F710" s="21" t="s">
        <v>40</v>
      </c>
      <c r="G710" s="21" t="s">
        <v>41</v>
      </c>
      <c r="H710" s="25" t="s">
        <v>36</v>
      </c>
      <c r="I710" s="47">
        <v>46254.0</v>
      </c>
      <c r="J710" s="17">
        <v>0.0</v>
      </c>
      <c r="K710" s="23" t="s">
        <v>57</v>
      </c>
      <c r="L710" s="28">
        <v>10000.0</v>
      </c>
      <c r="M710" s="28">
        <v>0.0</v>
      </c>
      <c r="N710" s="28">
        <v>0.0</v>
      </c>
      <c r="O710" s="28">
        <v>0.0</v>
      </c>
      <c r="P710" s="28">
        <v>0.0</v>
      </c>
      <c r="Q710" s="33"/>
      <c r="R710" s="11"/>
    </row>
    <row r="711" ht="15.75" customHeight="1">
      <c r="A711" s="13">
        <f t="shared" si="1"/>
        <v>710</v>
      </c>
      <c r="B711" s="15" t="s">
        <v>24</v>
      </c>
      <c r="C711" s="35" t="s">
        <v>1420</v>
      </c>
      <c r="D711" s="17" t="s">
        <v>46</v>
      </c>
      <c r="E711" s="17" t="s">
        <v>1125</v>
      </c>
      <c r="F711" s="21" t="s">
        <v>142</v>
      </c>
      <c r="G711" s="51" t="s">
        <v>338</v>
      </c>
      <c r="H711" s="25" t="s">
        <v>36</v>
      </c>
      <c r="I711" s="30">
        <v>46257.0</v>
      </c>
      <c r="J711" s="17">
        <v>0.0</v>
      </c>
      <c r="K711" s="23" t="s">
        <v>57</v>
      </c>
      <c r="L711" s="28">
        <v>20000.0</v>
      </c>
      <c r="M711" s="28">
        <v>0.0</v>
      </c>
      <c r="N711" s="28">
        <v>0.0</v>
      </c>
      <c r="O711" s="28">
        <v>0.0</v>
      </c>
      <c r="P711" s="28">
        <v>0.0</v>
      </c>
      <c r="Q711" s="33"/>
      <c r="R711" s="11"/>
    </row>
    <row r="712" ht="15.75" customHeight="1">
      <c r="A712" s="13">
        <f t="shared" si="1"/>
        <v>711</v>
      </c>
      <c r="B712" s="15" t="s">
        <v>24</v>
      </c>
      <c r="C712" s="35" t="s">
        <v>1420</v>
      </c>
      <c r="D712" s="17" t="s">
        <v>182</v>
      </c>
      <c r="E712" s="17" t="s">
        <v>1136</v>
      </c>
      <c r="F712" s="21" t="s">
        <v>40</v>
      </c>
      <c r="G712" s="23" t="s">
        <v>1137</v>
      </c>
      <c r="H712" s="14" t="s">
        <v>37</v>
      </c>
      <c r="I712" s="30">
        <v>46258.0</v>
      </c>
      <c r="J712" s="17">
        <v>1.0</v>
      </c>
      <c r="K712" s="23" t="s">
        <v>38</v>
      </c>
      <c r="L712" s="28">
        <v>20000.0</v>
      </c>
      <c r="M712" s="28">
        <v>0.0</v>
      </c>
      <c r="N712" s="28">
        <v>0.0</v>
      </c>
      <c r="O712" s="28">
        <v>0.0</v>
      </c>
      <c r="P712" s="28">
        <v>0.0</v>
      </c>
      <c r="Q712" s="33"/>
      <c r="R712" s="11"/>
    </row>
    <row r="713" ht="15.75" customHeight="1">
      <c r="A713" s="13">
        <f t="shared" si="1"/>
        <v>712</v>
      </c>
      <c r="B713" s="15" t="s">
        <v>24</v>
      </c>
      <c r="C713" s="35" t="s">
        <v>1420</v>
      </c>
      <c r="D713" s="17" t="s">
        <v>182</v>
      </c>
      <c r="E713" s="17" t="s">
        <v>1141</v>
      </c>
      <c r="F713" s="21" t="s">
        <v>40</v>
      </c>
      <c r="G713" s="21" t="s">
        <v>41</v>
      </c>
      <c r="H713" s="14" t="s">
        <v>37</v>
      </c>
      <c r="I713" s="30">
        <v>46258.0</v>
      </c>
      <c r="J713" s="17">
        <v>1.0</v>
      </c>
      <c r="K713" s="23" t="s">
        <v>38</v>
      </c>
      <c r="L713" s="28">
        <v>150000.0</v>
      </c>
      <c r="M713" s="28">
        <v>0.0</v>
      </c>
      <c r="N713" s="28">
        <v>0.0</v>
      </c>
      <c r="O713" s="28">
        <v>0.0</v>
      </c>
      <c r="P713" s="28">
        <v>0.0</v>
      </c>
      <c r="Q713" s="33"/>
      <c r="R713" s="11"/>
    </row>
    <row r="714" ht="15.75" customHeight="1">
      <c r="A714" s="13">
        <f t="shared" si="1"/>
        <v>713</v>
      </c>
      <c r="B714" s="15" t="s">
        <v>24</v>
      </c>
      <c r="C714" s="35" t="s">
        <v>1420</v>
      </c>
      <c r="D714" s="17" t="s">
        <v>182</v>
      </c>
      <c r="E714" s="17" t="s">
        <v>1144</v>
      </c>
      <c r="F714" s="23" t="s">
        <v>33</v>
      </c>
      <c r="G714" s="23" t="s">
        <v>596</v>
      </c>
      <c r="H714" s="25" t="s">
        <v>36</v>
      </c>
      <c r="I714" s="30">
        <v>46258.0</v>
      </c>
      <c r="J714" s="17">
        <v>2.0</v>
      </c>
      <c r="K714" s="23" t="s">
        <v>38</v>
      </c>
      <c r="L714" s="28">
        <v>50000.0</v>
      </c>
      <c r="M714" s="28">
        <v>0.0</v>
      </c>
      <c r="N714" s="28">
        <v>0.0</v>
      </c>
      <c r="O714" s="28">
        <v>0.0</v>
      </c>
      <c r="P714" s="28">
        <v>0.0</v>
      </c>
      <c r="Q714" s="33"/>
      <c r="R714" s="11"/>
    </row>
    <row r="715" ht="15.75" customHeight="1">
      <c r="A715" s="13">
        <f t="shared" si="1"/>
        <v>714</v>
      </c>
      <c r="B715" s="15" t="s">
        <v>24</v>
      </c>
      <c r="C715" s="35" t="s">
        <v>1420</v>
      </c>
      <c r="D715" s="17" t="s">
        <v>182</v>
      </c>
      <c r="E715" s="17" t="s">
        <v>1150</v>
      </c>
      <c r="F715" s="37" t="s">
        <v>84</v>
      </c>
      <c r="G715" s="23" t="s">
        <v>420</v>
      </c>
      <c r="H715" s="25" t="s">
        <v>37</v>
      </c>
      <c r="I715" s="64">
        <v>46258.0</v>
      </c>
      <c r="J715" s="17">
        <v>0.0</v>
      </c>
      <c r="K715" s="23" t="s">
        <v>38</v>
      </c>
      <c r="L715" s="28">
        <v>0.0</v>
      </c>
      <c r="M715" s="28">
        <v>10000.0</v>
      </c>
      <c r="N715" s="28">
        <v>0.0</v>
      </c>
      <c r="O715" s="28">
        <v>0.0</v>
      </c>
      <c r="P715" s="28">
        <v>0.0</v>
      </c>
      <c r="Q715" s="33"/>
      <c r="R715" s="11"/>
    </row>
    <row r="716" ht="15.75" customHeight="1">
      <c r="A716" s="13">
        <f t="shared" si="1"/>
        <v>715</v>
      </c>
      <c r="B716" s="15" t="s">
        <v>24</v>
      </c>
      <c r="C716" s="35" t="s">
        <v>1420</v>
      </c>
      <c r="D716" s="17" t="s">
        <v>46</v>
      </c>
      <c r="E716" s="17" t="s">
        <v>1155</v>
      </c>
      <c r="F716" s="81" t="s">
        <v>208</v>
      </c>
      <c r="G716" s="83" t="s">
        <v>208</v>
      </c>
      <c r="H716" s="25" t="s">
        <v>36</v>
      </c>
      <c r="I716" s="30">
        <v>46258.0</v>
      </c>
      <c r="J716" s="17">
        <v>0.0</v>
      </c>
      <c r="K716" s="23" t="s">
        <v>57</v>
      </c>
      <c r="L716" s="28">
        <v>5000.0</v>
      </c>
      <c r="M716" s="28">
        <v>0.0</v>
      </c>
      <c r="N716" s="28">
        <v>0.0</v>
      </c>
      <c r="O716" s="28">
        <v>0.0</v>
      </c>
      <c r="P716" s="28">
        <v>0.0</v>
      </c>
      <c r="Q716" s="33"/>
      <c r="R716" s="11"/>
    </row>
    <row r="717" ht="15.75" customHeight="1">
      <c r="A717" s="13">
        <f t="shared" si="1"/>
        <v>716</v>
      </c>
      <c r="B717" s="15" t="s">
        <v>24</v>
      </c>
      <c r="C717" s="35" t="s">
        <v>1420</v>
      </c>
      <c r="D717" s="17" t="s">
        <v>87</v>
      </c>
      <c r="E717" s="17" t="s">
        <v>1163</v>
      </c>
      <c r="F717" s="23" t="s">
        <v>377</v>
      </c>
      <c r="G717" s="23" t="s">
        <v>1164</v>
      </c>
      <c r="H717" s="25" t="s">
        <v>37</v>
      </c>
      <c r="I717" s="30">
        <v>46259.0</v>
      </c>
      <c r="J717" s="17">
        <v>0.0</v>
      </c>
      <c r="K717" s="23" t="s">
        <v>38</v>
      </c>
      <c r="L717" s="28">
        <v>4000.0</v>
      </c>
      <c r="M717" s="28">
        <v>0.0</v>
      </c>
      <c r="N717" s="28">
        <v>0.0</v>
      </c>
      <c r="O717" s="28">
        <v>0.0</v>
      </c>
      <c r="P717" s="28">
        <v>0.0</v>
      </c>
      <c r="Q717" s="33"/>
      <c r="R717" s="11"/>
    </row>
    <row r="718" ht="15.75" customHeight="1">
      <c r="A718" s="13">
        <f t="shared" si="1"/>
        <v>717</v>
      </c>
      <c r="B718" s="15" t="s">
        <v>24</v>
      </c>
      <c r="C718" s="35" t="s">
        <v>1420</v>
      </c>
      <c r="D718" s="17" t="s">
        <v>46</v>
      </c>
      <c r="E718" s="17" t="s">
        <v>1168</v>
      </c>
      <c r="F718" s="65" t="s">
        <v>40</v>
      </c>
      <c r="G718" s="67" t="s">
        <v>558</v>
      </c>
      <c r="H718" s="25" t="s">
        <v>36</v>
      </c>
      <c r="I718" s="30">
        <v>46259.0</v>
      </c>
      <c r="J718" s="17">
        <v>0.0</v>
      </c>
      <c r="K718" s="23" t="s">
        <v>57</v>
      </c>
      <c r="L718" s="28">
        <v>17500.0</v>
      </c>
      <c r="M718" s="28">
        <v>0.0</v>
      </c>
      <c r="N718" s="28">
        <v>0.0</v>
      </c>
      <c r="O718" s="28">
        <v>0.0</v>
      </c>
      <c r="P718" s="28">
        <v>0.0</v>
      </c>
      <c r="Q718" s="33"/>
      <c r="R718" s="11"/>
    </row>
    <row r="719" ht="15.75" customHeight="1">
      <c r="A719" s="13">
        <f t="shared" si="1"/>
        <v>718</v>
      </c>
      <c r="B719" s="15" t="s">
        <v>24</v>
      </c>
      <c r="C719" s="35" t="s">
        <v>1420</v>
      </c>
      <c r="D719" s="17" t="s">
        <v>46</v>
      </c>
      <c r="E719" s="17" t="s">
        <v>1174</v>
      </c>
      <c r="F719" s="23" t="s">
        <v>377</v>
      </c>
      <c r="G719" s="23" t="s">
        <v>1164</v>
      </c>
      <c r="H719" s="25" t="s">
        <v>37</v>
      </c>
      <c r="I719" s="30">
        <v>46261.0</v>
      </c>
      <c r="J719" s="17">
        <v>0.0</v>
      </c>
      <c r="K719" s="23" t="s">
        <v>57</v>
      </c>
      <c r="L719" s="28">
        <v>6100.0</v>
      </c>
      <c r="M719" s="28">
        <v>0.0</v>
      </c>
      <c r="N719" s="28">
        <v>0.0</v>
      </c>
      <c r="O719" s="28">
        <v>0.0</v>
      </c>
      <c r="P719" s="28">
        <v>0.0</v>
      </c>
      <c r="Q719" s="33"/>
      <c r="R719" s="11"/>
    </row>
    <row r="720" ht="15.75" customHeight="1">
      <c r="A720" s="13">
        <f t="shared" si="1"/>
        <v>719</v>
      </c>
      <c r="B720" s="15" t="s">
        <v>24</v>
      </c>
      <c r="C720" s="35" t="s">
        <v>1420</v>
      </c>
      <c r="D720" s="17" t="s">
        <v>87</v>
      </c>
      <c r="E720" s="17" t="s">
        <v>1179</v>
      </c>
      <c r="F720" s="36" t="s">
        <v>279</v>
      </c>
      <c r="G720" s="36" t="s">
        <v>280</v>
      </c>
      <c r="H720" s="25" t="s">
        <v>36</v>
      </c>
      <c r="I720" s="47">
        <v>46261.0</v>
      </c>
      <c r="J720" s="17">
        <v>0.0</v>
      </c>
      <c r="K720" s="23" t="s">
        <v>38</v>
      </c>
      <c r="L720" s="28">
        <v>20000.0</v>
      </c>
      <c r="M720" s="28">
        <v>0.0</v>
      </c>
      <c r="N720" s="28">
        <v>0.0</v>
      </c>
      <c r="O720" s="28">
        <v>0.0</v>
      </c>
      <c r="P720" s="28">
        <v>0.0</v>
      </c>
      <c r="Q720" s="33"/>
      <c r="R720" s="11"/>
    </row>
    <row r="721" ht="15.75" customHeight="1">
      <c r="A721" s="13">
        <f t="shared" si="1"/>
        <v>720</v>
      </c>
      <c r="B721" s="15" t="s">
        <v>24</v>
      </c>
      <c r="C721" s="35" t="s">
        <v>1420</v>
      </c>
      <c r="D721" s="17" t="s">
        <v>46</v>
      </c>
      <c r="E721" s="17" t="s">
        <v>1181</v>
      </c>
      <c r="F721" s="102" t="s">
        <v>84</v>
      </c>
      <c r="G721" s="102" t="s">
        <v>575</v>
      </c>
      <c r="H721" s="25" t="s">
        <v>36</v>
      </c>
      <c r="I721" s="30">
        <v>46261.0</v>
      </c>
      <c r="J721" s="17">
        <v>0.0</v>
      </c>
      <c r="K721" s="23" t="s">
        <v>57</v>
      </c>
      <c r="L721" s="28">
        <v>6000.0</v>
      </c>
      <c r="M721" s="28">
        <v>0.0</v>
      </c>
      <c r="N721" s="28">
        <v>0.0</v>
      </c>
      <c r="O721" s="28">
        <v>0.0</v>
      </c>
      <c r="P721" s="28">
        <v>0.0</v>
      </c>
      <c r="Q721" s="33"/>
      <c r="R721" s="11"/>
    </row>
    <row r="722" ht="15.75" customHeight="1">
      <c r="A722" s="13">
        <f t="shared" si="1"/>
        <v>721</v>
      </c>
      <c r="B722" s="15" t="s">
        <v>24</v>
      </c>
      <c r="C722" s="35" t="s">
        <v>1420</v>
      </c>
      <c r="D722" s="17" t="s">
        <v>46</v>
      </c>
      <c r="E722" s="17" t="s">
        <v>104</v>
      </c>
      <c r="F722" s="21" t="s">
        <v>40</v>
      </c>
      <c r="G722" s="21" t="s">
        <v>41</v>
      </c>
      <c r="H722" s="25" t="s">
        <v>36</v>
      </c>
      <c r="I722" s="30">
        <v>46268.0</v>
      </c>
      <c r="J722" s="17">
        <v>0.0</v>
      </c>
      <c r="K722" s="23" t="s">
        <v>57</v>
      </c>
      <c r="L722" s="28">
        <v>10000.0</v>
      </c>
      <c r="M722" s="28">
        <v>0.0</v>
      </c>
      <c r="N722" s="28">
        <v>0.0</v>
      </c>
      <c r="O722" s="28">
        <v>0.0</v>
      </c>
      <c r="P722" s="28">
        <v>0.0</v>
      </c>
      <c r="Q722" s="33"/>
      <c r="R722" s="11"/>
    </row>
    <row r="723" ht="15.75" customHeight="1">
      <c r="A723" s="13">
        <f t="shared" si="1"/>
        <v>722</v>
      </c>
      <c r="B723" s="15" t="s">
        <v>24</v>
      </c>
      <c r="C723" s="35" t="s">
        <v>1420</v>
      </c>
      <c r="D723" s="17" t="s">
        <v>46</v>
      </c>
      <c r="E723" s="17" t="s">
        <v>115</v>
      </c>
      <c r="F723" s="21" t="s">
        <v>116</v>
      </c>
      <c r="G723" s="21" t="s">
        <v>117</v>
      </c>
      <c r="H723" s="25" t="s">
        <v>36</v>
      </c>
      <c r="I723" s="30">
        <v>46268.0</v>
      </c>
      <c r="J723" s="17">
        <v>0.0</v>
      </c>
      <c r="K723" s="23" t="s">
        <v>57</v>
      </c>
      <c r="L723" s="28">
        <v>8000.0</v>
      </c>
      <c r="M723" s="28">
        <v>0.0</v>
      </c>
      <c r="N723" s="28">
        <v>0.0</v>
      </c>
      <c r="O723" s="28">
        <v>0.0</v>
      </c>
      <c r="P723" s="28">
        <v>0.0</v>
      </c>
      <c r="Q723" s="33"/>
      <c r="R723" s="11"/>
    </row>
    <row r="724" ht="15.75" customHeight="1">
      <c r="A724" s="13">
        <f t="shared" si="1"/>
        <v>723</v>
      </c>
      <c r="B724" s="15" t="s">
        <v>24</v>
      </c>
      <c r="C724" s="35" t="s">
        <v>1420</v>
      </c>
      <c r="D724" s="17" t="s">
        <v>46</v>
      </c>
      <c r="E724" s="17" t="s">
        <v>126</v>
      </c>
      <c r="F724" s="23" t="s">
        <v>33</v>
      </c>
      <c r="G724" s="23" t="s">
        <v>127</v>
      </c>
      <c r="H724" s="25" t="s">
        <v>36</v>
      </c>
      <c r="I724" s="30">
        <v>46268.0</v>
      </c>
      <c r="J724" s="17">
        <v>0.0</v>
      </c>
      <c r="K724" s="23" t="s">
        <v>57</v>
      </c>
      <c r="L724" s="28">
        <v>40000.0</v>
      </c>
      <c r="M724" s="28">
        <v>0.0</v>
      </c>
      <c r="N724" s="28">
        <v>0.0</v>
      </c>
      <c r="O724" s="28">
        <v>0.0</v>
      </c>
      <c r="P724" s="28">
        <v>0.0</v>
      </c>
      <c r="Q724" s="33"/>
      <c r="R724" s="11"/>
    </row>
    <row r="725" ht="15.75" customHeight="1">
      <c r="A725" s="13">
        <f t="shared" si="1"/>
        <v>724</v>
      </c>
      <c r="B725" s="15" t="s">
        <v>24</v>
      </c>
      <c r="C725" s="35" t="s">
        <v>1420</v>
      </c>
      <c r="D725" s="17" t="s">
        <v>46</v>
      </c>
      <c r="E725" s="17" t="s">
        <v>133</v>
      </c>
      <c r="F725" s="23" t="s">
        <v>91</v>
      </c>
      <c r="G725" s="58" t="s">
        <v>135</v>
      </c>
      <c r="H725" s="25" t="s">
        <v>36</v>
      </c>
      <c r="I725" s="30">
        <v>46268.0</v>
      </c>
      <c r="J725" s="17">
        <v>0.0</v>
      </c>
      <c r="K725" s="23" t="s">
        <v>57</v>
      </c>
      <c r="L725" s="28">
        <v>20000.0</v>
      </c>
      <c r="M725" s="28">
        <v>0.0</v>
      </c>
      <c r="N725" s="28">
        <v>0.0</v>
      </c>
      <c r="O725" s="28">
        <v>0.0</v>
      </c>
      <c r="P725" s="28">
        <v>0.0</v>
      </c>
      <c r="Q725" s="33"/>
      <c r="R725" s="11"/>
    </row>
    <row r="726" ht="15.75" customHeight="1">
      <c r="A726" s="13">
        <f t="shared" si="1"/>
        <v>725</v>
      </c>
      <c r="B726" s="15" t="s">
        <v>24</v>
      </c>
      <c r="C726" s="35" t="s">
        <v>1420</v>
      </c>
      <c r="D726" s="17" t="s">
        <v>46</v>
      </c>
      <c r="E726" s="17">
        <v>96170.0</v>
      </c>
      <c r="F726" s="23" t="s">
        <v>91</v>
      </c>
      <c r="G726" s="58" t="s">
        <v>135</v>
      </c>
      <c r="H726" s="25" t="s">
        <v>36</v>
      </c>
      <c r="I726" s="30">
        <v>46268.0</v>
      </c>
      <c r="J726" s="17">
        <v>0.0</v>
      </c>
      <c r="K726" s="23" t="s">
        <v>57</v>
      </c>
      <c r="L726" s="28">
        <v>20000.0</v>
      </c>
      <c r="M726" s="28">
        <v>0.0</v>
      </c>
      <c r="N726" s="28">
        <v>0.0</v>
      </c>
      <c r="O726" s="28">
        <v>0.0</v>
      </c>
      <c r="P726" s="28">
        <v>0.0</v>
      </c>
      <c r="Q726" s="33"/>
      <c r="R726" s="11"/>
    </row>
    <row r="727" ht="15.75" customHeight="1">
      <c r="A727" s="13">
        <f t="shared" si="1"/>
        <v>726</v>
      </c>
      <c r="B727" s="15" t="s">
        <v>24</v>
      </c>
      <c r="C727" s="35" t="s">
        <v>1420</v>
      </c>
      <c r="D727" s="17" t="s">
        <v>46</v>
      </c>
      <c r="E727" s="17" t="s">
        <v>154</v>
      </c>
      <c r="F727" s="36" t="s">
        <v>49</v>
      </c>
      <c r="G727" s="36" t="s">
        <v>54</v>
      </c>
      <c r="H727" s="23" t="s">
        <v>55</v>
      </c>
      <c r="I727" s="30">
        <v>46270.0</v>
      </c>
      <c r="J727" s="17">
        <v>0.0</v>
      </c>
      <c r="K727" s="23" t="s">
        <v>57</v>
      </c>
      <c r="L727" s="28">
        <v>5000.0</v>
      </c>
      <c r="M727" s="28">
        <v>0.0</v>
      </c>
      <c r="N727" s="28">
        <v>0.0</v>
      </c>
      <c r="O727" s="28">
        <v>0.0</v>
      </c>
      <c r="P727" s="28">
        <v>0.0</v>
      </c>
      <c r="Q727" s="33"/>
      <c r="R727" s="11"/>
    </row>
    <row r="728" ht="15.75" customHeight="1">
      <c r="A728" s="13">
        <f t="shared" si="1"/>
        <v>727</v>
      </c>
      <c r="B728" s="15" t="s">
        <v>24</v>
      </c>
      <c r="C728" s="35" t="s">
        <v>1420</v>
      </c>
      <c r="D728" s="17" t="s">
        <v>46</v>
      </c>
      <c r="E728" s="17" t="s">
        <v>167</v>
      </c>
      <c r="F728" s="36" t="s">
        <v>169</v>
      </c>
      <c r="G728" s="36" t="s">
        <v>170</v>
      </c>
      <c r="H728" s="14" t="s">
        <v>37</v>
      </c>
      <c r="I728" s="47">
        <v>46271.0</v>
      </c>
      <c r="J728" s="17">
        <v>0.0</v>
      </c>
      <c r="K728" s="22" t="s">
        <v>57</v>
      </c>
      <c r="L728" s="28">
        <v>3000.0</v>
      </c>
      <c r="M728" s="28">
        <v>0.0</v>
      </c>
      <c r="N728" s="28">
        <v>0.0</v>
      </c>
      <c r="O728" s="28">
        <v>0.0</v>
      </c>
      <c r="P728" s="28">
        <v>0.0</v>
      </c>
      <c r="Q728" s="33"/>
      <c r="R728" s="11"/>
    </row>
    <row r="729" ht="15.75" customHeight="1">
      <c r="A729" s="13">
        <f t="shared" si="1"/>
        <v>728</v>
      </c>
      <c r="B729" s="15" t="s">
        <v>24</v>
      </c>
      <c r="C729" s="35" t="s">
        <v>1420</v>
      </c>
      <c r="D729" s="17" t="s">
        <v>46</v>
      </c>
      <c r="E729" s="17" t="s">
        <v>1186</v>
      </c>
      <c r="F729" s="23" t="s">
        <v>356</v>
      </c>
      <c r="G729" s="23" t="s">
        <v>388</v>
      </c>
      <c r="H729" s="25" t="s">
        <v>36</v>
      </c>
      <c r="I729" s="30">
        <v>46263.0</v>
      </c>
      <c r="J729" s="17">
        <v>0.0</v>
      </c>
      <c r="K729" s="23" t="s">
        <v>57</v>
      </c>
      <c r="L729" s="28">
        <v>7500.0</v>
      </c>
      <c r="M729" s="28">
        <v>0.0</v>
      </c>
      <c r="N729" s="28">
        <v>0.0</v>
      </c>
      <c r="O729" s="28">
        <v>0.0</v>
      </c>
      <c r="P729" s="28">
        <v>0.0</v>
      </c>
      <c r="Q729" s="33"/>
      <c r="R729" s="11"/>
    </row>
    <row r="730" ht="15.75" customHeight="1">
      <c r="A730" s="13">
        <f t="shared" si="1"/>
        <v>729</v>
      </c>
      <c r="B730" s="15" t="s">
        <v>24</v>
      </c>
      <c r="C730" s="35" t="s">
        <v>1420</v>
      </c>
      <c r="D730" s="17" t="s">
        <v>46</v>
      </c>
      <c r="E730" s="17" t="s">
        <v>1188</v>
      </c>
      <c r="F730" s="36" t="s">
        <v>1189</v>
      </c>
      <c r="G730" s="36" t="s">
        <v>1190</v>
      </c>
      <c r="H730" s="25" t="s">
        <v>36</v>
      </c>
      <c r="I730" s="30">
        <v>46264.0</v>
      </c>
      <c r="J730" s="17">
        <v>0.0</v>
      </c>
      <c r="K730" s="23" t="s">
        <v>57</v>
      </c>
      <c r="L730" s="28">
        <v>11500.0</v>
      </c>
      <c r="M730" s="28">
        <v>0.0</v>
      </c>
      <c r="N730" s="28">
        <v>0.0</v>
      </c>
      <c r="O730" s="76">
        <v>0.0</v>
      </c>
      <c r="P730" s="77">
        <v>0.0</v>
      </c>
      <c r="Q730" s="33"/>
      <c r="R730" s="11"/>
    </row>
    <row r="731" ht="15.75" customHeight="1">
      <c r="A731" s="13">
        <f t="shared" si="1"/>
        <v>730</v>
      </c>
      <c r="B731" s="15" t="s">
        <v>24</v>
      </c>
      <c r="C731" s="35" t="s">
        <v>1420</v>
      </c>
      <c r="D731" s="17" t="s">
        <v>46</v>
      </c>
      <c r="E731" s="17" t="s">
        <v>1196</v>
      </c>
      <c r="F731" s="152" t="s">
        <v>51</v>
      </c>
      <c r="G731" s="65" t="s">
        <v>428</v>
      </c>
      <c r="H731" s="25" t="s">
        <v>36</v>
      </c>
      <c r="I731" s="30">
        <v>46265.0</v>
      </c>
      <c r="J731" s="17">
        <v>0.0</v>
      </c>
      <c r="K731" s="23" t="s">
        <v>57</v>
      </c>
      <c r="L731" s="28">
        <v>7000.0</v>
      </c>
      <c r="M731" s="28">
        <v>0.0</v>
      </c>
      <c r="N731" s="28">
        <v>0.0</v>
      </c>
      <c r="O731" s="28">
        <v>0.0</v>
      </c>
      <c r="P731" s="28">
        <v>0.0</v>
      </c>
      <c r="Q731" s="33"/>
      <c r="R731" s="11"/>
    </row>
    <row r="732" ht="15.75" customHeight="1">
      <c r="A732" s="13">
        <f t="shared" si="1"/>
        <v>731</v>
      </c>
      <c r="B732" s="15" t="s">
        <v>24</v>
      </c>
      <c r="C732" s="35" t="s">
        <v>1420</v>
      </c>
      <c r="D732" s="17" t="s">
        <v>182</v>
      </c>
      <c r="E732" s="17" t="s">
        <v>1198</v>
      </c>
      <c r="F732" s="23" t="s">
        <v>33</v>
      </c>
      <c r="G732" s="23" t="s">
        <v>35</v>
      </c>
      <c r="H732" s="25" t="s">
        <v>37</v>
      </c>
      <c r="I732" s="30">
        <v>46265.0</v>
      </c>
      <c r="J732" s="17">
        <v>3.0</v>
      </c>
      <c r="K732" s="23" t="s">
        <v>38</v>
      </c>
      <c r="L732" s="28">
        <v>50000.0</v>
      </c>
      <c r="M732" s="28">
        <v>0.0</v>
      </c>
      <c r="N732" s="28">
        <v>0.0</v>
      </c>
      <c r="O732" s="28">
        <v>0.0</v>
      </c>
      <c r="P732" s="28">
        <v>0.0</v>
      </c>
      <c r="Q732" s="33"/>
      <c r="R732" s="11"/>
    </row>
    <row r="733" ht="15.75" customHeight="1">
      <c r="A733" s="13">
        <f t="shared" si="1"/>
        <v>732</v>
      </c>
      <c r="B733" s="15" t="s">
        <v>24</v>
      </c>
      <c r="C733" s="35" t="s">
        <v>1420</v>
      </c>
      <c r="D733" s="17" t="s">
        <v>46</v>
      </c>
      <c r="E733" s="17" t="s">
        <v>1200</v>
      </c>
      <c r="F733" s="65" t="s">
        <v>84</v>
      </c>
      <c r="G733" s="65" t="s">
        <v>329</v>
      </c>
      <c r="H733" s="25" t="s">
        <v>36</v>
      </c>
      <c r="I733" s="30">
        <v>46265.0</v>
      </c>
      <c r="J733" s="17">
        <v>0.0</v>
      </c>
      <c r="K733" s="23" t="s">
        <v>57</v>
      </c>
      <c r="L733" s="28">
        <v>0.0</v>
      </c>
      <c r="M733" s="28">
        <v>8300.0</v>
      </c>
      <c r="N733" s="28">
        <v>0.0</v>
      </c>
      <c r="O733" s="28">
        <v>0.0</v>
      </c>
      <c r="P733" s="28">
        <v>0.0</v>
      </c>
      <c r="Q733" s="33"/>
      <c r="R733" s="11"/>
    </row>
    <row r="734" ht="15.75" customHeight="1">
      <c r="A734" s="13">
        <f t="shared" si="1"/>
        <v>733</v>
      </c>
      <c r="B734" s="15" t="s">
        <v>24</v>
      </c>
      <c r="C734" s="35" t="s">
        <v>1420</v>
      </c>
      <c r="D734" s="17" t="s">
        <v>182</v>
      </c>
      <c r="E734" s="17" t="s">
        <v>1203</v>
      </c>
      <c r="F734" s="21" t="s">
        <v>142</v>
      </c>
      <c r="G734" s="23" t="s">
        <v>1204</v>
      </c>
      <c r="H734" s="25" t="s">
        <v>36</v>
      </c>
      <c r="I734" s="30">
        <v>46265.0</v>
      </c>
      <c r="J734" s="17">
        <v>10.0</v>
      </c>
      <c r="K734" s="23" t="s">
        <v>38</v>
      </c>
      <c r="L734" s="28">
        <v>20000.0</v>
      </c>
      <c r="M734" s="28">
        <v>0.0</v>
      </c>
      <c r="N734" s="28">
        <v>0.0</v>
      </c>
      <c r="O734" s="28">
        <v>0.0</v>
      </c>
      <c r="P734" s="28">
        <v>0.0</v>
      </c>
      <c r="Q734" s="33"/>
      <c r="R734" s="11"/>
    </row>
    <row r="735" ht="15.75" customHeight="1">
      <c r="A735" s="13">
        <f t="shared" si="1"/>
        <v>734</v>
      </c>
      <c r="B735" s="15" t="s">
        <v>24</v>
      </c>
      <c r="C735" s="35" t="s">
        <v>1420</v>
      </c>
      <c r="D735" s="17" t="s">
        <v>87</v>
      </c>
      <c r="E735" s="17" t="s">
        <v>1206</v>
      </c>
      <c r="F735" s="23" t="s">
        <v>49</v>
      </c>
      <c r="G735" s="23" t="s">
        <v>383</v>
      </c>
      <c r="H735" s="25" t="s">
        <v>36</v>
      </c>
      <c r="I735" s="30">
        <v>46265.0</v>
      </c>
      <c r="J735" s="17">
        <v>2.0</v>
      </c>
      <c r="K735" s="23" t="s">
        <v>38</v>
      </c>
      <c r="L735" s="28">
        <v>70000.0</v>
      </c>
      <c r="M735" s="28">
        <v>0.0</v>
      </c>
      <c r="N735" s="28">
        <v>0.0</v>
      </c>
      <c r="O735" s="28">
        <v>0.0</v>
      </c>
      <c r="P735" s="28">
        <v>0.0</v>
      </c>
      <c r="Q735" s="33"/>
      <c r="R735" s="11"/>
    </row>
    <row r="736" ht="15.75" customHeight="1">
      <c r="A736" s="13">
        <f t="shared" si="1"/>
        <v>735</v>
      </c>
      <c r="B736" s="15" t="s">
        <v>24</v>
      </c>
      <c r="C736" s="35" t="s">
        <v>1420</v>
      </c>
      <c r="D736" s="17" t="s">
        <v>501</v>
      </c>
      <c r="E736" s="17" t="s">
        <v>1421</v>
      </c>
      <c r="F736" s="181" t="s">
        <v>82</v>
      </c>
      <c r="G736" s="201" t="s">
        <v>1422</v>
      </c>
      <c r="H736" s="25"/>
      <c r="I736" s="30"/>
      <c r="J736" s="15"/>
      <c r="K736" s="25"/>
      <c r="L736" s="28"/>
      <c r="M736" s="28"/>
      <c r="N736" s="28"/>
      <c r="O736" s="28"/>
      <c r="P736" s="28"/>
      <c r="Q736" s="33"/>
      <c r="R736" s="11"/>
    </row>
    <row r="737" ht="15.75" customHeight="1">
      <c r="A737" s="13">
        <f t="shared" si="1"/>
        <v>736</v>
      </c>
      <c r="B737" s="15" t="s">
        <v>24</v>
      </c>
      <c r="C737" s="35" t="s">
        <v>1420</v>
      </c>
      <c r="D737" s="17" t="s">
        <v>182</v>
      </c>
      <c r="E737" s="17" t="s">
        <v>1209</v>
      </c>
      <c r="F737" s="22" t="s">
        <v>142</v>
      </c>
      <c r="G737" s="22" t="s">
        <v>452</v>
      </c>
      <c r="H737" s="14" t="s">
        <v>37</v>
      </c>
      <c r="I737" s="47">
        <v>46265.0</v>
      </c>
      <c r="J737" s="18">
        <v>0.0</v>
      </c>
      <c r="K737" s="22" t="s">
        <v>38</v>
      </c>
      <c r="L737" s="29">
        <v>5000.0</v>
      </c>
      <c r="M737" s="28">
        <v>0.0</v>
      </c>
      <c r="N737" s="28">
        <v>0.0</v>
      </c>
      <c r="O737" s="28">
        <v>0.0</v>
      </c>
      <c r="P737" s="28">
        <v>0.0</v>
      </c>
      <c r="Q737" s="33"/>
      <c r="R737" s="11"/>
    </row>
    <row r="738" ht="15.75" customHeight="1">
      <c r="A738" s="13">
        <f t="shared" si="1"/>
        <v>737</v>
      </c>
      <c r="B738" s="15" t="s">
        <v>24</v>
      </c>
      <c r="C738" s="35" t="s">
        <v>1420</v>
      </c>
      <c r="D738" s="17" t="s">
        <v>58</v>
      </c>
      <c r="E738" s="17" t="s">
        <v>59</v>
      </c>
      <c r="F738" s="23" t="s">
        <v>60</v>
      </c>
      <c r="G738" s="23" t="s">
        <v>62</v>
      </c>
      <c r="H738" s="25" t="s">
        <v>36</v>
      </c>
      <c r="I738" s="47">
        <v>46266.0</v>
      </c>
      <c r="J738" s="17">
        <v>1.0</v>
      </c>
      <c r="K738" s="22" t="s">
        <v>38</v>
      </c>
      <c r="L738" s="28">
        <v>10000.0</v>
      </c>
      <c r="M738" s="28">
        <v>0.0</v>
      </c>
      <c r="N738" s="28">
        <v>0.0</v>
      </c>
      <c r="O738" s="28">
        <v>0.0</v>
      </c>
      <c r="P738" s="28">
        <v>0.0</v>
      </c>
      <c r="Q738" s="33"/>
      <c r="R738" s="11"/>
    </row>
    <row r="739" ht="15.75" customHeight="1">
      <c r="A739" s="13">
        <f t="shared" si="1"/>
        <v>738</v>
      </c>
      <c r="B739" s="15" t="s">
        <v>24</v>
      </c>
      <c r="C739" s="35" t="s">
        <v>1420</v>
      </c>
      <c r="D739" s="17" t="s">
        <v>58</v>
      </c>
      <c r="E739" s="17" t="s">
        <v>73</v>
      </c>
      <c r="F739" s="23" t="s">
        <v>60</v>
      </c>
      <c r="G739" s="23" t="s">
        <v>62</v>
      </c>
      <c r="H739" s="25" t="s">
        <v>36</v>
      </c>
      <c r="I739" s="47">
        <v>46266.0</v>
      </c>
      <c r="J739" s="17">
        <v>1.0</v>
      </c>
      <c r="K739" s="22" t="s">
        <v>38</v>
      </c>
      <c r="L739" s="28">
        <v>10000.0</v>
      </c>
      <c r="M739" s="28">
        <v>0.0</v>
      </c>
      <c r="N739" s="28">
        <v>0.0</v>
      </c>
      <c r="O739" s="28">
        <v>0.0</v>
      </c>
      <c r="P739" s="28">
        <v>0.0</v>
      </c>
      <c r="Q739" s="33"/>
      <c r="R739" s="11"/>
    </row>
    <row r="740" ht="15.75" customHeight="1">
      <c r="A740" s="13">
        <f t="shared" si="1"/>
        <v>739</v>
      </c>
      <c r="B740" s="15" t="s">
        <v>24</v>
      </c>
      <c r="C740" s="35" t="s">
        <v>1420</v>
      </c>
      <c r="D740" s="17" t="s">
        <v>46</v>
      </c>
      <c r="E740" s="17" t="s">
        <v>175</v>
      </c>
      <c r="F740" s="36" t="s">
        <v>169</v>
      </c>
      <c r="G740" s="36" t="s">
        <v>170</v>
      </c>
      <c r="H740" s="25" t="s">
        <v>36</v>
      </c>
      <c r="I740" s="47">
        <v>46271.0</v>
      </c>
      <c r="J740" s="17">
        <v>0.0</v>
      </c>
      <c r="K740" s="22" t="s">
        <v>57</v>
      </c>
      <c r="L740" s="28">
        <v>8500.0</v>
      </c>
      <c r="M740" s="28">
        <v>0.0</v>
      </c>
      <c r="N740" s="28">
        <v>0.0</v>
      </c>
      <c r="O740" s="28">
        <v>0.0</v>
      </c>
      <c r="P740" s="28">
        <v>0.0</v>
      </c>
      <c r="Q740" s="33"/>
      <c r="R740" s="11"/>
    </row>
    <row r="741" ht="15.75" customHeight="1">
      <c r="A741" s="13">
        <f t="shared" si="1"/>
        <v>740</v>
      </c>
      <c r="B741" s="15" t="s">
        <v>24</v>
      </c>
      <c r="C741" s="35" t="s">
        <v>1420</v>
      </c>
      <c r="D741" s="17" t="s">
        <v>58</v>
      </c>
      <c r="E741" s="17" t="s">
        <v>207</v>
      </c>
      <c r="F741" s="36" t="s">
        <v>60</v>
      </c>
      <c r="G741" s="36" t="s">
        <v>209</v>
      </c>
      <c r="H741" s="70" t="s">
        <v>212</v>
      </c>
      <c r="I741" s="30">
        <v>46272.0</v>
      </c>
      <c r="J741" s="17">
        <v>0.0</v>
      </c>
      <c r="K741" s="23" t="s">
        <v>38</v>
      </c>
      <c r="L741" s="28">
        <v>0.0</v>
      </c>
      <c r="M741" s="28">
        <v>0.0</v>
      </c>
      <c r="N741" s="28">
        <v>0.0</v>
      </c>
      <c r="O741" s="28">
        <v>0.0</v>
      </c>
      <c r="P741" s="28">
        <v>50000.0</v>
      </c>
      <c r="Q741" s="30">
        <v>46272.0</v>
      </c>
      <c r="R741" s="11"/>
    </row>
    <row r="742" ht="15.75" customHeight="1">
      <c r="A742" s="13">
        <f t="shared" si="1"/>
        <v>741</v>
      </c>
      <c r="B742" s="15" t="s">
        <v>24</v>
      </c>
      <c r="C742" s="35" t="s">
        <v>1420</v>
      </c>
      <c r="D742" s="17" t="s">
        <v>46</v>
      </c>
      <c r="E742" s="17" t="s">
        <v>222</v>
      </c>
      <c r="F742" s="23" t="s">
        <v>223</v>
      </c>
      <c r="G742" s="23" t="s">
        <v>224</v>
      </c>
      <c r="H742" s="25" t="s">
        <v>36</v>
      </c>
      <c r="I742" s="30">
        <v>46272.0</v>
      </c>
      <c r="J742" s="17">
        <v>0.0</v>
      </c>
      <c r="K742" s="23" t="s">
        <v>57</v>
      </c>
      <c r="L742" s="28">
        <v>0.0</v>
      </c>
      <c r="M742" s="28">
        <v>8000.0</v>
      </c>
      <c r="N742" s="28">
        <v>0.0</v>
      </c>
      <c r="O742" s="28">
        <v>0.0</v>
      </c>
      <c r="P742" s="28">
        <v>0.0</v>
      </c>
      <c r="Q742" s="33"/>
      <c r="R742" s="11"/>
    </row>
    <row r="743" ht="15.75" customHeight="1">
      <c r="A743" s="13">
        <f t="shared" si="1"/>
        <v>742</v>
      </c>
      <c r="B743" s="15" t="s">
        <v>24</v>
      </c>
      <c r="C743" s="35" t="s">
        <v>1420</v>
      </c>
      <c r="D743" s="17" t="s">
        <v>46</v>
      </c>
      <c r="E743" s="17" t="s">
        <v>232</v>
      </c>
      <c r="F743" s="23" t="s">
        <v>33</v>
      </c>
      <c r="G743" s="23" t="s">
        <v>233</v>
      </c>
      <c r="H743" s="25" t="s">
        <v>37</v>
      </c>
      <c r="I743" s="30">
        <v>46272.0</v>
      </c>
      <c r="J743" s="17">
        <v>0.0</v>
      </c>
      <c r="K743" s="23" t="s">
        <v>57</v>
      </c>
      <c r="L743" s="28">
        <v>30000.0</v>
      </c>
      <c r="M743" s="28">
        <v>0.0</v>
      </c>
      <c r="N743" s="28">
        <v>0.0</v>
      </c>
      <c r="O743" s="28">
        <v>0.0</v>
      </c>
      <c r="P743" s="28">
        <v>0.0</v>
      </c>
      <c r="Q743" s="33"/>
      <c r="R743" s="11"/>
    </row>
    <row r="744" ht="15.75" customHeight="1">
      <c r="A744" s="13">
        <f t="shared" si="1"/>
        <v>743</v>
      </c>
      <c r="B744" s="15" t="s">
        <v>24</v>
      </c>
      <c r="C744" s="35" t="s">
        <v>1420</v>
      </c>
      <c r="D744" s="17" t="s">
        <v>182</v>
      </c>
      <c r="E744" s="17" t="s">
        <v>248</v>
      </c>
      <c r="F744" s="23" t="s">
        <v>142</v>
      </c>
      <c r="G744" s="23" t="s">
        <v>250</v>
      </c>
      <c r="H744" s="25" t="s">
        <v>36</v>
      </c>
      <c r="I744" s="30">
        <v>46273.0</v>
      </c>
      <c r="J744" s="17">
        <v>1.0</v>
      </c>
      <c r="K744" s="23" t="s">
        <v>38</v>
      </c>
      <c r="L744" s="28">
        <v>50000.0</v>
      </c>
      <c r="M744" s="28">
        <v>0.0</v>
      </c>
      <c r="N744" s="28">
        <v>0.0</v>
      </c>
      <c r="O744" s="28">
        <v>0.0</v>
      </c>
      <c r="P744" s="28">
        <v>0.0</v>
      </c>
      <c r="Q744" s="33"/>
      <c r="R744" s="11"/>
    </row>
    <row r="745" ht="15.75" customHeight="1">
      <c r="A745" s="13">
        <f t="shared" si="1"/>
        <v>744</v>
      </c>
      <c r="B745" s="15" t="s">
        <v>24</v>
      </c>
      <c r="C745" s="35" t="s">
        <v>1420</v>
      </c>
      <c r="D745" s="17" t="s">
        <v>87</v>
      </c>
      <c r="E745" s="17" t="s">
        <v>278</v>
      </c>
      <c r="F745" s="36" t="s">
        <v>279</v>
      </c>
      <c r="G745" s="36" t="s">
        <v>280</v>
      </c>
      <c r="H745" s="25" t="s">
        <v>36</v>
      </c>
      <c r="I745" s="47">
        <v>46275.0</v>
      </c>
      <c r="J745" s="17">
        <v>0.0</v>
      </c>
      <c r="K745" s="23" t="s">
        <v>38</v>
      </c>
      <c r="L745" s="28">
        <v>30000.0</v>
      </c>
      <c r="M745" s="28">
        <v>0.0</v>
      </c>
      <c r="N745" s="28">
        <v>0.0</v>
      </c>
      <c r="O745" s="28">
        <v>0.0</v>
      </c>
      <c r="P745" s="28">
        <v>0.0</v>
      </c>
      <c r="Q745" s="33"/>
      <c r="R745" s="11"/>
    </row>
    <row r="746" ht="15.75" customHeight="1">
      <c r="A746" s="13">
        <f t="shared" si="1"/>
        <v>745</v>
      </c>
      <c r="B746" s="15" t="s">
        <v>24</v>
      </c>
      <c r="C746" s="35" t="s">
        <v>1420</v>
      </c>
      <c r="D746" s="17" t="s">
        <v>46</v>
      </c>
      <c r="E746" s="17" t="s">
        <v>1423</v>
      </c>
      <c r="F746" s="21" t="s">
        <v>51</v>
      </c>
      <c r="G746" s="21" t="s">
        <v>259</v>
      </c>
      <c r="H746" s="25" t="s">
        <v>36</v>
      </c>
      <c r="I746" s="30">
        <v>46274.0</v>
      </c>
      <c r="J746" s="17">
        <v>0.0</v>
      </c>
      <c r="K746" s="23" t="s">
        <v>57</v>
      </c>
      <c r="L746" s="28">
        <v>5000.0</v>
      </c>
      <c r="M746" s="28">
        <v>0.0</v>
      </c>
      <c r="N746" s="28">
        <v>0.0</v>
      </c>
      <c r="O746" s="28">
        <v>0.0</v>
      </c>
      <c r="P746" s="28">
        <v>0.0</v>
      </c>
      <c r="Q746" s="33"/>
      <c r="R746" s="11"/>
    </row>
    <row r="747" ht="15.75" customHeight="1">
      <c r="A747" s="13">
        <f t="shared" si="1"/>
        <v>746</v>
      </c>
      <c r="B747" s="15" t="s">
        <v>24</v>
      </c>
      <c r="C747" s="35" t="s">
        <v>1420</v>
      </c>
      <c r="D747" s="17" t="s">
        <v>87</v>
      </c>
      <c r="E747" s="17" t="s">
        <v>263</v>
      </c>
      <c r="F747" s="66" t="s">
        <v>49</v>
      </c>
      <c r="G747" s="66" t="s">
        <v>265</v>
      </c>
      <c r="H747" s="25" t="s">
        <v>36</v>
      </c>
      <c r="I747" s="30">
        <v>46274.0</v>
      </c>
      <c r="J747" s="17">
        <v>0.0</v>
      </c>
      <c r="K747" s="23" t="s">
        <v>38</v>
      </c>
      <c r="L747" s="28">
        <v>20000.0</v>
      </c>
      <c r="M747" s="28">
        <v>0.0</v>
      </c>
      <c r="N747" s="28">
        <v>0.0</v>
      </c>
      <c r="O747" s="28">
        <v>0.0</v>
      </c>
      <c r="P747" s="28">
        <v>0.0</v>
      </c>
      <c r="Q747" s="33"/>
      <c r="R747" s="11"/>
    </row>
    <row r="748" ht="15.75" customHeight="1">
      <c r="A748" s="13">
        <f t="shared" si="1"/>
        <v>747</v>
      </c>
      <c r="B748" s="15" t="s">
        <v>24</v>
      </c>
      <c r="C748" s="35" t="s">
        <v>1420</v>
      </c>
      <c r="D748" s="17" t="s">
        <v>46</v>
      </c>
      <c r="E748" s="17" t="s">
        <v>287</v>
      </c>
      <c r="F748" s="21" t="s">
        <v>180</v>
      </c>
      <c r="G748" s="21" t="s">
        <v>288</v>
      </c>
      <c r="H748" s="25" t="s">
        <v>36</v>
      </c>
      <c r="I748" s="30">
        <v>46275.0</v>
      </c>
      <c r="J748" s="17">
        <v>0.0</v>
      </c>
      <c r="K748" s="23" t="s">
        <v>57</v>
      </c>
      <c r="L748" s="28">
        <v>9000.0</v>
      </c>
      <c r="M748" s="28">
        <v>0.0</v>
      </c>
      <c r="N748" s="28">
        <v>0.0</v>
      </c>
      <c r="O748" s="28">
        <v>0.0</v>
      </c>
      <c r="P748" s="28">
        <v>0.0</v>
      </c>
      <c r="Q748" s="33"/>
      <c r="R748" s="11"/>
    </row>
    <row r="749" ht="15.75" customHeight="1">
      <c r="A749" s="13">
        <f t="shared" si="1"/>
        <v>748</v>
      </c>
      <c r="B749" s="15" t="s">
        <v>24</v>
      </c>
      <c r="C749" s="35" t="s">
        <v>1420</v>
      </c>
      <c r="D749" s="17" t="s">
        <v>46</v>
      </c>
      <c r="E749" s="17" t="s">
        <v>292</v>
      </c>
      <c r="F749" s="21" t="s">
        <v>293</v>
      </c>
      <c r="G749" s="36" t="s">
        <v>294</v>
      </c>
      <c r="H749" s="14" t="s">
        <v>37</v>
      </c>
      <c r="I749" s="30">
        <v>46275.0</v>
      </c>
      <c r="J749" s="18">
        <v>0.0</v>
      </c>
      <c r="K749" s="22" t="s">
        <v>57</v>
      </c>
      <c r="L749" s="29">
        <v>3100.0</v>
      </c>
      <c r="M749" s="28">
        <v>0.0</v>
      </c>
      <c r="N749" s="28">
        <v>0.0</v>
      </c>
      <c r="O749" s="28">
        <v>0.0</v>
      </c>
      <c r="P749" s="28">
        <v>0.0</v>
      </c>
      <c r="Q749" s="33"/>
      <c r="R749" s="11"/>
    </row>
    <row r="750" ht="15.75" customHeight="1">
      <c r="A750" s="13">
        <f t="shared" si="1"/>
        <v>749</v>
      </c>
      <c r="B750" s="15" t="s">
        <v>24</v>
      </c>
      <c r="C750" s="35" t="s">
        <v>1420</v>
      </c>
      <c r="D750" s="17" t="s">
        <v>46</v>
      </c>
      <c r="E750" s="17" t="s">
        <v>313</v>
      </c>
      <c r="F750" s="21" t="s">
        <v>191</v>
      </c>
      <c r="G750" s="21" t="s">
        <v>316</v>
      </c>
      <c r="H750" s="14" t="s">
        <v>36</v>
      </c>
      <c r="I750" s="30">
        <v>46277.0</v>
      </c>
      <c r="J750" s="18">
        <v>0.0</v>
      </c>
      <c r="K750" s="22" t="s">
        <v>57</v>
      </c>
      <c r="L750" s="29">
        <v>10000.0</v>
      </c>
      <c r="M750" s="28">
        <v>0.0</v>
      </c>
      <c r="N750" s="28">
        <v>0.0</v>
      </c>
      <c r="O750" s="28">
        <v>0.0</v>
      </c>
      <c r="P750" s="28">
        <v>0.0</v>
      </c>
      <c r="Q750" s="33"/>
      <c r="R750" s="11"/>
    </row>
    <row r="751" ht="15.75" customHeight="1">
      <c r="A751" s="13">
        <f t="shared" si="1"/>
        <v>750</v>
      </c>
      <c r="B751" s="15" t="s">
        <v>24</v>
      </c>
      <c r="C751" s="35" t="s">
        <v>1420</v>
      </c>
      <c r="D751" s="17" t="s">
        <v>46</v>
      </c>
      <c r="E751" s="17" t="s">
        <v>321</v>
      </c>
      <c r="F751" s="71" t="s">
        <v>84</v>
      </c>
      <c r="G751" s="72" t="s">
        <v>324</v>
      </c>
      <c r="H751" s="25" t="s">
        <v>36</v>
      </c>
      <c r="I751" s="32">
        <v>46278.0</v>
      </c>
      <c r="J751" s="17">
        <v>0.0</v>
      </c>
      <c r="K751" s="25" t="s">
        <v>57</v>
      </c>
      <c r="L751" s="28">
        <v>0.0</v>
      </c>
      <c r="M751" s="28">
        <v>15000.0</v>
      </c>
      <c r="N751" s="28">
        <v>0.0</v>
      </c>
      <c r="O751" s="28">
        <v>0.0</v>
      </c>
      <c r="P751" s="28">
        <v>0.0</v>
      </c>
      <c r="Q751" s="33"/>
      <c r="R751" s="11"/>
    </row>
    <row r="752" ht="15.75" customHeight="1">
      <c r="A752" s="13">
        <f t="shared" si="1"/>
        <v>751</v>
      </c>
      <c r="B752" s="15" t="s">
        <v>24</v>
      </c>
      <c r="C752" s="35" t="s">
        <v>1420</v>
      </c>
      <c r="D752" s="17" t="s">
        <v>87</v>
      </c>
      <c r="E752" s="17" t="s">
        <v>357</v>
      </c>
      <c r="F752" s="23" t="s">
        <v>223</v>
      </c>
      <c r="G752" s="23" t="s">
        <v>359</v>
      </c>
      <c r="H752" s="25" t="s">
        <v>36</v>
      </c>
      <c r="I752" s="32">
        <v>46279.0</v>
      </c>
      <c r="J752" s="17">
        <v>1.0</v>
      </c>
      <c r="K752" s="23" t="s">
        <v>38</v>
      </c>
      <c r="L752" s="28">
        <v>10000.0</v>
      </c>
      <c r="M752" s="28">
        <v>0.0</v>
      </c>
      <c r="N752" s="28">
        <v>0.0</v>
      </c>
      <c r="O752" s="28">
        <v>0.0</v>
      </c>
      <c r="P752" s="28">
        <v>0.0</v>
      </c>
      <c r="Q752" s="33"/>
      <c r="R752" s="11"/>
    </row>
    <row r="753" ht="15.75" customHeight="1">
      <c r="A753" s="13">
        <f t="shared" si="1"/>
        <v>752</v>
      </c>
      <c r="B753" s="15" t="s">
        <v>24</v>
      </c>
      <c r="C753" s="35" t="s">
        <v>1420</v>
      </c>
      <c r="D753" s="17" t="s">
        <v>46</v>
      </c>
      <c r="E753" s="17" t="s">
        <v>332</v>
      </c>
      <c r="F753" s="72" t="s">
        <v>272</v>
      </c>
      <c r="G753" s="72" t="s">
        <v>274</v>
      </c>
      <c r="H753" s="25" t="s">
        <v>36</v>
      </c>
      <c r="I753" s="30">
        <v>46278.0</v>
      </c>
      <c r="J753" s="17">
        <v>0.0</v>
      </c>
      <c r="K753" s="23" t="s">
        <v>57</v>
      </c>
      <c r="L753" s="28">
        <v>5000.0</v>
      </c>
      <c r="M753" s="28">
        <v>0.0</v>
      </c>
      <c r="N753" s="28">
        <v>0.0</v>
      </c>
      <c r="O753" s="28">
        <v>0.0</v>
      </c>
      <c r="P753" s="28">
        <v>0.0</v>
      </c>
      <c r="Q753" s="33"/>
      <c r="R753" s="11"/>
    </row>
    <row r="754" ht="15.75" customHeight="1">
      <c r="A754" s="13">
        <f t="shared" si="1"/>
        <v>753</v>
      </c>
      <c r="B754" s="15" t="s">
        <v>24</v>
      </c>
      <c r="C754" s="35" t="s">
        <v>1420</v>
      </c>
      <c r="D754" s="17" t="s">
        <v>46</v>
      </c>
      <c r="E754" s="17" t="s">
        <v>337</v>
      </c>
      <c r="F754" s="51" t="s">
        <v>91</v>
      </c>
      <c r="G754" s="51" t="s">
        <v>338</v>
      </c>
      <c r="H754" s="23" t="s">
        <v>55</v>
      </c>
      <c r="I754" s="30">
        <v>46278.0</v>
      </c>
      <c r="J754" s="17">
        <v>0.0</v>
      </c>
      <c r="K754" s="23" t="s">
        <v>57</v>
      </c>
      <c r="L754" s="28">
        <v>12000.0</v>
      </c>
      <c r="M754" s="28">
        <v>0.0</v>
      </c>
      <c r="N754" s="28">
        <v>0.0</v>
      </c>
      <c r="O754" s="28">
        <v>0.0</v>
      </c>
      <c r="P754" s="28">
        <v>0.0</v>
      </c>
      <c r="Q754" s="33"/>
      <c r="R754" s="11"/>
    </row>
    <row r="755" ht="15.75" customHeight="1">
      <c r="A755" s="13">
        <f t="shared" si="1"/>
        <v>754</v>
      </c>
      <c r="B755" s="15" t="s">
        <v>24</v>
      </c>
      <c r="C755" s="35" t="s">
        <v>1420</v>
      </c>
      <c r="D755" s="17" t="s">
        <v>46</v>
      </c>
      <c r="E755" s="17" t="s">
        <v>344</v>
      </c>
      <c r="F755" s="51" t="s">
        <v>91</v>
      </c>
      <c r="G755" s="51" t="s">
        <v>338</v>
      </c>
      <c r="H755" s="23" t="s">
        <v>55</v>
      </c>
      <c r="I755" s="30">
        <v>46278.0</v>
      </c>
      <c r="J755" s="17">
        <v>0.0</v>
      </c>
      <c r="K755" s="23" t="s">
        <v>57</v>
      </c>
      <c r="L755" s="28">
        <v>12000.0</v>
      </c>
      <c r="M755" s="28">
        <v>0.0</v>
      </c>
      <c r="N755" s="28">
        <v>0.0</v>
      </c>
      <c r="O755" s="28">
        <v>0.0</v>
      </c>
      <c r="P755" s="28">
        <v>0.0</v>
      </c>
      <c r="Q755" s="33"/>
      <c r="R755" s="11"/>
    </row>
    <row r="756" ht="15.75" customHeight="1">
      <c r="A756" s="13">
        <f t="shared" si="1"/>
        <v>755</v>
      </c>
      <c r="B756" s="15" t="s">
        <v>24</v>
      </c>
      <c r="C756" s="35" t="s">
        <v>1420</v>
      </c>
      <c r="D756" s="17" t="s">
        <v>46</v>
      </c>
      <c r="E756" s="17" t="s">
        <v>366</v>
      </c>
      <c r="F756" s="21" t="s">
        <v>44</v>
      </c>
      <c r="G756" s="21" t="s">
        <v>45</v>
      </c>
      <c r="H756" s="25" t="s">
        <v>36</v>
      </c>
      <c r="I756" s="32">
        <v>46279.0</v>
      </c>
      <c r="J756" s="17">
        <v>0.0</v>
      </c>
      <c r="K756" s="23" t="s">
        <v>57</v>
      </c>
      <c r="L756" s="28">
        <v>8000.0</v>
      </c>
      <c r="M756" s="28">
        <v>0.0</v>
      </c>
      <c r="N756" s="28">
        <v>0.0</v>
      </c>
      <c r="O756" s="28">
        <v>0.0</v>
      </c>
      <c r="P756" s="28">
        <v>0.0</v>
      </c>
      <c r="Q756" s="33"/>
      <c r="R756" s="11"/>
    </row>
    <row r="757" ht="15.75" customHeight="1">
      <c r="A757" s="13">
        <f t="shared" si="1"/>
        <v>756</v>
      </c>
      <c r="B757" s="15" t="s">
        <v>24</v>
      </c>
      <c r="C757" s="17">
        <v>1928.0</v>
      </c>
      <c r="D757" s="17" t="s">
        <v>46</v>
      </c>
      <c r="E757" s="35" t="s">
        <v>373</v>
      </c>
      <c r="F757" s="21" t="s">
        <v>44</v>
      </c>
      <c r="G757" s="21" t="s">
        <v>45</v>
      </c>
      <c r="H757" s="25" t="s">
        <v>36</v>
      </c>
      <c r="I757" s="32">
        <v>46279.0</v>
      </c>
      <c r="J757" s="17">
        <v>0.0</v>
      </c>
      <c r="K757" s="23" t="s">
        <v>57</v>
      </c>
      <c r="L757" s="28">
        <v>10000.0</v>
      </c>
      <c r="M757" s="28">
        <v>0.0</v>
      </c>
      <c r="N757" s="28">
        <v>0.0</v>
      </c>
      <c r="O757" s="28">
        <v>0.0</v>
      </c>
      <c r="P757" s="28">
        <v>0.0</v>
      </c>
      <c r="Q757" s="33"/>
      <c r="R757" s="11"/>
    </row>
    <row r="758" ht="15.75" customHeight="1">
      <c r="A758" s="13">
        <f t="shared" si="1"/>
        <v>757</v>
      </c>
      <c r="B758" s="15" t="s">
        <v>24</v>
      </c>
      <c r="C758" s="17">
        <v>1928.0</v>
      </c>
      <c r="D758" s="17" t="s">
        <v>87</v>
      </c>
      <c r="E758" s="17" t="s">
        <v>382</v>
      </c>
      <c r="F758" s="23" t="s">
        <v>49</v>
      </c>
      <c r="G758" s="23" t="s">
        <v>383</v>
      </c>
      <c r="H758" s="25" t="s">
        <v>36</v>
      </c>
      <c r="I758" s="30">
        <v>46281.0</v>
      </c>
      <c r="J758" s="17">
        <v>0.0</v>
      </c>
      <c r="K758" s="23" t="s">
        <v>38</v>
      </c>
      <c r="L758" s="28">
        <v>100000.0</v>
      </c>
      <c r="M758" s="28">
        <v>0.0</v>
      </c>
      <c r="N758" s="28">
        <v>0.0</v>
      </c>
      <c r="O758" s="28">
        <v>0.0</v>
      </c>
      <c r="P758" s="28">
        <v>0.0</v>
      </c>
      <c r="Q758" s="33"/>
      <c r="R758" s="11"/>
    </row>
    <row r="759" ht="15.75" customHeight="1">
      <c r="A759" s="13">
        <f t="shared" si="1"/>
        <v>758</v>
      </c>
      <c r="B759" s="15" t="s">
        <v>24</v>
      </c>
      <c r="C759" s="17">
        <v>1928.0</v>
      </c>
      <c r="D759" s="17" t="s">
        <v>46</v>
      </c>
      <c r="E759" s="17" t="s">
        <v>390</v>
      </c>
      <c r="F759" s="21" t="s">
        <v>60</v>
      </c>
      <c r="G759" s="21" t="s">
        <v>161</v>
      </c>
      <c r="H759" s="25" t="s">
        <v>36</v>
      </c>
      <c r="I759" s="30">
        <v>46281.0</v>
      </c>
      <c r="J759" s="17">
        <v>0.0</v>
      </c>
      <c r="K759" s="23" t="s">
        <v>57</v>
      </c>
      <c r="L759" s="28">
        <v>7300.0</v>
      </c>
      <c r="M759" s="28">
        <v>0.0</v>
      </c>
      <c r="N759" s="28">
        <v>0.0</v>
      </c>
      <c r="O759" s="28">
        <v>0.0</v>
      </c>
      <c r="P759" s="28">
        <v>0.0</v>
      </c>
      <c r="Q759" s="33"/>
      <c r="R759" s="11"/>
    </row>
    <row r="760" ht="15.75" customHeight="1">
      <c r="A760" s="13">
        <f t="shared" si="1"/>
        <v>759</v>
      </c>
      <c r="B760" s="15" t="s">
        <v>24</v>
      </c>
      <c r="C760" s="17">
        <v>1928.0</v>
      </c>
      <c r="D760" s="17" t="s">
        <v>46</v>
      </c>
      <c r="E760" s="17" t="s">
        <v>396</v>
      </c>
      <c r="F760" s="51" t="s">
        <v>91</v>
      </c>
      <c r="G760" s="23" t="s">
        <v>397</v>
      </c>
      <c r="H760" s="25" t="s">
        <v>36</v>
      </c>
      <c r="I760" s="30">
        <v>46281.0</v>
      </c>
      <c r="J760" s="17">
        <v>0.0</v>
      </c>
      <c r="K760" s="23" t="s">
        <v>57</v>
      </c>
      <c r="L760" s="28">
        <v>24600.0</v>
      </c>
      <c r="M760" s="28">
        <v>0.0</v>
      </c>
      <c r="N760" s="28">
        <v>0.0</v>
      </c>
      <c r="O760" s="28">
        <v>0.0</v>
      </c>
      <c r="P760" s="28">
        <v>0.0</v>
      </c>
      <c r="Q760" s="33"/>
      <c r="R760" s="11"/>
    </row>
    <row r="761" ht="15.75" customHeight="1">
      <c r="A761" s="13">
        <f t="shared" si="1"/>
        <v>760</v>
      </c>
      <c r="B761" s="15" t="s">
        <v>24</v>
      </c>
      <c r="C761" s="17">
        <v>1928.0</v>
      </c>
      <c r="D761" s="17" t="s">
        <v>46</v>
      </c>
      <c r="E761" s="17" t="s">
        <v>401</v>
      </c>
      <c r="F761" s="51" t="s">
        <v>91</v>
      </c>
      <c r="G761" s="23" t="s">
        <v>397</v>
      </c>
      <c r="H761" s="25" t="s">
        <v>36</v>
      </c>
      <c r="I761" s="30">
        <v>46281.0</v>
      </c>
      <c r="J761" s="17">
        <v>0.0</v>
      </c>
      <c r="K761" s="23" t="s">
        <v>57</v>
      </c>
      <c r="L761" s="28">
        <v>24600.0</v>
      </c>
      <c r="M761" s="28">
        <v>0.0</v>
      </c>
      <c r="N761" s="28">
        <v>0.0</v>
      </c>
      <c r="O761" s="28">
        <v>0.0</v>
      </c>
      <c r="P761" s="28">
        <v>0.0</v>
      </c>
      <c r="Q761" s="33"/>
      <c r="R761" s="11"/>
    </row>
    <row r="762" ht="15.75" customHeight="1">
      <c r="A762" s="13">
        <f t="shared" si="1"/>
        <v>761</v>
      </c>
      <c r="B762" s="15" t="s">
        <v>24</v>
      </c>
      <c r="C762" s="17">
        <v>1928.0</v>
      </c>
      <c r="D762" s="17" t="s">
        <v>46</v>
      </c>
      <c r="E762" s="17" t="s">
        <v>405</v>
      </c>
      <c r="F762" s="51" t="s">
        <v>91</v>
      </c>
      <c r="G762" s="23" t="s">
        <v>397</v>
      </c>
      <c r="H762" s="25" t="s">
        <v>36</v>
      </c>
      <c r="I762" s="30">
        <v>46281.0</v>
      </c>
      <c r="J762" s="17">
        <v>0.0</v>
      </c>
      <c r="K762" s="23" t="s">
        <v>57</v>
      </c>
      <c r="L762" s="28">
        <v>24600.0</v>
      </c>
      <c r="M762" s="28">
        <v>0.0</v>
      </c>
      <c r="N762" s="28">
        <v>0.0</v>
      </c>
      <c r="O762" s="28">
        <v>0.0</v>
      </c>
      <c r="P762" s="28">
        <v>0.0</v>
      </c>
      <c r="Q762" s="33"/>
      <c r="R762" s="11"/>
    </row>
    <row r="763" ht="15.75" customHeight="1">
      <c r="A763" s="13">
        <f t="shared" si="1"/>
        <v>762</v>
      </c>
      <c r="B763" s="15" t="s">
        <v>24</v>
      </c>
      <c r="C763" s="17">
        <v>1928.0</v>
      </c>
      <c r="D763" s="17" t="s">
        <v>46</v>
      </c>
      <c r="E763" s="17" t="s">
        <v>410</v>
      </c>
      <c r="F763" s="51" t="s">
        <v>91</v>
      </c>
      <c r="G763" s="23" t="s">
        <v>411</v>
      </c>
      <c r="H763" s="25" t="s">
        <v>36</v>
      </c>
      <c r="I763" s="30">
        <v>46281.0</v>
      </c>
      <c r="J763" s="17">
        <v>0.0</v>
      </c>
      <c r="K763" s="23" t="s">
        <v>57</v>
      </c>
      <c r="L763" s="28">
        <v>24600.0</v>
      </c>
      <c r="M763" s="28">
        <v>0.0</v>
      </c>
      <c r="N763" s="28">
        <v>0.0</v>
      </c>
      <c r="O763" s="28">
        <v>0.0</v>
      </c>
      <c r="P763" s="28">
        <v>0.0</v>
      </c>
      <c r="Q763" s="33"/>
      <c r="R763" s="11"/>
    </row>
    <row r="764" ht="15.75" customHeight="1">
      <c r="A764" s="13">
        <f t="shared" si="1"/>
        <v>763</v>
      </c>
      <c r="B764" s="15" t="s">
        <v>24</v>
      </c>
      <c r="C764" s="17">
        <v>1928.0</v>
      </c>
      <c r="D764" s="17" t="s">
        <v>46</v>
      </c>
      <c r="E764" s="17" t="s">
        <v>417</v>
      </c>
      <c r="F764" s="51" t="s">
        <v>91</v>
      </c>
      <c r="G764" s="23" t="s">
        <v>411</v>
      </c>
      <c r="H764" s="25" t="s">
        <v>36</v>
      </c>
      <c r="I764" s="30">
        <v>46281.0</v>
      </c>
      <c r="J764" s="17">
        <v>0.0</v>
      </c>
      <c r="K764" s="23" t="s">
        <v>57</v>
      </c>
      <c r="L764" s="28">
        <v>24600.0</v>
      </c>
      <c r="M764" s="28">
        <v>0.0</v>
      </c>
      <c r="N764" s="28">
        <v>0.0</v>
      </c>
      <c r="O764" s="28">
        <v>0.0</v>
      </c>
      <c r="P764" s="28">
        <v>0.0</v>
      </c>
      <c r="Q764" s="33"/>
      <c r="R764" s="11"/>
    </row>
    <row r="765" ht="15.75" customHeight="1">
      <c r="A765" s="13">
        <f t="shared" si="1"/>
        <v>764</v>
      </c>
      <c r="B765" s="15" t="s">
        <v>24</v>
      </c>
      <c r="C765" s="17">
        <v>1928.0</v>
      </c>
      <c r="D765" s="17" t="s">
        <v>87</v>
      </c>
      <c r="E765" s="17" t="s">
        <v>422</v>
      </c>
      <c r="F765" s="23" t="s">
        <v>91</v>
      </c>
      <c r="G765" s="23" t="s">
        <v>423</v>
      </c>
      <c r="H765" s="25" t="s">
        <v>36</v>
      </c>
      <c r="I765" s="30">
        <v>46281.0</v>
      </c>
      <c r="J765" s="17">
        <v>0.0</v>
      </c>
      <c r="K765" s="23" t="s">
        <v>38</v>
      </c>
      <c r="L765" s="28">
        <v>20000.0</v>
      </c>
      <c r="M765" s="28">
        <v>0.0</v>
      </c>
      <c r="N765" s="28">
        <v>0.0</v>
      </c>
      <c r="O765" s="76">
        <v>0.0</v>
      </c>
      <c r="P765" s="77">
        <v>0.0</v>
      </c>
      <c r="Q765" s="33"/>
      <c r="R765" s="11"/>
    </row>
    <row r="766" ht="15.75" customHeight="1">
      <c r="A766" s="13">
        <f t="shared" si="1"/>
        <v>765</v>
      </c>
      <c r="B766" s="15" t="s">
        <v>24</v>
      </c>
      <c r="C766" s="17">
        <v>1928.0</v>
      </c>
      <c r="D766" s="17" t="s">
        <v>46</v>
      </c>
      <c r="E766" s="17" t="s">
        <v>433</v>
      </c>
      <c r="F766" s="36" t="s">
        <v>66</v>
      </c>
      <c r="G766" s="36" t="s">
        <v>434</v>
      </c>
      <c r="H766" s="25" t="s">
        <v>36</v>
      </c>
      <c r="I766" s="30">
        <v>46281.0</v>
      </c>
      <c r="J766" s="17">
        <v>0.0</v>
      </c>
      <c r="K766" s="23" t="s">
        <v>57</v>
      </c>
      <c r="L766" s="28">
        <v>5000.0</v>
      </c>
      <c r="M766" s="28">
        <v>0.0</v>
      </c>
      <c r="N766" s="28">
        <v>0.0</v>
      </c>
      <c r="O766" s="76">
        <v>0.0</v>
      </c>
      <c r="P766" s="77">
        <v>0.0</v>
      </c>
      <c r="Q766" s="33"/>
      <c r="R766" s="11"/>
    </row>
    <row r="767" ht="15.75" customHeight="1">
      <c r="A767" s="13">
        <f t="shared" si="1"/>
        <v>766</v>
      </c>
      <c r="B767" s="15" t="s">
        <v>24</v>
      </c>
      <c r="C767" s="17">
        <v>1928.0</v>
      </c>
      <c r="D767" s="17" t="s">
        <v>501</v>
      </c>
      <c r="E767" s="17" t="s">
        <v>1426</v>
      </c>
      <c r="F767" s="181" t="s">
        <v>82</v>
      </c>
      <c r="G767" s="201" t="s">
        <v>1414</v>
      </c>
      <c r="H767" s="25"/>
      <c r="I767" s="30"/>
      <c r="J767" s="15"/>
      <c r="K767" s="25"/>
      <c r="L767" s="28"/>
      <c r="M767" s="28"/>
      <c r="N767" s="28"/>
      <c r="O767" s="28"/>
      <c r="P767" s="28"/>
      <c r="Q767" s="33"/>
      <c r="R767" s="11"/>
    </row>
    <row r="768" ht="15.75" customHeight="1">
      <c r="A768" s="13">
        <f t="shared" si="1"/>
        <v>767</v>
      </c>
      <c r="B768" s="15" t="s">
        <v>24</v>
      </c>
      <c r="C768" s="17">
        <v>1928.0</v>
      </c>
      <c r="D768" s="17" t="s">
        <v>182</v>
      </c>
      <c r="E768" s="17" t="s">
        <v>442</v>
      </c>
      <c r="F768" s="23" t="s">
        <v>33</v>
      </c>
      <c r="G768" s="23" t="s">
        <v>444</v>
      </c>
      <c r="H768" s="23" t="s">
        <v>55</v>
      </c>
      <c r="I768" s="30">
        <v>46282.0</v>
      </c>
      <c r="J768" s="17">
        <v>1.0</v>
      </c>
      <c r="K768" s="23" t="s">
        <v>38</v>
      </c>
      <c r="L768" s="28">
        <v>20000.0</v>
      </c>
      <c r="M768" s="28">
        <v>0.0</v>
      </c>
      <c r="N768" s="28">
        <v>0.0</v>
      </c>
      <c r="O768" s="76">
        <v>0.0</v>
      </c>
      <c r="P768" s="77">
        <v>0.0</v>
      </c>
      <c r="Q768" s="33"/>
      <c r="R768" s="11"/>
    </row>
    <row r="769" ht="15.75" customHeight="1">
      <c r="A769" s="13">
        <f t="shared" si="1"/>
        <v>768</v>
      </c>
      <c r="B769" s="15" t="s">
        <v>24</v>
      </c>
      <c r="C769" s="17">
        <v>1928.0</v>
      </c>
      <c r="D769" s="17" t="s">
        <v>46</v>
      </c>
      <c r="E769" s="17" t="s">
        <v>447</v>
      </c>
      <c r="F769" s="36" t="s">
        <v>184</v>
      </c>
      <c r="G769" s="36" t="s">
        <v>449</v>
      </c>
      <c r="H769" s="14" t="s">
        <v>37</v>
      </c>
      <c r="I769" s="30">
        <v>46282.0</v>
      </c>
      <c r="J769" s="17">
        <v>0.0</v>
      </c>
      <c r="K769" s="23" t="s">
        <v>57</v>
      </c>
      <c r="L769" s="28">
        <v>5000.0</v>
      </c>
      <c r="M769" s="28">
        <v>0.0</v>
      </c>
      <c r="N769" s="28">
        <v>0.0</v>
      </c>
      <c r="O769" s="76">
        <v>0.0</v>
      </c>
      <c r="P769" s="77">
        <v>0.0</v>
      </c>
      <c r="Q769" s="33"/>
      <c r="R769" s="11"/>
    </row>
    <row r="770" ht="15.75" customHeight="1">
      <c r="A770" s="13">
        <f t="shared" si="1"/>
        <v>769</v>
      </c>
      <c r="B770" s="15" t="s">
        <v>24</v>
      </c>
      <c r="C770" s="17">
        <v>1928.0</v>
      </c>
      <c r="D770" s="17" t="s">
        <v>182</v>
      </c>
      <c r="E770" s="17" t="s">
        <v>451</v>
      </c>
      <c r="F770" s="22" t="s">
        <v>142</v>
      </c>
      <c r="G770" s="22" t="s">
        <v>452</v>
      </c>
      <c r="H770" s="14" t="s">
        <v>37</v>
      </c>
      <c r="I770" s="47">
        <v>46282.0</v>
      </c>
      <c r="J770" s="18">
        <v>0.0</v>
      </c>
      <c r="K770" s="22" t="s">
        <v>38</v>
      </c>
      <c r="L770" s="29">
        <v>5000.0</v>
      </c>
      <c r="M770" s="28">
        <v>0.0</v>
      </c>
      <c r="N770" s="28">
        <v>0.0</v>
      </c>
      <c r="O770" s="28">
        <v>0.0</v>
      </c>
      <c r="P770" s="28">
        <v>0.0</v>
      </c>
      <c r="Q770" s="33"/>
      <c r="R770" s="11"/>
    </row>
    <row r="771" ht="15.75" customHeight="1">
      <c r="A771" s="13">
        <f t="shared" si="1"/>
        <v>770</v>
      </c>
      <c r="B771" s="15" t="s">
        <v>24</v>
      </c>
      <c r="C771" s="17">
        <v>1928.0</v>
      </c>
      <c r="D771" s="17" t="s">
        <v>46</v>
      </c>
      <c r="E771" s="17" t="s">
        <v>455</v>
      </c>
      <c r="F771" s="81" t="s">
        <v>208</v>
      </c>
      <c r="G771" s="83" t="s">
        <v>208</v>
      </c>
      <c r="H771" s="25" t="s">
        <v>36</v>
      </c>
      <c r="I771" s="30">
        <v>46282.0</v>
      </c>
      <c r="J771" s="17">
        <v>0.0</v>
      </c>
      <c r="K771" s="23" t="s">
        <v>57</v>
      </c>
      <c r="L771" s="28">
        <v>5000.0</v>
      </c>
      <c r="M771" s="28">
        <v>0.0</v>
      </c>
      <c r="N771" s="28">
        <v>0.0</v>
      </c>
      <c r="O771" s="28">
        <v>0.0</v>
      </c>
      <c r="P771" s="28">
        <v>0.0</v>
      </c>
      <c r="Q771" s="33"/>
      <c r="R771" s="11"/>
    </row>
    <row r="772" ht="15.75" customHeight="1">
      <c r="A772" s="13">
        <f t="shared" si="1"/>
        <v>771</v>
      </c>
      <c r="B772" s="15" t="s">
        <v>24</v>
      </c>
      <c r="C772" s="17">
        <v>1928.0</v>
      </c>
      <c r="D772" s="17" t="s">
        <v>46</v>
      </c>
      <c r="E772" s="17" t="s">
        <v>469</v>
      </c>
      <c r="F772" s="65" t="s">
        <v>84</v>
      </c>
      <c r="G772" s="65" t="s">
        <v>329</v>
      </c>
      <c r="H772" s="25" t="s">
        <v>36</v>
      </c>
      <c r="I772" s="30">
        <v>46284.0</v>
      </c>
      <c r="J772" s="17">
        <v>0.0</v>
      </c>
      <c r="K772" s="23" t="s">
        <v>57</v>
      </c>
      <c r="L772" s="28">
        <v>0.0</v>
      </c>
      <c r="M772" s="28">
        <v>8300.0</v>
      </c>
      <c r="N772" s="28">
        <v>0.0</v>
      </c>
      <c r="O772" s="28">
        <v>0.0</v>
      </c>
      <c r="P772" s="28">
        <v>0.0</v>
      </c>
      <c r="Q772" s="33"/>
      <c r="R772" s="11"/>
    </row>
    <row r="773" ht="15.75" customHeight="1">
      <c r="A773" s="13">
        <f t="shared" si="1"/>
        <v>772</v>
      </c>
      <c r="B773" s="15" t="s">
        <v>24</v>
      </c>
      <c r="C773" s="17">
        <v>1928.0</v>
      </c>
      <c r="D773" s="17" t="s">
        <v>46</v>
      </c>
      <c r="E773" s="17" t="s">
        <v>477</v>
      </c>
      <c r="F773" s="21" t="s">
        <v>44</v>
      </c>
      <c r="G773" s="21" t="s">
        <v>478</v>
      </c>
      <c r="H773" s="14" t="s">
        <v>37</v>
      </c>
      <c r="I773" s="30">
        <v>46285.0</v>
      </c>
      <c r="J773" s="18">
        <v>0.0</v>
      </c>
      <c r="K773" s="23" t="s">
        <v>57</v>
      </c>
      <c r="L773" s="29">
        <v>5500.0</v>
      </c>
      <c r="M773" s="28">
        <v>0.0</v>
      </c>
      <c r="N773" s="28">
        <v>0.0</v>
      </c>
      <c r="O773" s="28">
        <v>0.0</v>
      </c>
      <c r="P773" s="28">
        <v>0.0</v>
      </c>
      <c r="Q773" s="33"/>
      <c r="R773" s="11"/>
    </row>
    <row r="774" ht="15.75" customHeight="1">
      <c r="A774" s="13">
        <f t="shared" si="1"/>
        <v>773</v>
      </c>
      <c r="B774" s="15" t="s">
        <v>24</v>
      </c>
      <c r="C774" s="17">
        <v>1928.0</v>
      </c>
      <c r="D774" s="17" t="s">
        <v>46</v>
      </c>
      <c r="E774" s="17" t="s">
        <v>482</v>
      </c>
      <c r="F774" s="94" t="s">
        <v>44</v>
      </c>
      <c r="G774" s="94" t="s">
        <v>478</v>
      </c>
      <c r="H774" s="14" t="s">
        <v>36</v>
      </c>
      <c r="I774" s="30">
        <v>46285.0</v>
      </c>
      <c r="J774" s="18">
        <v>0.0</v>
      </c>
      <c r="K774" s="23" t="s">
        <v>57</v>
      </c>
      <c r="L774" s="29">
        <v>11000.0</v>
      </c>
      <c r="M774" s="28">
        <v>0.0</v>
      </c>
      <c r="N774" s="28">
        <v>0.0</v>
      </c>
      <c r="O774" s="28">
        <v>0.0</v>
      </c>
      <c r="P774" s="28">
        <v>0.0</v>
      </c>
      <c r="Q774" s="33"/>
      <c r="R774" s="11"/>
    </row>
    <row r="775" ht="15.75" customHeight="1">
      <c r="A775" s="13">
        <f t="shared" si="1"/>
        <v>774</v>
      </c>
      <c r="B775" s="15" t="s">
        <v>24</v>
      </c>
      <c r="C775" s="17">
        <v>1928.0</v>
      </c>
      <c r="D775" s="17" t="s">
        <v>46</v>
      </c>
      <c r="E775" s="17" t="s">
        <v>490</v>
      </c>
      <c r="F775" s="21" t="s">
        <v>44</v>
      </c>
      <c r="G775" s="21" t="s">
        <v>493</v>
      </c>
      <c r="H775" s="14" t="s">
        <v>37</v>
      </c>
      <c r="I775" s="30">
        <v>46285.0</v>
      </c>
      <c r="J775" s="18">
        <v>0.0</v>
      </c>
      <c r="K775" s="23" t="s">
        <v>57</v>
      </c>
      <c r="L775" s="29">
        <v>5500.0</v>
      </c>
      <c r="M775" s="28">
        <v>0.0</v>
      </c>
      <c r="N775" s="28">
        <v>0.0</v>
      </c>
      <c r="O775" s="28">
        <v>0.0</v>
      </c>
      <c r="P775" s="28">
        <v>0.0</v>
      </c>
      <c r="Q775" s="33"/>
      <c r="R775" s="11"/>
    </row>
    <row r="776" ht="15.75" customHeight="1">
      <c r="A776" s="13">
        <f t="shared" si="1"/>
        <v>775</v>
      </c>
      <c r="B776" s="15" t="s">
        <v>24</v>
      </c>
      <c r="C776" s="17">
        <v>1928.0</v>
      </c>
      <c r="D776" s="17" t="s">
        <v>46</v>
      </c>
      <c r="E776" s="17" t="s">
        <v>495</v>
      </c>
      <c r="F776" s="36" t="s">
        <v>279</v>
      </c>
      <c r="G776" s="23" t="s">
        <v>496</v>
      </c>
      <c r="H776" s="25" t="s">
        <v>36</v>
      </c>
      <c r="I776" s="30">
        <v>46286.0</v>
      </c>
      <c r="J776" s="17">
        <v>0.0</v>
      </c>
      <c r="K776" s="23" t="s">
        <v>57</v>
      </c>
      <c r="L776" s="28">
        <v>20000.0</v>
      </c>
      <c r="M776" s="28">
        <v>0.0</v>
      </c>
      <c r="N776" s="28">
        <v>0.0</v>
      </c>
      <c r="O776" s="28">
        <v>0.0</v>
      </c>
      <c r="P776" s="28">
        <v>0.0</v>
      </c>
      <c r="Q776" s="33"/>
      <c r="R776" s="11"/>
    </row>
    <row r="777" ht="15.75" customHeight="1">
      <c r="A777" s="13">
        <f t="shared" si="1"/>
        <v>776</v>
      </c>
      <c r="B777" s="15" t="s">
        <v>24</v>
      </c>
      <c r="C777" s="17">
        <v>1928.0</v>
      </c>
      <c r="D777" s="17" t="s">
        <v>46</v>
      </c>
      <c r="E777" s="17" t="s">
        <v>498</v>
      </c>
      <c r="F777" s="36" t="s">
        <v>279</v>
      </c>
      <c r="G777" s="23" t="s">
        <v>500</v>
      </c>
      <c r="H777" s="25" t="s">
        <v>36</v>
      </c>
      <c r="I777" s="30">
        <v>46286.0</v>
      </c>
      <c r="J777" s="17">
        <v>0.0</v>
      </c>
      <c r="K777" s="23" t="s">
        <v>57</v>
      </c>
      <c r="L777" s="28">
        <v>24000.0</v>
      </c>
      <c r="M777" s="28">
        <v>0.0</v>
      </c>
      <c r="N777" s="28">
        <v>0.0</v>
      </c>
      <c r="O777" s="28">
        <v>0.0</v>
      </c>
      <c r="P777" s="28">
        <v>0.0</v>
      </c>
      <c r="Q777" s="33"/>
      <c r="R777" s="11"/>
    </row>
    <row r="778" ht="15.75" customHeight="1">
      <c r="A778" s="13">
        <f t="shared" si="1"/>
        <v>777</v>
      </c>
      <c r="B778" s="15" t="s">
        <v>24</v>
      </c>
      <c r="C778" s="17">
        <v>1928.0</v>
      </c>
      <c r="D778" s="17" t="s">
        <v>29</v>
      </c>
      <c r="E778" s="17" t="s">
        <v>509</v>
      </c>
      <c r="F778" s="25" t="s">
        <v>184</v>
      </c>
      <c r="G778" s="25" t="s">
        <v>449</v>
      </c>
      <c r="H778" s="25" t="s">
        <v>36</v>
      </c>
      <c r="I778" s="30">
        <v>46286.0</v>
      </c>
      <c r="J778" s="17">
        <v>0.0</v>
      </c>
      <c r="K778" s="23" t="s">
        <v>38</v>
      </c>
      <c r="L778" s="28">
        <v>100000.0</v>
      </c>
      <c r="M778" s="28">
        <v>0.0</v>
      </c>
      <c r="N778" s="28">
        <v>0.0</v>
      </c>
      <c r="O778" s="28">
        <v>0.0</v>
      </c>
      <c r="P778" s="28">
        <v>0.0</v>
      </c>
      <c r="Q778" s="33"/>
      <c r="R778" s="11"/>
    </row>
    <row r="779" ht="15.75" customHeight="1">
      <c r="A779" s="13">
        <f t="shared" si="1"/>
        <v>778</v>
      </c>
      <c r="B779" s="15" t="s">
        <v>24</v>
      </c>
      <c r="C779" s="17">
        <v>1928.0</v>
      </c>
      <c r="D779" s="17" t="s">
        <v>29</v>
      </c>
      <c r="E779" s="17" t="s">
        <v>511</v>
      </c>
      <c r="F779" s="23" t="s">
        <v>142</v>
      </c>
      <c r="G779" s="23" t="s">
        <v>512</v>
      </c>
      <c r="H779" s="25" t="s">
        <v>37</v>
      </c>
      <c r="I779" s="73">
        <v>46286.0</v>
      </c>
      <c r="J779" s="17">
        <v>0.0</v>
      </c>
      <c r="K779" s="23" t="s">
        <v>38</v>
      </c>
      <c r="L779" s="28">
        <v>7000.0</v>
      </c>
      <c r="M779" s="28">
        <v>0.0</v>
      </c>
      <c r="N779" s="28">
        <v>0.0</v>
      </c>
      <c r="O779" s="76">
        <v>0.0</v>
      </c>
      <c r="P779" s="77">
        <v>0.0</v>
      </c>
      <c r="Q779" s="33"/>
      <c r="R779" s="11"/>
    </row>
    <row r="780" ht="15.75" customHeight="1">
      <c r="A780" s="13">
        <f t="shared" si="1"/>
        <v>779</v>
      </c>
      <c r="B780" s="15" t="s">
        <v>24</v>
      </c>
      <c r="C780" s="17">
        <v>1928.0</v>
      </c>
      <c r="D780" s="17" t="s">
        <v>29</v>
      </c>
      <c r="E780" s="17" t="s">
        <v>516</v>
      </c>
      <c r="F780" s="22" t="s">
        <v>84</v>
      </c>
      <c r="G780" s="22" t="s">
        <v>517</v>
      </c>
      <c r="H780" s="14" t="s">
        <v>36</v>
      </c>
      <c r="I780" s="47">
        <v>46286.0</v>
      </c>
      <c r="J780" s="18">
        <v>0.0</v>
      </c>
      <c r="K780" s="22" t="s">
        <v>38</v>
      </c>
      <c r="L780" s="29">
        <v>10000.0</v>
      </c>
      <c r="M780" s="28">
        <v>0.0</v>
      </c>
      <c r="N780" s="28">
        <v>0.0</v>
      </c>
      <c r="O780" s="28">
        <v>0.0</v>
      </c>
      <c r="P780" s="28">
        <v>0.0</v>
      </c>
      <c r="Q780" s="33"/>
      <c r="R780" s="11"/>
    </row>
    <row r="781" ht="15.75" customHeight="1">
      <c r="A781" s="13">
        <f t="shared" si="1"/>
        <v>780</v>
      </c>
      <c r="B781" s="15" t="s">
        <v>24</v>
      </c>
      <c r="C781" s="17">
        <v>1928.0</v>
      </c>
      <c r="D781" s="17" t="s">
        <v>29</v>
      </c>
      <c r="E781" s="17" t="s">
        <v>524</v>
      </c>
      <c r="F781" s="21" t="s">
        <v>40</v>
      </c>
      <c r="G781" s="21" t="s">
        <v>41</v>
      </c>
      <c r="H781" s="22" t="s">
        <v>212</v>
      </c>
      <c r="I781" s="47">
        <v>46288.0</v>
      </c>
      <c r="J781" s="17">
        <v>2.0</v>
      </c>
      <c r="K781" s="23" t="s">
        <v>38</v>
      </c>
      <c r="L781" s="28">
        <v>100000.0</v>
      </c>
      <c r="M781" s="28">
        <v>0.0</v>
      </c>
      <c r="N781" s="28">
        <v>0.0</v>
      </c>
      <c r="O781" s="28">
        <v>0.0</v>
      </c>
      <c r="P781" s="28">
        <v>0.0</v>
      </c>
      <c r="Q781" s="33"/>
      <c r="R781" s="11"/>
    </row>
    <row r="782" ht="15.75" customHeight="1">
      <c r="A782" s="13">
        <f t="shared" si="1"/>
        <v>781</v>
      </c>
      <c r="B782" s="15" t="s">
        <v>24</v>
      </c>
      <c r="C782" s="17">
        <v>1928.0</v>
      </c>
      <c r="D782" s="17" t="s">
        <v>46</v>
      </c>
      <c r="E782" s="17" t="s">
        <v>530</v>
      </c>
      <c r="F782" s="22" t="s">
        <v>84</v>
      </c>
      <c r="G782" s="22" t="s">
        <v>531</v>
      </c>
      <c r="H782" s="14" t="s">
        <v>36</v>
      </c>
      <c r="I782" s="47">
        <v>46289.0</v>
      </c>
      <c r="J782" s="18">
        <v>0.0</v>
      </c>
      <c r="K782" s="23" t="s">
        <v>57</v>
      </c>
      <c r="L782" s="29">
        <v>0.0</v>
      </c>
      <c r="M782" s="28">
        <v>85000.0</v>
      </c>
      <c r="N782" s="28">
        <v>0.0</v>
      </c>
      <c r="O782" s="28">
        <v>0.0</v>
      </c>
      <c r="P782" s="28">
        <v>0.0</v>
      </c>
      <c r="Q782" s="33"/>
      <c r="R782" s="11"/>
    </row>
    <row r="783" ht="15.75" customHeight="1">
      <c r="A783" s="13">
        <f t="shared" si="1"/>
        <v>782</v>
      </c>
      <c r="B783" s="15" t="s">
        <v>24</v>
      </c>
      <c r="C783" s="17">
        <v>1928.0</v>
      </c>
      <c r="D783" s="17" t="s">
        <v>29</v>
      </c>
      <c r="E783" s="17" t="s">
        <v>535</v>
      </c>
      <c r="F783" s="22" t="s">
        <v>84</v>
      </c>
      <c r="G783" s="22" t="s">
        <v>517</v>
      </c>
      <c r="H783" s="14" t="s">
        <v>36</v>
      </c>
      <c r="I783" s="47">
        <v>46289.0</v>
      </c>
      <c r="J783" s="18">
        <v>0.0</v>
      </c>
      <c r="K783" s="22" t="s">
        <v>38</v>
      </c>
      <c r="L783" s="29">
        <v>0.0</v>
      </c>
      <c r="M783" s="28">
        <v>20000.0</v>
      </c>
      <c r="N783" s="28">
        <v>0.0</v>
      </c>
      <c r="O783" s="28">
        <v>0.0</v>
      </c>
      <c r="P783" s="28">
        <v>0.0</v>
      </c>
      <c r="Q783" s="33"/>
      <c r="R783" s="11"/>
    </row>
    <row r="784" ht="15.75" customHeight="1">
      <c r="A784" s="13">
        <f t="shared" si="1"/>
        <v>783</v>
      </c>
      <c r="B784" s="15" t="s">
        <v>24</v>
      </c>
      <c r="C784" s="17">
        <v>1928.0</v>
      </c>
      <c r="D784" s="17" t="s">
        <v>29</v>
      </c>
      <c r="E784" s="17" t="s">
        <v>539</v>
      </c>
      <c r="F784" s="22" t="s">
        <v>84</v>
      </c>
      <c r="G784" s="22" t="s">
        <v>517</v>
      </c>
      <c r="H784" s="14" t="s">
        <v>36</v>
      </c>
      <c r="I784" s="47">
        <v>46289.0</v>
      </c>
      <c r="J784" s="18">
        <v>0.0</v>
      </c>
      <c r="K784" s="22" t="s">
        <v>38</v>
      </c>
      <c r="L784" s="29">
        <v>8000.0</v>
      </c>
      <c r="M784" s="28">
        <v>0.0</v>
      </c>
      <c r="N784" s="28">
        <v>0.0</v>
      </c>
      <c r="O784" s="28">
        <v>0.0</v>
      </c>
      <c r="P784" s="28">
        <v>0.0</v>
      </c>
      <c r="Q784" s="33"/>
      <c r="R784" s="11"/>
    </row>
    <row r="785" ht="15.75" customHeight="1">
      <c r="A785" s="13">
        <f t="shared" si="1"/>
        <v>784</v>
      </c>
      <c r="B785" s="15" t="s">
        <v>24</v>
      </c>
      <c r="C785" s="17">
        <v>1928.0</v>
      </c>
      <c r="D785" s="17" t="s">
        <v>29</v>
      </c>
      <c r="E785" s="17" t="s">
        <v>541</v>
      </c>
      <c r="F785" s="22" t="s">
        <v>84</v>
      </c>
      <c r="G785" s="22" t="s">
        <v>517</v>
      </c>
      <c r="H785" s="14" t="s">
        <v>36</v>
      </c>
      <c r="I785" s="47">
        <v>46289.0</v>
      </c>
      <c r="J785" s="18">
        <v>0.0</v>
      </c>
      <c r="K785" s="22" t="s">
        <v>38</v>
      </c>
      <c r="L785" s="29">
        <v>0.0</v>
      </c>
      <c r="M785" s="28">
        <v>2000.0</v>
      </c>
      <c r="N785" s="28">
        <v>0.0</v>
      </c>
      <c r="O785" s="28">
        <v>0.0</v>
      </c>
      <c r="P785" s="28">
        <v>0.0</v>
      </c>
      <c r="Q785" s="33"/>
      <c r="R785" s="11"/>
    </row>
    <row r="786" ht="15.75" customHeight="1">
      <c r="A786" s="13">
        <f t="shared" si="1"/>
        <v>785</v>
      </c>
      <c r="B786" s="15" t="s">
        <v>24</v>
      </c>
      <c r="C786" s="17">
        <v>1928.0</v>
      </c>
      <c r="D786" s="17" t="s">
        <v>58</v>
      </c>
      <c r="E786" s="17" t="s">
        <v>544</v>
      </c>
      <c r="F786" s="21" t="s">
        <v>116</v>
      </c>
      <c r="G786" s="23" t="s">
        <v>545</v>
      </c>
      <c r="H786" s="14" t="s">
        <v>36</v>
      </c>
      <c r="I786" s="47">
        <v>46289.0</v>
      </c>
      <c r="J786" s="17">
        <v>3.0</v>
      </c>
      <c r="K786" s="22" t="s">
        <v>38</v>
      </c>
      <c r="L786" s="28">
        <v>300000.0</v>
      </c>
      <c r="M786" s="28">
        <v>0.0</v>
      </c>
      <c r="N786" s="28">
        <v>0.0</v>
      </c>
      <c r="O786" s="28">
        <v>0.0</v>
      </c>
      <c r="P786" s="28">
        <v>0.0</v>
      </c>
      <c r="Q786" s="33"/>
      <c r="R786" s="11"/>
    </row>
    <row r="787" ht="15.75" customHeight="1">
      <c r="A787" s="13">
        <f t="shared" si="1"/>
        <v>786</v>
      </c>
      <c r="B787" s="15" t="s">
        <v>24</v>
      </c>
      <c r="C787" s="17">
        <v>1928.0</v>
      </c>
      <c r="D787" s="17" t="s">
        <v>58</v>
      </c>
      <c r="E787" s="17" t="s">
        <v>549</v>
      </c>
      <c r="F787" s="21" t="s">
        <v>116</v>
      </c>
      <c r="G787" s="23" t="s">
        <v>545</v>
      </c>
      <c r="H787" s="14" t="s">
        <v>36</v>
      </c>
      <c r="I787" s="47">
        <v>46290.0</v>
      </c>
      <c r="J787" s="17">
        <v>0.0</v>
      </c>
      <c r="K787" s="22" t="s">
        <v>38</v>
      </c>
      <c r="L787" s="28">
        <v>200000.0</v>
      </c>
      <c r="M787" s="28">
        <v>0.0</v>
      </c>
      <c r="N787" s="28">
        <v>0.0</v>
      </c>
      <c r="O787" s="28">
        <v>0.0</v>
      </c>
      <c r="P787" s="28">
        <v>0.0</v>
      </c>
      <c r="Q787" s="33"/>
      <c r="R787" s="11"/>
    </row>
    <row r="788" ht="15.75" customHeight="1">
      <c r="A788" s="13">
        <f t="shared" si="1"/>
        <v>787</v>
      </c>
      <c r="B788" s="15" t="s">
        <v>24</v>
      </c>
      <c r="C788" s="17">
        <v>1928.0</v>
      </c>
      <c r="D788" s="17" t="s">
        <v>29</v>
      </c>
      <c r="E788" s="17" t="s">
        <v>552</v>
      </c>
      <c r="F788" s="21" t="s">
        <v>40</v>
      </c>
      <c r="G788" s="21" t="s">
        <v>41</v>
      </c>
      <c r="H788" s="22" t="s">
        <v>212</v>
      </c>
      <c r="I788" s="47">
        <v>46291.0</v>
      </c>
      <c r="J788" s="17">
        <v>0.0</v>
      </c>
      <c r="K788" s="23" t="s">
        <v>38</v>
      </c>
      <c r="L788" s="28">
        <v>150000.0</v>
      </c>
      <c r="M788" s="28">
        <v>0.0</v>
      </c>
      <c r="N788" s="28">
        <v>0.0</v>
      </c>
      <c r="O788" s="28">
        <v>0.0</v>
      </c>
      <c r="P788" s="28">
        <v>0.0</v>
      </c>
      <c r="Q788" s="33"/>
      <c r="R788" s="11"/>
    </row>
    <row r="789" ht="15.75" customHeight="1">
      <c r="A789" s="13">
        <f t="shared" si="1"/>
        <v>788</v>
      </c>
      <c r="B789" s="15" t="s">
        <v>24</v>
      </c>
      <c r="C789" s="17">
        <v>1928.0</v>
      </c>
      <c r="D789" s="17" t="s">
        <v>46</v>
      </c>
      <c r="E789" s="17" t="s">
        <v>557</v>
      </c>
      <c r="F789" s="65" t="s">
        <v>40</v>
      </c>
      <c r="G789" s="67" t="s">
        <v>558</v>
      </c>
      <c r="H789" s="25" t="s">
        <v>36</v>
      </c>
      <c r="I789" s="30">
        <v>46292.0</v>
      </c>
      <c r="J789" s="17">
        <v>0.0</v>
      </c>
      <c r="K789" s="23" t="s">
        <v>57</v>
      </c>
      <c r="L789" s="28">
        <v>0.0</v>
      </c>
      <c r="M789" s="28">
        <v>17500.0</v>
      </c>
      <c r="N789" s="28">
        <v>0.0</v>
      </c>
      <c r="O789" s="28">
        <v>0.0</v>
      </c>
      <c r="P789" s="28">
        <v>0.0</v>
      </c>
      <c r="Q789" s="33"/>
      <c r="R789" s="11"/>
    </row>
    <row r="790" ht="15.75" customHeight="1">
      <c r="A790" s="13">
        <f t="shared" si="1"/>
        <v>789</v>
      </c>
      <c r="B790" s="15" t="s">
        <v>24</v>
      </c>
      <c r="C790" s="17">
        <v>1928.0</v>
      </c>
      <c r="D790" s="17" t="s">
        <v>29</v>
      </c>
      <c r="E790" s="17" t="s">
        <v>563</v>
      </c>
      <c r="F790" s="23" t="s">
        <v>33</v>
      </c>
      <c r="G790" s="23" t="s">
        <v>564</v>
      </c>
      <c r="H790" s="25" t="s">
        <v>36</v>
      </c>
      <c r="I790" s="30">
        <v>46292.0</v>
      </c>
      <c r="J790" s="17">
        <v>1.0</v>
      </c>
      <c r="K790" s="23" t="s">
        <v>38</v>
      </c>
      <c r="L790" s="28">
        <v>150000.0</v>
      </c>
      <c r="M790" s="28">
        <v>0.0</v>
      </c>
      <c r="N790" s="28">
        <v>0.0</v>
      </c>
      <c r="O790" s="28">
        <v>0.0</v>
      </c>
      <c r="P790" s="28">
        <v>0.0</v>
      </c>
      <c r="Q790" s="33"/>
      <c r="R790" s="11"/>
    </row>
    <row r="791" ht="15.75" customHeight="1">
      <c r="A791" s="13">
        <f t="shared" si="1"/>
        <v>790</v>
      </c>
      <c r="B791" s="15" t="s">
        <v>24</v>
      </c>
      <c r="C791" s="17">
        <v>1928.0</v>
      </c>
      <c r="D791" s="17" t="s">
        <v>58</v>
      </c>
      <c r="E791" s="17" t="s">
        <v>567</v>
      </c>
      <c r="F791" s="21" t="s">
        <v>116</v>
      </c>
      <c r="G791" s="23" t="s">
        <v>545</v>
      </c>
      <c r="H791" s="14" t="s">
        <v>36</v>
      </c>
      <c r="I791" s="47">
        <v>46292.0</v>
      </c>
      <c r="J791" s="17">
        <v>0.0</v>
      </c>
      <c r="K791" s="22" t="s">
        <v>38</v>
      </c>
      <c r="L791" s="101">
        <v>250000.0</v>
      </c>
      <c r="M791" s="28">
        <v>0.0</v>
      </c>
      <c r="N791" s="28">
        <v>0.0</v>
      </c>
      <c r="O791" s="28">
        <v>0.0</v>
      </c>
      <c r="P791" s="28">
        <v>0.0</v>
      </c>
      <c r="Q791" s="33"/>
      <c r="R791" s="11"/>
    </row>
    <row r="792" ht="15.75" customHeight="1">
      <c r="A792" s="13">
        <f t="shared" si="1"/>
        <v>791</v>
      </c>
      <c r="B792" s="15" t="s">
        <v>24</v>
      </c>
      <c r="C792" s="17">
        <v>1928.0</v>
      </c>
      <c r="D792" s="17" t="s">
        <v>46</v>
      </c>
      <c r="E792" s="17" t="s">
        <v>572</v>
      </c>
      <c r="F792" s="102" t="s">
        <v>84</v>
      </c>
      <c r="G792" s="102" t="s">
        <v>575</v>
      </c>
      <c r="H792" s="25" t="s">
        <v>36</v>
      </c>
      <c r="I792" s="30">
        <v>46292.0</v>
      </c>
      <c r="J792" s="17">
        <v>0.0</v>
      </c>
      <c r="K792" s="23" t="s">
        <v>57</v>
      </c>
      <c r="L792" s="28">
        <v>6000.0</v>
      </c>
      <c r="M792" s="28">
        <v>0.0</v>
      </c>
      <c r="N792" s="28">
        <v>0.0</v>
      </c>
      <c r="O792" s="28">
        <v>0.0</v>
      </c>
      <c r="P792" s="28">
        <v>0.0</v>
      </c>
      <c r="Q792" s="33"/>
      <c r="R792" s="11"/>
    </row>
    <row r="793" ht="15.75" customHeight="1">
      <c r="A793" s="13">
        <f t="shared" si="1"/>
        <v>792</v>
      </c>
      <c r="B793" s="15" t="s">
        <v>24</v>
      </c>
      <c r="C793" s="17">
        <v>1928.0</v>
      </c>
      <c r="D793" s="17" t="s">
        <v>46</v>
      </c>
      <c r="E793" s="17" t="s">
        <v>579</v>
      </c>
      <c r="F793" s="23" t="s">
        <v>356</v>
      </c>
      <c r="G793" s="23" t="s">
        <v>388</v>
      </c>
      <c r="H793" s="25" t="s">
        <v>36</v>
      </c>
      <c r="I793" s="30">
        <v>46293.0</v>
      </c>
      <c r="J793" s="17">
        <v>0.0</v>
      </c>
      <c r="K793" s="23" t="s">
        <v>57</v>
      </c>
      <c r="L793" s="28">
        <v>7500.0</v>
      </c>
      <c r="M793" s="28">
        <v>0.0</v>
      </c>
      <c r="N793" s="28">
        <v>0.0</v>
      </c>
      <c r="O793" s="28">
        <v>0.0</v>
      </c>
      <c r="P793" s="28">
        <v>0.0</v>
      </c>
      <c r="Q793" s="33"/>
      <c r="R793" s="11"/>
    </row>
    <row r="794" ht="15.75" customHeight="1">
      <c r="A794" s="13">
        <f t="shared" si="1"/>
        <v>793</v>
      </c>
      <c r="B794" s="15" t="s">
        <v>24</v>
      </c>
      <c r="C794" s="17">
        <v>1928.0</v>
      </c>
      <c r="D794" s="17" t="s">
        <v>46</v>
      </c>
      <c r="E794" s="17" t="s">
        <v>583</v>
      </c>
      <c r="F794" s="25" t="s">
        <v>142</v>
      </c>
      <c r="G794" s="25" t="s">
        <v>584</v>
      </c>
      <c r="H794" s="25" t="s">
        <v>36</v>
      </c>
      <c r="I794" s="30">
        <v>46293.0</v>
      </c>
      <c r="J794" s="15">
        <v>0.0</v>
      </c>
      <c r="K794" s="25" t="s">
        <v>57</v>
      </c>
      <c r="L794" s="28">
        <v>20000.0</v>
      </c>
      <c r="M794" s="28">
        <v>0.0</v>
      </c>
      <c r="N794" s="28">
        <v>0.0</v>
      </c>
      <c r="O794" s="28">
        <v>0.0</v>
      </c>
      <c r="P794" s="28">
        <v>0.0</v>
      </c>
      <c r="Q794" s="33"/>
      <c r="R794" s="11"/>
    </row>
    <row r="795" ht="15.75" customHeight="1">
      <c r="A795" s="13">
        <f t="shared" si="1"/>
        <v>794</v>
      </c>
      <c r="B795" s="15" t="s">
        <v>24</v>
      </c>
      <c r="C795" s="17">
        <v>1928.0</v>
      </c>
      <c r="D795" s="17" t="s">
        <v>29</v>
      </c>
      <c r="E795" s="17" t="s">
        <v>589</v>
      </c>
      <c r="F795" s="22" t="s">
        <v>84</v>
      </c>
      <c r="G795" s="22" t="s">
        <v>517</v>
      </c>
      <c r="H795" s="14" t="s">
        <v>36</v>
      </c>
      <c r="I795" s="47">
        <v>46293.0</v>
      </c>
      <c r="J795" s="18">
        <v>0.0</v>
      </c>
      <c r="K795" s="22" t="s">
        <v>38</v>
      </c>
      <c r="L795" s="29">
        <v>10000.0</v>
      </c>
      <c r="M795" s="28">
        <v>0.0</v>
      </c>
      <c r="N795" s="28">
        <v>0.0</v>
      </c>
      <c r="O795" s="28">
        <v>0.0</v>
      </c>
      <c r="P795" s="28">
        <v>0.0</v>
      </c>
      <c r="Q795" s="33"/>
      <c r="R795" s="11"/>
    </row>
    <row r="796" ht="15.75" customHeight="1">
      <c r="A796" s="13">
        <f t="shared" si="1"/>
        <v>795</v>
      </c>
      <c r="B796" s="15" t="s">
        <v>24</v>
      </c>
      <c r="C796" s="17">
        <v>1928.0</v>
      </c>
      <c r="D796" s="17" t="s">
        <v>29</v>
      </c>
      <c r="E796" s="17" t="s">
        <v>594</v>
      </c>
      <c r="F796" s="23" t="s">
        <v>33</v>
      </c>
      <c r="G796" s="23" t="s">
        <v>596</v>
      </c>
      <c r="H796" s="25" t="s">
        <v>36</v>
      </c>
      <c r="I796" s="30">
        <v>46293.0</v>
      </c>
      <c r="J796" s="17">
        <v>0.0</v>
      </c>
      <c r="K796" s="23" t="s">
        <v>38</v>
      </c>
      <c r="L796" s="28">
        <v>50000.0</v>
      </c>
      <c r="M796" s="28">
        <v>0.0</v>
      </c>
      <c r="N796" s="28">
        <v>0.0</v>
      </c>
      <c r="O796" s="28">
        <v>0.0</v>
      </c>
      <c r="P796" s="28">
        <v>0.0</v>
      </c>
      <c r="Q796" s="33"/>
      <c r="R796" s="11"/>
    </row>
    <row r="797" ht="15.75" customHeight="1">
      <c r="A797" s="13">
        <f t="shared" si="1"/>
        <v>796</v>
      </c>
      <c r="B797" s="15" t="s">
        <v>24</v>
      </c>
      <c r="C797" s="17">
        <v>1928.0</v>
      </c>
      <c r="D797" s="17" t="s">
        <v>58</v>
      </c>
      <c r="E797" s="17" t="s">
        <v>605</v>
      </c>
      <c r="F797" s="14" t="s">
        <v>44</v>
      </c>
      <c r="G797" s="23" t="s">
        <v>606</v>
      </c>
      <c r="H797" s="14" t="s">
        <v>37</v>
      </c>
      <c r="I797" s="30">
        <v>46294.0</v>
      </c>
      <c r="J797" s="17">
        <v>1.0</v>
      </c>
      <c r="K797" s="23" t="s">
        <v>38</v>
      </c>
      <c r="L797" s="28">
        <v>100000.0</v>
      </c>
      <c r="M797" s="28">
        <v>0.0</v>
      </c>
      <c r="N797" s="28">
        <v>0.0</v>
      </c>
      <c r="O797" s="28">
        <v>0.0</v>
      </c>
      <c r="P797" s="28">
        <v>0.0</v>
      </c>
      <c r="Q797" s="33"/>
      <c r="R797" s="11"/>
    </row>
    <row r="798" ht="15.75" customHeight="1">
      <c r="A798" s="13">
        <f t="shared" si="1"/>
        <v>797</v>
      </c>
      <c r="B798" s="15" t="s">
        <v>24</v>
      </c>
      <c r="C798" s="17">
        <v>1928.0</v>
      </c>
      <c r="D798" s="17" t="s">
        <v>87</v>
      </c>
      <c r="E798" s="17" t="s">
        <v>609</v>
      </c>
      <c r="F798" s="23" t="s">
        <v>223</v>
      </c>
      <c r="G798" s="23" t="s">
        <v>359</v>
      </c>
      <c r="H798" s="25" t="s">
        <v>36</v>
      </c>
      <c r="I798" s="32">
        <v>46294.0</v>
      </c>
      <c r="J798" s="17">
        <v>0.0</v>
      </c>
      <c r="K798" s="23" t="s">
        <v>38</v>
      </c>
      <c r="L798" s="28">
        <v>190000.0</v>
      </c>
      <c r="M798" s="28">
        <v>0.0</v>
      </c>
      <c r="N798" s="28">
        <v>0.0</v>
      </c>
      <c r="O798" s="28">
        <v>0.0</v>
      </c>
      <c r="P798" s="28">
        <v>0.0</v>
      </c>
      <c r="Q798" s="33"/>
      <c r="R798" s="11"/>
    </row>
    <row r="799" ht="15.75" customHeight="1">
      <c r="A799" s="13">
        <f t="shared" si="1"/>
        <v>798</v>
      </c>
      <c r="B799" s="15" t="s">
        <v>24</v>
      </c>
      <c r="C799" s="17">
        <v>1928.0</v>
      </c>
      <c r="D799" s="17" t="s">
        <v>87</v>
      </c>
      <c r="E799" s="17" t="s">
        <v>613</v>
      </c>
      <c r="F799" s="23" t="s">
        <v>614</v>
      </c>
      <c r="G799" s="23" t="s">
        <v>615</v>
      </c>
      <c r="H799" s="25" t="s">
        <v>36</v>
      </c>
      <c r="I799" s="32">
        <v>46294.0</v>
      </c>
      <c r="J799" s="17">
        <v>1.0</v>
      </c>
      <c r="K799" s="23" t="s">
        <v>38</v>
      </c>
      <c r="L799" s="28">
        <v>0.0</v>
      </c>
      <c r="M799" s="28">
        <v>50000.0</v>
      </c>
      <c r="N799" s="28">
        <v>0.0</v>
      </c>
      <c r="O799" s="28">
        <v>0.0</v>
      </c>
      <c r="P799" s="28">
        <v>0.0</v>
      </c>
      <c r="Q799" s="33"/>
      <c r="R799" s="11"/>
    </row>
    <row r="800" ht="15.75" customHeight="1">
      <c r="A800" s="13">
        <f t="shared" si="1"/>
        <v>799</v>
      </c>
      <c r="B800" s="15" t="s">
        <v>24</v>
      </c>
      <c r="C800" s="17">
        <v>1928.0</v>
      </c>
      <c r="D800" s="17" t="s">
        <v>29</v>
      </c>
      <c r="E800" s="17" t="s">
        <v>633</v>
      </c>
      <c r="F800" s="23" t="s">
        <v>33</v>
      </c>
      <c r="G800" s="23" t="s">
        <v>35</v>
      </c>
      <c r="H800" s="25" t="s">
        <v>37</v>
      </c>
      <c r="I800" s="30">
        <v>46295.0</v>
      </c>
      <c r="J800" s="17">
        <v>0.0</v>
      </c>
      <c r="K800" s="23" t="s">
        <v>38</v>
      </c>
      <c r="L800" s="28">
        <v>50000.0</v>
      </c>
      <c r="M800" s="28">
        <v>0.0</v>
      </c>
      <c r="N800" s="28">
        <v>0.0</v>
      </c>
      <c r="O800" s="28">
        <v>0.0</v>
      </c>
      <c r="P800" s="28">
        <v>0.0</v>
      </c>
      <c r="Q800" s="33"/>
      <c r="R800" s="11"/>
    </row>
    <row r="801" ht="15.75" customHeight="1">
      <c r="A801" s="13">
        <f t="shared" si="1"/>
        <v>800</v>
      </c>
      <c r="B801" s="15" t="s">
        <v>24</v>
      </c>
      <c r="C801" s="17">
        <v>1928.0</v>
      </c>
      <c r="D801" s="17" t="s">
        <v>87</v>
      </c>
      <c r="E801" s="17" t="s">
        <v>642</v>
      </c>
      <c r="F801" s="153" t="s">
        <v>272</v>
      </c>
      <c r="G801" s="23" t="s">
        <v>643</v>
      </c>
      <c r="H801" s="23" t="s">
        <v>212</v>
      </c>
      <c r="I801" s="30">
        <v>46295.0</v>
      </c>
      <c r="J801" s="17">
        <v>1.0</v>
      </c>
      <c r="K801" s="23" t="s">
        <v>38</v>
      </c>
      <c r="L801" s="28">
        <v>0.0</v>
      </c>
      <c r="M801" s="28">
        <v>50000.0</v>
      </c>
      <c r="N801" s="28">
        <v>0.0</v>
      </c>
      <c r="O801" s="28">
        <v>0.0</v>
      </c>
      <c r="P801" s="28">
        <v>0.0</v>
      </c>
      <c r="Q801" s="33"/>
      <c r="R801" s="11"/>
    </row>
    <row r="802" ht="15.75" customHeight="1">
      <c r="A802" s="13">
        <f t="shared" si="1"/>
        <v>801</v>
      </c>
      <c r="B802" s="15" t="s">
        <v>24</v>
      </c>
      <c r="C802" s="17">
        <v>1928.0</v>
      </c>
      <c r="D802" s="17" t="s">
        <v>46</v>
      </c>
      <c r="E802" s="17" t="s">
        <v>625</v>
      </c>
      <c r="F802" s="152" t="s">
        <v>51</v>
      </c>
      <c r="G802" s="65" t="s">
        <v>428</v>
      </c>
      <c r="H802" s="25" t="s">
        <v>36</v>
      </c>
      <c r="I802" s="30">
        <v>46295.0</v>
      </c>
      <c r="J802" s="17">
        <v>0.0</v>
      </c>
      <c r="K802" s="23" t="s">
        <v>57</v>
      </c>
      <c r="L802" s="28">
        <v>7000.0</v>
      </c>
      <c r="M802" s="28">
        <v>0.0</v>
      </c>
      <c r="N802" s="28">
        <v>0.0</v>
      </c>
      <c r="O802" s="28">
        <v>0.0</v>
      </c>
      <c r="P802" s="28">
        <v>0.0</v>
      </c>
      <c r="Q802" s="33"/>
      <c r="R802" s="11"/>
    </row>
    <row r="803" ht="15.75" customHeight="1">
      <c r="A803" s="13">
        <f t="shared" si="1"/>
        <v>802</v>
      </c>
      <c r="B803" s="15" t="s">
        <v>24</v>
      </c>
      <c r="C803" s="17">
        <v>1928.0</v>
      </c>
      <c r="D803" s="17" t="s">
        <v>87</v>
      </c>
      <c r="E803" s="17" t="s">
        <v>636</v>
      </c>
      <c r="F803" s="36" t="s">
        <v>279</v>
      </c>
      <c r="G803" s="23" t="s">
        <v>639</v>
      </c>
      <c r="H803" s="25" t="s">
        <v>36</v>
      </c>
      <c r="I803" s="30">
        <v>46295.0</v>
      </c>
      <c r="J803" s="17">
        <v>1.0</v>
      </c>
      <c r="K803" s="23" t="s">
        <v>38</v>
      </c>
      <c r="L803" s="28">
        <v>20000.0</v>
      </c>
      <c r="M803" s="28">
        <v>0.0</v>
      </c>
      <c r="N803" s="28">
        <v>0.0</v>
      </c>
      <c r="O803" s="28">
        <v>0.0</v>
      </c>
      <c r="P803" s="28">
        <v>0.0</v>
      </c>
      <c r="Q803" s="33"/>
      <c r="R803" s="11"/>
    </row>
    <row r="804" ht="15.75" customHeight="1">
      <c r="A804" s="13">
        <f t="shared" si="1"/>
        <v>803</v>
      </c>
      <c r="B804" s="15" t="s">
        <v>24</v>
      </c>
      <c r="C804" s="17">
        <v>1928.0</v>
      </c>
      <c r="D804" s="17" t="s">
        <v>29</v>
      </c>
      <c r="E804" s="17" t="s">
        <v>31</v>
      </c>
      <c r="F804" s="23" t="s">
        <v>33</v>
      </c>
      <c r="G804" s="23" t="s">
        <v>35</v>
      </c>
      <c r="H804" s="25" t="s">
        <v>37</v>
      </c>
      <c r="I804" s="30">
        <v>46295.0</v>
      </c>
      <c r="J804" s="17">
        <v>0.0</v>
      </c>
      <c r="K804" s="23" t="s">
        <v>38</v>
      </c>
      <c r="L804" s="28">
        <v>50000.0</v>
      </c>
      <c r="M804" s="28">
        <v>0.0</v>
      </c>
      <c r="N804" s="28">
        <v>0.0</v>
      </c>
      <c r="O804" s="28">
        <v>0.0</v>
      </c>
      <c r="P804" s="28">
        <v>0.0</v>
      </c>
      <c r="Q804" s="30">
        <v>46296.0</v>
      </c>
      <c r="R804" s="11"/>
    </row>
    <row r="805" ht="15.75" customHeight="1">
      <c r="A805" s="13">
        <f t="shared" si="1"/>
        <v>804</v>
      </c>
      <c r="B805" s="15" t="s">
        <v>24</v>
      </c>
      <c r="C805" s="17">
        <v>1928.0</v>
      </c>
      <c r="D805" s="17" t="s">
        <v>87</v>
      </c>
      <c r="E805" s="17" t="s">
        <v>658</v>
      </c>
      <c r="F805" s="23" t="s">
        <v>91</v>
      </c>
      <c r="G805" s="23" t="s">
        <v>659</v>
      </c>
      <c r="H805" s="25" t="s">
        <v>36</v>
      </c>
      <c r="I805" s="30">
        <v>46295.0</v>
      </c>
      <c r="J805" s="17">
        <v>0.0</v>
      </c>
      <c r="K805" s="23" t="s">
        <v>38</v>
      </c>
      <c r="L805" s="28">
        <v>12000.0</v>
      </c>
      <c r="M805" s="28">
        <v>0.0</v>
      </c>
      <c r="N805" s="28">
        <v>0.0</v>
      </c>
      <c r="O805" s="28">
        <v>0.0</v>
      </c>
      <c r="P805" s="28">
        <v>0.0</v>
      </c>
      <c r="Q805" s="33"/>
      <c r="R805" s="11"/>
    </row>
    <row r="806" ht="15.75" customHeight="1">
      <c r="A806" s="13">
        <f t="shared" si="1"/>
        <v>805</v>
      </c>
      <c r="B806" s="15" t="s">
        <v>24</v>
      </c>
      <c r="C806" s="17">
        <v>1928.0</v>
      </c>
      <c r="D806" s="17" t="s">
        <v>29</v>
      </c>
      <c r="E806" s="17" t="s">
        <v>39</v>
      </c>
      <c r="F806" s="21" t="s">
        <v>40</v>
      </c>
      <c r="G806" s="21" t="s">
        <v>41</v>
      </c>
      <c r="H806" s="14" t="s">
        <v>37</v>
      </c>
      <c r="I806" s="30">
        <v>46296.0</v>
      </c>
      <c r="J806" s="17">
        <v>5.0</v>
      </c>
      <c r="K806" s="23" t="s">
        <v>38</v>
      </c>
      <c r="L806" s="28">
        <v>400000.0</v>
      </c>
      <c r="M806" s="28">
        <v>0.0</v>
      </c>
      <c r="N806" s="28">
        <v>0.0</v>
      </c>
      <c r="O806" s="28">
        <v>0.0</v>
      </c>
      <c r="P806" s="28">
        <v>0.0</v>
      </c>
      <c r="Q806" s="33"/>
      <c r="R806" s="11"/>
    </row>
    <row r="807" ht="15.75" customHeight="1">
      <c r="A807" s="13">
        <f t="shared" si="1"/>
        <v>806</v>
      </c>
      <c r="B807" s="15" t="s">
        <v>24</v>
      </c>
      <c r="C807" s="17">
        <v>1990.0</v>
      </c>
      <c r="D807" s="17" t="s">
        <v>46</v>
      </c>
      <c r="E807" s="35" t="s">
        <v>47</v>
      </c>
      <c r="F807" s="36" t="s">
        <v>49</v>
      </c>
      <c r="G807" s="36" t="s">
        <v>54</v>
      </c>
      <c r="H807" s="23" t="s">
        <v>55</v>
      </c>
      <c r="I807" s="30">
        <v>46296.0</v>
      </c>
      <c r="J807" s="17">
        <v>0.0</v>
      </c>
      <c r="K807" s="23" t="s">
        <v>57</v>
      </c>
      <c r="L807" s="28">
        <v>5000.0</v>
      </c>
      <c r="M807" s="28">
        <v>0.0</v>
      </c>
      <c r="N807" s="28">
        <v>0.0</v>
      </c>
      <c r="O807" s="28">
        <v>0.0</v>
      </c>
      <c r="P807" s="28">
        <v>0.0</v>
      </c>
      <c r="Q807" s="28"/>
      <c r="R807" s="33"/>
    </row>
    <row r="808" ht="15.75" customHeight="1">
      <c r="A808" s="13">
        <f t="shared" si="1"/>
        <v>807</v>
      </c>
      <c r="B808" s="15" t="s">
        <v>24</v>
      </c>
      <c r="C808" s="17">
        <v>1990.0</v>
      </c>
      <c r="D808" s="17" t="s">
        <v>58</v>
      </c>
      <c r="E808" s="17" t="s">
        <v>65</v>
      </c>
      <c r="F808" s="23" t="s">
        <v>66</v>
      </c>
      <c r="G808" s="23" t="s">
        <v>67</v>
      </c>
      <c r="H808" s="14" t="s">
        <v>37</v>
      </c>
      <c r="I808" s="30">
        <v>46296.0</v>
      </c>
      <c r="J808" s="17">
        <v>1.0</v>
      </c>
      <c r="K808" s="23" t="s">
        <v>38</v>
      </c>
      <c r="L808" s="28">
        <v>300000.0</v>
      </c>
      <c r="M808" s="28">
        <v>0.0</v>
      </c>
      <c r="N808" s="28">
        <v>0.0</v>
      </c>
      <c r="O808" s="28">
        <v>0.0</v>
      </c>
      <c r="P808" s="28">
        <v>0.0</v>
      </c>
      <c r="Q808" s="33"/>
      <c r="R808" s="11"/>
    </row>
    <row r="809" ht="15.75" customHeight="1">
      <c r="A809" s="13">
        <f t="shared" si="1"/>
        <v>808</v>
      </c>
      <c r="B809" s="15" t="s">
        <v>24</v>
      </c>
      <c r="C809" s="17">
        <v>1990.0</v>
      </c>
      <c r="D809" s="17" t="s">
        <v>29</v>
      </c>
      <c r="E809" s="17" t="s">
        <v>70</v>
      </c>
      <c r="F809" s="23" t="s">
        <v>71</v>
      </c>
      <c r="G809" s="23" t="s">
        <v>72</v>
      </c>
      <c r="H809" s="14" t="s">
        <v>37</v>
      </c>
      <c r="I809" s="30">
        <v>46296.0</v>
      </c>
      <c r="J809" s="17">
        <v>1.0</v>
      </c>
      <c r="K809" s="23" t="s">
        <v>38</v>
      </c>
      <c r="L809" s="28">
        <v>0.0</v>
      </c>
      <c r="M809" s="28">
        <v>0.0</v>
      </c>
      <c r="N809" s="28">
        <v>0.0</v>
      </c>
      <c r="O809" s="28">
        <v>200000.0</v>
      </c>
      <c r="P809" s="28">
        <v>0.0</v>
      </c>
      <c r="Q809" s="30">
        <v>46303.0</v>
      </c>
      <c r="R809" s="11"/>
    </row>
    <row r="810" ht="15.75" customHeight="1">
      <c r="A810" s="13">
        <f t="shared" si="1"/>
        <v>809</v>
      </c>
      <c r="B810" s="15" t="s">
        <v>24</v>
      </c>
      <c r="C810" s="17">
        <v>1990.0</v>
      </c>
      <c r="D810" s="17" t="s">
        <v>29</v>
      </c>
      <c r="E810" s="17" t="s">
        <v>78</v>
      </c>
      <c r="F810" s="23" t="s">
        <v>71</v>
      </c>
      <c r="G810" s="23" t="s">
        <v>72</v>
      </c>
      <c r="H810" s="14" t="s">
        <v>37</v>
      </c>
      <c r="I810" s="30">
        <v>46296.0</v>
      </c>
      <c r="J810" s="17">
        <v>0.0</v>
      </c>
      <c r="K810" s="23" t="s">
        <v>38</v>
      </c>
      <c r="L810" s="28">
        <v>0.0</v>
      </c>
      <c r="M810" s="28">
        <v>0.0</v>
      </c>
      <c r="N810" s="28">
        <v>0.0</v>
      </c>
      <c r="O810" s="28">
        <v>100000.0</v>
      </c>
      <c r="P810" s="28">
        <v>0.0</v>
      </c>
      <c r="Q810" s="30">
        <v>46310.0</v>
      </c>
      <c r="R810" s="11"/>
    </row>
    <row r="811" ht="15.75" customHeight="1">
      <c r="A811" s="13">
        <f t="shared" si="1"/>
        <v>810</v>
      </c>
      <c r="B811" s="15" t="s">
        <v>24</v>
      </c>
      <c r="C811" s="17">
        <v>1990.0</v>
      </c>
      <c r="D811" s="17" t="s">
        <v>46</v>
      </c>
      <c r="E811" s="17" t="s">
        <v>118</v>
      </c>
      <c r="F811" s="36" t="s">
        <v>91</v>
      </c>
      <c r="G811" s="23" t="s">
        <v>120</v>
      </c>
      <c r="H811" s="25" t="s">
        <v>36</v>
      </c>
      <c r="I811" s="47">
        <v>46298.0</v>
      </c>
      <c r="J811" s="17">
        <v>0.0</v>
      </c>
      <c r="K811" s="22" t="s">
        <v>57</v>
      </c>
      <c r="L811" s="28">
        <v>0.0</v>
      </c>
      <c r="M811" s="28">
        <v>4000.0</v>
      </c>
      <c r="N811" s="28">
        <v>0.0</v>
      </c>
      <c r="O811" s="28">
        <v>0.0</v>
      </c>
      <c r="P811" s="28">
        <v>0.0</v>
      </c>
      <c r="Q811" s="33"/>
      <c r="R811" s="11"/>
    </row>
    <row r="812" ht="15.75" customHeight="1">
      <c r="A812" s="13">
        <f t="shared" si="1"/>
        <v>811</v>
      </c>
      <c r="B812" s="15" t="s">
        <v>24</v>
      </c>
      <c r="C812" s="17">
        <v>1990.0</v>
      </c>
      <c r="D812" s="17" t="s">
        <v>29</v>
      </c>
      <c r="E812" s="17" t="s">
        <v>128</v>
      </c>
      <c r="F812" s="21" t="s">
        <v>40</v>
      </c>
      <c r="G812" s="21" t="s">
        <v>41</v>
      </c>
      <c r="H812" s="14" t="s">
        <v>37</v>
      </c>
      <c r="I812" s="30">
        <v>46298.0</v>
      </c>
      <c r="J812" s="17">
        <v>0.0</v>
      </c>
      <c r="K812" s="23" t="s">
        <v>38</v>
      </c>
      <c r="L812" s="28">
        <v>100000.0</v>
      </c>
      <c r="M812" s="28">
        <v>0.0</v>
      </c>
      <c r="N812" s="28">
        <v>0.0</v>
      </c>
      <c r="O812" s="28">
        <v>0.0</v>
      </c>
      <c r="P812" s="28">
        <v>0.0</v>
      </c>
      <c r="Q812" s="33"/>
      <c r="R812" s="11"/>
    </row>
    <row r="813" ht="15.75" customHeight="1">
      <c r="A813" s="13">
        <f t="shared" si="1"/>
        <v>812</v>
      </c>
      <c r="B813" s="15" t="s">
        <v>24</v>
      </c>
      <c r="C813" s="17">
        <v>1990.0</v>
      </c>
      <c r="D813" s="17" t="s">
        <v>87</v>
      </c>
      <c r="E813" s="17" t="s">
        <v>132</v>
      </c>
      <c r="F813" s="23" t="s">
        <v>91</v>
      </c>
      <c r="G813" s="23" t="s">
        <v>134</v>
      </c>
      <c r="H813" s="25" t="s">
        <v>36</v>
      </c>
      <c r="I813" s="30">
        <v>46299.0</v>
      </c>
      <c r="J813" s="17">
        <v>0.0</v>
      </c>
      <c r="K813" s="23" t="s">
        <v>38</v>
      </c>
      <c r="L813" s="28">
        <v>0.0</v>
      </c>
      <c r="M813" s="28">
        <v>50000.0</v>
      </c>
      <c r="N813" s="28">
        <v>0.0</v>
      </c>
      <c r="O813" s="28">
        <v>0.0</v>
      </c>
      <c r="P813" s="28">
        <v>0.0</v>
      </c>
      <c r="Q813" s="33"/>
      <c r="R813" s="11"/>
    </row>
    <row r="814" ht="15.75" customHeight="1">
      <c r="A814" s="13">
        <f t="shared" si="1"/>
        <v>813</v>
      </c>
      <c r="B814" s="15" t="s">
        <v>24</v>
      </c>
      <c r="C814" s="17">
        <v>1990.0</v>
      </c>
      <c r="D814" s="17" t="s">
        <v>58</v>
      </c>
      <c r="E814" s="17" t="s">
        <v>147</v>
      </c>
      <c r="F814" s="14" t="s">
        <v>44</v>
      </c>
      <c r="G814" s="23" t="s">
        <v>150</v>
      </c>
      <c r="H814" s="25" t="s">
        <v>36</v>
      </c>
      <c r="I814" s="30">
        <v>46301.0</v>
      </c>
      <c r="J814" s="17">
        <v>1.0</v>
      </c>
      <c r="K814" s="23" t="s">
        <v>38</v>
      </c>
      <c r="L814" s="28">
        <v>50000.0</v>
      </c>
      <c r="M814" s="28">
        <v>0.0</v>
      </c>
      <c r="N814" s="28">
        <v>0.0</v>
      </c>
      <c r="O814" s="28">
        <v>0.0</v>
      </c>
      <c r="P814" s="28">
        <v>0.0</v>
      </c>
      <c r="Q814" s="33"/>
      <c r="R814" s="11"/>
    </row>
    <row r="815" ht="15.75" customHeight="1">
      <c r="A815" s="13">
        <f t="shared" si="1"/>
        <v>814</v>
      </c>
      <c r="B815" s="15" t="s">
        <v>24</v>
      </c>
      <c r="C815" s="17">
        <v>1990.0</v>
      </c>
      <c r="D815" s="17" t="s">
        <v>46</v>
      </c>
      <c r="E815" s="17" t="s">
        <v>152</v>
      </c>
      <c r="F815" s="21" t="s">
        <v>116</v>
      </c>
      <c r="G815" s="21" t="s">
        <v>117</v>
      </c>
      <c r="H815" s="25" t="s">
        <v>36</v>
      </c>
      <c r="I815" s="30">
        <v>46301.0</v>
      </c>
      <c r="J815" s="17">
        <v>0.0</v>
      </c>
      <c r="K815" s="23" t="s">
        <v>57</v>
      </c>
      <c r="L815" s="28">
        <v>8000.0</v>
      </c>
      <c r="M815" s="28">
        <v>0.0</v>
      </c>
      <c r="N815" s="28">
        <v>0.0</v>
      </c>
      <c r="O815" s="28">
        <v>0.0</v>
      </c>
      <c r="P815" s="28">
        <v>0.0</v>
      </c>
      <c r="Q815" s="33"/>
      <c r="R815" s="11"/>
    </row>
    <row r="816" ht="15.75" customHeight="1">
      <c r="A816" s="13">
        <f t="shared" si="1"/>
        <v>815</v>
      </c>
      <c r="B816" s="15" t="s">
        <v>24</v>
      </c>
      <c r="C816" s="17">
        <v>1990.0</v>
      </c>
      <c r="D816" s="17" t="s">
        <v>46</v>
      </c>
      <c r="E816" s="17" t="s">
        <v>156</v>
      </c>
      <c r="F816" s="23" t="s">
        <v>33</v>
      </c>
      <c r="G816" s="23" t="s">
        <v>158</v>
      </c>
      <c r="H816" s="25" t="s">
        <v>36</v>
      </c>
      <c r="I816" s="30">
        <v>46301.0</v>
      </c>
      <c r="J816" s="17">
        <v>0.0</v>
      </c>
      <c r="K816" s="23" t="s">
        <v>57</v>
      </c>
      <c r="L816" s="28">
        <v>20000.0</v>
      </c>
      <c r="M816" s="28">
        <v>0.0</v>
      </c>
      <c r="N816" s="28">
        <v>0.0</v>
      </c>
      <c r="O816" s="28">
        <v>0.0</v>
      </c>
      <c r="P816" s="28">
        <v>0.0</v>
      </c>
      <c r="Q816" s="33"/>
      <c r="R816" s="11"/>
    </row>
    <row r="817" ht="15.75" customHeight="1">
      <c r="A817" s="13">
        <f t="shared" si="1"/>
        <v>816</v>
      </c>
      <c r="B817" s="15" t="s">
        <v>24</v>
      </c>
      <c r="C817" s="17">
        <v>1990.0</v>
      </c>
      <c r="D817" s="17" t="s">
        <v>501</v>
      </c>
      <c r="E817" s="17" t="s">
        <v>1430</v>
      </c>
      <c r="F817" s="25"/>
      <c r="G817" s="25"/>
      <c r="H817" s="25"/>
      <c r="I817" s="30"/>
      <c r="J817" s="15"/>
      <c r="K817" s="25"/>
      <c r="L817" s="28"/>
      <c r="M817" s="28"/>
      <c r="N817" s="28"/>
      <c r="O817" s="28"/>
      <c r="P817" s="28"/>
      <c r="Q817" s="33"/>
      <c r="R817" s="11"/>
    </row>
    <row r="818" ht="15.75" customHeight="1">
      <c r="A818" s="13">
        <f t="shared" si="1"/>
        <v>817</v>
      </c>
      <c r="B818" s="15" t="s">
        <v>24</v>
      </c>
      <c r="C818" s="17">
        <v>1990.0</v>
      </c>
      <c r="D818" s="17" t="s">
        <v>501</v>
      </c>
      <c r="E818" s="17" t="s">
        <v>1431</v>
      </c>
      <c r="F818" s="25"/>
      <c r="G818" s="25"/>
      <c r="H818" s="25"/>
      <c r="I818" s="30"/>
      <c r="J818" s="15"/>
      <c r="K818" s="25"/>
      <c r="L818" s="28"/>
      <c r="M818" s="28"/>
      <c r="N818" s="28"/>
      <c r="O818" s="28"/>
      <c r="P818" s="28"/>
      <c r="Q818" s="33"/>
      <c r="R818" s="11"/>
    </row>
    <row r="819" ht="15.75" customHeight="1">
      <c r="A819" s="13">
        <f t="shared" si="1"/>
        <v>818</v>
      </c>
      <c r="B819" s="15" t="s">
        <v>24</v>
      </c>
      <c r="C819" s="17">
        <v>1990.0</v>
      </c>
      <c r="D819" s="17" t="s">
        <v>501</v>
      </c>
      <c r="E819" s="17" t="s">
        <v>1432</v>
      </c>
      <c r="F819" s="25"/>
      <c r="G819" s="25"/>
      <c r="H819" s="25"/>
      <c r="I819" s="30"/>
      <c r="J819" s="15"/>
      <c r="K819" s="25"/>
      <c r="L819" s="28"/>
      <c r="M819" s="28"/>
      <c r="N819" s="28"/>
      <c r="O819" s="28"/>
      <c r="P819" s="28"/>
      <c r="Q819" s="33"/>
      <c r="R819" s="11"/>
    </row>
    <row r="820" ht="15.75" customHeight="1">
      <c r="A820" s="13">
        <f t="shared" si="1"/>
        <v>819</v>
      </c>
      <c r="B820" s="15" t="s">
        <v>24</v>
      </c>
      <c r="C820" s="17">
        <v>1990.0</v>
      </c>
      <c r="D820" s="17" t="s">
        <v>501</v>
      </c>
      <c r="E820" s="17" t="s">
        <v>1433</v>
      </c>
      <c r="F820" s="25"/>
      <c r="G820" s="25"/>
      <c r="H820" s="25"/>
      <c r="I820" s="30"/>
      <c r="J820" s="15"/>
      <c r="K820" s="25"/>
      <c r="L820" s="28"/>
      <c r="M820" s="28"/>
      <c r="N820" s="28"/>
      <c r="O820" s="28"/>
      <c r="P820" s="28"/>
      <c r="Q820" s="33"/>
      <c r="R820" s="11"/>
    </row>
    <row r="821" ht="15.75" customHeight="1">
      <c r="A821" s="13">
        <f t="shared" si="1"/>
        <v>820</v>
      </c>
      <c r="B821" s="15" t="s">
        <v>24</v>
      </c>
      <c r="C821" s="17">
        <v>1990.0</v>
      </c>
      <c r="D821" s="17" t="s">
        <v>501</v>
      </c>
      <c r="E821" s="17" t="s">
        <v>1434</v>
      </c>
      <c r="F821" s="25"/>
      <c r="G821" s="25"/>
      <c r="H821" s="25"/>
      <c r="I821" s="30"/>
      <c r="J821" s="15"/>
      <c r="K821" s="25"/>
      <c r="L821" s="28"/>
      <c r="M821" s="28"/>
      <c r="N821" s="28"/>
      <c r="O821" s="28"/>
      <c r="P821" s="28"/>
      <c r="Q821" s="33"/>
      <c r="R821" s="11"/>
    </row>
    <row r="822" ht="15.75" customHeight="1">
      <c r="A822" s="13">
        <f t="shared" si="1"/>
        <v>821</v>
      </c>
      <c r="B822" s="15" t="s">
        <v>24</v>
      </c>
      <c r="C822" s="17">
        <v>1990.0</v>
      </c>
      <c r="D822" s="17" t="s">
        <v>501</v>
      </c>
      <c r="E822" s="17" t="s">
        <v>1435</v>
      </c>
      <c r="F822" s="25"/>
      <c r="G822" s="25"/>
      <c r="H822" s="25"/>
      <c r="I822" s="30"/>
      <c r="J822" s="15"/>
      <c r="K822" s="25"/>
      <c r="L822" s="28"/>
      <c r="M822" s="28"/>
      <c r="N822" s="28"/>
      <c r="O822" s="28"/>
      <c r="P822" s="28"/>
      <c r="Q822" s="33"/>
      <c r="R822" s="11"/>
    </row>
    <row r="823" ht="15.75" customHeight="1">
      <c r="A823" s="13">
        <f t="shared" si="1"/>
        <v>822</v>
      </c>
      <c r="B823" s="15" t="s">
        <v>24</v>
      </c>
      <c r="C823" s="17">
        <v>1990.0</v>
      </c>
      <c r="D823" s="17" t="s">
        <v>501</v>
      </c>
      <c r="E823" s="17" t="s">
        <v>1436</v>
      </c>
      <c r="F823" s="25"/>
      <c r="G823" s="25"/>
      <c r="H823" s="25"/>
      <c r="I823" s="30"/>
      <c r="J823" s="15"/>
      <c r="K823" s="25"/>
      <c r="L823" s="28"/>
      <c r="M823" s="28"/>
      <c r="N823" s="28"/>
      <c r="O823" s="28"/>
      <c r="P823" s="28"/>
      <c r="Q823" s="33"/>
      <c r="R823" s="11"/>
    </row>
    <row r="824" ht="15.75" customHeight="1">
      <c r="A824" s="13">
        <f t="shared" si="1"/>
        <v>823</v>
      </c>
      <c r="B824" s="15" t="s">
        <v>24</v>
      </c>
      <c r="C824" s="17">
        <v>1990.0</v>
      </c>
      <c r="D824" s="17" t="s">
        <v>501</v>
      </c>
      <c r="E824" s="17" t="s">
        <v>1437</v>
      </c>
      <c r="F824" s="25"/>
      <c r="G824" s="25"/>
      <c r="H824" s="25"/>
      <c r="I824" s="30"/>
      <c r="J824" s="15"/>
      <c r="K824" s="25"/>
      <c r="L824" s="28"/>
      <c r="M824" s="28"/>
      <c r="N824" s="28"/>
      <c r="O824" s="28"/>
      <c r="P824" s="28"/>
      <c r="Q824" s="33"/>
      <c r="R824" s="11"/>
    </row>
    <row r="825" ht="15.75" customHeight="1">
      <c r="A825" s="13">
        <f t="shared" si="1"/>
        <v>824</v>
      </c>
      <c r="B825" s="15" t="s">
        <v>24</v>
      </c>
      <c r="C825" s="17">
        <v>1990.0</v>
      </c>
      <c r="D825" s="17" t="s">
        <v>501</v>
      </c>
      <c r="E825" s="17" t="s">
        <v>1438</v>
      </c>
      <c r="F825" s="25"/>
      <c r="G825" s="25"/>
      <c r="H825" s="25"/>
      <c r="I825" s="30"/>
      <c r="J825" s="15"/>
      <c r="K825" s="25"/>
      <c r="L825" s="28"/>
      <c r="M825" s="28"/>
      <c r="N825" s="28"/>
      <c r="O825" s="28"/>
      <c r="P825" s="28"/>
      <c r="Q825" s="33"/>
      <c r="R825" s="11"/>
    </row>
    <row r="826" ht="15.75" customHeight="1">
      <c r="A826" s="13">
        <f t="shared" si="1"/>
        <v>825</v>
      </c>
      <c r="B826" s="15" t="s">
        <v>24</v>
      </c>
      <c r="C826" s="17">
        <v>1990.0</v>
      </c>
      <c r="D826" s="17" t="s">
        <v>501</v>
      </c>
      <c r="E826" s="17" t="s">
        <v>1439</v>
      </c>
      <c r="F826" s="25"/>
      <c r="G826" s="25"/>
      <c r="H826" s="25"/>
      <c r="I826" s="30"/>
      <c r="J826" s="15"/>
      <c r="K826" s="25"/>
      <c r="L826" s="28"/>
      <c r="M826" s="28"/>
      <c r="N826" s="28"/>
      <c r="O826" s="28"/>
      <c r="P826" s="28"/>
      <c r="Q826" s="33"/>
      <c r="R826" s="11"/>
    </row>
    <row r="827" ht="15.75" customHeight="1">
      <c r="A827" s="13">
        <f t="shared" si="1"/>
        <v>826</v>
      </c>
      <c r="B827" s="15" t="s">
        <v>24</v>
      </c>
      <c r="C827" s="17">
        <v>1990.0</v>
      </c>
      <c r="D827" s="17" t="s">
        <v>501</v>
      </c>
      <c r="E827" s="17" t="s">
        <v>1440</v>
      </c>
      <c r="F827" s="25"/>
      <c r="G827" s="25"/>
      <c r="H827" s="25"/>
      <c r="I827" s="30"/>
      <c r="J827" s="15"/>
      <c r="K827" s="25"/>
      <c r="L827" s="28"/>
      <c r="M827" s="28"/>
      <c r="N827" s="28"/>
      <c r="O827" s="28"/>
      <c r="P827" s="28"/>
      <c r="Q827" s="33"/>
      <c r="R827" s="11"/>
    </row>
    <row r="828" ht="15.75" customHeight="1">
      <c r="A828" s="13">
        <f t="shared" si="1"/>
        <v>827</v>
      </c>
      <c r="B828" s="15" t="s">
        <v>24</v>
      </c>
      <c r="C828" s="17">
        <v>1990.0</v>
      </c>
      <c r="D828" s="17" t="s">
        <v>501</v>
      </c>
      <c r="E828" s="17" t="s">
        <v>1441</v>
      </c>
      <c r="F828" s="25"/>
      <c r="G828" s="25"/>
      <c r="H828" s="25"/>
      <c r="I828" s="30"/>
      <c r="J828" s="15"/>
      <c r="K828" s="25"/>
      <c r="L828" s="28"/>
      <c r="M828" s="28"/>
      <c r="N828" s="28"/>
      <c r="O828" s="28"/>
      <c r="P828" s="28"/>
      <c r="Q828" s="33"/>
      <c r="R828" s="11"/>
    </row>
    <row r="829" ht="15.75" customHeight="1">
      <c r="A829" s="13">
        <f t="shared" si="1"/>
        <v>828</v>
      </c>
      <c r="B829" s="15" t="s">
        <v>24</v>
      </c>
      <c r="C829" s="17">
        <v>1990.0</v>
      </c>
      <c r="D829" s="17" t="s">
        <v>501</v>
      </c>
      <c r="E829" s="17" t="s">
        <v>1442</v>
      </c>
      <c r="F829" s="25"/>
      <c r="G829" s="25"/>
      <c r="H829" s="25"/>
      <c r="I829" s="30"/>
      <c r="J829" s="15"/>
      <c r="K829" s="25"/>
      <c r="L829" s="28"/>
      <c r="M829" s="28"/>
      <c r="N829" s="28"/>
      <c r="O829" s="28"/>
      <c r="P829" s="28"/>
      <c r="Q829" s="33"/>
      <c r="R829" s="11"/>
    </row>
    <row r="830" ht="15.75" customHeight="1">
      <c r="A830" s="13">
        <f t="shared" si="1"/>
        <v>829</v>
      </c>
      <c r="B830" s="15" t="s">
        <v>24</v>
      </c>
      <c r="C830" s="17">
        <v>1990.0</v>
      </c>
      <c r="D830" s="17" t="s">
        <v>501</v>
      </c>
      <c r="E830" s="17" t="s">
        <v>1443</v>
      </c>
      <c r="F830" s="25"/>
      <c r="G830" s="25"/>
      <c r="H830" s="25"/>
      <c r="I830" s="30"/>
      <c r="J830" s="15"/>
      <c r="K830" s="25"/>
      <c r="L830" s="28"/>
      <c r="M830" s="28"/>
      <c r="N830" s="28"/>
      <c r="O830" s="28"/>
      <c r="P830" s="28"/>
      <c r="Q830" s="33"/>
      <c r="R830" s="11"/>
    </row>
    <row r="831" ht="15.75" customHeight="1">
      <c r="A831" s="13">
        <f t="shared" si="1"/>
        <v>830</v>
      </c>
      <c r="B831" s="15" t="s">
        <v>24</v>
      </c>
      <c r="C831" s="17">
        <v>1990.0</v>
      </c>
      <c r="D831" s="17" t="s">
        <v>501</v>
      </c>
      <c r="E831" s="17" t="s">
        <v>1444</v>
      </c>
      <c r="F831" s="25"/>
      <c r="G831" s="25"/>
      <c r="H831" s="25"/>
      <c r="I831" s="30"/>
      <c r="J831" s="15"/>
      <c r="K831" s="25"/>
      <c r="L831" s="28"/>
      <c r="M831" s="28"/>
      <c r="N831" s="28"/>
      <c r="O831" s="28"/>
      <c r="P831" s="28"/>
      <c r="Q831" s="33"/>
      <c r="R831" s="11"/>
    </row>
    <row r="832" ht="15.75" customHeight="1">
      <c r="A832" s="13">
        <f t="shared" si="1"/>
        <v>831</v>
      </c>
      <c r="B832" s="15" t="s">
        <v>24</v>
      </c>
      <c r="C832" s="17">
        <v>1990.0</v>
      </c>
      <c r="D832" s="17" t="s">
        <v>501</v>
      </c>
      <c r="E832" s="17" t="s">
        <v>1445</v>
      </c>
      <c r="F832" s="25"/>
      <c r="G832" s="25"/>
      <c r="H832" s="25"/>
      <c r="I832" s="30"/>
      <c r="J832" s="15"/>
      <c r="K832" s="25"/>
      <c r="L832" s="28"/>
      <c r="M832" s="28"/>
      <c r="N832" s="28"/>
      <c r="O832" s="28"/>
      <c r="P832" s="28"/>
      <c r="Q832" s="33"/>
      <c r="R832" s="11"/>
    </row>
    <row r="833" ht="15.75" customHeight="1">
      <c r="A833" s="13">
        <f t="shared" si="1"/>
        <v>832</v>
      </c>
      <c r="B833" s="15" t="s">
        <v>24</v>
      </c>
      <c r="C833" s="17">
        <v>1990.0</v>
      </c>
      <c r="D833" s="17" t="s">
        <v>501</v>
      </c>
      <c r="E833" s="17" t="s">
        <v>1446</v>
      </c>
      <c r="F833" s="25"/>
      <c r="G833" s="25"/>
      <c r="H833" s="25"/>
      <c r="I833" s="30"/>
      <c r="J833" s="15"/>
      <c r="K833" s="25"/>
      <c r="L833" s="28"/>
      <c r="M833" s="28"/>
      <c r="N833" s="28"/>
      <c r="O833" s="28"/>
      <c r="P833" s="28"/>
      <c r="Q833" s="33"/>
      <c r="R833" s="11"/>
    </row>
    <row r="834" ht="15.75" customHeight="1">
      <c r="A834" s="13">
        <f t="shared" si="1"/>
        <v>833</v>
      </c>
      <c r="B834" s="15" t="s">
        <v>24</v>
      </c>
      <c r="C834" s="17">
        <v>1990.0</v>
      </c>
      <c r="D834" s="17" t="s">
        <v>501</v>
      </c>
      <c r="E834" s="17" t="s">
        <v>1447</v>
      </c>
      <c r="F834" s="25"/>
      <c r="G834" s="25"/>
      <c r="H834" s="25"/>
      <c r="I834" s="30"/>
      <c r="J834" s="15"/>
      <c r="K834" s="25"/>
      <c r="L834" s="28"/>
      <c r="M834" s="28"/>
      <c r="N834" s="28"/>
      <c r="O834" s="28"/>
      <c r="P834" s="28"/>
      <c r="Q834" s="33"/>
      <c r="R834" s="11"/>
    </row>
    <row r="835" ht="15.75" customHeight="1">
      <c r="A835" s="13">
        <f t="shared" si="1"/>
        <v>834</v>
      </c>
      <c r="B835" s="15" t="s">
        <v>24</v>
      </c>
      <c r="C835" s="17">
        <v>1990.0</v>
      </c>
      <c r="D835" s="17" t="s">
        <v>501</v>
      </c>
      <c r="E835" s="17" t="s">
        <v>1448</v>
      </c>
      <c r="F835" s="25"/>
      <c r="G835" s="25"/>
      <c r="H835" s="25"/>
      <c r="I835" s="30"/>
      <c r="J835" s="15"/>
      <c r="K835" s="25"/>
      <c r="L835" s="28"/>
      <c r="M835" s="28"/>
      <c r="N835" s="28"/>
      <c r="O835" s="28"/>
      <c r="P835" s="28"/>
      <c r="Q835" s="33"/>
      <c r="R835" s="11"/>
    </row>
    <row r="836" ht="15.75" customHeight="1">
      <c r="A836" s="13">
        <f t="shared" si="1"/>
        <v>835</v>
      </c>
      <c r="B836" s="15" t="s">
        <v>24</v>
      </c>
      <c r="C836" s="17">
        <v>1990.0</v>
      </c>
      <c r="D836" s="17" t="s">
        <v>501</v>
      </c>
      <c r="E836" s="17" t="s">
        <v>1449</v>
      </c>
      <c r="F836" s="25"/>
      <c r="G836" s="25"/>
      <c r="H836" s="25"/>
      <c r="I836" s="30"/>
      <c r="J836" s="15"/>
      <c r="K836" s="25"/>
      <c r="L836" s="28"/>
      <c r="M836" s="28"/>
      <c r="N836" s="28"/>
      <c r="O836" s="28"/>
      <c r="P836" s="28"/>
      <c r="Q836" s="33"/>
      <c r="R836" s="11"/>
    </row>
    <row r="837" ht="15.75" customHeight="1">
      <c r="A837" s="13">
        <f t="shared" si="1"/>
        <v>836</v>
      </c>
      <c r="B837" s="15" t="s">
        <v>24</v>
      </c>
      <c r="C837" s="17">
        <v>1990.0</v>
      </c>
      <c r="D837" s="17" t="s">
        <v>501</v>
      </c>
      <c r="E837" s="17" t="s">
        <v>1450</v>
      </c>
      <c r="F837" s="25"/>
      <c r="G837" s="25"/>
      <c r="H837" s="25"/>
      <c r="I837" s="30"/>
      <c r="J837" s="15"/>
      <c r="K837" s="25"/>
      <c r="L837" s="28"/>
      <c r="M837" s="28"/>
      <c r="N837" s="28"/>
      <c r="O837" s="28"/>
      <c r="P837" s="28"/>
      <c r="Q837" s="33"/>
      <c r="R837" s="11"/>
    </row>
    <row r="838" ht="15.75" customHeight="1">
      <c r="A838" s="13">
        <f t="shared" si="1"/>
        <v>837</v>
      </c>
      <c r="B838" s="15" t="s">
        <v>24</v>
      </c>
      <c r="C838" s="17">
        <v>1990.0</v>
      </c>
      <c r="D838" s="17" t="s">
        <v>501</v>
      </c>
      <c r="E838" s="17" t="s">
        <v>1451</v>
      </c>
      <c r="F838" s="25"/>
      <c r="G838" s="25"/>
      <c r="H838" s="25"/>
      <c r="I838" s="30"/>
      <c r="J838" s="15"/>
      <c r="K838" s="25"/>
      <c r="L838" s="28"/>
      <c r="M838" s="28"/>
      <c r="N838" s="28"/>
      <c r="O838" s="28"/>
      <c r="P838" s="28"/>
      <c r="Q838" s="33"/>
      <c r="R838" s="11"/>
    </row>
    <row r="839" ht="15.75" customHeight="1">
      <c r="A839" s="13">
        <f t="shared" si="1"/>
        <v>838</v>
      </c>
      <c r="B839" s="15" t="s">
        <v>24</v>
      </c>
      <c r="C839" s="17">
        <v>1990.0</v>
      </c>
      <c r="D839" s="17" t="s">
        <v>501</v>
      </c>
      <c r="E839" s="17" t="s">
        <v>1452</v>
      </c>
      <c r="F839" s="25"/>
      <c r="G839" s="25"/>
      <c r="H839" s="25"/>
      <c r="I839" s="30"/>
      <c r="J839" s="15"/>
      <c r="K839" s="25"/>
      <c r="L839" s="28"/>
      <c r="M839" s="28"/>
      <c r="N839" s="28"/>
      <c r="O839" s="28"/>
      <c r="P839" s="28"/>
      <c r="Q839" s="33"/>
      <c r="R839" s="11"/>
    </row>
    <row r="840" ht="15.75" customHeight="1">
      <c r="A840" s="13">
        <f t="shared" si="1"/>
        <v>839</v>
      </c>
      <c r="B840" s="15" t="s">
        <v>24</v>
      </c>
      <c r="C840" s="17">
        <v>1990.0</v>
      </c>
      <c r="D840" s="17" t="s">
        <v>501</v>
      </c>
      <c r="E840" s="17" t="s">
        <v>1453</v>
      </c>
      <c r="F840" s="25"/>
      <c r="G840" s="25"/>
      <c r="H840" s="25"/>
      <c r="I840" s="30"/>
      <c r="J840" s="15"/>
      <c r="K840" s="25"/>
      <c r="L840" s="28"/>
      <c r="M840" s="28"/>
      <c r="N840" s="28"/>
      <c r="O840" s="28"/>
      <c r="P840" s="28"/>
      <c r="Q840" s="33"/>
      <c r="R840" s="11"/>
    </row>
    <row r="841" ht="15.75" customHeight="1">
      <c r="A841" s="13">
        <f t="shared" si="1"/>
        <v>840</v>
      </c>
      <c r="B841" s="15" t="s">
        <v>24</v>
      </c>
      <c r="C841" s="17">
        <v>1990.0</v>
      </c>
      <c r="D841" s="17" t="s">
        <v>501</v>
      </c>
      <c r="E841" s="17" t="s">
        <v>1454</v>
      </c>
      <c r="F841" s="25"/>
      <c r="G841" s="25"/>
      <c r="H841" s="25"/>
      <c r="I841" s="30"/>
      <c r="J841" s="15"/>
      <c r="K841" s="25"/>
      <c r="L841" s="28"/>
      <c r="M841" s="28"/>
      <c r="N841" s="28"/>
      <c r="O841" s="28"/>
      <c r="P841" s="28"/>
      <c r="Q841" s="33"/>
      <c r="R841" s="11"/>
    </row>
    <row r="842" ht="15.75" customHeight="1">
      <c r="A842" s="13">
        <f t="shared" si="1"/>
        <v>841</v>
      </c>
      <c r="B842" s="15" t="s">
        <v>24</v>
      </c>
      <c r="C842" s="17">
        <v>1990.0</v>
      </c>
      <c r="D842" s="17" t="s">
        <v>501</v>
      </c>
      <c r="E842" s="17" t="s">
        <v>1455</v>
      </c>
      <c r="F842" s="25"/>
      <c r="G842" s="25"/>
      <c r="H842" s="25"/>
      <c r="I842" s="30"/>
      <c r="J842" s="15"/>
      <c r="K842" s="25"/>
      <c r="L842" s="28"/>
      <c r="M842" s="28"/>
      <c r="N842" s="28"/>
      <c r="O842" s="28"/>
      <c r="P842" s="28"/>
      <c r="Q842" s="33"/>
      <c r="R842" s="11"/>
    </row>
    <row r="843" ht="15.75" customHeight="1">
      <c r="A843" s="13">
        <f t="shared" si="1"/>
        <v>842</v>
      </c>
      <c r="B843" s="15" t="s">
        <v>24</v>
      </c>
      <c r="C843" s="17">
        <v>1990.0</v>
      </c>
      <c r="D843" s="17" t="s">
        <v>501</v>
      </c>
      <c r="E843" s="17" t="s">
        <v>1456</v>
      </c>
      <c r="F843" s="25"/>
      <c r="G843" s="25"/>
      <c r="H843" s="25"/>
      <c r="I843" s="30"/>
      <c r="J843" s="15"/>
      <c r="K843" s="25"/>
      <c r="L843" s="28"/>
      <c r="M843" s="28"/>
      <c r="N843" s="28"/>
      <c r="O843" s="28"/>
      <c r="P843" s="28"/>
      <c r="Q843" s="33"/>
      <c r="R843" s="11"/>
    </row>
    <row r="844" ht="15.75" customHeight="1">
      <c r="A844" s="13">
        <f t="shared" si="1"/>
        <v>843</v>
      </c>
      <c r="B844" s="15" t="s">
        <v>24</v>
      </c>
      <c r="C844" s="17">
        <v>1990.0</v>
      </c>
      <c r="D844" s="17" t="s">
        <v>501</v>
      </c>
      <c r="E844" s="17" t="s">
        <v>1457</v>
      </c>
      <c r="F844" s="25"/>
      <c r="G844" s="25"/>
      <c r="H844" s="25"/>
      <c r="I844" s="30"/>
      <c r="J844" s="15"/>
      <c r="K844" s="25"/>
      <c r="L844" s="28"/>
      <c r="M844" s="28"/>
      <c r="N844" s="28"/>
      <c r="O844" s="28"/>
      <c r="P844" s="28"/>
      <c r="Q844" s="33"/>
      <c r="R844" s="11"/>
    </row>
    <row r="845" ht="15.75" customHeight="1">
      <c r="A845" s="13">
        <f t="shared" si="1"/>
        <v>844</v>
      </c>
      <c r="B845" s="15" t="s">
        <v>24</v>
      </c>
      <c r="C845" s="17">
        <v>1990.0</v>
      </c>
      <c r="D845" s="17" t="s">
        <v>501</v>
      </c>
      <c r="E845" s="17" t="s">
        <v>1458</v>
      </c>
      <c r="F845" s="25"/>
      <c r="G845" s="25"/>
      <c r="H845" s="25"/>
      <c r="I845" s="30"/>
      <c r="J845" s="15"/>
      <c r="K845" s="25"/>
      <c r="L845" s="28"/>
      <c r="M845" s="28"/>
      <c r="N845" s="28"/>
      <c r="O845" s="28"/>
      <c r="P845" s="28"/>
      <c r="Q845" s="33"/>
      <c r="R845" s="11"/>
    </row>
    <row r="846" ht="15.75" customHeight="1">
      <c r="A846" s="13">
        <f t="shared" si="1"/>
        <v>845</v>
      </c>
      <c r="B846" s="15" t="s">
        <v>24</v>
      </c>
      <c r="C846" s="17">
        <v>1990.0</v>
      </c>
      <c r="D846" s="17" t="s">
        <v>501</v>
      </c>
      <c r="E846" s="17" t="s">
        <v>1459</v>
      </c>
      <c r="F846" s="25"/>
      <c r="G846" s="25"/>
      <c r="H846" s="25"/>
      <c r="I846" s="30"/>
      <c r="J846" s="15"/>
      <c r="K846" s="25"/>
      <c r="L846" s="28"/>
      <c r="M846" s="28"/>
      <c r="N846" s="28"/>
      <c r="O846" s="28"/>
      <c r="P846" s="28"/>
      <c r="Q846" s="33"/>
      <c r="R846" s="11"/>
    </row>
    <row r="847" ht="15.75" customHeight="1">
      <c r="A847" s="13">
        <f t="shared" si="1"/>
        <v>846</v>
      </c>
      <c r="B847" s="15" t="s">
        <v>24</v>
      </c>
      <c r="C847" s="17">
        <v>1990.0</v>
      </c>
      <c r="D847" s="17" t="s">
        <v>501</v>
      </c>
      <c r="E847" s="17" t="s">
        <v>1460</v>
      </c>
      <c r="F847" s="25"/>
      <c r="G847" s="25"/>
      <c r="H847" s="25"/>
      <c r="I847" s="30"/>
      <c r="J847" s="15"/>
      <c r="K847" s="25"/>
      <c r="L847" s="28"/>
      <c r="M847" s="28"/>
      <c r="N847" s="28"/>
      <c r="O847" s="28"/>
      <c r="P847" s="28"/>
      <c r="Q847" s="33"/>
      <c r="R847" s="11"/>
    </row>
    <row r="848" ht="15.75" customHeight="1">
      <c r="A848" s="13">
        <f t="shared" si="1"/>
        <v>847</v>
      </c>
      <c r="B848" s="15" t="s">
        <v>24</v>
      </c>
      <c r="C848" s="17">
        <v>1990.0</v>
      </c>
      <c r="D848" s="17" t="s">
        <v>501</v>
      </c>
      <c r="E848" s="17" t="s">
        <v>1461</v>
      </c>
      <c r="F848" s="25"/>
      <c r="G848" s="25"/>
      <c r="H848" s="25"/>
      <c r="I848" s="30"/>
      <c r="J848" s="15"/>
      <c r="K848" s="25"/>
      <c r="L848" s="28"/>
      <c r="M848" s="28"/>
      <c r="N848" s="28"/>
      <c r="O848" s="28"/>
      <c r="P848" s="28"/>
      <c r="Q848" s="33"/>
      <c r="R848" s="11"/>
    </row>
    <row r="849" ht="15.75" customHeight="1">
      <c r="A849" s="13">
        <f t="shared" si="1"/>
        <v>848</v>
      </c>
      <c r="B849" s="15" t="s">
        <v>24</v>
      </c>
      <c r="C849" s="17">
        <v>1990.0</v>
      </c>
      <c r="D849" s="17" t="s">
        <v>501</v>
      </c>
      <c r="E849" s="17" t="s">
        <v>1462</v>
      </c>
      <c r="F849" s="25"/>
      <c r="G849" s="25"/>
      <c r="H849" s="25"/>
      <c r="I849" s="30"/>
      <c r="J849" s="15"/>
      <c r="K849" s="25"/>
      <c r="L849" s="28"/>
      <c r="M849" s="28"/>
      <c r="N849" s="28"/>
      <c r="O849" s="28"/>
      <c r="P849" s="28"/>
      <c r="Q849" s="33"/>
      <c r="R849" s="11"/>
    </row>
    <row r="850" ht="15.75" customHeight="1">
      <c r="A850" s="13">
        <f t="shared" si="1"/>
        <v>849</v>
      </c>
      <c r="B850" s="15" t="s">
        <v>24</v>
      </c>
      <c r="C850" s="17">
        <v>1990.0</v>
      </c>
      <c r="D850" s="17" t="s">
        <v>501</v>
      </c>
      <c r="E850" s="17" t="s">
        <v>1463</v>
      </c>
      <c r="F850" s="25"/>
      <c r="G850" s="25"/>
      <c r="H850" s="25"/>
      <c r="I850" s="30"/>
      <c r="J850" s="15"/>
      <c r="K850" s="25"/>
      <c r="L850" s="28"/>
      <c r="M850" s="28"/>
      <c r="N850" s="28"/>
      <c r="O850" s="28"/>
      <c r="P850" s="28"/>
      <c r="Q850" s="33"/>
      <c r="R850" s="11"/>
    </row>
    <row r="851" ht="15.75" customHeight="1">
      <c r="A851" s="13">
        <f t="shared" si="1"/>
        <v>850</v>
      </c>
      <c r="B851" s="15" t="s">
        <v>24</v>
      </c>
      <c r="C851" s="17">
        <v>1990.0</v>
      </c>
      <c r="D851" s="17" t="s">
        <v>501</v>
      </c>
      <c r="E851" s="17" t="s">
        <v>1464</v>
      </c>
      <c r="F851" s="25"/>
      <c r="G851" s="25"/>
      <c r="H851" s="25"/>
      <c r="I851" s="30"/>
      <c r="J851" s="15"/>
      <c r="K851" s="25"/>
      <c r="L851" s="28"/>
      <c r="M851" s="28"/>
      <c r="N851" s="28"/>
      <c r="O851" s="28"/>
      <c r="P851" s="28"/>
      <c r="Q851" s="33"/>
      <c r="R851" s="11"/>
    </row>
    <row r="852" ht="15.75" customHeight="1">
      <c r="A852" s="13">
        <f t="shared" si="1"/>
        <v>851</v>
      </c>
      <c r="B852" s="15" t="s">
        <v>24</v>
      </c>
      <c r="C852" s="17">
        <v>1990.0</v>
      </c>
      <c r="D852" s="17" t="s">
        <v>501</v>
      </c>
      <c r="E852" s="17" t="s">
        <v>1465</v>
      </c>
      <c r="F852" s="25"/>
      <c r="G852" s="25"/>
      <c r="H852" s="25"/>
      <c r="I852" s="30"/>
      <c r="J852" s="15"/>
      <c r="K852" s="25"/>
      <c r="L852" s="28"/>
      <c r="M852" s="28"/>
      <c r="N852" s="28"/>
      <c r="O852" s="28"/>
      <c r="P852" s="28"/>
      <c r="Q852" s="33"/>
      <c r="R852" s="11"/>
    </row>
    <row r="853" ht="15.75" customHeight="1">
      <c r="A853" s="13">
        <f t="shared" si="1"/>
        <v>852</v>
      </c>
      <c r="B853" s="15" t="s">
        <v>24</v>
      </c>
      <c r="C853" s="17">
        <v>1990.0</v>
      </c>
      <c r="D853" s="17" t="s">
        <v>501</v>
      </c>
      <c r="E853" s="17" t="s">
        <v>1466</v>
      </c>
      <c r="F853" s="25"/>
      <c r="G853" s="25"/>
      <c r="H853" s="25"/>
      <c r="I853" s="30"/>
      <c r="J853" s="15"/>
      <c r="K853" s="25"/>
      <c r="L853" s="28"/>
      <c r="M853" s="28"/>
      <c r="N853" s="28"/>
      <c r="O853" s="28"/>
      <c r="P853" s="28"/>
      <c r="Q853" s="33"/>
      <c r="R853" s="11"/>
    </row>
    <row r="854" ht="15.75" customHeight="1">
      <c r="A854" s="13">
        <f t="shared" si="1"/>
        <v>853</v>
      </c>
      <c r="B854" s="15" t="s">
        <v>24</v>
      </c>
      <c r="C854" s="17">
        <v>1990.0</v>
      </c>
      <c r="D854" s="17" t="s">
        <v>501</v>
      </c>
      <c r="E854" s="17" t="s">
        <v>1467</v>
      </c>
      <c r="F854" s="25"/>
      <c r="G854" s="25"/>
      <c r="H854" s="25"/>
      <c r="I854" s="30"/>
      <c r="J854" s="15"/>
      <c r="K854" s="25"/>
      <c r="L854" s="28"/>
      <c r="M854" s="28"/>
      <c r="N854" s="28"/>
      <c r="O854" s="28"/>
      <c r="P854" s="28"/>
      <c r="Q854" s="33"/>
      <c r="R854" s="11"/>
    </row>
    <row r="855" ht="15.75" customHeight="1">
      <c r="A855" s="13">
        <f t="shared" si="1"/>
        <v>854</v>
      </c>
      <c r="B855" s="15" t="s">
        <v>24</v>
      </c>
      <c r="C855" s="17">
        <v>1990.0</v>
      </c>
      <c r="D855" s="17" t="s">
        <v>501</v>
      </c>
      <c r="E855" s="17" t="s">
        <v>1468</v>
      </c>
      <c r="F855" s="25"/>
      <c r="G855" s="25"/>
      <c r="H855" s="25"/>
      <c r="I855" s="30"/>
      <c r="J855" s="15"/>
      <c r="K855" s="25"/>
      <c r="L855" s="28"/>
      <c r="M855" s="28"/>
      <c r="N855" s="28"/>
      <c r="O855" s="28"/>
      <c r="P855" s="28"/>
      <c r="Q855" s="33"/>
      <c r="R855" s="11"/>
    </row>
    <row r="856" ht="15.75" customHeight="1">
      <c r="A856" s="13">
        <f t="shared" si="1"/>
        <v>855</v>
      </c>
      <c r="B856" s="15" t="s">
        <v>24</v>
      </c>
      <c r="C856" s="17">
        <v>1990.0</v>
      </c>
      <c r="D856" s="17" t="s">
        <v>501</v>
      </c>
      <c r="E856" s="17" t="s">
        <v>1469</v>
      </c>
      <c r="F856" s="25"/>
      <c r="G856" s="25"/>
      <c r="H856" s="25"/>
      <c r="I856" s="30"/>
      <c r="J856" s="15"/>
      <c r="K856" s="25"/>
      <c r="L856" s="28"/>
      <c r="M856" s="28"/>
      <c r="N856" s="28"/>
      <c r="O856" s="28"/>
      <c r="P856" s="28"/>
      <c r="Q856" s="33"/>
      <c r="R856" s="11"/>
    </row>
    <row r="857" ht="15.75" customHeight="1">
      <c r="A857" s="13" t="str">
        <f t="shared" si="1"/>
        <v/>
      </c>
      <c r="B857" s="15" t="s">
        <v>24</v>
      </c>
      <c r="C857" s="17"/>
      <c r="D857" s="17"/>
      <c r="E857" s="17"/>
      <c r="F857" s="25"/>
      <c r="G857" s="25"/>
      <c r="H857" s="25"/>
      <c r="I857" s="30"/>
      <c r="J857" s="15"/>
      <c r="K857" s="25"/>
      <c r="L857" s="28"/>
      <c r="M857" s="28"/>
      <c r="N857" s="28"/>
      <c r="O857" s="28"/>
      <c r="P857" s="28"/>
      <c r="Q857" s="33"/>
      <c r="R857" s="11"/>
    </row>
    <row r="858" ht="15.75" customHeight="1">
      <c r="A858" s="13" t="str">
        <f t="shared" si="1"/>
        <v/>
      </c>
      <c r="B858" s="15" t="s">
        <v>24</v>
      </c>
      <c r="C858" s="17"/>
      <c r="D858" s="17"/>
      <c r="E858" s="17"/>
      <c r="F858" s="25"/>
      <c r="G858" s="25"/>
      <c r="H858" s="25"/>
      <c r="I858" s="30"/>
      <c r="J858" s="15"/>
      <c r="K858" s="25"/>
      <c r="L858" s="28"/>
      <c r="M858" s="28"/>
      <c r="N858" s="28"/>
      <c r="O858" s="28"/>
      <c r="P858" s="28"/>
      <c r="Q858" s="33"/>
      <c r="R858" s="11"/>
    </row>
    <row r="859" ht="15.75" customHeight="1">
      <c r="A859" s="13" t="str">
        <f t="shared" si="1"/>
        <v/>
      </c>
      <c r="B859" s="15" t="s">
        <v>24</v>
      </c>
      <c r="C859" s="17"/>
      <c r="D859" s="17"/>
      <c r="E859" s="17"/>
      <c r="F859" s="25"/>
      <c r="G859" s="25"/>
      <c r="H859" s="25"/>
      <c r="I859" s="30"/>
      <c r="J859" s="15"/>
      <c r="K859" s="25"/>
      <c r="L859" s="28"/>
      <c r="M859" s="28"/>
      <c r="N859" s="28"/>
      <c r="O859" s="28"/>
      <c r="P859" s="28"/>
      <c r="Q859" s="33"/>
      <c r="R859" s="11"/>
    </row>
    <row r="860" ht="15.75" customHeight="1">
      <c r="A860" s="13" t="str">
        <f t="shared" si="1"/>
        <v/>
      </c>
      <c r="B860" s="15" t="s">
        <v>24</v>
      </c>
      <c r="C860" s="17"/>
      <c r="D860" s="17"/>
      <c r="E860" s="17"/>
      <c r="F860" s="25"/>
      <c r="G860" s="25"/>
      <c r="H860" s="25"/>
      <c r="I860" s="30"/>
      <c r="J860" s="15"/>
      <c r="K860" s="25"/>
      <c r="L860" s="28"/>
      <c r="M860" s="28"/>
      <c r="N860" s="28"/>
      <c r="O860" s="28"/>
      <c r="P860" s="28"/>
      <c r="Q860" s="33"/>
      <c r="R860" s="11"/>
    </row>
    <row r="861" ht="15.75" customHeight="1">
      <c r="A861" s="13" t="str">
        <f t="shared" si="1"/>
        <v/>
      </c>
      <c r="B861" s="15" t="s">
        <v>24</v>
      </c>
      <c r="C861" s="17"/>
      <c r="D861" s="17"/>
      <c r="E861" s="17"/>
      <c r="F861" s="25"/>
      <c r="G861" s="25"/>
      <c r="H861" s="25"/>
      <c r="I861" s="30"/>
      <c r="J861" s="15"/>
      <c r="K861" s="25"/>
      <c r="L861" s="28"/>
      <c r="M861" s="28"/>
      <c r="N861" s="28"/>
      <c r="O861" s="28"/>
      <c r="P861" s="28"/>
      <c r="Q861" s="33"/>
      <c r="R861" s="11"/>
    </row>
    <row r="862" ht="15.75" customHeight="1">
      <c r="A862" s="13" t="str">
        <f t="shared" si="1"/>
        <v/>
      </c>
      <c r="B862" s="15" t="s">
        <v>24</v>
      </c>
      <c r="C862" s="17"/>
      <c r="D862" s="17"/>
      <c r="E862" s="17"/>
      <c r="F862" s="25"/>
      <c r="G862" s="25"/>
      <c r="H862" s="25"/>
      <c r="I862" s="30"/>
      <c r="J862" s="15"/>
      <c r="K862" s="25"/>
      <c r="L862" s="28"/>
      <c r="M862" s="28"/>
      <c r="N862" s="28"/>
      <c r="O862" s="28"/>
      <c r="P862" s="28"/>
      <c r="Q862" s="33"/>
      <c r="R862" s="11"/>
    </row>
    <row r="863" ht="15.75" customHeight="1">
      <c r="A863" s="13" t="str">
        <f t="shared" si="1"/>
        <v/>
      </c>
      <c r="B863" s="15" t="s">
        <v>24</v>
      </c>
      <c r="C863" s="17"/>
      <c r="D863" s="17"/>
      <c r="E863" s="17"/>
      <c r="F863" s="25"/>
      <c r="G863" s="25"/>
      <c r="H863" s="25"/>
      <c r="I863" s="30"/>
      <c r="J863" s="15"/>
      <c r="K863" s="25"/>
      <c r="L863" s="28"/>
      <c r="M863" s="28"/>
      <c r="N863" s="28"/>
      <c r="O863" s="28"/>
      <c r="P863" s="28"/>
      <c r="Q863" s="33"/>
      <c r="R863" s="11"/>
    </row>
    <row r="864" ht="15.75" customHeight="1">
      <c r="A864" s="13" t="str">
        <f t="shared" si="1"/>
        <v/>
      </c>
      <c r="B864" s="15" t="s">
        <v>24</v>
      </c>
      <c r="C864" s="17"/>
      <c r="D864" s="17"/>
      <c r="E864" s="17"/>
      <c r="F864" s="25"/>
      <c r="G864" s="25"/>
      <c r="H864" s="25"/>
      <c r="I864" s="30"/>
      <c r="J864" s="15"/>
      <c r="K864" s="25"/>
      <c r="L864" s="28"/>
      <c r="M864" s="28"/>
      <c r="N864" s="28"/>
      <c r="O864" s="28"/>
      <c r="P864" s="28"/>
      <c r="Q864" s="33"/>
      <c r="R864" s="11"/>
    </row>
    <row r="865" ht="15.75" customHeight="1">
      <c r="A865" s="13" t="str">
        <f t="shared" si="1"/>
        <v/>
      </c>
      <c r="B865" s="15" t="s">
        <v>24</v>
      </c>
      <c r="C865" s="17"/>
      <c r="D865" s="17"/>
      <c r="E865" s="17"/>
      <c r="F865" s="25"/>
      <c r="G865" s="25"/>
      <c r="H865" s="25"/>
      <c r="I865" s="30"/>
      <c r="J865" s="15"/>
      <c r="K865" s="25"/>
      <c r="L865" s="28"/>
      <c r="M865" s="28"/>
      <c r="N865" s="28"/>
      <c r="O865" s="28"/>
      <c r="P865" s="28"/>
      <c r="Q865" s="33"/>
      <c r="R865" s="11"/>
    </row>
    <row r="866" ht="15.75" customHeight="1">
      <c r="A866" s="13" t="str">
        <f t="shared" si="1"/>
        <v/>
      </c>
      <c r="B866" s="15" t="s">
        <v>24</v>
      </c>
      <c r="C866" s="17"/>
      <c r="D866" s="17"/>
      <c r="E866" s="17"/>
      <c r="F866" s="25"/>
      <c r="G866" s="25"/>
      <c r="H866" s="25"/>
      <c r="I866" s="30"/>
      <c r="J866" s="15"/>
      <c r="K866" s="25"/>
      <c r="L866" s="28"/>
      <c r="M866" s="28"/>
      <c r="N866" s="28"/>
      <c r="O866" s="28"/>
      <c r="P866" s="28"/>
      <c r="Q866" s="33"/>
      <c r="R866" s="11"/>
    </row>
    <row r="867" ht="15.75" customHeight="1">
      <c r="A867" s="13" t="str">
        <f t="shared" si="1"/>
        <v/>
      </c>
      <c r="B867" s="15" t="s">
        <v>24</v>
      </c>
      <c r="C867" s="17"/>
      <c r="D867" s="17"/>
      <c r="E867" s="17"/>
      <c r="F867" s="25"/>
      <c r="G867" s="25"/>
      <c r="H867" s="25"/>
      <c r="I867" s="30"/>
      <c r="J867" s="15"/>
      <c r="K867" s="25"/>
      <c r="L867" s="28"/>
      <c r="M867" s="28"/>
      <c r="N867" s="28"/>
      <c r="O867" s="28"/>
      <c r="P867" s="28"/>
      <c r="Q867" s="33"/>
      <c r="R867" s="11"/>
    </row>
    <row r="868" ht="15.75" customHeight="1">
      <c r="A868" s="13" t="str">
        <f t="shared" si="1"/>
        <v/>
      </c>
      <c r="B868" s="15" t="s">
        <v>24</v>
      </c>
      <c r="C868" s="17"/>
      <c r="D868" s="17"/>
      <c r="E868" s="17"/>
      <c r="F868" s="25"/>
      <c r="G868" s="25"/>
      <c r="H868" s="25"/>
      <c r="I868" s="30"/>
      <c r="J868" s="15"/>
      <c r="K868" s="25"/>
      <c r="L868" s="28"/>
      <c r="M868" s="28"/>
      <c r="N868" s="28"/>
      <c r="O868" s="28"/>
      <c r="P868" s="28"/>
      <c r="Q868" s="33"/>
      <c r="R868" s="11"/>
    </row>
    <row r="869" ht="15.75" customHeight="1">
      <c r="A869" s="13" t="str">
        <f t="shared" si="1"/>
        <v/>
      </c>
      <c r="B869" s="15" t="s">
        <v>24</v>
      </c>
      <c r="C869" s="17"/>
      <c r="D869" s="17"/>
      <c r="E869" s="17"/>
      <c r="F869" s="25"/>
      <c r="G869" s="25"/>
      <c r="H869" s="25"/>
      <c r="I869" s="30"/>
      <c r="J869" s="15"/>
      <c r="K869" s="25"/>
      <c r="L869" s="28"/>
      <c r="M869" s="28"/>
      <c r="N869" s="28"/>
      <c r="O869" s="28"/>
      <c r="P869" s="28"/>
      <c r="Q869" s="33"/>
      <c r="R869" s="11"/>
    </row>
    <row r="870" ht="15.75" customHeight="1">
      <c r="A870" s="13" t="str">
        <f t="shared" si="1"/>
        <v/>
      </c>
      <c r="B870" s="15" t="s">
        <v>24</v>
      </c>
      <c r="C870" s="17"/>
      <c r="D870" s="17"/>
      <c r="E870" s="17"/>
      <c r="F870" s="25"/>
      <c r="G870" s="25"/>
      <c r="H870" s="25"/>
      <c r="I870" s="30"/>
      <c r="J870" s="15"/>
      <c r="K870" s="25"/>
      <c r="L870" s="28"/>
      <c r="M870" s="28"/>
      <c r="N870" s="28"/>
      <c r="O870" s="28"/>
      <c r="P870" s="28"/>
      <c r="Q870" s="33"/>
      <c r="R870" s="11"/>
    </row>
    <row r="871" ht="15.75" customHeight="1">
      <c r="A871" s="13" t="str">
        <f t="shared" si="1"/>
        <v/>
      </c>
      <c r="B871" s="15" t="s">
        <v>24</v>
      </c>
      <c r="C871" s="17"/>
      <c r="D871" s="17"/>
      <c r="E871" s="17"/>
      <c r="F871" s="25"/>
      <c r="G871" s="25"/>
      <c r="H871" s="25"/>
      <c r="I871" s="30"/>
      <c r="J871" s="15"/>
      <c r="K871" s="25"/>
      <c r="L871" s="28"/>
      <c r="M871" s="28"/>
      <c r="N871" s="28"/>
      <c r="O871" s="28"/>
      <c r="P871" s="28"/>
      <c r="Q871" s="33"/>
      <c r="R871" s="11"/>
    </row>
    <row r="872" ht="15.75" customHeight="1">
      <c r="A872" s="13" t="str">
        <f t="shared" si="1"/>
        <v/>
      </c>
      <c r="B872" s="15" t="s">
        <v>24</v>
      </c>
      <c r="C872" s="17"/>
      <c r="D872" s="17"/>
      <c r="E872" s="17"/>
      <c r="F872" s="25"/>
      <c r="G872" s="25"/>
      <c r="H872" s="25"/>
      <c r="I872" s="30"/>
      <c r="J872" s="15"/>
      <c r="K872" s="25"/>
      <c r="L872" s="28"/>
      <c r="M872" s="28"/>
      <c r="N872" s="28"/>
      <c r="O872" s="28"/>
      <c r="P872" s="28"/>
      <c r="Q872" s="33"/>
      <c r="R872" s="11"/>
    </row>
    <row r="873" ht="15.75" customHeight="1">
      <c r="A873" s="13" t="str">
        <f t="shared" si="1"/>
        <v/>
      </c>
      <c r="B873" s="15" t="s">
        <v>24</v>
      </c>
      <c r="C873" s="15"/>
      <c r="D873" s="15"/>
      <c r="E873" s="17"/>
      <c r="F873" s="25"/>
      <c r="G873" s="25"/>
      <c r="H873" s="25"/>
      <c r="I873" s="30"/>
      <c r="J873" s="15"/>
      <c r="K873" s="25"/>
      <c r="L873" s="28"/>
      <c r="M873" s="28"/>
      <c r="N873" s="28"/>
      <c r="O873" s="28"/>
      <c r="P873" s="28"/>
      <c r="Q873" s="33"/>
      <c r="R873" s="11"/>
    </row>
    <row r="874" ht="15.75" customHeight="1">
      <c r="A874" s="13" t="str">
        <f t="shared" si="1"/>
        <v/>
      </c>
      <c r="B874" s="15" t="s">
        <v>24</v>
      </c>
      <c r="C874" s="15"/>
      <c r="D874" s="15"/>
      <c r="E874" s="17"/>
      <c r="F874" s="25"/>
      <c r="G874" s="25"/>
      <c r="H874" s="25"/>
      <c r="I874" s="30"/>
      <c r="J874" s="15"/>
      <c r="K874" s="25"/>
      <c r="L874" s="28"/>
      <c r="M874" s="28"/>
      <c r="N874" s="28"/>
      <c r="O874" s="28"/>
      <c r="P874" s="28"/>
      <c r="Q874" s="33"/>
      <c r="R874" s="11"/>
    </row>
    <row r="875" ht="15.75" customHeight="1">
      <c r="A875" s="13" t="str">
        <f t="shared" si="1"/>
        <v/>
      </c>
      <c r="B875" s="15" t="s">
        <v>24</v>
      </c>
      <c r="C875" s="15"/>
      <c r="D875" s="15"/>
      <c r="E875" s="17"/>
      <c r="F875" s="25"/>
      <c r="G875" s="25"/>
      <c r="H875" s="25"/>
      <c r="I875" s="30"/>
      <c r="J875" s="15"/>
      <c r="K875" s="25"/>
      <c r="L875" s="28"/>
      <c r="M875" s="28"/>
      <c r="N875" s="28"/>
      <c r="O875" s="28"/>
      <c r="P875" s="28"/>
      <c r="Q875" s="33"/>
      <c r="R875" s="11"/>
    </row>
    <row r="876" ht="15.75" customHeight="1">
      <c r="A876" s="13" t="str">
        <f t="shared" si="1"/>
        <v/>
      </c>
      <c r="B876" s="15" t="s">
        <v>24</v>
      </c>
      <c r="C876" s="15"/>
      <c r="D876" s="15"/>
      <c r="E876" s="17"/>
      <c r="F876" s="25"/>
      <c r="G876" s="25"/>
      <c r="H876" s="25"/>
      <c r="I876" s="30"/>
      <c r="J876" s="15"/>
      <c r="K876" s="25"/>
      <c r="L876" s="28"/>
      <c r="M876" s="28"/>
      <c r="N876" s="28"/>
      <c r="O876" s="28"/>
      <c r="P876" s="28"/>
      <c r="Q876" s="33"/>
      <c r="R876" s="11"/>
    </row>
    <row r="877" ht="15.75" customHeight="1">
      <c r="A877" s="13" t="str">
        <f t="shared" si="1"/>
        <v/>
      </c>
      <c r="B877" s="15" t="s">
        <v>24</v>
      </c>
      <c r="C877" s="15"/>
      <c r="D877" s="15"/>
      <c r="E877" s="17"/>
      <c r="F877" s="25"/>
      <c r="G877" s="25"/>
      <c r="H877" s="25"/>
      <c r="I877" s="30"/>
      <c r="J877" s="15"/>
      <c r="K877" s="25"/>
      <c r="L877" s="28"/>
      <c r="M877" s="28"/>
      <c r="N877" s="28"/>
      <c r="O877" s="28"/>
      <c r="P877" s="28"/>
      <c r="Q877" s="33"/>
      <c r="R877" s="11"/>
    </row>
    <row r="878" ht="15.75" customHeight="1">
      <c r="A878" s="13" t="str">
        <f t="shared" si="1"/>
        <v/>
      </c>
      <c r="B878" s="15" t="s">
        <v>24</v>
      </c>
      <c r="C878" s="15"/>
      <c r="D878" s="15"/>
      <c r="E878" s="17"/>
      <c r="F878" s="25"/>
      <c r="G878" s="25"/>
      <c r="H878" s="25"/>
      <c r="I878" s="30"/>
      <c r="J878" s="15"/>
      <c r="K878" s="25"/>
      <c r="L878" s="28"/>
      <c r="M878" s="28"/>
      <c r="N878" s="28"/>
      <c r="O878" s="28"/>
      <c r="P878" s="28"/>
      <c r="Q878" s="33"/>
      <c r="R878" s="11"/>
    </row>
    <row r="879" ht="15.75" customHeight="1">
      <c r="A879" s="13" t="str">
        <f t="shared" si="1"/>
        <v/>
      </c>
      <c r="B879" s="15"/>
      <c r="C879" s="15"/>
      <c r="D879" s="15"/>
      <c r="E879" s="17"/>
      <c r="F879" s="25"/>
      <c r="G879" s="25"/>
      <c r="H879" s="25"/>
      <c r="I879" s="30"/>
      <c r="J879" s="15"/>
      <c r="K879" s="25"/>
      <c r="L879" s="28"/>
      <c r="M879" s="28"/>
      <c r="N879" s="28"/>
      <c r="O879" s="28"/>
      <c r="P879" s="28"/>
      <c r="Q879" s="33"/>
      <c r="R879" s="11"/>
    </row>
    <row r="880" ht="15.75" customHeight="1">
      <c r="A880" s="262"/>
      <c r="B880" s="263"/>
      <c r="C880" s="263"/>
      <c r="D880" s="263"/>
      <c r="E880" s="263"/>
      <c r="F880" s="263"/>
      <c r="G880" s="263"/>
      <c r="H880" s="264"/>
      <c r="I880" s="265"/>
      <c r="J880" s="263"/>
      <c r="K880" s="263"/>
      <c r="L880" s="28"/>
      <c r="M880" s="28"/>
      <c r="N880" s="28"/>
      <c r="O880" s="28"/>
      <c r="P880" s="28"/>
      <c r="Q880" s="33"/>
    </row>
    <row r="881" ht="15.75" customHeight="1">
      <c r="A881" s="266" t="s">
        <v>789</v>
      </c>
      <c r="B881" s="267"/>
      <c r="C881" s="267"/>
      <c r="D881" s="267"/>
      <c r="E881" s="267"/>
      <c r="F881" s="267"/>
      <c r="G881" s="267"/>
      <c r="H881" s="267"/>
      <c r="I881" s="267"/>
      <c r="J881" s="267"/>
      <c r="K881" s="120"/>
      <c r="L881" s="268">
        <f t="shared" ref="L881:O881" si="2">SUM(L2:L880)</f>
        <v>21452100</v>
      </c>
      <c r="M881" s="268">
        <f t="shared" si="2"/>
        <v>8037600</v>
      </c>
      <c r="N881" s="268">
        <f t="shared" si="2"/>
        <v>3456500</v>
      </c>
      <c r="O881" s="268">
        <f t="shared" si="2"/>
        <v>3283500</v>
      </c>
      <c r="P881" s="268">
        <f>SUM(P254:P880)</f>
        <v>50000</v>
      </c>
      <c r="Q881" s="268"/>
    </row>
    <row r="882" ht="21.75" customHeight="1">
      <c r="H882" s="188"/>
      <c r="I882" s="269" t="s">
        <v>1470</v>
      </c>
      <c r="J882" s="267"/>
      <c r="K882" s="120"/>
      <c r="L882" s="270">
        <f>L881+M881+N881+O881</f>
        <v>36229700</v>
      </c>
      <c r="M882" s="267"/>
      <c r="N882" s="267"/>
      <c r="O882" s="267"/>
      <c r="P882" s="120"/>
      <c r="Q882" s="271"/>
    </row>
    <row r="883" ht="15.75" customHeight="1">
      <c r="H883" s="188"/>
    </row>
    <row r="884" ht="15.75" customHeight="1">
      <c r="H884" s="188"/>
    </row>
    <row r="885" ht="15.75" customHeight="1">
      <c r="H885" s="188"/>
    </row>
    <row r="886" ht="15.75" customHeight="1">
      <c r="H886" s="188"/>
    </row>
    <row r="887" ht="15.75" customHeight="1">
      <c r="H887" s="188"/>
    </row>
    <row r="888" ht="15.75" customHeight="1">
      <c r="H888" s="188"/>
    </row>
    <row r="889" ht="15.75" customHeight="1">
      <c r="H889" s="188"/>
    </row>
    <row r="890" ht="15.75" customHeight="1">
      <c r="H890" s="188"/>
    </row>
    <row r="891" ht="15.75" customHeight="1">
      <c r="H891" s="188"/>
    </row>
    <row r="892" ht="15.75" customHeight="1">
      <c r="H892" s="188"/>
    </row>
    <row r="893" ht="15.75" customHeight="1">
      <c r="H893" s="188"/>
    </row>
    <row r="894" ht="15.75" customHeight="1">
      <c r="H894" s="188"/>
    </row>
    <row r="895" ht="15.75" customHeight="1">
      <c r="H895" s="188"/>
    </row>
    <row r="896" ht="15.75" customHeight="1">
      <c r="H896" s="188"/>
    </row>
    <row r="897" ht="15.75" customHeight="1">
      <c r="H897" s="188"/>
    </row>
    <row r="898" ht="15.75" customHeight="1">
      <c r="H898" s="188"/>
    </row>
    <row r="899" ht="15.75" customHeight="1">
      <c r="H899" s="188"/>
    </row>
    <row r="900" ht="15.75" customHeight="1">
      <c r="H900" s="188"/>
    </row>
    <row r="901" ht="15.75" customHeight="1">
      <c r="H901" s="188"/>
    </row>
    <row r="902" ht="15.75" customHeight="1">
      <c r="H902" s="188"/>
    </row>
    <row r="903" ht="15.75" customHeight="1">
      <c r="H903" s="188"/>
    </row>
    <row r="904" ht="15.75" customHeight="1">
      <c r="H904" s="188"/>
    </row>
    <row r="905" ht="15.75" customHeight="1">
      <c r="H905" s="188"/>
    </row>
    <row r="906" ht="15.75" customHeight="1">
      <c r="H906" s="188"/>
    </row>
    <row r="907" ht="15.75" customHeight="1">
      <c r="H907" s="188"/>
    </row>
    <row r="908" ht="15.75" customHeight="1">
      <c r="H908" s="188"/>
    </row>
    <row r="909" ht="15.75" customHeight="1">
      <c r="H909" s="188"/>
    </row>
    <row r="910" ht="15.75" customHeight="1">
      <c r="H910" s="188"/>
    </row>
    <row r="911" ht="15.75" customHeight="1">
      <c r="H911" s="188"/>
    </row>
    <row r="912" ht="15.75" customHeight="1">
      <c r="H912" s="188"/>
    </row>
    <row r="913" ht="15.75" customHeight="1">
      <c r="H913" s="188"/>
    </row>
    <row r="914" ht="15.75" customHeight="1">
      <c r="H914" s="188"/>
    </row>
    <row r="915" ht="15.75" customHeight="1">
      <c r="H915" s="188"/>
    </row>
    <row r="916" ht="15.75" customHeight="1">
      <c r="H916" s="188"/>
    </row>
    <row r="917" ht="15.75" customHeight="1">
      <c r="H917" s="188"/>
    </row>
    <row r="918" ht="15.75" customHeight="1">
      <c r="H918" s="188"/>
    </row>
    <row r="919" ht="15.75" customHeight="1">
      <c r="H919" s="188"/>
    </row>
    <row r="920" ht="15.75" customHeight="1">
      <c r="H920" s="188"/>
    </row>
    <row r="921" ht="15.75" customHeight="1">
      <c r="H921" s="188"/>
    </row>
    <row r="922" ht="15.75" customHeight="1">
      <c r="H922" s="188"/>
    </row>
    <row r="923" ht="15.75" customHeight="1">
      <c r="H923" s="188"/>
    </row>
    <row r="924" ht="15.75" customHeight="1">
      <c r="H924" s="188"/>
    </row>
    <row r="925" ht="15.75" customHeight="1">
      <c r="H925" s="188"/>
    </row>
    <row r="926" ht="15.75" customHeight="1">
      <c r="H926" s="188"/>
    </row>
    <row r="927" ht="15.75" customHeight="1">
      <c r="H927" s="188"/>
    </row>
    <row r="928" ht="15.75" customHeight="1">
      <c r="H928" s="188"/>
    </row>
    <row r="929" ht="15.75" customHeight="1">
      <c r="H929" s="188"/>
    </row>
    <row r="930" ht="15.75" customHeight="1">
      <c r="H930" s="188"/>
    </row>
    <row r="931" ht="15.75" customHeight="1">
      <c r="H931" s="188"/>
    </row>
    <row r="932" ht="15.75" customHeight="1">
      <c r="H932" s="188"/>
    </row>
    <row r="933" ht="15.75" customHeight="1">
      <c r="H933" s="188"/>
    </row>
    <row r="934" ht="15.75" customHeight="1">
      <c r="H934" s="188"/>
    </row>
    <row r="935" ht="15.75" customHeight="1">
      <c r="H935" s="188"/>
    </row>
    <row r="936" ht="15.75" customHeight="1">
      <c r="H936" s="188"/>
    </row>
    <row r="937" ht="15.75" customHeight="1">
      <c r="H937" s="188"/>
    </row>
    <row r="938" ht="15.75" customHeight="1">
      <c r="H938" s="188"/>
    </row>
    <row r="939" ht="15.75" customHeight="1">
      <c r="H939" s="188"/>
    </row>
    <row r="940" ht="15.75" customHeight="1">
      <c r="H940" s="188"/>
    </row>
    <row r="941" ht="15.75" customHeight="1">
      <c r="H941" s="188"/>
    </row>
    <row r="942" ht="15.75" customHeight="1">
      <c r="H942" s="188"/>
    </row>
    <row r="943" ht="15.75" customHeight="1">
      <c r="H943" s="188"/>
    </row>
    <row r="944" ht="15.75" customHeight="1">
      <c r="H944" s="188"/>
    </row>
    <row r="945" ht="15.75" customHeight="1">
      <c r="H945" s="188"/>
    </row>
    <row r="946" ht="15.75" customHeight="1">
      <c r="H946" s="188"/>
    </row>
    <row r="947" ht="15.75" customHeight="1">
      <c r="H947" s="188"/>
    </row>
    <row r="948" ht="15.75" customHeight="1">
      <c r="H948" s="188"/>
    </row>
    <row r="949" ht="15.75" customHeight="1">
      <c r="H949" s="188"/>
    </row>
    <row r="950" ht="15.75" customHeight="1">
      <c r="H950" s="188"/>
    </row>
    <row r="951" ht="15.75" customHeight="1">
      <c r="H951" s="188"/>
    </row>
    <row r="952" ht="15.75" customHeight="1">
      <c r="H952" s="188"/>
    </row>
    <row r="953" ht="15.75" customHeight="1">
      <c r="H953" s="188"/>
    </row>
    <row r="954" ht="15.75" customHeight="1">
      <c r="H954" s="188"/>
    </row>
    <row r="955" ht="15.75" customHeight="1">
      <c r="H955" s="188"/>
    </row>
    <row r="956" ht="15.75" customHeight="1">
      <c r="H956" s="188"/>
    </row>
    <row r="957" ht="15.75" customHeight="1">
      <c r="H957" s="188"/>
    </row>
    <row r="958" ht="15.75" customHeight="1">
      <c r="H958" s="188"/>
    </row>
    <row r="959" ht="15.75" customHeight="1">
      <c r="H959" s="188"/>
    </row>
    <row r="960" ht="15.75" customHeight="1">
      <c r="H960" s="188"/>
    </row>
    <row r="961" ht="15.75" customHeight="1">
      <c r="H961" s="188"/>
    </row>
    <row r="962" ht="15.75" customHeight="1">
      <c r="H962" s="188"/>
    </row>
    <row r="963" ht="15.75" customHeight="1">
      <c r="H963" s="188"/>
    </row>
    <row r="964" ht="15.75" customHeight="1">
      <c r="H964" s="188"/>
    </row>
    <row r="965" ht="15.75" customHeight="1">
      <c r="H965" s="188"/>
    </row>
    <row r="966" ht="15.75" customHeight="1">
      <c r="H966" s="188"/>
    </row>
    <row r="967" ht="15.75" customHeight="1">
      <c r="H967" s="188"/>
    </row>
    <row r="968" ht="15.75" customHeight="1">
      <c r="H968" s="188"/>
    </row>
    <row r="969" ht="15.75" customHeight="1">
      <c r="H969" s="188"/>
    </row>
    <row r="970" ht="15.75" customHeight="1">
      <c r="H970" s="188"/>
    </row>
    <row r="971" ht="15.75" customHeight="1">
      <c r="H971" s="188"/>
    </row>
    <row r="972" ht="15.75" customHeight="1">
      <c r="H972" s="188"/>
    </row>
    <row r="973" ht="15.75" customHeight="1">
      <c r="H973" s="188"/>
    </row>
    <row r="974" ht="15.75" customHeight="1">
      <c r="H974" s="188"/>
    </row>
    <row r="975" ht="15.75" customHeight="1">
      <c r="H975" s="188"/>
    </row>
    <row r="976" ht="15.75" customHeight="1">
      <c r="H976" s="188"/>
    </row>
    <row r="977" ht="15.75" customHeight="1">
      <c r="H977" s="188"/>
    </row>
    <row r="978" ht="15.75" customHeight="1">
      <c r="H978" s="188"/>
    </row>
    <row r="979" ht="15.75" customHeight="1">
      <c r="H979" s="188"/>
    </row>
    <row r="980" ht="15.75" customHeight="1">
      <c r="H980" s="188"/>
    </row>
    <row r="981" ht="15.75" customHeight="1">
      <c r="H981" s="188"/>
    </row>
    <row r="982" ht="15.75" customHeight="1">
      <c r="H982" s="188"/>
    </row>
    <row r="983" ht="15.75" customHeight="1">
      <c r="H983" s="188"/>
    </row>
    <row r="984" ht="15.75" customHeight="1">
      <c r="H984" s="188"/>
    </row>
    <row r="985" ht="15.75" customHeight="1">
      <c r="H985" s="188"/>
    </row>
    <row r="986" ht="15.75" customHeight="1">
      <c r="H986" s="188"/>
    </row>
    <row r="987" ht="15.75" customHeight="1">
      <c r="H987" s="188"/>
    </row>
    <row r="988" ht="15.75" customHeight="1">
      <c r="H988" s="188"/>
    </row>
    <row r="989" ht="15.75" customHeight="1">
      <c r="H989" s="188"/>
    </row>
    <row r="990" ht="15.75" customHeight="1">
      <c r="H990" s="188"/>
    </row>
    <row r="991" ht="15.75" customHeight="1">
      <c r="H991" s="188"/>
    </row>
    <row r="992" ht="15.75" customHeight="1">
      <c r="H992" s="188"/>
    </row>
    <row r="993" ht="15.75" customHeight="1">
      <c r="H993" s="188"/>
    </row>
    <row r="994" ht="15.75" customHeight="1">
      <c r="H994" s="188"/>
    </row>
    <row r="995" ht="15.75" customHeight="1">
      <c r="H995" s="188"/>
    </row>
    <row r="996" ht="15.75" customHeight="1">
      <c r="H996" s="188"/>
    </row>
    <row r="997" ht="15.75" customHeight="1">
      <c r="H997" s="188"/>
    </row>
    <row r="998" ht="15.75" customHeight="1">
      <c r="H998" s="188"/>
    </row>
    <row r="999" ht="15.75" customHeight="1">
      <c r="H999" s="188"/>
    </row>
    <row r="1000" ht="15.75" customHeight="1">
      <c r="H1000" s="188"/>
    </row>
    <row r="1001" ht="15.75" customHeight="1">
      <c r="H1001" s="188"/>
    </row>
    <row r="1002" ht="15.75" customHeight="1">
      <c r="H1002" s="188"/>
    </row>
    <row r="1003" ht="15.75" customHeight="1">
      <c r="H1003" s="188"/>
    </row>
    <row r="1004" ht="15.75" customHeight="1">
      <c r="H1004" s="188"/>
    </row>
    <row r="1005" ht="15.75" customHeight="1">
      <c r="H1005" s="188"/>
    </row>
    <row r="1006" ht="15.75" customHeight="1">
      <c r="H1006" s="188"/>
    </row>
    <row r="1007" ht="15.75" customHeight="1">
      <c r="H1007" s="188"/>
    </row>
    <row r="1008" ht="15.75" customHeight="1">
      <c r="H1008" s="188"/>
    </row>
    <row r="1009" ht="15.75" customHeight="1">
      <c r="H1009" s="188"/>
    </row>
    <row r="1010" ht="15.75" customHeight="1">
      <c r="H1010" s="188"/>
    </row>
    <row r="1011" ht="15.75" customHeight="1">
      <c r="H1011" s="188"/>
    </row>
    <row r="1012" ht="15.75" customHeight="1">
      <c r="H1012" s="188"/>
    </row>
    <row r="1013" ht="15.75" customHeight="1">
      <c r="H1013" s="188"/>
    </row>
    <row r="1014" ht="15.75" customHeight="1">
      <c r="H1014" s="188"/>
    </row>
    <row r="1015" ht="15.75" customHeight="1">
      <c r="H1015" s="188"/>
    </row>
    <row r="1016" ht="15.75" customHeight="1">
      <c r="H1016" s="188"/>
    </row>
    <row r="1017" ht="15.75" customHeight="1">
      <c r="H1017" s="188"/>
    </row>
    <row r="1018" ht="15.75" customHeight="1">
      <c r="H1018" s="188"/>
    </row>
    <row r="1019" ht="15.75" customHeight="1">
      <c r="H1019" s="188"/>
    </row>
    <row r="1020" ht="15.75" customHeight="1">
      <c r="H1020" s="188"/>
    </row>
    <row r="1021" ht="15.75" customHeight="1">
      <c r="H1021" s="188"/>
    </row>
    <row r="1022" ht="15.75" customHeight="1">
      <c r="H1022" s="188"/>
    </row>
    <row r="1023" ht="15.75" customHeight="1">
      <c r="H1023" s="188"/>
    </row>
    <row r="1024" ht="15.75" customHeight="1">
      <c r="H1024" s="188"/>
    </row>
    <row r="1025" ht="15.75" customHeight="1">
      <c r="H1025" s="188"/>
    </row>
    <row r="1026" ht="15.75" customHeight="1">
      <c r="H1026" s="188"/>
    </row>
    <row r="1027" ht="15.75" customHeight="1">
      <c r="H1027" s="188"/>
    </row>
    <row r="1028" ht="15.75" customHeight="1">
      <c r="H1028" s="188"/>
    </row>
    <row r="1029" ht="15.75" customHeight="1">
      <c r="H1029" s="188"/>
    </row>
    <row r="1030" ht="15.75" customHeight="1">
      <c r="H1030" s="188"/>
    </row>
    <row r="1031" ht="15.75" customHeight="1">
      <c r="H1031" s="188"/>
    </row>
    <row r="1032" ht="15.75" customHeight="1">
      <c r="H1032" s="188"/>
    </row>
    <row r="1033" ht="15.75" customHeight="1">
      <c r="H1033" s="188"/>
    </row>
    <row r="1034" ht="15.75" customHeight="1">
      <c r="H1034" s="188"/>
    </row>
    <row r="1035" ht="15.75" customHeight="1">
      <c r="H1035" s="188"/>
    </row>
    <row r="1036" ht="15.75" customHeight="1">
      <c r="H1036" s="188"/>
    </row>
    <row r="1037" ht="15.75" customHeight="1">
      <c r="H1037" s="188"/>
    </row>
    <row r="1038" ht="15.75" customHeight="1">
      <c r="H1038" s="188"/>
    </row>
    <row r="1039" ht="15.75" customHeight="1">
      <c r="H1039" s="188"/>
    </row>
    <row r="1040" ht="15.75" customHeight="1">
      <c r="H1040" s="188"/>
    </row>
    <row r="1041" ht="15.75" customHeight="1">
      <c r="H1041" s="188"/>
    </row>
    <row r="1042" ht="15.75" customHeight="1">
      <c r="H1042" s="188"/>
    </row>
    <row r="1043" ht="15.75" customHeight="1">
      <c r="H1043" s="188"/>
    </row>
    <row r="1044" ht="15.75" customHeight="1">
      <c r="H1044" s="188"/>
    </row>
    <row r="1045" ht="15.75" customHeight="1">
      <c r="H1045" s="188"/>
    </row>
    <row r="1046" ht="15.75" customHeight="1">
      <c r="H1046" s="188"/>
    </row>
    <row r="1047" ht="15.75" customHeight="1">
      <c r="H1047" s="188"/>
    </row>
    <row r="1048" ht="15.75" customHeight="1">
      <c r="H1048" s="188"/>
    </row>
    <row r="1049" ht="15.75" customHeight="1">
      <c r="H1049" s="188"/>
    </row>
    <row r="1050" ht="15.75" customHeight="1">
      <c r="H1050" s="188"/>
    </row>
    <row r="1051" ht="15.75" customHeight="1">
      <c r="H1051" s="188"/>
    </row>
    <row r="1052" ht="15.75" customHeight="1">
      <c r="H1052" s="188"/>
    </row>
    <row r="1053" ht="15.75" customHeight="1">
      <c r="H1053" s="188"/>
    </row>
    <row r="1054" ht="15.75" customHeight="1">
      <c r="H1054" s="188"/>
    </row>
    <row r="1055" ht="15.75" customHeight="1">
      <c r="H1055" s="188"/>
    </row>
    <row r="1056" ht="15.75" customHeight="1">
      <c r="H1056" s="188"/>
    </row>
    <row r="1057" ht="15.75" customHeight="1">
      <c r="H1057" s="188"/>
    </row>
    <row r="1058" ht="15.75" customHeight="1">
      <c r="H1058" s="188"/>
    </row>
    <row r="1059" ht="15.75" customHeight="1">
      <c r="H1059" s="188"/>
    </row>
    <row r="1060" ht="15.75" customHeight="1">
      <c r="H1060" s="188"/>
    </row>
    <row r="1061" ht="15.75" customHeight="1">
      <c r="H1061" s="188"/>
    </row>
    <row r="1062" ht="15.75" customHeight="1">
      <c r="H1062" s="188"/>
    </row>
    <row r="1063" ht="15.75" customHeight="1">
      <c r="H1063" s="188"/>
    </row>
    <row r="1064" ht="15.75" customHeight="1">
      <c r="H1064" s="188"/>
    </row>
    <row r="1065" ht="15.75" customHeight="1">
      <c r="H1065" s="188"/>
    </row>
    <row r="1066" ht="15.75" customHeight="1">
      <c r="H1066" s="188"/>
    </row>
    <row r="1067" ht="15.75" customHeight="1">
      <c r="H1067" s="188"/>
    </row>
    <row r="1068" ht="15.75" customHeight="1">
      <c r="H1068" s="188"/>
    </row>
    <row r="1069" ht="15.75" customHeight="1">
      <c r="H1069" s="188"/>
    </row>
    <row r="1070" ht="15.75" customHeight="1">
      <c r="H1070" s="188"/>
    </row>
    <row r="1071" ht="15.75" customHeight="1">
      <c r="H1071" s="188"/>
    </row>
    <row r="1072" ht="15.75" customHeight="1">
      <c r="H1072" s="188"/>
    </row>
    <row r="1073" ht="15.75" customHeight="1">
      <c r="H1073" s="188"/>
    </row>
    <row r="1074" ht="15.75" customHeight="1">
      <c r="H1074" s="188"/>
    </row>
    <row r="1075" ht="15.75" customHeight="1">
      <c r="H1075" s="188"/>
    </row>
    <row r="1076" ht="15.75" customHeight="1">
      <c r="H1076" s="188"/>
    </row>
    <row r="1077" ht="15.75" customHeight="1">
      <c r="H1077" s="188"/>
    </row>
    <row r="1078" ht="15.75" customHeight="1">
      <c r="H1078" s="188"/>
    </row>
    <row r="1079" ht="15.75" customHeight="1">
      <c r="H1079" s="188"/>
    </row>
    <row r="1080" ht="15.75" customHeight="1">
      <c r="H1080" s="188"/>
    </row>
    <row r="1081" ht="15.75" customHeight="1">
      <c r="H1081" s="188"/>
    </row>
    <row r="1082" ht="15.75" customHeight="1">
      <c r="H1082" s="188"/>
    </row>
    <row r="1083" ht="15.75" customHeight="1">
      <c r="H1083" s="188"/>
    </row>
    <row r="1084" ht="15.75" customHeight="1">
      <c r="H1084" s="188"/>
    </row>
    <row r="1085" ht="15.75" customHeight="1">
      <c r="H1085" s="188"/>
    </row>
    <row r="1086" ht="15.75" customHeight="1">
      <c r="H1086" s="188"/>
    </row>
    <row r="1087" ht="15.75" customHeight="1">
      <c r="H1087" s="188"/>
    </row>
    <row r="1088" ht="15.75" customHeight="1">
      <c r="H1088" s="188"/>
    </row>
    <row r="1089" ht="15.75" customHeight="1">
      <c r="H1089" s="188"/>
    </row>
    <row r="1090" ht="15.75" customHeight="1">
      <c r="H1090" s="188"/>
    </row>
    <row r="1091" ht="15.75" customHeight="1">
      <c r="H1091" s="188"/>
    </row>
    <row r="1092" ht="15.75" customHeight="1">
      <c r="H1092" s="188"/>
    </row>
    <row r="1093" ht="15.75" customHeight="1">
      <c r="H1093" s="188"/>
    </row>
    <row r="1094" ht="15.75" customHeight="1">
      <c r="H1094" s="188"/>
    </row>
    <row r="1095" ht="15.75" customHeight="1">
      <c r="H1095" s="188"/>
    </row>
    <row r="1096" ht="15.75" customHeight="1">
      <c r="H1096" s="188"/>
    </row>
    <row r="1097" ht="15.75" customHeight="1">
      <c r="H1097" s="188"/>
    </row>
    <row r="1098" ht="15.75" customHeight="1">
      <c r="H1098" s="188"/>
    </row>
    <row r="1099" ht="15.75" customHeight="1">
      <c r="H1099" s="188"/>
    </row>
    <row r="1100" ht="15.75" customHeight="1">
      <c r="H1100" s="188"/>
    </row>
    <row r="1101" ht="15.75" customHeight="1">
      <c r="H1101" s="188"/>
    </row>
    <row r="1102" ht="15.75" customHeight="1">
      <c r="H1102" s="188"/>
    </row>
    <row r="1103" ht="15.75" customHeight="1">
      <c r="H1103" s="188"/>
    </row>
    <row r="1104" ht="15.75" customHeight="1">
      <c r="H1104" s="188"/>
    </row>
    <row r="1105" ht="15.75" customHeight="1">
      <c r="H1105" s="188"/>
    </row>
    <row r="1106" ht="15.75" customHeight="1">
      <c r="H1106" s="188"/>
    </row>
    <row r="1107" ht="15.75" customHeight="1">
      <c r="H1107" s="188"/>
    </row>
    <row r="1108" ht="15.75" customHeight="1">
      <c r="H1108" s="188"/>
    </row>
    <row r="1109" ht="15.75" customHeight="1">
      <c r="H1109" s="188"/>
    </row>
    <row r="1110" ht="15.75" customHeight="1">
      <c r="H1110" s="188"/>
    </row>
    <row r="1111" ht="15.75" customHeight="1">
      <c r="H1111" s="188"/>
    </row>
    <row r="1112" ht="15.75" customHeight="1">
      <c r="H1112" s="188"/>
    </row>
    <row r="1113" ht="15.75" customHeight="1">
      <c r="H1113" s="188"/>
    </row>
    <row r="1114" ht="15.75" customHeight="1">
      <c r="H1114" s="188"/>
    </row>
    <row r="1115" ht="15.75" customHeight="1">
      <c r="H1115" s="188"/>
    </row>
    <row r="1116" ht="15.75" customHeight="1">
      <c r="H1116" s="188"/>
    </row>
    <row r="1117" ht="15.75" customHeight="1">
      <c r="H1117" s="188"/>
    </row>
    <row r="1118" ht="15.75" customHeight="1">
      <c r="H1118" s="188"/>
    </row>
    <row r="1119" ht="15.75" customHeight="1">
      <c r="H1119" s="188"/>
    </row>
    <row r="1120" ht="15.75" customHeight="1">
      <c r="H1120" s="188"/>
    </row>
    <row r="1121" ht="15.75" customHeight="1">
      <c r="H1121" s="188"/>
    </row>
    <row r="1122" ht="15.75" customHeight="1">
      <c r="H1122" s="188"/>
    </row>
    <row r="1123" ht="15.75" customHeight="1">
      <c r="H1123" s="188"/>
    </row>
    <row r="1124" ht="15.75" customHeight="1">
      <c r="H1124" s="188"/>
    </row>
    <row r="1125" ht="15.75" customHeight="1">
      <c r="H1125" s="188"/>
    </row>
    <row r="1126" ht="15.75" customHeight="1">
      <c r="H1126" s="188"/>
    </row>
    <row r="1127" ht="15.75" customHeight="1">
      <c r="H1127" s="188"/>
    </row>
    <row r="1128" ht="15.75" customHeight="1">
      <c r="H1128" s="188"/>
    </row>
    <row r="1129" ht="15.75" customHeight="1">
      <c r="H1129" s="188"/>
    </row>
    <row r="1130" ht="15.75" customHeight="1">
      <c r="H1130" s="188"/>
    </row>
    <row r="1131" ht="15.75" customHeight="1">
      <c r="H1131" s="188"/>
    </row>
    <row r="1132" ht="15.75" customHeight="1">
      <c r="H1132" s="188"/>
    </row>
    <row r="1133" ht="15.75" customHeight="1">
      <c r="H1133" s="188"/>
    </row>
    <row r="1134" ht="15.75" customHeight="1">
      <c r="H1134" s="188"/>
    </row>
    <row r="1135" ht="15.75" customHeight="1">
      <c r="H1135" s="188"/>
    </row>
    <row r="1136" ht="15.75" customHeight="1">
      <c r="H1136" s="188"/>
    </row>
    <row r="1137" ht="15.75" customHeight="1">
      <c r="H1137" s="188"/>
    </row>
    <row r="1138" ht="15.75" customHeight="1">
      <c r="H1138" s="188"/>
    </row>
    <row r="1139" ht="15.75" customHeight="1">
      <c r="H1139" s="188"/>
    </row>
    <row r="1140" ht="15.75" customHeight="1">
      <c r="H1140" s="188"/>
    </row>
    <row r="1141" ht="15.75" customHeight="1">
      <c r="H1141" s="188"/>
    </row>
    <row r="1142" ht="15.75" customHeight="1">
      <c r="H1142" s="188"/>
    </row>
    <row r="1143" ht="15.75" customHeight="1">
      <c r="H1143" s="188"/>
    </row>
    <row r="1144" ht="15.75" customHeight="1">
      <c r="H1144" s="188"/>
    </row>
    <row r="1145" ht="15.75" customHeight="1">
      <c r="H1145" s="188"/>
    </row>
    <row r="1146" ht="15.75" customHeight="1">
      <c r="H1146" s="188"/>
    </row>
    <row r="1147" ht="15.75" customHeight="1">
      <c r="H1147" s="188"/>
    </row>
    <row r="1148" ht="15.75" customHeight="1">
      <c r="H1148" s="188"/>
    </row>
    <row r="1149" ht="15.75" customHeight="1">
      <c r="H1149" s="188"/>
    </row>
    <row r="1150" ht="15.75" customHeight="1">
      <c r="H1150" s="188"/>
    </row>
    <row r="1151" ht="15.75" customHeight="1">
      <c r="H1151" s="188"/>
    </row>
    <row r="1152" ht="15.75" customHeight="1">
      <c r="H1152" s="188"/>
    </row>
    <row r="1153" ht="15.75" customHeight="1">
      <c r="H1153" s="188"/>
    </row>
    <row r="1154" ht="15.75" customHeight="1">
      <c r="H1154" s="188"/>
    </row>
    <row r="1155" ht="15.75" customHeight="1">
      <c r="H1155" s="188"/>
    </row>
    <row r="1156" ht="15.75" customHeight="1">
      <c r="H1156" s="188"/>
    </row>
    <row r="1157" ht="15.75" customHeight="1">
      <c r="H1157" s="188"/>
    </row>
    <row r="1158" ht="15.75" customHeight="1">
      <c r="H1158" s="188"/>
    </row>
    <row r="1159" ht="15.75" customHeight="1">
      <c r="H1159" s="188"/>
    </row>
    <row r="1160" ht="15.75" customHeight="1">
      <c r="H1160" s="188"/>
    </row>
    <row r="1161" ht="15.75" customHeight="1">
      <c r="H1161" s="188"/>
    </row>
    <row r="1162" ht="15.75" customHeight="1">
      <c r="H1162" s="188"/>
    </row>
    <row r="1163" ht="15.75" customHeight="1">
      <c r="H1163" s="188"/>
    </row>
    <row r="1164" ht="15.75" customHeight="1">
      <c r="H1164" s="188"/>
    </row>
    <row r="1165" ht="15.75" customHeight="1">
      <c r="H1165" s="188"/>
    </row>
    <row r="1166" ht="15.75" customHeight="1">
      <c r="H1166" s="188"/>
    </row>
    <row r="1167" ht="15.75" customHeight="1">
      <c r="H1167" s="188"/>
    </row>
    <row r="1168" ht="15.75" customHeight="1">
      <c r="H1168" s="188"/>
    </row>
    <row r="1169" ht="15.75" customHeight="1">
      <c r="H1169" s="188"/>
    </row>
    <row r="1170" ht="15.75" customHeight="1">
      <c r="H1170" s="188"/>
    </row>
    <row r="1171" ht="15.75" customHeight="1">
      <c r="H1171" s="188"/>
    </row>
    <row r="1172" ht="15.75" customHeight="1">
      <c r="H1172" s="188"/>
    </row>
    <row r="1173" ht="15.75" customHeight="1">
      <c r="H1173" s="188"/>
    </row>
    <row r="1174" ht="15.75" customHeight="1">
      <c r="H1174" s="188"/>
    </row>
    <row r="1175" ht="15.75" customHeight="1">
      <c r="H1175" s="188"/>
    </row>
    <row r="1176" ht="15.75" customHeight="1">
      <c r="H1176" s="188"/>
    </row>
    <row r="1177" ht="15.75" customHeight="1">
      <c r="H1177" s="188"/>
    </row>
    <row r="1178" ht="15.75" customHeight="1">
      <c r="H1178" s="188"/>
    </row>
    <row r="1179" ht="15.75" customHeight="1">
      <c r="H1179" s="188"/>
    </row>
    <row r="1180" ht="15.75" customHeight="1">
      <c r="H1180" s="188"/>
    </row>
    <row r="1181" ht="15.75" customHeight="1">
      <c r="H1181" s="188"/>
    </row>
    <row r="1182" ht="15.75" customHeight="1">
      <c r="H1182" s="188"/>
    </row>
    <row r="1183" ht="15.75" customHeight="1">
      <c r="H1183" s="188"/>
    </row>
    <row r="1184" ht="15.75" customHeight="1">
      <c r="H1184" s="188"/>
    </row>
    <row r="1185" ht="15.75" customHeight="1">
      <c r="H1185" s="188"/>
    </row>
    <row r="1186" ht="15.75" customHeight="1">
      <c r="H1186" s="188"/>
    </row>
    <row r="1187" ht="15.75" customHeight="1">
      <c r="H1187" s="188"/>
    </row>
    <row r="1188" ht="15.75" customHeight="1">
      <c r="H1188" s="188"/>
    </row>
    <row r="1189" ht="15.75" customHeight="1">
      <c r="H1189" s="188"/>
    </row>
    <row r="1190" ht="15.75" customHeight="1">
      <c r="H1190" s="188"/>
    </row>
    <row r="1191" ht="15.75" customHeight="1">
      <c r="H1191" s="188"/>
    </row>
    <row r="1192" ht="15.75" customHeight="1">
      <c r="H1192" s="188"/>
    </row>
    <row r="1193" ht="15.75" customHeight="1">
      <c r="H1193" s="188"/>
    </row>
    <row r="1194" ht="15.75" customHeight="1">
      <c r="H1194" s="188"/>
    </row>
    <row r="1195" ht="15.75" customHeight="1">
      <c r="H1195" s="188"/>
    </row>
    <row r="1196" ht="15.75" customHeight="1">
      <c r="H1196" s="188"/>
    </row>
    <row r="1197" ht="15.75" customHeight="1">
      <c r="H1197" s="188"/>
    </row>
    <row r="1198" ht="15.75" customHeight="1">
      <c r="H1198" s="188"/>
    </row>
    <row r="1199" ht="15.75" customHeight="1">
      <c r="H1199" s="188"/>
    </row>
    <row r="1200" ht="15.75" customHeight="1">
      <c r="H1200" s="188"/>
    </row>
    <row r="1201" ht="15.75" customHeight="1">
      <c r="H1201" s="188"/>
    </row>
    <row r="1202" ht="15.75" customHeight="1">
      <c r="H1202" s="188"/>
    </row>
    <row r="1203" ht="15.75" customHeight="1">
      <c r="H1203" s="188"/>
    </row>
    <row r="1204" ht="15.75" customHeight="1">
      <c r="H1204" s="188"/>
    </row>
    <row r="1205" ht="15.75" customHeight="1">
      <c r="H1205" s="188"/>
    </row>
    <row r="1206" ht="15.75" customHeight="1">
      <c r="H1206" s="188"/>
    </row>
    <row r="1207" ht="15.75" customHeight="1">
      <c r="H1207" s="188"/>
    </row>
    <row r="1208" ht="15.75" customHeight="1">
      <c r="H1208" s="188"/>
    </row>
    <row r="1209" ht="15.75" customHeight="1">
      <c r="H1209" s="188"/>
    </row>
    <row r="1210" ht="15.75" customHeight="1">
      <c r="H1210" s="188"/>
    </row>
    <row r="1211" ht="15.75" customHeight="1">
      <c r="H1211" s="188"/>
    </row>
    <row r="1212" ht="15.75" customHeight="1">
      <c r="H1212" s="188"/>
    </row>
    <row r="1213" ht="15.75" customHeight="1">
      <c r="H1213" s="188"/>
    </row>
    <row r="1214" ht="15.75" customHeight="1">
      <c r="H1214" s="188"/>
    </row>
    <row r="1215" ht="15.75" customHeight="1">
      <c r="H1215" s="188"/>
    </row>
    <row r="1216" ht="15.75" customHeight="1">
      <c r="H1216" s="188"/>
    </row>
    <row r="1217" ht="15.75" customHeight="1">
      <c r="H1217" s="188"/>
    </row>
    <row r="1218" ht="15.75" customHeight="1">
      <c r="H1218" s="188"/>
    </row>
    <row r="1219" ht="15.75" customHeight="1">
      <c r="H1219" s="188"/>
    </row>
    <row r="1220" ht="15.75" customHeight="1">
      <c r="H1220" s="188"/>
    </row>
    <row r="1221" ht="15.75" customHeight="1">
      <c r="H1221" s="188"/>
    </row>
    <row r="1222" ht="15.75" customHeight="1">
      <c r="H1222" s="188"/>
    </row>
    <row r="1223" ht="15.75" customHeight="1">
      <c r="H1223" s="188"/>
    </row>
    <row r="1224" ht="15.75" customHeight="1">
      <c r="H1224" s="188"/>
    </row>
    <row r="1225" ht="15.75" customHeight="1">
      <c r="H1225" s="188"/>
    </row>
    <row r="1226" ht="15.75" customHeight="1">
      <c r="H1226" s="188"/>
    </row>
    <row r="1227" ht="15.75" customHeight="1">
      <c r="H1227" s="188"/>
    </row>
    <row r="1228" ht="15.75" customHeight="1">
      <c r="H1228" s="188"/>
    </row>
    <row r="1229" ht="15.75" customHeight="1">
      <c r="H1229" s="188"/>
    </row>
    <row r="1230" ht="15.75" customHeight="1">
      <c r="H1230" s="188"/>
    </row>
    <row r="1231" ht="15.75" customHeight="1">
      <c r="H1231" s="188"/>
    </row>
    <row r="1232" ht="15.75" customHeight="1">
      <c r="H1232" s="188"/>
    </row>
    <row r="1233" ht="15.75" customHeight="1">
      <c r="H1233" s="188"/>
    </row>
    <row r="1234" ht="15.75" customHeight="1">
      <c r="H1234" s="188"/>
    </row>
    <row r="1235" ht="15.75" customHeight="1">
      <c r="H1235" s="188"/>
    </row>
    <row r="1236" ht="15.75" customHeight="1">
      <c r="H1236" s="188"/>
    </row>
    <row r="1237" ht="15.75" customHeight="1">
      <c r="H1237" s="188"/>
    </row>
    <row r="1238" ht="15.75" customHeight="1">
      <c r="H1238" s="188"/>
    </row>
    <row r="1239" ht="15.75" customHeight="1">
      <c r="H1239" s="188"/>
    </row>
    <row r="1240" ht="15.75" customHeight="1">
      <c r="H1240" s="188"/>
    </row>
    <row r="1241" ht="15.75" customHeight="1">
      <c r="H1241" s="188"/>
    </row>
    <row r="1242" ht="15.75" customHeight="1">
      <c r="H1242" s="188"/>
    </row>
    <row r="1243" ht="15.75" customHeight="1">
      <c r="H1243" s="188"/>
    </row>
    <row r="1244" ht="15.75" customHeight="1">
      <c r="H1244" s="188"/>
    </row>
    <row r="1245" ht="15.75" customHeight="1">
      <c r="H1245" s="188"/>
    </row>
    <row r="1246" ht="15.75" customHeight="1">
      <c r="H1246" s="188"/>
    </row>
    <row r="1247" ht="15.75" customHeight="1">
      <c r="H1247" s="188"/>
    </row>
    <row r="1248" ht="15.75" customHeight="1">
      <c r="H1248" s="188"/>
    </row>
    <row r="1249" ht="15.75" customHeight="1">
      <c r="H1249" s="188"/>
    </row>
    <row r="1250" ht="15.75" customHeight="1">
      <c r="H1250" s="188"/>
    </row>
    <row r="1251" ht="15.75" customHeight="1">
      <c r="H1251" s="188"/>
    </row>
    <row r="1252" ht="15.75" customHeight="1">
      <c r="H1252" s="188"/>
    </row>
    <row r="1253" ht="15.75" customHeight="1">
      <c r="H1253" s="188"/>
    </row>
    <row r="1254" ht="15.75" customHeight="1">
      <c r="H1254" s="188"/>
    </row>
    <row r="1255" ht="15.75" customHeight="1">
      <c r="H1255" s="188"/>
    </row>
    <row r="1256" ht="15.75" customHeight="1">
      <c r="H1256" s="188"/>
    </row>
    <row r="1257" ht="15.75" customHeight="1">
      <c r="H1257" s="188"/>
    </row>
    <row r="1258" ht="15.75" customHeight="1">
      <c r="H1258" s="188"/>
    </row>
    <row r="1259" ht="15.75" customHeight="1">
      <c r="H1259" s="188"/>
    </row>
    <row r="1260" ht="15.75" customHeight="1">
      <c r="H1260" s="188"/>
    </row>
    <row r="1261" ht="15.75" customHeight="1">
      <c r="H1261" s="188"/>
    </row>
    <row r="1262" ht="15.75" customHeight="1">
      <c r="H1262" s="188"/>
    </row>
    <row r="1263" ht="15.75" customHeight="1">
      <c r="H1263" s="188"/>
    </row>
    <row r="1264" ht="15.75" customHeight="1">
      <c r="H1264" s="188"/>
    </row>
    <row r="1265" ht="15.75" customHeight="1">
      <c r="H1265" s="188"/>
    </row>
    <row r="1266" ht="15.75" customHeight="1">
      <c r="H1266" s="188"/>
    </row>
    <row r="1267" ht="15.75" customHeight="1">
      <c r="H1267" s="188"/>
    </row>
    <row r="1268" ht="15.75" customHeight="1">
      <c r="H1268" s="188"/>
    </row>
    <row r="1269" ht="15.75" customHeight="1">
      <c r="H1269" s="188"/>
    </row>
    <row r="1270" ht="15.75" customHeight="1">
      <c r="H1270" s="188"/>
    </row>
    <row r="1271" ht="15.75" customHeight="1">
      <c r="H1271" s="188"/>
    </row>
    <row r="1272" ht="15.75" customHeight="1">
      <c r="H1272" s="188"/>
    </row>
    <row r="1273" ht="15.75" customHeight="1">
      <c r="H1273" s="188"/>
    </row>
    <row r="1274" ht="15.75" customHeight="1">
      <c r="H1274" s="188"/>
    </row>
    <row r="1275" ht="15.75" customHeight="1">
      <c r="H1275" s="188"/>
    </row>
    <row r="1276" ht="15.75" customHeight="1">
      <c r="H1276" s="188"/>
    </row>
    <row r="1277" ht="15.75" customHeight="1">
      <c r="H1277" s="188"/>
    </row>
    <row r="1278" ht="15.75" customHeight="1">
      <c r="H1278" s="188"/>
    </row>
    <row r="1279" ht="15.75" customHeight="1">
      <c r="H1279" s="188"/>
    </row>
    <row r="1280" ht="15.75" customHeight="1">
      <c r="H1280" s="188"/>
    </row>
    <row r="1281" ht="15.75" customHeight="1">
      <c r="H1281" s="188"/>
    </row>
    <row r="1282" ht="15.75" customHeight="1">
      <c r="H1282" s="188"/>
    </row>
    <row r="1283" ht="15.75" customHeight="1">
      <c r="H1283" s="188"/>
    </row>
    <row r="1284" ht="15.75" customHeight="1">
      <c r="H1284" s="188"/>
    </row>
    <row r="1285" ht="15.75" customHeight="1">
      <c r="H1285" s="188"/>
    </row>
    <row r="1286" ht="15.75" customHeight="1">
      <c r="H1286" s="188"/>
    </row>
    <row r="1287" ht="15.75" customHeight="1">
      <c r="H1287" s="188"/>
    </row>
    <row r="1288" ht="15.75" customHeight="1">
      <c r="H1288" s="188"/>
    </row>
    <row r="1289" ht="15.75" customHeight="1">
      <c r="H1289" s="188"/>
    </row>
    <row r="1290" ht="15.75" customHeight="1">
      <c r="H1290" s="188"/>
    </row>
    <row r="1291" ht="15.75" customHeight="1">
      <c r="H1291" s="188"/>
    </row>
    <row r="1292" ht="15.75" customHeight="1">
      <c r="H1292" s="188"/>
    </row>
    <row r="1293" ht="15.75" customHeight="1">
      <c r="H1293" s="188"/>
    </row>
    <row r="1294" ht="15.75" customHeight="1">
      <c r="H1294" s="188"/>
    </row>
    <row r="1295" ht="15.75" customHeight="1">
      <c r="H1295" s="188"/>
    </row>
    <row r="1296" ht="15.75" customHeight="1">
      <c r="H1296" s="188"/>
    </row>
    <row r="1297" ht="15.75" customHeight="1">
      <c r="H1297" s="188"/>
    </row>
    <row r="1298" ht="15.75" customHeight="1">
      <c r="H1298" s="188"/>
    </row>
    <row r="1299" ht="15.75" customHeight="1">
      <c r="H1299" s="188"/>
    </row>
    <row r="1300" ht="15.75" customHeight="1">
      <c r="H1300" s="188"/>
    </row>
    <row r="1301" ht="15.75" customHeight="1">
      <c r="H1301" s="188"/>
    </row>
    <row r="1302" ht="15.75" customHeight="1">
      <c r="H1302" s="188"/>
    </row>
    <row r="1303" ht="15.75" customHeight="1">
      <c r="H1303" s="188"/>
    </row>
    <row r="1304" ht="15.75" customHeight="1">
      <c r="H1304" s="188"/>
    </row>
    <row r="1305" ht="15.75" customHeight="1">
      <c r="H1305" s="188"/>
    </row>
    <row r="1306" ht="15.75" customHeight="1">
      <c r="H1306" s="188"/>
    </row>
    <row r="1307" ht="15.75" customHeight="1">
      <c r="H1307" s="188"/>
    </row>
    <row r="1308" ht="15.75" customHeight="1">
      <c r="H1308" s="188"/>
    </row>
    <row r="1309" ht="15.75" customHeight="1">
      <c r="H1309" s="188"/>
    </row>
    <row r="1310" ht="15.75" customHeight="1">
      <c r="H1310" s="188"/>
    </row>
    <row r="1311" ht="15.75" customHeight="1">
      <c r="H1311" s="188"/>
    </row>
    <row r="1312" ht="15.75" customHeight="1">
      <c r="H1312" s="188"/>
    </row>
    <row r="1313" ht="15.75" customHeight="1">
      <c r="H1313" s="188"/>
    </row>
    <row r="1314" ht="15.75" customHeight="1">
      <c r="H1314" s="188"/>
    </row>
    <row r="1315" ht="15.75" customHeight="1">
      <c r="H1315" s="188"/>
    </row>
    <row r="1316" ht="15.75" customHeight="1">
      <c r="H1316" s="188"/>
    </row>
    <row r="1317" ht="15.75" customHeight="1">
      <c r="H1317" s="188"/>
    </row>
    <row r="1318" ht="15.75" customHeight="1">
      <c r="H1318" s="188"/>
    </row>
    <row r="1319" ht="15.75" customHeight="1">
      <c r="H1319" s="188"/>
    </row>
    <row r="1320" ht="15.75" customHeight="1">
      <c r="H1320" s="188"/>
    </row>
    <row r="1321" ht="15.75" customHeight="1">
      <c r="H1321" s="188"/>
    </row>
    <row r="1322" ht="15.75" customHeight="1">
      <c r="H1322" s="188"/>
    </row>
    <row r="1323" ht="15.75" customHeight="1">
      <c r="H1323" s="188"/>
    </row>
    <row r="1324" ht="15.75" customHeight="1">
      <c r="H1324" s="188"/>
    </row>
    <row r="1325" ht="15.75" customHeight="1">
      <c r="H1325" s="188"/>
    </row>
    <row r="1326" ht="15.75" customHeight="1">
      <c r="H1326" s="188"/>
    </row>
    <row r="1327" ht="15.75" customHeight="1">
      <c r="H1327" s="188"/>
    </row>
    <row r="1328" ht="15.75" customHeight="1">
      <c r="H1328" s="188"/>
    </row>
    <row r="1329" ht="15.75" customHeight="1">
      <c r="H1329" s="188"/>
    </row>
    <row r="1330" ht="15.75" customHeight="1">
      <c r="H1330" s="188"/>
    </row>
    <row r="1331" ht="15.75" customHeight="1">
      <c r="H1331" s="188"/>
    </row>
    <row r="1332" ht="15.75" customHeight="1">
      <c r="H1332" s="188"/>
    </row>
    <row r="1333" ht="15.75" customHeight="1">
      <c r="H1333" s="188"/>
    </row>
    <row r="1334" ht="15.75" customHeight="1">
      <c r="H1334" s="188"/>
    </row>
    <row r="1335" ht="15.75" customHeight="1">
      <c r="H1335" s="188"/>
    </row>
    <row r="1336" ht="15.75" customHeight="1">
      <c r="H1336" s="188"/>
    </row>
    <row r="1337" ht="15.75" customHeight="1">
      <c r="H1337" s="188"/>
    </row>
    <row r="1338" ht="15.75" customHeight="1">
      <c r="H1338" s="188"/>
    </row>
    <row r="1339" ht="15.75" customHeight="1">
      <c r="H1339" s="188"/>
    </row>
    <row r="1340" ht="15.75" customHeight="1">
      <c r="H1340" s="188"/>
    </row>
    <row r="1341" ht="15.75" customHeight="1">
      <c r="H1341" s="188"/>
    </row>
    <row r="1342" ht="15.75" customHeight="1">
      <c r="H1342" s="188"/>
    </row>
    <row r="1343" ht="15.75" customHeight="1">
      <c r="H1343" s="188"/>
    </row>
    <row r="1344" ht="15.75" customHeight="1">
      <c r="H1344" s="188"/>
    </row>
    <row r="1345" ht="15.75" customHeight="1">
      <c r="H1345" s="188"/>
    </row>
    <row r="1346" ht="15.75" customHeight="1">
      <c r="H1346" s="188"/>
    </row>
    <row r="1347" ht="15.75" customHeight="1">
      <c r="H1347" s="188"/>
    </row>
    <row r="1348" ht="15.75" customHeight="1">
      <c r="H1348" s="188"/>
    </row>
    <row r="1349" ht="15.75" customHeight="1">
      <c r="H1349" s="188"/>
    </row>
    <row r="1350" ht="15.75" customHeight="1">
      <c r="H1350" s="188"/>
    </row>
    <row r="1351" ht="15.75" customHeight="1">
      <c r="H1351" s="188"/>
    </row>
    <row r="1352" ht="15.75" customHeight="1">
      <c r="H1352" s="188"/>
    </row>
    <row r="1353" ht="15.75" customHeight="1">
      <c r="H1353" s="188"/>
    </row>
    <row r="1354" ht="15.75" customHeight="1">
      <c r="H1354" s="188"/>
    </row>
    <row r="1355" ht="15.75" customHeight="1">
      <c r="H1355" s="188"/>
    </row>
    <row r="1356" ht="15.75" customHeight="1">
      <c r="H1356" s="188"/>
    </row>
    <row r="1357" ht="15.75" customHeight="1">
      <c r="H1357" s="188"/>
    </row>
    <row r="1358" ht="15.75" customHeight="1">
      <c r="H1358" s="188"/>
    </row>
    <row r="1359" ht="15.75" customHeight="1">
      <c r="H1359" s="188"/>
    </row>
    <row r="1360" ht="15.75" customHeight="1">
      <c r="H1360" s="188"/>
    </row>
    <row r="1361" ht="15.75" customHeight="1">
      <c r="H1361" s="188"/>
    </row>
    <row r="1362" ht="15.75" customHeight="1">
      <c r="H1362" s="188"/>
    </row>
    <row r="1363" ht="15.75" customHeight="1">
      <c r="H1363" s="188"/>
    </row>
    <row r="1364" ht="15.75" customHeight="1">
      <c r="H1364" s="188"/>
    </row>
    <row r="1365" ht="15.75" customHeight="1">
      <c r="H1365" s="188"/>
    </row>
    <row r="1366" ht="15.75" customHeight="1">
      <c r="H1366" s="188"/>
    </row>
    <row r="1367" ht="15.75" customHeight="1">
      <c r="H1367" s="188"/>
    </row>
    <row r="1368" ht="15.75" customHeight="1">
      <c r="H1368" s="188"/>
    </row>
    <row r="1369" ht="15.75" customHeight="1">
      <c r="H1369" s="188"/>
    </row>
    <row r="1370" ht="15.75" customHeight="1">
      <c r="H1370" s="188"/>
    </row>
    <row r="1371" ht="15.75" customHeight="1">
      <c r="H1371" s="188"/>
    </row>
    <row r="1372" ht="15.75" customHeight="1">
      <c r="H1372" s="188"/>
    </row>
    <row r="1373" ht="15.75" customHeight="1">
      <c r="H1373" s="188"/>
    </row>
    <row r="1374" ht="15.75" customHeight="1">
      <c r="H1374" s="188"/>
    </row>
    <row r="1375" ht="15.75" customHeight="1">
      <c r="H1375" s="188"/>
    </row>
    <row r="1376" ht="15.75" customHeight="1">
      <c r="H1376" s="188"/>
    </row>
    <row r="1377" ht="15.75" customHeight="1">
      <c r="H1377" s="188"/>
    </row>
    <row r="1378" ht="15.75" customHeight="1">
      <c r="H1378" s="188"/>
    </row>
    <row r="1379" ht="15.75" customHeight="1">
      <c r="H1379" s="188"/>
    </row>
    <row r="1380" ht="15.75" customHeight="1">
      <c r="H1380" s="188"/>
    </row>
    <row r="1381" ht="15.75" customHeight="1">
      <c r="H1381" s="188"/>
    </row>
    <row r="1382" ht="15.75" customHeight="1">
      <c r="H1382" s="188"/>
    </row>
    <row r="1383" ht="15.75" customHeight="1">
      <c r="H1383" s="188"/>
    </row>
    <row r="1384" ht="15.75" customHeight="1">
      <c r="H1384" s="188"/>
    </row>
    <row r="1385" ht="15.75" customHeight="1">
      <c r="H1385" s="188"/>
    </row>
    <row r="1386" ht="15.75" customHeight="1">
      <c r="H1386" s="188"/>
    </row>
    <row r="1387" ht="15.75" customHeight="1">
      <c r="H1387" s="188"/>
    </row>
    <row r="1388" ht="15.75" customHeight="1">
      <c r="H1388" s="188"/>
    </row>
    <row r="1389" ht="15.75" customHeight="1">
      <c r="H1389" s="188"/>
    </row>
    <row r="1390" ht="15.75" customHeight="1">
      <c r="H1390" s="188"/>
    </row>
    <row r="1391" ht="15.75" customHeight="1">
      <c r="H1391" s="188"/>
    </row>
    <row r="1392" ht="15.75" customHeight="1">
      <c r="H1392" s="188"/>
    </row>
    <row r="1393" ht="15.75" customHeight="1">
      <c r="H1393" s="188"/>
    </row>
    <row r="1394" ht="15.75" customHeight="1">
      <c r="H1394" s="188"/>
    </row>
    <row r="1395" ht="15.75" customHeight="1">
      <c r="H1395" s="188"/>
    </row>
    <row r="1396" ht="15.75" customHeight="1">
      <c r="H1396" s="188"/>
    </row>
    <row r="1397" ht="15.75" customHeight="1">
      <c r="H1397" s="188"/>
    </row>
    <row r="1398" ht="15.75" customHeight="1">
      <c r="H1398" s="188"/>
    </row>
    <row r="1399" ht="15.75" customHeight="1">
      <c r="H1399" s="188"/>
    </row>
    <row r="1400" ht="15.75" customHeight="1">
      <c r="H1400" s="188"/>
    </row>
    <row r="1401" ht="15.75" customHeight="1">
      <c r="H1401" s="188"/>
    </row>
    <row r="1402" ht="15.75" customHeight="1">
      <c r="H1402" s="188"/>
    </row>
    <row r="1403" ht="15.75" customHeight="1">
      <c r="H1403" s="188"/>
    </row>
    <row r="1404" ht="15.75" customHeight="1">
      <c r="H1404" s="188"/>
    </row>
    <row r="1405" ht="15.75" customHeight="1">
      <c r="H1405" s="188"/>
    </row>
    <row r="1406" ht="15.75" customHeight="1">
      <c r="H1406" s="188"/>
    </row>
    <row r="1407" ht="15.75" customHeight="1">
      <c r="H1407" s="188"/>
    </row>
    <row r="1408" ht="15.75" customHeight="1">
      <c r="H1408" s="188"/>
    </row>
    <row r="1409" ht="15.75" customHeight="1">
      <c r="H1409" s="188"/>
    </row>
    <row r="1410" ht="15.75" customHeight="1">
      <c r="H1410" s="188"/>
    </row>
    <row r="1411" ht="15.75" customHeight="1">
      <c r="H1411" s="188"/>
    </row>
    <row r="1412" ht="15.75" customHeight="1">
      <c r="H1412" s="188"/>
    </row>
    <row r="1413" ht="15.75" customHeight="1">
      <c r="H1413" s="188"/>
    </row>
    <row r="1414" ht="15.75" customHeight="1">
      <c r="H1414" s="188"/>
    </row>
    <row r="1415" ht="15.75" customHeight="1">
      <c r="H1415" s="188"/>
    </row>
    <row r="1416" ht="15.75" customHeight="1">
      <c r="H1416" s="188"/>
    </row>
    <row r="1417" ht="15.75" customHeight="1">
      <c r="H1417" s="188"/>
    </row>
    <row r="1418" ht="15.75" customHeight="1">
      <c r="H1418" s="188"/>
    </row>
    <row r="1419" ht="15.75" customHeight="1">
      <c r="H1419" s="188"/>
    </row>
    <row r="1420" ht="15.75" customHeight="1">
      <c r="H1420" s="188"/>
    </row>
    <row r="1421" ht="15.75" customHeight="1">
      <c r="H1421" s="188"/>
    </row>
    <row r="1422" ht="15.75" customHeight="1">
      <c r="H1422" s="188"/>
    </row>
    <row r="1423" ht="15.75" customHeight="1">
      <c r="H1423" s="188"/>
    </row>
    <row r="1424" ht="15.75" customHeight="1">
      <c r="H1424" s="188"/>
    </row>
    <row r="1425" ht="15.75" customHeight="1">
      <c r="H1425" s="188"/>
    </row>
    <row r="1426" ht="15.75" customHeight="1">
      <c r="H1426" s="188"/>
    </row>
    <row r="1427" ht="15.75" customHeight="1">
      <c r="H1427" s="188"/>
    </row>
    <row r="1428" ht="15.75" customHeight="1">
      <c r="H1428" s="188"/>
    </row>
    <row r="1429" ht="15.75" customHeight="1">
      <c r="H1429" s="188"/>
    </row>
    <row r="1430" ht="15.75" customHeight="1">
      <c r="H1430" s="188"/>
    </row>
    <row r="1431" ht="15.75" customHeight="1">
      <c r="H1431" s="188"/>
    </row>
    <row r="1432" ht="15.75" customHeight="1">
      <c r="H1432" s="188"/>
    </row>
    <row r="1433" ht="15.75" customHeight="1">
      <c r="H1433" s="188"/>
    </row>
    <row r="1434" ht="15.75" customHeight="1">
      <c r="H1434" s="188"/>
    </row>
    <row r="1435" ht="15.75" customHeight="1">
      <c r="H1435" s="188"/>
    </row>
    <row r="1436" ht="15.75" customHeight="1">
      <c r="H1436" s="188"/>
    </row>
    <row r="1437" ht="15.75" customHeight="1">
      <c r="H1437" s="188"/>
    </row>
    <row r="1438" ht="15.75" customHeight="1">
      <c r="H1438" s="188"/>
    </row>
    <row r="1439" ht="15.75" customHeight="1">
      <c r="H1439" s="188"/>
    </row>
    <row r="1440" ht="15.75" customHeight="1">
      <c r="H1440" s="188"/>
    </row>
    <row r="1441" ht="15.75" customHeight="1">
      <c r="H1441" s="188"/>
    </row>
    <row r="1442" ht="15.75" customHeight="1">
      <c r="H1442" s="188"/>
    </row>
    <row r="1443" ht="15.75" customHeight="1">
      <c r="H1443" s="188"/>
    </row>
    <row r="1444" ht="15.75" customHeight="1">
      <c r="H1444" s="188"/>
    </row>
    <row r="1445" ht="15.75" customHeight="1">
      <c r="H1445" s="188"/>
    </row>
    <row r="1446" ht="15.75" customHeight="1">
      <c r="H1446" s="188"/>
    </row>
    <row r="1447" ht="15.75" customHeight="1">
      <c r="H1447" s="188"/>
    </row>
    <row r="1448" ht="15.75" customHeight="1">
      <c r="H1448" s="188"/>
    </row>
    <row r="1449" ht="15.75" customHeight="1">
      <c r="H1449" s="188"/>
    </row>
    <row r="1450" ht="15.75" customHeight="1">
      <c r="H1450" s="188"/>
    </row>
    <row r="1451" ht="15.75" customHeight="1">
      <c r="H1451" s="188"/>
    </row>
    <row r="1452" ht="15.75" customHeight="1">
      <c r="H1452" s="188"/>
    </row>
    <row r="1453" ht="15.75" customHeight="1">
      <c r="H1453" s="188"/>
    </row>
    <row r="1454" ht="15.75" customHeight="1">
      <c r="H1454" s="188"/>
    </row>
    <row r="1455" ht="15.75" customHeight="1">
      <c r="H1455" s="188"/>
    </row>
    <row r="1456" ht="15.75" customHeight="1">
      <c r="H1456" s="188"/>
    </row>
    <row r="1457" ht="15.75" customHeight="1">
      <c r="H1457" s="188"/>
    </row>
    <row r="1458" ht="15.75" customHeight="1">
      <c r="H1458" s="188"/>
    </row>
    <row r="1459" ht="15.75" customHeight="1">
      <c r="H1459" s="188"/>
    </row>
    <row r="1460" ht="15.75" customHeight="1">
      <c r="H1460" s="188"/>
    </row>
    <row r="1461" ht="15.75" customHeight="1">
      <c r="H1461" s="188"/>
    </row>
    <row r="1462" ht="15.75" customHeight="1">
      <c r="H1462" s="188"/>
    </row>
    <row r="1463" ht="15.75" customHeight="1">
      <c r="H1463" s="188"/>
    </row>
    <row r="1464" ht="15.75" customHeight="1">
      <c r="H1464" s="188"/>
    </row>
    <row r="1465" ht="15.75" customHeight="1">
      <c r="H1465" s="188"/>
    </row>
    <row r="1466" ht="15.75" customHeight="1">
      <c r="H1466" s="188"/>
    </row>
    <row r="1467" ht="15.75" customHeight="1">
      <c r="H1467" s="188"/>
    </row>
    <row r="1468" ht="15.75" customHeight="1">
      <c r="H1468" s="188"/>
    </row>
    <row r="1469" ht="15.75" customHeight="1">
      <c r="H1469" s="188"/>
    </row>
    <row r="1470" ht="15.75" customHeight="1">
      <c r="H1470" s="188"/>
    </row>
    <row r="1471" ht="15.75" customHeight="1">
      <c r="H1471" s="188"/>
    </row>
    <row r="1472" ht="15.75" customHeight="1">
      <c r="H1472" s="188"/>
    </row>
    <row r="1473" ht="15.75" customHeight="1">
      <c r="H1473" s="188"/>
    </row>
    <row r="1474" ht="15.75" customHeight="1">
      <c r="H1474" s="188"/>
    </row>
    <row r="1475" ht="15.75" customHeight="1">
      <c r="H1475" s="188"/>
    </row>
    <row r="1476" ht="15.75" customHeight="1">
      <c r="H1476" s="188"/>
    </row>
    <row r="1477" ht="15.75" customHeight="1">
      <c r="H1477" s="188"/>
    </row>
    <row r="1478" ht="15.75" customHeight="1">
      <c r="H1478" s="188"/>
    </row>
    <row r="1479" ht="15.75" customHeight="1">
      <c r="H1479" s="188"/>
    </row>
    <row r="1480" ht="15.75" customHeight="1">
      <c r="H1480" s="188"/>
    </row>
    <row r="1481" ht="15.75" customHeight="1">
      <c r="H1481" s="188"/>
    </row>
    <row r="1482" ht="15.75" customHeight="1">
      <c r="H1482" s="188"/>
    </row>
    <row r="1483" ht="15.75" customHeight="1">
      <c r="H1483" s="188"/>
    </row>
    <row r="1484" ht="15.75" customHeight="1">
      <c r="H1484" s="188"/>
    </row>
    <row r="1485" ht="15.75" customHeight="1">
      <c r="H1485" s="188"/>
    </row>
    <row r="1486" ht="15.75" customHeight="1">
      <c r="H1486" s="188"/>
    </row>
    <row r="1487" ht="15.75" customHeight="1">
      <c r="H1487" s="188"/>
    </row>
    <row r="1488" ht="15.75" customHeight="1">
      <c r="H1488" s="188"/>
    </row>
    <row r="1489" ht="15.75" customHeight="1">
      <c r="H1489" s="188"/>
    </row>
    <row r="1490" ht="15.75" customHeight="1">
      <c r="H1490" s="188"/>
    </row>
    <row r="1491" ht="15.75" customHeight="1">
      <c r="H1491" s="188"/>
    </row>
    <row r="1492" ht="15.75" customHeight="1">
      <c r="H1492" s="188"/>
    </row>
    <row r="1493" ht="15.75" customHeight="1">
      <c r="H1493" s="188"/>
    </row>
    <row r="1494" ht="15.75" customHeight="1">
      <c r="H1494" s="188"/>
    </row>
    <row r="1495" ht="15.75" customHeight="1">
      <c r="H1495" s="188"/>
    </row>
    <row r="1496" ht="15.75" customHeight="1">
      <c r="H1496" s="188"/>
    </row>
    <row r="1497" ht="15.75" customHeight="1">
      <c r="H1497" s="188"/>
    </row>
    <row r="1498" ht="15.75" customHeight="1">
      <c r="H1498" s="188"/>
    </row>
    <row r="1499" ht="15.75" customHeight="1">
      <c r="H1499" s="188"/>
    </row>
    <row r="1500" ht="15.75" customHeight="1">
      <c r="H1500" s="188"/>
    </row>
    <row r="1501" ht="15.75" customHeight="1">
      <c r="H1501" s="188"/>
    </row>
    <row r="1502" ht="15.75" customHeight="1">
      <c r="H1502" s="188"/>
    </row>
    <row r="1503" ht="15.75" customHeight="1">
      <c r="H1503" s="188"/>
    </row>
    <row r="1504" ht="15.75" customHeight="1">
      <c r="H1504" s="188"/>
    </row>
    <row r="1505" ht="15.75" customHeight="1">
      <c r="H1505" s="188"/>
    </row>
    <row r="1506" ht="15.75" customHeight="1">
      <c r="H1506" s="188"/>
    </row>
    <row r="1507" ht="15.75" customHeight="1">
      <c r="H1507" s="188"/>
    </row>
    <row r="1508" ht="15.75" customHeight="1">
      <c r="H1508" s="188"/>
    </row>
    <row r="1509" ht="15.75" customHeight="1">
      <c r="H1509" s="188"/>
    </row>
    <row r="1510" ht="15.75" customHeight="1">
      <c r="H1510" s="188"/>
    </row>
    <row r="1511" ht="15.75" customHeight="1">
      <c r="H1511" s="188"/>
    </row>
    <row r="1512" ht="15.75" customHeight="1">
      <c r="H1512" s="188"/>
    </row>
    <row r="1513" ht="15.75" customHeight="1">
      <c r="H1513" s="188"/>
    </row>
    <row r="1514" ht="15.75" customHeight="1">
      <c r="H1514" s="188"/>
    </row>
    <row r="1515" ht="15.75" customHeight="1">
      <c r="H1515" s="188"/>
    </row>
    <row r="1516" ht="15.75" customHeight="1">
      <c r="H1516" s="188"/>
    </row>
    <row r="1517" ht="15.75" customHeight="1">
      <c r="H1517" s="188"/>
    </row>
    <row r="1518" ht="15.75" customHeight="1">
      <c r="H1518" s="188"/>
    </row>
    <row r="1519" ht="15.75" customHeight="1">
      <c r="H1519" s="188"/>
    </row>
    <row r="1520" ht="15.75" customHeight="1">
      <c r="H1520" s="188"/>
    </row>
    <row r="1521" ht="15.75" customHeight="1">
      <c r="H1521" s="188"/>
    </row>
    <row r="1522" ht="15.75" customHeight="1">
      <c r="H1522" s="188"/>
    </row>
    <row r="1523" ht="15.75" customHeight="1">
      <c r="H1523" s="188"/>
    </row>
    <row r="1524" ht="15.75" customHeight="1">
      <c r="H1524" s="188"/>
    </row>
    <row r="1525" ht="15.75" customHeight="1">
      <c r="H1525" s="188"/>
    </row>
    <row r="1526" ht="15.75" customHeight="1">
      <c r="H1526" s="188"/>
    </row>
    <row r="1527" ht="15.75" customHeight="1">
      <c r="H1527" s="188"/>
    </row>
    <row r="1528" ht="15.75" customHeight="1">
      <c r="H1528" s="188"/>
    </row>
    <row r="1529" ht="15.75" customHeight="1">
      <c r="H1529" s="188"/>
    </row>
    <row r="1530" ht="15.75" customHeight="1">
      <c r="H1530" s="188"/>
    </row>
    <row r="1531" ht="15.75" customHeight="1">
      <c r="H1531" s="188"/>
    </row>
    <row r="1532" ht="15.75" customHeight="1">
      <c r="H1532" s="188"/>
    </row>
    <row r="1533" ht="15.75" customHeight="1">
      <c r="H1533" s="188"/>
    </row>
    <row r="1534" ht="15.75" customHeight="1">
      <c r="H1534" s="188"/>
    </row>
    <row r="1535" ht="15.75" customHeight="1">
      <c r="H1535" s="188"/>
    </row>
    <row r="1536" ht="15.75" customHeight="1">
      <c r="H1536" s="188"/>
    </row>
    <row r="1537" ht="15.75" customHeight="1">
      <c r="H1537" s="188"/>
    </row>
    <row r="1538" ht="15.75" customHeight="1">
      <c r="H1538" s="188"/>
    </row>
    <row r="1539" ht="15.75" customHeight="1">
      <c r="H1539" s="188"/>
    </row>
    <row r="1540" ht="15.75" customHeight="1">
      <c r="H1540" s="188"/>
    </row>
    <row r="1541" ht="15.75" customHeight="1">
      <c r="H1541" s="188"/>
    </row>
    <row r="1542" ht="15.75" customHeight="1">
      <c r="H1542" s="188"/>
    </row>
    <row r="1543" ht="15.75" customHeight="1">
      <c r="H1543" s="188"/>
    </row>
    <row r="1544" ht="15.75" customHeight="1">
      <c r="H1544" s="188"/>
    </row>
    <row r="1545" ht="15.75" customHeight="1">
      <c r="H1545" s="188"/>
    </row>
    <row r="1546" ht="15.75" customHeight="1">
      <c r="H1546" s="188"/>
    </row>
    <row r="1547" ht="15.75" customHeight="1">
      <c r="H1547" s="188"/>
    </row>
    <row r="1548" ht="15.75" customHeight="1">
      <c r="H1548" s="188"/>
    </row>
    <row r="1549" ht="15.75" customHeight="1">
      <c r="H1549" s="188"/>
    </row>
    <row r="1550" ht="15.75" customHeight="1">
      <c r="H1550" s="188"/>
    </row>
    <row r="1551" ht="15.75" customHeight="1">
      <c r="H1551" s="188"/>
    </row>
    <row r="1552" ht="15.75" customHeight="1">
      <c r="H1552" s="188"/>
    </row>
    <row r="1553" ht="15.75" customHeight="1">
      <c r="H1553" s="188"/>
    </row>
    <row r="1554" ht="15.75" customHeight="1">
      <c r="H1554" s="188"/>
    </row>
    <row r="1555" ht="15.75" customHeight="1">
      <c r="H1555" s="188"/>
    </row>
    <row r="1556" ht="15.75" customHeight="1">
      <c r="H1556" s="188"/>
    </row>
    <row r="1557" ht="15.75" customHeight="1">
      <c r="H1557" s="188"/>
    </row>
    <row r="1558" ht="15.75" customHeight="1">
      <c r="H1558" s="188"/>
    </row>
    <row r="1559" ht="15.75" customHeight="1">
      <c r="H1559" s="188"/>
    </row>
    <row r="1560" ht="15.75" customHeight="1">
      <c r="H1560" s="188"/>
    </row>
    <row r="1561" ht="15.75" customHeight="1">
      <c r="H1561" s="188"/>
    </row>
    <row r="1562" ht="15.75" customHeight="1">
      <c r="H1562" s="188"/>
    </row>
    <row r="1563" ht="15.75" customHeight="1">
      <c r="H1563" s="188"/>
    </row>
    <row r="1564" ht="15.75" customHeight="1">
      <c r="H1564" s="188"/>
    </row>
    <row r="1565" ht="15.75" customHeight="1">
      <c r="H1565" s="188"/>
    </row>
    <row r="1566" ht="15.75" customHeight="1">
      <c r="H1566" s="188"/>
    </row>
    <row r="1567" ht="15.75" customHeight="1">
      <c r="H1567" s="188"/>
    </row>
    <row r="1568" ht="15.75" customHeight="1">
      <c r="H1568" s="188"/>
    </row>
    <row r="1569" ht="15.75" customHeight="1">
      <c r="H1569" s="188"/>
    </row>
    <row r="1570" ht="15.75" customHeight="1">
      <c r="H1570" s="188"/>
    </row>
    <row r="1571" ht="15.75" customHeight="1">
      <c r="H1571" s="188"/>
    </row>
    <row r="1572" ht="15.75" customHeight="1">
      <c r="H1572" s="188"/>
    </row>
  </sheetData>
  <autoFilter ref="$A$1:$Q$879"/>
  <mergeCells count="3">
    <mergeCell ref="A881:K881"/>
    <mergeCell ref="I882:K882"/>
    <mergeCell ref="L882:P882"/>
  </mergeCells>
  <dataValidations>
    <dataValidation type="list" allowBlank="1" showDropDown="1" showErrorMessage="1" sqref="D456 D657:D872">
      <formula1>"Un Used,Batch-1,Batch-2,Batch-3,Branch,Batch Ind."</formula1>
    </dataValidation>
  </dataValidations>
  <printOptions/>
  <pageMargins bottom="0.0" footer="0.0" header="0.0" left="0.0" right="0.0" top="0.2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0.57"/>
    <col customWidth="1" min="3" max="3" width="6.43"/>
    <col customWidth="1" min="4" max="4" width="7.71"/>
    <col customWidth="1" min="5" max="5" width="5.14"/>
    <col customWidth="1" min="6" max="6" width="13.43"/>
    <col customWidth="1" min="7" max="7" width="18.14"/>
    <col customWidth="1" min="8" max="8" width="8.57"/>
    <col customWidth="1" min="9" max="9" width="9.29"/>
    <col customWidth="1" min="10" max="10" width="4.57"/>
    <col customWidth="1" min="11" max="11" width="7.86"/>
    <col customWidth="1" min="12" max="12" width="8.43"/>
    <col customWidth="1" min="13" max="13" width="9.0"/>
    <col customWidth="1" min="14" max="14" width="9.29"/>
    <col customWidth="1" min="15" max="15" width="9.57"/>
    <col customWidth="1" min="16" max="16" width="10.29"/>
    <col customWidth="1" min="17" max="17" width="10.57"/>
    <col customWidth="1" min="18" max="27" width="8.71"/>
  </cols>
  <sheetData>
    <row r="1">
      <c r="A1" s="2" t="s">
        <v>0</v>
      </c>
      <c r="B1" s="2" t="s">
        <v>2</v>
      </c>
      <c r="C1" s="4" t="s">
        <v>3</v>
      </c>
      <c r="D1" s="7" t="s">
        <v>4</v>
      </c>
      <c r="E1" s="2" t="s">
        <v>5</v>
      </c>
      <c r="F1" s="2" t="s">
        <v>6</v>
      </c>
      <c r="G1" s="7" t="s">
        <v>7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18</v>
      </c>
      <c r="Q1" s="2" t="s">
        <v>19</v>
      </c>
    </row>
    <row r="2">
      <c r="A2" s="14">
        <f t="shared" ref="A2:A221" si="1">IF(E2="","",SUBTOTAL(3,$E$2:E2))</f>
        <v>1</v>
      </c>
      <c r="B2" s="16" t="s">
        <v>24</v>
      </c>
      <c r="C2" s="18">
        <v>20.0</v>
      </c>
      <c r="D2" s="16"/>
      <c r="E2" s="20" t="s">
        <v>26</v>
      </c>
      <c r="F2" s="22" t="s">
        <v>28</v>
      </c>
      <c r="G2" s="14" t="s">
        <v>32</v>
      </c>
      <c r="H2" s="14" t="s">
        <v>34</v>
      </c>
      <c r="I2" s="24">
        <v>45788.0</v>
      </c>
      <c r="J2" s="18">
        <v>6.0</v>
      </c>
      <c r="K2" s="27" t="s">
        <v>38</v>
      </c>
      <c r="L2" s="29">
        <v>100000.0</v>
      </c>
      <c r="M2" s="29">
        <v>0.0</v>
      </c>
      <c r="N2" s="29">
        <v>0.0</v>
      </c>
      <c r="O2" s="29">
        <v>0.0</v>
      </c>
      <c r="P2" s="29">
        <v>0.0</v>
      </c>
      <c r="Q2" s="31"/>
    </row>
    <row r="3">
      <c r="A3" s="14">
        <f t="shared" si="1"/>
        <v>2</v>
      </c>
      <c r="B3" s="16" t="s">
        <v>24</v>
      </c>
      <c r="C3" s="18">
        <v>20.0</v>
      </c>
      <c r="D3" s="16"/>
      <c r="E3" s="20" t="s">
        <v>42</v>
      </c>
      <c r="F3" s="22" t="s">
        <v>28</v>
      </c>
      <c r="G3" s="14" t="s">
        <v>32</v>
      </c>
      <c r="H3" s="14" t="s">
        <v>34</v>
      </c>
      <c r="I3" s="24">
        <v>45791.0</v>
      </c>
      <c r="J3" s="18">
        <v>0.0</v>
      </c>
      <c r="K3" s="27" t="s">
        <v>38</v>
      </c>
      <c r="L3" s="29">
        <v>400000.0</v>
      </c>
      <c r="M3" s="29">
        <v>0.0</v>
      </c>
      <c r="N3" s="29">
        <v>0.0</v>
      </c>
      <c r="O3" s="29">
        <v>0.0</v>
      </c>
      <c r="P3" s="29">
        <v>0.0</v>
      </c>
      <c r="Q3" s="34"/>
    </row>
    <row r="4">
      <c r="A4" s="14">
        <f t="shared" si="1"/>
        <v>3</v>
      </c>
      <c r="B4" s="16" t="s">
        <v>24</v>
      </c>
      <c r="C4" s="18">
        <v>20.0</v>
      </c>
      <c r="D4" s="16"/>
      <c r="E4" s="20" t="s">
        <v>50</v>
      </c>
      <c r="F4" s="22" t="s">
        <v>52</v>
      </c>
      <c r="G4" s="22" t="s">
        <v>53</v>
      </c>
      <c r="H4" s="14" t="s">
        <v>34</v>
      </c>
      <c r="I4" s="24">
        <v>45808.0</v>
      </c>
      <c r="J4" s="18">
        <v>5.0</v>
      </c>
      <c r="K4" s="27" t="s">
        <v>38</v>
      </c>
      <c r="L4" s="29">
        <v>100000.0</v>
      </c>
      <c r="M4" s="29">
        <v>0.0</v>
      </c>
      <c r="N4" s="29">
        <v>0.0</v>
      </c>
      <c r="O4" s="29">
        <v>0.0</v>
      </c>
      <c r="P4" s="29">
        <v>0.0</v>
      </c>
      <c r="Q4" s="34"/>
    </row>
    <row r="5">
      <c r="A5" s="14">
        <f t="shared" si="1"/>
        <v>4</v>
      </c>
      <c r="B5" s="16" t="s">
        <v>24</v>
      </c>
      <c r="C5" s="18">
        <v>20.0</v>
      </c>
      <c r="D5" s="16"/>
      <c r="E5" s="20" t="s">
        <v>61</v>
      </c>
      <c r="F5" s="22" t="s">
        <v>28</v>
      </c>
      <c r="G5" s="14" t="s">
        <v>32</v>
      </c>
      <c r="H5" s="14" t="s">
        <v>34</v>
      </c>
      <c r="I5" s="24">
        <v>45824.0</v>
      </c>
      <c r="J5" s="18">
        <v>0.0</v>
      </c>
      <c r="K5" s="27" t="s">
        <v>38</v>
      </c>
      <c r="L5" s="39">
        <v>0.0</v>
      </c>
      <c r="M5" s="39">
        <v>0.0</v>
      </c>
      <c r="N5" s="40">
        <v>100000.0</v>
      </c>
      <c r="O5" s="40">
        <v>0.0</v>
      </c>
      <c r="P5" s="41">
        <v>0.0</v>
      </c>
      <c r="Q5" s="24">
        <v>45828.0</v>
      </c>
    </row>
    <row r="6">
      <c r="A6" s="14">
        <f t="shared" si="1"/>
        <v>5</v>
      </c>
      <c r="B6" s="16" t="s">
        <v>24</v>
      </c>
      <c r="C6" s="18">
        <v>20.0</v>
      </c>
      <c r="D6" s="16"/>
      <c r="E6" s="20" t="s">
        <v>77</v>
      </c>
      <c r="F6" s="22" t="s">
        <v>28</v>
      </c>
      <c r="G6" s="14" t="s">
        <v>79</v>
      </c>
      <c r="H6" s="14" t="s">
        <v>34</v>
      </c>
      <c r="I6" s="24">
        <v>45824.0</v>
      </c>
      <c r="J6" s="18">
        <v>3.0</v>
      </c>
      <c r="K6" s="27" t="s">
        <v>38</v>
      </c>
      <c r="L6" s="29">
        <v>0.0</v>
      </c>
      <c r="M6" s="29">
        <v>0.0</v>
      </c>
      <c r="N6" s="29">
        <v>25000.0</v>
      </c>
      <c r="O6" s="43">
        <v>0.0</v>
      </c>
      <c r="P6" s="44">
        <v>0.0</v>
      </c>
      <c r="Q6" s="24">
        <v>45824.0</v>
      </c>
    </row>
    <row r="7">
      <c r="A7" s="14">
        <f t="shared" si="1"/>
        <v>6</v>
      </c>
      <c r="B7" s="16" t="s">
        <v>24</v>
      </c>
      <c r="C7" s="18">
        <v>20.0</v>
      </c>
      <c r="D7" s="16"/>
      <c r="E7" s="20" t="s">
        <v>81</v>
      </c>
      <c r="F7" s="45" t="s">
        <v>82</v>
      </c>
      <c r="G7" s="46" t="s">
        <v>85</v>
      </c>
      <c r="H7" s="14"/>
      <c r="I7" s="47"/>
      <c r="J7" s="16"/>
      <c r="K7" s="27"/>
      <c r="L7" s="29"/>
      <c r="M7" s="29"/>
      <c r="N7" s="29"/>
      <c r="O7" s="43"/>
      <c r="P7" s="48"/>
      <c r="Q7" s="50"/>
    </row>
    <row r="8">
      <c r="A8" s="14">
        <f t="shared" si="1"/>
        <v>7</v>
      </c>
      <c r="B8" s="16" t="s">
        <v>24</v>
      </c>
      <c r="C8" s="18">
        <v>20.0</v>
      </c>
      <c r="D8" s="16"/>
      <c r="E8" s="20" t="s">
        <v>93</v>
      </c>
      <c r="F8" s="22" t="s">
        <v>28</v>
      </c>
      <c r="G8" s="14" t="s">
        <v>32</v>
      </c>
      <c r="H8" s="14" t="s">
        <v>34</v>
      </c>
      <c r="I8" s="24">
        <v>45826.0</v>
      </c>
      <c r="J8" s="18">
        <v>5.0</v>
      </c>
      <c r="K8" s="27" t="s">
        <v>38</v>
      </c>
      <c r="L8" s="29">
        <v>0.0</v>
      </c>
      <c r="M8" s="29">
        <v>700000.0</v>
      </c>
      <c r="N8" s="29">
        <v>0.0</v>
      </c>
      <c r="O8" s="29">
        <v>0.0</v>
      </c>
      <c r="P8" s="29">
        <v>0.0</v>
      </c>
      <c r="Q8" s="24"/>
    </row>
    <row r="9">
      <c r="A9" s="14">
        <f t="shared" si="1"/>
        <v>8</v>
      </c>
      <c r="B9" s="16" t="s">
        <v>24</v>
      </c>
      <c r="C9" s="18">
        <v>20.0</v>
      </c>
      <c r="D9" s="16"/>
      <c r="E9" s="20" t="s">
        <v>97</v>
      </c>
      <c r="F9" s="22" t="s">
        <v>28</v>
      </c>
      <c r="G9" s="14" t="s">
        <v>79</v>
      </c>
      <c r="H9" s="14" t="s">
        <v>34</v>
      </c>
      <c r="I9" s="24">
        <v>45832.0</v>
      </c>
      <c r="J9" s="18">
        <v>5.0</v>
      </c>
      <c r="K9" s="27" t="s">
        <v>38</v>
      </c>
      <c r="L9" s="29">
        <v>0.0</v>
      </c>
      <c r="M9" s="29">
        <v>0.0</v>
      </c>
      <c r="N9" s="29">
        <v>30000.0</v>
      </c>
      <c r="O9" s="43">
        <v>0.0</v>
      </c>
      <c r="P9" s="44">
        <v>0.0</v>
      </c>
      <c r="Q9" s="24">
        <v>45832.0</v>
      </c>
    </row>
    <row r="10">
      <c r="A10" s="14">
        <f t="shared" si="1"/>
        <v>9</v>
      </c>
      <c r="B10" s="16" t="s">
        <v>24</v>
      </c>
      <c r="C10" s="18">
        <v>20.0</v>
      </c>
      <c r="D10" s="16"/>
      <c r="E10" s="20" t="s">
        <v>99</v>
      </c>
      <c r="F10" s="45" t="s">
        <v>82</v>
      </c>
      <c r="G10" s="46" t="s">
        <v>85</v>
      </c>
      <c r="H10" s="14"/>
      <c r="I10" s="47"/>
      <c r="J10" s="16"/>
      <c r="K10" s="27"/>
      <c r="L10" s="29"/>
      <c r="M10" s="29"/>
      <c r="N10" s="29"/>
      <c r="O10" s="43"/>
      <c r="P10" s="48"/>
      <c r="Q10" s="50"/>
    </row>
    <row r="11">
      <c r="A11" s="14">
        <f t="shared" si="1"/>
        <v>10</v>
      </c>
      <c r="B11" s="16" t="s">
        <v>24</v>
      </c>
      <c r="C11" s="18">
        <v>20.0</v>
      </c>
      <c r="D11" s="16"/>
      <c r="E11" s="20" t="s">
        <v>100</v>
      </c>
      <c r="F11" s="22" t="s">
        <v>28</v>
      </c>
      <c r="G11" s="14" t="s">
        <v>79</v>
      </c>
      <c r="H11" s="14" t="s">
        <v>34</v>
      </c>
      <c r="I11" s="24">
        <v>45845.0</v>
      </c>
      <c r="J11" s="18">
        <v>0.0</v>
      </c>
      <c r="K11" s="27" t="s">
        <v>38</v>
      </c>
      <c r="L11" s="29">
        <v>0.0</v>
      </c>
      <c r="M11" s="29">
        <v>0.0</v>
      </c>
      <c r="N11" s="29">
        <v>65000.0</v>
      </c>
      <c r="O11" s="43">
        <v>0.0</v>
      </c>
      <c r="P11" s="44">
        <v>0.0</v>
      </c>
      <c r="Q11" s="24">
        <v>45847.0</v>
      </c>
    </row>
    <row r="12">
      <c r="A12" s="14">
        <f t="shared" si="1"/>
        <v>11</v>
      </c>
      <c r="B12" s="16" t="s">
        <v>24</v>
      </c>
      <c r="C12" s="18">
        <v>20.0</v>
      </c>
      <c r="D12" s="16"/>
      <c r="E12" s="20" t="s">
        <v>103</v>
      </c>
      <c r="F12" s="22" t="s">
        <v>28</v>
      </c>
      <c r="G12" s="14" t="s">
        <v>32</v>
      </c>
      <c r="H12" s="14" t="s">
        <v>34</v>
      </c>
      <c r="I12" s="24">
        <v>45857.0</v>
      </c>
      <c r="J12" s="18">
        <v>0.0</v>
      </c>
      <c r="K12" s="27" t="s">
        <v>38</v>
      </c>
      <c r="L12" s="29">
        <v>0.0</v>
      </c>
      <c r="M12" s="29">
        <v>100000.0</v>
      </c>
      <c r="N12" s="29">
        <v>0.0</v>
      </c>
      <c r="O12" s="29">
        <v>0.0</v>
      </c>
      <c r="P12" s="29">
        <v>0.0</v>
      </c>
      <c r="Q12" s="54"/>
    </row>
    <row r="13">
      <c r="A13" s="14">
        <f t="shared" si="1"/>
        <v>12</v>
      </c>
      <c r="B13" s="16" t="s">
        <v>24</v>
      </c>
      <c r="C13" s="18">
        <v>20.0</v>
      </c>
      <c r="D13" s="16"/>
      <c r="E13" s="20" t="s">
        <v>108</v>
      </c>
      <c r="F13" s="22" t="s">
        <v>28</v>
      </c>
      <c r="G13" s="14" t="s">
        <v>79</v>
      </c>
      <c r="H13" s="14" t="s">
        <v>34</v>
      </c>
      <c r="I13" s="24">
        <v>45876.0</v>
      </c>
      <c r="J13" s="18">
        <v>0.0</v>
      </c>
      <c r="K13" s="27" t="s">
        <v>38</v>
      </c>
      <c r="L13" s="29">
        <v>0.0</v>
      </c>
      <c r="M13" s="29">
        <v>0.0</v>
      </c>
      <c r="N13" s="29">
        <v>60000.0</v>
      </c>
      <c r="O13" s="43">
        <v>0.0</v>
      </c>
      <c r="P13" s="44">
        <v>0.0</v>
      </c>
      <c r="Q13" s="24">
        <v>45875.0</v>
      </c>
    </row>
    <row r="14">
      <c r="A14" s="14">
        <f t="shared" si="1"/>
        <v>13</v>
      </c>
      <c r="B14" s="16" t="s">
        <v>24</v>
      </c>
      <c r="C14" s="18">
        <v>20.0</v>
      </c>
      <c r="D14" s="16"/>
      <c r="E14" s="20" t="s">
        <v>109</v>
      </c>
      <c r="F14" s="22" t="s">
        <v>28</v>
      </c>
      <c r="G14" s="14" t="s">
        <v>32</v>
      </c>
      <c r="H14" s="14" t="s">
        <v>34</v>
      </c>
      <c r="I14" s="24">
        <v>45876.0</v>
      </c>
      <c r="J14" s="18">
        <v>0.0</v>
      </c>
      <c r="K14" s="27" t="s">
        <v>57</v>
      </c>
      <c r="L14" s="29">
        <v>0.0</v>
      </c>
      <c r="M14" s="29">
        <v>50000.0</v>
      </c>
      <c r="N14" s="29">
        <v>0.0</v>
      </c>
      <c r="O14" s="29">
        <v>0.0</v>
      </c>
      <c r="P14" s="29">
        <v>0.0</v>
      </c>
      <c r="Q14" s="54"/>
    </row>
    <row r="15">
      <c r="A15" s="14">
        <f t="shared" si="1"/>
        <v>14</v>
      </c>
      <c r="B15" s="16" t="s">
        <v>24</v>
      </c>
      <c r="C15" s="18">
        <v>20.0</v>
      </c>
      <c r="D15" s="16"/>
      <c r="E15" s="20" t="s">
        <v>112</v>
      </c>
      <c r="F15" s="22" t="s">
        <v>28</v>
      </c>
      <c r="G15" s="14" t="s">
        <v>32</v>
      </c>
      <c r="H15" s="14" t="s">
        <v>34</v>
      </c>
      <c r="I15" s="24">
        <v>45915.0</v>
      </c>
      <c r="J15" s="18">
        <v>0.0</v>
      </c>
      <c r="K15" s="27" t="s">
        <v>57</v>
      </c>
      <c r="L15" s="29">
        <v>0.0</v>
      </c>
      <c r="M15" s="29">
        <v>50000.0</v>
      </c>
      <c r="N15" s="29">
        <v>0.0</v>
      </c>
      <c r="O15" s="29">
        <v>0.0</v>
      </c>
      <c r="P15" s="29">
        <v>0.0</v>
      </c>
      <c r="Q15" s="54"/>
    </row>
    <row r="16">
      <c r="A16" s="14">
        <f t="shared" si="1"/>
        <v>15</v>
      </c>
      <c r="B16" s="16" t="s">
        <v>24</v>
      </c>
      <c r="C16" s="18">
        <v>20.0</v>
      </c>
      <c r="D16" s="16"/>
      <c r="E16" s="20" t="s">
        <v>119</v>
      </c>
      <c r="F16" s="22" t="s">
        <v>28</v>
      </c>
      <c r="G16" s="14" t="s">
        <v>79</v>
      </c>
      <c r="H16" s="14" t="s">
        <v>34</v>
      </c>
      <c r="I16" s="24">
        <v>45918.0</v>
      </c>
      <c r="J16" s="18">
        <v>0.0</v>
      </c>
      <c r="K16" s="27" t="s">
        <v>57</v>
      </c>
      <c r="L16" s="29">
        <v>0.0</v>
      </c>
      <c r="M16" s="29">
        <v>0.0</v>
      </c>
      <c r="N16" s="29">
        <v>220000.0</v>
      </c>
      <c r="O16" s="43">
        <v>0.0</v>
      </c>
      <c r="P16" s="44">
        <v>0.0</v>
      </c>
      <c r="Q16" s="24">
        <v>45918.0</v>
      </c>
    </row>
    <row r="17">
      <c r="A17" s="14">
        <f t="shared" si="1"/>
        <v>16</v>
      </c>
      <c r="B17" s="16" t="s">
        <v>24</v>
      </c>
      <c r="C17" s="18">
        <v>20.0</v>
      </c>
      <c r="D17" s="16" t="s">
        <v>122</v>
      </c>
      <c r="E17" s="20" t="s">
        <v>123</v>
      </c>
      <c r="F17" s="14" t="s">
        <v>71</v>
      </c>
      <c r="G17" s="14" t="s">
        <v>124</v>
      </c>
      <c r="H17" s="14" t="s">
        <v>34</v>
      </c>
      <c r="I17" s="24">
        <v>45941.0</v>
      </c>
      <c r="J17" s="16">
        <v>10.0</v>
      </c>
      <c r="K17" s="27" t="s">
        <v>38</v>
      </c>
      <c r="L17" s="29">
        <v>0.0</v>
      </c>
      <c r="M17" s="29">
        <v>0.0</v>
      </c>
      <c r="N17" s="29">
        <v>500000.0</v>
      </c>
      <c r="O17" s="29">
        <v>0.0</v>
      </c>
      <c r="P17" s="29">
        <v>0.0</v>
      </c>
      <c r="Q17" s="24">
        <v>45944.0</v>
      </c>
    </row>
    <row r="18">
      <c r="A18" s="14">
        <f t="shared" si="1"/>
        <v>17</v>
      </c>
      <c r="B18" s="16" t="s">
        <v>24</v>
      </c>
      <c r="C18" s="18">
        <v>20.0</v>
      </c>
      <c r="D18" s="16" t="s">
        <v>122</v>
      </c>
      <c r="E18" s="20" t="s">
        <v>130</v>
      </c>
      <c r="F18" s="14" t="s">
        <v>44</v>
      </c>
      <c r="G18" s="14" t="s">
        <v>124</v>
      </c>
      <c r="H18" s="14" t="s">
        <v>34</v>
      </c>
      <c r="I18" s="24">
        <v>45941.0</v>
      </c>
      <c r="J18" s="16">
        <v>20.0</v>
      </c>
      <c r="K18" s="27" t="s">
        <v>38</v>
      </c>
      <c r="L18" s="29">
        <v>0.0</v>
      </c>
      <c r="M18" s="29">
        <v>0.0</v>
      </c>
      <c r="N18" s="29">
        <v>500000.0</v>
      </c>
      <c r="O18" s="29">
        <v>0.0</v>
      </c>
      <c r="P18" s="29">
        <v>0.0</v>
      </c>
      <c r="Q18" s="24">
        <v>45944.0</v>
      </c>
    </row>
    <row r="19">
      <c r="A19" s="14">
        <f t="shared" si="1"/>
        <v>18</v>
      </c>
      <c r="B19" s="16" t="s">
        <v>24</v>
      </c>
      <c r="C19" s="18">
        <v>20.0</v>
      </c>
      <c r="D19" s="49" t="s">
        <v>46</v>
      </c>
      <c r="E19" s="20" t="s">
        <v>131</v>
      </c>
      <c r="F19" s="22" t="s">
        <v>28</v>
      </c>
      <c r="G19" s="14" t="s">
        <v>32</v>
      </c>
      <c r="H19" s="14" t="s">
        <v>34</v>
      </c>
      <c r="I19" s="24">
        <v>45945.0</v>
      </c>
      <c r="J19" s="16">
        <v>0.0</v>
      </c>
      <c r="K19" s="27" t="s">
        <v>57</v>
      </c>
      <c r="L19" s="29">
        <v>0.0</v>
      </c>
      <c r="M19" s="29">
        <v>50000.0</v>
      </c>
      <c r="N19" s="29">
        <v>0.0</v>
      </c>
      <c r="O19" s="29">
        <v>0.0</v>
      </c>
      <c r="P19" s="29">
        <v>0.0</v>
      </c>
      <c r="Q19" s="24"/>
    </row>
    <row r="20">
      <c r="A20" s="14">
        <f t="shared" si="1"/>
        <v>19</v>
      </c>
      <c r="B20" s="16" t="s">
        <v>24</v>
      </c>
      <c r="C20" s="18">
        <v>20.0</v>
      </c>
      <c r="D20" s="49" t="s">
        <v>46</v>
      </c>
      <c r="E20" s="20" t="s">
        <v>138</v>
      </c>
      <c r="F20" s="22" t="s">
        <v>28</v>
      </c>
      <c r="G20" s="14" t="s">
        <v>79</v>
      </c>
      <c r="H20" s="14" t="s">
        <v>34</v>
      </c>
      <c r="I20" s="47">
        <v>45966.0</v>
      </c>
      <c r="J20" s="16">
        <v>0.0</v>
      </c>
      <c r="K20" s="27" t="s">
        <v>57</v>
      </c>
      <c r="L20" s="29">
        <v>0.0</v>
      </c>
      <c r="M20" s="29">
        <v>50000.0</v>
      </c>
      <c r="N20" s="29">
        <v>0.0</v>
      </c>
      <c r="O20" s="29">
        <v>0.0</v>
      </c>
      <c r="P20" s="29">
        <v>0.0</v>
      </c>
      <c r="Q20" s="54"/>
    </row>
    <row r="21" ht="15.75" customHeight="1">
      <c r="A21" s="14">
        <f t="shared" si="1"/>
        <v>20</v>
      </c>
      <c r="B21" s="16" t="s">
        <v>24</v>
      </c>
      <c r="C21" s="18">
        <v>20.0</v>
      </c>
      <c r="D21" s="16" t="s">
        <v>122</v>
      </c>
      <c r="E21" s="20" t="s">
        <v>145</v>
      </c>
      <c r="F21" s="14" t="s">
        <v>71</v>
      </c>
      <c r="G21" s="14" t="s">
        <v>124</v>
      </c>
      <c r="H21" s="14" t="s">
        <v>34</v>
      </c>
      <c r="I21" s="47">
        <v>45967.0</v>
      </c>
      <c r="J21" s="16">
        <v>0.0</v>
      </c>
      <c r="K21" s="27" t="s">
        <v>38</v>
      </c>
      <c r="L21" s="29">
        <v>0.0</v>
      </c>
      <c r="M21" s="29">
        <v>0.0</v>
      </c>
      <c r="N21" s="29">
        <v>0.0</v>
      </c>
      <c r="O21" s="43">
        <v>1.9E7</v>
      </c>
      <c r="P21" s="29">
        <v>0.0</v>
      </c>
      <c r="Q21" s="24">
        <v>45970.0</v>
      </c>
    </row>
    <row r="22" ht="15.75" customHeight="1">
      <c r="A22" s="14">
        <f t="shared" si="1"/>
        <v>21</v>
      </c>
      <c r="B22" s="16" t="s">
        <v>24</v>
      </c>
      <c r="C22" s="18">
        <v>20.0</v>
      </c>
      <c r="D22" s="16" t="s">
        <v>122</v>
      </c>
      <c r="E22" s="20" t="s">
        <v>148</v>
      </c>
      <c r="F22" s="14" t="s">
        <v>44</v>
      </c>
      <c r="G22" s="14" t="s">
        <v>124</v>
      </c>
      <c r="H22" s="14" t="s">
        <v>34</v>
      </c>
      <c r="I22" s="47">
        <v>45967.0</v>
      </c>
      <c r="J22" s="16">
        <v>0.0</v>
      </c>
      <c r="K22" s="27" t="s">
        <v>38</v>
      </c>
      <c r="L22" s="29">
        <v>0.0</v>
      </c>
      <c r="M22" s="29">
        <v>0.0</v>
      </c>
      <c r="N22" s="29">
        <v>0.0</v>
      </c>
      <c r="O22" s="43">
        <v>1.95E7</v>
      </c>
      <c r="P22" s="29">
        <v>0.0</v>
      </c>
      <c r="Q22" s="54">
        <v>46027.0</v>
      </c>
    </row>
    <row r="23" ht="15.75" customHeight="1">
      <c r="A23" s="14">
        <f t="shared" si="1"/>
        <v>22</v>
      </c>
      <c r="B23" s="16" t="s">
        <v>24</v>
      </c>
      <c r="C23" s="18">
        <v>20.0</v>
      </c>
      <c r="D23" s="16" t="s">
        <v>122</v>
      </c>
      <c r="E23" s="20" t="s">
        <v>153</v>
      </c>
      <c r="F23" s="14" t="s">
        <v>71</v>
      </c>
      <c r="G23" s="14" t="s">
        <v>124</v>
      </c>
      <c r="H23" s="14" t="s">
        <v>34</v>
      </c>
      <c r="I23" s="47">
        <v>45967.0</v>
      </c>
      <c r="J23" s="16">
        <v>0.0</v>
      </c>
      <c r="K23" s="27" t="s">
        <v>38</v>
      </c>
      <c r="L23" s="29">
        <v>0.0</v>
      </c>
      <c r="M23" s="29">
        <v>0.0</v>
      </c>
      <c r="N23" s="29">
        <v>0.0</v>
      </c>
      <c r="O23" s="43">
        <v>500000.0</v>
      </c>
      <c r="P23" s="29">
        <v>0.0</v>
      </c>
      <c r="Q23" s="54">
        <v>46027.0</v>
      </c>
    </row>
    <row r="24" ht="15.75" customHeight="1">
      <c r="A24" s="14">
        <f t="shared" si="1"/>
        <v>23</v>
      </c>
      <c r="B24" s="16" t="s">
        <v>24</v>
      </c>
      <c r="C24" s="18">
        <v>20.0</v>
      </c>
      <c r="D24" s="16" t="s">
        <v>122</v>
      </c>
      <c r="E24" s="20" t="s">
        <v>155</v>
      </c>
      <c r="F24" s="14" t="s">
        <v>71</v>
      </c>
      <c r="G24" s="14" t="s">
        <v>124</v>
      </c>
      <c r="H24" s="14" t="s">
        <v>34</v>
      </c>
      <c r="I24" s="47">
        <v>45967.0</v>
      </c>
      <c r="J24" s="16">
        <v>0.0</v>
      </c>
      <c r="K24" s="27" t="s">
        <v>38</v>
      </c>
      <c r="L24" s="59" t="s">
        <v>82</v>
      </c>
      <c r="M24" s="29">
        <v>0.0</v>
      </c>
      <c r="N24" s="29">
        <v>0.0</v>
      </c>
      <c r="O24" s="29">
        <v>0.0</v>
      </c>
      <c r="P24" s="29">
        <v>0.0</v>
      </c>
      <c r="Q24" s="34"/>
    </row>
    <row r="25" ht="15.75" customHeight="1">
      <c r="A25" s="14">
        <f t="shared" si="1"/>
        <v>24</v>
      </c>
      <c r="B25" s="16" t="s">
        <v>24</v>
      </c>
      <c r="C25" s="18">
        <v>20.0</v>
      </c>
      <c r="D25" s="16" t="s">
        <v>122</v>
      </c>
      <c r="E25" s="20" t="s">
        <v>162</v>
      </c>
      <c r="F25" s="14" t="s">
        <v>44</v>
      </c>
      <c r="G25" s="14" t="s">
        <v>124</v>
      </c>
      <c r="H25" s="14" t="s">
        <v>34</v>
      </c>
      <c r="I25" s="47">
        <v>45968.0</v>
      </c>
      <c r="J25" s="16">
        <v>0.0</v>
      </c>
      <c r="K25" s="27" t="s">
        <v>38</v>
      </c>
      <c r="L25" s="29">
        <v>800000.0</v>
      </c>
      <c r="M25" s="62"/>
      <c r="N25" s="62"/>
      <c r="O25" s="62"/>
      <c r="P25" s="63">
        <v>0.0</v>
      </c>
      <c r="Q25" s="54"/>
    </row>
    <row r="26" ht="15.75" customHeight="1">
      <c r="A26" s="14">
        <f t="shared" si="1"/>
        <v>25</v>
      </c>
      <c r="B26" s="16" t="s">
        <v>24</v>
      </c>
      <c r="C26" s="18">
        <v>20.0</v>
      </c>
      <c r="D26" s="16" t="s">
        <v>122</v>
      </c>
      <c r="E26" s="20" t="s">
        <v>165</v>
      </c>
      <c r="F26" s="14" t="s">
        <v>71</v>
      </c>
      <c r="G26" s="14" t="s">
        <v>124</v>
      </c>
      <c r="H26" s="14" t="s">
        <v>34</v>
      </c>
      <c r="I26" s="47">
        <v>45970.0</v>
      </c>
      <c r="J26" s="16">
        <v>0.0</v>
      </c>
      <c r="K26" s="27" t="s">
        <v>38</v>
      </c>
      <c r="L26" s="29">
        <v>0.0</v>
      </c>
      <c r="M26" s="29">
        <v>3900000.0</v>
      </c>
      <c r="N26" s="29">
        <v>0.0</v>
      </c>
      <c r="O26" s="29">
        <v>0.0</v>
      </c>
      <c r="P26" s="29">
        <v>0.0</v>
      </c>
      <c r="Q26" s="54"/>
    </row>
    <row r="27" ht="15.75" customHeight="1">
      <c r="A27" s="14">
        <f t="shared" si="1"/>
        <v>26</v>
      </c>
      <c r="B27" s="16" t="s">
        <v>24</v>
      </c>
      <c r="C27" s="18">
        <v>20.0</v>
      </c>
      <c r="D27" s="16" t="s">
        <v>122</v>
      </c>
      <c r="E27" s="20" t="s">
        <v>168</v>
      </c>
      <c r="F27" s="14" t="s">
        <v>71</v>
      </c>
      <c r="G27" s="14" t="s">
        <v>124</v>
      </c>
      <c r="H27" s="14" t="s">
        <v>34</v>
      </c>
      <c r="I27" s="47">
        <v>45970.0</v>
      </c>
      <c r="J27" s="16">
        <v>0.0</v>
      </c>
      <c r="K27" s="27" t="s">
        <v>38</v>
      </c>
      <c r="L27" s="29">
        <v>0.0</v>
      </c>
      <c r="M27" s="29">
        <v>3000000.0</v>
      </c>
      <c r="N27" s="29">
        <v>0.0</v>
      </c>
      <c r="O27" s="29">
        <v>0.0</v>
      </c>
      <c r="P27" s="29">
        <v>0.0</v>
      </c>
      <c r="Q27" s="54"/>
    </row>
    <row r="28" ht="15.75" customHeight="1">
      <c r="A28" s="14">
        <f t="shared" si="1"/>
        <v>27</v>
      </c>
      <c r="B28" s="16" t="s">
        <v>24</v>
      </c>
      <c r="C28" s="18">
        <v>20.0</v>
      </c>
      <c r="D28" s="16" t="s">
        <v>122</v>
      </c>
      <c r="E28" s="20" t="s">
        <v>172</v>
      </c>
      <c r="F28" s="14" t="s">
        <v>71</v>
      </c>
      <c r="G28" s="14" t="s">
        <v>124</v>
      </c>
      <c r="H28" s="14" t="s">
        <v>34</v>
      </c>
      <c r="I28" s="47">
        <v>45971.0</v>
      </c>
      <c r="J28" s="16">
        <v>0.0</v>
      </c>
      <c r="K28" s="27" t="s">
        <v>38</v>
      </c>
      <c r="L28" s="29">
        <v>0.0</v>
      </c>
      <c r="M28" s="29">
        <v>6000000.0</v>
      </c>
      <c r="N28" s="29">
        <v>0.0</v>
      </c>
      <c r="O28" s="29">
        <v>0.0</v>
      </c>
      <c r="P28" s="29">
        <v>0.0</v>
      </c>
      <c r="Q28" s="54"/>
    </row>
    <row r="29" ht="15.75" customHeight="1">
      <c r="A29" s="14">
        <f t="shared" si="1"/>
        <v>28</v>
      </c>
      <c r="B29" s="16" t="s">
        <v>24</v>
      </c>
      <c r="C29" s="18">
        <v>20.0</v>
      </c>
      <c r="D29" s="16" t="s">
        <v>122</v>
      </c>
      <c r="E29" s="20" t="s">
        <v>174</v>
      </c>
      <c r="F29" s="14" t="s">
        <v>44</v>
      </c>
      <c r="G29" s="14" t="s">
        <v>124</v>
      </c>
      <c r="H29" s="14" t="s">
        <v>34</v>
      </c>
      <c r="I29" s="47">
        <v>45971.0</v>
      </c>
      <c r="J29" s="16">
        <v>0.0</v>
      </c>
      <c r="K29" s="27" t="s">
        <v>38</v>
      </c>
      <c r="L29" s="29">
        <v>0.0</v>
      </c>
      <c r="M29" s="29">
        <v>5000000.0</v>
      </c>
      <c r="N29" s="29">
        <v>0.0</v>
      </c>
      <c r="O29" s="29">
        <v>0.0</v>
      </c>
      <c r="P29" s="29">
        <v>0.0</v>
      </c>
      <c r="Q29" s="54"/>
    </row>
    <row r="30" ht="15.75" customHeight="1">
      <c r="A30" s="14">
        <f t="shared" si="1"/>
        <v>29</v>
      </c>
      <c r="B30" s="16" t="s">
        <v>24</v>
      </c>
      <c r="C30" s="18">
        <v>20.0</v>
      </c>
      <c r="D30" s="16" t="s">
        <v>122</v>
      </c>
      <c r="E30" s="20" t="s">
        <v>176</v>
      </c>
      <c r="F30" s="14" t="s">
        <v>71</v>
      </c>
      <c r="G30" s="14" t="s">
        <v>124</v>
      </c>
      <c r="H30" s="14" t="s">
        <v>34</v>
      </c>
      <c r="I30" s="47">
        <v>45967.0</v>
      </c>
      <c r="J30" s="16">
        <v>0.0</v>
      </c>
      <c r="K30" s="27" t="s">
        <v>38</v>
      </c>
      <c r="L30" s="29">
        <v>300000.0</v>
      </c>
      <c r="M30" s="29">
        <v>0.0</v>
      </c>
      <c r="N30" s="29">
        <v>0.0</v>
      </c>
      <c r="O30" s="29">
        <v>0.0</v>
      </c>
      <c r="P30" s="29">
        <v>0.0</v>
      </c>
      <c r="Q30" s="54"/>
    </row>
    <row r="31" ht="15.75" customHeight="1">
      <c r="A31" s="14">
        <f t="shared" si="1"/>
        <v>30</v>
      </c>
      <c r="B31" s="16" t="s">
        <v>24</v>
      </c>
      <c r="C31" s="18">
        <v>20.0</v>
      </c>
      <c r="D31" s="49" t="s">
        <v>46</v>
      </c>
      <c r="E31" s="20" t="s">
        <v>178</v>
      </c>
      <c r="F31" s="22" t="s">
        <v>28</v>
      </c>
      <c r="G31" s="14" t="s">
        <v>32</v>
      </c>
      <c r="H31" s="14" t="s">
        <v>34</v>
      </c>
      <c r="I31" s="24">
        <v>45977.0</v>
      </c>
      <c r="J31" s="16">
        <v>0.0</v>
      </c>
      <c r="K31" s="27" t="s">
        <v>57</v>
      </c>
      <c r="L31" s="29">
        <v>0.0</v>
      </c>
      <c r="M31" s="29">
        <v>50000.0</v>
      </c>
      <c r="N31" s="29">
        <v>0.0</v>
      </c>
      <c r="O31" s="29">
        <v>0.0</v>
      </c>
      <c r="P31" s="29">
        <v>0.0</v>
      </c>
      <c r="Q31" s="54"/>
    </row>
    <row r="32" ht="15.75" customHeight="1">
      <c r="A32" s="14">
        <f t="shared" si="1"/>
        <v>31</v>
      </c>
      <c r="B32" s="16" t="s">
        <v>24</v>
      </c>
      <c r="C32" s="18">
        <v>20.0</v>
      </c>
      <c r="D32" s="16" t="s">
        <v>122</v>
      </c>
      <c r="E32" s="20" t="s">
        <v>183</v>
      </c>
      <c r="F32" s="14" t="s">
        <v>184</v>
      </c>
      <c r="G32" s="14" t="s">
        <v>186</v>
      </c>
      <c r="H32" s="14" t="s">
        <v>34</v>
      </c>
      <c r="I32" s="24">
        <v>46000.0</v>
      </c>
      <c r="J32" s="16">
        <v>0.0</v>
      </c>
      <c r="K32" s="27" t="s">
        <v>38</v>
      </c>
      <c r="L32" s="29">
        <v>50000.0</v>
      </c>
      <c r="M32" s="29">
        <v>0.0</v>
      </c>
      <c r="N32" s="29">
        <v>0.0</v>
      </c>
      <c r="O32" s="29">
        <v>0.0</v>
      </c>
      <c r="P32" s="29">
        <v>0.0</v>
      </c>
      <c r="Q32" s="54"/>
    </row>
    <row r="33" ht="15.75" customHeight="1">
      <c r="A33" s="14">
        <f t="shared" si="1"/>
        <v>32</v>
      </c>
      <c r="B33" s="16" t="s">
        <v>24</v>
      </c>
      <c r="C33" s="18">
        <v>20.0</v>
      </c>
      <c r="D33" s="16" t="s">
        <v>122</v>
      </c>
      <c r="E33" s="20" t="s">
        <v>188</v>
      </c>
      <c r="F33" s="14" t="s">
        <v>184</v>
      </c>
      <c r="G33" s="14" t="s">
        <v>186</v>
      </c>
      <c r="H33" s="14" t="s">
        <v>34</v>
      </c>
      <c r="I33" s="24">
        <v>45999.0</v>
      </c>
      <c r="J33" s="16">
        <v>5.0</v>
      </c>
      <c r="K33" s="27" t="s">
        <v>38</v>
      </c>
      <c r="L33" s="29">
        <v>50000.0</v>
      </c>
      <c r="M33" s="29">
        <v>0.0</v>
      </c>
      <c r="N33" s="29">
        <v>0.0</v>
      </c>
      <c r="O33" s="29">
        <v>0.0</v>
      </c>
      <c r="P33" s="29">
        <v>0.0</v>
      </c>
      <c r="Q33" s="54"/>
    </row>
    <row r="34" ht="15.75" customHeight="1">
      <c r="A34" s="14">
        <f t="shared" si="1"/>
        <v>33</v>
      </c>
      <c r="B34" s="16" t="s">
        <v>24</v>
      </c>
      <c r="C34" s="18">
        <v>20.0</v>
      </c>
      <c r="D34" s="49" t="s">
        <v>46</v>
      </c>
      <c r="E34" s="20" t="s">
        <v>192</v>
      </c>
      <c r="F34" s="22" t="s">
        <v>28</v>
      </c>
      <c r="G34" s="14" t="s">
        <v>79</v>
      </c>
      <c r="H34" s="14" t="s">
        <v>34</v>
      </c>
      <c r="I34" s="24">
        <v>46001.0</v>
      </c>
      <c r="J34" s="16">
        <v>0.0</v>
      </c>
      <c r="K34" s="27" t="s">
        <v>57</v>
      </c>
      <c r="L34" s="29">
        <v>0.0</v>
      </c>
      <c r="M34" s="29">
        <v>50000.0</v>
      </c>
      <c r="N34" s="29">
        <v>0.0</v>
      </c>
      <c r="O34" s="29">
        <v>0.0</v>
      </c>
      <c r="P34" s="29">
        <v>0.0</v>
      </c>
      <c r="Q34" s="54"/>
    </row>
    <row r="35" ht="15.75" customHeight="1">
      <c r="A35" s="14">
        <f t="shared" si="1"/>
        <v>34</v>
      </c>
      <c r="B35" s="16" t="s">
        <v>24</v>
      </c>
      <c r="C35" s="18">
        <v>20.0</v>
      </c>
      <c r="D35" s="49" t="s">
        <v>46</v>
      </c>
      <c r="E35" s="20" t="s">
        <v>195</v>
      </c>
      <c r="F35" s="22" t="s">
        <v>28</v>
      </c>
      <c r="G35" s="14" t="s">
        <v>32</v>
      </c>
      <c r="H35" s="14" t="s">
        <v>34</v>
      </c>
      <c r="I35" s="24">
        <v>46006.0</v>
      </c>
      <c r="J35" s="16">
        <v>0.0</v>
      </c>
      <c r="K35" s="27" t="s">
        <v>57</v>
      </c>
      <c r="L35" s="29">
        <v>0.0</v>
      </c>
      <c r="M35" s="29">
        <v>50000.0</v>
      </c>
      <c r="N35" s="29">
        <v>0.0</v>
      </c>
      <c r="O35" s="29">
        <v>0.0</v>
      </c>
      <c r="P35" s="29">
        <v>0.0</v>
      </c>
      <c r="Q35" s="54"/>
    </row>
    <row r="36" ht="15.75" customHeight="1">
      <c r="A36" s="14">
        <f t="shared" si="1"/>
        <v>35</v>
      </c>
      <c r="B36" s="16" t="s">
        <v>24</v>
      </c>
      <c r="C36" s="18">
        <v>20.0</v>
      </c>
      <c r="D36" s="16" t="s">
        <v>122</v>
      </c>
      <c r="E36" s="20" t="s">
        <v>198</v>
      </c>
      <c r="F36" s="14" t="s">
        <v>184</v>
      </c>
      <c r="G36" s="14" t="s">
        <v>186</v>
      </c>
      <c r="H36" s="14" t="s">
        <v>34</v>
      </c>
      <c r="I36" s="24">
        <v>46018.0</v>
      </c>
      <c r="J36" s="16">
        <v>0.0</v>
      </c>
      <c r="K36" s="27" t="s">
        <v>38</v>
      </c>
      <c r="L36" s="29">
        <v>280000.0</v>
      </c>
      <c r="M36" s="29">
        <v>0.0</v>
      </c>
      <c r="N36" s="29">
        <v>0.0</v>
      </c>
      <c r="O36" s="29">
        <v>0.0</v>
      </c>
      <c r="P36" s="29">
        <v>0.0</v>
      </c>
      <c r="Q36" s="54"/>
    </row>
    <row r="37" ht="15.75" customHeight="1">
      <c r="A37" s="14">
        <f t="shared" si="1"/>
        <v>36</v>
      </c>
      <c r="B37" s="16" t="s">
        <v>24</v>
      </c>
      <c r="C37" s="18">
        <v>20.0</v>
      </c>
      <c r="D37" s="16" t="s">
        <v>122</v>
      </c>
      <c r="E37" s="20" t="s">
        <v>200</v>
      </c>
      <c r="F37" s="14" t="s">
        <v>184</v>
      </c>
      <c r="G37" s="14" t="s">
        <v>186</v>
      </c>
      <c r="H37" s="14" t="s">
        <v>34</v>
      </c>
      <c r="I37" s="24">
        <v>46021.0</v>
      </c>
      <c r="J37" s="16">
        <v>0.0</v>
      </c>
      <c r="K37" s="27" t="s">
        <v>38</v>
      </c>
      <c r="L37" s="29">
        <v>500000.0</v>
      </c>
      <c r="M37" s="29">
        <v>0.0</v>
      </c>
      <c r="N37" s="29">
        <v>0.0</v>
      </c>
      <c r="O37" s="29">
        <v>0.0</v>
      </c>
      <c r="P37" s="29">
        <v>0.0</v>
      </c>
      <c r="Q37" s="54"/>
    </row>
    <row r="38" ht="15.75" customHeight="1">
      <c r="A38" s="14">
        <f t="shared" si="1"/>
        <v>37</v>
      </c>
      <c r="B38" s="16" t="s">
        <v>24</v>
      </c>
      <c r="C38" s="18">
        <v>20.0</v>
      </c>
      <c r="D38" s="49" t="s">
        <v>46</v>
      </c>
      <c r="E38" s="20" t="s">
        <v>203</v>
      </c>
      <c r="F38" s="22" t="s">
        <v>28</v>
      </c>
      <c r="G38" s="14" t="s">
        <v>79</v>
      </c>
      <c r="H38" s="14" t="s">
        <v>34</v>
      </c>
      <c r="I38" s="24">
        <v>46034.0</v>
      </c>
      <c r="J38" s="16">
        <v>0.0</v>
      </c>
      <c r="K38" s="27" t="s">
        <v>57</v>
      </c>
      <c r="L38" s="29">
        <v>0.0</v>
      </c>
      <c r="M38" s="29">
        <v>50000.0</v>
      </c>
      <c r="N38" s="29">
        <v>0.0</v>
      </c>
      <c r="O38" s="29">
        <v>0.0</v>
      </c>
      <c r="P38" s="29">
        <v>0.0</v>
      </c>
      <c r="Q38" s="54"/>
    </row>
    <row r="39" ht="15.75" customHeight="1">
      <c r="A39" s="14">
        <f t="shared" si="1"/>
        <v>38</v>
      </c>
      <c r="B39" s="16" t="s">
        <v>24</v>
      </c>
      <c r="C39" s="18">
        <v>20.0</v>
      </c>
      <c r="D39" s="49" t="s">
        <v>46</v>
      </c>
      <c r="E39" s="20" t="s">
        <v>205</v>
      </c>
      <c r="F39" s="22" t="s">
        <v>28</v>
      </c>
      <c r="G39" s="14" t="s">
        <v>32</v>
      </c>
      <c r="H39" s="14" t="s">
        <v>34</v>
      </c>
      <c r="I39" s="24">
        <v>46037.0</v>
      </c>
      <c r="J39" s="16">
        <v>0.0</v>
      </c>
      <c r="K39" s="27" t="s">
        <v>57</v>
      </c>
      <c r="L39" s="29">
        <v>0.0</v>
      </c>
      <c r="M39" s="29">
        <v>50000.0</v>
      </c>
      <c r="N39" s="29">
        <v>0.0</v>
      </c>
      <c r="O39" s="29">
        <v>0.0</v>
      </c>
      <c r="P39" s="29">
        <v>0.0</v>
      </c>
      <c r="Q39" s="54"/>
    </row>
    <row r="40" ht="15.75" customHeight="1">
      <c r="A40" s="14">
        <f t="shared" si="1"/>
        <v>39</v>
      </c>
      <c r="B40" s="16" t="s">
        <v>24</v>
      </c>
      <c r="C40" s="18">
        <v>20.0</v>
      </c>
      <c r="D40" s="16" t="s">
        <v>211</v>
      </c>
      <c r="E40" s="20" t="s">
        <v>213</v>
      </c>
      <c r="F40" s="14" t="s">
        <v>49</v>
      </c>
      <c r="G40" s="14" t="s">
        <v>214</v>
      </c>
      <c r="H40" s="14" t="s">
        <v>34</v>
      </c>
      <c r="I40" s="24">
        <v>46051.0</v>
      </c>
      <c r="J40" s="16">
        <v>3.0</v>
      </c>
      <c r="K40" s="27" t="s">
        <v>38</v>
      </c>
      <c r="L40" s="29">
        <v>0.0</v>
      </c>
      <c r="M40" s="29">
        <v>10000.0</v>
      </c>
      <c r="N40" s="29">
        <v>0.0</v>
      </c>
      <c r="O40" s="29">
        <v>0.0</v>
      </c>
      <c r="P40" s="29">
        <v>0.0</v>
      </c>
      <c r="Q40" s="54"/>
    </row>
    <row r="41" ht="15.75" customHeight="1">
      <c r="A41" s="14">
        <f t="shared" si="1"/>
        <v>40</v>
      </c>
      <c r="B41" s="16" t="s">
        <v>24</v>
      </c>
      <c r="C41" s="18">
        <v>20.0</v>
      </c>
      <c r="D41" s="49" t="s">
        <v>46</v>
      </c>
      <c r="E41" s="20" t="s">
        <v>217</v>
      </c>
      <c r="F41" s="22" t="s">
        <v>218</v>
      </c>
      <c r="G41" s="14" t="s">
        <v>219</v>
      </c>
      <c r="H41" s="14" t="s">
        <v>34</v>
      </c>
      <c r="I41" s="47">
        <v>46056.0</v>
      </c>
      <c r="J41" s="16">
        <v>0.0</v>
      </c>
      <c r="K41" s="27" t="s">
        <v>57</v>
      </c>
      <c r="L41" s="29">
        <v>100000.0</v>
      </c>
      <c r="M41" s="29">
        <v>0.0</v>
      </c>
      <c r="N41" s="29">
        <v>0.0</v>
      </c>
      <c r="O41" s="29">
        <v>0.0</v>
      </c>
      <c r="P41" s="29">
        <v>0.0</v>
      </c>
      <c r="Q41" s="54"/>
    </row>
    <row r="42" ht="15.75" customHeight="1">
      <c r="A42" s="14">
        <f t="shared" si="1"/>
        <v>41</v>
      </c>
      <c r="B42" s="16" t="s">
        <v>24</v>
      </c>
      <c r="C42" s="18">
        <v>20.0</v>
      </c>
      <c r="D42" s="16" t="s">
        <v>122</v>
      </c>
      <c r="E42" s="20" t="s">
        <v>226</v>
      </c>
      <c r="F42" s="14" t="s">
        <v>184</v>
      </c>
      <c r="G42" s="14" t="s">
        <v>186</v>
      </c>
      <c r="H42" s="14" t="s">
        <v>34</v>
      </c>
      <c r="I42" s="47">
        <v>46056.0</v>
      </c>
      <c r="J42" s="16">
        <v>0.0</v>
      </c>
      <c r="K42" s="27" t="s">
        <v>38</v>
      </c>
      <c r="L42" s="29">
        <v>100000.0</v>
      </c>
      <c r="M42" s="29">
        <v>0.0</v>
      </c>
      <c r="N42" s="29">
        <v>0.0</v>
      </c>
      <c r="O42" s="29">
        <v>0.0</v>
      </c>
      <c r="P42" s="29">
        <v>0.0</v>
      </c>
      <c r="Q42" s="54"/>
    </row>
    <row r="43" ht="15.75" customHeight="1">
      <c r="A43" s="14">
        <f t="shared" si="1"/>
        <v>42</v>
      </c>
      <c r="B43" s="16" t="s">
        <v>24</v>
      </c>
      <c r="C43" s="18">
        <v>20.0</v>
      </c>
      <c r="D43" s="49" t="s">
        <v>46</v>
      </c>
      <c r="E43" s="20" t="s">
        <v>228</v>
      </c>
      <c r="F43" s="14" t="s">
        <v>184</v>
      </c>
      <c r="G43" s="14" t="s">
        <v>186</v>
      </c>
      <c r="H43" s="14" t="s">
        <v>34</v>
      </c>
      <c r="I43" s="47">
        <v>46056.0</v>
      </c>
      <c r="J43" s="16">
        <v>0.0</v>
      </c>
      <c r="K43" s="27" t="s">
        <v>57</v>
      </c>
      <c r="L43" s="29">
        <v>55000.0</v>
      </c>
      <c r="M43" s="29">
        <v>0.0</v>
      </c>
      <c r="N43" s="29">
        <v>0.0</v>
      </c>
      <c r="O43" s="29">
        <v>0.0</v>
      </c>
      <c r="P43" s="29">
        <v>0.0</v>
      </c>
      <c r="Q43" s="54"/>
    </row>
    <row r="44" ht="15.75" customHeight="1">
      <c r="A44" s="14">
        <f t="shared" si="1"/>
        <v>43</v>
      </c>
      <c r="B44" s="16" t="s">
        <v>24</v>
      </c>
      <c r="C44" s="18">
        <v>20.0</v>
      </c>
      <c r="D44" s="49" t="s">
        <v>46</v>
      </c>
      <c r="E44" s="20" t="s">
        <v>234</v>
      </c>
      <c r="F44" s="22" t="s">
        <v>28</v>
      </c>
      <c r="G44" s="14" t="s">
        <v>79</v>
      </c>
      <c r="H44" s="14" t="s">
        <v>34</v>
      </c>
      <c r="I44" s="47">
        <v>46068.0</v>
      </c>
      <c r="J44" s="16">
        <v>0.0</v>
      </c>
      <c r="K44" s="27" t="s">
        <v>57</v>
      </c>
      <c r="L44" s="29">
        <v>0.0</v>
      </c>
      <c r="M44" s="29">
        <v>50000.0</v>
      </c>
      <c r="N44" s="29">
        <v>0.0</v>
      </c>
      <c r="O44" s="29">
        <v>0.0</v>
      </c>
      <c r="P44" s="29">
        <v>0.0</v>
      </c>
      <c r="Q44" s="54"/>
    </row>
    <row r="45" ht="15.75" customHeight="1">
      <c r="A45" s="14">
        <f t="shared" si="1"/>
        <v>44</v>
      </c>
      <c r="B45" s="16" t="s">
        <v>24</v>
      </c>
      <c r="C45" s="18">
        <v>20.0</v>
      </c>
      <c r="D45" s="49" t="s">
        <v>46</v>
      </c>
      <c r="E45" s="20" t="s">
        <v>237</v>
      </c>
      <c r="F45" s="22" t="s">
        <v>28</v>
      </c>
      <c r="G45" s="14" t="s">
        <v>32</v>
      </c>
      <c r="H45" s="14" t="s">
        <v>34</v>
      </c>
      <c r="I45" s="47">
        <v>46068.0</v>
      </c>
      <c r="J45" s="16">
        <v>0.0</v>
      </c>
      <c r="K45" s="27" t="s">
        <v>57</v>
      </c>
      <c r="L45" s="29">
        <v>0.0</v>
      </c>
      <c r="M45" s="29">
        <v>50000.0</v>
      </c>
      <c r="N45" s="29">
        <v>0.0</v>
      </c>
      <c r="O45" s="29">
        <v>0.0</v>
      </c>
      <c r="P45" s="29">
        <v>0.0</v>
      </c>
      <c r="Q45" s="54"/>
    </row>
    <row r="46" ht="15.75" customHeight="1">
      <c r="A46" s="14">
        <f t="shared" si="1"/>
        <v>45</v>
      </c>
      <c r="B46" s="16" t="s">
        <v>24</v>
      </c>
      <c r="C46" s="18">
        <v>20.0</v>
      </c>
      <c r="D46" s="16" t="s">
        <v>122</v>
      </c>
      <c r="E46" s="20" t="s">
        <v>240</v>
      </c>
      <c r="F46" s="14" t="s">
        <v>241</v>
      </c>
      <c r="G46" s="14" t="s">
        <v>243</v>
      </c>
      <c r="H46" s="14" t="s">
        <v>245</v>
      </c>
      <c r="I46" s="47">
        <v>46076.0</v>
      </c>
      <c r="J46" s="16">
        <v>3.0</v>
      </c>
      <c r="K46" s="27" t="s">
        <v>38</v>
      </c>
      <c r="L46" s="29">
        <v>190000.0</v>
      </c>
      <c r="M46" s="29">
        <v>0.0</v>
      </c>
      <c r="N46" s="29">
        <v>0.0</v>
      </c>
      <c r="O46" s="29">
        <v>0.0</v>
      </c>
      <c r="P46" s="29">
        <v>0.0</v>
      </c>
      <c r="Q46" s="54"/>
    </row>
    <row r="47" ht="15.75" customHeight="1">
      <c r="A47" s="14">
        <f t="shared" si="1"/>
        <v>46</v>
      </c>
      <c r="B47" s="16" t="s">
        <v>24</v>
      </c>
      <c r="C47" s="18">
        <v>20.0</v>
      </c>
      <c r="D47" s="16" t="s">
        <v>122</v>
      </c>
      <c r="E47" s="20" t="s">
        <v>247</v>
      </c>
      <c r="F47" s="14" t="s">
        <v>241</v>
      </c>
      <c r="G47" s="14" t="s">
        <v>243</v>
      </c>
      <c r="H47" s="14" t="s">
        <v>245</v>
      </c>
      <c r="I47" s="47">
        <v>46076.0</v>
      </c>
      <c r="J47" s="16">
        <v>0.0</v>
      </c>
      <c r="K47" s="27" t="s">
        <v>38</v>
      </c>
      <c r="L47" s="29">
        <v>0.0</v>
      </c>
      <c r="M47" s="29">
        <v>0.0</v>
      </c>
      <c r="N47" s="29">
        <v>0.0</v>
      </c>
      <c r="O47" s="29">
        <v>300000.0</v>
      </c>
      <c r="P47" s="29">
        <v>0.0</v>
      </c>
      <c r="Q47" s="24">
        <v>45756.0</v>
      </c>
    </row>
    <row r="48" ht="15.75" customHeight="1">
      <c r="A48" s="14">
        <f t="shared" si="1"/>
        <v>47</v>
      </c>
      <c r="B48" s="16" t="s">
        <v>24</v>
      </c>
      <c r="C48" s="18">
        <v>20.0</v>
      </c>
      <c r="D48" s="16" t="s">
        <v>211</v>
      </c>
      <c r="E48" s="20" t="s">
        <v>253</v>
      </c>
      <c r="F48" s="14" t="s">
        <v>84</v>
      </c>
      <c r="G48" s="14" t="s">
        <v>254</v>
      </c>
      <c r="H48" s="14" t="s">
        <v>34</v>
      </c>
      <c r="I48" s="47">
        <v>46079.0</v>
      </c>
      <c r="J48" s="16">
        <v>5.0</v>
      </c>
      <c r="K48" s="27" t="s">
        <v>38</v>
      </c>
      <c r="L48" s="29">
        <v>300000.0</v>
      </c>
      <c r="M48" s="29">
        <v>0.0</v>
      </c>
      <c r="N48" s="29">
        <v>0.0</v>
      </c>
      <c r="O48" s="43">
        <v>0.0</v>
      </c>
      <c r="P48" s="48">
        <v>0.0</v>
      </c>
      <c r="Q48" s="54"/>
    </row>
    <row r="49" ht="15.75" customHeight="1">
      <c r="A49" s="14">
        <f t="shared" si="1"/>
        <v>48</v>
      </c>
      <c r="B49" s="16" t="s">
        <v>24</v>
      </c>
      <c r="C49" s="18">
        <v>20.0</v>
      </c>
      <c r="D49" s="16" t="s">
        <v>211</v>
      </c>
      <c r="E49" s="20" t="s">
        <v>257</v>
      </c>
      <c r="F49" s="14" t="s">
        <v>84</v>
      </c>
      <c r="G49" s="14" t="s">
        <v>254</v>
      </c>
      <c r="H49" s="14" t="s">
        <v>34</v>
      </c>
      <c r="I49" s="47">
        <v>46079.0</v>
      </c>
      <c r="J49" s="16">
        <v>0.0</v>
      </c>
      <c r="K49" s="27" t="s">
        <v>38</v>
      </c>
      <c r="L49" s="29">
        <v>200000.0</v>
      </c>
      <c r="M49" s="29">
        <v>0.0</v>
      </c>
      <c r="N49" s="29">
        <v>0.0</v>
      </c>
      <c r="O49" s="29">
        <v>0.0</v>
      </c>
      <c r="P49" s="48">
        <v>0.0</v>
      </c>
      <c r="Q49" s="30">
        <v>46097.0</v>
      </c>
    </row>
    <row r="50" ht="15.75" customHeight="1">
      <c r="A50" s="14">
        <f t="shared" si="1"/>
        <v>49</v>
      </c>
      <c r="B50" s="16" t="s">
        <v>24</v>
      </c>
      <c r="C50" s="18">
        <v>20.0</v>
      </c>
      <c r="D50" s="49" t="s">
        <v>46</v>
      </c>
      <c r="E50" s="20" t="s">
        <v>260</v>
      </c>
      <c r="F50" s="22" t="s">
        <v>28</v>
      </c>
      <c r="G50" s="14" t="s">
        <v>79</v>
      </c>
      <c r="H50" s="14" t="s">
        <v>34</v>
      </c>
      <c r="I50" s="47">
        <v>46093.0</v>
      </c>
      <c r="J50" s="16">
        <v>0.0</v>
      </c>
      <c r="K50" s="27" t="s">
        <v>57</v>
      </c>
      <c r="L50" s="29">
        <v>0.0</v>
      </c>
      <c r="M50" s="29">
        <v>50000.0</v>
      </c>
      <c r="N50" s="29">
        <v>0.0</v>
      </c>
      <c r="O50" s="29">
        <v>0.0</v>
      </c>
      <c r="P50" s="48"/>
      <c r="Q50" s="54"/>
    </row>
    <row r="51" ht="15.75" customHeight="1">
      <c r="A51" s="14">
        <f t="shared" si="1"/>
        <v>50</v>
      </c>
      <c r="B51" s="16" t="s">
        <v>24</v>
      </c>
      <c r="C51" s="18">
        <v>20.0</v>
      </c>
      <c r="D51" s="18" t="s">
        <v>122</v>
      </c>
      <c r="E51" s="20" t="s">
        <v>262</v>
      </c>
      <c r="F51" s="14" t="s">
        <v>184</v>
      </c>
      <c r="G51" s="14" t="s">
        <v>186</v>
      </c>
      <c r="H51" s="14" t="s">
        <v>34</v>
      </c>
      <c r="I51" s="47">
        <v>46113.0</v>
      </c>
      <c r="J51" s="16">
        <v>0.0</v>
      </c>
      <c r="K51" s="27" t="s">
        <v>57</v>
      </c>
      <c r="L51" s="29">
        <v>55000.0</v>
      </c>
      <c r="M51" s="29">
        <v>0.0</v>
      </c>
      <c r="N51" s="29">
        <v>0.0</v>
      </c>
      <c r="O51" s="29">
        <v>0.0</v>
      </c>
      <c r="P51" s="29">
        <v>0.0</v>
      </c>
      <c r="Q51" s="54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14">
        <f t="shared" si="1"/>
        <v>51</v>
      </c>
      <c r="B52" s="16" t="s">
        <v>24</v>
      </c>
      <c r="C52" s="49">
        <v>33.0</v>
      </c>
      <c r="D52" s="49" t="s">
        <v>122</v>
      </c>
      <c r="E52" s="75" t="s">
        <v>269</v>
      </c>
      <c r="F52" s="51" t="s">
        <v>272</v>
      </c>
      <c r="G52" s="51" t="s">
        <v>274</v>
      </c>
      <c r="H52" s="14" t="s">
        <v>34</v>
      </c>
      <c r="I52" s="47">
        <v>46093.0</v>
      </c>
      <c r="J52" s="16">
        <v>0.0</v>
      </c>
      <c r="K52" s="27" t="s">
        <v>57</v>
      </c>
      <c r="L52" s="29">
        <v>20000.0</v>
      </c>
      <c r="M52" s="29">
        <v>0.0</v>
      </c>
      <c r="N52" s="29">
        <v>0.0</v>
      </c>
      <c r="O52" s="29">
        <v>0.0</v>
      </c>
      <c r="P52" s="44">
        <v>0.0</v>
      </c>
      <c r="Q52" s="54"/>
    </row>
    <row r="53" ht="15.75" customHeight="1">
      <c r="A53" s="14">
        <f t="shared" si="1"/>
        <v>52</v>
      </c>
      <c r="B53" s="16" t="s">
        <v>24</v>
      </c>
      <c r="C53" s="49">
        <v>33.0</v>
      </c>
      <c r="D53" s="49" t="s">
        <v>122</v>
      </c>
      <c r="E53" s="49" t="s">
        <v>276</v>
      </c>
      <c r="F53" s="22" t="s">
        <v>28</v>
      </c>
      <c r="G53" s="14" t="s">
        <v>32</v>
      </c>
      <c r="H53" s="14" t="s">
        <v>34</v>
      </c>
      <c r="I53" s="68">
        <v>46096.0</v>
      </c>
      <c r="J53" s="16">
        <v>0.0</v>
      </c>
      <c r="K53" s="27" t="s">
        <v>57</v>
      </c>
      <c r="L53" s="29">
        <v>0.0</v>
      </c>
      <c r="M53" s="29">
        <v>50000.0</v>
      </c>
      <c r="N53" s="29">
        <v>0.0</v>
      </c>
      <c r="O53" s="29">
        <v>0.0</v>
      </c>
      <c r="P53" s="29">
        <v>0.0</v>
      </c>
      <c r="Q53" s="54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14">
        <f t="shared" si="1"/>
        <v>53</v>
      </c>
      <c r="B54" s="16" t="s">
        <v>24</v>
      </c>
      <c r="C54" s="49">
        <v>33.0</v>
      </c>
      <c r="D54" s="49" t="s">
        <v>122</v>
      </c>
      <c r="E54" s="49" t="s">
        <v>282</v>
      </c>
      <c r="F54" s="51" t="s">
        <v>272</v>
      </c>
      <c r="G54" s="51" t="s">
        <v>274</v>
      </c>
      <c r="H54" s="14" t="s">
        <v>34</v>
      </c>
      <c r="I54" s="47">
        <v>46118.0</v>
      </c>
      <c r="J54" s="16">
        <v>0.0</v>
      </c>
      <c r="K54" s="27" t="s">
        <v>57</v>
      </c>
      <c r="L54" s="29">
        <v>20000.0</v>
      </c>
      <c r="M54" s="29">
        <v>0.0</v>
      </c>
      <c r="N54" s="29">
        <v>0.0</v>
      </c>
      <c r="O54" s="29">
        <v>0.0</v>
      </c>
      <c r="P54" s="44">
        <v>0.0</v>
      </c>
      <c r="Q54" s="54"/>
    </row>
    <row r="55" ht="15.75" customHeight="1">
      <c r="A55" s="14">
        <f t="shared" si="1"/>
        <v>54</v>
      </c>
      <c r="B55" s="16" t="s">
        <v>24</v>
      </c>
      <c r="C55" s="49">
        <v>33.0</v>
      </c>
      <c r="D55" s="49" t="s">
        <v>122</v>
      </c>
      <c r="E55" s="49" t="s">
        <v>285</v>
      </c>
      <c r="F55" s="51" t="s">
        <v>116</v>
      </c>
      <c r="G55" s="51" t="s">
        <v>286</v>
      </c>
      <c r="H55" s="14" t="s">
        <v>34</v>
      </c>
      <c r="I55" s="47">
        <v>46120.0</v>
      </c>
      <c r="J55" s="49">
        <v>5.0</v>
      </c>
      <c r="K55" s="27" t="s">
        <v>38</v>
      </c>
      <c r="L55" s="44">
        <v>100000.0</v>
      </c>
      <c r="M55" s="29">
        <v>0.0</v>
      </c>
      <c r="N55" s="29">
        <v>0.0</v>
      </c>
      <c r="O55" s="44">
        <v>0.0</v>
      </c>
      <c r="P55" s="44">
        <v>0.0</v>
      </c>
      <c r="Q55" s="47">
        <v>46121.0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14">
        <f t="shared" si="1"/>
        <v>55</v>
      </c>
      <c r="B56" s="16" t="s">
        <v>24</v>
      </c>
      <c r="C56" s="49">
        <v>33.0</v>
      </c>
      <c r="D56" s="49" t="s">
        <v>46</v>
      </c>
      <c r="E56" s="49" t="s">
        <v>290</v>
      </c>
      <c r="F56" s="22" t="s">
        <v>28</v>
      </c>
      <c r="G56" s="14" t="s">
        <v>79</v>
      </c>
      <c r="H56" s="14" t="s">
        <v>34</v>
      </c>
      <c r="I56" s="47">
        <v>46124.0</v>
      </c>
      <c r="J56" s="16">
        <v>0.0</v>
      </c>
      <c r="K56" s="27" t="s">
        <v>57</v>
      </c>
      <c r="L56" s="29">
        <v>0.0</v>
      </c>
      <c r="M56" s="29">
        <v>50000.0</v>
      </c>
      <c r="N56" s="29">
        <v>0.0</v>
      </c>
      <c r="O56" s="29">
        <v>0.0</v>
      </c>
      <c r="P56" s="44">
        <v>0.0</v>
      </c>
      <c r="Q56" s="54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14">
        <f t="shared" si="1"/>
        <v>56</v>
      </c>
      <c r="B57" s="16" t="s">
        <v>24</v>
      </c>
      <c r="C57" s="49">
        <v>33.0</v>
      </c>
      <c r="D57" s="49" t="s">
        <v>122</v>
      </c>
      <c r="E57" s="49" t="s">
        <v>296</v>
      </c>
      <c r="F57" s="51" t="s">
        <v>116</v>
      </c>
      <c r="G57" s="51" t="s">
        <v>286</v>
      </c>
      <c r="H57" s="14" t="s">
        <v>34</v>
      </c>
      <c r="I57" s="47">
        <v>46126.0</v>
      </c>
      <c r="J57" s="49">
        <v>0.0</v>
      </c>
      <c r="K57" s="27" t="s">
        <v>38</v>
      </c>
      <c r="L57" s="44">
        <v>0.0</v>
      </c>
      <c r="M57" s="29">
        <v>500000.0</v>
      </c>
      <c r="N57" s="29">
        <v>0.0</v>
      </c>
      <c r="O57" s="44">
        <v>0.0</v>
      </c>
      <c r="P57" s="44">
        <v>0.0</v>
      </c>
      <c r="Q57" s="47">
        <v>46128.0</v>
      </c>
    </row>
    <row r="58" ht="15.75" customHeight="1">
      <c r="A58" s="14">
        <f t="shared" si="1"/>
        <v>57</v>
      </c>
      <c r="B58" s="16" t="s">
        <v>24</v>
      </c>
      <c r="C58" s="49">
        <v>33.0</v>
      </c>
      <c r="D58" s="79"/>
      <c r="E58" s="49" t="s">
        <v>298</v>
      </c>
      <c r="F58" s="45" t="s">
        <v>82</v>
      </c>
      <c r="G58" s="46" t="s">
        <v>299</v>
      </c>
      <c r="H58" s="21"/>
      <c r="I58" s="47"/>
      <c r="J58" s="79"/>
      <c r="K58" s="80"/>
      <c r="L58" s="82"/>
      <c r="M58" s="82"/>
      <c r="N58" s="82"/>
      <c r="O58" s="48"/>
      <c r="P58" s="48"/>
      <c r="Q58" s="54"/>
    </row>
    <row r="59" ht="15.75" customHeight="1">
      <c r="A59" s="14">
        <f t="shared" si="1"/>
        <v>58</v>
      </c>
      <c r="B59" s="16" t="s">
        <v>24</v>
      </c>
      <c r="C59" s="49">
        <v>33.0</v>
      </c>
      <c r="D59" s="49" t="s">
        <v>122</v>
      </c>
      <c r="E59" s="49" t="s">
        <v>305</v>
      </c>
      <c r="F59" s="51" t="s">
        <v>116</v>
      </c>
      <c r="G59" s="51" t="s">
        <v>286</v>
      </c>
      <c r="H59" s="14" t="s">
        <v>34</v>
      </c>
      <c r="I59" s="47">
        <v>46126.0</v>
      </c>
      <c r="J59" s="49">
        <v>0.0</v>
      </c>
      <c r="K59" s="27" t="s">
        <v>38</v>
      </c>
      <c r="L59" s="44">
        <v>0.0</v>
      </c>
      <c r="M59" s="44">
        <v>900000.0</v>
      </c>
      <c r="N59" s="29">
        <v>0.0</v>
      </c>
      <c r="O59" s="44">
        <v>0.0</v>
      </c>
      <c r="P59" s="44">
        <v>0.0</v>
      </c>
      <c r="Q59" s="47">
        <v>46139.0</v>
      </c>
    </row>
    <row r="60" ht="15.75" customHeight="1">
      <c r="A60" s="14">
        <f t="shared" si="1"/>
        <v>59</v>
      </c>
      <c r="B60" s="16" t="s">
        <v>24</v>
      </c>
      <c r="C60" s="49">
        <v>33.0</v>
      </c>
      <c r="D60" s="49" t="s">
        <v>46</v>
      </c>
      <c r="E60" s="49" t="s">
        <v>308</v>
      </c>
      <c r="F60" s="22" t="s">
        <v>28</v>
      </c>
      <c r="G60" s="14" t="s">
        <v>32</v>
      </c>
      <c r="H60" s="14" t="s">
        <v>34</v>
      </c>
      <c r="I60" s="47">
        <v>46127.0</v>
      </c>
      <c r="J60" s="16">
        <v>0.0</v>
      </c>
      <c r="K60" s="27" t="s">
        <v>57</v>
      </c>
      <c r="L60" s="29">
        <v>0.0</v>
      </c>
      <c r="M60" s="29">
        <v>50000.0</v>
      </c>
      <c r="N60" s="29">
        <v>0.0</v>
      </c>
      <c r="O60" s="29">
        <v>0.0</v>
      </c>
      <c r="P60" s="29">
        <v>0.0</v>
      </c>
      <c r="Q60" s="54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14">
        <f t="shared" si="1"/>
        <v>60</v>
      </c>
      <c r="B61" s="16" t="s">
        <v>24</v>
      </c>
      <c r="C61" s="49">
        <v>33.0</v>
      </c>
      <c r="D61" s="49" t="s">
        <v>46</v>
      </c>
      <c r="E61" s="49" t="s">
        <v>309</v>
      </c>
      <c r="F61" s="85" t="s">
        <v>184</v>
      </c>
      <c r="G61" s="85" t="s">
        <v>186</v>
      </c>
      <c r="H61" s="85" t="s">
        <v>34</v>
      </c>
      <c r="I61" s="47">
        <v>46142.0</v>
      </c>
      <c r="J61" s="87">
        <v>0.0</v>
      </c>
      <c r="K61" s="88" t="s">
        <v>57</v>
      </c>
      <c r="L61" s="89">
        <v>55000.0</v>
      </c>
      <c r="M61" s="89">
        <v>0.0</v>
      </c>
      <c r="N61" s="89">
        <v>0.0</v>
      </c>
      <c r="O61" s="90">
        <v>0.0</v>
      </c>
      <c r="P61" s="90">
        <v>0.0</v>
      </c>
      <c r="Q61" s="54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14">
        <f t="shared" si="1"/>
        <v>61</v>
      </c>
      <c r="B62" s="16" t="s">
        <v>24</v>
      </c>
      <c r="C62" s="49">
        <v>33.0</v>
      </c>
      <c r="D62" s="49" t="s">
        <v>46</v>
      </c>
      <c r="E62" s="49" t="s">
        <v>314</v>
      </c>
      <c r="F62" s="22" t="s">
        <v>28</v>
      </c>
      <c r="G62" s="14" t="s">
        <v>79</v>
      </c>
      <c r="H62" s="14" t="s">
        <v>34</v>
      </c>
      <c r="I62" s="47">
        <v>46152.0</v>
      </c>
      <c r="J62" s="16">
        <v>0.0</v>
      </c>
      <c r="K62" s="27" t="s">
        <v>57</v>
      </c>
      <c r="L62" s="29">
        <v>0.0</v>
      </c>
      <c r="M62" s="29">
        <v>50000.0</v>
      </c>
      <c r="N62" s="29">
        <v>0.0</v>
      </c>
      <c r="O62" s="29">
        <v>0.0</v>
      </c>
      <c r="P62" s="44">
        <v>0.0</v>
      </c>
      <c r="Q62" s="54"/>
    </row>
    <row r="63" ht="15.75" customHeight="1">
      <c r="A63" s="14">
        <f t="shared" si="1"/>
        <v>62</v>
      </c>
      <c r="B63" s="16" t="s">
        <v>24</v>
      </c>
      <c r="C63" s="49">
        <v>33.0</v>
      </c>
      <c r="D63" s="49" t="s">
        <v>46</v>
      </c>
      <c r="E63" s="49" t="s">
        <v>317</v>
      </c>
      <c r="F63" s="91" t="s">
        <v>272</v>
      </c>
      <c r="G63" s="22" t="s">
        <v>318</v>
      </c>
      <c r="H63" s="14" t="s">
        <v>34</v>
      </c>
      <c r="I63" s="24">
        <v>46153.0</v>
      </c>
      <c r="J63" s="18">
        <v>0.0</v>
      </c>
      <c r="K63" s="92" t="s">
        <v>57</v>
      </c>
      <c r="L63" s="29">
        <v>20000.0</v>
      </c>
      <c r="M63" s="29">
        <v>0.0</v>
      </c>
      <c r="N63" s="29">
        <v>0.0</v>
      </c>
      <c r="O63" s="93">
        <v>0.0</v>
      </c>
      <c r="P63" s="82">
        <v>0.0</v>
      </c>
      <c r="Q63" s="54"/>
    </row>
    <row r="64" ht="15.75" customHeight="1">
      <c r="A64" s="14">
        <f t="shared" si="1"/>
        <v>63</v>
      </c>
      <c r="B64" s="16" t="s">
        <v>24</v>
      </c>
      <c r="C64" s="49">
        <v>33.0</v>
      </c>
      <c r="D64" s="49" t="s">
        <v>46</v>
      </c>
      <c r="E64" s="49" t="s">
        <v>322</v>
      </c>
      <c r="F64" s="51" t="s">
        <v>91</v>
      </c>
      <c r="G64" s="51" t="s">
        <v>96</v>
      </c>
      <c r="H64" s="14" t="s">
        <v>34</v>
      </c>
      <c r="I64" s="24">
        <v>46155.0</v>
      </c>
      <c r="J64" s="18">
        <v>0.0</v>
      </c>
      <c r="K64" s="92" t="s">
        <v>57</v>
      </c>
      <c r="L64" s="29">
        <v>0.0</v>
      </c>
      <c r="M64" s="29">
        <v>57000.0</v>
      </c>
      <c r="N64" s="29">
        <v>0.0</v>
      </c>
      <c r="O64" s="93">
        <v>0.0</v>
      </c>
      <c r="P64" s="82">
        <v>0.0</v>
      </c>
      <c r="Q64" s="54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14">
        <f t="shared" si="1"/>
        <v>64</v>
      </c>
      <c r="B65" s="16" t="s">
        <v>24</v>
      </c>
      <c r="C65" s="49">
        <v>33.0</v>
      </c>
      <c r="D65" s="79"/>
      <c r="E65" s="49" t="s">
        <v>325</v>
      </c>
      <c r="F65" s="96" t="s">
        <v>82</v>
      </c>
      <c r="G65" s="97" t="s">
        <v>328</v>
      </c>
      <c r="H65" s="21"/>
      <c r="I65" s="47"/>
      <c r="J65" s="79"/>
      <c r="K65" s="80"/>
      <c r="L65" s="82"/>
      <c r="M65" s="82"/>
      <c r="N65" s="82"/>
      <c r="O65" s="48"/>
      <c r="P65" s="48"/>
      <c r="Q65" s="54"/>
    </row>
    <row r="66" ht="15.75" customHeight="1">
      <c r="A66" s="14">
        <f t="shared" si="1"/>
        <v>65</v>
      </c>
      <c r="B66" s="16" t="s">
        <v>24</v>
      </c>
      <c r="C66" s="49">
        <v>33.0</v>
      </c>
      <c r="D66" s="49" t="s">
        <v>46</v>
      </c>
      <c r="E66" s="49" t="s">
        <v>331</v>
      </c>
      <c r="F66" s="36" t="s">
        <v>28</v>
      </c>
      <c r="G66" s="36" t="s">
        <v>32</v>
      </c>
      <c r="H66" s="14" t="s">
        <v>34</v>
      </c>
      <c r="I66" s="24">
        <v>46156.0</v>
      </c>
      <c r="J66" s="49">
        <v>0.0</v>
      </c>
      <c r="K66" s="92" t="s">
        <v>57</v>
      </c>
      <c r="L66" s="29">
        <v>0.0</v>
      </c>
      <c r="M66" s="29">
        <v>50000.0</v>
      </c>
      <c r="N66" s="29">
        <v>0.0</v>
      </c>
      <c r="O66" s="29">
        <v>0.0</v>
      </c>
      <c r="P66" s="44">
        <v>0.0</v>
      </c>
      <c r="Q66" s="54"/>
    </row>
    <row r="67" ht="15.75" customHeight="1">
      <c r="A67" s="14">
        <f t="shared" si="1"/>
        <v>66</v>
      </c>
      <c r="B67" s="16" t="s">
        <v>24</v>
      </c>
      <c r="C67" s="49">
        <v>33.0</v>
      </c>
      <c r="D67" s="49" t="s">
        <v>46</v>
      </c>
      <c r="E67" s="49" t="s">
        <v>335</v>
      </c>
      <c r="F67" s="51" t="s">
        <v>116</v>
      </c>
      <c r="G67" s="51" t="s">
        <v>286</v>
      </c>
      <c r="H67" s="14" t="s">
        <v>34</v>
      </c>
      <c r="I67" s="24">
        <v>46163.0</v>
      </c>
      <c r="J67" s="49">
        <v>0.0</v>
      </c>
      <c r="K67" s="92" t="s">
        <v>57</v>
      </c>
      <c r="L67" s="44">
        <v>50000.0</v>
      </c>
      <c r="M67" s="53">
        <v>0.0</v>
      </c>
      <c r="N67" s="44">
        <v>0.0</v>
      </c>
      <c r="O67" s="44">
        <v>0.0</v>
      </c>
      <c r="P67" s="44">
        <v>0.0</v>
      </c>
      <c r="Q67" s="24">
        <v>46167.0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4">
        <f t="shared" si="1"/>
        <v>67</v>
      </c>
      <c r="B68" s="16" t="s">
        <v>24</v>
      </c>
      <c r="C68" s="49">
        <v>33.0</v>
      </c>
      <c r="D68" s="49" t="s">
        <v>46</v>
      </c>
      <c r="E68" s="49" t="s">
        <v>339</v>
      </c>
      <c r="F68" s="51" t="s">
        <v>184</v>
      </c>
      <c r="G68" s="51" t="s">
        <v>186</v>
      </c>
      <c r="H68" s="14" t="s">
        <v>34</v>
      </c>
      <c r="I68" s="24">
        <v>46166.0</v>
      </c>
      <c r="J68" s="49">
        <v>0.0</v>
      </c>
      <c r="K68" s="88" t="s">
        <v>57</v>
      </c>
      <c r="L68" s="89">
        <v>55000.0</v>
      </c>
      <c r="M68" s="89">
        <v>0.0</v>
      </c>
      <c r="N68" s="89">
        <v>0.0</v>
      </c>
      <c r="O68" s="90">
        <v>0.0</v>
      </c>
      <c r="P68" s="90">
        <v>0.0</v>
      </c>
      <c r="Q68" s="54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4">
        <f t="shared" si="1"/>
        <v>68</v>
      </c>
      <c r="B69" s="16" t="s">
        <v>24</v>
      </c>
      <c r="C69" s="49">
        <v>33.0</v>
      </c>
      <c r="D69" s="49" t="s">
        <v>46</v>
      </c>
      <c r="E69" s="49" t="s">
        <v>342</v>
      </c>
      <c r="F69" s="51" t="s">
        <v>272</v>
      </c>
      <c r="G69" s="51" t="s">
        <v>274</v>
      </c>
      <c r="H69" s="14" t="s">
        <v>34</v>
      </c>
      <c r="I69" s="47">
        <v>46184.0</v>
      </c>
      <c r="J69" s="16">
        <v>0.0</v>
      </c>
      <c r="K69" s="27" t="s">
        <v>57</v>
      </c>
      <c r="L69" s="29">
        <v>20000.0</v>
      </c>
      <c r="M69" s="29">
        <v>0.0</v>
      </c>
      <c r="N69" s="29">
        <v>0.0</v>
      </c>
      <c r="O69" s="29">
        <v>0.0</v>
      </c>
      <c r="P69" s="44">
        <v>0.0</v>
      </c>
      <c r="Q69" s="54"/>
    </row>
    <row r="70" ht="15.75" customHeight="1">
      <c r="A70" s="14">
        <f t="shared" si="1"/>
        <v>69</v>
      </c>
      <c r="B70" s="16" t="s">
        <v>24</v>
      </c>
      <c r="C70" s="49">
        <v>33.0</v>
      </c>
      <c r="D70" s="49" t="s">
        <v>46</v>
      </c>
      <c r="E70" s="49" t="s">
        <v>346</v>
      </c>
      <c r="F70" s="21" t="s">
        <v>28</v>
      </c>
      <c r="G70" s="94" t="s">
        <v>79</v>
      </c>
      <c r="H70" s="14" t="s">
        <v>34</v>
      </c>
      <c r="I70" s="47">
        <v>46187.0</v>
      </c>
      <c r="J70" s="49">
        <v>0.0</v>
      </c>
      <c r="K70" s="27" t="s">
        <v>57</v>
      </c>
      <c r="L70" s="53">
        <v>0.0</v>
      </c>
      <c r="M70" s="53">
        <v>50000.0</v>
      </c>
      <c r="N70" s="29">
        <v>0.0</v>
      </c>
      <c r="O70" s="29">
        <v>0.0</v>
      </c>
      <c r="P70" s="44">
        <v>0.0</v>
      </c>
      <c r="Q70" s="54"/>
    </row>
    <row r="71" ht="15.75" customHeight="1">
      <c r="A71" s="14">
        <f t="shared" si="1"/>
        <v>70</v>
      </c>
      <c r="B71" s="16" t="s">
        <v>24</v>
      </c>
      <c r="C71" s="49">
        <v>33.0</v>
      </c>
      <c r="D71" s="49" t="s">
        <v>46</v>
      </c>
      <c r="E71" s="49" t="s">
        <v>347</v>
      </c>
      <c r="F71" s="51" t="s">
        <v>116</v>
      </c>
      <c r="G71" s="51" t="s">
        <v>286</v>
      </c>
      <c r="H71" s="14" t="s">
        <v>34</v>
      </c>
      <c r="I71" s="24">
        <v>46191.0</v>
      </c>
      <c r="J71" s="49">
        <v>0.0</v>
      </c>
      <c r="K71" s="92" t="s">
        <v>57</v>
      </c>
      <c r="L71" s="44">
        <v>0.0</v>
      </c>
      <c r="M71" s="44">
        <v>50000.0</v>
      </c>
      <c r="N71" s="44">
        <v>0.0</v>
      </c>
      <c r="O71" s="44">
        <v>0.0</v>
      </c>
      <c r="P71" s="44">
        <v>0.0</v>
      </c>
      <c r="Q71" s="54"/>
    </row>
    <row r="72" ht="15.75" customHeight="1">
      <c r="A72" s="14">
        <f t="shared" si="1"/>
        <v>71</v>
      </c>
      <c r="B72" s="16" t="s">
        <v>24</v>
      </c>
      <c r="C72" s="49">
        <v>33.0</v>
      </c>
      <c r="D72" s="49" t="s">
        <v>46</v>
      </c>
      <c r="E72" s="49" t="s">
        <v>349</v>
      </c>
      <c r="F72" s="21" t="s">
        <v>28</v>
      </c>
      <c r="G72" s="21" t="s">
        <v>32</v>
      </c>
      <c r="H72" s="14" t="s">
        <v>34</v>
      </c>
      <c r="I72" s="24">
        <v>46194.0</v>
      </c>
      <c r="J72" s="49">
        <v>0.0</v>
      </c>
      <c r="K72" s="92" t="s">
        <v>57</v>
      </c>
      <c r="L72" s="53">
        <v>0.0</v>
      </c>
      <c r="M72" s="44">
        <v>50000.0</v>
      </c>
      <c r="N72" s="44">
        <v>0.0</v>
      </c>
      <c r="O72" s="44">
        <v>0.0</v>
      </c>
      <c r="P72" s="44">
        <v>0.0</v>
      </c>
      <c r="Q72" s="54"/>
    </row>
    <row r="73" ht="15.75" customHeight="1">
      <c r="A73" s="14">
        <f t="shared" si="1"/>
        <v>72</v>
      </c>
      <c r="B73" s="16" t="s">
        <v>24</v>
      </c>
      <c r="C73" s="49">
        <v>33.0</v>
      </c>
      <c r="D73" s="18" t="s">
        <v>58</v>
      </c>
      <c r="E73" s="49" t="s">
        <v>352</v>
      </c>
      <c r="F73" s="22" t="s">
        <v>92</v>
      </c>
      <c r="G73" s="51" t="s">
        <v>111</v>
      </c>
      <c r="H73" s="14" t="s">
        <v>34</v>
      </c>
      <c r="I73" s="24">
        <v>46195.0</v>
      </c>
      <c r="J73" s="49">
        <v>6.0</v>
      </c>
      <c r="K73" s="27" t="s">
        <v>38</v>
      </c>
      <c r="L73" s="53">
        <v>200000.0</v>
      </c>
      <c r="M73" s="53">
        <v>0.0</v>
      </c>
      <c r="N73" s="53">
        <v>0.0</v>
      </c>
      <c r="O73" s="44">
        <v>0.0</v>
      </c>
      <c r="P73" s="44">
        <v>0.0</v>
      </c>
      <c r="Q73" s="54"/>
    </row>
    <row r="74" ht="15.75" customHeight="1">
      <c r="A74" s="14">
        <f t="shared" si="1"/>
        <v>73</v>
      </c>
      <c r="B74" s="16" t="s">
        <v>24</v>
      </c>
      <c r="C74" s="49">
        <v>33.0</v>
      </c>
      <c r="D74" s="18" t="s">
        <v>58</v>
      </c>
      <c r="E74" s="49">
        <v>1623.0</v>
      </c>
      <c r="F74" s="22" t="s">
        <v>92</v>
      </c>
      <c r="G74" s="51" t="s">
        <v>354</v>
      </c>
      <c r="H74" s="14" t="s">
        <v>34</v>
      </c>
      <c r="I74" s="24">
        <v>46195.0</v>
      </c>
      <c r="J74" s="49">
        <v>6.0</v>
      </c>
      <c r="K74" s="27" t="s">
        <v>38</v>
      </c>
      <c r="L74" s="53">
        <v>50000.0</v>
      </c>
      <c r="M74" s="53">
        <v>0.0</v>
      </c>
      <c r="N74" s="53">
        <v>0.0</v>
      </c>
      <c r="O74" s="44">
        <v>0.0</v>
      </c>
      <c r="P74" s="44">
        <v>0.0</v>
      </c>
      <c r="Q74" s="54"/>
    </row>
    <row r="75" ht="15.75" customHeight="1">
      <c r="A75" s="14">
        <f t="shared" si="1"/>
        <v>74</v>
      </c>
      <c r="B75" s="16" t="s">
        <v>24</v>
      </c>
      <c r="C75" s="49">
        <v>33.0</v>
      </c>
      <c r="D75" s="18" t="s">
        <v>58</v>
      </c>
      <c r="E75" s="49" t="s">
        <v>360</v>
      </c>
      <c r="F75" s="22" t="s">
        <v>92</v>
      </c>
      <c r="G75" s="51" t="s">
        <v>111</v>
      </c>
      <c r="H75" s="14" t="s">
        <v>34</v>
      </c>
      <c r="I75" s="24">
        <v>46196.0</v>
      </c>
      <c r="J75" s="49">
        <v>0.0</v>
      </c>
      <c r="K75" s="27" t="s">
        <v>38</v>
      </c>
      <c r="L75" s="53">
        <v>300000.0</v>
      </c>
      <c r="M75" s="53">
        <v>0.0</v>
      </c>
      <c r="N75" s="53">
        <v>0.0</v>
      </c>
      <c r="O75" s="44">
        <v>0.0</v>
      </c>
      <c r="P75" s="44">
        <v>0.0</v>
      </c>
      <c r="Q75" s="54"/>
    </row>
    <row r="76" ht="15.75" customHeight="1">
      <c r="A76" s="14">
        <f t="shared" si="1"/>
        <v>75</v>
      </c>
      <c r="B76" s="16" t="s">
        <v>24</v>
      </c>
      <c r="C76" s="49">
        <v>33.0</v>
      </c>
      <c r="D76" s="18" t="s">
        <v>58</v>
      </c>
      <c r="E76" s="49" t="s">
        <v>364</v>
      </c>
      <c r="F76" s="22" t="s">
        <v>92</v>
      </c>
      <c r="G76" s="51" t="s">
        <v>354</v>
      </c>
      <c r="H76" s="14" t="s">
        <v>34</v>
      </c>
      <c r="I76" s="24">
        <v>46196.0</v>
      </c>
      <c r="J76" s="49">
        <v>0.0</v>
      </c>
      <c r="K76" s="27" t="s">
        <v>38</v>
      </c>
      <c r="L76" s="53">
        <v>550000.0</v>
      </c>
      <c r="M76" s="53">
        <v>0.0</v>
      </c>
      <c r="N76" s="53">
        <v>0.0</v>
      </c>
      <c r="O76" s="44">
        <v>0.0</v>
      </c>
      <c r="P76" s="44">
        <v>0.0</v>
      </c>
      <c r="Q76" s="54"/>
    </row>
    <row r="77" ht="15.75" customHeight="1">
      <c r="A77" s="14">
        <f t="shared" si="1"/>
        <v>76</v>
      </c>
      <c r="B77" s="16" t="s">
        <v>24</v>
      </c>
      <c r="C77" s="49">
        <v>33.0</v>
      </c>
      <c r="D77" s="18" t="s">
        <v>182</v>
      </c>
      <c r="E77" s="49" t="s">
        <v>367</v>
      </c>
      <c r="F77" s="14" t="s">
        <v>84</v>
      </c>
      <c r="G77" s="14" t="s">
        <v>254</v>
      </c>
      <c r="H77" s="14" t="s">
        <v>34</v>
      </c>
      <c r="I77" s="24">
        <v>46198.0</v>
      </c>
      <c r="J77" s="49">
        <v>0.0</v>
      </c>
      <c r="K77" s="27" t="s">
        <v>38</v>
      </c>
      <c r="L77" s="53">
        <v>50000.0</v>
      </c>
      <c r="M77" s="53">
        <v>0.0</v>
      </c>
      <c r="N77" s="53">
        <v>0.0</v>
      </c>
      <c r="O77" s="44">
        <v>0.0</v>
      </c>
      <c r="P77" s="44">
        <v>0.0</v>
      </c>
      <c r="Q77" s="54"/>
    </row>
    <row r="78" ht="15.75" customHeight="1">
      <c r="A78" s="14">
        <f t="shared" si="1"/>
        <v>77</v>
      </c>
      <c r="B78" s="16" t="s">
        <v>24</v>
      </c>
      <c r="C78" s="49">
        <v>33.0</v>
      </c>
      <c r="D78" s="79"/>
      <c r="E78" s="49" t="s">
        <v>369</v>
      </c>
      <c r="F78" s="45" t="s">
        <v>82</v>
      </c>
      <c r="G78" s="46" t="s">
        <v>85</v>
      </c>
      <c r="H78" s="21"/>
      <c r="I78" s="47"/>
      <c r="J78" s="79"/>
      <c r="K78" s="80"/>
      <c r="L78" s="82"/>
      <c r="M78" s="82"/>
      <c r="N78" s="82"/>
      <c r="O78" s="48"/>
      <c r="P78" s="48"/>
      <c r="Q78" s="54"/>
    </row>
    <row r="79" ht="15.75" customHeight="1">
      <c r="A79" s="14">
        <f t="shared" si="1"/>
        <v>78</v>
      </c>
      <c r="B79" s="16" t="s">
        <v>24</v>
      </c>
      <c r="C79" s="49">
        <v>33.0</v>
      </c>
      <c r="D79" s="18" t="s">
        <v>58</v>
      </c>
      <c r="E79" s="49" t="s">
        <v>372</v>
      </c>
      <c r="F79" s="51" t="s">
        <v>116</v>
      </c>
      <c r="G79" s="51" t="s">
        <v>286</v>
      </c>
      <c r="H79" s="14" t="s">
        <v>34</v>
      </c>
      <c r="I79" s="24">
        <v>46203.0</v>
      </c>
      <c r="J79" s="49">
        <v>5.0</v>
      </c>
      <c r="K79" s="27" t="s">
        <v>38</v>
      </c>
      <c r="L79" s="53">
        <v>100000.0</v>
      </c>
      <c r="M79" s="53">
        <v>0.0</v>
      </c>
      <c r="N79" s="53">
        <v>0.0</v>
      </c>
      <c r="O79" s="44">
        <v>0.0</v>
      </c>
      <c r="P79" s="44">
        <v>0.0</v>
      </c>
      <c r="Q79" s="54"/>
    </row>
    <row r="80" ht="15.75" customHeight="1">
      <c r="A80" s="14">
        <f t="shared" si="1"/>
        <v>79</v>
      </c>
      <c r="B80" s="16" t="s">
        <v>24</v>
      </c>
      <c r="C80" s="49">
        <v>33.0</v>
      </c>
      <c r="D80" s="18" t="s">
        <v>87</v>
      </c>
      <c r="E80" s="49" t="s">
        <v>376</v>
      </c>
      <c r="F80" s="51" t="s">
        <v>377</v>
      </c>
      <c r="G80" s="51" t="s">
        <v>378</v>
      </c>
      <c r="H80" s="14" t="s">
        <v>34</v>
      </c>
      <c r="I80" s="24">
        <v>46203.0</v>
      </c>
      <c r="J80" s="49">
        <v>5.0</v>
      </c>
      <c r="K80" s="27" t="s">
        <v>38</v>
      </c>
      <c r="L80" s="53">
        <v>200000.0</v>
      </c>
      <c r="M80" s="53">
        <v>0.0</v>
      </c>
      <c r="N80" s="53">
        <v>0.0</v>
      </c>
      <c r="O80" s="44">
        <v>0.0</v>
      </c>
      <c r="P80" s="44">
        <v>0.0</v>
      </c>
      <c r="Q80" s="54"/>
    </row>
    <row r="81" ht="15.75" customHeight="1">
      <c r="A81" s="14">
        <f t="shared" si="1"/>
        <v>80</v>
      </c>
      <c r="B81" s="16" t="s">
        <v>24</v>
      </c>
      <c r="C81" s="49">
        <v>33.0</v>
      </c>
      <c r="D81" s="18" t="s">
        <v>87</v>
      </c>
      <c r="E81" s="49" t="s">
        <v>381</v>
      </c>
      <c r="F81" s="51" t="s">
        <v>377</v>
      </c>
      <c r="G81" s="51" t="s">
        <v>378</v>
      </c>
      <c r="H81" s="14" t="s">
        <v>34</v>
      </c>
      <c r="I81" s="24">
        <v>46205.0</v>
      </c>
      <c r="J81" s="49">
        <v>0.0</v>
      </c>
      <c r="K81" s="27" t="s">
        <v>38</v>
      </c>
      <c r="L81" s="53">
        <v>1900000.0</v>
      </c>
      <c r="M81" s="53">
        <v>0.0</v>
      </c>
      <c r="N81" s="53">
        <v>0.0</v>
      </c>
      <c r="O81" s="44">
        <v>0.0</v>
      </c>
      <c r="P81" s="44">
        <v>0.0</v>
      </c>
      <c r="Q81" s="54"/>
    </row>
    <row r="82" ht="15.75" customHeight="1">
      <c r="A82" s="14">
        <f t="shared" si="1"/>
        <v>81</v>
      </c>
      <c r="B82" s="16" t="s">
        <v>24</v>
      </c>
      <c r="C82" s="49">
        <v>33.0</v>
      </c>
      <c r="D82" s="49" t="s">
        <v>46</v>
      </c>
      <c r="E82" s="49" t="s">
        <v>386</v>
      </c>
      <c r="F82" s="94" t="s">
        <v>184</v>
      </c>
      <c r="G82" s="94" t="s">
        <v>186</v>
      </c>
      <c r="H82" s="14" t="s">
        <v>34</v>
      </c>
      <c r="I82" s="24">
        <v>46208.0</v>
      </c>
      <c r="J82" s="49">
        <v>0.0</v>
      </c>
      <c r="K82" s="92" t="s">
        <v>57</v>
      </c>
      <c r="L82" s="53">
        <v>55000.0</v>
      </c>
      <c r="M82" s="53">
        <v>0.0</v>
      </c>
      <c r="N82" s="53">
        <v>0.0</v>
      </c>
      <c r="O82" s="44">
        <v>0.0</v>
      </c>
      <c r="P82" s="44">
        <v>0.0</v>
      </c>
      <c r="Q82" s="54"/>
    </row>
    <row r="83" ht="15.75" customHeight="1">
      <c r="A83" s="14">
        <f t="shared" si="1"/>
        <v>82</v>
      </c>
      <c r="B83" s="16" t="s">
        <v>24</v>
      </c>
      <c r="C83" s="49">
        <v>33.0</v>
      </c>
      <c r="D83" s="18" t="s">
        <v>58</v>
      </c>
      <c r="E83" s="49" t="s">
        <v>389</v>
      </c>
      <c r="F83" s="51" t="s">
        <v>116</v>
      </c>
      <c r="G83" s="51" t="s">
        <v>286</v>
      </c>
      <c r="H83" s="14" t="s">
        <v>34</v>
      </c>
      <c r="I83" s="24">
        <v>46209.0</v>
      </c>
      <c r="J83" s="49">
        <v>0.0</v>
      </c>
      <c r="K83" s="27" t="s">
        <v>38</v>
      </c>
      <c r="L83" s="53">
        <v>300000.0</v>
      </c>
      <c r="M83" s="53">
        <v>0.0</v>
      </c>
      <c r="N83" s="53">
        <v>0.0</v>
      </c>
      <c r="O83" s="44">
        <v>0.0</v>
      </c>
      <c r="P83" s="44">
        <v>0.0</v>
      </c>
      <c r="Q83" s="54"/>
    </row>
    <row r="84" ht="15.75" customHeight="1">
      <c r="A84" s="14">
        <f t="shared" si="1"/>
        <v>83</v>
      </c>
      <c r="B84" s="16" t="s">
        <v>24</v>
      </c>
      <c r="C84" s="49">
        <v>33.0</v>
      </c>
      <c r="D84" s="18" t="s">
        <v>87</v>
      </c>
      <c r="E84" s="49" t="s">
        <v>391</v>
      </c>
      <c r="F84" s="36" t="s">
        <v>223</v>
      </c>
      <c r="G84" s="36" t="s">
        <v>392</v>
      </c>
      <c r="H84" s="14" t="s">
        <v>34</v>
      </c>
      <c r="I84" s="24">
        <v>46210.0</v>
      </c>
      <c r="J84" s="49">
        <v>3.0</v>
      </c>
      <c r="K84" s="27" t="s">
        <v>38</v>
      </c>
      <c r="L84" s="53">
        <v>50000.0</v>
      </c>
      <c r="M84" s="53">
        <v>0.0</v>
      </c>
      <c r="N84" s="53">
        <v>0.0</v>
      </c>
      <c r="O84" s="44">
        <v>0.0</v>
      </c>
      <c r="P84" s="44">
        <v>0.0</v>
      </c>
      <c r="Q84" s="54"/>
    </row>
    <row r="85" ht="15.75" customHeight="1">
      <c r="A85" s="14">
        <f t="shared" si="1"/>
        <v>84</v>
      </c>
      <c r="B85" s="16" t="s">
        <v>24</v>
      </c>
      <c r="C85" s="49">
        <v>33.0</v>
      </c>
      <c r="D85" s="49" t="s">
        <v>46</v>
      </c>
      <c r="E85" s="49" t="s">
        <v>395</v>
      </c>
      <c r="F85" s="51" t="s">
        <v>272</v>
      </c>
      <c r="G85" s="51" t="s">
        <v>274</v>
      </c>
      <c r="H85" s="14" t="s">
        <v>34</v>
      </c>
      <c r="I85" s="47">
        <v>46216.0</v>
      </c>
      <c r="J85" s="16">
        <v>0.0</v>
      </c>
      <c r="K85" s="27" t="s">
        <v>57</v>
      </c>
      <c r="L85" s="29">
        <v>20000.0</v>
      </c>
      <c r="M85" s="29">
        <v>0.0</v>
      </c>
      <c r="N85" s="29">
        <v>0.0</v>
      </c>
      <c r="O85" s="29">
        <v>0.0</v>
      </c>
      <c r="P85" s="44">
        <v>0.0</v>
      </c>
      <c r="Q85" s="54"/>
    </row>
    <row r="86" ht="15.75" customHeight="1">
      <c r="A86" s="14">
        <f t="shared" si="1"/>
        <v>85</v>
      </c>
      <c r="B86" s="16" t="s">
        <v>24</v>
      </c>
      <c r="C86" s="49">
        <v>33.0</v>
      </c>
      <c r="D86" s="49" t="s">
        <v>46</v>
      </c>
      <c r="E86" s="49" t="s">
        <v>399</v>
      </c>
      <c r="F86" s="21" t="s">
        <v>28</v>
      </c>
      <c r="G86" s="21" t="s">
        <v>79</v>
      </c>
      <c r="H86" s="14" t="s">
        <v>34</v>
      </c>
      <c r="I86" s="47">
        <v>46217.0</v>
      </c>
      <c r="J86" s="49">
        <v>0.0</v>
      </c>
      <c r="K86" s="27" t="s">
        <v>57</v>
      </c>
      <c r="L86" s="53">
        <v>0.0</v>
      </c>
      <c r="M86" s="53">
        <v>50000.0</v>
      </c>
      <c r="N86" s="29">
        <v>0.0</v>
      </c>
      <c r="O86" s="29">
        <v>0.0</v>
      </c>
      <c r="P86" s="44">
        <v>0.0</v>
      </c>
      <c r="Q86" s="54"/>
    </row>
    <row r="87" ht="15.75" customHeight="1">
      <c r="A87" s="14">
        <f t="shared" si="1"/>
        <v>86</v>
      </c>
      <c r="B87" s="16" t="s">
        <v>24</v>
      </c>
      <c r="C87" s="49">
        <v>33.0</v>
      </c>
      <c r="D87" s="49" t="s">
        <v>46</v>
      </c>
      <c r="E87" s="49" t="s">
        <v>402</v>
      </c>
      <c r="F87" s="21" t="s">
        <v>28</v>
      </c>
      <c r="G87" s="21" t="s">
        <v>32</v>
      </c>
      <c r="H87" s="14" t="s">
        <v>34</v>
      </c>
      <c r="I87" s="47">
        <v>46218.0</v>
      </c>
      <c r="J87" s="49">
        <v>0.0</v>
      </c>
      <c r="K87" s="92" t="s">
        <v>57</v>
      </c>
      <c r="L87" s="53">
        <v>0.0</v>
      </c>
      <c r="M87" s="53">
        <v>50000.0</v>
      </c>
      <c r="N87" s="29">
        <v>0.0</v>
      </c>
      <c r="O87" s="29">
        <v>0.0</v>
      </c>
      <c r="P87" s="44">
        <v>0.0</v>
      </c>
      <c r="Q87" s="54"/>
    </row>
    <row r="88" ht="15.75" customHeight="1">
      <c r="A88" s="14">
        <f t="shared" si="1"/>
        <v>87</v>
      </c>
      <c r="B88" s="16" t="s">
        <v>24</v>
      </c>
      <c r="C88" s="49">
        <v>33.0</v>
      </c>
      <c r="D88" s="18" t="s">
        <v>58</v>
      </c>
      <c r="E88" s="49" t="s">
        <v>404</v>
      </c>
      <c r="F88" s="51" t="s">
        <v>116</v>
      </c>
      <c r="G88" s="51" t="s">
        <v>286</v>
      </c>
      <c r="H88" s="14" t="s">
        <v>34</v>
      </c>
      <c r="I88" s="24">
        <v>46219.0</v>
      </c>
      <c r="J88" s="49">
        <v>0.0</v>
      </c>
      <c r="K88" s="27" t="s">
        <v>38</v>
      </c>
      <c r="L88" s="53">
        <v>100000.0</v>
      </c>
      <c r="M88" s="53">
        <v>0.0</v>
      </c>
      <c r="N88" s="53">
        <v>0.0</v>
      </c>
      <c r="O88" s="44">
        <v>0.0</v>
      </c>
      <c r="P88" s="44">
        <v>0.0</v>
      </c>
      <c r="Q88" s="54"/>
    </row>
    <row r="89" ht="15.75" customHeight="1">
      <c r="A89" s="14">
        <f t="shared" si="1"/>
        <v>88</v>
      </c>
      <c r="B89" s="16" t="s">
        <v>24</v>
      </c>
      <c r="C89" s="49">
        <v>33.0</v>
      </c>
      <c r="D89" s="49" t="s">
        <v>46</v>
      </c>
      <c r="E89" s="49" t="s">
        <v>406</v>
      </c>
      <c r="F89" s="51" t="s">
        <v>116</v>
      </c>
      <c r="G89" s="51" t="s">
        <v>286</v>
      </c>
      <c r="H89" s="14" t="s">
        <v>34</v>
      </c>
      <c r="I89" s="24">
        <v>46219.0</v>
      </c>
      <c r="J89" s="49">
        <v>0.0</v>
      </c>
      <c r="K89" s="92" t="s">
        <v>57</v>
      </c>
      <c r="L89" s="44">
        <v>0.0</v>
      </c>
      <c r="M89" s="53">
        <v>0.0</v>
      </c>
      <c r="N89" s="44">
        <v>50000.0</v>
      </c>
      <c r="O89" s="44">
        <v>0.0</v>
      </c>
      <c r="P89" s="44">
        <v>0.0</v>
      </c>
      <c r="Q89" s="24">
        <v>46222.0</v>
      </c>
    </row>
    <row r="90" ht="15.75" customHeight="1">
      <c r="A90" s="14">
        <f t="shared" si="1"/>
        <v>89</v>
      </c>
      <c r="B90" s="16" t="s">
        <v>24</v>
      </c>
      <c r="C90" s="49">
        <v>33.0</v>
      </c>
      <c r="D90" s="18" t="s">
        <v>182</v>
      </c>
      <c r="E90" s="49" t="s">
        <v>409</v>
      </c>
      <c r="F90" s="21" t="s">
        <v>84</v>
      </c>
      <c r="G90" s="21" t="s">
        <v>254</v>
      </c>
      <c r="H90" s="14" t="s">
        <v>34</v>
      </c>
      <c r="I90" s="24">
        <v>46223.0</v>
      </c>
      <c r="J90" s="49">
        <v>0.0</v>
      </c>
      <c r="K90" s="27" t="s">
        <v>38</v>
      </c>
      <c r="L90" s="53">
        <v>50000.0</v>
      </c>
      <c r="M90" s="53">
        <v>0.0</v>
      </c>
      <c r="N90" s="53">
        <v>0.0</v>
      </c>
      <c r="O90" s="44">
        <v>0.0</v>
      </c>
      <c r="P90" s="44">
        <v>0.0</v>
      </c>
      <c r="Q90" s="54"/>
    </row>
    <row r="91" ht="15.75" customHeight="1">
      <c r="A91" s="14">
        <f t="shared" si="1"/>
        <v>90</v>
      </c>
      <c r="B91" s="16" t="s">
        <v>24</v>
      </c>
      <c r="C91" s="49">
        <v>33.0</v>
      </c>
      <c r="D91" s="18" t="s">
        <v>58</v>
      </c>
      <c r="E91" s="49" t="s">
        <v>413</v>
      </c>
      <c r="F91" s="14" t="s">
        <v>44</v>
      </c>
      <c r="G91" s="51" t="s">
        <v>414</v>
      </c>
      <c r="H91" s="14" t="s">
        <v>34</v>
      </c>
      <c r="I91" s="24">
        <v>46224.0</v>
      </c>
      <c r="J91" s="49">
        <v>5.0</v>
      </c>
      <c r="K91" s="27" t="s">
        <v>38</v>
      </c>
      <c r="L91" s="53">
        <v>10000.0</v>
      </c>
      <c r="M91" s="53">
        <v>0.0</v>
      </c>
      <c r="N91" s="53">
        <v>0.0</v>
      </c>
      <c r="O91" s="44">
        <v>0.0</v>
      </c>
      <c r="P91" s="44">
        <v>0.0</v>
      </c>
      <c r="Q91" s="54"/>
    </row>
    <row r="92" ht="15.75" customHeight="1">
      <c r="A92" s="14">
        <f t="shared" si="1"/>
        <v>91</v>
      </c>
      <c r="B92" s="16" t="s">
        <v>24</v>
      </c>
      <c r="C92" s="49">
        <v>33.0</v>
      </c>
      <c r="D92" s="18" t="s">
        <v>58</v>
      </c>
      <c r="E92" s="49" t="s">
        <v>416</v>
      </c>
      <c r="F92" s="36" t="s">
        <v>92</v>
      </c>
      <c r="G92" s="36" t="s">
        <v>354</v>
      </c>
      <c r="H92" s="14" t="s">
        <v>34</v>
      </c>
      <c r="I92" s="24">
        <v>46226.0</v>
      </c>
      <c r="J92" s="49">
        <v>0.0</v>
      </c>
      <c r="K92" s="27" t="s">
        <v>38</v>
      </c>
      <c r="L92" s="53">
        <v>300000.0</v>
      </c>
      <c r="M92" s="53">
        <v>0.0</v>
      </c>
      <c r="N92" s="53">
        <v>0.0</v>
      </c>
      <c r="O92" s="44">
        <v>0.0</v>
      </c>
      <c r="P92" s="44">
        <v>0.0</v>
      </c>
      <c r="Q92" s="54"/>
    </row>
    <row r="93" ht="15.75" customHeight="1">
      <c r="A93" s="14">
        <f t="shared" si="1"/>
        <v>92</v>
      </c>
      <c r="B93" s="16" t="s">
        <v>24</v>
      </c>
      <c r="C93" s="49">
        <v>33.0</v>
      </c>
      <c r="D93" s="18" t="s">
        <v>58</v>
      </c>
      <c r="E93" s="49" t="s">
        <v>419</v>
      </c>
      <c r="F93" s="36" t="s">
        <v>92</v>
      </c>
      <c r="G93" s="36" t="s">
        <v>111</v>
      </c>
      <c r="H93" s="14" t="s">
        <v>34</v>
      </c>
      <c r="I93" s="24">
        <v>46226.0</v>
      </c>
      <c r="J93" s="49">
        <v>0.0</v>
      </c>
      <c r="K93" s="27" t="s">
        <v>38</v>
      </c>
      <c r="L93" s="53">
        <v>400000.0</v>
      </c>
      <c r="M93" s="53">
        <v>0.0</v>
      </c>
      <c r="N93" s="53">
        <v>0.0</v>
      </c>
      <c r="O93" s="44">
        <v>0.0</v>
      </c>
      <c r="P93" s="44">
        <v>0.0</v>
      </c>
      <c r="Q93" s="54"/>
    </row>
    <row r="94" ht="15.75" customHeight="1">
      <c r="A94" s="14">
        <f t="shared" si="1"/>
        <v>93</v>
      </c>
      <c r="B94" s="16" t="s">
        <v>24</v>
      </c>
      <c r="C94" s="49">
        <v>33.0</v>
      </c>
      <c r="D94" s="17" t="s">
        <v>58</v>
      </c>
      <c r="E94" s="49" t="s">
        <v>424</v>
      </c>
      <c r="F94" s="14" t="s">
        <v>44</v>
      </c>
      <c r="G94" s="61" t="s">
        <v>163</v>
      </c>
      <c r="H94" s="14" t="s">
        <v>34</v>
      </c>
      <c r="I94" s="24">
        <v>46235.0</v>
      </c>
      <c r="J94" s="49">
        <v>3.0</v>
      </c>
      <c r="K94" s="27" t="s">
        <v>38</v>
      </c>
      <c r="L94" s="53">
        <v>0.0</v>
      </c>
      <c r="M94" s="53">
        <v>0.0</v>
      </c>
      <c r="N94" s="44">
        <v>1000000.0</v>
      </c>
      <c r="O94" s="44">
        <v>0.0</v>
      </c>
      <c r="P94" s="44">
        <v>0.0</v>
      </c>
      <c r="Q94" s="24">
        <v>46236.0</v>
      </c>
    </row>
    <row r="95" ht="15.75" customHeight="1">
      <c r="A95" s="14">
        <f t="shared" si="1"/>
        <v>94</v>
      </c>
      <c r="B95" s="16" t="s">
        <v>24</v>
      </c>
      <c r="C95" s="49">
        <v>33.0</v>
      </c>
      <c r="D95" s="17" t="s">
        <v>46</v>
      </c>
      <c r="E95" s="49" t="s">
        <v>426</v>
      </c>
      <c r="F95" s="21" t="s">
        <v>184</v>
      </c>
      <c r="G95" s="21" t="s">
        <v>186</v>
      </c>
      <c r="H95" s="14" t="s">
        <v>34</v>
      </c>
      <c r="I95" s="24">
        <v>46236.0</v>
      </c>
      <c r="J95" s="49">
        <v>0.0</v>
      </c>
      <c r="K95" s="92" t="s">
        <v>57</v>
      </c>
      <c r="L95" s="53">
        <v>55000.0</v>
      </c>
      <c r="M95" s="53">
        <v>0.0</v>
      </c>
      <c r="N95" s="53">
        <v>0.0</v>
      </c>
      <c r="O95" s="44">
        <v>0.0</v>
      </c>
      <c r="P95" s="44">
        <v>0.0</v>
      </c>
      <c r="Q95" s="54"/>
    </row>
    <row r="96" ht="15.75" customHeight="1">
      <c r="A96" s="14">
        <f t="shared" si="1"/>
        <v>95</v>
      </c>
      <c r="B96" s="16" t="s">
        <v>24</v>
      </c>
      <c r="C96" s="49">
        <v>33.0</v>
      </c>
      <c r="D96" s="17" t="s">
        <v>46</v>
      </c>
      <c r="E96" s="49" t="s">
        <v>429</v>
      </c>
      <c r="F96" s="21" t="s">
        <v>28</v>
      </c>
      <c r="G96" s="21" t="s">
        <v>79</v>
      </c>
      <c r="H96" s="14" t="s">
        <v>34</v>
      </c>
      <c r="I96" s="47">
        <v>46243.0</v>
      </c>
      <c r="J96" s="49">
        <v>0.0</v>
      </c>
      <c r="K96" s="27" t="s">
        <v>57</v>
      </c>
      <c r="L96" s="53">
        <v>0.0</v>
      </c>
      <c r="M96" s="53">
        <v>50000.0</v>
      </c>
      <c r="N96" s="29">
        <v>0.0</v>
      </c>
      <c r="O96" s="29">
        <v>0.0</v>
      </c>
      <c r="P96" s="44">
        <v>0.0</v>
      </c>
      <c r="Q96" s="54"/>
    </row>
    <row r="97" ht="15.75" customHeight="1">
      <c r="A97" s="14">
        <f t="shared" si="1"/>
        <v>96</v>
      </c>
      <c r="B97" s="16" t="s">
        <v>24</v>
      </c>
      <c r="C97" s="49">
        <v>33.0</v>
      </c>
      <c r="D97" s="17" t="s">
        <v>46</v>
      </c>
      <c r="E97" s="49" t="s">
        <v>431</v>
      </c>
      <c r="F97" s="21" t="s">
        <v>28</v>
      </c>
      <c r="G97" s="21" t="s">
        <v>32</v>
      </c>
      <c r="H97" s="14" t="s">
        <v>34</v>
      </c>
      <c r="I97" s="47">
        <v>46250.0</v>
      </c>
      <c r="J97" s="49">
        <v>0.0</v>
      </c>
      <c r="K97" s="92" t="s">
        <v>57</v>
      </c>
      <c r="L97" s="53">
        <v>0.0</v>
      </c>
      <c r="M97" s="53">
        <v>50000.0</v>
      </c>
      <c r="N97" s="29">
        <v>0.0</v>
      </c>
      <c r="O97" s="29">
        <v>0.0</v>
      </c>
      <c r="P97" s="44">
        <v>0.0</v>
      </c>
      <c r="Q97" s="54"/>
    </row>
    <row r="98" ht="15.75" customHeight="1">
      <c r="A98" s="14">
        <f t="shared" si="1"/>
        <v>97</v>
      </c>
      <c r="B98" s="16" t="s">
        <v>24</v>
      </c>
      <c r="C98" s="49">
        <v>33.0</v>
      </c>
      <c r="D98" s="17" t="s">
        <v>46</v>
      </c>
      <c r="E98" s="49" t="s">
        <v>435</v>
      </c>
      <c r="F98" s="36" t="s">
        <v>92</v>
      </c>
      <c r="G98" s="36" t="s">
        <v>354</v>
      </c>
      <c r="H98" s="14" t="s">
        <v>34</v>
      </c>
      <c r="I98" s="24">
        <v>46251.0</v>
      </c>
      <c r="J98" s="49">
        <v>0.0</v>
      </c>
      <c r="K98" s="92" t="s">
        <v>57</v>
      </c>
      <c r="L98" s="53">
        <v>35000.0</v>
      </c>
      <c r="M98" s="53">
        <v>0.0</v>
      </c>
      <c r="N98" s="53">
        <v>0.0</v>
      </c>
      <c r="O98" s="44">
        <v>0.0</v>
      </c>
      <c r="P98" s="44">
        <v>0.0</v>
      </c>
      <c r="Q98" s="54"/>
    </row>
    <row r="99" ht="15.75" customHeight="1">
      <c r="A99" s="14">
        <f t="shared" si="1"/>
        <v>98</v>
      </c>
      <c r="B99" s="16" t="s">
        <v>24</v>
      </c>
      <c r="C99" s="49">
        <v>33.0</v>
      </c>
      <c r="D99" s="17" t="s">
        <v>58</v>
      </c>
      <c r="E99" s="49" t="s">
        <v>437</v>
      </c>
      <c r="F99" s="36" t="s">
        <v>92</v>
      </c>
      <c r="G99" s="51" t="s">
        <v>273</v>
      </c>
      <c r="H99" s="14" t="s">
        <v>34</v>
      </c>
      <c r="I99" s="24">
        <v>46253.0</v>
      </c>
      <c r="J99" s="49">
        <v>6.0</v>
      </c>
      <c r="K99" s="27" t="s">
        <v>38</v>
      </c>
      <c r="L99" s="53">
        <v>50000.0</v>
      </c>
      <c r="M99" s="53">
        <v>0.0</v>
      </c>
      <c r="N99" s="53">
        <v>0.0</v>
      </c>
      <c r="O99" s="44">
        <v>0.0</v>
      </c>
      <c r="P99" s="44">
        <v>0.0</v>
      </c>
      <c r="Q99" s="54"/>
    </row>
    <row r="100" ht="15.75" customHeight="1">
      <c r="A100" s="14">
        <f t="shared" si="1"/>
        <v>99</v>
      </c>
      <c r="B100" s="16" t="s">
        <v>24</v>
      </c>
      <c r="C100" s="49">
        <v>33.0</v>
      </c>
      <c r="D100" s="17" t="s">
        <v>46</v>
      </c>
      <c r="E100" s="49" t="s">
        <v>440</v>
      </c>
      <c r="F100" s="36" t="s">
        <v>92</v>
      </c>
      <c r="G100" s="36" t="s">
        <v>111</v>
      </c>
      <c r="H100" s="14" t="s">
        <v>34</v>
      </c>
      <c r="I100" s="24">
        <v>46253.0</v>
      </c>
      <c r="J100" s="49">
        <v>0.0</v>
      </c>
      <c r="K100" s="92" t="s">
        <v>57</v>
      </c>
      <c r="L100" s="53">
        <v>35000.0</v>
      </c>
      <c r="M100" s="53">
        <v>0.0</v>
      </c>
      <c r="N100" s="53">
        <v>0.0</v>
      </c>
      <c r="O100" s="44">
        <v>0.0</v>
      </c>
      <c r="P100" s="44">
        <v>0.0</v>
      </c>
      <c r="Q100" s="54"/>
    </row>
    <row r="101" ht="15.75" customHeight="1">
      <c r="A101" s="14">
        <f t="shared" si="1"/>
        <v>100</v>
      </c>
      <c r="B101" s="16" t="s">
        <v>24</v>
      </c>
      <c r="C101" s="49">
        <v>33.0</v>
      </c>
      <c r="D101" s="17" t="s">
        <v>46</v>
      </c>
      <c r="E101" s="75" t="s">
        <v>441</v>
      </c>
      <c r="F101" s="71" t="s">
        <v>116</v>
      </c>
      <c r="G101" s="71" t="s">
        <v>286</v>
      </c>
      <c r="H101" s="71" t="s">
        <v>34</v>
      </c>
      <c r="I101" s="24">
        <v>46257.0</v>
      </c>
      <c r="J101" s="49">
        <v>0.0</v>
      </c>
      <c r="K101" s="92" t="s">
        <v>57</v>
      </c>
      <c r="L101" s="53">
        <v>50000.0</v>
      </c>
      <c r="M101" s="53">
        <v>0.0</v>
      </c>
      <c r="N101" s="53">
        <v>0.0</v>
      </c>
      <c r="O101" s="44">
        <v>0.0</v>
      </c>
      <c r="P101" s="44">
        <v>0.0</v>
      </c>
      <c r="Q101" s="54"/>
    </row>
    <row r="102" ht="15.75" customHeight="1">
      <c r="A102" s="14">
        <f t="shared" si="1"/>
        <v>101</v>
      </c>
      <c r="B102" s="16" t="s">
        <v>24</v>
      </c>
      <c r="C102" s="49">
        <v>34.0</v>
      </c>
      <c r="D102" s="17" t="s">
        <v>58</v>
      </c>
      <c r="E102" s="49" t="s">
        <v>445</v>
      </c>
      <c r="F102" s="71" t="s">
        <v>116</v>
      </c>
      <c r="G102" s="71" t="s">
        <v>286</v>
      </c>
      <c r="H102" s="71" t="s">
        <v>34</v>
      </c>
      <c r="I102" s="24">
        <v>46257.0</v>
      </c>
      <c r="J102" s="49">
        <v>0.0</v>
      </c>
      <c r="K102" s="27" t="s">
        <v>38</v>
      </c>
      <c r="L102" s="53">
        <v>0.0</v>
      </c>
      <c r="M102" s="53">
        <v>200000.0</v>
      </c>
      <c r="N102" s="53">
        <v>0.0</v>
      </c>
      <c r="O102" s="44">
        <v>0.0</v>
      </c>
      <c r="P102" s="44">
        <v>0.0</v>
      </c>
      <c r="Q102" s="54"/>
    </row>
    <row r="103" ht="15.75" customHeight="1">
      <c r="A103" s="14">
        <f t="shared" si="1"/>
        <v>102</v>
      </c>
      <c r="B103" s="16" t="s">
        <v>24</v>
      </c>
      <c r="C103" s="49">
        <v>34.0</v>
      </c>
      <c r="D103" s="17" t="s">
        <v>58</v>
      </c>
      <c r="E103" s="49" t="s">
        <v>448</v>
      </c>
      <c r="F103" s="36" t="s">
        <v>92</v>
      </c>
      <c r="G103" s="51" t="s">
        <v>273</v>
      </c>
      <c r="H103" s="14" t="s">
        <v>34</v>
      </c>
      <c r="I103" s="24">
        <v>46258.0</v>
      </c>
      <c r="J103" s="49">
        <v>0.0</v>
      </c>
      <c r="K103" s="27" t="s">
        <v>38</v>
      </c>
      <c r="L103" s="53">
        <v>350000.0</v>
      </c>
      <c r="M103" s="53">
        <v>0.0</v>
      </c>
      <c r="N103" s="53">
        <v>0.0</v>
      </c>
      <c r="O103" s="44">
        <v>0.0</v>
      </c>
      <c r="P103" s="44">
        <v>0.0</v>
      </c>
      <c r="Q103" s="54"/>
    </row>
    <row r="104" ht="15.75" customHeight="1">
      <c r="A104" s="14">
        <f t="shared" si="1"/>
        <v>103</v>
      </c>
      <c r="B104" s="16" t="s">
        <v>24</v>
      </c>
      <c r="C104" s="49">
        <v>34.0</v>
      </c>
      <c r="D104" s="17" t="s">
        <v>46</v>
      </c>
      <c r="E104" s="49" t="s">
        <v>450</v>
      </c>
      <c r="F104" s="21" t="s">
        <v>184</v>
      </c>
      <c r="G104" s="21" t="s">
        <v>186</v>
      </c>
      <c r="H104" s="14" t="s">
        <v>34</v>
      </c>
      <c r="I104" s="24">
        <v>46259.0</v>
      </c>
      <c r="J104" s="49">
        <v>0.0</v>
      </c>
      <c r="K104" s="92" t="s">
        <v>57</v>
      </c>
      <c r="L104" s="53">
        <v>55000.0</v>
      </c>
      <c r="M104" s="53">
        <v>0.0</v>
      </c>
      <c r="N104" s="53">
        <v>0.0</v>
      </c>
      <c r="O104" s="44">
        <v>0.0</v>
      </c>
      <c r="P104" s="44">
        <v>0.0</v>
      </c>
      <c r="Q104" s="54"/>
    </row>
    <row r="105" ht="15.75" customHeight="1">
      <c r="A105" s="14">
        <f t="shared" si="1"/>
        <v>104</v>
      </c>
      <c r="B105" s="16" t="s">
        <v>24</v>
      </c>
      <c r="C105" s="49">
        <v>34.0</v>
      </c>
      <c r="D105" s="17" t="s">
        <v>87</v>
      </c>
      <c r="E105" s="49" t="s">
        <v>454</v>
      </c>
      <c r="F105" s="36" t="s">
        <v>91</v>
      </c>
      <c r="G105" s="51" t="s">
        <v>96</v>
      </c>
      <c r="H105" s="14" t="s">
        <v>34</v>
      </c>
      <c r="I105" s="47">
        <v>46264.0</v>
      </c>
      <c r="J105" s="49">
        <v>5.0</v>
      </c>
      <c r="K105" s="27" t="s">
        <v>38</v>
      </c>
      <c r="L105" s="53">
        <v>0.0</v>
      </c>
      <c r="M105" s="53">
        <v>100000.0</v>
      </c>
      <c r="N105" s="53">
        <v>0.0</v>
      </c>
      <c r="O105" s="44">
        <v>0.0</v>
      </c>
      <c r="P105" s="44">
        <v>0.0</v>
      </c>
      <c r="Q105" s="54"/>
    </row>
    <row r="106" ht="15.75" customHeight="1">
      <c r="A106" s="14">
        <f t="shared" si="1"/>
        <v>105</v>
      </c>
      <c r="B106" s="16" t="s">
        <v>24</v>
      </c>
      <c r="C106" s="49">
        <v>34.0</v>
      </c>
      <c r="D106" s="17" t="s">
        <v>87</v>
      </c>
      <c r="E106" s="49" t="s">
        <v>456</v>
      </c>
      <c r="F106" s="36" t="s">
        <v>91</v>
      </c>
      <c r="G106" s="51" t="s">
        <v>96</v>
      </c>
      <c r="H106" s="14" t="s">
        <v>34</v>
      </c>
      <c r="I106" s="47">
        <v>46265.0</v>
      </c>
      <c r="J106" s="49">
        <v>0.0</v>
      </c>
      <c r="K106" s="27" t="s">
        <v>38</v>
      </c>
      <c r="L106" s="53">
        <v>0.0</v>
      </c>
      <c r="M106" s="53">
        <v>50000.0</v>
      </c>
      <c r="N106" s="53">
        <v>0.0</v>
      </c>
      <c r="O106" s="44">
        <v>0.0</v>
      </c>
      <c r="P106" s="44">
        <v>0.0</v>
      </c>
      <c r="Q106" s="54"/>
    </row>
    <row r="107" ht="15.75" customHeight="1">
      <c r="A107" s="14">
        <f t="shared" si="1"/>
        <v>106</v>
      </c>
      <c r="B107" s="16" t="s">
        <v>24</v>
      </c>
      <c r="C107" s="49">
        <v>34.0</v>
      </c>
      <c r="D107" s="17" t="s">
        <v>87</v>
      </c>
      <c r="E107" s="49" t="s">
        <v>89</v>
      </c>
      <c r="F107" s="36" t="s">
        <v>91</v>
      </c>
      <c r="G107" s="51" t="s">
        <v>96</v>
      </c>
      <c r="H107" s="14" t="s">
        <v>34</v>
      </c>
      <c r="I107" s="47">
        <v>46267.0</v>
      </c>
      <c r="J107" s="49">
        <v>0.0</v>
      </c>
      <c r="K107" s="27" t="s">
        <v>38</v>
      </c>
      <c r="L107" s="53">
        <v>0.0</v>
      </c>
      <c r="M107" s="53">
        <v>18000.0</v>
      </c>
      <c r="N107" s="53">
        <v>0.0</v>
      </c>
      <c r="O107" s="44">
        <v>0.0</v>
      </c>
      <c r="P107" s="44">
        <v>0.0</v>
      </c>
      <c r="Q107" s="54"/>
    </row>
    <row r="108" ht="15.75" customHeight="1">
      <c r="A108" s="14">
        <f t="shared" si="1"/>
        <v>107</v>
      </c>
      <c r="B108" s="16" t="s">
        <v>24</v>
      </c>
      <c r="C108" s="49">
        <v>34.0</v>
      </c>
      <c r="D108" s="17" t="s">
        <v>46</v>
      </c>
      <c r="E108" s="49" t="s">
        <v>159</v>
      </c>
      <c r="F108" s="14" t="s">
        <v>44</v>
      </c>
      <c r="G108" s="61" t="s">
        <v>163</v>
      </c>
      <c r="H108" s="14" t="s">
        <v>34</v>
      </c>
      <c r="I108" s="24">
        <v>46269.0</v>
      </c>
      <c r="J108" s="49">
        <v>0.0</v>
      </c>
      <c r="K108" s="92" t="s">
        <v>57</v>
      </c>
      <c r="L108" s="53">
        <v>0.0</v>
      </c>
      <c r="M108" s="44">
        <v>0.0</v>
      </c>
      <c r="N108" s="44">
        <v>44000.0</v>
      </c>
      <c r="O108" s="44">
        <v>0.0</v>
      </c>
      <c r="P108" s="44">
        <v>0.0</v>
      </c>
      <c r="Q108" s="24">
        <v>46271.0</v>
      </c>
    </row>
    <row r="109" ht="15.75" customHeight="1">
      <c r="A109" s="14">
        <f t="shared" si="1"/>
        <v>108</v>
      </c>
      <c r="B109" s="16" t="s">
        <v>24</v>
      </c>
      <c r="C109" s="49">
        <v>34.0</v>
      </c>
      <c r="D109" s="17" t="s">
        <v>182</v>
      </c>
      <c r="E109" s="49" t="s">
        <v>185</v>
      </c>
      <c r="F109" s="51" t="s">
        <v>142</v>
      </c>
      <c r="G109" s="51" t="s">
        <v>144</v>
      </c>
      <c r="H109" s="14" t="s">
        <v>34</v>
      </c>
      <c r="I109" s="24">
        <v>46271.0</v>
      </c>
      <c r="J109" s="49">
        <v>5.0</v>
      </c>
      <c r="K109" s="27" t="s">
        <v>38</v>
      </c>
      <c r="L109" s="44">
        <v>100000.0</v>
      </c>
      <c r="M109" s="53">
        <v>0.0</v>
      </c>
      <c r="N109" s="44">
        <v>0.0</v>
      </c>
      <c r="O109" s="44">
        <v>0.0</v>
      </c>
      <c r="P109" s="44">
        <v>0.0</v>
      </c>
      <c r="Q109" s="24">
        <v>46272.0</v>
      </c>
    </row>
    <row r="110" ht="15.75" customHeight="1">
      <c r="A110" s="14">
        <f t="shared" si="1"/>
        <v>109</v>
      </c>
      <c r="B110" s="16" t="s">
        <v>24</v>
      </c>
      <c r="C110" s="49">
        <v>34.0</v>
      </c>
      <c r="D110" s="17" t="s">
        <v>58</v>
      </c>
      <c r="E110" s="49" t="s">
        <v>194</v>
      </c>
      <c r="F110" s="51" t="s">
        <v>66</v>
      </c>
      <c r="G110" s="51" t="s">
        <v>196</v>
      </c>
      <c r="H110" s="14" t="s">
        <v>34</v>
      </c>
      <c r="I110" s="24">
        <v>46271.0</v>
      </c>
      <c r="J110" s="49">
        <v>5.0</v>
      </c>
      <c r="K110" s="27" t="s">
        <v>38</v>
      </c>
      <c r="L110" s="53">
        <v>900000.0</v>
      </c>
      <c r="M110" s="53">
        <v>0.0</v>
      </c>
      <c r="N110" s="53">
        <v>0.0</v>
      </c>
      <c r="O110" s="44">
        <v>0.0</v>
      </c>
      <c r="P110" s="44">
        <v>0.0</v>
      </c>
      <c r="Q110" s="54"/>
    </row>
    <row r="111" ht="15.75" customHeight="1">
      <c r="A111" s="14">
        <f t="shared" si="1"/>
        <v>110</v>
      </c>
      <c r="B111" s="16" t="s">
        <v>24</v>
      </c>
      <c r="C111" s="49">
        <v>34.0</v>
      </c>
      <c r="D111" s="17" t="s">
        <v>58</v>
      </c>
      <c r="E111" s="49" t="s">
        <v>201</v>
      </c>
      <c r="F111" s="51" t="s">
        <v>66</v>
      </c>
      <c r="G111" s="51" t="s">
        <v>196</v>
      </c>
      <c r="H111" s="14" t="s">
        <v>34</v>
      </c>
      <c r="I111" s="24">
        <v>46271.0</v>
      </c>
      <c r="J111" s="49">
        <v>0.0</v>
      </c>
      <c r="K111" s="27" t="s">
        <v>38</v>
      </c>
      <c r="L111" s="53">
        <v>0.0</v>
      </c>
      <c r="M111" s="53">
        <v>1000000.0</v>
      </c>
      <c r="N111" s="53">
        <v>0.0</v>
      </c>
      <c r="O111" s="44">
        <v>0.0</v>
      </c>
      <c r="P111" s="44">
        <v>0.0</v>
      </c>
      <c r="Q111" s="54"/>
    </row>
    <row r="112" ht="15.75" customHeight="1">
      <c r="A112" s="14">
        <f t="shared" si="1"/>
        <v>111</v>
      </c>
      <c r="B112" s="16" t="s">
        <v>24</v>
      </c>
      <c r="C112" s="49">
        <v>34.0</v>
      </c>
      <c r="D112" s="17" t="s">
        <v>58</v>
      </c>
      <c r="E112" s="49" t="s">
        <v>474</v>
      </c>
      <c r="F112" s="45" t="s">
        <v>82</v>
      </c>
      <c r="G112" s="51" t="s">
        <v>196</v>
      </c>
      <c r="H112" s="14" t="s">
        <v>34</v>
      </c>
      <c r="I112" s="24">
        <v>46271.0</v>
      </c>
      <c r="J112" s="49">
        <v>0.0</v>
      </c>
      <c r="K112" s="27" t="s">
        <v>38</v>
      </c>
      <c r="L112" s="132" t="s">
        <v>476</v>
      </c>
      <c r="M112" s="53"/>
      <c r="N112" s="53"/>
      <c r="O112" s="53"/>
      <c r="P112" s="53">
        <v>300000.0</v>
      </c>
      <c r="Q112" s="24">
        <v>46274.0</v>
      </c>
    </row>
    <row r="113" ht="15.75" customHeight="1">
      <c r="A113" s="14">
        <f t="shared" si="1"/>
        <v>112</v>
      </c>
      <c r="B113" s="16" t="s">
        <v>24</v>
      </c>
      <c r="C113" s="49">
        <v>34.0</v>
      </c>
      <c r="D113" s="17" t="s">
        <v>58</v>
      </c>
      <c r="E113" s="49" t="s">
        <v>485</v>
      </c>
      <c r="F113" s="45" t="s">
        <v>82</v>
      </c>
      <c r="G113" s="51" t="s">
        <v>196</v>
      </c>
      <c r="H113" s="14" t="s">
        <v>34</v>
      </c>
      <c r="I113" s="24">
        <v>46271.0</v>
      </c>
      <c r="J113" s="49">
        <v>0.0</v>
      </c>
      <c r="K113" s="27" t="s">
        <v>38</v>
      </c>
      <c r="L113" s="132" t="s">
        <v>476</v>
      </c>
      <c r="M113" s="53"/>
      <c r="N113" s="53">
        <v>0.0</v>
      </c>
      <c r="O113" s="53">
        <v>1300000.0</v>
      </c>
      <c r="P113" s="44">
        <v>0.0</v>
      </c>
      <c r="Q113" s="24">
        <v>46278.0</v>
      </c>
    </row>
    <row r="114" ht="15.75" customHeight="1">
      <c r="A114" s="14">
        <f t="shared" si="1"/>
        <v>113</v>
      </c>
      <c r="B114" s="16" t="s">
        <v>24</v>
      </c>
      <c r="C114" s="49">
        <v>34.0</v>
      </c>
      <c r="D114" s="17" t="s">
        <v>58</v>
      </c>
      <c r="E114" s="49" t="s">
        <v>489</v>
      </c>
      <c r="F114" s="45" t="s">
        <v>82</v>
      </c>
      <c r="G114" s="51" t="s">
        <v>196</v>
      </c>
      <c r="H114" s="14" t="s">
        <v>34</v>
      </c>
      <c r="I114" s="24">
        <v>46271.0</v>
      </c>
      <c r="J114" s="49">
        <v>0.0</v>
      </c>
      <c r="K114" s="27" t="s">
        <v>38</v>
      </c>
      <c r="L114" s="132" t="s">
        <v>476</v>
      </c>
      <c r="M114" s="53"/>
      <c r="N114" s="53">
        <v>0.0</v>
      </c>
      <c r="O114" s="53">
        <v>1800000.0</v>
      </c>
      <c r="P114" s="44">
        <v>0.0</v>
      </c>
      <c r="Q114" s="24">
        <v>46285.0</v>
      </c>
    </row>
    <row r="115" ht="15.75" customHeight="1">
      <c r="A115" s="14">
        <f t="shared" si="1"/>
        <v>114</v>
      </c>
      <c r="B115" s="16" t="s">
        <v>24</v>
      </c>
      <c r="C115" s="49">
        <v>34.0</v>
      </c>
      <c r="D115" s="17" t="s">
        <v>46</v>
      </c>
      <c r="E115" s="49" t="s">
        <v>239</v>
      </c>
      <c r="F115" s="23" t="s">
        <v>33</v>
      </c>
      <c r="G115" s="23" t="s">
        <v>233</v>
      </c>
      <c r="H115" s="14" t="s">
        <v>34</v>
      </c>
      <c r="I115" s="24">
        <v>46272.0</v>
      </c>
      <c r="J115" s="49">
        <v>0.0</v>
      </c>
      <c r="K115" s="92" t="s">
        <v>57</v>
      </c>
      <c r="L115" s="53">
        <v>100000.0</v>
      </c>
      <c r="M115" s="53">
        <v>0.0</v>
      </c>
      <c r="N115" s="44">
        <v>0.0</v>
      </c>
      <c r="O115" s="44">
        <v>0.0</v>
      </c>
      <c r="P115" s="44">
        <v>0.0</v>
      </c>
      <c r="Q115" s="54"/>
    </row>
    <row r="116" ht="15.75" customHeight="1">
      <c r="A116" s="14">
        <f t="shared" si="1"/>
        <v>115</v>
      </c>
      <c r="B116" s="16" t="s">
        <v>24</v>
      </c>
      <c r="C116" s="49">
        <v>34.0</v>
      </c>
      <c r="D116" s="17" t="s">
        <v>501</v>
      </c>
      <c r="E116" s="49" t="s">
        <v>502</v>
      </c>
      <c r="F116" s="45" t="s">
        <v>82</v>
      </c>
      <c r="G116" s="46" t="s">
        <v>503</v>
      </c>
      <c r="H116" s="21"/>
      <c r="I116" s="47"/>
      <c r="J116" s="79"/>
      <c r="K116" s="80"/>
      <c r="L116" s="82"/>
      <c r="M116" s="82"/>
      <c r="N116" s="82"/>
      <c r="O116" s="48"/>
      <c r="P116" s="48"/>
      <c r="Q116" s="54"/>
    </row>
    <row r="117" ht="15.75" customHeight="1">
      <c r="A117" s="14">
        <f t="shared" si="1"/>
        <v>116</v>
      </c>
      <c r="B117" s="16" t="s">
        <v>24</v>
      </c>
      <c r="C117" s="49">
        <v>34.0</v>
      </c>
      <c r="D117" s="17" t="s">
        <v>58</v>
      </c>
      <c r="E117" s="49" t="s">
        <v>255</v>
      </c>
      <c r="F117" s="51" t="s">
        <v>66</v>
      </c>
      <c r="G117" s="51" t="s">
        <v>196</v>
      </c>
      <c r="H117" s="14" t="s">
        <v>34</v>
      </c>
      <c r="I117" s="24">
        <v>46273.0</v>
      </c>
      <c r="J117" s="49">
        <v>0.0</v>
      </c>
      <c r="K117" s="27" t="s">
        <v>38</v>
      </c>
      <c r="L117" s="53">
        <v>300000.0</v>
      </c>
      <c r="M117" s="53">
        <v>0.0</v>
      </c>
      <c r="N117" s="44">
        <v>0.0</v>
      </c>
      <c r="O117" s="44">
        <v>0.0</v>
      </c>
      <c r="P117" s="44">
        <v>0.0</v>
      </c>
      <c r="Q117" s="54"/>
    </row>
    <row r="118" ht="15.75" customHeight="1">
      <c r="A118" s="14">
        <f t="shared" si="1"/>
        <v>117</v>
      </c>
      <c r="B118" s="16" t="s">
        <v>24</v>
      </c>
      <c r="C118" s="49">
        <v>34.0</v>
      </c>
      <c r="D118" s="17" t="s">
        <v>58</v>
      </c>
      <c r="E118" s="49" t="s">
        <v>300</v>
      </c>
      <c r="F118" s="36" t="s">
        <v>92</v>
      </c>
      <c r="G118" s="51" t="s">
        <v>106</v>
      </c>
      <c r="H118" s="14" t="s">
        <v>34</v>
      </c>
      <c r="I118" s="24">
        <v>46274.0</v>
      </c>
      <c r="J118" s="49">
        <v>6.0</v>
      </c>
      <c r="K118" s="27" t="s">
        <v>38</v>
      </c>
      <c r="L118" s="44">
        <v>100000.0</v>
      </c>
      <c r="M118" s="53">
        <v>0.0</v>
      </c>
      <c r="N118" s="53">
        <v>0.0</v>
      </c>
      <c r="O118" s="44">
        <v>0.0</v>
      </c>
      <c r="P118" s="44">
        <v>0.0</v>
      </c>
      <c r="Q118" s="24">
        <v>46275.0</v>
      </c>
    </row>
    <row r="119" ht="15.75" customHeight="1">
      <c r="A119" s="14">
        <f t="shared" si="1"/>
        <v>118</v>
      </c>
      <c r="B119" s="16" t="s">
        <v>24</v>
      </c>
      <c r="C119" s="49">
        <v>34.0</v>
      </c>
      <c r="D119" s="17" t="s">
        <v>58</v>
      </c>
      <c r="E119" s="49" t="s">
        <v>307</v>
      </c>
      <c r="F119" s="36" t="s">
        <v>92</v>
      </c>
      <c r="G119" s="51" t="s">
        <v>95</v>
      </c>
      <c r="H119" s="14" t="s">
        <v>34</v>
      </c>
      <c r="I119" s="24">
        <v>46274.0</v>
      </c>
      <c r="J119" s="49">
        <v>6.0</v>
      </c>
      <c r="K119" s="27" t="s">
        <v>38</v>
      </c>
      <c r="L119" s="44">
        <v>100000.0</v>
      </c>
      <c r="M119" s="53">
        <v>0.0</v>
      </c>
      <c r="N119" s="53">
        <v>0.0</v>
      </c>
      <c r="O119" s="44">
        <v>0.0</v>
      </c>
      <c r="P119" s="44">
        <v>0.0</v>
      </c>
      <c r="Q119" s="24">
        <v>46275.0</v>
      </c>
    </row>
    <row r="120" ht="15.75" customHeight="1">
      <c r="A120" s="14">
        <f t="shared" si="1"/>
        <v>119</v>
      </c>
      <c r="B120" s="16" t="s">
        <v>24</v>
      </c>
      <c r="C120" s="49">
        <v>34.0</v>
      </c>
      <c r="D120" s="17" t="s">
        <v>58</v>
      </c>
      <c r="E120" s="49" t="s">
        <v>271</v>
      </c>
      <c r="F120" s="36" t="s">
        <v>92</v>
      </c>
      <c r="G120" s="51" t="s">
        <v>273</v>
      </c>
      <c r="H120" s="14" t="s">
        <v>34</v>
      </c>
      <c r="I120" s="24">
        <v>46274.0</v>
      </c>
      <c r="J120" s="49">
        <v>0.0</v>
      </c>
      <c r="K120" s="27" t="s">
        <v>38</v>
      </c>
      <c r="L120" s="53">
        <v>200000.0</v>
      </c>
      <c r="M120" s="53">
        <v>0.0</v>
      </c>
      <c r="N120" s="53">
        <v>0.0</v>
      </c>
      <c r="O120" s="44">
        <v>0.0</v>
      </c>
      <c r="P120" s="44">
        <v>0.0</v>
      </c>
      <c r="Q120" s="24"/>
    </row>
    <row r="121" ht="15.75" customHeight="1">
      <c r="A121" s="14">
        <f t="shared" si="1"/>
        <v>120</v>
      </c>
      <c r="B121" s="16" t="s">
        <v>24</v>
      </c>
      <c r="C121" s="49">
        <v>34.0</v>
      </c>
      <c r="D121" s="17" t="s">
        <v>46</v>
      </c>
      <c r="E121" s="49" t="s">
        <v>310</v>
      </c>
      <c r="F121" s="21" t="s">
        <v>28</v>
      </c>
      <c r="G121" s="21" t="s">
        <v>79</v>
      </c>
      <c r="H121" s="14" t="s">
        <v>34</v>
      </c>
      <c r="I121" s="47">
        <v>46275.0</v>
      </c>
      <c r="J121" s="49">
        <v>0.0</v>
      </c>
      <c r="K121" s="27" t="s">
        <v>57</v>
      </c>
      <c r="L121" s="53">
        <v>0.0</v>
      </c>
      <c r="M121" s="53">
        <v>50000.0</v>
      </c>
      <c r="N121" s="29">
        <v>0.0</v>
      </c>
      <c r="O121" s="29">
        <v>0.0</v>
      </c>
      <c r="P121" s="44">
        <v>0.0</v>
      </c>
      <c r="Q121" s="54"/>
    </row>
    <row r="122" ht="15.75" customHeight="1">
      <c r="A122" s="14">
        <f t="shared" si="1"/>
        <v>121</v>
      </c>
      <c r="B122" s="16" t="s">
        <v>24</v>
      </c>
      <c r="C122" s="49">
        <v>34.0</v>
      </c>
      <c r="D122" s="17" t="s">
        <v>46</v>
      </c>
      <c r="E122" s="49" t="s">
        <v>350</v>
      </c>
      <c r="F122" s="51" t="s">
        <v>272</v>
      </c>
      <c r="G122" s="151" t="s">
        <v>274</v>
      </c>
      <c r="H122" s="14" t="s">
        <v>34</v>
      </c>
      <c r="I122" s="47">
        <v>46278.0</v>
      </c>
      <c r="J122" s="16">
        <v>0.0</v>
      </c>
      <c r="K122" s="27" t="s">
        <v>57</v>
      </c>
      <c r="L122" s="29">
        <v>20000.0</v>
      </c>
      <c r="M122" s="29">
        <v>0.0</v>
      </c>
      <c r="N122" s="29">
        <v>0.0</v>
      </c>
      <c r="O122" s="29">
        <v>0.0</v>
      </c>
      <c r="P122" s="44">
        <v>0.0</v>
      </c>
      <c r="Q122" s="54"/>
    </row>
    <row r="123" ht="15.75" customHeight="1">
      <c r="A123" s="14">
        <f t="shared" si="1"/>
        <v>122</v>
      </c>
      <c r="B123" s="16" t="s">
        <v>24</v>
      </c>
      <c r="C123" s="49">
        <v>34.0</v>
      </c>
      <c r="D123" s="17" t="s">
        <v>46</v>
      </c>
      <c r="E123" s="49" t="s">
        <v>438</v>
      </c>
      <c r="F123" s="21" t="s">
        <v>28</v>
      </c>
      <c r="G123" s="21" t="s">
        <v>32</v>
      </c>
      <c r="H123" s="14" t="s">
        <v>34</v>
      </c>
      <c r="I123" s="47">
        <v>46281.0</v>
      </c>
      <c r="J123" s="49">
        <v>0.0</v>
      </c>
      <c r="K123" s="92" t="s">
        <v>57</v>
      </c>
      <c r="L123" s="53">
        <v>0.0</v>
      </c>
      <c r="M123" s="53">
        <v>50000.0</v>
      </c>
      <c r="N123" s="29">
        <v>0.0</v>
      </c>
      <c r="O123" s="29">
        <v>0.0</v>
      </c>
      <c r="P123" s="44">
        <v>0.0</v>
      </c>
      <c r="Q123" s="54"/>
    </row>
    <row r="124" ht="15.75" customHeight="1">
      <c r="A124" s="14">
        <f t="shared" si="1"/>
        <v>123</v>
      </c>
      <c r="B124" s="16" t="s">
        <v>24</v>
      </c>
      <c r="C124" s="49">
        <v>34.0</v>
      </c>
      <c r="D124" s="17" t="s">
        <v>58</v>
      </c>
      <c r="E124" s="49" t="s">
        <v>459</v>
      </c>
      <c r="F124" s="51" t="s">
        <v>66</v>
      </c>
      <c r="G124" s="51" t="s">
        <v>196</v>
      </c>
      <c r="H124" s="14" t="s">
        <v>34</v>
      </c>
      <c r="I124" s="24">
        <v>46282.0</v>
      </c>
      <c r="J124" s="49">
        <v>0.0</v>
      </c>
      <c r="K124" s="27" t="s">
        <v>38</v>
      </c>
      <c r="L124" s="53">
        <v>2000000.0</v>
      </c>
      <c r="M124" s="53">
        <v>0.0</v>
      </c>
      <c r="N124" s="53">
        <v>0.0</v>
      </c>
      <c r="O124" s="44">
        <v>0.0</v>
      </c>
      <c r="P124" s="44">
        <v>0.0</v>
      </c>
      <c r="Q124" s="54"/>
    </row>
    <row r="125" ht="15.75" customHeight="1">
      <c r="A125" s="14">
        <f t="shared" si="1"/>
        <v>124</v>
      </c>
      <c r="B125" s="16" t="s">
        <v>24</v>
      </c>
      <c r="C125" s="49">
        <v>34.0</v>
      </c>
      <c r="D125" s="17" t="s">
        <v>58</v>
      </c>
      <c r="E125" s="49" t="s">
        <v>536</v>
      </c>
      <c r="F125" s="51" t="s">
        <v>66</v>
      </c>
      <c r="G125" s="51" t="s">
        <v>196</v>
      </c>
      <c r="H125" s="14" t="s">
        <v>34</v>
      </c>
      <c r="I125" s="24">
        <v>46282.0</v>
      </c>
      <c r="J125" s="49">
        <v>0.0</v>
      </c>
      <c r="K125" s="27" t="s">
        <v>38</v>
      </c>
      <c r="L125" s="44">
        <v>100000.0</v>
      </c>
      <c r="M125" s="53">
        <v>0.0</v>
      </c>
      <c r="N125" s="53">
        <v>0.0</v>
      </c>
      <c r="O125" s="44">
        <v>0.0</v>
      </c>
      <c r="P125" s="44">
        <v>0.0</v>
      </c>
      <c r="Q125" s="24">
        <v>46295.0</v>
      </c>
    </row>
    <row r="126" ht="15.75" customHeight="1">
      <c r="A126" s="14">
        <f t="shared" si="1"/>
        <v>125</v>
      </c>
      <c r="B126" s="16" t="s">
        <v>24</v>
      </c>
      <c r="C126" s="49">
        <v>34.0</v>
      </c>
      <c r="D126" s="17" t="s">
        <v>58</v>
      </c>
      <c r="E126" s="49" t="s">
        <v>463</v>
      </c>
      <c r="F126" s="51" t="s">
        <v>66</v>
      </c>
      <c r="G126" s="51" t="s">
        <v>196</v>
      </c>
      <c r="H126" s="14" t="s">
        <v>34</v>
      </c>
      <c r="I126" s="24">
        <v>46282.0</v>
      </c>
      <c r="J126" s="49">
        <v>0.0</v>
      </c>
      <c r="K126" s="27" t="s">
        <v>38</v>
      </c>
      <c r="L126" s="53">
        <v>0.0</v>
      </c>
      <c r="M126" s="53">
        <v>0.0</v>
      </c>
      <c r="N126" s="53">
        <v>0.0</v>
      </c>
      <c r="O126" s="44">
        <v>1000000.0</v>
      </c>
      <c r="P126" s="44">
        <v>0.0</v>
      </c>
      <c r="Q126" s="24">
        <v>46320.0</v>
      </c>
    </row>
    <row r="127" ht="15.75" customHeight="1">
      <c r="A127" s="14">
        <f t="shared" si="1"/>
        <v>126</v>
      </c>
      <c r="B127" s="16" t="s">
        <v>24</v>
      </c>
      <c r="C127" s="49">
        <v>34.0</v>
      </c>
      <c r="D127" s="17" t="s">
        <v>46</v>
      </c>
      <c r="E127" s="49" t="s">
        <v>467</v>
      </c>
      <c r="F127" s="21" t="s">
        <v>84</v>
      </c>
      <c r="G127" s="21" t="s">
        <v>254</v>
      </c>
      <c r="H127" s="14" t="s">
        <v>34</v>
      </c>
      <c r="I127" s="24">
        <v>46282.0</v>
      </c>
      <c r="J127" s="49">
        <v>0.0</v>
      </c>
      <c r="K127" s="92" t="s">
        <v>57</v>
      </c>
      <c r="L127" s="53">
        <v>50000.0</v>
      </c>
      <c r="M127" s="53">
        <v>0.0</v>
      </c>
      <c r="N127" s="53">
        <v>0.0</v>
      </c>
      <c r="O127" s="44">
        <v>0.0</v>
      </c>
      <c r="P127" s="44">
        <v>0.0</v>
      </c>
      <c r="Q127" s="54"/>
    </row>
    <row r="128" ht="15.75" customHeight="1">
      <c r="A128" s="14">
        <f t="shared" si="1"/>
        <v>127</v>
      </c>
      <c r="B128" s="16" t="s">
        <v>24</v>
      </c>
      <c r="C128" s="49">
        <v>34.0</v>
      </c>
      <c r="D128" s="17" t="s">
        <v>46</v>
      </c>
      <c r="E128" s="49" t="s">
        <v>473</v>
      </c>
      <c r="F128" s="36" t="s">
        <v>92</v>
      </c>
      <c r="G128" s="36" t="s">
        <v>354</v>
      </c>
      <c r="H128" s="14" t="s">
        <v>34</v>
      </c>
      <c r="I128" s="24">
        <v>46284.0</v>
      </c>
      <c r="J128" s="49">
        <v>0.0</v>
      </c>
      <c r="K128" s="92" t="s">
        <v>57</v>
      </c>
      <c r="L128" s="53">
        <v>35000.0</v>
      </c>
      <c r="M128" s="53">
        <v>0.0</v>
      </c>
      <c r="N128" s="53">
        <v>0.0</v>
      </c>
      <c r="O128" s="44">
        <v>0.0</v>
      </c>
      <c r="P128" s="44">
        <v>0.0</v>
      </c>
      <c r="Q128" s="54"/>
    </row>
    <row r="129" ht="15.75" customHeight="1">
      <c r="A129" s="14">
        <f t="shared" si="1"/>
        <v>128</v>
      </c>
      <c r="B129" s="16" t="s">
        <v>24</v>
      </c>
      <c r="C129" s="49">
        <v>34.0</v>
      </c>
      <c r="D129" s="17" t="s">
        <v>46</v>
      </c>
      <c r="E129" s="49" t="s">
        <v>520</v>
      </c>
      <c r="F129" s="23" t="s">
        <v>33</v>
      </c>
      <c r="G129" s="23" t="s">
        <v>233</v>
      </c>
      <c r="H129" s="14" t="s">
        <v>34</v>
      </c>
      <c r="I129" s="24">
        <v>46286.0</v>
      </c>
      <c r="J129" s="49">
        <v>0.0</v>
      </c>
      <c r="K129" s="92" t="s">
        <v>57</v>
      </c>
      <c r="L129" s="53">
        <v>50000.0</v>
      </c>
      <c r="M129" s="53">
        <v>0.0</v>
      </c>
      <c r="N129" s="44">
        <v>0.0</v>
      </c>
      <c r="O129" s="44">
        <v>0.0</v>
      </c>
      <c r="P129" s="44">
        <v>0.0</v>
      </c>
      <c r="Q129" s="54"/>
    </row>
    <row r="130" ht="15.75" customHeight="1">
      <c r="A130" s="14">
        <f t="shared" si="1"/>
        <v>129</v>
      </c>
      <c r="B130" s="16" t="s">
        <v>24</v>
      </c>
      <c r="C130" s="49">
        <v>34.0</v>
      </c>
      <c r="D130" s="17" t="s">
        <v>46</v>
      </c>
      <c r="E130" s="49" t="s">
        <v>527</v>
      </c>
      <c r="F130" s="36" t="s">
        <v>92</v>
      </c>
      <c r="G130" s="36" t="s">
        <v>111</v>
      </c>
      <c r="H130" s="14" t="s">
        <v>34</v>
      </c>
      <c r="I130" s="24">
        <v>46288.0</v>
      </c>
      <c r="J130" s="49">
        <v>0.0</v>
      </c>
      <c r="K130" s="92" t="s">
        <v>57</v>
      </c>
      <c r="L130" s="53">
        <v>35000.0</v>
      </c>
      <c r="M130" s="53">
        <v>0.0</v>
      </c>
      <c r="N130" s="53">
        <v>0.0</v>
      </c>
      <c r="O130" s="44">
        <v>0.0</v>
      </c>
      <c r="P130" s="44">
        <v>0.0</v>
      </c>
      <c r="Q130" s="54"/>
    </row>
    <row r="131" ht="15.75" customHeight="1">
      <c r="A131" s="14">
        <f t="shared" si="1"/>
        <v>130</v>
      </c>
      <c r="B131" s="16" t="s">
        <v>24</v>
      </c>
      <c r="C131" s="49">
        <v>34.0</v>
      </c>
      <c r="D131" s="17" t="s">
        <v>46</v>
      </c>
      <c r="E131" s="49" t="s">
        <v>555</v>
      </c>
      <c r="F131" s="21" t="s">
        <v>184</v>
      </c>
      <c r="G131" s="21" t="s">
        <v>186</v>
      </c>
      <c r="H131" s="14" t="s">
        <v>34</v>
      </c>
      <c r="I131" s="24">
        <v>46293.0</v>
      </c>
      <c r="J131" s="49">
        <v>0.0</v>
      </c>
      <c r="K131" s="92" t="s">
        <v>57</v>
      </c>
      <c r="L131" s="53">
        <v>55000.0</v>
      </c>
      <c r="M131" s="53">
        <v>0.0</v>
      </c>
      <c r="N131" s="53">
        <v>0.0</v>
      </c>
      <c r="O131" s="44">
        <v>0.0</v>
      </c>
      <c r="P131" s="44">
        <v>0.0</v>
      </c>
      <c r="Q131" s="54"/>
    </row>
    <row r="132" ht="15.75" customHeight="1">
      <c r="A132" s="14">
        <f t="shared" si="1"/>
        <v>131</v>
      </c>
      <c r="B132" s="16" t="s">
        <v>24</v>
      </c>
      <c r="C132" s="49">
        <v>34.0</v>
      </c>
      <c r="D132" s="17" t="s">
        <v>46</v>
      </c>
      <c r="E132" s="49" t="s">
        <v>559</v>
      </c>
      <c r="F132" s="71" t="s">
        <v>116</v>
      </c>
      <c r="G132" s="71" t="s">
        <v>286</v>
      </c>
      <c r="H132" s="71" t="s">
        <v>34</v>
      </c>
      <c r="I132" s="24">
        <v>46295.0</v>
      </c>
      <c r="J132" s="49">
        <v>0.0</v>
      </c>
      <c r="K132" s="92" t="s">
        <v>57</v>
      </c>
      <c r="L132" s="53">
        <v>0.0</v>
      </c>
      <c r="M132" s="53">
        <v>50000.0</v>
      </c>
      <c r="N132" s="53">
        <v>0.0</v>
      </c>
      <c r="O132" s="44">
        <v>0.0</v>
      </c>
      <c r="P132" s="44">
        <v>0.0</v>
      </c>
      <c r="Q132" s="54"/>
    </row>
    <row r="133" ht="15.75" customHeight="1">
      <c r="A133" s="14">
        <f t="shared" si="1"/>
        <v>132</v>
      </c>
      <c r="B133" s="16" t="s">
        <v>24</v>
      </c>
      <c r="C133" s="49">
        <v>34.0</v>
      </c>
      <c r="D133" s="17" t="s">
        <v>46</v>
      </c>
      <c r="E133" s="49" t="s">
        <v>562</v>
      </c>
      <c r="F133" s="71" t="s">
        <v>116</v>
      </c>
      <c r="G133" s="71" t="s">
        <v>286</v>
      </c>
      <c r="H133" s="71" t="s">
        <v>34</v>
      </c>
      <c r="I133" s="24">
        <v>46295.0</v>
      </c>
      <c r="J133" s="49">
        <v>0.0</v>
      </c>
      <c r="K133" s="92" t="s">
        <v>57</v>
      </c>
      <c r="L133" s="53">
        <v>0.0</v>
      </c>
      <c r="M133" s="53">
        <v>200000.0</v>
      </c>
      <c r="N133" s="53">
        <v>0.0</v>
      </c>
      <c r="O133" s="44">
        <v>0.0</v>
      </c>
      <c r="P133" s="44">
        <v>0.0</v>
      </c>
      <c r="Q133" s="54"/>
    </row>
    <row r="134" ht="15.75" customHeight="1">
      <c r="A134" s="14">
        <f t="shared" si="1"/>
        <v>133</v>
      </c>
      <c r="B134" s="16" t="s">
        <v>24</v>
      </c>
      <c r="C134" s="49">
        <v>34.0</v>
      </c>
      <c r="D134" s="17" t="s">
        <v>58</v>
      </c>
      <c r="E134" s="49" t="s">
        <v>90</v>
      </c>
      <c r="F134" s="36" t="s">
        <v>92</v>
      </c>
      <c r="G134" s="51" t="s">
        <v>95</v>
      </c>
      <c r="H134" s="14" t="s">
        <v>34</v>
      </c>
      <c r="I134" s="24">
        <v>46295.0</v>
      </c>
      <c r="J134" s="49">
        <v>0.0</v>
      </c>
      <c r="K134" s="27" t="s">
        <v>38</v>
      </c>
      <c r="L134" s="44">
        <v>0.0</v>
      </c>
      <c r="M134" s="53">
        <v>0.0</v>
      </c>
      <c r="N134" s="44">
        <v>300000.0</v>
      </c>
      <c r="O134" s="44">
        <v>0.0</v>
      </c>
      <c r="P134" s="44">
        <v>0.0</v>
      </c>
      <c r="Q134" s="24">
        <v>46296.0</v>
      </c>
    </row>
    <row r="135" ht="15.75" customHeight="1">
      <c r="A135" s="14">
        <f t="shared" si="1"/>
        <v>134</v>
      </c>
      <c r="B135" s="16" t="s">
        <v>24</v>
      </c>
      <c r="C135" s="49">
        <v>34.0</v>
      </c>
      <c r="D135" s="17" t="s">
        <v>58</v>
      </c>
      <c r="E135" s="49" t="s">
        <v>105</v>
      </c>
      <c r="F135" s="36" t="s">
        <v>92</v>
      </c>
      <c r="G135" s="51" t="s">
        <v>106</v>
      </c>
      <c r="H135" s="14" t="s">
        <v>34</v>
      </c>
      <c r="I135" s="24">
        <v>46295.0</v>
      </c>
      <c r="J135" s="49">
        <v>0.0</v>
      </c>
      <c r="K135" s="27" t="s">
        <v>38</v>
      </c>
      <c r="L135" s="44">
        <v>0.0</v>
      </c>
      <c r="M135" s="53">
        <v>0.0</v>
      </c>
      <c r="N135" s="44">
        <v>300000.0</v>
      </c>
      <c r="O135" s="44">
        <v>0.0</v>
      </c>
      <c r="P135" s="44">
        <v>0.0</v>
      </c>
      <c r="Q135" s="24">
        <v>46296.0</v>
      </c>
    </row>
    <row r="136" ht="15.75" customHeight="1">
      <c r="A136" s="14">
        <f t="shared" si="1"/>
        <v>135</v>
      </c>
      <c r="B136" s="16" t="s">
        <v>24</v>
      </c>
      <c r="C136" s="49">
        <v>34.0</v>
      </c>
      <c r="D136" s="17" t="s">
        <v>58</v>
      </c>
      <c r="E136" s="49" t="s">
        <v>571</v>
      </c>
      <c r="F136" s="36" t="s">
        <v>92</v>
      </c>
      <c r="G136" s="51" t="s">
        <v>573</v>
      </c>
      <c r="H136" s="14" t="s">
        <v>34</v>
      </c>
      <c r="I136" s="24">
        <v>46295.0</v>
      </c>
      <c r="J136" s="49">
        <v>3.0</v>
      </c>
      <c r="K136" s="27" t="s">
        <v>38</v>
      </c>
      <c r="L136" s="53">
        <v>20000.0</v>
      </c>
      <c r="M136" s="53">
        <v>0.0</v>
      </c>
      <c r="N136" s="53">
        <v>0.0</v>
      </c>
      <c r="O136" s="44">
        <v>0.0</v>
      </c>
      <c r="P136" s="44">
        <v>0.0</v>
      </c>
      <c r="Q136" s="54"/>
    </row>
    <row r="137" ht="15.75" customHeight="1">
      <c r="A137" s="14">
        <f t="shared" si="1"/>
        <v>136</v>
      </c>
      <c r="B137" s="16" t="s">
        <v>24</v>
      </c>
      <c r="C137" s="49">
        <v>34.0</v>
      </c>
      <c r="D137" s="17" t="s">
        <v>58</v>
      </c>
      <c r="E137" s="49" t="s">
        <v>110</v>
      </c>
      <c r="F137" s="22" t="s">
        <v>92</v>
      </c>
      <c r="G137" s="51" t="s">
        <v>111</v>
      </c>
      <c r="H137" s="14" t="s">
        <v>34</v>
      </c>
      <c r="I137" s="24">
        <v>46296.0</v>
      </c>
      <c r="J137" s="49">
        <v>3.0</v>
      </c>
      <c r="K137" s="27" t="s">
        <v>38</v>
      </c>
      <c r="L137" s="53">
        <v>50000.0</v>
      </c>
      <c r="M137" s="53">
        <v>0.0</v>
      </c>
      <c r="N137" s="53">
        <v>0.0</v>
      </c>
      <c r="O137" s="44">
        <v>0.0</v>
      </c>
      <c r="P137" s="44">
        <v>0.0</v>
      </c>
      <c r="Q137" s="54"/>
    </row>
    <row r="138" ht="15.75" customHeight="1">
      <c r="A138" s="14">
        <f t="shared" si="1"/>
        <v>137</v>
      </c>
      <c r="B138" s="16" t="s">
        <v>24</v>
      </c>
      <c r="C138" s="49">
        <v>34.0</v>
      </c>
      <c r="D138" s="17" t="s">
        <v>29</v>
      </c>
      <c r="E138" s="49" t="s">
        <v>140</v>
      </c>
      <c r="F138" s="51" t="s">
        <v>142</v>
      </c>
      <c r="G138" s="51" t="s">
        <v>144</v>
      </c>
      <c r="H138" s="14" t="s">
        <v>34</v>
      </c>
      <c r="I138" s="24">
        <v>46300.0</v>
      </c>
      <c r="J138" s="49">
        <v>0.0</v>
      </c>
      <c r="K138" s="27" t="s">
        <v>38</v>
      </c>
      <c r="L138" s="44">
        <v>0.0</v>
      </c>
      <c r="M138" s="53">
        <v>0.0</v>
      </c>
      <c r="N138" s="44">
        <v>0.0</v>
      </c>
      <c r="O138" s="44">
        <v>200000.0</v>
      </c>
      <c r="P138" s="44">
        <v>0.0</v>
      </c>
      <c r="Q138" s="24">
        <v>46310.0</v>
      </c>
    </row>
    <row r="139" ht="15.75" customHeight="1">
      <c r="A139" s="14">
        <f t="shared" si="1"/>
        <v>138</v>
      </c>
      <c r="B139" s="16" t="s">
        <v>24</v>
      </c>
      <c r="C139" s="49">
        <v>34.0</v>
      </c>
      <c r="D139" s="17" t="s">
        <v>501</v>
      </c>
      <c r="E139" s="49" t="s">
        <v>587</v>
      </c>
      <c r="F139" s="21"/>
      <c r="G139" s="21"/>
      <c r="H139" s="21"/>
      <c r="I139" s="47"/>
      <c r="J139" s="79"/>
      <c r="K139" s="80"/>
      <c r="L139" s="82"/>
      <c r="M139" s="82"/>
      <c r="N139" s="82"/>
      <c r="O139" s="48"/>
      <c r="P139" s="48"/>
      <c r="Q139" s="54"/>
    </row>
    <row r="140" ht="15.75" customHeight="1">
      <c r="A140" s="14">
        <f t="shared" si="1"/>
        <v>139</v>
      </c>
      <c r="B140" s="16" t="s">
        <v>24</v>
      </c>
      <c r="C140" s="49">
        <v>34.0</v>
      </c>
      <c r="D140" s="17" t="s">
        <v>501</v>
      </c>
      <c r="E140" s="49" t="s">
        <v>591</v>
      </c>
      <c r="F140" s="21"/>
      <c r="G140" s="21"/>
      <c r="H140" s="21"/>
      <c r="I140" s="47"/>
      <c r="J140" s="79"/>
      <c r="K140" s="80"/>
      <c r="L140" s="82"/>
      <c r="M140" s="82"/>
      <c r="N140" s="82"/>
      <c r="O140" s="48"/>
      <c r="P140" s="48"/>
      <c r="Q140" s="54"/>
    </row>
    <row r="141" ht="15.75" customHeight="1">
      <c r="A141" s="14">
        <f t="shared" si="1"/>
        <v>140</v>
      </c>
      <c r="B141" s="16" t="s">
        <v>24</v>
      </c>
      <c r="C141" s="49">
        <v>34.0</v>
      </c>
      <c r="D141" s="17" t="s">
        <v>501</v>
      </c>
      <c r="E141" s="49" t="s">
        <v>595</v>
      </c>
      <c r="F141" s="21"/>
      <c r="G141" s="21"/>
      <c r="H141" s="21"/>
      <c r="I141" s="47"/>
      <c r="J141" s="79"/>
      <c r="K141" s="80"/>
      <c r="L141" s="82"/>
      <c r="M141" s="82"/>
      <c r="N141" s="82"/>
      <c r="O141" s="48"/>
      <c r="P141" s="48"/>
      <c r="Q141" s="54"/>
    </row>
    <row r="142" ht="15.75" customHeight="1">
      <c r="A142" s="14">
        <f t="shared" si="1"/>
        <v>141</v>
      </c>
      <c r="B142" s="16" t="s">
        <v>24</v>
      </c>
      <c r="C142" s="49">
        <v>34.0</v>
      </c>
      <c r="D142" s="17" t="s">
        <v>501</v>
      </c>
      <c r="E142" s="49" t="s">
        <v>599</v>
      </c>
      <c r="F142" s="21"/>
      <c r="G142" s="21"/>
      <c r="H142" s="21"/>
      <c r="I142" s="47"/>
      <c r="J142" s="79"/>
      <c r="K142" s="80"/>
      <c r="L142" s="82"/>
      <c r="M142" s="82"/>
      <c r="N142" s="82"/>
      <c r="O142" s="48"/>
      <c r="P142" s="48"/>
      <c r="Q142" s="54"/>
    </row>
    <row r="143" ht="15.75" customHeight="1">
      <c r="A143" s="14">
        <f t="shared" si="1"/>
        <v>142</v>
      </c>
      <c r="B143" s="16" t="s">
        <v>24</v>
      </c>
      <c r="C143" s="49">
        <v>34.0</v>
      </c>
      <c r="D143" s="17" t="s">
        <v>501</v>
      </c>
      <c r="E143" s="49" t="s">
        <v>602</v>
      </c>
      <c r="F143" s="21"/>
      <c r="G143" s="21"/>
      <c r="H143" s="21"/>
      <c r="I143" s="47"/>
      <c r="J143" s="79"/>
      <c r="K143" s="80"/>
      <c r="L143" s="82"/>
      <c r="M143" s="82"/>
      <c r="N143" s="82"/>
      <c r="O143" s="48"/>
      <c r="P143" s="48"/>
      <c r="Q143" s="54"/>
    </row>
    <row r="144" ht="15.75" customHeight="1">
      <c r="A144" s="14">
        <f t="shared" si="1"/>
        <v>143</v>
      </c>
      <c r="B144" s="16" t="s">
        <v>24</v>
      </c>
      <c r="C144" s="49">
        <v>34.0</v>
      </c>
      <c r="D144" s="17" t="s">
        <v>501</v>
      </c>
      <c r="E144" s="49" t="s">
        <v>604</v>
      </c>
      <c r="F144" s="21"/>
      <c r="G144" s="21"/>
      <c r="H144" s="21"/>
      <c r="I144" s="47"/>
      <c r="J144" s="79"/>
      <c r="K144" s="80"/>
      <c r="L144" s="82"/>
      <c r="M144" s="82"/>
      <c r="N144" s="82"/>
      <c r="O144" s="48"/>
      <c r="P144" s="48"/>
      <c r="Q144" s="54"/>
    </row>
    <row r="145" ht="15.75" customHeight="1">
      <c r="A145" s="14">
        <f t="shared" si="1"/>
        <v>144</v>
      </c>
      <c r="B145" s="16" t="s">
        <v>24</v>
      </c>
      <c r="C145" s="49">
        <v>34.0</v>
      </c>
      <c r="D145" s="17" t="s">
        <v>501</v>
      </c>
      <c r="E145" s="49" t="s">
        <v>608</v>
      </c>
      <c r="F145" s="21"/>
      <c r="G145" s="21"/>
      <c r="H145" s="21"/>
      <c r="I145" s="47"/>
      <c r="J145" s="79"/>
      <c r="K145" s="80"/>
      <c r="L145" s="82"/>
      <c r="M145" s="82"/>
      <c r="N145" s="82"/>
      <c r="O145" s="48"/>
      <c r="P145" s="48"/>
      <c r="Q145" s="54"/>
    </row>
    <row r="146" ht="15.75" customHeight="1">
      <c r="A146" s="14">
        <f t="shared" si="1"/>
        <v>145</v>
      </c>
      <c r="B146" s="16" t="s">
        <v>24</v>
      </c>
      <c r="C146" s="49">
        <v>34.0</v>
      </c>
      <c r="D146" s="17" t="s">
        <v>501</v>
      </c>
      <c r="E146" s="49" t="s">
        <v>611</v>
      </c>
      <c r="F146" s="21"/>
      <c r="G146" s="21"/>
      <c r="H146" s="21"/>
      <c r="I146" s="47"/>
      <c r="J146" s="79"/>
      <c r="K146" s="80"/>
      <c r="L146" s="82"/>
      <c r="M146" s="82"/>
      <c r="N146" s="82"/>
      <c r="O146" s="48"/>
      <c r="P146" s="48"/>
      <c r="Q146" s="54"/>
    </row>
    <row r="147" ht="15.75" customHeight="1">
      <c r="A147" s="14">
        <f t="shared" si="1"/>
        <v>146</v>
      </c>
      <c r="B147" s="16" t="s">
        <v>24</v>
      </c>
      <c r="C147" s="49">
        <v>34.0</v>
      </c>
      <c r="D147" s="17" t="s">
        <v>501</v>
      </c>
      <c r="E147" s="49" t="s">
        <v>616</v>
      </c>
      <c r="F147" s="21"/>
      <c r="G147" s="21"/>
      <c r="H147" s="21"/>
      <c r="I147" s="47"/>
      <c r="J147" s="79"/>
      <c r="K147" s="80"/>
      <c r="L147" s="82"/>
      <c r="M147" s="82"/>
      <c r="N147" s="82"/>
      <c r="O147" s="48"/>
      <c r="P147" s="48"/>
      <c r="Q147" s="54"/>
    </row>
    <row r="148" ht="15.75" customHeight="1">
      <c r="A148" s="14">
        <f t="shared" si="1"/>
        <v>147</v>
      </c>
      <c r="B148" s="16" t="s">
        <v>24</v>
      </c>
      <c r="C148" s="49">
        <v>34.0</v>
      </c>
      <c r="D148" s="17" t="s">
        <v>501</v>
      </c>
      <c r="E148" s="49" t="s">
        <v>619</v>
      </c>
      <c r="F148" s="21"/>
      <c r="G148" s="21"/>
      <c r="H148" s="21"/>
      <c r="I148" s="47"/>
      <c r="J148" s="79"/>
      <c r="K148" s="80"/>
      <c r="L148" s="82"/>
      <c r="M148" s="82"/>
      <c r="N148" s="82"/>
      <c r="O148" s="48"/>
      <c r="P148" s="48"/>
      <c r="Q148" s="54"/>
    </row>
    <row r="149" ht="15.75" customHeight="1">
      <c r="A149" s="14">
        <f t="shared" si="1"/>
        <v>148</v>
      </c>
      <c r="B149" s="16" t="s">
        <v>24</v>
      </c>
      <c r="C149" s="49">
        <v>34.0</v>
      </c>
      <c r="D149" s="17" t="s">
        <v>501</v>
      </c>
      <c r="E149" s="49" t="s">
        <v>622</v>
      </c>
      <c r="F149" s="21"/>
      <c r="G149" s="21"/>
      <c r="H149" s="21"/>
      <c r="I149" s="47"/>
      <c r="J149" s="79"/>
      <c r="K149" s="80"/>
      <c r="L149" s="82"/>
      <c r="M149" s="82"/>
      <c r="N149" s="82"/>
      <c r="O149" s="48"/>
      <c r="P149" s="48"/>
      <c r="Q149" s="54"/>
    </row>
    <row r="150" ht="15.75" customHeight="1">
      <c r="A150" s="14">
        <f t="shared" si="1"/>
        <v>149</v>
      </c>
      <c r="B150" s="16" t="s">
        <v>24</v>
      </c>
      <c r="C150" s="49">
        <v>34.0</v>
      </c>
      <c r="D150" s="17" t="s">
        <v>501</v>
      </c>
      <c r="E150" s="49" t="s">
        <v>624</v>
      </c>
      <c r="F150" s="21"/>
      <c r="G150" s="21"/>
      <c r="H150" s="21"/>
      <c r="I150" s="47"/>
      <c r="J150" s="79"/>
      <c r="K150" s="80"/>
      <c r="L150" s="82"/>
      <c r="M150" s="82"/>
      <c r="N150" s="82"/>
      <c r="O150" s="48"/>
      <c r="P150" s="48"/>
      <c r="Q150" s="54"/>
    </row>
    <row r="151" ht="15.75" customHeight="1">
      <c r="A151" s="14">
        <f t="shared" si="1"/>
        <v>150</v>
      </c>
      <c r="B151" s="16" t="s">
        <v>24</v>
      </c>
      <c r="C151" s="49">
        <v>34.0</v>
      </c>
      <c r="D151" s="17" t="s">
        <v>501</v>
      </c>
      <c r="E151" s="49" t="s">
        <v>629</v>
      </c>
      <c r="F151" s="21"/>
      <c r="G151" s="21"/>
      <c r="H151" s="21"/>
      <c r="I151" s="47"/>
      <c r="J151" s="79"/>
      <c r="K151" s="80"/>
      <c r="L151" s="82"/>
      <c r="M151" s="82"/>
      <c r="N151" s="82"/>
      <c r="O151" s="48"/>
      <c r="P151" s="48"/>
      <c r="Q151" s="54"/>
    </row>
    <row r="152" ht="15.75" customHeight="1">
      <c r="A152" s="14">
        <f t="shared" si="1"/>
        <v>151</v>
      </c>
      <c r="B152" s="16" t="s">
        <v>24</v>
      </c>
      <c r="C152" s="49">
        <v>44.0</v>
      </c>
      <c r="D152" s="17" t="s">
        <v>501</v>
      </c>
      <c r="E152" s="75" t="s">
        <v>634</v>
      </c>
      <c r="F152" s="21"/>
      <c r="G152" s="21"/>
      <c r="H152" s="21"/>
      <c r="I152" s="47"/>
      <c r="J152" s="79"/>
      <c r="K152" s="80"/>
      <c r="L152" s="82"/>
      <c r="M152" s="82"/>
      <c r="N152" s="82"/>
      <c r="O152" s="48"/>
      <c r="P152" s="48"/>
      <c r="Q152" s="54"/>
    </row>
    <row r="153" ht="15.75" customHeight="1">
      <c r="A153" s="14">
        <f t="shared" si="1"/>
        <v>152</v>
      </c>
      <c r="B153" s="16" t="s">
        <v>24</v>
      </c>
      <c r="C153" s="49">
        <v>44.0</v>
      </c>
      <c r="D153" s="17" t="s">
        <v>501</v>
      </c>
      <c r="E153" s="49" t="s">
        <v>638</v>
      </c>
      <c r="F153" s="21"/>
      <c r="G153" s="21"/>
      <c r="H153" s="21"/>
      <c r="I153" s="47"/>
      <c r="J153" s="79"/>
      <c r="K153" s="80"/>
      <c r="L153" s="82"/>
      <c r="M153" s="82"/>
      <c r="N153" s="82"/>
      <c r="O153" s="48"/>
      <c r="P153" s="48"/>
      <c r="Q153" s="54"/>
    </row>
    <row r="154" ht="15.75" customHeight="1">
      <c r="A154" s="14">
        <f t="shared" si="1"/>
        <v>153</v>
      </c>
      <c r="B154" s="16" t="s">
        <v>24</v>
      </c>
      <c r="C154" s="49">
        <v>44.0</v>
      </c>
      <c r="D154" s="17" t="s">
        <v>501</v>
      </c>
      <c r="E154" s="49" t="s">
        <v>641</v>
      </c>
      <c r="F154" s="21"/>
      <c r="G154" s="21"/>
      <c r="H154" s="21"/>
      <c r="I154" s="47"/>
      <c r="J154" s="79"/>
      <c r="K154" s="80"/>
      <c r="L154" s="82"/>
      <c r="M154" s="82"/>
      <c r="N154" s="82"/>
      <c r="O154" s="48"/>
      <c r="P154" s="48"/>
      <c r="Q154" s="54"/>
    </row>
    <row r="155" ht="15.75" customHeight="1">
      <c r="A155" s="14">
        <f t="shared" si="1"/>
        <v>154</v>
      </c>
      <c r="B155" s="16" t="s">
        <v>24</v>
      </c>
      <c r="C155" s="49">
        <v>44.0</v>
      </c>
      <c r="D155" s="17" t="s">
        <v>501</v>
      </c>
      <c r="E155" s="49" t="s">
        <v>645</v>
      </c>
      <c r="F155" s="21"/>
      <c r="G155" s="21"/>
      <c r="H155" s="21"/>
      <c r="I155" s="47"/>
      <c r="J155" s="79"/>
      <c r="K155" s="80"/>
      <c r="L155" s="82"/>
      <c r="M155" s="82"/>
      <c r="N155" s="82"/>
      <c r="O155" s="48"/>
      <c r="P155" s="48"/>
      <c r="Q155" s="54"/>
    </row>
    <row r="156" ht="15.75" customHeight="1">
      <c r="A156" s="14">
        <f t="shared" si="1"/>
        <v>155</v>
      </c>
      <c r="B156" s="16" t="s">
        <v>24</v>
      </c>
      <c r="C156" s="49">
        <v>44.0</v>
      </c>
      <c r="D156" s="17" t="s">
        <v>501</v>
      </c>
      <c r="E156" s="49" t="s">
        <v>649</v>
      </c>
      <c r="F156" s="21"/>
      <c r="G156" s="21"/>
      <c r="H156" s="21"/>
      <c r="I156" s="47"/>
      <c r="J156" s="79"/>
      <c r="K156" s="80"/>
      <c r="L156" s="82"/>
      <c r="M156" s="82"/>
      <c r="N156" s="82"/>
      <c r="O156" s="48"/>
      <c r="P156" s="48"/>
      <c r="Q156" s="54"/>
    </row>
    <row r="157" ht="15.75" customHeight="1">
      <c r="A157" s="14">
        <f t="shared" si="1"/>
        <v>156</v>
      </c>
      <c r="B157" s="16" t="s">
        <v>24</v>
      </c>
      <c r="C157" s="49">
        <v>44.0</v>
      </c>
      <c r="D157" s="17" t="s">
        <v>501</v>
      </c>
      <c r="E157" s="49" t="s">
        <v>652</v>
      </c>
      <c r="F157" s="21"/>
      <c r="G157" s="21"/>
      <c r="H157" s="21"/>
      <c r="I157" s="47"/>
      <c r="J157" s="79"/>
      <c r="K157" s="80"/>
      <c r="L157" s="82"/>
      <c r="M157" s="82"/>
      <c r="N157" s="82"/>
      <c r="O157" s="48"/>
      <c r="P157" s="48"/>
      <c r="Q157" s="54"/>
    </row>
    <row r="158" ht="15.75" customHeight="1">
      <c r="A158" s="14">
        <f t="shared" si="1"/>
        <v>157</v>
      </c>
      <c r="B158" s="16" t="s">
        <v>24</v>
      </c>
      <c r="C158" s="49">
        <v>44.0</v>
      </c>
      <c r="D158" s="17" t="s">
        <v>501</v>
      </c>
      <c r="E158" s="49" t="s">
        <v>655</v>
      </c>
      <c r="F158" s="21"/>
      <c r="G158" s="21"/>
      <c r="H158" s="21"/>
      <c r="I158" s="47"/>
      <c r="J158" s="79"/>
      <c r="K158" s="80"/>
      <c r="L158" s="82"/>
      <c r="M158" s="82"/>
      <c r="N158" s="82"/>
      <c r="O158" s="48"/>
      <c r="P158" s="48"/>
      <c r="Q158" s="54"/>
    </row>
    <row r="159" ht="15.75" customHeight="1">
      <c r="A159" s="14">
        <f t="shared" si="1"/>
        <v>158</v>
      </c>
      <c r="B159" s="16" t="s">
        <v>24</v>
      </c>
      <c r="C159" s="49">
        <v>44.0</v>
      </c>
      <c r="D159" s="17" t="s">
        <v>501</v>
      </c>
      <c r="E159" s="49" t="s">
        <v>657</v>
      </c>
      <c r="F159" s="21"/>
      <c r="G159" s="21"/>
      <c r="H159" s="21"/>
      <c r="I159" s="47"/>
      <c r="J159" s="79"/>
      <c r="K159" s="80"/>
      <c r="L159" s="82"/>
      <c r="M159" s="82"/>
      <c r="N159" s="82"/>
      <c r="O159" s="48"/>
      <c r="P159" s="48"/>
      <c r="Q159" s="54"/>
    </row>
    <row r="160" ht="15.75" customHeight="1">
      <c r="A160" s="14">
        <f t="shared" si="1"/>
        <v>159</v>
      </c>
      <c r="B160" s="16" t="s">
        <v>24</v>
      </c>
      <c r="C160" s="49">
        <v>44.0</v>
      </c>
      <c r="D160" s="17" t="s">
        <v>501</v>
      </c>
      <c r="E160" s="49" t="s">
        <v>663</v>
      </c>
      <c r="F160" s="21"/>
      <c r="G160" s="21"/>
      <c r="H160" s="21"/>
      <c r="I160" s="47"/>
      <c r="J160" s="79"/>
      <c r="K160" s="80"/>
      <c r="L160" s="82"/>
      <c r="M160" s="82"/>
      <c r="N160" s="82"/>
      <c r="O160" s="48"/>
      <c r="P160" s="48"/>
      <c r="Q160" s="54"/>
    </row>
    <row r="161" ht="15.75" customHeight="1">
      <c r="A161" s="14">
        <f t="shared" si="1"/>
        <v>160</v>
      </c>
      <c r="B161" s="16" t="s">
        <v>24</v>
      </c>
      <c r="C161" s="49">
        <v>44.0</v>
      </c>
      <c r="D161" s="17" t="s">
        <v>501</v>
      </c>
      <c r="E161" s="49" t="s">
        <v>665</v>
      </c>
      <c r="F161" s="21"/>
      <c r="G161" s="21"/>
      <c r="H161" s="21"/>
      <c r="I161" s="47"/>
      <c r="J161" s="79"/>
      <c r="K161" s="80"/>
      <c r="L161" s="82"/>
      <c r="M161" s="82"/>
      <c r="N161" s="82"/>
      <c r="O161" s="48"/>
      <c r="P161" s="48"/>
      <c r="Q161" s="54"/>
    </row>
    <row r="162" ht="15.75" customHeight="1">
      <c r="A162" s="14">
        <f t="shared" si="1"/>
        <v>161</v>
      </c>
      <c r="B162" s="16" t="s">
        <v>24</v>
      </c>
      <c r="C162" s="49">
        <v>44.0</v>
      </c>
      <c r="D162" s="17" t="s">
        <v>501</v>
      </c>
      <c r="E162" s="49" t="s">
        <v>669</v>
      </c>
      <c r="F162" s="21"/>
      <c r="G162" s="21"/>
      <c r="H162" s="21"/>
      <c r="I162" s="47"/>
      <c r="J162" s="79"/>
      <c r="K162" s="80"/>
      <c r="L162" s="82"/>
      <c r="M162" s="82"/>
      <c r="N162" s="82"/>
      <c r="O162" s="48"/>
      <c r="P162" s="48"/>
      <c r="Q162" s="54"/>
    </row>
    <row r="163" ht="15.75" customHeight="1">
      <c r="A163" s="14">
        <f t="shared" si="1"/>
        <v>162</v>
      </c>
      <c r="B163" s="16" t="s">
        <v>24</v>
      </c>
      <c r="C163" s="49">
        <v>44.0</v>
      </c>
      <c r="D163" s="17" t="s">
        <v>501</v>
      </c>
      <c r="E163" s="49" t="s">
        <v>671</v>
      </c>
      <c r="F163" s="21"/>
      <c r="G163" s="21"/>
      <c r="H163" s="21"/>
      <c r="I163" s="47"/>
      <c r="J163" s="79"/>
      <c r="K163" s="80"/>
      <c r="L163" s="82"/>
      <c r="M163" s="82"/>
      <c r="N163" s="82"/>
      <c r="O163" s="48"/>
      <c r="P163" s="48"/>
      <c r="Q163" s="54"/>
    </row>
    <row r="164" ht="15.75" customHeight="1">
      <c r="A164" s="14">
        <f t="shared" si="1"/>
        <v>163</v>
      </c>
      <c r="B164" s="16" t="s">
        <v>24</v>
      </c>
      <c r="C164" s="49">
        <v>44.0</v>
      </c>
      <c r="D164" s="17" t="s">
        <v>501</v>
      </c>
      <c r="E164" s="49" t="s">
        <v>673</v>
      </c>
      <c r="F164" s="21"/>
      <c r="G164" s="21"/>
      <c r="H164" s="21"/>
      <c r="I164" s="47"/>
      <c r="J164" s="79"/>
      <c r="K164" s="80"/>
      <c r="L164" s="82"/>
      <c r="M164" s="82"/>
      <c r="N164" s="82"/>
      <c r="O164" s="48"/>
      <c r="P164" s="48"/>
      <c r="Q164" s="54"/>
    </row>
    <row r="165" ht="15.75" customHeight="1">
      <c r="A165" s="14">
        <f t="shared" si="1"/>
        <v>164</v>
      </c>
      <c r="B165" s="16" t="s">
        <v>24</v>
      </c>
      <c r="C165" s="49">
        <v>44.0</v>
      </c>
      <c r="D165" s="17" t="s">
        <v>501</v>
      </c>
      <c r="E165" s="49" t="s">
        <v>676</v>
      </c>
      <c r="F165" s="21"/>
      <c r="G165" s="21"/>
      <c r="H165" s="21"/>
      <c r="I165" s="47"/>
      <c r="J165" s="79"/>
      <c r="K165" s="80"/>
      <c r="L165" s="82"/>
      <c r="M165" s="82"/>
      <c r="N165" s="82"/>
      <c r="O165" s="48"/>
      <c r="P165" s="48"/>
      <c r="Q165" s="54"/>
    </row>
    <row r="166" ht="15.75" customHeight="1">
      <c r="A166" s="14">
        <f t="shared" si="1"/>
        <v>165</v>
      </c>
      <c r="B166" s="16" t="s">
        <v>24</v>
      </c>
      <c r="C166" s="49">
        <v>44.0</v>
      </c>
      <c r="D166" s="17" t="s">
        <v>501</v>
      </c>
      <c r="E166" s="49" t="s">
        <v>678</v>
      </c>
      <c r="F166" s="21"/>
      <c r="G166" s="21"/>
      <c r="H166" s="21"/>
      <c r="I166" s="47"/>
      <c r="J166" s="79"/>
      <c r="K166" s="80"/>
      <c r="L166" s="82"/>
      <c r="M166" s="82"/>
      <c r="N166" s="82"/>
      <c r="O166" s="48"/>
      <c r="P166" s="48"/>
      <c r="Q166" s="54"/>
    </row>
    <row r="167" ht="15.75" customHeight="1">
      <c r="A167" s="14">
        <f t="shared" si="1"/>
        <v>166</v>
      </c>
      <c r="B167" s="16" t="s">
        <v>24</v>
      </c>
      <c r="C167" s="49">
        <v>44.0</v>
      </c>
      <c r="D167" s="17" t="s">
        <v>501</v>
      </c>
      <c r="E167" s="49" t="s">
        <v>681</v>
      </c>
      <c r="F167" s="21"/>
      <c r="G167" s="21"/>
      <c r="H167" s="21"/>
      <c r="I167" s="47"/>
      <c r="J167" s="79"/>
      <c r="K167" s="80"/>
      <c r="L167" s="82"/>
      <c r="M167" s="82"/>
      <c r="N167" s="82"/>
      <c r="O167" s="48"/>
      <c r="P167" s="48"/>
      <c r="Q167" s="54"/>
    </row>
    <row r="168" ht="15.75" customHeight="1">
      <c r="A168" s="14">
        <f t="shared" si="1"/>
        <v>167</v>
      </c>
      <c r="B168" s="16" t="s">
        <v>24</v>
      </c>
      <c r="C168" s="49">
        <v>44.0</v>
      </c>
      <c r="D168" s="17" t="s">
        <v>501</v>
      </c>
      <c r="E168" s="49" t="s">
        <v>683</v>
      </c>
      <c r="F168" s="21"/>
      <c r="G168" s="21"/>
      <c r="H168" s="21"/>
      <c r="I168" s="47"/>
      <c r="J168" s="79"/>
      <c r="K168" s="80"/>
      <c r="L168" s="82"/>
      <c r="M168" s="82"/>
      <c r="N168" s="82"/>
      <c r="O168" s="48"/>
      <c r="P168" s="48"/>
      <c r="Q168" s="54"/>
    </row>
    <row r="169" ht="15.75" customHeight="1">
      <c r="A169" s="14">
        <f t="shared" si="1"/>
        <v>168</v>
      </c>
      <c r="B169" s="16" t="s">
        <v>24</v>
      </c>
      <c r="C169" s="49">
        <v>44.0</v>
      </c>
      <c r="D169" s="17" t="s">
        <v>501</v>
      </c>
      <c r="E169" s="49" t="s">
        <v>684</v>
      </c>
      <c r="F169" s="21"/>
      <c r="G169" s="21"/>
      <c r="H169" s="21"/>
      <c r="I169" s="47"/>
      <c r="J169" s="79"/>
      <c r="K169" s="80"/>
      <c r="L169" s="82"/>
      <c r="M169" s="82"/>
      <c r="N169" s="82"/>
      <c r="O169" s="48"/>
      <c r="P169" s="48"/>
      <c r="Q169" s="54"/>
    </row>
    <row r="170" ht="15.75" customHeight="1">
      <c r="A170" s="14">
        <f t="shared" si="1"/>
        <v>169</v>
      </c>
      <c r="B170" s="16" t="s">
        <v>24</v>
      </c>
      <c r="C170" s="49">
        <v>44.0</v>
      </c>
      <c r="D170" s="17" t="s">
        <v>501</v>
      </c>
      <c r="E170" s="49" t="s">
        <v>686</v>
      </c>
      <c r="F170" s="21"/>
      <c r="G170" s="21"/>
      <c r="H170" s="21"/>
      <c r="I170" s="47"/>
      <c r="J170" s="79"/>
      <c r="K170" s="80"/>
      <c r="L170" s="82"/>
      <c r="M170" s="82"/>
      <c r="N170" s="82"/>
      <c r="O170" s="48"/>
      <c r="P170" s="48"/>
      <c r="Q170" s="54"/>
    </row>
    <row r="171" ht="15.75" customHeight="1">
      <c r="A171" s="14">
        <f t="shared" si="1"/>
        <v>170</v>
      </c>
      <c r="B171" s="16" t="s">
        <v>24</v>
      </c>
      <c r="C171" s="49">
        <v>44.0</v>
      </c>
      <c r="D171" s="17" t="s">
        <v>501</v>
      </c>
      <c r="E171" s="49" t="s">
        <v>689</v>
      </c>
      <c r="F171" s="21"/>
      <c r="G171" s="21"/>
      <c r="H171" s="21"/>
      <c r="I171" s="47"/>
      <c r="J171" s="79"/>
      <c r="K171" s="80"/>
      <c r="L171" s="82"/>
      <c r="M171" s="82"/>
      <c r="N171" s="82"/>
      <c r="O171" s="48"/>
      <c r="P171" s="48"/>
      <c r="Q171" s="54"/>
    </row>
    <row r="172" ht="15.75" customHeight="1">
      <c r="A172" s="14">
        <f t="shared" si="1"/>
        <v>171</v>
      </c>
      <c r="B172" s="16" t="s">
        <v>24</v>
      </c>
      <c r="C172" s="49">
        <v>44.0</v>
      </c>
      <c r="D172" s="17" t="s">
        <v>501</v>
      </c>
      <c r="E172" s="49" t="s">
        <v>691</v>
      </c>
      <c r="F172" s="21"/>
      <c r="G172" s="21"/>
      <c r="H172" s="21"/>
      <c r="I172" s="47"/>
      <c r="J172" s="79"/>
      <c r="K172" s="80"/>
      <c r="L172" s="82"/>
      <c r="M172" s="82"/>
      <c r="N172" s="82"/>
      <c r="O172" s="48"/>
      <c r="P172" s="48"/>
      <c r="Q172" s="54"/>
    </row>
    <row r="173" ht="15.75" customHeight="1">
      <c r="A173" s="14">
        <f t="shared" si="1"/>
        <v>172</v>
      </c>
      <c r="B173" s="16" t="s">
        <v>24</v>
      </c>
      <c r="C173" s="49">
        <v>44.0</v>
      </c>
      <c r="D173" s="17" t="s">
        <v>501</v>
      </c>
      <c r="E173" s="49" t="s">
        <v>693</v>
      </c>
      <c r="F173" s="21"/>
      <c r="G173" s="21"/>
      <c r="H173" s="21"/>
      <c r="I173" s="47"/>
      <c r="J173" s="79"/>
      <c r="K173" s="80"/>
      <c r="L173" s="82"/>
      <c r="M173" s="82"/>
      <c r="N173" s="82"/>
      <c r="O173" s="48"/>
      <c r="P173" s="48"/>
      <c r="Q173" s="54"/>
    </row>
    <row r="174" ht="15.75" customHeight="1">
      <c r="A174" s="14">
        <f t="shared" si="1"/>
        <v>173</v>
      </c>
      <c r="B174" s="16" t="s">
        <v>24</v>
      </c>
      <c r="C174" s="49">
        <v>44.0</v>
      </c>
      <c r="D174" s="17" t="s">
        <v>501</v>
      </c>
      <c r="E174" s="49" t="s">
        <v>695</v>
      </c>
      <c r="F174" s="21"/>
      <c r="G174" s="21"/>
      <c r="H174" s="21"/>
      <c r="I174" s="47"/>
      <c r="J174" s="79"/>
      <c r="K174" s="80"/>
      <c r="L174" s="82"/>
      <c r="M174" s="82"/>
      <c r="N174" s="82"/>
      <c r="O174" s="48"/>
      <c r="P174" s="48"/>
      <c r="Q174" s="54"/>
    </row>
    <row r="175" ht="15.75" customHeight="1">
      <c r="A175" s="14">
        <f t="shared" si="1"/>
        <v>174</v>
      </c>
      <c r="B175" s="16" t="s">
        <v>24</v>
      </c>
      <c r="C175" s="49">
        <v>44.0</v>
      </c>
      <c r="D175" s="17" t="s">
        <v>501</v>
      </c>
      <c r="E175" s="49" t="s">
        <v>698</v>
      </c>
      <c r="F175" s="21"/>
      <c r="G175" s="21"/>
      <c r="H175" s="21"/>
      <c r="I175" s="47"/>
      <c r="J175" s="79"/>
      <c r="K175" s="80"/>
      <c r="L175" s="82"/>
      <c r="M175" s="82"/>
      <c r="N175" s="82"/>
      <c r="O175" s="48"/>
      <c r="P175" s="48"/>
      <c r="Q175" s="54"/>
    </row>
    <row r="176" ht="15.75" customHeight="1">
      <c r="A176" s="14">
        <f t="shared" si="1"/>
        <v>175</v>
      </c>
      <c r="B176" s="16" t="s">
        <v>24</v>
      </c>
      <c r="C176" s="49">
        <v>44.0</v>
      </c>
      <c r="D176" s="17" t="s">
        <v>501</v>
      </c>
      <c r="E176" s="49" t="s">
        <v>701</v>
      </c>
      <c r="F176" s="21"/>
      <c r="G176" s="21"/>
      <c r="H176" s="21"/>
      <c r="I176" s="47"/>
      <c r="J176" s="79"/>
      <c r="K176" s="80"/>
      <c r="L176" s="82"/>
      <c r="M176" s="82"/>
      <c r="N176" s="82"/>
      <c r="O176" s="48"/>
      <c r="P176" s="48"/>
      <c r="Q176" s="54"/>
    </row>
    <row r="177" ht="15.75" customHeight="1">
      <c r="A177" s="14">
        <f t="shared" si="1"/>
        <v>176</v>
      </c>
      <c r="B177" s="16" t="s">
        <v>24</v>
      </c>
      <c r="C177" s="49">
        <v>44.0</v>
      </c>
      <c r="D177" s="17" t="s">
        <v>501</v>
      </c>
      <c r="E177" s="49" t="s">
        <v>703</v>
      </c>
      <c r="F177" s="21"/>
      <c r="G177" s="21"/>
      <c r="H177" s="21"/>
      <c r="I177" s="47"/>
      <c r="J177" s="79"/>
      <c r="K177" s="80"/>
      <c r="L177" s="82"/>
      <c r="M177" s="82"/>
      <c r="N177" s="82"/>
      <c r="O177" s="48"/>
      <c r="P177" s="48"/>
      <c r="Q177" s="54"/>
    </row>
    <row r="178" ht="15.75" customHeight="1">
      <c r="A178" s="14">
        <f t="shared" si="1"/>
        <v>177</v>
      </c>
      <c r="B178" s="16" t="s">
        <v>24</v>
      </c>
      <c r="C178" s="49">
        <v>44.0</v>
      </c>
      <c r="D178" s="17" t="s">
        <v>501</v>
      </c>
      <c r="E178" s="49" t="s">
        <v>705</v>
      </c>
      <c r="F178" s="21"/>
      <c r="G178" s="21"/>
      <c r="H178" s="21"/>
      <c r="I178" s="47"/>
      <c r="J178" s="79"/>
      <c r="K178" s="80"/>
      <c r="L178" s="82"/>
      <c r="M178" s="82"/>
      <c r="N178" s="82"/>
      <c r="O178" s="48"/>
      <c r="P178" s="48"/>
      <c r="Q178" s="54"/>
    </row>
    <row r="179" ht="15.75" customHeight="1">
      <c r="A179" s="14">
        <f t="shared" si="1"/>
        <v>178</v>
      </c>
      <c r="B179" s="16" t="s">
        <v>24</v>
      </c>
      <c r="C179" s="49">
        <v>44.0</v>
      </c>
      <c r="D179" s="17" t="s">
        <v>501</v>
      </c>
      <c r="E179" s="49" t="s">
        <v>707</v>
      </c>
      <c r="F179" s="21"/>
      <c r="G179" s="21"/>
      <c r="H179" s="21"/>
      <c r="I179" s="47"/>
      <c r="J179" s="79"/>
      <c r="K179" s="80"/>
      <c r="L179" s="82"/>
      <c r="M179" s="82"/>
      <c r="N179" s="82"/>
      <c r="O179" s="48"/>
      <c r="P179" s="48"/>
      <c r="Q179" s="54"/>
    </row>
    <row r="180" ht="15.75" customHeight="1">
      <c r="A180" s="14">
        <f t="shared" si="1"/>
        <v>179</v>
      </c>
      <c r="B180" s="16" t="s">
        <v>24</v>
      </c>
      <c r="C180" s="49">
        <v>44.0</v>
      </c>
      <c r="D180" s="17" t="s">
        <v>501</v>
      </c>
      <c r="E180" s="49" t="s">
        <v>710</v>
      </c>
      <c r="F180" s="21"/>
      <c r="G180" s="21"/>
      <c r="H180" s="21"/>
      <c r="I180" s="47"/>
      <c r="J180" s="79"/>
      <c r="K180" s="80"/>
      <c r="L180" s="82"/>
      <c r="M180" s="82"/>
      <c r="N180" s="82"/>
      <c r="O180" s="48"/>
      <c r="P180" s="48"/>
      <c r="Q180" s="54"/>
    </row>
    <row r="181" ht="15.75" customHeight="1">
      <c r="A181" s="14">
        <f t="shared" si="1"/>
        <v>180</v>
      </c>
      <c r="B181" s="16" t="s">
        <v>24</v>
      </c>
      <c r="C181" s="49">
        <v>44.0</v>
      </c>
      <c r="D181" s="17" t="s">
        <v>501</v>
      </c>
      <c r="E181" s="49" t="s">
        <v>712</v>
      </c>
      <c r="F181" s="21"/>
      <c r="G181" s="21"/>
      <c r="H181" s="21"/>
      <c r="I181" s="47"/>
      <c r="J181" s="79"/>
      <c r="K181" s="80"/>
      <c r="L181" s="82"/>
      <c r="M181" s="82"/>
      <c r="N181" s="82"/>
      <c r="O181" s="48"/>
      <c r="P181" s="48"/>
      <c r="Q181" s="54"/>
    </row>
    <row r="182" ht="15.75" customHeight="1">
      <c r="A182" s="14">
        <f t="shared" si="1"/>
        <v>181</v>
      </c>
      <c r="B182" s="16" t="s">
        <v>24</v>
      </c>
      <c r="C182" s="49">
        <v>44.0</v>
      </c>
      <c r="D182" s="17" t="s">
        <v>501</v>
      </c>
      <c r="E182" s="49" t="s">
        <v>713</v>
      </c>
      <c r="F182" s="21"/>
      <c r="G182" s="21"/>
      <c r="H182" s="21"/>
      <c r="I182" s="47"/>
      <c r="J182" s="79"/>
      <c r="K182" s="80"/>
      <c r="L182" s="82"/>
      <c r="M182" s="82"/>
      <c r="N182" s="82"/>
      <c r="O182" s="48"/>
      <c r="P182" s="48"/>
      <c r="Q182" s="54"/>
    </row>
    <row r="183" ht="15.75" customHeight="1">
      <c r="A183" s="14">
        <f t="shared" si="1"/>
        <v>182</v>
      </c>
      <c r="B183" s="16" t="s">
        <v>24</v>
      </c>
      <c r="C183" s="49">
        <v>44.0</v>
      </c>
      <c r="D183" s="17" t="s">
        <v>501</v>
      </c>
      <c r="E183" s="49" t="s">
        <v>715</v>
      </c>
      <c r="F183" s="21"/>
      <c r="G183" s="21"/>
      <c r="H183" s="21"/>
      <c r="I183" s="47"/>
      <c r="J183" s="79"/>
      <c r="K183" s="80"/>
      <c r="L183" s="82"/>
      <c r="M183" s="82"/>
      <c r="N183" s="82"/>
      <c r="O183" s="48"/>
      <c r="P183" s="48"/>
      <c r="Q183" s="54"/>
    </row>
    <row r="184" ht="15.75" customHeight="1">
      <c r="A184" s="14">
        <f t="shared" si="1"/>
        <v>183</v>
      </c>
      <c r="B184" s="16" t="s">
        <v>24</v>
      </c>
      <c r="C184" s="49">
        <v>44.0</v>
      </c>
      <c r="D184" s="17" t="s">
        <v>501</v>
      </c>
      <c r="E184" s="49" t="s">
        <v>718</v>
      </c>
      <c r="F184" s="21"/>
      <c r="G184" s="21"/>
      <c r="H184" s="21"/>
      <c r="I184" s="47"/>
      <c r="J184" s="79"/>
      <c r="K184" s="80"/>
      <c r="L184" s="82"/>
      <c r="M184" s="82"/>
      <c r="N184" s="82"/>
      <c r="O184" s="48"/>
      <c r="P184" s="48"/>
      <c r="Q184" s="54"/>
    </row>
    <row r="185" ht="15.75" customHeight="1">
      <c r="A185" s="14">
        <f t="shared" si="1"/>
        <v>184</v>
      </c>
      <c r="B185" s="16" t="s">
        <v>24</v>
      </c>
      <c r="C185" s="49">
        <v>44.0</v>
      </c>
      <c r="D185" s="17" t="s">
        <v>501</v>
      </c>
      <c r="E185" s="49" t="s">
        <v>721</v>
      </c>
      <c r="F185" s="21"/>
      <c r="G185" s="21"/>
      <c r="H185" s="21"/>
      <c r="I185" s="47"/>
      <c r="J185" s="79"/>
      <c r="K185" s="80"/>
      <c r="L185" s="82"/>
      <c r="M185" s="82"/>
      <c r="N185" s="82"/>
      <c r="O185" s="48"/>
      <c r="P185" s="48"/>
      <c r="Q185" s="54"/>
    </row>
    <row r="186" ht="15.75" customHeight="1">
      <c r="A186" s="14">
        <f t="shared" si="1"/>
        <v>185</v>
      </c>
      <c r="B186" s="16" t="s">
        <v>24</v>
      </c>
      <c r="C186" s="49">
        <v>44.0</v>
      </c>
      <c r="D186" s="17" t="s">
        <v>501</v>
      </c>
      <c r="E186" s="49" t="s">
        <v>724</v>
      </c>
      <c r="F186" s="21"/>
      <c r="G186" s="21"/>
      <c r="H186" s="21"/>
      <c r="I186" s="47"/>
      <c r="J186" s="79"/>
      <c r="K186" s="80"/>
      <c r="L186" s="82"/>
      <c r="M186" s="82"/>
      <c r="N186" s="82"/>
      <c r="O186" s="48"/>
      <c r="P186" s="48"/>
      <c r="Q186" s="54"/>
    </row>
    <row r="187" ht="15.75" customHeight="1">
      <c r="A187" s="14">
        <f t="shared" si="1"/>
        <v>186</v>
      </c>
      <c r="B187" s="16" t="s">
        <v>24</v>
      </c>
      <c r="C187" s="49">
        <v>44.0</v>
      </c>
      <c r="D187" s="17" t="s">
        <v>501</v>
      </c>
      <c r="E187" s="49" t="s">
        <v>729</v>
      </c>
      <c r="F187" s="21"/>
      <c r="G187" s="21"/>
      <c r="H187" s="21"/>
      <c r="I187" s="47"/>
      <c r="J187" s="79"/>
      <c r="K187" s="80"/>
      <c r="L187" s="82"/>
      <c r="M187" s="82"/>
      <c r="N187" s="82"/>
      <c r="O187" s="48"/>
      <c r="P187" s="48"/>
      <c r="Q187" s="54"/>
    </row>
    <row r="188" ht="15.75" customHeight="1">
      <c r="A188" s="14">
        <f t="shared" si="1"/>
        <v>187</v>
      </c>
      <c r="B188" s="16" t="s">
        <v>24</v>
      </c>
      <c r="C188" s="49">
        <v>44.0</v>
      </c>
      <c r="D188" s="17" t="s">
        <v>501</v>
      </c>
      <c r="E188" s="49" t="s">
        <v>732</v>
      </c>
      <c r="F188" s="21"/>
      <c r="G188" s="21"/>
      <c r="H188" s="21"/>
      <c r="I188" s="47"/>
      <c r="J188" s="79"/>
      <c r="K188" s="80"/>
      <c r="L188" s="82"/>
      <c r="M188" s="82"/>
      <c r="N188" s="82"/>
      <c r="O188" s="48"/>
      <c r="P188" s="48"/>
      <c r="Q188" s="54"/>
    </row>
    <row r="189" ht="15.75" customHeight="1">
      <c r="A189" s="14">
        <f t="shared" si="1"/>
        <v>188</v>
      </c>
      <c r="B189" s="16" t="s">
        <v>24</v>
      </c>
      <c r="C189" s="49">
        <v>44.0</v>
      </c>
      <c r="D189" s="17" t="s">
        <v>501</v>
      </c>
      <c r="E189" s="49" t="s">
        <v>734</v>
      </c>
      <c r="F189" s="21"/>
      <c r="G189" s="21"/>
      <c r="H189" s="21"/>
      <c r="I189" s="47"/>
      <c r="J189" s="79"/>
      <c r="K189" s="80"/>
      <c r="L189" s="82"/>
      <c r="M189" s="82"/>
      <c r="N189" s="82"/>
      <c r="O189" s="48"/>
      <c r="P189" s="48"/>
      <c r="Q189" s="54"/>
    </row>
    <row r="190" ht="15.75" customHeight="1">
      <c r="A190" s="14">
        <f t="shared" si="1"/>
        <v>189</v>
      </c>
      <c r="B190" s="16" t="s">
        <v>24</v>
      </c>
      <c r="C190" s="49">
        <v>44.0</v>
      </c>
      <c r="D190" s="17" t="s">
        <v>501</v>
      </c>
      <c r="E190" s="49" t="s">
        <v>736</v>
      </c>
      <c r="F190" s="21"/>
      <c r="G190" s="21"/>
      <c r="H190" s="21"/>
      <c r="I190" s="47"/>
      <c r="J190" s="79"/>
      <c r="K190" s="80"/>
      <c r="L190" s="82"/>
      <c r="M190" s="82"/>
      <c r="N190" s="82"/>
      <c r="O190" s="48"/>
      <c r="P190" s="48"/>
      <c r="Q190" s="54"/>
    </row>
    <row r="191" ht="15.75" customHeight="1">
      <c r="A191" s="14">
        <f t="shared" si="1"/>
        <v>190</v>
      </c>
      <c r="B191" s="16" t="s">
        <v>24</v>
      </c>
      <c r="C191" s="49">
        <v>44.0</v>
      </c>
      <c r="D191" s="17" t="s">
        <v>501</v>
      </c>
      <c r="E191" s="49" t="s">
        <v>738</v>
      </c>
      <c r="F191" s="21"/>
      <c r="G191" s="21"/>
      <c r="H191" s="21"/>
      <c r="I191" s="47"/>
      <c r="J191" s="79"/>
      <c r="K191" s="80"/>
      <c r="L191" s="82"/>
      <c r="M191" s="82"/>
      <c r="N191" s="82"/>
      <c r="O191" s="48"/>
      <c r="P191" s="48"/>
      <c r="Q191" s="54"/>
    </row>
    <row r="192" ht="15.75" customHeight="1">
      <c r="A192" s="14">
        <f t="shared" si="1"/>
        <v>191</v>
      </c>
      <c r="B192" s="16" t="s">
        <v>24</v>
      </c>
      <c r="C192" s="49">
        <v>44.0</v>
      </c>
      <c r="D192" s="17" t="s">
        <v>501</v>
      </c>
      <c r="E192" s="49" t="s">
        <v>740</v>
      </c>
      <c r="F192" s="21"/>
      <c r="G192" s="21"/>
      <c r="H192" s="21"/>
      <c r="I192" s="47"/>
      <c r="J192" s="79"/>
      <c r="K192" s="80"/>
      <c r="L192" s="82"/>
      <c r="M192" s="82"/>
      <c r="N192" s="82"/>
      <c r="O192" s="48"/>
      <c r="P192" s="48"/>
      <c r="Q192" s="54"/>
    </row>
    <row r="193" ht="15.75" customHeight="1">
      <c r="A193" s="14">
        <f t="shared" si="1"/>
        <v>192</v>
      </c>
      <c r="B193" s="16" t="s">
        <v>24</v>
      </c>
      <c r="C193" s="49">
        <v>44.0</v>
      </c>
      <c r="D193" s="17" t="s">
        <v>501</v>
      </c>
      <c r="E193" s="49" t="s">
        <v>743</v>
      </c>
      <c r="F193" s="21"/>
      <c r="G193" s="21"/>
      <c r="H193" s="21"/>
      <c r="I193" s="47"/>
      <c r="J193" s="79"/>
      <c r="K193" s="80"/>
      <c r="L193" s="82"/>
      <c r="M193" s="82"/>
      <c r="N193" s="82"/>
      <c r="O193" s="48"/>
      <c r="P193" s="48"/>
      <c r="Q193" s="54"/>
    </row>
    <row r="194" ht="15.75" customHeight="1">
      <c r="A194" s="14">
        <f t="shared" si="1"/>
        <v>193</v>
      </c>
      <c r="B194" s="16" t="s">
        <v>24</v>
      </c>
      <c r="C194" s="49">
        <v>44.0</v>
      </c>
      <c r="D194" s="17" t="s">
        <v>501</v>
      </c>
      <c r="E194" s="49" t="s">
        <v>745</v>
      </c>
      <c r="F194" s="21"/>
      <c r="G194" s="21"/>
      <c r="H194" s="21"/>
      <c r="I194" s="47"/>
      <c r="J194" s="79"/>
      <c r="K194" s="80"/>
      <c r="L194" s="82"/>
      <c r="M194" s="82"/>
      <c r="N194" s="82"/>
      <c r="O194" s="48"/>
      <c r="P194" s="48"/>
      <c r="Q194" s="54"/>
    </row>
    <row r="195" ht="15.75" customHeight="1">
      <c r="A195" s="14">
        <f t="shared" si="1"/>
        <v>194</v>
      </c>
      <c r="B195" s="16" t="s">
        <v>24</v>
      </c>
      <c r="C195" s="49">
        <v>44.0</v>
      </c>
      <c r="D195" s="17" t="s">
        <v>501</v>
      </c>
      <c r="E195" s="49" t="s">
        <v>747</v>
      </c>
      <c r="F195" s="21"/>
      <c r="G195" s="21"/>
      <c r="H195" s="21"/>
      <c r="I195" s="47"/>
      <c r="J195" s="79"/>
      <c r="K195" s="80"/>
      <c r="L195" s="82"/>
      <c r="M195" s="82"/>
      <c r="N195" s="82"/>
      <c r="O195" s="48"/>
      <c r="P195" s="48"/>
      <c r="Q195" s="54"/>
    </row>
    <row r="196" ht="15.75" customHeight="1">
      <c r="A196" s="14">
        <f t="shared" si="1"/>
        <v>195</v>
      </c>
      <c r="B196" s="16" t="s">
        <v>24</v>
      </c>
      <c r="C196" s="49">
        <v>44.0</v>
      </c>
      <c r="D196" s="17" t="s">
        <v>501</v>
      </c>
      <c r="E196" s="49" t="s">
        <v>749</v>
      </c>
      <c r="F196" s="21"/>
      <c r="G196" s="21"/>
      <c r="H196" s="21"/>
      <c r="I196" s="47"/>
      <c r="J196" s="79"/>
      <c r="K196" s="80"/>
      <c r="L196" s="82"/>
      <c r="M196" s="82"/>
      <c r="N196" s="82"/>
      <c r="O196" s="48"/>
      <c r="P196" s="48"/>
      <c r="Q196" s="54"/>
    </row>
    <row r="197" ht="15.75" customHeight="1">
      <c r="A197" s="14">
        <f t="shared" si="1"/>
        <v>196</v>
      </c>
      <c r="B197" s="16" t="s">
        <v>24</v>
      </c>
      <c r="C197" s="49">
        <v>44.0</v>
      </c>
      <c r="D197" s="17" t="s">
        <v>501</v>
      </c>
      <c r="E197" s="49" t="s">
        <v>752</v>
      </c>
      <c r="F197" s="21"/>
      <c r="G197" s="21"/>
      <c r="H197" s="21"/>
      <c r="I197" s="47"/>
      <c r="J197" s="79"/>
      <c r="K197" s="80"/>
      <c r="L197" s="82"/>
      <c r="M197" s="82"/>
      <c r="N197" s="82"/>
      <c r="O197" s="48"/>
      <c r="P197" s="48"/>
      <c r="Q197" s="54"/>
    </row>
    <row r="198" ht="15.75" customHeight="1">
      <c r="A198" s="14">
        <f t="shared" si="1"/>
        <v>197</v>
      </c>
      <c r="B198" s="16" t="s">
        <v>24</v>
      </c>
      <c r="C198" s="49">
        <v>44.0</v>
      </c>
      <c r="D198" s="17" t="s">
        <v>501</v>
      </c>
      <c r="E198" s="49" t="s">
        <v>754</v>
      </c>
      <c r="F198" s="21"/>
      <c r="G198" s="21"/>
      <c r="H198" s="21"/>
      <c r="I198" s="47"/>
      <c r="J198" s="79"/>
      <c r="K198" s="80"/>
      <c r="L198" s="82"/>
      <c r="M198" s="82"/>
      <c r="N198" s="82"/>
      <c r="O198" s="48"/>
      <c r="P198" s="48"/>
      <c r="Q198" s="54"/>
    </row>
    <row r="199" ht="15.75" customHeight="1">
      <c r="A199" s="14">
        <f t="shared" si="1"/>
        <v>198</v>
      </c>
      <c r="B199" s="16" t="s">
        <v>24</v>
      </c>
      <c r="C199" s="49">
        <v>44.0</v>
      </c>
      <c r="D199" s="17" t="s">
        <v>501</v>
      </c>
      <c r="E199" s="49" t="s">
        <v>756</v>
      </c>
      <c r="F199" s="21"/>
      <c r="G199" s="21"/>
      <c r="H199" s="21"/>
      <c r="I199" s="47"/>
      <c r="J199" s="79"/>
      <c r="K199" s="80"/>
      <c r="L199" s="82"/>
      <c r="M199" s="82"/>
      <c r="N199" s="82"/>
      <c r="O199" s="48"/>
      <c r="P199" s="48"/>
      <c r="Q199" s="54"/>
    </row>
    <row r="200" ht="15.75" customHeight="1">
      <c r="A200" s="14">
        <f t="shared" si="1"/>
        <v>199</v>
      </c>
      <c r="B200" s="16" t="s">
        <v>24</v>
      </c>
      <c r="C200" s="49">
        <v>44.0</v>
      </c>
      <c r="D200" s="17" t="s">
        <v>501</v>
      </c>
      <c r="E200" s="49" t="s">
        <v>758</v>
      </c>
      <c r="F200" s="21"/>
      <c r="G200" s="21"/>
      <c r="H200" s="21"/>
      <c r="I200" s="47"/>
      <c r="J200" s="79"/>
      <c r="K200" s="80"/>
      <c r="L200" s="82"/>
      <c r="M200" s="82"/>
      <c r="N200" s="82"/>
      <c r="O200" s="48"/>
      <c r="P200" s="48"/>
      <c r="Q200" s="54"/>
    </row>
    <row r="201" ht="15.75" customHeight="1">
      <c r="A201" s="14">
        <f t="shared" si="1"/>
        <v>200</v>
      </c>
      <c r="B201" s="16" t="s">
        <v>24</v>
      </c>
      <c r="C201" s="49">
        <v>44.0</v>
      </c>
      <c r="D201" s="17" t="s">
        <v>501</v>
      </c>
      <c r="E201" s="49" t="s">
        <v>760</v>
      </c>
      <c r="F201" s="21"/>
      <c r="G201" s="21"/>
      <c r="H201" s="21"/>
      <c r="I201" s="47"/>
      <c r="J201" s="79"/>
      <c r="K201" s="80"/>
      <c r="L201" s="82"/>
      <c r="M201" s="82"/>
      <c r="N201" s="82"/>
      <c r="O201" s="48"/>
      <c r="P201" s="48"/>
      <c r="Q201" s="54"/>
    </row>
    <row r="202" ht="15.75" customHeight="1">
      <c r="A202" s="14" t="str">
        <f t="shared" si="1"/>
        <v/>
      </c>
      <c r="B202" s="16" t="s">
        <v>24</v>
      </c>
      <c r="C202" s="79"/>
      <c r="D202" s="79"/>
      <c r="E202" s="49"/>
      <c r="F202" s="21"/>
      <c r="G202" s="21"/>
      <c r="H202" s="21"/>
      <c r="I202" s="47"/>
      <c r="J202" s="79"/>
      <c r="K202" s="80"/>
      <c r="L202" s="82"/>
      <c r="M202" s="82"/>
      <c r="N202" s="82"/>
      <c r="O202" s="48"/>
      <c r="P202" s="48"/>
      <c r="Q202" s="54"/>
    </row>
    <row r="203" ht="15.75" customHeight="1">
      <c r="A203" s="14" t="str">
        <f t="shared" si="1"/>
        <v/>
      </c>
      <c r="B203" s="16" t="s">
        <v>24</v>
      </c>
      <c r="C203" s="79"/>
      <c r="D203" s="79"/>
      <c r="E203" s="49"/>
      <c r="F203" s="21"/>
      <c r="G203" s="21"/>
      <c r="H203" s="21"/>
      <c r="I203" s="47"/>
      <c r="J203" s="79"/>
      <c r="K203" s="80"/>
      <c r="L203" s="82"/>
      <c r="M203" s="82"/>
      <c r="N203" s="82"/>
      <c r="O203" s="48"/>
      <c r="P203" s="48"/>
      <c r="Q203" s="54"/>
    </row>
    <row r="204" ht="15.75" customHeight="1">
      <c r="A204" s="14" t="str">
        <f t="shared" si="1"/>
        <v/>
      </c>
      <c r="B204" s="16" t="s">
        <v>24</v>
      </c>
      <c r="C204" s="79"/>
      <c r="D204" s="79"/>
      <c r="E204" s="49"/>
      <c r="F204" s="21"/>
      <c r="G204" s="21"/>
      <c r="H204" s="21"/>
      <c r="I204" s="47"/>
      <c r="J204" s="79"/>
      <c r="K204" s="80"/>
      <c r="L204" s="82"/>
      <c r="M204" s="82"/>
      <c r="N204" s="82"/>
      <c r="O204" s="48"/>
      <c r="P204" s="48"/>
      <c r="Q204" s="54"/>
    </row>
    <row r="205" ht="15.75" customHeight="1">
      <c r="A205" s="14" t="str">
        <f t="shared" si="1"/>
        <v/>
      </c>
      <c r="B205" s="16" t="s">
        <v>24</v>
      </c>
      <c r="C205" s="79"/>
      <c r="D205" s="79"/>
      <c r="E205" s="49"/>
      <c r="F205" s="21"/>
      <c r="G205" s="21"/>
      <c r="H205" s="21"/>
      <c r="I205" s="47"/>
      <c r="J205" s="79"/>
      <c r="K205" s="80"/>
      <c r="L205" s="82"/>
      <c r="M205" s="82"/>
      <c r="N205" s="82"/>
      <c r="O205" s="48"/>
      <c r="P205" s="48"/>
      <c r="Q205" s="54"/>
    </row>
    <row r="206" ht="15.75" customHeight="1">
      <c r="A206" s="14" t="str">
        <f t="shared" si="1"/>
        <v/>
      </c>
      <c r="B206" s="16" t="s">
        <v>24</v>
      </c>
      <c r="C206" s="79"/>
      <c r="D206" s="79"/>
      <c r="E206" s="49"/>
      <c r="F206" s="21"/>
      <c r="G206" s="21"/>
      <c r="H206" s="21"/>
      <c r="I206" s="47"/>
      <c r="J206" s="79"/>
      <c r="K206" s="80"/>
      <c r="L206" s="82"/>
      <c r="M206" s="82"/>
      <c r="N206" s="82"/>
      <c r="O206" s="48"/>
      <c r="P206" s="48"/>
      <c r="Q206" s="54"/>
    </row>
    <row r="207" ht="15.75" customHeight="1">
      <c r="A207" s="14" t="str">
        <f t="shared" si="1"/>
        <v/>
      </c>
      <c r="B207" s="16" t="s">
        <v>24</v>
      </c>
      <c r="C207" s="79"/>
      <c r="D207" s="79"/>
      <c r="E207" s="49"/>
      <c r="F207" s="21"/>
      <c r="G207" s="21"/>
      <c r="H207" s="21"/>
      <c r="I207" s="47"/>
      <c r="J207" s="79"/>
      <c r="K207" s="80"/>
      <c r="L207" s="82"/>
      <c r="M207" s="82"/>
      <c r="N207" s="82"/>
      <c r="O207" s="48"/>
      <c r="P207" s="48"/>
      <c r="Q207" s="54"/>
    </row>
    <row r="208" ht="15.75" customHeight="1">
      <c r="A208" s="14" t="str">
        <f t="shared" si="1"/>
        <v/>
      </c>
      <c r="B208" s="16" t="s">
        <v>24</v>
      </c>
      <c r="C208" s="79"/>
      <c r="D208" s="79"/>
      <c r="E208" s="49"/>
      <c r="F208" s="21"/>
      <c r="G208" s="21"/>
      <c r="H208" s="21"/>
      <c r="I208" s="47"/>
      <c r="J208" s="79"/>
      <c r="K208" s="80"/>
      <c r="L208" s="82"/>
      <c r="M208" s="82"/>
      <c r="N208" s="82"/>
      <c r="O208" s="48"/>
      <c r="P208" s="48"/>
      <c r="Q208" s="54"/>
    </row>
    <row r="209" ht="15.75" customHeight="1">
      <c r="A209" s="14" t="str">
        <f t="shared" si="1"/>
        <v/>
      </c>
      <c r="B209" s="16" t="s">
        <v>24</v>
      </c>
      <c r="C209" s="79"/>
      <c r="D209" s="79"/>
      <c r="E209" s="49"/>
      <c r="F209" s="21"/>
      <c r="G209" s="21"/>
      <c r="H209" s="21"/>
      <c r="I209" s="47"/>
      <c r="J209" s="79"/>
      <c r="K209" s="80"/>
      <c r="L209" s="82"/>
      <c r="M209" s="82"/>
      <c r="N209" s="82"/>
      <c r="O209" s="48"/>
      <c r="P209" s="48"/>
      <c r="Q209" s="54"/>
    </row>
    <row r="210" ht="15.75" customHeight="1">
      <c r="A210" s="14" t="str">
        <f t="shared" si="1"/>
        <v/>
      </c>
      <c r="B210" s="16" t="s">
        <v>24</v>
      </c>
      <c r="C210" s="79"/>
      <c r="D210" s="79"/>
      <c r="E210" s="49"/>
      <c r="F210" s="21"/>
      <c r="G210" s="21"/>
      <c r="H210" s="21"/>
      <c r="I210" s="47"/>
      <c r="J210" s="79"/>
      <c r="K210" s="80"/>
      <c r="L210" s="82"/>
      <c r="M210" s="82"/>
      <c r="N210" s="82"/>
      <c r="O210" s="48"/>
      <c r="P210" s="48"/>
      <c r="Q210" s="54"/>
    </row>
    <row r="211" ht="15.75" customHeight="1">
      <c r="A211" s="14" t="str">
        <f t="shared" si="1"/>
        <v/>
      </c>
      <c r="B211" s="16" t="s">
        <v>24</v>
      </c>
      <c r="C211" s="79"/>
      <c r="D211" s="79"/>
      <c r="E211" s="49"/>
      <c r="F211" s="21"/>
      <c r="G211" s="21"/>
      <c r="H211" s="21"/>
      <c r="I211" s="47"/>
      <c r="J211" s="79"/>
      <c r="K211" s="80"/>
      <c r="L211" s="82"/>
      <c r="M211" s="82"/>
      <c r="N211" s="82"/>
      <c r="O211" s="48"/>
      <c r="P211" s="48"/>
      <c r="Q211" s="54"/>
    </row>
    <row r="212" ht="15.75" customHeight="1">
      <c r="A212" s="14" t="str">
        <f t="shared" si="1"/>
        <v/>
      </c>
      <c r="B212" s="16" t="s">
        <v>24</v>
      </c>
      <c r="C212" s="79"/>
      <c r="D212" s="79"/>
      <c r="E212" s="49"/>
      <c r="F212" s="21"/>
      <c r="G212" s="21"/>
      <c r="H212" s="21"/>
      <c r="I212" s="47"/>
      <c r="J212" s="79"/>
      <c r="K212" s="80"/>
      <c r="L212" s="82"/>
      <c r="M212" s="82"/>
      <c r="N212" s="82"/>
      <c r="O212" s="48"/>
      <c r="P212" s="48"/>
      <c r="Q212" s="54"/>
    </row>
    <row r="213" ht="15.75" customHeight="1">
      <c r="A213" s="14" t="str">
        <f t="shared" si="1"/>
        <v/>
      </c>
      <c r="B213" s="16" t="s">
        <v>24</v>
      </c>
      <c r="C213" s="79"/>
      <c r="D213" s="79"/>
      <c r="E213" s="21"/>
      <c r="F213" s="21"/>
      <c r="G213" s="21"/>
      <c r="H213" s="21"/>
      <c r="I213" s="47"/>
      <c r="J213" s="79"/>
      <c r="K213" s="80"/>
      <c r="L213" s="82"/>
      <c r="M213" s="82"/>
      <c r="N213" s="82"/>
      <c r="O213" s="48"/>
      <c r="P213" s="48"/>
      <c r="Q213" s="54"/>
    </row>
    <row r="214" ht="15.75" customHeight="1">
      <c r="A214" s="14" t="str">
        <f t="shared" si="1"/>
        <v/>
      </c>
      <c r="B214" s="16" t="s">
        <v>24</v>
      </c>
      <c r="C214" s="79"/>
      <c r="D214" s="79"/>
      <c r="E214" s="21"/>
      <c r="F214" s="21"/>
      <c r="G214" s="21"/>
      <c r="H214" s="21"/>
      <c r="I214" s="47"/>
      <c r="J214" s="79"/>
      <c r="K214" s="80"/>
      <c r="L214" s="82"/>
      <c r="M214" s="82"/>
      <c r="N214" s="82"/>
      <c r="O214" s="48"/>
      <c r="P214" s="48"/>
      <c r="Q214" s="54"/>
    </row>
    <row r="215" ht="15.75" customHeight="1">
      <c r="A215" s="14" t="str">
        <f t="shared" si="1"/>
        <v/>
      </c>
      <c r="B215" s="16" t="s">
        <v>24</v>
      </c>
      <c r="C215" s="79"/>
      <c r="D215" s="79"/>
      <c r="E215" s="21"/>
      <c r="F215" s="21"/>
      <c r="G215" s="21"/>
      <c r="H215" s="21"/>
      <c r="I215" s="47"/>
      <c r="J215" s="79"/>
      <c r="K215" s="80"/>
      <c r="L215" s="82"/>
      <c r="M215" s="82"/>
      <c r="N215" s="82"/>
      <c r="O215" s="48"/>
      <c r="P215" s="48"/>
      <c r="Q215" s="54"/>
    </row>
    <row r="216" ht="15.75" customHeight="1">
      <c r="A216" s="14" t="str">
        <f t="shared" si="1"/>
        <v/>
      </c>
      <c r="B216" s="16" t="s">
        <v>24</v>
      </c>
      <c r="C216" s="79"/>
      <c r="D216" s="79"/>
      <c r="E216" s="21"/>
      <c r="F216" s="21"/>
      <c r="G216" s="21"/>
      <c r="H216" s="21"/>
      <c r="I216" s="47"/>
      <c r="J216" s="79"/>
      <c r="K216" s="80"/>
      <c r="L216" s="82"/>
      <c r="M216" s="82"/>
      <c r="N216" s="82"/>
      <c r="O216" s="48"/>
      <c r="P216" s="48"/>
      <c r="Q216" s="54"/>
    </row>
    <row r="217" ht="15.75" customHeight="1">
      <c r="A217" s="14" t="str">
        <f t="shared" si="1"/>
        <v/>
      </c>
      <c r="B217" s="16" t="s">
        <v>24</v>
      </c>
      <c r="C217" s="79"/>
      <c r="D217" s="79"/>
      <c r="E217" s="21"/>
      <c r="F217" s="21"/>
      <c r="G217" s="21"/>
      <c r="H217" s="21"/>
      <c r="I217" s="47"/>
      <c r="J217" s="79"/>
      <c r="K217" s="80"/>
      <c r="L217" s="82"/>
      <c r="M217" s="82"/>
      <c r="N217" s="82"/>
      <c r="O217" s="48"/>
      <c r="P217" s="48"/>
      <c r="Q217" s="54"/>
    </row>
    <row r="218" ht="15.75" customHeight="1">
      <c r="A218" s="14" t="str">
        <f t="shared" si="1"/>
        <v/>
      </c>
      <c r="B218" s="16" t="s">
        <v>24</v>
      </c>
      <c r="C218" s="79"/>
      <c r="D218" s="79"/>
      <c r="E218" s="21"/>
      <c r="F218" s="21"/>
      <c r="G218" s="21"/>
      <c r="H218" s="21"/>
      <c r="I218" s="47"/>
      <c r="J218" s="79"/>
      <c r="K218" s="80"/>
      <c r="L218" s="82"/>
      <c r="M218" s="82"/>
      <c r="N218" s="82"/>
      <c r="O218" s="48"/>
      <c r="P218" s="48"/>
      <c r="Q218" s="54"/>
    </row>
    <row r="219" ht="15.75" customHeight="1">
      <c r="A219" s="14" t="str">
        <f t="shared" si="1"/>
        <v/>
      </c>
      <c r="B219" s="16" t="s">
        <v>24</v>
      </c>
      <c r="C219" s="79"/>
      <c r="D219" s="79"/>
      <c r="E219" s="21"/>
      <c r="F219" s="21"/>
      <c r="G219" s="21"/>
      <c r="H219" s="21"/>
      <c r="I219" s="47"/>
      <c r="J219" s="79"/>
      <c r="K219" s="80"/>
      <c r="L219" s="82"/>
      <c r="M219" s="82"/>
      <c r="N219" s="82"/>
      <c r="O219" s="48"/>
      <c r="P219" s="48"/>
      <c r="Q219" s="54"/>
    </row>
    <row r="220" ht="15.75" customHeight="1">
      <c r="A220" s="14" t="str">
        <f t="shared" si="1"/>
        <v/>
      </c>
      <c r="B220" s="16" t="s">
        <v>24</v>
      </c>
      <c r="C220" s="79"/>
      <c r="D220" s="79"/>
      <c r="E220" s="51"/>
      <c r="F220" s="21"/>
      <c r="G220" s="21"/>
      <c r="H220" s="21"/>
      <c r="I220" s="47"/>
      <c r="J220" s="79"/>
      <c r="K220" s="80"/>
      <c r="L220" s="82"/>
      <c r="M220" s="82"/>
      <c r="N220" s="82"/>
      <c r="O220" s="48"/>
      <c r="P220" s="48"/>
      <c r="Q220" s="54"/>
    </row>
    <row r="221" ht="15.75" customHeight="1">
      <c r="A221" s="14" t="str">
        <f t="shared" si="1"/>
        <v/>
      </c>
      <c r="B221" s="16" t="s">
        <v>24</v>
      </c>
      <c r="C221" s="79"/>
      <c r="D221" s="79"/>
      <c r="E221" s="21"/>
      <c r="F221" s="21"/>
      <c r="G221" s="21"/>
      <c r="H221" s="21"/>
      <c r="I221" s="47"/>
      <c r="J221" s="79"/>
      <c r="K221" s="80"/>
      <c r="L221" s="82"/>
      <c r="M221" s="82"/>
      <c r="N221" s="82"/>
      <c r="O221" s="48"/>
      <c r="P221" s="48"/>
      <c r="Q221" s="54"/>
    </row>
    <row r="222" ht="15.75" customHeight="1">
      <c r="A222" s="21"/>
      <c r="B222" s="21"/>
      <c r="C222" s="79"/>
      <c r="D222" s="79"/>
      <c r="E222" s="21"/>
      <c r="F222" s="21"/>
      <c r="G222" s="21"/>
      <c r="H222" s="21"/>
      <c r="I222" s="161"/>
      <c r="J222" s="79"/>
      <c r="K222" s="80"/>
      <c r="L222" s="82"/>
      <c r="M222" s="82"/>
      <c r="N222" s="82"/>
      <c r="O222" s="48"/>
      <c r="P222" s="48"/>
      <c r="Q222" s="54"/>
    </row>
    <row r="223" ht="15.75" customHeight="1">
      <c r="A223" s="162" t="s">
        <v>789</v>
      </c>
      <c r="B223" s="85"/>
      <c r="C223" s="85"/>
      <c r="D223" s="85"/>
      <c r="E223" s="85"/>
      <c r="F223" s="85"/>
      <c r="G223" s="85"/>
      <c r="H223" s="85"/>
      <c r="I223" s="85"/>
      <c r="J223" s="163">
        <f>SUM(J2:J222)</f>
        <v>147</v>
      </c>
      <c r="K223" s="164" t="s">
        <v>481</v>
      </c>
      <c r="L223" s="165">
        <f t="shared" ref="L223:P223" si="2">SUM(L2:L222)</f>
        <v>13400000</v>
      </c>
      <c r="M223" s="165">
        <f t="shared" si="2"/>
        <v>23085000</v>
      </c>
      <c r="N223" s="165">
        <f t="shared" si="2"/>
        <v>3194000</v>
      </c>
      <c r="O223" s="165">
        <f t="shared" si="2"/>
        <v>43600000</v>
      </c>
      <c r="P223" s="165">
        <f t="shared" si="2"/>
        <v>300000</v>
      </c>
      <c r="Q223" s="50"/>
    </row>
    <row r="224" ht="15.75" customHeight="1">
      <c r="J224" s="166"/>
      <c r="K224" s="167"/>
    </row>
    <row r="225" ht="15.75" customHeight="1">
      <c r="J225" s="166"/>
      <c r="K225" s="167"/>
    </row>
    <row r="226" ht="15.75" customHeight="1">
      <c r="J226" s="166"/>
      <c r="K226" s="167"/>
    </row>
    <row r="227" ht="15.75" customHeight="1">
      <c r="J227" s="166"/>
      <c r="K227" s="167"/>
    </row>
    <row r="228" ht="15.75" customHeight="1">
      <c r="J228" s="166"/>
      <c r="K228" s="167"/>
    </row>
    <row r="229" ht="15.75" customHeight="1">
      <c r="J229" s="166"/>
      <c r="K229" s="167"/>
    </row>
    <row r="230" ht="15.75" customHeight="1">
      <c r="J230" s="166"/>
      <c r="K230" s="167"/>
    </row>
    <row r="231" ht="15.75" customHeight="1">
      <c r="J231" s="166"/>
      <c r="K231" s="167"/>
    </row>
    <row r="232" ht="15.75" customHeight="1">
      <c r="J232" s="166"/>
      <c r="K232" s="167"/>
    </row>
    <row r="233" ht="15.75" customHeight="1">
      <c r="J233" s="166"/>
      <c r="K233" s="167"/>
    </row>
    <row r="234" ht="15.75" customHeight="1">
      <c r="J234" s="166"/>
      <c r="K234" s="167"/>
    </row>
    <row r="235" ht="15.75" customHeight="1">
      <c r="J235" s="166"/>
      <c r="K235" s="167"/>
    </row>
    <row r="236" ht="15.75" customHeight="1">
      <c r="J236" s="166"/>
      <c r="K236" s="167"/>
    </row>
    <row r="237" ht="15.75" customHeight="1">
      <c r="J237" s="166"/>
      <c r="K237" s="167"/>
    </row>
    <row r="238" ht="15.75" customHeight="1">
      <c r="J238" s="166"/>
      <c r="K238" s="167"/>
    </row>
    <row r="239" ht="15.75" customHeight="1">
      <c r="J239" s="166"/>
      <c r="K239" s="167"/>
    </row>
    <row r="240" ht="15.75" customHeight="1">
      <c r="J240" s="166"/>
      <c r="K240" s="167"/>
    </row>
    <row r="241" ht="15.75" customHeight="1">
      <c r="J241" s="166"/>
      <c r="K241" s="167"/>
    </row>
    <row r="242" ht="15.75" customHeight="1">
      <c r="J242" s="166"/>
      <c r="K242" s="167"/>
    </row>
    <row r="243" ht="15.75" customHeight="1">
      <c r="J243" s="166"/>
      <c r="K243" s="167"/>
    </row>
    <row r="244" ht="15.75" customHeight="1">
      <c r="J244" s="166"/>
      <c r="K244" s="167"/>
    </row>
    <row r="245" ht="15.75" customHeight="1">
      <c r="J245" s="166"/>
      <c r="K245" s="167"/>
    </row>
    <row r="246" ht="15.75" customHeight="1">
      <c r="J246" s="166"/>
      <c r="K246" s="167"/>
    </row>
    <row r="247" ht="15.75" customHeight="1">
      <c r="J247" s="166"/>
      <c r="K247" s="167"/>
    </row>
    <row r="248" ht="15.75" customHeight="1">
      <c r="J248" s="166"/>
      <c r="K248" s="167"/>
    </row>
    <row r="249" ht="15.75" customHeight="1">
      <c r="J249" s="166"/>
      <c r="K249" s="167"/>
    </row>
    <row r="250" ht="15.75" customHeight="1">
      <c r="J250" s="166"/>
      <c r="K250" s="167"/>
    </row>
    <row r="251" ht="15.75" customHeight="1">
      <c r="J251" s="166"/>
      <c r="K251" s="167"/>
    </row>
    <row r="252" ht="15.75" customHeight="1">
      <c r="J252" s="166"/>
      <c r="K252" s="167"/>
    </row>
    <row r="253" ht="15.75" customHeight="1">
      <c r="J253" s="166"/>
      <c r="K253" s="167"/>
    </row>
    <row r="254" ht="15.75" customHeight="1">
      <c r="J254" s="166"/>
      <c r="K254" s="167"/>
    </row>
    <row r="255" ht="15.75" customHeight="1">
      <c r="J255" s="166"/>
      <c r="K255" s="167"/>
    </row>
    <row r="256" ht="15.75" customHeight="1">
      <c r="J256" s="166"/>
      <c r="K256" s="167"/>
    </row>
    <row r="257" ht="15.75" customHeight="1">
      <c r="J257" s="166"/>
      <c r="K257" s="167"/>
    </row>
    <row r="258" ht="15.75" customHeight="1">
      <c r="J258" s="166"/>
      <c r="K258" s="167"/>
    </row>
    <row r="259" ht="15.75" customHeight="1">
      <c r="J259" s="166"/>
      <c r="K259" s="167"/>
    </row>
    <row r="260" ht="15.75" customHeight="1">
      <c r="J260" s="166"/>
      <c r="K260" s="167"/>
    </row>
    <row r="261" ht="15.75" customHeight="1">
      <c r="J261" s="166"/>
      <c r="K261" s="167"/>
    </row>
    <row r="262" ht="15.75" customHeight="1">
      <c r="J262" s="166"/>
      <c r="K262" s="167"/>
    </row>
    <row r="263" ht="15.75" customHeight="1">
      <c r="J263" s="166"/>
      <c r="K263" s="167"/>
    </row>
    <row r="264" ht="15.75" customHeight="1">
      <c r="J264" s="166"/>
      <c r="K264" s="167"/>
    </row>
    <row r="265" ht="15.75" customHeight="1">
      <c r="J265" s="166"/>
      <c r="K265" s="167"/>
    </row>
    <row r="266" ht="15.75" customHeight="1">
      <c r="J266" s="166"/>
      <c r="K266" s="167"/>
    </row>
    <row r="267" ht="15.75" customHeight="1">
      <c r="J267" s="166"/>
      <c r="K267" s="167"/>
    </row>
    <row r="268" ht="15.75" customHeight="1">
      <c r="J268" s="166"/>
      <c r="K268" s="167"/>
    </row>
    <row r="269" ht="15.75" customHeight="1">
      <c r="J269" s="166"/>
      <c r="K269" s="167"/>
    </row>
    <row r="270" ht="15.75" customHeight="1">
      <c r="J270" s="166"/>
      <c r="K270" s="167"/>
    </row>
    <row r="271" ht="15.75" customHeight="1">
      <c r="J271" s="166"/>
      <c r="K271" s="167"/>
    </row>
    <row r="272" ht="15.75" customHeight="1">
      <c r="J272" s="166"/>
      <c r="K272" s="167"/>
    </row>
    <row r="273" ht="15.75" customHeight="1">
      <c r="J273" s="166"/>
      <c r="K273" s="167"/>
    </row>
    <row r="274" ht="15.75" customHeight="1">
      <c r="J274" s="166"/>
      <c r="K274" s="167"/>
    </row>
    <row r="275" ht="15.75" customHeight="1">
      <c r="J275" s="166"/>
      <c r="K275" s="167"/>
    </row>
    <row r="276" ht="15.75" customHeight="1">
      <c r="J276" s="166"/>
      <c r="K276" s="167"/>
    </row>
    <row r="277" ht="15.75" customHeight="1">
      <c r="J277" s="166"/>
      <c r="K277" s="167"/>
    </row>
    <row r="278" ht="15.75" customHeight="1">
      <c r="J278" s="166"/>
      <c r="K278" s="167"/>
    </row>
    <row r="279" ht="15.75" customHeight="1">
      <c r="J279" s="166"/>
      <c r="K279" s="167"/>
    </row>
    <row r="280" ht="15.75" customHeight="1">
      <c r="J280" s="166"/>
      <c r="K280" s="167"/>
    </row>
    <row r="281" ht="15.75" customHeight="1">
      <c r="J281" s="166"/>
      <c r="K281" s="167"/>
    </row>
    <row r="282" ht="15.75" customHeight="1">
      <c r="J282" s="166"/>
      <c r="K282" s="167"/>
    </row>
    <row r="283" ht="15.75" customHeight="1">
      <c r="J283" s="166"/>
      <c r="K283" s="167"/>
    </row>
    <row r="284" ht="15.75" customHeight="1">
      <c r="J284" s="166"/>
      <c r="K284" s="167"/>
    </row>
    <row r="285" ht="15.75" customHeight="1">
      <c r="J285" s="166"/>
      <c r="K285" s="167"/>
    </row>
    <row r="286" ht="15.75" customHeight="1">
      <c r="J286" s="166"/>
      <c r="K286" s="167"/>
    </row>
    <row r="287" ht="15.75" customHeight="1">
      <c r="J287" s="166"/>
      <c r="K287" s="167"/>
    </row>
    <row r="288" ht="15.75" customHeight="1">
      <c r="J288" s="166"/>
      <c r="K288" s="167"/>
    </row>
    <row r="289" ht="15.75" customHeight="1">
      <c r="J289" s="166"/>
      <c r="K289" s="167"/>
    </row>
    <row r="290" ht="15.75" customHeight="1">
      <c r="J290" s="166"/>
      <c r="K290" s="167"/>
    </row>
    <row r="291" ht="15.75" customHeight="1">
      <c r="J291" s="166"/>
      <c r="K291" s="167"/>
    </row>
    <row r="292" ht="15.75" customHeight="1">
      <c r="J292" s="166"/>
      <c r="K292" s="167"/>
    </row>
    <row r="293" ht="15.75" customHeight="1">
      <c r="J293" s="166"/>
      <c r="K293" s="167"/>
    </row>
    <row r="294" ht="15.75" customHeight="1">
      <c r="J294" s="166"/>
      <c r="K294" s="167"/>
    </row>
    <row r="295" ht="15.75" customHeight="1">
      <c r="J295" s="166"/>
      <c r="K295" s="167"/>
    </row>
    <row r="296" ht="15.75" customHeight="1">
      <c r="J296" s="166"/>
      <c r="K296" s="167"/>
    </row>
    <row r="297" ht="15.75" customHeight="1">
      <c r="J297" s="166"/>
      <c r="K297" s="167"/>
    </row>
    <row r="298" ht="15.75" customHeight="1">
      <c r="J298" s="166"/>
      <c r="K298" s="167"/>
    </row>
    <row r="299" ht="15.75" customHeight="1">
      <c r="J299" s="166"/>
      <c r="K299" s="167"/>
    </row>
    <row r="300" ht="15.75" customHeight="1">
      <c r="J300" s="166"/>
      <c r="K300" s="167"/>
    </row>
    <row r="301" ht="15.75" customHeight="1">
      <c r="J301" s="166"/>
      <c r="K301" s="167"/>
    </row>
    <row r="302" ht="15.75" customHeight="1">
      <c r="J302" s="166"/>
      <c r="K302" s="167"/>
    </row>
    <row r="303" ht="15.75" customHeight="1">
      <c r="J303" s="166"/>
      <c r="K303" s="167"/>
    </row>
    <row r="304" ht="15.75" customHeight="1">
      <c r="J304" s="166"/>
      <c r="K304" s="167"/>
    </row>
    <row r="305" ht="15.75" customHeight="1">
      <c r="J305" s="166"/>
      <c r="K305" s="167"/>
    </row>
    <row r="306" ht="15.75" customHeight="1">
      <c r="J306" s="166"/>
      <c r="K306" s="167"/>
    </row>
    <row r="307" ht="15.75" customHeight="1">
      <c r="J307" s="166"/>
      <c r="K307" s="167"/>
    </row>
    <row r="308" ht="15.75" customHeight="1">
      <c r="J308" s="166"/>
      <c r="K308" s="167"/>
    </row>
    <row r="309" ht="15.75" customHeight="1">
      <c r="J309" s="166"/>
      <c r="K309" s="167"/>
    </row>
    <row r="310" ht="15.75" customHeight="1">
      <c r="J310" s="166"/>
      <c r="K310" s="167"/>
    </row>
    <row r="311" ht="15.75" customHeight="1">
      <c r="J311" s="166"/>
      <c r="K311" s="167"/>
    </row>
    <row r="312" ht="15.75" customHeight="1">
      <c r="J312" s="166"/>
      <c r="K312" s="167"/>
    </row>
    <row r="313" ht="15.75" customHeight="1">
      <c r="J313" s="166"/>
      <c r="K313" s="167"/>
    </row>
    <row r="314" ht="15.75" customHeight="1">
      <c r="J314" s="166"/>
      <c r="K314" s="167"/>
    </row>
    <row r="315" ht="15.75" customHeight="1">
      <c r="J315" s="166"/>
      <c r="K315" s="167"/>
    </row>
    <row r="316" ht="15.75" customHeight="1">
      <c r="J316" s="166"/>
      <c r="K316" s="167"/>
    </row>
    <row r="317" ht="15.75" customHeight="1">
      <c r="J317" s="166"/>
      <c r="K317" s="167"/>
    </row>
    <row r="318" ht="15.75" customHeight="1">
      <c r="J318" s="166"/>
      <c r="K318" s="167"/>
    </row>
    <row r="319" ht="15.75" customHeight="1">
      <c r="J319" s="166"/>
      <c r="K319" s="167"/>
    </row>
    <row r="320" ht="15.75" customHeight="1">
      <c r="J320" s="166"/>
      <c r="K320" s="167"/>
    </row>
    <row r="321" ht="15.75" customHeight="1">
      <c r="J321" s="166"/>
      <c r="K321" s="167"/>
    </row>
    <row r="322" ht="15.75" customHeight="1">
      <c r="J322" s="166"/>
      <c r="K322" s="167"/>
    </row>
    <row r="323" ht="15.75" customHeight="1">
      <c r="J323" s="166"/>
      <c r="K323" s="167"/>
    </row>
    <row r="324" ht="15.75" customHeight="1">
      <c r="J324" s="166"/>
      <c r="K324" s="167"/>
    </row>
    <row r="325" ht="15.75" customHeight="1">
      <c r="J325" s="166"/>
      <c r="K325" s="167"/>
    </row>
    <row r="326" ht="15.75" customHeight="1">
      <c r="J326" s="166"/>
      <c r="K326" s="167"/>
    </row>
    <row r="327" ht="15.75" customHeight="1">
      <c r="J327" s="166"/>
      <c r="K327" s="167"/>
    </row>
    <row r="328" ht="15.75" customHeight="1">
      <c r="J328" s="166"/>
      <c r="K328" s="167"/>
    </row>
    <row r="329" ht="15.75" customHeight="1">
      <c r="J329" s="166"/>
      <c r="K329" s="167"/>
    </row>
    <row r="330" ht="15.75" customHeight="1">
      <c r="J330" s="166"/>
      <c r="K330" s="167"/>
    </row>
    <row r="331" ht="15.75" customHeight="1">
      <c r="J331" s="166"/>
      <c r="K331" s="167"/>
    </row>
    <row r="332" ht="15.75" customHeight="1">
      <c r="J332" s="166"/>
      <c r="K332" s="167"/>
    </row>
    <row r="333" ht="15.75" customHeight="1">
      <c r="J333" s="166"/>
      <c r="K333" s="167"/>
    </row>
    <row r="334" ht="15.75" customHeight="1">
      <c r="J334" s="166"/>
      <c r="K334" s="167"/>
    </row>
    <row r="335" ht="15.75" customHeight="1">
      <c r="J335" s="166"/>
      <c r="K335" s="167"/>
    </row>
    <row r="336" ht="15.75" customHeight="1">
      <c r="J336" s="166"/>
      <c r="K336" s="167"/>
    </row>
    <row r="337" ht="15.75" customHeight="1">
      <c r="J337" s="166"/>
      <c r="K337" s="167"/>
    </row>
    <row r="338" ht="15.75" customHeight="1">
      <c r="J338" s="166"/>
      <c r="K338" s="167"/>
    </row>
    <row r="339" ht="15.75" customHeight="1">
      <c r="J339" s="166"/>
      <c r="K339" s="167"/>
    </row>
    <row r="340" ht="15.75" customHeight="1">
      <c r="J340" s="166"/>
      <c r="K340" s="167"/>
    </row>
    <row r="341" ht="15.75" customHeight="1">
      <c r="J341" s="166"/>
      <c r="K341" s="167"/>
    </row>
    <row r="342" ht="15.75" customHeight="1">
      <c r="J342" s="166"/>
      <c r="K342" s="167"/>
    </row>
    <row r="343" ht="15.75" customHeight="1">
      <c r="J343" s="166"/>
      <c r="K343" s="167"/>
    </row>
    <row r="344" ht="15.75" customHeight="1">
      <c r="J344" s="166"/>
      <c r="K344" s="167"/>
    </row>
    <row r="345" ht="15.75" customHeight="1">
      <c r="J345" s="166"/>
      <c r="K345" s="167"/>
    </row>
    <row r="346" ht="15.75" customHeight="1">
      <c r="J346" s="166"/>
      <c r="K346" s="167"/>
    </row>
    <row r="347" ht="15.75" customHeight="1">
      <c r="J347" s="166"/>
      <c r="K347" s="167"/>
    </row>
    <row r="348" ht="15.75" customHeight="1">
      <c r="J348" s="166"/>
      <c r="K348" s="167"/>
    </row>
    <row r="349" ht="15.75" customHeight="1">
      <c r="J349" s="166"/>
      <c r="K349" s="167"/>
    </row>
    <row r="350" ht="15.75" customHeight="1">
      <c r="J350" s="166"/>
      <c r="K350" s="167"/>
    </row>
    <row r="351" ht="15.75" customHeight="1">
      <c r="J351" s="166"/>
      <c r="K351" s="167"/>
    </row>
    <row r="352" ht="15.75" customHeight="1">
      <c r="J352" s="166"/>
      <c r="K352" s="167"/>
    </row>
    <row r="353" ht="15.75" customHeight="1">
      <c r="J353" s="166"/>
      <c r="K353" s="167"/>
    </row>
    <row r="354" ht="15.75" customHeight="1">
      <c r="J354" s="166"/>
      <c r="K354" s="167"/>
    </row>
    <row r="355" ht="15.75" customHeight="1">
      <c r="J355" s="166"/>
      <c r="K355" s="167"/>
    </row>
    <row r="356" ht="15.75" customHeight="1">
      <c r="J356" s="166"/>
      <c r="K356" s="167"/>
    </row>
    <row r="357" ht="15.75" customHeight="1">
      <c r="J357" s="166"/>
      <c r="K357" s="167"/>
    </row>
    <row r="358" ht="15.75" customHeight="1">
      <c r="J358" s="166"/>
      <c r="K358" s="167"/>
    </row>
    <row r="359" ht="15.75" customHeight="1">
      <c r="J359" s="166"/>
      <c r="K359" s="167"/>
    </row>
    <row r="360" ht="15.75" customHeight="1">
      <c r="J360" s="166"/>
      <c r="K360" s="167"/>
    </row>
    <row r="361" ht="15.75" customHeight="1">
      <c r="J361" s="166"/>
      <c r="K361" s="167"/>
    </row>
    <row r="362" ht="15.75" customHeight="1">
      <c r="J362" s="166"/>
      <c r="K362" s="167"/>
    </row>
    <row r="363" ht="15.75" customHeight="1">
      <c r="J363" s="166"/>
      <c r="K363" s="167"/>
    </row>
    <row r="364" ht="15.75" customHeight="1">
      <c r="J364" s="166"/>
      <c r="K364" s="167"/>
    </row>
    <row r="365" ht="15.75" customHeight="1">
      <c r="J365" s="166"/>
      <c r="K365" s="167"/>
    </row>
    <row r="366" ht="15.75" customHeight="1">
      <c r="J366" s="166"/>
      <c r="K366" s="167"/>
    </row>
    <row r="367" ht="15.75" customHeight="1">
      <c r="J367" s="166"/>
      <c r="K367" s="167"/>
    </row>
    <row r="368" ht="15.75" customHeight="1">
      <c r="J368" s="166"/>
      <c r="K368" s="167"/>
    </row>
    <row r="369" ht="15.75" customHeight="1">
      <c r="J369" s="166"/>
      <c r="K369" s="167"/>
    </row>
    <row r="370" ht="15.75" customHeight="1">
      <c r="J370" s="166"/>
      <c r="K370" s="167"/>
    </row>
    <row r="371" ht="15.75" customHeight="1">
      <c r="J371" s="166"/>
      <c r="K371" s="167"/>
    </row>
    <row r="372" ht="15.75" customHeight="1">
      <c r="J372" s="166"/>
      <c r="K372" s="167"/>
    </row>
    <row r="373" ht="15.75" customHeight="1">
      <c r="J373" s="166"/>
      <c r="K373" s="167"/>
    </row>
    <row r="374" ht="15.75" customHeight="1">
      <c r="J374" s="166"/>
      <c r="K374" s="167"/>
    </row>
    <row r="375" ht="15.75" customHeight="1">
      <c r="J375" s="166"/>
      <c r="K375" s="167"/>
    </row>
    <row r="376" ht="15.75" customHeight="1">
      <c r="J376" s="166"/>
      <c r="K376" s="167"/>
    </row>
    <row r="377" ht="15.75" customHeight="1">
      <c r="J377" s="166"/>
      <c r="K377" s="167"/>
    </row>
    <row r="378" ht="15.75" customHeight="1">
      <c r="J378" s="166"/>
      <c r="K378" s="167"/>
    </row>
    <row r="379" ht="15.75" customHeight="1">
      <c r="J379" s="166"/>
      <c r="K379" s="167"/>
    </row>
    <row r="380" ht="15.75" customHeight="1">
      <c r="J380" s="166"/>
      <c r="K380" s="167"/>
    </row>
    <row r="381" ht="15.75" customHeight="1">
      <c r="J381" s="166"/>
      <c r="K381" s="167"/>
    </row>
    <row r="382" ht="15.75" customHeight="1">
      <c r="J382" s="166"/>
      <c r="K382" s="167"/>
    </row>
    <row r="383" ht="15.75" customHeight="1">
      <c r="J383" s="166"/>
      <c r="K383" s="167"/>
    </row>
    <row r="384" ht="15.75" customHeight="1">
      <c r="J384" s="166"/>
      <c r="K384" s="167"/>
    </row>
    <row r="385" ht="15.75" customHeight="1">
      <c r="J385" s="166"/>
      <c r="K385" s="167"/>
    </row>
    <row r="386" ht="15.75" customHeight="1">
      <c r="J386" s="166"/>
      <c r="K386" s="167"/>
    </row>
    <row r="387" ht="15.75" customHeight="1">
      <c r="J387" s="166"/>
      <c r="K387" s="167"/>
    </row>
    <row r="388" ht="15.75" customHeight="1">
      <c r="J388" s="166"/>
      <c r="K388" s="167"/>
    </row>
    <row r="389" ht="15.75" customHeight="1">
      <c r="J389" s="166"/>
      <c r="K389" s="167"/>
    </row>
    <row r="390" ht="15.75" customHeight="1">
      <c r="J390" s="166"/>
      <c r="K390" s="167"/>
    </row>
    <row r="391" ht="15.75" customHeight="1">
      <c r="J391" s="166"/>
      <c r="K391" s="167"/>
    </row>
    <row r="392" ht="15.75" customHeight="1">
      <c r="J392" s="166"/>
      <c r="K392" s="167"/>
    </row>
    <row r="393" ht="15.75" customHeight="1">
      <c r="J393" s="166"/>
      <c r="K393" s="167"/>
    </row>
    <row r="394" ht="15.75" customHeight="1">
      <c r="J394" s="166"/>
      <c r="K394" s="167"/>
    </row>
    <row r="395" ht="15.75" customHeight="1">
      <c r="J395" s="166"/>
      <c r="K395" s="167"/>
    </row>
    <row r="396" ht="15.75" customHeight="1">
      <c r="J396" s="166"/>
      <c r="K396" s="167"/>
    </row>
    <row r="397" ht="15.75" customHeight="1">
      <c r="J397" s="166"/>
      <c r="K397" s="167"/>
    </row>
    <row r="398" ht="15.75" customHeight="1">
      <c r="J398" s="166"/>
      <c r="K398" s="167"/>
    </row>
    <row r="399" ht="15.75" customHeight="1">
      <c r="J399" s="166"/>
      <c r="K399" s="167"/>
    </row>
    <row r="400" ht="15.75" customHeight="1">
      <c r="J400" s="166"/>
      <c r="K400" s="167"/>
    </row>
    <row r="401" ht="15.75" customHeight="1">
      <c r="J401" s="166"/>
      <c r="K401" s="167"/>
    </row>
    <row r="402" ht="15.75" customHeight="1">
      <c r="J402" s="166"/>
      <c r="K402" s="167"/>
    </row>
    <row r="403" ht="15.75" customHeight="1">
      <c r="J403" s="166"/>
      <c r="K403" s="167"/>
    </row>
    <row r="404" ht="15.75" customHeight="1">
      <c r="J404" s="166"/>
      <c r="K404" s="167"/>
    </row>
    <row r="405" ht="15.75" customHeight="1">
      <c r="J405" s="166"/>
      <c r="K405" s="167"/>
    </row>
    <row r="406" ht="15.75" customHeight="1">
      <c r="J406" s="166"/>
      <c r="K406" s="167"/>
    </row>
    <row r="407" ht="15.75" customHeight="1">
      <c r="J407" s="166"/>
      <c r="K407" s="167"/>
    </row>
    <row r="408" ht="15.75" customHeight="1">
      <c r="J408" s="166"/>
      <c r="K408" s="167"/>
    </row>
    <row r="409" ht="15.75" customHeight="1">
      <c r="J409" s="166"/>
      <c r="K409" s="167"/>
    </row>
    <row r="410" ht="15.75" customHeight="1">
      <c r="J410" s="166"/>
      <c r="K410" s="167"/>
    </row>
    <row r="411" ht="15.75" customHeight="1">
      <c r="J411" s="166"/>
      <c r="K411" s="167"/>
    </row>
    <row r="412" ht="15.75" customHeight="1">
      <c r="J412" s="166"/>
      <c r="K412" s="167"/>
    </row>
    <row r="413" ht="15.75" customHeight="1">
      <c r="J413" s="166"/>
      <c r="K413" s="167"/>
    </row>
    <row r="414" ht="15.75" customHeight="1">
      <c r="J414" s="166"/>
      <c r="K414" s="167"/>
    </row>
    <row r="415" ht="15.75" customHeight="1">
      <c r="J415" s="166"/>
      <c r="K415" s="167"/>
    </row>
    <row r="416" ht="15.75" customHeight="1">
      <c r="J416" s="166"/>
      <c r="K416" s="167"/>
    </row>
    <row r="417" ht="15.75" customHeight="1">
      <c r="J417" s="166"/>
      <c r="K417" s="167"/>
    </row>
    <row r="418" ht="15.75" customHeight="1">
      <c r="J418" s="166"/>
      <c r="K418" s="167"/>
    </row>
    <row r="419" ht="15.75" customHeight="1">
      <c r="J419" s="166"/>
      <c r="K419" s="167"/>
    </row>
    <row r="420" ht="15.75" customHeight="1">
      <c r="J420" s="166"/>
      <c r="K420" s="167"/>
    </row>
    <row r="421" ht="15.75" customHeight="1">
      <c r="J421" s="166"/>
      <c r="K421" s="167"/>
    </row>
    <row r="422" ht="15.75" customHeight="1">
      <c r="J422" s="166"/>
      <c r="K422" s="167"/>
    </row>
    <row r="423" ht="15.75" customHeight="1">
      <c r="J423" s="166"/>
      <c r="K423" s="167"/>
    </row>
    <row r="424" ht="15.75" customHeight="1">
      <c r="J424" s="166"/>
      <c r="K424" s="167"/>
    </row>
    <row r="425" ht="15.75" customHeight="1">
      <c r="J425" s="166"/>
      <c r="K425" s="167"/>
    </row>
    <row r="426" ht="15.75" customHeight="1">
      <c r="J426" s="166"/>
      <c r="K426" s="167"/>
    </row>
    <row r="427" ht="15.75" customHeight="1">
      <c r="J427" s="166"/>
      <c r="K427" s="167"/>
    </row>
    <row r="428" ht="15.75" customHeight="1">
      <c r="J428" s="166"/>
      <c r="K428" s="167"/>
    </row>
    <row r="429" ht="15.75" customHeight="1">
      <c r="J429" s="166"/>
      <c r="K429" s="167"/>
    </row>
    <row r="430" ht="15.75" customHeight="1">
      <c r="J430" s="166"/>
      <c r="K430" s="167"/>
    </row>
    <row r="431" ht="15.75" customHeight="1">
      <c r="J431" s="166"/>
      <c r="K431" s="167"/>
    </row>
    <row r="432" ht="15.75" customHeight="1">
      <c r="J432" s="166"/>
      <c r="K432" s="167"/>
    </row>
    <row r="433" ht="15.75" customHeight="1">
      <c r="J433" s="166"/>
      <c r="K433" s="167"/>
    </row>
    <row r="434" ht="15.75" customHeight="1">
      <c r="J434" s="166"/>
      <c r="K434" s="167"/>
    </row>
    <row r="435" ht="15.75" customHeight="1">
      <c r="J435" s="166"/>
      <c r="K435" s="167"/>
    </row>
    <row r="436" ht="15.75" customHeight="1">
      <c r="J436" s="166"/>
      <c r="K436" s="167"/>
    </row>
    <row r="437" ht="15.75" customHeight="1">
      <c r="J437" s="166"/>
      <c r="K437" s="167"/>
    </row>
    <row r="438" ht="15.75" customHeight="1">
      <c r="J438" s="166"/>
      <c r="K438" s="167"/>
    </row>
    <row r="439" ht="15.75" customHeight="1">
      <c r="J439" s="166"/>
      <c r="K439" s="167"/>
    </row>
    <row r="440" ht="15.75" customHeight="1">
      <c r="J440" s="166"/>
      <c r="K440" s="167"/>
    </row>
    <row r="441" ht="15.75" customHeight="1">
      <c r="J441" s="166"/>
      <c r="K441" s="167"/>
    </row>
    <row r="442" ht="15.75" customHeight="1">
      <c r="J442" s="166"/>
      <c r="K442" s="167"/>
    </row>
    <row r="443" ht="15.75" customHeight="1">
      <c r="J443" s="166"/>
      <c r="K443" s="167"/>
    </row>
    <row r="444" ht="15.75" customHeight="1">
      <c r="J444" s="166"/>
      <c r="K444" s="167"/>
    </row>
    <row r="445" ht="15.75" customHeight="1">
      <c r="J445" s="166"/>
      <c r="K445" s="167"/>
    </row>
    <row r="446" ht="15.75" customHeight="1">
      <c r="J446" s="166"/>
      <c r="K446" s="167"/>
    </row>
    <row r="447" ht="15.75" customHeight="1">
      <c r="J447" s="166"/>
      <c r="K447" s="167"/>
    </row>
    <row r="448" ht="15.75" customHeight="1">
      <c r="J448" s="166"/>
      <c r="K448" s="167"/>
    </row>
    <row r="449" ht="15.75" customHeight="1">
      <c r="J449" s="166"/>
      <c r="K449" s="167"/>
    </row>
    <row r="450" ht="15.75" customHeight="1">
      <c r="J450" s="166"/>
      <c r="K450" s="167"/>
    </row>
    <row r="451" ht="15.75" customHeight="1">
      <c r="J451" s="166"/>
      <c r="K451" s="167"/>
    </row>
    <row r="452" ht="15.75" customHeight="1">
      <c r="J452" s="166"/>
      <c r="K452" s="167"/>
    </row>
    <row r="453" ht="15.75" customHeight="1">
      <c r="J453" s="166"/>
      <c r="K453" s="167"/>
    </row>
    <row r="454" ht="15.75" customHeight="1">
      <c r="J454" s="166"/>
      <c r="K454" s="167"/>
    </row>
    <row r="455" ht="15.75" customHeight="1">
      <c r="J455" s="166"/>
      <c r="K455" s="167"/>
    </row>
    <row r="456" ht="15.75" customHeight="1">
      <c r="J456" s="166"/>
      <c r="K456" s="167"/>
    </row>
    <row r="457" ht="15.75" customHeight="1">
      <c r="J457" s="166"/>
      <c r="K457" s="167"/>
    </row>
    <row r="458" ht="15.75" customHeight="1">
      <c r="J458" s="166"/>
      <c r="K458" s="167"/>
    </row>
    <row r="459" ht="15.75" customHeight="1">
      <c r="J459" s="166"/>
      <c r="K459" s="167"/>
    </row>
    <row r="460" ht="15.75" customHeight="1">
      <c r="J460" s="166"/>
      <c r="K460" s="167"/>
    </row>
    <row r="461" ht="15.75" customHeight="1">
      <c r="J461" s="166"/>
      <c r="K461" s="167"/>
    </row>
    <row r="462" ht="15.75" customHeight="1">
      <c r="J462" s="166"/>
      <c r="K462" s="167"/>
    </row>
    <row r="463" ht="15.75" customHeight="1">
      <c r="J463" s="166"/>
      <c r="K463" s="167"/>
    </row>
    <row r="464" ht="15.75" customHeight="1">
      <c r="J464" s="166"/>
      <c r="K464" s="167"/>
    </row>
    <row r="465" ht="15.75" customHeight="1">
      <c r="J465" s="166"/>
      <c r="K465" s="167"/>
    </row>
    <row r="466" ht="15.75" customHeight="1">
      <c r="J466" s="166"/>
      <c r="K466" s="167"/>
    </row>
    <row r="467" ht="15.75" customHeight="1">
      <c r="J467" s="166"/>
      <c r="K467" s="167"/>
    </row>
    <row r="468" ht="15.75" customHeight="1">
      <c r="J468" s="166"/>
      <c r="K468" s="167"/>
    </row>
    <row r="469" ht="15.75" customHeight="1">
      <c r="J469" s="166"/>
      <c r="K469" s="167"/>
    </row>
    <row r="470" ht="15.75" customHeight="1">
      <c r="J470" s="166"/>
      <c r="K470" s="167"/>
    </row>
    <row r="471" ht="15.75" customHeight="1">
      <c r="J471" s="166"/>
      <c r="K471" s="167"/>
    </row>
    <row r="472" ht="15.75" customHeight="1">
      <c r="J472" s="166"/>
      <c r="K472" s="167"/>
    </row>
    <row r="473" ht="15.75" customHeight="1">
      <c r="J473" s="166"/>
      <c r="K473" s="167"/>
    </row>
    <row r="474" ht="15.75" customHeight="1">
      <c r="J474" s="166"/>
      <c r="K474" s="167"/>
    </row>
    <row r="475" ht="15.75" customHeight="1">
      <c r="J475" s="166"/>
      <c r="K475" s="167"/>
    </row>
    <row r="476" ht="15.75" customHeight="1">
      <c r="J476" s="166"/>
      <c r="K476" s="167"/>
    </row>
    <row r="477" ht="15.75" customHeight="1">
      <c r="J477" s="166"/>
      <c r="K477" s="167"/>
    </row>
    <row r="478" ht="15.75" customHeight="1">
      <c r="J478" s="166"/>
      <c r="K478" s="167"/>
    </row>
    <row r="479" ht="15.75" customHeight="1">
      <c r="J479" s="166"/>
      <c r="K479" s="167"/>
    </row>
    <row r="480" ht="15.75" customHeight="1">
      <c r="J480" s="166"/>
      <c r="K480" s="167"/>
    </row>
    <row r="481" ht="15.75" customHeight="1">
      <c r="J481" s="166"/>
      <c r="K481" s="167"/>
    </row>
    <row r="482" ht="15.75" customHeight="1">
      <c r="J482" s="166"/>
      <c r="K482" s="167"/>
    </row>
    <row r="483" ht="15.75" customHeight="1">
      <c r="J483" s="166"/>
      <c r="K483" s="167"/>
    </row>
    <row r="484" ht="15.75" customHeight="1">
      <c r="J484" s="166"/>
      <c r="K484" s="167"/>
    </row>
    <row r="485" ht="15.75" customHeight="1">
      <c r="J485" s="166"/>
      <c r="K485" s="167"/>
    </row>
    <row r="486" ht="15.75" customHeight="1">
      <c r="J486" s="166"/>
      <c r="K486" s="167"/>
    </row>
    <row r="487" ht="15.75" customHeight="1">
      <c r="J487" s="166"/>
      <c r="K487" s="167"/>
    </row>
    <row r="488" ht="15.75" customHeight="1">
      <c r="J488" s="166"/>
      <c r="K488" s="167"/>
    </row>
    <row r="489" ht="15.75" customHeight="1">
      <c r="J489" s="166"/>
      <c r="K489" s="167"/>
    </row>
    <row r="490" ht="15.75" customHeight="1">
      <c r="J490" s="166"/>
      <c r="K490" s="167"/>
    </row>
    <row r="491" ht="15.75" customHeight="1">
      <c r="J491" s="166"/>
      <c r="K491" s="167"/>
    </row>
    <row r="492" ht="15.75" customHeight="1">
      <c r="J492" s="166"/>
      <c r="K492" s="167"/>
    </row>
    <row r="493" ht="15.75" customHeight="1">
      <c r="J493" s="166"/>
      <c r="K493" s="167"/>
    </row>
    <row r="494" ht="15.75" customHeight="1">
      <c r="J494" s="166"/>
      <c r="K494" s="167"/>
    </row>
    <row r="495" ht="15.75" customHeight="1">
      <c r="J495" s="166"/>
      <c r="K495" s="167"/>
    </row>
    <row r="496" ht="15.75" customHeight="1">
      <c r="J496" s="166"/>
      <c r="K496" s="167"/>
    </row>
    <row r="497" ht="15.75" customHeight="1">
      <c r="J497" s="166"/>
      <c r="K497" s="167"/>
    </row>
    <row r="498" ht="15.75" customHeight="1">
      <c r="J498" s="166"/>
      <c r="K498" s="167"/>
    </row>
    <row r="499" ht="15.75" customHeight="1">
      <c r="J499" s="166"/>
      <c r="K499" s="167"/>
    </row>
    <row r="500" ht="15.75" customHeight="1">
      <c r="J500" s="166"/>
      <c r="K500" s="167"/>
    </row>
    <row r="501" ht="15.75" customHeight="1">
      <c r="J501" s="166"/>
      <c r="K501" s="167"/>
    </row>
    <row r="502" ht="15.75" customHeight="1">
      <c r="J502" s="166"/>
      <c r="K502" s="167"/>
    </row>
    <row r="503" ht="15.75" customHeight="1">
      <c r="J503" s="166"/>
      <c r="K503" s="167"/>
    </row>
    <row r="504" ht="15.75" customHeight="1">
      <c r="J504" s="166"/>
      <c r="K504" s="167"/>
    </row>
    <row r="505" ht="15.75" customHeight="1">
      <c r="J505" s="166"/>
      <c r="K505" s="167"/>
    </row>
    <row r="506" ht="15.75" customHeight="1">
      <c r="J506" s="166"/>
      <c r="K506" s="167"/>
    </row>
    <row r="507" ht="15.75" customHeight="1">
      <c r="J507" s="166"/>
      <c r="K507" s="167"/>
    </row>
    <row r="508" ht="15.75" customHeight="1">
      <c r="J508" s="166"/>
      <c r="K508" s="167"/>
    </row>
    <row r="509" ht="15.75" customHeight="1">
      <c r="J509" s="166"/>
      <c r="K509" s="167"/>
    </row>
    <row r="510" ht="15.75" customHeight="1">
      <c r="J510" s="166"/>
      <c r="K510" s="167"/>
    </row>
    <row r="511" ht="15.75" customHeight="1">
      <c r="J511" s="166"/>
      <c r="K511" s="167"/>
    </row>
    <row r="512" ht="15.75" customHeight="1">
      <c r="J512" s="166"/>
      <c r="K512" s="167"/>
    </row>
    <row r="513" ht="15.75" customHeight="1">
      <c r="J513" s="166"/>
      <c r="K513" s="167"/>
    </row>
    <row r="514" ht="15.75" customHeight="1">
      <c r="J514" s="166"/>
      <c r="K514" s="167"/>
    </row>
    <row r="515" ht="15.75" customHeight="1">
      <c r="J515" s="166"/>
      <c r="K515" s="167"/>
    </row>
    <row r="516" ht="15.75" customHeight="1">
      <c r="J516" s="166"/>
      <c r="K516" s="167"/>
    </row>
    <row r="517" ht="15.75" customHeight="1">
      <c r="J517" s="166"/>
      <c r="K517" s="167"/>
    </row>
    <row r="518" ht="15.75" customHeight="1">
      <c r="J518" s="166"/>
      <c r="K518" s="167"/>
    </row>
    <row r="519" ht="15.75" customHeight="1">
      <c r="J519" s="166"/>
      <c r="K519" s="167"/>
    </row>
    <row r="520" ht="15.75" customHeight="1">
      <c r="J520" s="166"/>
      <c r="K520" s="167"/>
    </row>
    <row r="521" ht="15.75" customHeight="1">
      <c r="J521" s="166"/>
      <c r="K521" s="167"/>
    </row>
    <row r="522" ht="15.75" customHeight="1">
      <c r="J522" s="166"/>
      <c r="K522" s="167"/>
    </row>
    <row r="523" ht="15.75" customHeight="1">
      <c r="J523" s="166"/>
      <c r="K523" s="167"/>
    </row>
    <row r="524" ht="15.75" customHeight="1">
      <c r="J524" s="166"/>
      <c r="K524" s="167"/>
    </row>
    <row r="525" ht="15.75" customHeight="1">
      <c r="J525" s="166"/>
      <c r="K525" s="167"/>
    </row>
    <row r="526" ht="15.75" customHeight="1">
      <c r="J526" s="166"/>
      <c r="K526" s="167"/>
    </row>
    <row r="527" ht="15.75" customHeight="1">
      <c r="J527" s="166"/>
      <c r="K527" s="167"/>
    </row>
    <row r="528" ht="15.75" customHeight="1">
      <c r="J528" s="166"/>
      <c r="K528" s="167"/>
    </row>
    <row r="529" ht="15.75" customHeight="1">
      <c r="J529" s="166"/>
      <c r="K529" s="167"/>
    </row>
    <row r="530" ht="15.75" customHeight="1">
      <c r="J530" s="166"/>
      <c r="K530" s="167"/>
    </row>
    <row r="531" ht="15.75" customHeight="1">
      <c r="J531" s="166"/>
      <c r="K531" s="167"/>
    </row>
    <row r="532" ht="15.75" customHeight="1">
      <c r="J532" s="166"/>
      <c r="K532" s="167"/>
    </row>
    <row r="533" ht="15.75" customHeight="1">
      <c r="J533" s="166"/>
      <c r="K533" s="167"/>
    </row>
    <row r="534" ht="15.75" customHeight="1">
      <c r="J534" s="166"/>
      <c r="K534" s="167"/>
    </row>
    <row r="535" ht="15.75" customHeight="1">
      <c r="J535" s="166"/>
      <c r="K535" s="167"/>
    </row>
    <row r="536" ht="15.75" customHeight="1">
      <c r="J536" s="166"/>
      <c r="K536" s="167"/>
    </row>
    <row r="537" ht="15.75" customHeight="1">
      <c r="J537" s="166"/>
      <c r="K537" s="167"/>
    </row>
    <row r="538" ht="15.75" customHeight="1">
      <c r="J538" s="166"/>
      <c r="K538" s="167"/>
    </row>
    <row r="539" ht="15.75" customHeight="1">
      <c r="J539" s="166"/>
      <c r="K539" s="167"/>
    </row>
    <row r="540" ht="15.75" customHeight="1">
      <c r="J540" s="166"/>
      <c r="K540" s="167"/>
    </row>
    <row r="541" ht="15.75" customHeight="1">
      <c r="J541" s="166"/>
      <c r="K541" s="167"/>
    </row>
    <row r="542" ht="15.75" customHeight="1">
      <c r="J542" s="166"/>
      <c r="K542" s="167"/>
    </row>
    <row r="543" ht="15.75" customHeight="1">
      <c r="J543" s="166"/>
      <c r="K543" s="167"/>
    </row>
    <row r="544" ht="15.75" customHeight="1">
      <c r="J544" s="166"/>
      <c r="K544" s="167"/>
    </row>
    <row r="545" ht="15.75" customHeight="1">
      <c r="J545" s="166"/>
      <c r="K545" s="167"/>
    </row>
    <row r="546" ht="15.75" customHeight="1">
      <c r="J546" s="166"/>
      <c r="K546" s="167"/>
    </row>
    <row r="547" ht="15.75" customHeight="1">
      <c r="J547" s="166"/>
      <c r="K547" s="167"/>
    </row>
    <row r="548" ht="15.75" customHeight="1">
      <c r="J548" s="166"/>
      <c r="K548" s="167"/>
    </row>
    <row r="549" ht="15.75" customHeight="1">
      <c r="J549" s="166"/>
      <c r="K549" s="167"/>
    </row>
    <row r="550" ht="15.75" customHeight="1">
      <c r="J550" s="166"/>
      <c r="K550" s="167"/>
    </row>
    <row r="551" ht="15.75" customHeight="1">
      <c r="J551" s="166"/>
      <c r="K551" s="167"/>
    </row>
    <row r="552" ht="15.75" customHeight="1">
      <c r="J552" s="166"/>
      <c r="K552" s="167"/>
    </row>
    <row r="553" ht="15.75" customHeight="1">
      <c r="J553" s="166"/>
      <c r="K553" s="167"/>
    </row>
    <row r="554" ht="15.75" customHeight="1">
      <c r="J554" s="166"/>
      <c r="K554" s="167"/>
    </row>
    <row r="555" ht="15.75" customHeight="1">
      <c r="J555" s="166"/>
      <c r="K555" s="167"/>
    </row>
    <row r="556" ht="15.75" customHeight="1">
      <c r="J556" s="166"/>
      <c r="K556" s="167"/>
    </row>
    <row r="557" ht="15.75" customHeight="1">
      <c r="J557" s="166"/>
      <c r="K557" s="167"/>
    </row>
    <row r="558" ht="15.75" customHeight="1">
      <c r="J558" s="166"/>
      <c r="K558" s="167"/>
    </row>
    <row r="559" ht="15.75" customHeight="1">
      <c r="J559" s="166"/>
      <c r="K559" s="167"/>
    </row>
    <row r="560" ht="15.75" customHeight="1">
      <c r="J560" s="166"/>
      <c r="K560" s="167"/>
    </row>
    <row r="561" ht="15.75" customHeight="1">
      <c r="J561" s="166"/>
      <c r="K561" s="167"/>
    </row>
    <row r="562" ht="15.75" customHeight="1">
      <c r="J562" s="166"/>
      <c r="K562" s="167"/>
    </row>
    <row r="563" ht="15.75" customHeight="1">
      <c r="J563" s="166"/>
      <c r="K563" s="167"/>
    </row>
    <row r="564" ht="15.75" customHeight="1">
      <c r="J564" s="166"/>
      <c r="K564" s="167"/>
    </row>
    <row r="565" ht="15.75" customHeight="1">
      <c r="J565" s="166"/>
      <c r="K565" s="167"/>
    </row>
    <row r="566" ht="15.75" customHeight="1">
      <c r="J566" s="166"/>
      <c r="K566" s="167"/>
    </row>
    <row r="567" ht="15.75" customHeight="1">
      <c r="J567" s="166"/>
      <c r="K567" s="167"/>
    </row>
    <row r="568" ht="15.75" customHeight="1">
      <c r="J568" s="166"/>
      <c r="K568" s="167"/>
    </row>
    <row r="569" ht="15.75" customHeight="1">
      <c r="J569" s="166"/>
      <c r="K569" s="167"/>
    </row>
    <row r="570" ht="15.75" customHeight="1">
      <c r="J570" s="166"/>
      <c r="K570" s="167"/>
    </row>
    <row r="571" ht="15.75" customHeight="1">
      <c r="J571" s="166"/>
      <c r="K571" s="167"/>
    </row>
    <row r="572" ht="15.75" customHeight="1">
      <c r="J572" s="166"/>
      <c r="K572" s="167"/>
    </row>
    <row r="573" ht="15.75" customHeight="1">
      <c r="J573" s="166"/>
      <c r="K573" s="167"/>
    </row>
    <row r="574" ht="15.75" customHeight="1">
      <c r="J574" s="166"/>
      <c r="K574" s="167"/>
    </row>
    <row r="575" ht="15.75" customHeight="1">
      <c r="J575" s="166"/>
      <c r="K575" s="167"/>
    </row>
    <row r="576" ht="15.75" customHeight="1">
      <c r="J576" s="166"/>
      <c r="K576" s="167"/>
    </row>
    <row r="577" ht="15.75" customHeight="1">
      <c r="J577" s="166"/>
      <c r="K577" s="167"/>
    </row>
    <row r="578" ht="15.75" customHeight="1">
      <c r="J578" s="166"/>
      <c r="K578" s="167"/>
    </row>
    <row r="579" ht="15.75" customHeight="1">
      <c r="J579" s="166"/>
      <c r="K579" s="167"/>
    </row>
    <row r="580" ht="15.75" customHeight="1">
      <c r="J580" s="166"/>
      <c r="K580" s="167"/>
    </row>
    <row r="581" ht="15.75" customHeight="1">
      <c r="J581" s="166"/>
      <c r="K581" s="167"/>
    </row>
    <row r="582" ht="15.75" customHeight="1">
      <c r="J582" s="166"/>
      <c r="K582" s="167"/>
    </row>
    <row r="583" ht="15.75" customHeight="1">
      <c r="J583" s="166"/>
      <c r="K583" s="167"/>
    </row>
    <row r="584" ht="15.75" customHeight="1">
      <c r="J584" s="166"/>
      <c r="K584" s="167"/>
    </row>
    <row r="585" ht="15.75" customHeight="1">
      <c r="J585" s="166"/>
      <c r="K585" s="167"/>
    </row>
    <row r="586" ht="15.75" customHeight="1">
      <c r="J586" s="166"/>
      <c r="K586" s="167"/>
    </row>
    <row r="587" ht="15.75" customHeight="1">
      <c r="J587" s="166"/>
      <c r="K587" s="167"/>
    </row>
    <row r="588" ht="15.75" customHeight="1">
      <c r="J588" s="166"/>
      <c r="K588" s="167"/>
    </row>
    <row r="589" ht="15.75" customHeight="1">
      <c r="J589" s="166"/>
      <c r="K589" s="167"/>
    </row>
    <row r="590" ht="15.75" customHeight="1">
      <c r="J590" s="166"/>
      <c r="K590" s="167"/>
    </row>
    <row r="591" ht="15.75" customHeight="1">
      <c r="J591" s="166"/>
      <c r="K591" s="167"/>
    </row>
    <row r="592" ht="15.75" customHeight="1">
      <c r="J592" s="166"/>
      <c r="K592" s="167"/>
    </row>
    <row r="593" ht="15.75" customHeight="1">
      <c r="J593" s="166"/>
      <c r="K593" s="167"/>
    </row>
    <row r="594" ht="15.75" customHeight="1">
      <c r="J594" s="166"/>
      <c r="K594" s="167"/>
    </row>
    <row r="595" ht="15.75" customHeight="1">
      <c r="J595" s="166"/>
      <c r="K595" s="167"/>
    </row>
    <row r="596" ht="15.75" customHeight="1">
      <c r="J596" s="166"/>
      <c r="K596" s="167"/>
    </row>
    <row r="597" ht="15.75" customHeight="1">
      <c r="J597" s="166"/>
      <c r="K597" s="167"/>
    </row>
    <row r="598" ht="15.75" customHeight="1">
      <c r="J598" s="166"/>
      <c r="K598" s="167"/>
    </row>
    <row r="599" ht="15.75" customHeight="1">
      <c r="J599" s="166"/>
      <c r="K599" s="167"/>
    </row>
    <row r="600" ht="15.75" customHeight="1">
      <c r="J600" s="166"/>
      <c r="K600" s="167"/>
    </row>
    <row r="601" ht="15.75" customHeight="1">
      <c r="J601" s="166"/>
      <c r="K601" s="167"/>
    </row>
    <row r="602" ht="15.75" customHeight="1">
      <c r="J602" s="166"/>
      <c r="K602" s="167"/>
    </row>
    <row r="603" ht="15.75" customHeight="1">
      <c r="J603" s="166"/>
      <c r="K603" s="167"/>
    </row>
    <row r="604" ht="15.75" customHeight="1">
      <c r="J604" s="166"/>
      <c r="K604" s="167"/>
    </row>
    <row r="605" ht="15.75" customHeight="1">
      <c r="J605" s="166"/>
      <c r="K605" s="167"/>
    </row>
    <row r="606" ht="15.75" customHeight="1">
      <c r="J606" s="166"/>
      <c r="K606" s="167"/>
    </row>
    <row r="607" ht="15.75" customHeight="1">
      <c r="J607" s="166"/>
      <c r="K607" s="167"/>
    </row>
    <row r="608" ht="15.75" customHeight="1">
      <c r="J608" s="166"/>
      <c r="K608" s="167"/>
    </row>
    <row r="609" ht="15.75" customHeight="1">
      <c r="J609" s="166"/>
      <c r="K609" s="167"/>
    </row>
    <row r="610" ht="15.75" customHeight="1">
      <c r="J610" s="166"/>
      <c r="K610" s="167"/>
    </row>
    <row r="611" ht="15.75" customHeight="1">
      <c r="J611" s="166"/>
      <c r="K611" s="167"/>
    </row>
    <row r="612" ht="15.75" customHeight="1">
      <c r="J612" s="166"/>
      <c r="K612" s="167"/>
    </row>
    <row r="613" ht="15.75" customHeight="1">
      <c r="J613" s="166"/>
      <c r="K613" s="167"/>
    </row>
    <row r="614" ht="15.75" customHeight="1">
      <c r="J614" s="166"/>
      <c r="K614" s="167"/>
    </row>
    <row r="615" ht="15.75" customHeight="1">
      <c r="J615" s="166"/>
      <c r="K615" s="167"/>
    </row>
    <row r="616" ht="15.75" customHeight="1">
      <c r="J616" s="166"/>
      <c r="K616" s="167"/>
    </row>
    <row r="617" ht="15.75" customHeight="1">
      <c r="J617" s="166"/>
      <c r="K617" s="167"/>
    </row>
    <row r="618" ht="15.75" customHeight="1">
      <c r="J618" s="166"/>
      <c r="K618" s="167"/>
    </row>
    <row r="619" ht="15.75" customHeight="1">
      <c r="J619" s="166"/>
      <c r="K619" s="167"/>
    </row>
    <row r="620" ht="15.75" customHeight="1">
      <c r="J620" s="166"/>
      <c r="K620" s="167"/>
    </row>
    <row r="621" ht="15.75" customHeight="1">
      <c r="J621" s="166"/>
      <c r="K621" s="167"/>
    </row>
    <row r="622" ht="15.75" customHeight="1">
      <c r="J622" s="166"/>
      <c r="K622" s="167"/>
    </row>
    <row r="623" ht="15.75" customHeight="1">
      <c r="J623" s="166"/>
      <c r="K623" s="167"/>
    </row>
    <row r="624" ht="15.75" customHeight="1">
      <c r="J624" s="166"/>
      <c r="K624" s="167"/>
    </row>
    <row r="625" ht="15.75" customHeight="1">
      <c r="J625" s="166"/>
      <c r="K625" s="167"/>
    </row>
    <row r="626" ht="15.75" customHeight="1">
      <c r="J626" s="166"/>
      <c r="K626" s="167"/>
    </row>
    <row r="627" ht="15.75" customHeight="1">
      <c r="J627" s="166"/>
      <c r="K627" s="167"/>
    </row>
    <row r="628" ht="15.75" customHeight="1">
      <c r="J628" s="166"/>
      <c r="K628" s="167"/>
    </row>
    <row r="629" ht="15.75" customHeight="1">
      <c r="J629" s="166"/>
      <c r="K629" s="167"/>
    </row>
    <row r="630" ht="15.75" customHeight="1">
      <c r="J630" s="166"/>
      <c r="K630" s="167"/>
    </row>
    <row r="631" ht="15.75" customHeight="1">
      <c r="J631" s="166"/>
      <c r="K631" s="167"/>
    </row>
    <row r="632" ht="15.75" customHeight="1">
      <c r="J632" s="166"/>
      <c r="K632" s="167"/>
    </row>
    <row r="633" ht="15.75" customHeight="1">
      <c r="J633" s="166"/>
      <c r="K633" s="167"/>
    </row>
    <row r="634" ht="15.75" customHeight="1">
      <c r="J634" s="166"/>
      <c r="K634" s="167"/>
    </row>
    <row r="635" ht="15.75" customHeight="1">
      <c r="J635" s="166"/>
      <c r="K635" s="167"/>
    </row>
    <row r="636" ht="15.75" customHeight="1">
      <c r="J636" s="166"/>
      <c r="K636" s="167"/>
    </row>
    <row r="637" ht="15.75" customHeight="1">
      <c r="J637" s="166"/>
      <c r="K637" s="167"/>
    </row>
    <row r="638" ht="15.75" customHeight="1">
      <c r="J638" s="166"/>
      <c r="K638" s="167"/>
    </row>
    <row r="639" ht="15.75" customHeight="1">
      <c r="J639" s="166"/>
      <c r="K639" s="167"/>
    </row>
    <row r="640" ht="15.75" customHeight="1">
      <c r="J640" s="166"/>
      <c r="K640" s="167"/>
    </row>
    <row r="641" ht="15.75" customHeight="1">
      <c r="J641" s="166"/>
      <c r="K641" s="167"/>
    </row>
    <row r="642" ht="15.75" customHeight="1">
      <c r="J642" s="166"/>
      <c r="K642" s="167"/>
    </row>
    <row r="643" ht="15.75" customHeight="1">
      <c r="J643" s="166"/>
      <c r="K643" s="167"/>
    </row>
    <row r="644" ht="15.75" customHeight="1">
      <c r="J644" s="166"/>
      <c r="K644" s="167"/>
    </row>
    <row r="645" ht="15.75" customHeight="1">
      <c r="J645" s="166"/>
      <c r="K645" s="167"/>
    </row>
    <row r="646" ht="15.75" customHeight="1">
      <c r="J646" s="166"/>
      <c r="K646" s="167"/>
    </row>
    <row r="647" ht="15.75" customHeight="1">
      <c r="J647" s="166"/>
      <c r="K647" s="167"/>
    </row>
    <row r="648" ht="15.75" customHeight="1">
      <c r="J648" s="166"/>
      <c r="K648" s="167"/>
    </row>
    <row r="649" ht="15.75" customHeight="1">
      <c r="J649" s="166"/>
      <c r="K649" s="167"/>
    </row>
    <row r="650" ht="15.75" customHeight="1">
      <c r="J650" s="166"/>
      <c r="K650" s="167"/>
    </row>
    <row r="651" ht="15.75" customHeight="1">
      <c r="J651" s="166"/>
      <c r="K651" s="167"/>
    </row>
    <row r="652" ht="15.75" customHeight="1">
      <c r="J652" s="166"/>
      <c r="K652" s="167"/>
    </row>
    <row r="653" ht="15.75" customHeight="1">
      <c r="J653" s="166"/>
      <c r="K653" s="167"/>
    </row>
    <row r="654" ht="15.75" customHeight="1">
      <c r="J654" s="166"/>
      <c r="K654" s="167"/>
    </row>
    <row r="655" ht="15.75" customHeight="1">
      <c r="J655" s="166"/>
      <c r="K655" s="167"/>
    </row>
    <row r="656" ht="15.75" customHeight="1">
      <c r="J656" s="166"/>
      <c r="K656" s="167"/>
    </row>
    <row r="657" ht="15.75" customHeight="1">
      <c r="J657" s="166"/>
      <c r="K657" s="167"/>
    </row>
    <row r="658" ht="15.75" customHeight="1">
      <c r="J658" s="166"/>
      <c r="K658" s="167"/>
    </row>
    <row r="659" ht="15.75" customHeight="1">
      <c r="J659" s="166"/>
      <c r="K659" s="167"/>
    </row>
    <row r="660" ht="15.75" customHeight="1">
      <c r="J660" s="166"/>
      <c r="K660" s="167"/>
    </row>
    <row r="661" ht="15.75" customHeight="1">
      <c r="J661" s="166"/>
      <c r="K661" s="167"/>
    </row>
    <row r="662" ht="15.75" customHeight="1">
      <c r="J662" s="166"/>
      <c r="K662" s="167"/>
    </row>
    <row r="663" ht="15.75" customHeight="1">
      <c r="J663" s="166"/>
      <c r="K663" s="167"/>
    </row>
    <row r="664" ht="15.75" customHeight="1">
      <c r="J664" s="166"/>
      <c r="K664" s="167"/>
    </row>
    <row r="665" ht="15.75" customHeight="1">
      <c r="J665" s="166"/>
      <c r="K665" s="167"/>
    </row>
    <row r="666" ht="15.75" customHeight="1">
      <c r="J666" s="166"/>
      <c r="K666" s="167"/>
    </row>
    <row r="667" ht="15.75" customHeight="1">
      <c r="J667" s="166"/>
      <c r="K667" s="167"/>
    </row>
    <row r="668" ht="15.75" customHeight="1">
      <c r="J668" s="166"/>
      <c r="K668" s="167"/>
    </row>
    <row r="669" ht="15.75" customHeight="1">
      <c r="J669" s="166"/>
      <c r="K669" s="167"/>
    </row>
    <row r="670" ht="15.75" customHeight="1">
      <c r="J670" s="166"/>
      <c r="K670" s="167"/>
    </row>
    <row r="671" ht="15.75" customHeight="1">
      <c r="J671" s="166"/>
      <c r="K671" s="167"/>
    </row>
    <row r="672" ht="15.75" customHeight="1">
      <c r="J672" s="166"/>
      <c r="K672" s="167"/>
    </row>
    <row r="673" ht="15.75" customHeight="1">
      <c r="J673" s="166"/>
      <c r="K673" s="167"/>
    </row>
    <row r="674" ht="15.75" customHeight="1">
      <c r="J674" s="166"/>
      <c r="K674" s="167"/>
    </row>
    <row r="675" ht="15.75" customHeight="1">
      <c r="J675" s="166"/>
      <c r="K675" s="167"/>
    </row>
    <row r="676" ht="15.75" customHeight="1">
      <c r="J676" s="166"/>
      <c r="K676" s="167"/>
    </row>
    <row r="677" ht="15.75" customHeight="1">
      <c r="J677" s="166"/>
      <c r="K677" s="167"/>
    </row>
    <row r="678" ht="15.75" customHeight="1">
      <c r="J678" s="166"/>
      <c r="K678" s="167"/>
    </row>
    <row r="679" ht="15.75" customHeight="1">
      <c r="J679" s="166"/>
      <c r="K679" s="167"/>
    </row>
    <row r="680" ht="15.75" customHeight="1">
      <c r="J680" s="166"/>
      <c r="K680" s="167"/>
    </row>
    <row r="681" ht="15.75" customHeight="1">
      <c r="J681" s="166"/>
      <c r="K681" s="167"/>
    </row>
    <row r="682" ht="15.75" customHeight="1">
      <c r="J682" s="166"/>
      <c r="K682" s="167"/>
    </row>
    <row r="683" ht="15.75" customHeight="1">
      <c r="J683" s="166"/>
      <c r="K683" s="167"/>
    </row>
    <row r="684" ht="15.75" customHeight="1">
      <c r="J684" s="166"/>
      <c r="K684" s="167"/>
    </row>
    <row r="685" ht="15.75" customHeight="1">
      <c r="J685" s="166"/>
      <c r="K685" s="167"/>
    </row>
    <row r="686" ht="15.75" customHeight="1">
      <c r="J686" s="166"/>
      <c r="K686" s="167"/>
    </row>
    <row r="687" ht="15.75" customHeight="1">
      <c r="J687" s="166"/>
      <c r="K687" s="167"/>
    </row>
    <row r="688" ht="15.75" customHeight="1">
      <c r="J688" s="166"/>
      <c r="K688" s="167"/>
    </row>
    <row r="689" ht="15.75" customHeight="1">
      <c r="J689" s="166"/>
      <c r="K689" s="167"/>
    </row>
    <row r="690" ht="15.75" customHeight="1">
      <c r="J690" s="166"/>
      <c r="K690" s="167"/>
    </row>
    <row r="691" ht="15.75" customHeight="1">
      <c r="J691" s="166"/>
      <c r="K691" s="167"/>
    </row>
    <row r="692" ht="15.75" customHeight="1">
      <c r="J692" s="166"/>
      <c r="K692" s="167"/>
    </row>
    <row r="693" ht="15.75" customHeight="1">
      <c r="J693" s="166"/>
      <c r="K693" s="167"/>
    </row>
    <row r="694" ht="15.75" customHeight="1">
      <c r="J694" s="166"/>
      <c r="K694" s="167"/>
    </row>
    <row r="695" ht="15.75" customHeight="1">
      <c r="J695" s="166"/>
      <c r="K695" s="167"/>
    </row>
    <row r="696" ht="15.75" customHeight="1">
      <c r="J696" s="166"/>
      <c r="K696" s="167"/>
    </row>
    <row r="697" ht="15.75" customHeight="1">
      <c r="J697" s="166"/>
      <c r="K697" s="167"/>
    </row>
    <row r="698" ht="15.75" customHeight="1">
      <c r="J698" s="166"/>
      <c r="K698" s="167"/>
    </row>
    <row r="699" ht="15.75" customHeight="1">
      <c r="J699" s="166"/>
      <c r="K699" s="167"/>
    </row>
    <row r="700" ht="15.75" customHeight="1">
      <c r="J700" s="166"/>
      <c r="K700" s="167"/>
    </row>
    <row r="701" ht="15.75" customHeight="1">
      <c r="J701" s="166"/>
      <c r="K701" s="167"/>
    </row>
    <row r="702" ht="15.75" customHeight="1">
      <c r="J702" s="166"/>
      <c r="K702" s="167"/>
    </row>
    <row r="703" ht="15.75" customHeight="1">
      <c r="J703" s="166"/>
      <c r="K703" s="167"/>
    </row>
    <row r="704" ht="15.75" customHeight="1">
      <c r="J704" s="166"/>
      <c r="K704" s="167"/>
    </row>
    <row r="705" ht="15.75" customHeight="1">
      <c r="J705" s="166"/>
      <c r="K705" s="167"/>
    </row>
    <row r="706" ht="15.75" customHeight="1">
      <c r="J706" s="166"/>
      <c r="K706" s="167"/>
    </row>
    <row r="707" ht="15.75" customHeight="1">
      <c r="J707" s="166"/>
      <c r="K707" s="167"/>
    </row>
    <row r="708" ht="15.75" customHeight="1">
      <c r="J708" s="166"/>
      <c r="K708" s="167"/>
    </row>
    <row r="709" ht="15.75" customHeight="1">
      <c r="J709" s="166"/>
      <c r="K709" s="167"/>
    </row>
    <row r="710" ht="15.75" customHeight="1">
      <c r="J710" s="166"/>
      <c r="K710" s="167"/>
    </row>
    <row r="711" ht="15.75" customHeight="1">
      <c r="J711" s="166"/>
      <c r="K711" s="167"/>
    </row>
    <row r="712" ht="15.75" customHeight="1">
      <c r="J712" s="166"/>
      <c r="K712" s="167"/>
    </row>
    <row r="713" ht="15.75" customHeight="1">
      <c r="J713" s="166"/>
      <c r="K713" s="167"/>
    </row>
    <row r="714" ht="15.75" customHeight="1">
      <c r="J714" s="166"/>
      <c r="K714" s="167"/>
    </row>
    <row r="715" ht="15.75" customHeight="1">
      <c r="J715" s="166"/>
      <c r="K715" s="167"/>
    </row>
    <row r="716" ht="15.75" customHeight="1">
      <c r="J716" s="166"/>
      <c r="K716" s="167"/>
    </row>
    <row r="717" ht="15.75" customHeight="1">
      <c r="J717" s="166"/>
      <c r="K717" s="167"/>
    </row>
    <row r="718" ht="15.75" customHeight="1">
      <c r="J718" s="166"/>
      <c r="K718" s="167"/>
    </row>
    <row r="719" ht="15.75" customHeight="1">
      <c r="J719" s="166"/>
      <c r="K719" s="167"/>
    </row>
    <row r="720" ht="15.75" customHeight="1">
      <c r="J720" s="166"/>
      <c r="K720" s="167"/>
    </row>
    <row r="721" ht="15.75" customHeight="1">
      <c r="J721" s="166"/>
      <c r="K721" s="167"/>
    </row>
    <row r="722" ht="15.75" customHeight="1">
      <c r="J722" s="166"/>
      <c r="K722" s="167"/>
    </row>
    <row r="723" ht="15.75" customHeight="1">
      <c r="J723" s="166"/>
      <c r="K723" s="167"/>
    </row>
    <row r="724" ht="15.75" customHeight="1">
      <c r="J724" s="166"/>
      <c r="K724" s="167"/>
    </row>
    <row r="725" ht="15.75" customHeight="1">
      <c r="J725" s="166"/>
      <c r="K725" s="167"/>
    </row>
    <row r="726" ht="15.75" customHeight="1">
      <c r="J726" s="166"/>
      <c r="K726" s="167"/>
    </row>
    <row r="727" ht="15.75" customHeight="1">
      <c r="J727" s="166"/>
      <c r="K727" s="167"/>
    </row>
    <row r="728" ht="15.75" customHeight="1">
      <c r="J728" s="166"/>
      <c r="K728" s="167"/>
    </row>
    <row r="729" ht="15.75" customHeight="1">
      <c r="J729" s="166"/>
      <c r="K729" s="167"/>
    </row>
    <row r="730" ht="15.75" customHeight="1">
      <c r="J730" s="166"/>
      <c r="K730" s="167"/>
    </row>
    <row r="731" ht="15.75" customHeight="1">
      <c r="J731" s="166"/>
      <c r="K731" s="167"/>
    </row>
    <row r="732" ht="15.75" customHeight="1">
      <c r="J732" s="166"/>
      <c r="K732" s="167"/>
    </row>
    <row r="733" ht="15.75" customHeight="1">
      <c r="J733" s="166"/>
      <c r="K733" s="167"/>
    </row>
    <row r="734" ht="15.75" customHeight="1">
      <c r="J734" s="166"/>
      <c r="K734" s="167"/>
    </row>
    <row r="735" ht="15.75" customHeight="1">
      <c r="J735" s="166"/>
      <c r="K735" s="167"/>
    </row>
    <row r="736" ht="15.75" customHeight="1">
      <c r="J736" s="166"/>
      <c r="K736" s="167"/>
    </row>
    <row r="737" ht="15.75" customHeight="1">
      <c r="J737" s="166"/>
      <c r="K737" s="167"/>
    </row>
    <row r="738" ht="15.75" customHeight="1">
      <c r="J738" s="166"/>
      <c r="K738" s="167"/>
    </row>
    <row r="739" ht="15.75" customHeight="1">
      <c r="J739" s="166"/>
      <c r="K739" s="167"/>
    </row>
    <row r="740" ht="15.75" customHeight="1">
      <c r="J740" s="166"/>
      <c r="K740" s="167"/>
    </row>
    <row r="741" ht="15.75" customHeight="1">
      <c r="J741" s="166"/>
      <c r="K741" s="167"/>
    </row>
    <row r="742" ht="15.75" customHeight="1">
      <c r="J742" s="166"/>
      <c r="K742" s="167"/>
    </row>
    <row r="743" ht="15.75" customHeight="1">
      <c r="J743" s="166"/>
      <c r="K743" s="167"/>
    </row>
    <row r="744" ht="15.75" customHeight="1">
      <c r="J744" s="166"/>
      <c r="K744" s="167"/>
    </row>
    <row r="745" ht="15.75" customHeight="1">
      <c r="J745" s="166"/>
      <c r="K745" s="167"/>
    </row>
    <row r="746" ht="15.75" customHeight="1">
      <c r="J746" s="166"/>
      <c r="K746" s="167"/>
    </row>
    <row r="747" ht="15.75" customHeight="1">
      <c r="J747" s="166"/>
      <c r="K747" s="167"/>
    </row>
    <row r="748" ht="15.75" customHeight="1">
      <c r="J748" s="166"/>
      <c r="K748" s="167"/>
    </row>
    <row r="749" ht="15.75" customHeight="1">
      <c r="J749" s="166"/>
      <c r="K749" s="167"/>
    </row>
    <row r="750" ht="15.75" customHeight="1">
      <c r="J750" s="166"/>
      <c r="K750" s="167"/>
    </row>
    <row r="751" ht="15.75" customHeight="1">
      <c r="J751" s="166"/>
      <c r="K751" s="167"/>
    </row>
    <row r="752" ht="15.75" customHeight="1">
      <c r="J752" s="166"/>
      <c r="K752" s="167"/>
    </row>
    <row r="753" ht="15.75" customHeight="1">
      <c r="J753" s="166"/>
      <c r="K753" s="167"/>
    </row>
    <row r="754" ht="15.75" customHeight="1">
      <c r="J754" s="166"/>
      <c r="K754" s="167"/>
    </row>
    <row r="755" ht="15.75" customHeight="1">
      <c r="J755" s="166"/>
      <c r="K755" s="167"/>
    </row>
    <row r="756" ht="15.75" customHeight="1">
      <c r="J756" s="166"/>
      <c r="K756" s="167"/>
    </row>
    <row r="757" ht="15.75" customHeight="1">
      <c r="J757" s="166"/>
      <c r="K757" s="167"/>
    </row>
    <row r="758" ht="15.75" customHeight="1">
      <c r="J758" s="166"/>
      <c r="K758" s="167"/>
    </row>
    <row r="759" ht="15.75" customHeight="1">
      <c r="J759" s="166"/>
      <c r="K759" s="167"/>
    </row>
    <row r="760" ht="15.75" customHeight="1">
      <c r="J760" s="166"/>
      <c r="K760" s="167"/>
    </row>
    <row r="761" ht="15.75" customHeight="1">
      <c r="J761" s="166"/>
      <c r="K761" s="167"/>
    </row>
    <row r="762" ht="15.75" customHeight="1">
      <c r="J762" s="166"/>
      <c r="K762" s="167"/>
    </row>
    <row r="763" ht="15.75" customHeight="1">
      <c r="J763" s="166"/>
      <c r="K763" s="167"/>
    </row>
    <row r="764" ht="15.75" customHeight="1">
      <c r="J764" s="166"/>
      <c r="K764" s="167"/>
    </row>
    <row r="765" ht="15.75" customHeight="1">
      <c r="J765" s="166"/>
      <c r="K765" s="167"/>
    </row>
    <row r="766" ht="15.75" customHeight="1">
      <c r="J766" s="166"/>
      <c r="K766" s="167"/>
    </row>
    <row r="767" ht="15.75" customHeight="1">
      <c r="J767" s="166"/>
      <c r="K767" s="167"/>
    </row>
    <row r="768" ht="15.75" customHeight="1">
      <c r="J768" s="166"/>
      <c r="K768" s="167"/>
    </row>
    <row r="769" ht="15.75" customHeight="1">
      <c r="J769" s="166"/>
      <c r="K769" s="167"/>
    </row>
    <row r="770" ht="15.75" customHeight="1">
      <c r="J770" s="166"/>
      <c r="K770" s="167"/>
    </row>
    <row r="771" ht="15.75" customHeight="1">
      <c r="J771" s="166"/>
      <c r="K771" s="167"/>
    </row>
    <row r="772" ht="15.75" customHeight="1">
      <c r="J772" s="166"/>
      <c r="K772" s="167"/>
    </row>
    <row r="773" ht="15.75" customHeight="1">
      <c r="J773" s="166"/>
      <c r="K773" s="167"/>
    </row>
    <row r="774" ht="15.75" customHeight="1">
      <c r="J774" s="166"/>
      <c r="K774" s="167"/>
    </row>
    <row r="775" ht="15.75" customHeight="1">
      <c r="J775" s="166"/>
      <c r="K775" s="167"/>
    </row>
    <row r="776" ht="15.75" customHeight="1">
      <c r="J776" s="166"/>
      <c r="K776" s="167"/>
    </row>
    <row r="777" ht="15.75" customHeight="1">
      <c r="J777" s="166"/>
      <c r="K777" s="167"/>
    </row>
    <row r="778" ht="15.75" customHeight="1">
      <c r="J778" s="166"/>
      <c r="K778" s="167"/>
    </row>
    <row r="779" ht="15.75" customHeight="1">
      <c r="J779" s="166"/>
      <c r="K779" s="167"/>
    </row>
    <row r="780" ht="15.75" customHeight="1">
      <c r="J780" s="166"/>
      <c r="K780" s="167"/>
    </row>
    <row r="781" ht="15.75" customHeight="1">
      <c r="J781" s="166"/>
      <c r="K781" s="167"/>
    </row>
    <row r="782" ht="15.75" customHeight="1">
      <c r="J782" s="166"/>
      <c r="K782" s="167"/>
    </row>
    <row r="783" ht="15.75" customHeight="1">
      <c r="J783" s="166"/>
      <c r="K783" s="167"/>
    </row>
    <row r="784" ht="15.75" customHeight="1">
      <c r="J784" s="166"/>
      <c r="K784" s="167"/>
    </row>
    <row r="785" ht="15.75" customHeight="1">
      <c r="J785" s="166"/>
      <c r="K785" s="167"/>
    </row>
    <row r="786" ht="15.75" customHeight="1">
      <c r="J786" s="166"/>
      <c r="K786" s="167"/>
    </row>
    <row r="787" ht="15.75" customHeight="1">
      <c r="J787" s="166"/>
      <c r="K787" s="167"/>
    </row>
    <row r="788" ht="15.75" customHeight="1">
      <c r="J788" s="166"/>
      <c r="K788" s="167"/>
    </row>
    <row r="789" ht="15.75" customHeight="1">
      <c r="J789" s="166"/>
      <c r="K789" s="167"/>
    </row>
    <row r="790" ht="15.75" customHeight="1">
      <c r="J790" s="166"/>
      <c r="K790" s="167"/>
    </row>
    <row r="791" ht="15.75" customHeight="1">
      <c r="J791" s="166"/>
      <c r="K791" s="167"/>
    </row>
    <row r="792" ht="15.75" customHeight="1">
      <c r="J792" s="166"/>
      <c r="K792" s="167"/>
    </row>
    <row r="793" ht="15.75" customHeight="1">
      <c r="J793" s="166"/>
      <c r="K793" s="167"/>
    </row>
    <row r="794" ht="15.75" customHeight="1">
      <c r="J794" s="166"/>
      <c r="K794" s="167"/>
    </row>
    <row r="795" ht="15.75" customHeight="1">
      <c r="J795" s="166"/>
      <c r="K795" s="167"/>
    </row>
    <row r="796" ht="15.75" customHeight="1">
      <c r="J796" s="166"/>
      <c r="K796" s="167"/>
    </row>
    <row r="797" ht="15.75" customHeight="1">
      <c r="J797" s="166"/>
      <c r="K797" s="167"/>
    </row>
    <row r="798" ht="15.75" customHeight="1">
      <c r="J798" s="166"/>
      <c r="K798" s="167"/>
    </row>
    <row r="799" ht="15.75" customHeight="1">
      <c r="J799" s="166"/>
      <c r="K799" s="167"/>
    </row>
    <row r="800" ht="15.75" customHeight="1">
      <c r="J800" s="166"/>
      <c r="K800" s="167"/>
    </row>
    <row r="801" ht="15.75" customHeight="1">
      <c r="J801" s="166"/>
      <c r="K801" s="167"/>
    </row>
    <row r="802" ht="15.75" customHeight="1">
      <c r="J802" s="166"/>
      <c r="K802" s="167"/>
    </row>
    <row r="803" ht="15.75" customHeight="1">
      <c r="J803" s="166"/>
      <c r="K803" s="167"/>
    </row>
    <row r="804" ht="15.75" customHeight="1">
      <c r="J804" s="166"/>
      <c r="K804" s="167"/>
    </row>
    <row r="805" ht="15.75" customHeight="1">
      <c r="J805" s="166"/>
      <c r="K805" s="167"/>
    </row>
    <row r="806" ht="15.75" customHeight="1">
      <c r="J806" s="166"/>
      <c r="K806" s="167"/>
    </row>
    <row r="807" ht="15.75" customHeight="1">
      <c r="J807" s="166"/>
      <c r="K807" s="167"/>
    </row>
    <row r="808" ht="15.75" customHeight="1">
      <c r="J808" s="166"/>
      <c r="K808" s="167"/>
    </row>
    <row r="809" ht="15.75" customHeight="1">
      <c r="J809" s="166"/>
      <c r="K809" s="167"/>
    </row>
    <row r="810" ht="15.75" customHeight="1">
      <c r="J810" s="166"/>
      <c r="K810" s="167"/>
    </row>
    <row r="811" ht="15.75" customHeight="1">
      <c r="J811" s="166"/>
      <c r="K811" s="167"/>
    </row>
    <row r="812" ht="15.75" customHeight="1">
      <c r="J812" s="166"/>
      <c r="K812" s="167"/>
    </row>
    <row r="813" ht="15.75" customHeight="1">
      <c r="J813" s="166"/>
      <c r="K813" s="167"/>
    </row>
    <row r="814" ht="15.75" customHeight="1">
      <c r="J814" s="166"/>
      <c r="K814" s="167"/>
    </row>
    <row r="815" ht="15.75" customHeight="1">
      <c r="J815" s="166"/>
      <c r="K815" s="167"/>
    </row>
    <row r="816" ht="15.75" customHeight="1">
      <c r="J816" s="166"/>
      <c r="K816" s="167"/>
    </row>
    <row r="817" ht="15.75" customHeight="1">
      <c r="J817" s="166"/>
      <c r="K817" s="167"/>
    </row>
    <row r="818" ht="15.75" customHeight="1">
      <c r="J818" s="166"/>
      <c r="K818" s="167"/>
    </row>
    <row r="819" ht="15.75" customHeight="1">
      <c r="J819" s="166"/>
      <c r="K819" s="167"/>
    </row>
    <row r="820" ht="15.75" customHeight="1">
      <c r="J820" s="166"/>
      <c r="K820" s="167"/>
    </row>
    <row r="821" ht="15.75" customHeight="1">
      <c r="J821" s="166"/>
      <c r="K821" s="167"/>
    </row>
    <row r="822" ht="15.75" customHeight="1">
      <c r="J822" s="166"/>
      <c r="K822" s="167"/>
    </row>
    <row r="823" ht="15.75" customHeight="1">
      <c r="J823" s="166"/>
      <c r="K823" s="167"/>
    </row>
    <row r="824" ht="15.75" customHeight="1">
      <c r="J824" s="166"/>
      <c r="K824" s="167"/>
    </row>
    <row r="825" ht="15.75" customHeight="1">
      <c r="J825" s="166"/>
      <c r="K825" s="167"/>
    </row>
    <row r="826" ht="15.75" customHeight="1">
      <c r="J826" s="166"/>
      <c r="K826" s="167"/>
    </row>
    <row r="827" ht="15.75" customHeight="1">
      <c r="J827" s="166"/>
      <c r="K827" s="167"/>
    </row>
    <row r="828" ht="15.75" customHeight="1">
      <c r="J828" s="166"/>
      <c r="K828" s="167"/>
    </row>
    <row r="829" ht="15.75" customHeight="1">
      <c r="J829" s="166"/>
      <c r="K829" s="167"/>
    </row>
    <row r="830" ht="15.75" customHeight="1">
      <c r="J830" s="166"/>
      <c r="K830" s="167"/>
    </row>
    <row r="831" ht="15.75" customHeight="1">
      <c r="J831" s="166"/>
      <c r="K831" s="167"/>
    </row>
    <row r="832" ht="15.75" customHeight="1">
      <c r="J832" s="166"/>
      <c r="K832" s="167"/>
    </row>
    <row r="833" ht="15.75" customHeight="1">
      <c r="J833" s="166"/>
      <c r="K833" s="167"/>
    </row>
    <row r="834" ht="15.75" customHeight="1">
      <c r="J834" s="166"/>
      <c r="K834" s="167"/>
    </row>
    <row r="835" ht="15.75" customHeight="1">
      <c r="J835" s="166"/>
      <c r="K835" s="167"/>
    </row>
    <row r="836" ht="15.75" customHeight="1">
      <c r="J836" s="166"/>
      <c r="K836" s="167"/>
    </row>
    <row r="837" ht="15.75" customHeight="1">
      <c r="J837" s="166"/>
      <c r="K837" s="167"/>
    </row>
    <row r="838" ht="15.75" customHeight="1">
      <c r="J838" s="166"/>
      <c r="K838" s="167"/>
    </row>
    <row r="839" ht="15.75" customHeight="1">
      <c r="J839" s="166"/>
      <c r="K839" s="167"/>
    </row>
    <row r="840" ht="15.75" customHeight="1">
      <c r="J840" s="166"/>
      <c r="K840" s="167"/>
    </row>
    <row r="841" ht="15.75" customHeight="1">
      <c r="J841" s="166"/>
      <c r="K841" s="167"/>
    </row>
    <row r="842" ht="15.75" customHeight="1">
      <c r="J842" s="166"/>
      <c r="K842" s="167"/>
    </row>
    <row r="843" ht="15.75" customHeight="1">
      <c r="J843" s="166"/>
      <c r="K843" s="167"/>
    </row>
    <row r="844" ht="15.75" customHeight="1">
      <c r="J844" s="166"/>
      <c r="K844" s="167"/>
    </row>
    <row r="845" ht="15.75" customHeight="1">
      <c r="J845" s="166"/>
      <c r="K845" s="167"/>
    </row>
    <row r="846" ht="15.75" customHeight="1">
      <c r="J846" s="166"/>
      <c r="K846" s="167"/>
    </row>
    <row r="847" ht="15.75" customHeight="1">
      <c r="J847" s="166"/>
      <c r="K847" s="167"/>
    </row>
    <row r="848" ht="15.75" customHeight="1">
      <c r="J848" s="166"/>
      <c r="K848" s="167"/>
    </row>
    <row r="849" ht="15.75" customHeight="1">
      <c r="J849" s="166"/>
      <c r="K849" s="167"/>
    </row>
    <row r="850" ht="15.75" customHeight="1">
      <c r="J850" s="166"/>
      <c r="K850" s="167"/>
    </row>
    <row r="851" ht="15.75" customHeight="1">
      <c r="J851" s="166"/>
      <c r="K851" s="167"/>
    </row>
    <row r="852" ht="15.75" customHeight="1">
      <c r="J852" s="166"/>
      <c r="K852" s="167"/>
    </row>
    <row r="853" ht="15.75" customHeight="1">
      <c r="J853" s="166"/>
      <c r="K853" s="167"/>
    </row>
    <row r="854" ht="15.75" customHeight="1">
      <c r="J854" s="166"/>
      <c r="K854" s="167"/>
    </row>
    <row r="855" ht="15.75" customHeight="1">
      <c r="J855" s="166"/>
      <c r="K855" s="167"/>
    </row>
    <row r="856" ht="15.75" customHeight="1">
      <c r="J856" s="166"/>
      <c r="K856" s="167"/>
    </row>
    <row r="857" ht="15.75" customHeight="1">
      <c r="J857" s="166"/>
      <c r="K857" s="167"/>
    </row>
    <row r="858" ht="15.75" customHeight="1">
      <c r="J858" s="166"/>
      <c r="K858" s="167"/>
    </row>
    <row r="859" ht="15.75" customHeight="1">
      <c r="J859" s="166"/>
      <c r="K859" s="167"/>
    </row>
    <row r="860" ht="15.75" customHeight="1">
      <c r="J860" s="166"/>
      <c r="K860" s="167"/>
    </row>
    <row r="861" ht="15.75" customHeight="1">
      <c r="J861" s="166"/>
      <c r="K861" s="167"/>
    </row>
    <row r="862" ht="15.75" customHeight="1">
      <c r="J862" s="166"/>
      <c r="K862" s="167"/>
    </row>
    <row r="863" ht="15.75" customHeight="1">
      <c r="J863" s="166"/>
      <c r="K863" s="167"/>
    </row>
    <row r="864" ht="15.75" customHeight="1">
      <c r="J864" s="166"/>
      <c r="K864" s="167"/>
    </row>
    <row r="865" ht="15.75" customHeight="1">
      <c r="J865" s="166"/>
      <c r="K865" s="167"/>
    </row>
    <row r="866" ht="15.75" customHeight="1">
      <c r="J866" s="166"/>
      <c r="K866" s="167"/>
    </row>
    <row r="867" ht="15.75" customHeight="1">
      <c r="J867" s="166"/>
      <c r="K867" s="167"/>
    </row>
    <row r="868" ht="15.75" customHeight="1">
      <c r="J868" s="166"/>
      <c r="K868" s="167"/>
    </row>
    <row r="869" ht="15.75" customHeight="1">
      <c r="J869" s="166"/>
      <c r="K869" s="167"/>
    </row>
    <row r="870" ht="15.75" customHeight="1">
      <c r="J870" s="166"/>
      <c r="K870" s="167"/>
    </row>
    <row r="871" ht="15.75" customHeight="1">
      <c r="J871" s="166"/>
      <c r="K871" s="167"/>
    </row>
    <row r="872" ht="15.75" customHeight="1">
      <c r="J872" s="166"/>
      <c r="K872" s="167"/>
    </row>
    <row r="873" ht="15.75" customHeight="1">
      <c r="J873" s="166"/>
      <c r="K873" s="167"/>
    </row>
    <row r="874" ht="15.75" customHeight="1">
      <c r="J874" s="166"/>
      <c r="K874" s="167"/>
    </row>
    <row r="875" ht="15.75" customHeight="1">
      <c r="J875" s="166"/>
      <c r="K875" s="167"/>
    </row>
    <row r="876" ht="15.75" customHeight="1">
      <c r="J876" s="166"/>
      <c r="K876" s="167"/>
    </row>
    <row r="877" ht="15.75" customHeight="1">
      <c r="J877" s="166"/>
      <c r="K877" s="167"/>
    </row>
    <row r="878" ht="15.75" customHeight="1">
      <c r="J878" s="166"/>
      <c r="K878" s="167"/>
    </row>
    <row r="879" ht="15.75" customHeight="1">
      <c r="J879" s="166"/>
      <c r="K879" s="167"/>
    </row>
    <row r="880" ht="15.75" customHeight="1">
      <c r="J880" s="166"/>
      <c r="K880" s="167"/>
    </row>
    <row r="881" ht="15.75" customHeight="1">
      <c r="J881" s="166"/>
      <c r="K881" s="167"/>
    </row>
    <row r="882" ht="15.75" customHeight="1">
      <c r="J882" s="166"/>
      <c r="K882" s="167"/>
    </row>
    <row r="883" ht="15.75" customHeight="1">
      <c r="J883" s="166"/>
      <c r="K883" s="167"/>
    </row>
    <row r="884" ht="15.75" customHeight="1">
      <c r="J884" s="166"/>
      <c r="K884" s="167"/>
    </row>
    <row r="885" ht="15.75" customHeight="1">
      <c r="J885" s="166"/>
      <c r="K885" s="167"/>
    </row>
    <row r="886" ht="15.75" customHeight="1">
      <c r="J886" s="166"/>
      <c r="K886" s="167"/>
    </row>
    <row r="887" ht="15.75" customHeight="1">
      <c r="J887" s="166"/>
      <c r="K887" s="167"/>
    </row>
    <row r="888" ht="15.75" customHeight="1">
      <c r="J888" s="166"/>
      <c r="K888" s="167"/>
    </row>
    <row r="889" ht="15.75" customHeight="1">
      <c r="J889" s="166"/>
      <c r="K889" s="167"/>
    </row>
    <row r="890" ht="15.75" customHeight="1">
      <c r="J890" s="166"/>
      <c r="K890" s="167"/>
    </row>
    <row r="891" ht="15.75" customHeight="1">
      <c r="J891" s="166"/>
      <c r="K891" s="167"/>
    </row>
    <row r="892" ht="15.75" customHeight="1">
      <c r="J892" s="166"/>
      <c r="K892" s="167"/>
    </row>
    <row r="893" ht="15.75" customHeight="1">
      <c r="J893" s="166"/>
      <c r="K893" s="167"/>
    </row>
    <row r="894" ht="15.75" customHeight="1">
      <c r="J894" s="166"/>
      <c r="K894" s="167"/>
    </row>
    <row r="895" ht="15.75" customHeight="1">
      <c r="J895" s="166"/>
      <c r="K895" s="167"/>
    </row>
    <row r="896" ht="15.75" customHeight="1">
      <c r="J896" s="166"/>
      <c r="K896" s="167"/>
    </row>
    <row r="897" ht="15.75" customHeight="1">
      <c r="J897" s="166"/>
      <c r="K897" s="167"/>
    </row>
    <row r="898" ht="15.75" customHeight="1">
      <c r="J898" s="166"/>
      <c r="K898" s="167"/>
    </row>
    <row r="899" ht="15.75" customHeight="1">
      <c r="J899" s="166"/>
      <c r="K899" s="167"/>
    </row>
    <row r="900" ht="15.75" customHeight="1">
      <c r="J900" s="166"/>
      <c r="K900" s="167"/>
    </row>
    <row r="901" ht="15.75" customHeight="1">
      <c r="J901" s="166"/>
      <c r="K901" s="167"/>
    </row>
    <row r="902" ht="15.75" customHeight="1">
      <c r="J902" s="166"/>
      <c r="K902" s="167"/>
    </row>
    <row r="903" ht="15.75" customHeight="1">
      <c r="J903" s="166"/>
      <c r="K903" s="167"/>
    </row>
    <row r="904" ht="15.75" customHeight="1">
      <c r="J904" s="166"/>
      <c r="K904" s="167"/>
    </row>
    <row r="905" ht="15.75" customHeight="1">
      <c r="J905" s="166"/>
      <c r="K905" s="167"/>
    </row>
    <row r="906" ht="15.75" customHeight="1">
      <c r="J906" s="166"/>
      <c r="K906" s="167"/>
    </row>
    <row r="907" ht="15.75" customHeight="1">
      <c r="J907" s="166"/>
      <c r="K907" s="167"/>
    </row>
    <row r="908" ht="15.75" customHeight="1">
      <c r="J908" s="166"/>
      <c r="K908" s="167"/>
    </row>
    <row r="909" ht="15.75" customHeight="1">
      <c r="J909" s="166"/>
      <c r="K909" s="167"/>
    </row>
    <row r="910" ht="15.75" customHeight="1">
      <c r="J910" s="166"/>
      <c r="K910" s="167"/>
    </row>
    <row r="911" ht="15.75" customHeight="1">
      <c r="J911" s="166"/>
      <c r="K911" s="167"/>
    </row>
    <row r="912" ht="15.75" customHeight="1">
      <c r="J912" s="166"/>
      <c r="K912" s="167"/>
    </row>
    <row r="913" ht="15.75" customHeight="1">
      <c r="J913" s="166"/>
      <c r="K913" s="167"/>
    </row>
    <row r="914" ht="15.75" customHeight="1">
      <c r="J914" s="166"/>
      <c r="K914" s="167"/>
    </row>
    <row r="915" ht="15.75" customHeight="1">
      <c r="J915" s="166"/>
      <c r="K915" s="167"/>
    </row>
    <row r="916" ht="15.75" customHeight="1">
      <c r="J916" s="166"/>
      <c r="K916" s="167"/>
    </row>
    <row r="917" ht="15.75" customHeight="1">
      <c r="J917" s="166"/>
      <c r="K917" s="167"/>
    </row>
    <row r="918" ht="15.75" customHeight="1">
      <c r="J918" s="166"/>
      <c r="K918" s="167"/>
    </row>
    <row r="919" ht="15.75" customHeight="1">
      <c r="J919" s="166"/>
      <c r="K919" s="167"/>
    </row>
    <row r="920" ht="15.75" customHeight="1">
      <c r="J920" s="166"/>
      <c r="K920" s="167"/>
    </row>
    <row r="921" ht="15.75" customHeight="1">
      <c r="J921" s="166"/>
      <c r="K921" s="167"/>
    </row>
    <row r="922" ht="15.75" customHeight="1">
      <c r="J922" s="166"/>
      <c r="K922" s="167"/>
    </row>
    <row r="923" ht="15.75" customHeight="1">
      <c r="J923" s="166"/>
      <c r="K923" s="167"/>
    </row>
    <row r="924" ht="15.75" customHeight="1">
      <c r="J924" s="166"/>
      <c r="K924" s="167"/>
    </row>
    <row r="925" ht="15.75" customHeight="1">
      <c r="J925" s="166"/>
      <c r="K925" s="167"/>
    </row>
    <row r="926" ht="15.75" customHeight="1">
      <c r="J926" s="166"/>
      <c r="K926" s="167"/>
    </row>
    <row r="927" ht="15.75" customHeight="1">
      <c r="J927" s="166"/>
      <c r="K927" s="167"/>
    </row>
    <row r="928" ht="15.75" customHeight="1">
      <c r="J928" s="166"/>
      <c r="K928" s="167"/>
    </row>
    <row r="929" ht="15.75" customHeight="1">
      <c r="J929" s="166"/>
      <c r="K929" s="167"/>
    </row>
    <row r="930" ht="15.75" customHeight="1">
      <c r="J930" s="166"/>
      <c r="K930" s="167"/>
    </row>
    <row r="931" ht="15.75" customHeight="1">
      <c r="J931" s="166"/>
      <c r="K931" s="167"/>
    </row>
    <row r="932" ht="15.75" customHeight="1">
      <c r="J932" s="166"/>
      <c r="K932" s="167"/>
    </row>
    <row r="933" ht="15.75" customHeight="1">
      <c r="J933" s="166"/>
      <c r="K933" s="167"/>
    </row>
    <row r="934" ht="15.75" customHeight="1">
      <c r="J934" s="166"/>
      <c r="K934" s="167"/>
    </row>
    <row r="935" ht="15.75" customHeight="1">
      <c r="J935" s="166"/>
      <c r="K935" s="167"/>
    </row>
    <row r="936" ht="15.75" customHeight="1">
      <c r="J936" s="166"/>
      <c r="K936" s="167"/>
    </row>
    <row r="937" ht="15.75" customHeight="1">
      <c r="J937" s="166"/>
      <c r="K937" s="167"/>
    </row>
    <row r="938" ht="15.75" customHeight="1">
      <c r="J938" s="166"/>
      <c r="K938" s="167"/>
    </row>
    <row r="939" ht="15.75" customHeight="1">
      <c r="J939" s="166"/>
      <c r="K939" s="167"/>
    </row>
    <row r="940" ht="15.75" customHeight="1">
      <c r="J940" s="166"/>
      <c r="K940" s="167"/>
    </row>
    <row r="941" ht="15.75" customHeight="1">
      <c r="J941" s="166"/>
      <c r="K941" s="167"/>
    </row>
    <row r="942" ht="15.75" customHeight="1">
      <c r="J942" s="166"/>
      <c r="K942" s="167"/>
    </row>
    <row r="943" ht="15.75" customHeight="1">
      <c r="J943" s="166"/>
      <c r="K943" s="167"/>
    </row>
    <row r="944" ht="15.75" customHeight="1">
      <c r="J944" s="166"/>
      <c r="K944" s="167"/>
    </row>
    <row r="945" ht="15.75" customHeight="1">
      <c r="J945" s="166"/>
      <c r="K945" s="167"/>
    </row>
    <row r="946" ht="15.75" customHeight="1">
      <c r="J946" s="166"/>
      <c r="K946" s="167"/>
    </row>
    <row r="947" ht="15.75" customHeight="1">
      <c r="J947" s="166"/>
      <c r="K947" s="167"/>
    </row>
    <row r="948" ht="15.75" customHeight="1">
      <c r="J948" s="166"/>
      <c r="K948" s="167"/>
    </row>
    <row r="949" ht="15.75" customHeight="1">
      <c r="J949" s="166"/>
      <c r="K949" s="167"/>
    </row>
    <row r="950" ht="15.75" customHeight="1">
      <c r="J950" s="166"/>
      <c r="K950" s="167"/>
    </row>
    <row r="951" ht="15.75" customHeight="1">
      <c r="J951" s="166"/>
      <c r="K951" s="167"/>
    </row>
    <row r="952" ht="15.75" customHeight="1">
      <c r="J952" s="166"/>
      <c r="K952" s="167"/>
    </row>
    <row r="953" ht="15.75" customHeight="1">
      <c r="J953" s="166"/>
      <c r="K953" s="167"/>
    </row>
    <row r="954" ht="15.75" customHeight="1">
      <c r="J954" s="166"/>
      <c r="K954" s="167"/>
    </row>
    <row r="955" ht="15.75" customHeight="1">
      <c r="J955" s="166"/>
      <c r="K955" s="167"/>
    </row>
    <row r="956" ht="15.75" customHeight="1">
      <c r="J956" s="166"/>
      <c r="K956" s="167"/>
    </row>
    <row r="957" ht="15.75" customHeight="1">
      <c r="J957" s="166"/>
      <c r="K957" s="167"/>
    </row>
    <row r="958" ht="15.75" customHeight="1">
      <c r="J958" s="166"/>
      <c r="K958" s="167"/>
    </row>
    <row r="959" ht="15.75" customHeight="1">
      <c r="J959" s="166"/>
      <c r="K959" s="167"/>
    </row>
    <row r="960" ht="15.75" customHeight="1">
      <c r="J960" s="166"/>
      <c r="K960" s="167"/>
    </row>
    <row r="961" ht="15.75" customHeight="1">
      <c r="J961" s="166"/>
      <c r="K961" s="167"/>
    </row>
    <row r="962" ht="15.75" customHeight="1">
      <c r="J962" s="166"/>
      <c r="K962" s="167"/>
    </row>
    <row r="963" ht="15.75" customHeight="1">
      <c r="J963" s="166"/>
      <c r="K963" s="167"/>
    </row>
    <row r="964" ht="15.75" customHeight="1">
      <c r="J964" s="166"/>
      <c r="K964" s="167"/>
    </row>
    <row r="965" ht="15.75" customHeight="1">
      <c r="J965" s="166"/>
      <c r="K965" s="167"/>
    </row>
    <row r="966" ht="15.75" customHeight="1">
      <c r="J966" s="166"/>
      <c r="K966" s="167"/>
    </row>
    <row r="967" ht="15.75" customHeight="1">
      <c r="J967" s="166"/>
      <c r="K967" s="167"/>
    </row>
    <row r="968" ht="15.75" customHeight="1">
      <c r="J968" s="166"/>
      <c r="K968" s="167"/>
    </row>
    <row r="969" ht="15.75" customHeight="1">
      <c r="J969" s="166"/>
      <c r="K969" s="167"/>
    </row>
    <row r="970" ht="15.75" customHeight="1">
      <c r="J970" s="166"/>
      <c r="K970" s="167"/>
    </row>
    <row r="971" ht="15.75" customHeight="1">
      <c r="J971" s="166"/>
      <c r="K971" s="167"/>
    </row>
    <row r="972" ht="15.75" customHeight="1">
      <c r="J972" s="166"/>
      <c r="K972" s="167"/>
    </row>
    <row r="973" ht="15.75" customHeight="1">
      <c r="J973" s="166"/>
      <c r="K973" s="167"/>
    </row>
    <row r="974" ht="15.75" customHeight="1">
      <c r="J974" s="166"/>
      <c r="K974" s="167"/>
    </row>
    <row r="975" ht="15.75" customHeight="1">
      <c r="J975" s="166"/>
      <c r="K975" s="167"/>
    </row>
    <row r="976" ht="15.75" customHeight="1">
      <c r="J976" s="166"/>
      <c r="K976" s="167"/>
    </row>
    <row r="977" ht="15.75" customHeight="1">
      <c r="J977" s="166"/>
      <c r="K977" s="167"/>
    </row>
    <row r="978" ht="15.75" customHeight="1">
      <c r="J978" s="166"/>
      <c r="K978" s="167"/>
    </row>
    <row r="979" ht="15.75" customHeight="1">
      <c r="J979" s="166"/>
      <c r="K979" s="167"/>
    </row>
    <row r="980" ht="15.75" customHeight="1">
      <c r="J980" s="166"/>
      <c r="K980" s="167"/>
    </row>
    <row r="981" ht="15.75" customHeight="1">
      <c r="J981" s="166"/>
      <c r="K981" s="167"/>
    </row>
    <row r="982" ht="15.75" customHeight="1">
      <c r="J982" s="166"/>
      <c r="K982" s="167"/>
    </row>
    <row r="983" ht="15.75" customHeight="1">
      <c r="J983" s="166"/>
      <c r="K983" s="167"/>
    </row>
    <row r="984" ht="15.75" customHeight="1">
      <c r="J984" s="166"/>
      <c r="K984" s="167"/>
    </row>
    <row r="985" ht="15.75" customHeight="1">
      <c r="J985" s="166"/>
      <c r="K985" s="167"/>
    </row>
    <row r="986" ht="15.75" customHeight="1">
      <c r="J986" s="166"/>
      <c r="K986" s="167"/>
    </row>
    <row r="987" ht="15.75" customHeight="1">
      <c r="J987" s="166"/>
      <c r="K987" s="167"/>
    </row>
    <row r="988" ht="15.75" customHeight="1">
      <c r="J988" s="166"/>
      <c r="K988" s="167"/>
    </row>
    <row r="989" ht="15.75" customHeight="1">
      <c r="J989" s="166"/>
      <c r="K989" s="167"/>
    </row>
    <row r="990" ht="15.75" customHeight="1">
      <c r="J990" s="166"/>
      <c r="K990" s="167"/>
    </row>
    <row r="991" ht="15.75" customHeight="1">
      <c r="J991" s="166"/>
      <c r="K991" s="167"/>
    </row>
    <row r="992" ht="15.75" customHeight="1">
      <c r="J992" s="166"/>
      <c r="K992" s="167"/>
    </row>
    <row r="993" ht="15.75" customHeight="1">
      <c r="J993" s="166"/>
      <c r="K993" s="167"/>
    </row>
    <row r="994" ht="15.75" customHeight="1">
      <c r="J994" s="166"/>
      <c r="K994" s="167"/>
    </row>
    <row r="995" ht="15.75" customHeight="1">
      <c r="J995" s="166"/>
      <c r="K995" s="167"/>
    </row>
    <row r="996" ht="15.75" customHeight="1">
      <c r="J996" s="166"/>
      <c r="K996" s="167"/>
    </row>
    <row r="997" ht="15.75" customHeight="1">
      <c r="J997" s="166"/>
      <c r="K997" s="167"/>
    </row>
    <row r="998" ht="15.75" customHeight="1">
      <c r="J998" s="166"/>
      <c r="K998" s="167"/>
    </row>
    <row r="999" ht="15.75" customHeight="1">
      <c r="J999" s="166"/>
      <c r="K999" s="167"/>
    </row>
    <row r="1000" ht="15.75" customHeight="1">
      <c r="J1000" s="166"/>
      <c r="K1000" s="167"/>
    </row>
    <row r="1001" ht="15.75" customHeight="1">
      <c r="J1001" s="166"/>
      <c r="K1001" s="167"/>
    </row>
    <row r="1002" ht="15.75" customHeight="1">
      <c r="J1002" s="166"/>
      <c r="K1002" s="167"/>
    </row>
    <row r="1003" ht="15.75" customHeight="1">
      <c r="J1003" s="166"/>
      <c r="K1003" s="167"/>
    </row>
    <row r="1004" ht="15.75" customHeight="1">
      <c r="J1004" s="166"/>
      <c r="K1004" s="167"/>
    </row>
    <row r="1005" ht="15.75" customHeight="1">
      <c r="J1005" s="166"/>
      <c r="K1005" s="167"/>
    </row>
    <row r="1006" ht="15.75" customHeight="1">
      <c r="J1006" s="166"/>
      <c r="K1006" s="167"/>
    </row>
    <row r="1007" ht="15.75" customHeight="1">
      <c r="J1007" s="166"/>
      <c r="K1007" s="167"/>
    </row>
    <row r="1008" ht="15.75" customHeight="1">
      <c r="J1008" s="166"/>
      <c r="K1008" s="167"/>
    </row>
    <row r="1009" ht="15.75" customHeight="1">
      <c r="J1009" s="166"/>
      <c r="K1009" s="167"/>
    </row>
    <row r="1010" ht="15.75" customHeight="1">
      <c r="J1010" s="166"/>
      <c r="K1010" s="167"/>
    </row>
    <row r="1011" ht="15.75" customHeight="1">
      <c r="J1011" s="166"/>
      <c r="K1011" s="167"/>
    </row>
    <row r="1012" ht="15.75" customHeight="1">
      <c r="J1012" s="166"/>
      <c r="K1012" s="167"/>
    </row>
    <row r="1013" ht="15.75" customHeight="1">
      <c r="J1013" s="166"/>
      <c r="K1013" s="167"/>
    </row>
    <row r="1014" ht="15.75" customHeight="1">
      <c r="J1014" s="166"/>
      <c r="K1014" s="167"/>
    </row>
    <row r="1015" ht="15.75" customHeight="1">
      <c r="J1015" s="166"/>
      <c r="K1015" s="167"/>
    </row>
    <row r="1016" ht="15.75" customHeight="1">
      <c r="J1016" s="166"/>
      <c r="K1016" s="167"/>
    </row>
    <row r="1017" ht="15.75" customHeight="1">
      <c r="J1017" s="166"/>
      <c r="K1017" s="167"/>
    </row>
    <row r="1018" ht="15.75" customHeight="1">
      <c r="J1018" s="166"/>
      <c r="K1018" s="167"/>
    </row>
    <row r="1019" ht="15.75" customHeight="1">
      <c r="J1019" s="166"/>
      <c r="K1019" s="167"/>
    </row>
    <row r="1020" ht="15.75" customHeight="1">
      <c r="J1020" s="166"/>
      <c r="K1020" s="167"/>
    </row>
    <row r="1021" ht="15.75" customHeight="1">
      <c r="J1021" s="166"/>
      <c r="K1021" s="167"/>
    </row>
    <row r="1022" ht="15.75" customHeight="1">
      <c r="J1022" s="166"/>
      <c r="K1022" s="167"/>
    </row>
    <row r="1023" ht="15.75" customHeight="1">
      <c r="J1023" s="166"/>
      <c r="K1023" s="167"/>
    </row>
    <row r="1024" ht="15.75" customHeight="1">
      <c r="J1024" s="166"/>
      <c r="K1024" s="167"/>
    </row>
    <row r="1025" ht="15.75" customHeight="1">
      <c r="J1025" s="166"/>
      <c r="K1025" s="167"/>
    </row>
    <row r="1026" ht="15.75" customHeight="1">
      <c r="J1026" s="166"/>
      <c r="K1026" s="167"/>
    </row>
    <row r="1027" ht="15.75" customHeight="1">
      <c r="J1027" s="166"/>
      <c r="K1027" s="167"/>
    </row>
    <row r="1028" ht="15.75" customHeight="1">
      <c r="J1028" s="166"/>
      <c r="K1028" s="167"/>
    </row>
    <row r="1029" ht="15.75" customHeight="1">
      <c r="J1029" s="166"/>
      <c r="K1029" s="167"/>
    </row>
    <row r="1030" ht="15.75" customHeight="1">
      <c r="J1030" s="166"/>
      <c r="K1030" s="167"/>
    </row>
    <row r="1031" ht="15.75" customHeight="1">
      <c r="J1031" s="166"/>
      <c r="K1031" s="167"/>
    </row>
    <row r="1032" ht="15.75" customHeight="1">
      <c r="J1032" s="166"/>
      <c r="K1032" s="167"/>
    </row>
    <row r="1033" ht="15.75" customHeight="1">
      <c r="J1033" s="166"/>
      <c r="K1033" s="167"/>
    </row>
    <row r="1034" ht="15.75" customHeight="1">
      <c r="J1034" s="166"/>
      <c r="K1034" s="167"/>
    </row>
    <row r="1035" ht="15.75" customHeight="1">
      <c r="J1035" s="166"/>
      <c r="K1035" s="167"/>
    </row>
    <row r="1036" ht="15.75" customHeight="1">
      <c r="J1036" s="166"/>
      <c r="K1036" s="167"/>
    </row>
    <row r="1037" ht="15.75" customHeight="1">
      <c r="J1037" s="166"/>
      <c r="K1037" s="167"/>
    </row>
    <row r="1038" ht="15.75" customHeight="1">
      <c r="J1038" s="166"/>
      <c r="K1038" s="167"/>
    </row>
    <row r="1039" ht="15.75" customHeight="1">
      <c r="J1039" s="166"/>
      <c r="K1039" s="167"/>
    </row>
    <row r="1040" ht="15.75" customHeight="1">
      <c r="J1040" s="166"/>
      <c r="K1040" s="167"/>
    </row>
    <row r="1041" ht="15.75" customHeight="1">
      <c r="J1041" s="166"/>
      <c r="K1041" s="167"/>
    </row>
    <row r="1042" ht="15.75" customHeight="1">
      <c r="J1042" s="166"/>
      <c r="K1042" s="167"/>
    </row>
    <row r="1043" ht="15.75" customHeight="1">
      <c r="J1043" s="166"/>
      <c r="K1043" s="167"/>
    </row>
    <row r="1044" ht="15.75" customHeight="1">
      <c r="J1044" s="166"/>
      <c r="K1044" s="167"/>
    </row>
    <row r="1045" ht="15.75" customHeight="1">
      <c r="J1045" s="166"/>
      <c r="K1045" s="167"/>
    </row>
    <row r="1046" ht="15.75" customHeight="1">
      <c r="J1046" s="166"/>
      <c r="K1046" s="167"/>
    </row>
    <row r="1047" ht="15.75" customHeight="1">
      <c r="J1047" s="166"/>
      <c r="K1047" s="167"/>
    </row>
    <row r="1048" ht="15.75" customHeight="1">
      <c r="J1048" s="166"/>
      <c r="K1048" s="167"/>
    </row>
    <row r="1049" ht="15.75" customHeight="1">
      <c r="J1049" s="166"/>
      <c r="K1049" s="167"/>
    </row>
    <row r="1050" ht="15.75" customHeight="1">
      <c r="J1050" s="166"/>
      <c r="K1050" s="167"/>
    </row>
    <row r="1051" ht="15.75" customHeight="1">
      <c r="J1051" s="166"/>
      <c r="K1051" s="167"/>
    </row>
    <row r="1052" ht="15.75" customHeight="1">
      <c r="J1052" s="166"/>
      <c r="K1052" s="167"/>
    </row>
    <row r="1053" ht="15.75" customHeight="1">
      <c r="J1053" s="166"/>
      <c r="K1053" s="167"/>
    </row>
    <row r="1054" ht="15.75" customHeight="1">
      <c r="J1054" s="166"/>
      <c r="K1054" s="167"/>
    </row>
    <row r="1055" ht="15.75" customHeight="1">
      <c r="J1055" s="166"/>
      <c r="K1055" s="167"/>
    </row>
    <row r="1056" ht="15.75" customHeight="1">
      <c r="J1056" s="166"/>
      <c r="K1056" s="167"/>
    </row>
    <row r="1057" ht="15.75" customHeight="1">
      <c r="J1057" s="166"/>
      <c r="K1057" s="167"/>
    </row>
    <row r="1058" ht="15.75" customHeight="1">
      <c r="J1058" s="166"/>
      <c r="K1058" s="167"/>
    </row>
    <row r="1059" ht="15.75" customHeight="1">
      <c r="J1059" s="166"/>
      <c r="K1059" s="167"/>
    </row>
    <row r="1060" ht="15.75" customHeight="1">
      <c r="J1060" s="166"/>
      <c r="K1060" s="167"/>
    </row>
    <row r="1061" ht="15.75" customHeight="1">
      <c r="J1061" s="166"/>
      <c r="K1061" s="167"/>
    </row>
    <row r="1062" ht="15.75" customHeight="1">
      <c r="J1062" s="166"/>
      <c r="K1062" s="167"/>
    </row>
    <row r="1063" ht="15.75" customHeight="1">
      <c r="J1063" s="166"/>
      <c r="K1063" s="167"/>
    </row>
    <row r="1064" ht="15.75" customHeight="1">
      <c r="J1064" s="166"/>
      <c r="K1064" s="167"/>
    </row>
    <row r="1065" ht="15.75" customHeight="1">
      <c r="J1065" s="166"/>
      <c r="K1065" s="167"/>
    </row>
    <row r="1066" ht="15.75" customHeight="1">
      <c r="J1066" s="166"/>
      <c r="K1066" s="167"/>
    </row>
    <row r="1067" ht="15.75" customHeight="1">
      <c r="J1067" s="166"/>
      <c r="K1067" s="167"/>
    </row>
    <row r="1068" ht="15.75" customHeight="1">
      <c r="J1068" s="166"/>
      <c r="K1068" s="167"/>
    </row>
    <row r="1069" ht="15.75" customHeight="1">
      <c r="J1069" s="166"/>
      <c r="K1069" s="167"/>
    </row>
    <row r="1070" ht="15.75" customHeight="1">
      <c r="J1070" s="166"/>
      <c r="K1070" s="167"/>
    </row>
    <row r="1071" ht="15.75" customHeight="1">
      <c r="J1071" s="166"/>
      <c r="K1071" s="167"/>
    </row>
    <row r="1072" ht="15.75" customHeight="1">
      <c r="J1072" s="166"/>
      <c r="K1072" s="167"/>
    </row>
    <row r="1073" ht="15.75" customHeight="1">
      <c r="J1073" s="166"/>
      <c r="K1073" s="167"/>
    </row>
    <row r="1074" ht="15.75" customHeight="1">
      <c r="J1074" s="166"/>
      <c r="K1074" s="167"/>
    </row>
    <row r="1075" ht="15.75" customHeight="1">
      <c r="J1075" s="166"/>
      <c r="K1075" s="167"/>
    </row>
    <row r="1076" ht="15.75" customHeight="1">
      <c r="J1076" s="166"/>
      <c r="K1076" s="167"/>
    </row>
    <row r="1077" ht="15.75" customHeight="1">
      <c r="J1077" s="166"/>
      <c r="K1077" s="167"/>
    </row>
    <row r="1078" ht="15.75" customHeight="1">
      <c r="J1078" s="166"/>
      <c r="K1078" s="167"/>
    </row>
    <row r="1079" ht="15.75" customHeight="1">
      <c r="J1079" s="166"/>
      <c r="K1079" s="167"/>
    </row>
    <row r="1080" ht="15.75" customHeight="1">
      <c r="J1080" s="166"/>
      <c r="K1080" s="167"/>
    </row>
    <row r="1081" ht="15.75" customHeight="1">
      <c r="J1081" s="166"/>
      <c r="K1081" s="167"/>
    </row>
    <row r="1082" ht="15.75" customHeight="1">
      <c r="J1082" s="166"/>
      <c r="K1082" s="167"/>
    </row>
    <row r="1083" ht="15.75" customHeight="1">
      <c r="J1083" s="166"/>
      <c r="K1083" s="167"/>
    </row>
    <row r="1084" ht="15.75" customHeight="1">
      <c r="J1084" s="166"/>
      <c r="K1084" s="167"/>
    </row>
    <row r="1085" ht="15.75" customHeight="1">
      <c r="J1085" s="166"/>
      <c r="K1085" s="167"/>
    </row>
    <row r="1086" ht="15.75" customHeight="1">
      <c r="J1086" s="166"/>
      <c r="K1086" s="167"/>
    </row>
    <row r="1087" ht="15.75" customHeight="1">
      <c r="J1087" s="166"/>
      <c r="K1087" s="167"/>
    </row>
    <row r="1088" ht="15.75" customHeight="1">
      <c r="J1088" s="166"/>
      <c r="K1088" s="167"/>
    </row>
    <row r="1089" ht="15.75" customHeight="1">
      <c r="J1089" s="166"/>
      <c r="K1089" s="167"/>
    </row>
    <row r="1090" ht="15.75" customHeight="1">
      <c r="J1090" s="166"/>
      <c r="K1090" s="167"/>
    </row>
    <row r="1091" ht="15.75" customHeight="1">
      <c r="J1091" s="166"/>
      <c r="K1091" s="167"/>
    </row>
    <row r="1092" ht="15.75" customHeight="1">
      <c r="J1092" s="166"/>
      <c r="K1092" s="167"/>
    </row>
    <row r="1093" ht="15.75" customHeight="1">
      <c r="J1093" s="166"/>
      <c r="K1093" s="167"/>
    </row>
    <row r="1094" ht="15.75" customHeight="1">
      <c r="J1094" s="166"/>
      <c r="K1094" s="167"/>
    </row>
    <row r="1095" ht="15.75" customHeight="1">
      <c r="J1095" s="166"/>
      <c r="K1095" s="167"/>
    </row>
    <row r="1096" ht="15.75" customHeight="1">
      <c r="J1096" s="166"/>
      <c r="K1096" s="167"/>
    </row>
    <row r="1097" ht="15.75" customHeight="1">
      <c r="J1097" s="166"/>
      <c r="K1097" s="167"/>
    </row>
    <row r="1098" ht="15.75" customHeight="1">
      <c r="J1098" s="166"/>
      <c r="K1098" s="167"/>
    </row>
    <row r="1099" ht="15.75" customHeight="1">
      <c r="J1099" s="166"/>
      <c r="K1099" s="167"/>
    </row>
    <row r="1100" ht="15.75" customHeight="1">
      <c r="J1100" s="166"/>
      <c r="K1100" s="167"/>
    </row>
    <row r="1101" ht="15.75" customHeight="1">
      <c r="J1101" s="166"/>
      <c r="K1101" s="167"/>
    </row>
    <row r="1102" ht="15.75" customHeight="1">
      <c r="J1102" s="166"/>
      <c r="K1102" s="167"/>
    </row>
    <row r="1103" ht="15.75" customHeight="1">
      <c r="J1103" s="166"/>
      <c r="K1103" s="167"/>
    </row>
    <row r="1104" ht="15.75" customHeight="1">
      <c r="J1104" s="166"/>
      <c r="K1104" s="167"/>
    </row>
    <row r="1105" ht="15.75" customHeight="1">
      <c r="J1105" s="166"/>
      <c r="K1105" s="167"/>
    </row>
    <row r="1106" ht="15.75" customHeight="1">
      <c r="J1106" s="166"/>
      <c r="K1106" s="167"/>
    </row>
    <row r="1107" ht="15.75" customHeight="1">
      <c r="J1107" s="166"/>
      <c r="K1107" s="167"/>
    </row>
    <row r="1108" ht="15.75" customHeight="1">
      <c r="J1108" s="166"/>
      <c r="K1108" s="167"/>
    </row>
    <row r="1109" ht="15.75" customHeight="1">
      <c r="J1109" s="166"/>
      <c r="K1109" s="167"/>
    </row>
    <row r="1110" ht="15.75" customHeight="1">
      <c r="J1110" s="166"/>
      <c r="K1110" s="167"/>
    </row>
    <row r="1111" ht="15.75" customHeight="1">
      <c r="J1111" s="166"/>
      <c r="K1111" s="167"/>
    </row>
    <row r="1112" ht="15.75" customHeight="1">
      <c r="J1112" s="166"/>
      <c r="K1112" s="167"/>
    </row>
    <row r="1113" ht="15.75" customHeight="1">
      <c r="J1113" s="166"/>
      <c r="K1113" s="167"/>
    </row>
    <row r="1114" ht="15.75" customHeight="1">
      <c r="J1114" s="166"/>
      <c r="K1114" s="167"/>
    </row>
    <row r="1115" ht="15.75" customHeight="1">
      <c r="J1115" s="166"/>
      <c r="K1115" s="167"/>
    </row>
    <row r="1116" ht="15.75" customHeight="1">
      <c r="J1116" s="166"/>
      <c r="K1116" s="167"/>
    </row>
    <row r="1117" ht="15.75" customHeight="1">
      <c r="J1117" s="166"/>
      <c r="K1117" s="167"/>
    </row>
    <row r="1118" ht="15.75" customHeight="1">
      <c r="J1118" s="166"/>
      <c r="K1118" s="167"/>
    </row>
    <row r="1119" ht="15.75" customHeight="1">
      <c r="J1119" s="166"/>
      <c r="K1119" s="167"/>
    </row>
    <row r="1120" ht="15.75" customHeight="1">
      <c r="J1120" s="166"/>
      <c r="K1120" s="167"/>
    </row>
    <row r="1121" ht="15.75" customHeight="1">
      <c r="J1121" s="166"/>
      <c r="K1121" s="167"/>
    </row>
    <row r="1122" ht="15.75" customHeight="1">
      <c r="J1122" s="166"/>
      <c r="K1122" s="167"/>
    </row>
    <row r="1123" ht="15.75" customHeight="1">
      <c r="J1123" s="166"/>
      <c r="K1123" s="167"/>
    </row>
    <row r="1124" ht="15.75" customHeight="1">
      <c r="J1124" s="166"/>
      <c r="K1124" s="167"/>
    </row>
    <row r="1125" ht="15.75" customHeight="1">
      <c r="J1125" s="166"/>
      <c r="K1125" s="167"/>
    </row>
    <row r="1126" ht="15.75" customHeight="1">
      <c r="J1126" s="166"/>
      <c r="K1126" s="167"/>
    </row>
    <row r="1127" ht="15.75" customHeight="1">
      <c r="J1127" s="166"/>
      <c r="K1127" s="167"/>
    </row>
    <row r="1128" ht="15.75" customHeight="1">
      <c r="J1128" s="166"/>
      <c r="K1128" s="167"/>
    </row>
    <row r="1129" ht="15.75" customHeight="1">
      <c r="J1129" s="166"/>
      <c r="K1129" s="167"/>
    </row>
    <row r="1130" ht="15.75" customHeight="1">
      <c r="J1130" s="166"/>
      <c r="K1130" s="167"/>
    </row>
    <row r="1131" ht="15.75" customHeight="1">
      <c r="J1131" s="166"/>
      <c r="K1131" s="167"/>
    </row>
    <row r="1132" ht="15.75" customHeight="1">
      <c r="J1132" s="166"/>
      <c r="K1132" s="167"/>
    </row>
    <row r="1133" ht="15.75" customHeight="1">
      <c r="J1133" s="166"/>
      <c r="K1133" s="167"/>
    </row>
    <row r="1134" ht="15.75" customHeight="1">
      <c r="J1134" s="166"/>
      <c r="K1134" s="167"/>
    </row>
    <row r="1135" ht="15.75" customHeight="1">
      <c r="J1135" s="166"/>
      <c r="K1135" s="167"/>
    </row>
    <row r="1136" ht="15.75" customHeight="1">
      <c r="J1136" s="166"/>
      <c r="K1136" s="167"/>
    </row>
    <row r="1137" ht="15.75" customHeight="1">
      <c r="J1137" s="166"/>
      <c r="K1137" s="167"/>
    </row>
    <row r="1138" ht="15.75" customHeight="1">
      <c r="J1138" s="166"/>
      <c r="K1138" s="167"/>
    </row>
    <row r="1139" ht="15.75" customHeight="1">
      <c r="J1139" s="166"/>
      <c r="K1139" s="167"/>
    </row>
    <row r="1140" ht="15.75" customHeight="1">
      <c r="J1140" s="166"/>
      <c r="K1140" s="167"/>
    </row>
    <row r="1141" ht="15.75" customHeight="1">
      <c r="J1141" s="166"/>
      <c r="K1141" s="167"/>
    </row>
    <row r="1142" ht="15.75" customHeight="1">
      <c r="J1142" s="166"/>
      <c r="K1142" s="167"/>
    </row>
    <row r="1143" ht="15.75" customHeight="1">
      <c r="J1143" s="166"/>
      <c r="K1143" s="167"/>
    </row>
    <row r="1144" ht="15.75" customHeight="1">
      <c r="J1144" s="166"/>
      <c r="K1144" s="167"/>
    </row>
    <row r="1145" ht="15.75" customHeight="1">
      <c r="J1145" s="166"/>
      <c r="K1145" s="167"/>
    </row>
    <row r="1146" ht="15.75" customHeight="1">
      <c r="J1146" s="166"/>
      <c r="K1146" s="167"/>
    </row>
    <row r="1147" ht="15.75" customHeight="1">
      <c r="J1147" s="166"/>
      <c r="K1147" s="167"/>
    </row>
    <row r="1148" ht="15.75" customHeight="1">
      <c r="J1148" s="166"/>
      <c r="K1148" s="167"/>
    </row>
    <row r="1149" ht="15.75" customHeight="1">
      <c r="J1149" s="166"/>
      <c r="K1149" s="167"/>
    </row>
    <row r="1150" ht="15.75" customHeight="1">
      <c r="J1150" s="166"/>
      <c r="K1150" s="167"/>
    </row>
    <row r="1151" ht="15.75" customHeight="1">
      <c r="J1151" s="166"/>
      <c r="K1151" s="167"/>
    </row>
    <row r="1152" ht="15.75" customHeight="1">
      <c r="J1152" s="166"/>
      <c r="K1152" s="167"/>
    </row>
    <row r="1153" ht="15.75" customHeight="1">
      <c r="J1153" s="166"/>
      <c r="K1153" s="167"/>
    </row>
    <row r="1154" ht="15.75" customHeight="1">
      <c r="J1154" s="166"/>
      <c r="K1154" s="167"/>
    </row>
    <row r="1155" ht="15.75" customHeight="1">
      <c r="J1155" s="166"/>
      <c r="K1155" s="167"/>
    </row>
    <row r="1156" ht="15.75" customHeight="1">
      <c r="J1156" s="166"/>
      <c r="K1156" s="167"/>
    </row>
    <row r="1157" ht="15.75" customHeight="1">
      <c r="J1157" s="166"/>
      <c r="K1157" s="167"/>
    </row>
    <row r="1158" ht="15.75" customHeight="1">
      <c r="J1158" s="166"/>
      <c r="K1158" s="167"/>
    </row>
    <row r="1159" ht="15.75" customHeight="1">
      <c r="J1159" s="166"/>
      <c r="K1159" s="167"/>
    </row>
    <row r="1160" ht="15.75" customHeight="1">
      <c r="J1160" s="166"/>
      <c r="K1160" s="167"/>
    </row>
    <row r="1161" ht="15.75" customHeight="1">
      <c r="J1161" s="166"/>
      <c r="K1161" s="167"/>
    </row>
    <row r="1162" ht="15.75" customHeight="1">
      <c r="J1162" s="166"/>
      <c r="K1162" s="167"/>
    </row>
    <row r="1163" ht="15.75" customHeight="1">
      <c r="J1163" s="166"/>
      <c r="K1163" s="167"/>
    </row>
    <row r="1164" ht="15.75" customHeight="1">
      <c r="J1164" s="166"/>
      <c r="K1164" s="167"/>
    </row>
    <row r="1165" ht="15.75" customHeight="1">
      <c r="J1165" s="166"/>
      <c r="K1165" s="167"/>
    </row>
    <row r="1166" ht="15.75" customHeight="1">
      <c r="J1166" s="166"/>
      <c r="K1166" s="167"/>
    </row>
    <row r="1167" ht="15.75" customHeight="1">
      <c r="J1167" s="166"/>
      <c r="K1167" s="167"/>
    </row>
    <row r="1168" ht="15.75" customHeight="1">
      <c r="J1168" s="166"/>
      <c r="K1168" s="167"/>
    </row>
    <row r="1169" ht="15.75" customHeight="1">
      <c r="J1169" s="166"/>
      <c r="K1169" s="167"/>
    </row>
  </sheetData>
  <autoFilter ref="$B$1:$Q$221"/>
  <dataValidations>
    <dataValidation type="list" allowBlank="1" showDropDown="1" showErrorMessage="1" sqref="D127 D138">
      <formula1>"Un Used,Batch-1,Batch-2,Batch-3,Branch,Batch Ind."</formula1>
    </dataValidation>
    <dataValidation type="list" allowBlank="1" showDropDown="1" showErrorMessage="1" sqref="D94:D126 D128:D137 D139:D201">
      <formula1>"Un Used,Batch-1,Batch-2,Batch-3,Branch"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10.14"/>
    <col customWidth="1" min="3" max="3" width="7.57"/>
    <col customWidth="1" min="4" max="4" width="6.57"/>
    <col customWidth="1" min="5" max="5" width="14.29"/>
    <col customWidth="1" min="6" max="6" width="17.0"/>
    <col customWidth="1" min="7" max="7" width="9.14"/>
    <col customWidth="1" min="8" max="8" width="9.57"/>
    <col customWidth="1" min="9" max="9" width="5.57"/>
    <col customWidth="1" min="10" max="10" width="9.0"/>
    <col customWidth="1" min="11" max="11" width="9.57"/>
    <col customWidth="1" min="12" max="12" width="10.57"/>
    <col customWidth="1" min="13" max="13" width="9.0"/>
    <col customWidth="1" min="14" max="14" width="8.0"/>
    <col customWidth="1" min="15" max="15" width="6.86"/>
    <col customWidth="1" min="16" max="16" width="10.14"/>
    <col customWidth="1" min="17" max="26" width="8.71"/>
  </cols>
  <sheetData>
    <row r="1" ht="19.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7" t="s">
        <v>4</v>
      </c>
      <c r="D2" s="2" t="s">
        <v>5</v>
      </c>
      <c r="E2" s="2" t="s">
        <v>6</v>
      </c>
      <c r="F2" s="2" t="s">
        <v>17</v>
      </c>
      <c r="G2" s="2" t="s">
        <v>8</v>
      </c>
      <c r="H2" s="2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93" si="1">IF(D3="","",SUBTOTAL(3,$D$3:D3))</f>
        <v>1</v>
      </c>
      <c r="B3" s="15" t="s">
        <v>24</v>
      </c>
      <c r="C3" s="17" t="s">
        <v>29</v>
      </c>
      <c r="D3" s="17" t="s">
        <v>31</v>
      </c>
      <c r="E3" s="23" t="s">
        <v>33</v>
      </c>
      <c r="F3" s="23" t="s">
        <v>35</v>
      </c>
      <c r="G3" s="25" t="s">
        <v>37</v>
      </c>
      <c r="H3" s="26">
        <v>46296.0</v>
      </c>
      <c r="I3" s="17">
        <v>0.0</v>
      </c>
      <c r="J3" s="23" t="s">
        <v>38</v>
      </c>
      <c r="K3" s="28">
        <v>50000.0</v>
      </c>
      <c r="L3" s="28">
        <v>0.0</v>
      </c>
      <c r="M3" s="28">
        <v>0.0</v>
      </c>
      <c r="N3" s="28">
        <v>0.0</v>
      </c>
      <c r="O3" s="28">
        <v>0.0</v>
      </c>
      <c r="P3" s="30">
        <v>46295.0</v>
      </c>
    </row>
    <row r="4" ht="11.25" customHeight="1">
      <c r="A4" s="12">
        <f t="shared" si="1"/>
        <v>2</v>
      </c>
      <c r="B4" s="15" t="s">
        <v>24</v>
      </c>
      <c r="C4" s="17" t="s">
        <v>29</v>
      </c>
      <c r="D4" s="17" t="s">
        <v>39</v>
      </c>
      <c r="E4" s="21" t="s">
        <v>40</v>
      </c>
      <c r="F4" s="21" t="s">
        <v>41</v>
      </c>
      <c r="G4" s="14" t="s">
        <v>37</v>
      </c>
      <c r="H4" s="26">
        <v>46296.0</v>
      </c>
      <c r="I4" s="17">
        <v>5.0</v>
      </c>
      <c r="J4" s="23" t="s">
        <v>38</v>
      </c>
      <c r="K4" s="28">
        <v>400000.0</v>
      </c>
      <c r="L4" s="28">
        <v>0.0</v>
      </c>
      <c r="M4" s="28">
        <v>0.0</v>
      </c>
      <c r="N4" s="28">
        <v>0.0</v>
      </c>
      <c r="O4" s="28">
        <v>0.0</v>
      </c>
      <c r="P4" s="33"/>
    </row>
    <row r="5" ht="11.25" customHeight="1">
      <c r="A5" s="12">
        <f t="shared" si="1"/>
        <v>3</v>
      </c>
      <c r="B5" s="15" t="s">
        <v>24</v>
      </c>
      <c r="C5" s="17" t="s">
        <v>46</v>
      </c>
      <c r="D5" s="35" t="s">
        <v>47</v>
      </c>
      <c r="E5" s="36" t="s">
        <v>49</v>
      </c>
      <c r="F5" s="36" t="s">
        <v>54</v>
      </c>
      <c r="G5" s="23" t="s">
        <v>55</v>
      </c>
      <c r="H5" s="26">
        <v>46296.0</v>
      </c>
      <c r="I5" s="17">
        <v>0.0</v>
      </c>
      <c r="J5" s="23" t="s">
        <v>57</v>
      </c>
      <c r="K5" s="28">
        <v>5000.0</v>
      </c>
      <c r="L5" s="28">
        <v>0.0</v>
      </c>
      <c r="M5" s="28">
        <v>0.0</v>
      </c>
      <c r="N5" s="28">
        <v>0.0</v>
      </c>
      <c r="O5" s="28">
        <v>0.0</v>
      </c>
      <c r="P5" s="28"/>
    </row>
    <row r="6" ht="11.25" customHeight="1">
      <c r="A6" s="12">
        <f t="shared" si="1"/>
        <v>4</v>
      </c>
      <c r="B6" s="15" t="s">
        <v>24</v>
      </c>
      <c r="C6" s="17" t="s">
        <v>58</v>
      </c>
      <c r="D6" s="17" t="s">
        <v>65</v>
      </c>
      <c r="E6" s="23" t="s">
        <v>66</v>
      </c>
      <c r="F6" s="23" t="s">
        <v>67</v>
      </c>
      <c r="G6" s="14" t="s">
        <v>37</v>
      </c>
      <c r="H6" s="26">
        <v>46296.0</v>
      </c>
      <c r="I6" s="17">
        <v>1.0</v>
      </c>
      <c r="J6" s="23" t="s">
        <v>38</v>
      </c>
      <c r="K6" s="28">
        <v>300000.0</v>
      </c>
      <c r="L6" s="28">
        <v>0.0</v>
      </c>
      <c r="M6" s="28">
        <v>0.0</v>
      </c>
      <c r="N6" s="28">
        <v>0.0</v>
      </c>
      <c r="O6" s="28">
        <v>0.0</v>
      </c>
      <c r="P6" s="33"/>
    </row>
    <row r="7" ht="11.25" customHeight="1">
      <c r="A7" s="12">
        <f t="shared" si="1"/>
        <v>5</v>
      </c>
      <c r="B7" s="15" t="s">
        <v>24</v>
      </c>
      <c r="C7" s="17" t="s">
        <v>29</v>
      </c>
      <c r="D7" s="17" t="s">
        <v>70</v>
      </c>
      <c r="E7" s="23" t="s">
        <v>71</v>
      </c>
      <c r="F7" s="23" t="s">
        <v>72</v>
      </c>
      <c r="G7" s="14" t="s">
        <v>37</v>
      </c>
      <c r="H7" s="30">
        <v>46296.0</v>
      </c>
      <c r="I7" s="17">
        <v>1.0</v>
      </c>
      <c r="J7" s="23" t="s">
        <v>38</v>
      </c>
      <c r="K7" s="28">
        <v>0.0</v>
      </c>
      <c r="L7" s="28">
        <v>0.0</v>
      </c>
      <c r="M7" s="28">
        <v>0.0</v>
      </c>
      <c r="N7" s="28">
        <v>200000.0</v>
      </c>
      <c r="O7" s="28">
        <v>0.0</v>
      </c>
      <c r="P7" s="30">
        <v>46303.0</v>
      </c>
    </row>
    <row r="8" ht="11.25" customHeight="1">
      <c r="A8" s="12">
        <f t="shared" si="1"/>
        <v>6</v>
      </c>
      <c r="B8" s="15" t="s">
        <v>24</v>
      </c>
      <c r="C8" s="17" t="s">
        <v>29</v>
      </c>
      <c r="D8" s="17" t="s">
        <v>78</v>
      </c>
      <c r="E8" s="23" t="s">
        <v>71</v>
      </c>
      <c r="F8" s="23" t="s">
        <v>72</v>
      </c>
      <c r="G8" s="14" t="s">
        <v>37</v>
      </c>
      <c r="H8" s="30">
        <v>46296.0</v>
      </c>
      <c r="I8" s="17">
        <v>0.0</v>
      </c>
      <c r="J8" s="23" t="s">
        <v>38</v>
      </c>
      <c r="K8" s="28">
        <v>0.0</v>
      </c>
      <c r="L8" s="28">
        <v>0.0</v>
      </c>
      <c r="M8" s="28">
        <v>0.0</v>
      </c>
      <c r="N8" s="28">
        <v>100000.0</v>
      </c>
      <c r="O8" s="28">
        <v>0.0</v>
      </c>
      <c r="P8" s="30">
        <v>46310.0</v>
      </c>
    </row>
    <row r="9" ht="11.25" customHeight="1">
      <c r="A9" s="12">
        <f t="shared" si="1"/>
        <v>7</v>
      </c>
      <c r="B9" s="15" t="s">
        <v>24</v>
      </c>
      <c r="C9" s="17" t="s">
        <v>58</v>
      </c>
      <c r="D9" s="49" t="s">
        <v>90</v>
      </c>
      <c r="E9" s="36" t="s">
        <v>92</v>
      </c>
      <c r="F9" s="51" t="s">
        <v>95</v>
      </c>
      <c r="G9" s="14" t="s">
        <v>34</v>
      </c>
      <c r="H9" s="52">
        <v>46296.0</v>
      </c>
      <c r="I9" s="49">
        <v>0.0</v>
      </c>
      <c r="J9" s="27" t="s">
        <v>38</v>
      </c>
      <c r="K9" s="44">
        <v>0.0</v>
      </c>
      <c r="L9" s="53">
        <v>0.0</v>
      </c>
      <c r="M9" s="44">
        <v>300000.0</v>
      </c>
      <c r="N9" s="44">
        <v>0.0</v>
      </c>
      <c r="O9" s="44">
        <v>0.0</v>
      </c>
      <c r="P9" s="24">
        <v>46295.0</v>
      </c>
    </row>
    <row r="10" ht="11.25" customHeight="1">
      <c r="A10" s="12">
        <f t="shared" si="1"/>
        <v>8</v>
      </c>
      <c r="B10" s="15" t="s">
        <v>24</v>
      </c>
      <c r="C10" s="17" t="s">
        <v>58</v>
      </c>
      <c r="D10" s="49" t="s">
        <v>105</v>
      </c>
      <c r="E10" s="36" t="s">
        <v>92</v>
      </c>
      <c r="F10" s="51" t="s">
        <v>106</v>
      </c>
      <c r="G10" s="14" t="s">
        <v>34</v>
      </c>
      <c r="H10" s="52">
        <v>46296.0</v>
      </c>
      <c r="I10" s="49">
        <v>0.0</v>
      </c>
      <c r="J10" s="27" t="s">
        <v>38</v>
      </c>
      <c r="K10" s="44">
        <v>0.0</v>
      </c>
      <c r="L10" s="53">
        <v>0.0</v>
      </c>
      <c r="M10" s="44">
        <v>300000.0</v>
      </c>
      <c r="N10" s="44">
        <v>0.0</v>
      </c>
      <c r="O10" s="44">
        <v>0.0</v>
      </c>
      <c r="P10" s="24">
        <v>46295.0</v>
      </c>
    </row>
    <row r="11" ht="11.25" customHeight="1">
      <c r="A11" s="12">
        <f t="shared" si="1"/>
        <v>9</v>
      </c>
      <c r="B11" s="15" t="s">
        <v>24</v>
      </c>
      <c r="C11" s="17" t="s">
        <v>58</v>
      </c>
      <c r="D11" s="49" t="s">
        <v>110</v>
      </c>
      <c r="E11" s="22" t="s">
        <v>92</v>
      </c>
      <c r="F11" s="51" t="s">
        <v>111</v>
      </c>
      <c r="G11" s="14" t="s">
        <v>34</v>
      </c>
      <c r="H11" s="52">
        <v>46296.0</v>
      </c>
      <c r="I11" s="49">
        <v>3.0</v>
      </c>
      <c r="J11" s="27" t="s">
        <v>38</v>
      </c>
      <c r="K11" s="53">
        <v>50000.0</v>
      </c>
      <c r="L11" s="53">
        <v>0.0</v>
      </c>
      <c r="M11" s="53">
        <v>0.0</v>
      </c>
      <c r="N11" s="44">
        <v>0.0</v>
      </c>
      <c r="O11" s="44">
        <v>0.0</v>
      </c>
      <c r="P11" s="54"/>
    </row>
    <row r="12" ht="11.25" customHeight="1">
      <c r="A12" s="12">
        <f t="shared" si="1"/>
        <v>10</v>
      </c>
      <c r="B12" s="15" t="s">
        <v>24</v>
      </c>
      <c r="C12" s="17" t="s">
        <v>46</v>
      </c>
      <c r="D12" s="17" t="s">
        <v>118</v>
      </c>
      <c r="E12" s="36" t="s">
        <v>91</v>
      </c>
      <c r="F12" s="23" t="s">
        <v>120</v>
      </c>
      <c r="G12" s="25" t="s">
        <v>36</v>
      </c>
      <c r="H12" s="38">
        <v>46298.0</v>
      </c>
      <c r="I12" s="17">
        <v>0.0</v>
      </c>
      <c r="J12" s="22" t="s">
        <v>57</v>
      </c>
      <c r="K12" s="28">
        <v>0.0</v>
      </c>
      <c r="L12" s="28">
        <v>4000.0</v>
      </c>
      <c r="M12" s="28">
        <v>0.0</v>
      </c>
      <c r="N12" s="28">
        <v>0.0</v>
      </c>
      <c r="O12" s="28">
        <v>0.0</v>
      </c>
      <c r="P12" s="33"/>
    </row>
    <row r="13" ht="11.25" customHeight="1">
      <c r="A13" s="12">
        <f t="shared" si="1"/>
        <v>11</v>
      </c>
      <c r="B13" s="15" t="s">
        <v>24</v>
      </c>
      <c r="C13" s="17" t="s">
        <v>29</v>
      </c>
      <c r="D13" s="17" t="s">
        <v>128</v>
      </c>
      <c r="E13" s="21" t="s">
        <v>40</v>
      </c>
      <c r="F13" s="21" t="s">
        <v>41</v>
      </c>
      <c r="G13" s="14" t="s">
        <v>37</v>
      </c>
      <c r="H13" s="26">
        <v>46298.0</v>
      </c>
      <c r="I13" s="17">
        <v>0.0</v>
      </c>
      <c r="J13" s="23" t="s">
        <v>38</v>
      </c>
      <c r="K13" s="28">
        <v>100000.0</v>
      </c>
      <c r="L13" s="28">
        <v>0.0</v>
      </c>
      <c r="M13" s="28">
        <v>0.0</v>
      </c>
      <c r="N13" s="28">
        <v>0.0</v>
      </c>
      <c r="O13" s="28">
        <v>0.0</v>
      </c>
      <c r="P13" s="33"/>
    </row>
    <row r="14" ht="11.25" customHeight="1">
      <c r="A14" s="12">
        <f t="shared" si="1"/>
        <v>12</v>
      </c>
      <c r="B14" s="15" t="s">
        <v>24</v>
      </c>
      <c r="C14" s="17" t="s">
        <v>87</v>
      </c>
      <c r="D14" s="17" t="s">
        <v>132</v>
      </c>
      <c r="E14" s="23" t="s">
        <v>91</v>
      </c>
      <c r="F14" s="23" t="s">
        <v>134</v>
      </c>
      <c r="G14" s="25" t="s">
        <v>36</v>
      </c>
      <c r="H14" s="26">
        <v>46299.0</v>
      </c>
      <c r="I14" s="17">
        <v>0.0</v>
      </c>
      <c r="J14" s="23" t="s">
        <v>38</v>
      </c>
      <c r="K14" s="28">
        <v>0.0</v>
      </c>
      <c r="L14" s="28">
        <v>50000.0</v>
      </c>
      <c r="M14" s="28">
        <v>0.0</v>
      </c>
      <c r="N14" s="28">
        <v>0.0</v>
      </c>
      <c r="O14" s="28">
        <v>0.0</v>
      </c>
      <c r="P14" s="33"/>
    </row>
    <row r="15" ht="11.25" customHeight="1">
      <c r="A15" s="12">
        <f t="shared" si="1"/>
        <v>13</v>
      </c>
      <c r="B15" s="15" t="s">
        <v>24</v>
      </c>
      <c r="C15" s="17" t="s">
        <v>29</v>
      </c>
      <c r="D15" s="49" t="s">
        <v>140</v>
      </c>
      <c r="E15" s="51" t="s">
        <v>142</v>
      </c>
      <c r="F15" s="51" t="s">
        <v>144</v>
      </c>
      <c r="G15" s="14" t="s">
        <v>34</v>
      </c>
      <c r="H15" s="24">
        <v>46300.0</v>
      </c>
      <c r="I15" s="49">
        <v>0.0</v>
      </c>
      <c r="J15" s="27" t="s">
        <v>38</v>
      </c>
      <c r="K15" s="44">
        <v>0.0</v>
      </c>
      <c r="L15" s="53">
        <v>0.0</v>
      </c>
      <c r="M15" s="44">
        <v>0.0</v>
      </c>
      <c r="N15" s="44">
        <v>200000.0</v>
      </c>
      <c r="O15" s="44">
        <v>0.0</v>
      </c>
      <c r="P15" s="24">
        <v>46310.0</v>
      </c>
    </row>
    <row r="16" ht="11.25" customHeight="1">
      <c r="A16" s="12">
        <f t="shared" si="1"/>
        <v>14</v>
      </c>
      <c r="B16" s="15" t="s">
        <v>24</v>
      </c>
      <c r="C16" s="17" t="s">
        <v>58</v>
      </c>
      <c r="D16" s="17" t="s">
        <v>147</v>
      </c>
      <c r="E16" s="14" t="s">
        <v>44</v>
      </c>
      <c r="F16" s="23" t="s">
        <v>150</v>
      </c>
      <c r="G16" s="25" t="s">
        <v>36</v>
      </c>
      <c r="H16" s="26">
        <v>46301.0</v>
      </c>
      <c r="I16" s="17">
        <v>1.0</v>
      </c>
      <c r="J16" s="23" t="s">
        <v>38</v>
      </c>
      <c r="K16" s="28">
        <v>50000.0</v>
      </c>
      <c r="L16" s="28">
        <v>0.0</v>
      </c>
      <c r="M16" s="28">
        <v>0.0</v>
      </c>
      <c r="N16" s="28">
        <v>0.0</v>
      </c>
      <c r="O16" s="28">
        <v>0.0</v>
      </c>
      <c r="P16" s="33"/>
    </row>
    <row r="17" ht="11.25" customHeight="1">
      <c r="A17" s="12">
        <f t="shared" si="1"/>
        <v>15</v>
      </c>
      <c r="B17" s="15" t="s">
        <v>24</v>
      </c>
      <c r="C17" s="17" t="s">
        <v>46</v>
      </c>
      <c r="D17" s="17" t="s">
        <v>152</v>
      </c>
      <c r="E17" s="21" t="s">
        <v>116</v>
      </c>
      <c r="F17" s="21" t="s">
        <v>117</v>
      </c>
      <c r="G17" s="25" t="s">
        <v>36</v>
      </c>
      <c r="H17" s="26">
        <v>46301.0</v>
      </c>
      <c r="I17" s="17">
        <v>0.0</v>
      </c>
      <c r="J17" s="23" t="s">
        <v>57</v>
      </c>
      <c r="K17" s="28">
        <v>8000.0</v>
      </c>
      <c r="L17" s="28">
        <v>0.0</v>
      </c>
      <c r="M17" s="28">
        <v>0.0</v>
      </c>
      <c r="N17" s="28">
        <v>0.0</v>
      </c>
      <c r="O17" s="28">
        <v>0.0</v>
      </c>
      <c r="P17" s="33"/>
    </row>
    <row r="18" ht="11.25" customHeight="1">
      <c r="A18" s="12">
        <f t="shared" si="1"/>
        <v>16</v>
      </c>
      <c r="B18" s="15" t="s">
        <v>24</v>
      </c>
      <c r="C18" s="17" t="s">
        <v>46</v>
      </c>
      <c r="D18" s="17" t="s">
        <v>156</v>
      </c>
      <c r="E18" s="23" t="s">
        <v>33</v>
      </c>
      <c r="F18" s="23" t="s">
        <v>158</v>
      </c>
      <c r="G18" s="25" t="s">
        <v>36</v>
      </c>
      <c r="H18" s="26">
        <v>46301.0</v>
      </c>
      <c r="I18" s="17">
        <v>0.0</v>
      </c>
      <c r="J18" s="23" t="s">
        <v>57</v>
      </c>
      <c r="K18" s="28">
        <v>20000.0</v>
      </c>
      <c r="L18" s="28">
        <v>0.0</v>
      </c>
      <c r="M18" s="28">
        <v>0.0</v>
      </c>
      <c r="N18" s="28">
        <v>0.0</v>
      </c>
      <c r="O18" s="28">
        <v>0.0</v>
      </c>
      <c r="P18" s="33"/>
    </row>
    <row r="19" ht="11.25" customHeight="1">
      <c r="A19" s="12" t="str">
        <f t="shared" si="1"/>
        <v/>
      </c>
      <c r="B19" s="15" t="s">
        <v>24</v>
      </c>
      <c r="C19" s="17"/>
      <c r="D19" s="49"/>
      <c r="E19" s="23"/>
      <c r="F19" s="23"/>
      <c r="G19" s="14"/>
      <c r="H19" s="60"/>
      <c r="I19" s="49"/>
      <c r="J19" s="22"/>
      <c r="K19" s="53"/>
      <c r="L19" s="53"/>
      <c r="M19" s="44"/>
      <c r="N19" s="44"/>
      <c r="O19" s="44"/>
      <c r="P19" s="54"/>
    </row>
    <row r="20" ht="11.25" customHeight="1">
      <c r="A20" s="12" t="str">
        <f t="shared" si="1"/>
        <v/>
      </c>
      <c r="B20" s="15" t="s">
        <v>24</v>
      </c>
      <c r="C20" s="17"/>
      <c r="D20" s="17"/>
      <c r="E20" s="23"/>
      <c r="F20" s="23"/>
      <c r="G20" s="25"/>
      <c r="H20" s="64"/>
      <c r="I20" s="17"/>
      <c r="J20" s="23"/>
      <c r="K20" s="28"/>
      <c r="L20" s="28"/>
      <c r="M20" s="28"/>
      <c r="N20" s="28"/>
      <c r="O20" s="28"/>
      <c r="P20" s="33"/>
    </row>
    <row r="21" ht="11.25" customHeight="1">
      <c r="A21" s="12" t="str">
        <f t="shared" si="1"/>
        <v/>
      </c>
      <c r="B21" s="15" t="s">
        <v>24</v>
      </c>
      <c r="C21" s="17"/>
      <c r="D21" s="49"/>
      <c r="E21" s="51"/>
      <c r="F21" s="51"/>
      <c r="G21" s="14"/>
      <c r="H21" s="60"/>
      <c r="I21" s="49"/>
      <c r="J21" s="14"/>
      <c r="K21" s="53"/>
      <c r="L21" s="53"/>
      <c r="M21" s="44"/>
      <c r="N21" s="44"/>
      <c r="O21" s="44"/>
      <c r="P21" s="54"/>
    </row>
    <row r="22" ht="11.25" customHeight="1">
      <c r="A22" s="12" t="str">
        <f t="shared" si="1"/>
        <v/>
      </c>
      <c r="B22" s="15" t="s">
        <v>24</v>
      </c>
      <c r="C22" s="17"/>
      <c r="D22" s="17"/>
      <c r="E22" s="21"/>
      <c r="F22" s="21"/>
      <c r="G22" s="25"/>
      <c r="H22" s="64"/>
      <c r="I22" s="17"/>
      <c r="J22" s="23"/>
      <c r="K22" s="28"/>
      <c r="L22" s="28"/>
      <c r="M22" s="28"/>
      <c r="N22" s="28"/>
      <c r="O22" s="28"/>
      <c r="P22" s="33"/>
    </row>
    <row r="23" ht="11.25" customHeight="1">
      <c r="A23" s="12" t="str">
        <f t="shared" si="1"/>
        <v/>
      </c>
      <c r="B23" s="15" t="s">
        <v>24</v>
      </c>
      <c r="C23" s="17"/>
      <c r="D23" s="17"/>
      <c r="E23" s="66"/>
      <c r="F23" s="66"/>
      <c r="G23" s="25"/>
      <c r="H23" s="60"/>
      <c r="I23" s="17"/>
      <c r="J23" s="23"/>
      <c r="K23" s="28"/>
      <c r="L23" s="28"/>
      <c r="M23" s="28"/>
      <c r="N23" s="28"/>
      <c r="O23" s="28"/>
      <c r="P23" s="24"/>
    </row>
    <row r="24" ht="11.25" customHeight="1">
      <c r="A24" s="12" t="str">
        <f t="shared" si="1"/>
        <v/>
      </c>
      <c r="B24" s="15" t="s">
        <v>24</v>
      </c>
      <c r="C24" s="17"/>
      <c r="D24" s="49"/>
      <c r="E24" s="36"/>
      <c r="F24" s="51"/>
      <c r="G24" s="14"/>
      <c r="H24" s="60"/>
      <c r="I24" s="49"/>
      <c r="J24" s="14"/>
      <c r="K24" s="53"/>
      <c r="L24" s="53"/>
      <c r="M24" s="53"/>
      <c r="N24" s="44"/>
      <c r="O24" s="44"/>
      <c r="P24" s="33"/>
    </row>
    <row r="25" ht="11.25" customHeight="1">
      <c r="A25" s="12" t="str">
        <f t="shared" si="1"/>
        <v/>
      </c>
      <c r="B25" s="15" t="s">
        <v>24</v>
      </c>
      <c r="C25" s="17"/>
      <c r="D25" s="17"/>
      <c r="E25" s="36"/>
      <c r="F25" s="36"/>
      <c r="G25" s="25"/>
      <c r="H25" s="68"/>
      <c r="I25" s="17"/>
      <c r="J25" s="23"/>
      <c r="K25" s="28"/>
      <c r="L25" s="28"/>
      <c r="M25" s="28"/>
      <c r="N25" s="28"/>
      <c r="O25" s="28"/>
      <c r="P25" s="33"/>
    </row>
    <row r="26" ht="11.25" customHeight="1">
      <c r="A26" s="12" t="str">
        <f t="shared" si="1"/>
        <v/>
      </c>
      <c r="B26" s="15" t="s">
        <v>24</v>
      </c>
      <c r="C26" s="17"/>
      <c r="D26" s="17"/>
      <c r="E26" s="21"/>
      <c r="F26" s="21"/>
      <c r="G26" s="25"/>
      <c r="H26" s="64"/>
      <c r="I26" s="17"/>
      <c r="J26" s="23"/>
      <c r="K26" s="28"/>
      <c r="L26" s="28"/>
      <c r="M26" s="28"/>
      <c r="N26" s="28"/>
      <c r="O26" s="28"/>
      <c r="P26" s="24"/>
    </row>
    <row r="27" ht="11.25" customHeight="1">
      <c r="A27" s="12" t="str">
        <f t="shared" si="1"/>
        <v/>
      </c>
      <c r="B27" s="15" t="s">
        <v>24</v>
      </c>
      <c r="C27" s="17"/>
      <c r="D27" s="17"/>
      <c r="E27" s="21"/>
      <c r="F27" s="36"/>
      <c r="G27" s="14"/>
      <c r="H27" s="64"/>
      <c r="I27" s="18"/>
      <c r="J27" s="22"/>
      <c r="K27" s="29"/>
      <c r="L27" s="28"/>
      <c r="M27" s="28"/>
      <c r="N27" s="28"/>
      <c r="O27" s="28"/>
      <c r="P27" s="33"/>
    </row>
    <row r="28" ht="11.25" customHeight="1">
      <c r="A28" s="12" t="str">
        <f t="shared" si="1"/>
        <v/>
      </c>
      <c r="B28" s="15" t="s">
        <v>24</v>
      </c>
      <c r="C28" s="17"/>
      <c r="D28" s="49"/>
      <c r="E28" s="36"/>
      <c r="F28" s="51"/>
      <c r="G28" s="14"/>
      <c r="H28" s="68"/>
      <c r="I28" s="49"/>
      <c r="J28" s="14"/>
      <c r="K28" s="44"/>
      <c r="L28" s="53"/>
      <c r="M28" s="53"/>
      <c r="N28" s="44"/>
      <c r="O28" s="44"/>
      <c r="P28" s="24"/>
    </row>
    <row r="29" ht="11.25" customHeight="1">
      <c r="A29" s="12" t="str">
        <f t="shared" si="1"/>
        <v/>
      </c>
      <c r="B29" s="15" t="s">
        <v>24</v>
      </c>
      <c r="C29" s="17"/>
      <c r="D29" s="49"/>
      <c r="E29" s="36"/>
      <c r="F29" s="51"/>
      <c r="G29" s="14"/>
      <c r="H29" s="68"/>
      <c r="I29" s="49"/>
      <c r="J29" s="14"/>
      <c r="K29" s="44"/>
      <c r="L29" s="53"/>
      <c r="M29" s="53"/>
      <c r="N29" s="44"/>
      <c r="O29" s="44"/>
      <c r="P29" s="24"/>
    </row>
    <row r="30" ht="11.25" customHeight="1">
      <c r="A30" s="12" t="str">
        <f t="shared" si="1"/>
        <v/>
      </c>
      <c r="B30" s="15" t="s">
        <v>24</v>
      </c>
      <c r="C30" s="17"/>
      <c r="D30" s="49"/>
      <c r="E30" s="21"/>
      <c r="F30" s="21"/>
      <c r="G30" s="14"/>
      <c r="H30" s="68"/>
      <c r="I30" s="49"/>
      <c r="J30" s="14"/>
      <c r="K30" s="53"/>
      <c r="L30" s="53"/>
      <c r="M30" s="29"/>
      <c r="N30" s="29"/>
      <c r="O30" s="44"/>
      <c r="P30" s="54"/>
    </row>
    <row r="31" ht="11.25" customHeight="1">
      <c r="A31" s="12" t="str">
        <f t="shared" si="1"/>
        <v/>
      </c>
      <c r="B31" s="15" t="s">
        <v>24</v>
      </c>
      <c r="C31" s="17"/>
      <c r="D31" s="17"/>
      <c r="E31" s="21"/>
      <c r="F31" s="21"/>
      <c r="G31" s="14"/>
      <c r="H31" s="64"/>
      <c r="I31" s="18"/>
      <c r="J31" s="22"/>
      <c r="K31" s="29"/>
      <c r="L31" s="28"/>
      <c r="M31" s="28"/>
      <c r="N31" s="28"/>
      <c r="O31" s="28"/>
      <c r="P31" s="33"/>
    </row>
    <row r="32" ht="11.25" customHeight="1">
      <c r="A32" s="12" t="str">
        <f t="shared" si="1"/>
        <v/>
      </c>
      <c r="B32" s="15" t="s">
        <v>24</v>
      </c>
      <c r="C32" s="17"/>
      <c r="D32" s="17"/>
      <c r="E32" s="71"/>
      <c r="F32" s="72"/>
      <c r="G32" s="25"/>
      <c r="H32" s="73"/>
      <c r="I32" s="17"/>
      <c r="J32" s="25"/>
      <c r="K32" s="28"/>
      <c r="L32" s="28"/>
      <c r="M32" s="28"/>
      <c r="N32" s="28"/>
      <c r="O32" s="28"/>
      <c r="P32" s="33"/>
      <c r="Q32" s="11"/>
      <c r="R32" s="11"/>
      <c r="T32" s="11"/>
      <c r="U32" s="11"/>
      <c r="V32" s="11"/>
      <c r="W32" s="11"/>
      <c r="X32" s="11"/>
      <c r="Y32" s="11"/>
      <c r="Z32" s="11"/>
    </row>
    <row r="33" ht="11.25" customHeight="1">
      <c r="A33" s="12" t="str">
        <f t="shared" si="1"/>
        <v/>
      </c>
      <c r="B33" s="15" t="s">
        <v>24</v>
      </c>
      <c r="C33" s="17"/>
      <c r="D33" s="17"/>
      <c r="E33" s="72"/>
      <c r="F33" s="72"/>
      <c r="G33" s="25"/>
      <c r="H33" s="64"/>
      <c r="I33" s="17"/>
      <c r="J33" s="23"/>
      <c r="K33" s="28"/>
      <c r="L33" s="28"/>
      <c r="M33" s="28"/>
      <c r="N33" s="28"/>
      <c r="O33" s="28"/>
      <c r="P33" s="33"/>
    </row>
    <row r="34" ht="11.25" customHeight="1">
      <c r="A34" s="12" t="str">
        <f t="shared" si="1"/>
        <v/>
      </c>
      <c r="B34" s="15" t="s">
        <v>24</v>
      </c>
      <c r="C34" s="17"/>
      <c r="D34" s="17"/>
      <c r="E34" s="51"/>
      <c r="F34" s="51"/>
      <c r="G34" s="23"/>
      <c r="H34" s="64"/>
      <c r="I34" s="17"/>
      <c r="J34" s="23"/>
      <c r="K34" s="28"/>
      <c r="L34" s="28"/>
      <c r="M34" s="28"/>
      <c r="N34" s="28"/>
      <c r="O34" s="28"/>
      <c r="P34" s="33"/>
    </row>
    <row r="35" ht="11.25" customHeight="1">
      <c r="A35" s="12" t="str">
        <f t="shared" si="1"/>
        <v/>
      </c>
      <c r="B35" s="15" t="s">
        <v>24</v>
      </c>
      <c r="C35" s="17"/>
      <c r="D35" s="17"/>
      <c r="E35" s="51"/>
      <c r="F35" s="51"/>
      <c r="G35" s="23"/>
      <c r="H35" s="64"/>
      <c r="I35" s="17"/>
      <c r="J35" s="23"/>
      <c r="K35" s="28"/>
      <c r="L35" s="28"/>
      <c r="M35" s="28"/>
      <c r="N35" s="28"/>
      <c r="O35" s="28"/>
      <c r="P35" s="33"/>
    </row>
    <row r="36" ht="11.25" customHeight="1">
      <c r="A36" s="12" t="str">
        <f t="shared" si="1"/>
        <v/>
      </c>
      <c r="B36" s="15" t="s">
        <v>24</v>
      </c>
      <c r="C36" s="17"/>
      <c r="D36" s="49"/>
      <c r="E36" s="51"/>
      <c r="F36" s="51"/>
      <c r="G36" s="14"/>
      <c r="H36" s="68"/>
      <c r="I36" s="16"/>
      <c r="J36" s="14"/>
      <c r="K36" s="29"/>
      <c r="L36" s="29"/>
      <c r="M36" s="29"/>
      <c r="N36" s="29"/>
      <c r="O36" s="44"/>
      <c r="P36" s="54"/>
    </row>
    <row r="37" ht="11.25" customHeight="1">
      <c r="A37" s="12" t="str">
        <f t="shared" si="1"/>
        <v/>
      </c>
      <c r="B37" s="15" t="s">
        <v>24</v>
      </c>
      <c r="C37" s="17"/>
      <c r="D37" s="17"/>
      <c r="E37" s="23"/>
      <c r="F37" s="23"/>
      <c r="G37" s="25"/>
      <c r="H37" s="73"/>
      <c r="I37" s="17"/>
      <c r="J37" s="23"/>
      <c r="K37" s="28"/>
      <c r="L37" s="28"/>
      <c r="M37" s="28"/>
      <c r="N37" s="28"/>
      <c r="O37" s="28"/>
      <c r="P37" s="30"/>
    </row>
    <row r="38" ht="11.25" customHeight="1">
      <c r="A38" s="12" t="str">
        <f t="shared" si="1"/>
        <v/>
      </c>
      <c r="B38" s="15" t="s">
        <v>24</v>
      </c>
      <c r="C38" s="17"/>
      <c r="D38" s="17"/>
      <c r="E38" s="21"/>
      <c r="F38" s="21"/>
      <c r="G38" s="25"/>
      <c r="H38" s="73"/>
      <c r="I38" s="17"/>
      <c r="J38" s="23"/>
      <c r="K38" s="28"/>
      <c r="L38" s="28"/>
      <c r="M38" s="28"/>
      <c r="N38" s="28"/>
      <c r="O38" s="28"/>
      <c r="P38" s="33"/>
    </row>
    <row r="39" ht="11.25" customHeight="1">
      <c r="A39" s="12" t="str">
        <f t="shared" si="1"/>
        <v/>
      </c>
      <c r="B39" s="15" t="s">
        <v>24</v>
      </c>
      <c r="C39" s="17"/>
      <c r="D39" s="17"/>
      <c r="E39" s="21"/>
      <c r="F39" s="21"/>
      <c r="G39" s="25"/>
      <c r="H39" s="73"/>
      <c r="I39" s="17"/>
      <c r="J39" s="23"/>
      <c r="K39" s="28"/>
      <c r="L39" s="28"/>
      <c r="M39" s="28"/>
      <c r="N39" s="28"/>
      <c r="O39" s="28"/>
      <c r="P39" s="33"/>
    </row>
    <row r="40" ht="11.25" customHeight="1">
      <c r="A40" s="12" t="str">
        <f t="shared" si="1"/>
        <v/>
      </c>
      <c r="B40" s="15" t="s">
        <v>24</v>
      </c>
      <c r="C40" s="17"/>
      <c r="D40" s="17"/>
      <c r="E40" s="23"/>
      <c r="F40" s="23"/>
      <c r="G40" s="25"/>
      <c r="H40" s="64"/>
      <c r="I40" s="17"/>
      <c r="J40" s="23"/>
      <c r="K40" s="28"/>
      <c r="L40" s="28"/>
      <c r="M40" s="28"/>
      <c r="N40" s="28"/>
      <c r="O40" s="28"/>
      <c r="P40" s="33"/>
    </row>
    <row r="41" ht="11.25" customHeight="1">
      <c r="A41" s="12" t="str">
        <f t="shared" si="1"/>
        <v/>
      </c>
      <c r="B41" s="15" t="s">
        <v>24</v>
      </c>
      <c r="C41" s="17"/>
      <c r="D41" s="17"/>
      <c r="E41" s="21"/>
      <c r="F41" s="21"/>
      <c r="G41" s="25"/>
      <c r="H41" s="64"/>
      <c r="I41" s="17"/>
      <c r="J41" s="23"/>
      <c r="K41" s="28"/>
      <c r="L41" s="28"/>
      <c r="M41" s="28"/>
      <c r="N41" s="28"/>
      <c r="O41" s="28"/>
      <c r="P41" s="33"/>
    </row>
    <row r="42" ht="11.25" customHeight="1">
      <c r="A42" s="12" t="str">
        <f t="shared" si="1"/>
        <v/>
      </c>
      <c r="B42" s="15" t="s">
        <v>24</v>
      </c>
      <c r="C42" s="17"/>
      <c r="D42" s="17"/>
      <c r="E42" s="51"/>
      <c r="F42" s="23"/>
      <c r="G42" s="25"/>
      <c r="H42" s="64"/>
      <c r="I42" s="17"/>
      <c r="J42" s="23"/>
      <c r="K42" s="28"/>
      <c r="L42" s="28"/>
      <c r="M42" s="28"/>
      <c r="N42" s="28"/>
      <c r="O42" s="28"/>
      <c r="P42" s="33"/>
    </row>
    <row r="43" ht="11.25" customHeight="1">
      <c r="A43" s="12" t="str">
        <f t="shared" si="1"/>
        <v/>
      </c>
      <c r="B43" s="15" t="s">
        <v>24</v>
      </c>
      <c r="C43" s="17"/>
      <c r="D43" s="17"/>
      <c r="E43" s="51"/>
      <c r="F43" s="23"/>
      <c r="G43" s="25"/>
      <c r="H43" s="64"/>
      <c r="I43" s="17"/>
      <c r="J43" s="23"/>
      <c r="K43" s="28"/>
      <c r="L43" s="28"/>
      <c r="M43" s="28"/>
      <c r="N43" s="28"/>
      <c r="O43" s="28"/>
      <c r="P43" s="33"/>
    </row>
    <row r="44" ht="11.25" customHeight="1">
      <c r="A44" s="12" t="str">
        <f t="shared" si="1"/>
        <v/>
      </c>
      <c r="B44" s="15" t="s">
        <v>24</v>
      </c>
      <c r="C44" s="17"/>
      <c r="D44" s="17"/>
      <c r="E44" s="51"/>
      <c r="F44" s="23"/>
      <c r="G44" s="25"/>
      <c r="H44" s="64"/>
      <c r="I44" s="17"/>
      <c r="J44" s="23"/>
      <c r="K44" s="28"/>
      <c r="L44" s="28"/>
      <c r="M44" s="28"/>
      <c r="N44" s="28"/>
      <c r="O44" s="28"/>
      <c r="P44" s="33"/>
    </row>
    <row r="45" ht="11.25" customHeight="1">
      <c r="A45" s="12" t="str">
        <f t="shared" si="1"/>
        <v/>
      </c>
      <c r="B45" s="15" t="s">
        <v>24</v>
      </c>
      <c r="C45" s="17"/>
      <c r="D45" s="17"/>
      <c r="E45" s="51"/>
      <c r="F45" s="23"/>
      <c r="G45" s="25"/>
      <c r="H45" s="64"/>
      <c r="I45" s="17"/>
      <c r="J45" s="23"/>
      <c r="K45" s="28"/>
      <c r="L45" s="28"/>
      <c r="M45" s="28"/>
      <c r="N45" s="28"/>
      <c r="O45" s="28"/>
      <c r="P45" s="33"/>
    </row>
    <row r="46" ht="11.25" customHeight="1">
      <c r="A46" s="12" t="str">
        <f t="shared" si="1"/>
        <v/>
      </c>
      <c r="B46" s="15" t="s">
        <v>24</v>
      </c>
      <c r="C46" s="17"/>
      <c r="D46" s="17"/>
      <c r="E46" s="51"/>
      <c r="F46" s="23"/>
      <c r="G46" s="25"/>
      <c r="H46" s="64"/>
      <c r="I46" s="17"/>
      <c r="J46" s="23"/>
      <c r="K46" s="28"/>
      <c r="L46" s="28"/>
      <c r="M46" s="28"/>
      <c r="N46" s="28"/>
      <c r="O46" s="28"/>
      <c r="P46" s="33"/>
    </row>
    <row r="47" ht="11.25" customHeight="1">
      <c r="A47" s="12" t="str">
        <f t="shared" si="1"/>
        <v/>
      </c>
      <c r="B47" s="15" t="s">
        <v>24</v>
      </c>
      <c r="C47" s="17"/>
      <c r="D47" s="17"/>
      <c r="E47" s="23"/>
      <c r="F47" s="23"/>
      <c r="G47" s="25"/>
      <c r="H47" s="64"/>
      <c r="I47" s="17"/>
      <c r="J47" s="23"/>
      <c r="K47" s="28"/>
      <c r="L47" s="28"/>
      <c r="M47" s="28"/>
      <c r="N47" s="76"/>
      <c r="O47" s="77"/>
      <c r="P47" s="33"/>
    </row>
    <row r="48" ht="11.25" customHeight="1">
      <c r="A48" s="12" t="str">
        <f t="shared" si="1"/>
        <v/>
      </c>
      <c r="B48" s="15" t="s">
        <v>24</v>
      </c>
      <c r="C48" s="17"/>
      <c r="D48" s="17"/>
      <c r="E48" s="36"/>
      <c r="F48" s="36"/>
      <c r="G48" s="25"/>
      <c r="H48" s="64"/>
      <c r="I48" s="17"/>
      <c r="J48" s="23"/>
      <c r="K48" s="28"/>
      <c r="L48" s="28"/>
      <c r="M48" s="28"/>
      <c r="N48" s="76"/>
      <c r="O48" s="77"/>
      <c r="P48" s="32"/>
    </row>
    <row r="49" ht="11.25" customHeight="1">
      <c r="A49" s="12" t="str">
        <f t="shared" si="1"/>
        <v/>
      </c>
      <c r="B49" s="15" t="s">
        <v>24</v>
      </c>
      <c r="C49" s="17"/>
      <c r="D49" s="49"/>
      <c r="E49" s="21"/>
      <c r="F49" s="21"/>
      <c r="G49" s="14"/>
      <c r="H49" s="68"/>
      <c r="I49" s="49"/>
      <c r="J49" s="22"/>
      <c r="K49" s="53"/>
      <c r="L49" s="53"/>
      <c r="M49" s="29"/>
      <c r="N49" s="29"/>
      <c r="O49" s="44"/>
      <c r="P49" s="54"/>
    </row>
    <row r="50" ht="11.25" customHeight="1">
      <c r="A50" s="12" t="str">
        <f t="shared" si="1"/>
        <v/>
      </c>
      <c r="B50" s="15" t="s">
        <v>24</v>
      </c>
      <c r="C50" s="17"/>
      <c r="D50" s="17"/>
      <c r="E50" s="23"/>
      <c r="F50" s="78"/>
      <c r="G50" s="23"/>
      <c r="H50" s="64"/>
      <c r="I50" s="17"/>
      <c r="J50" s="23"/>
      <c r="K50" s="28"/>
      <c r="L50" s="28"/>
      <c r="M50" s="28"/>
      <c r="N50" s="76"/>
      <c r="O50" s="77"/>
      <c r="P50" s="33"/>
    </row>
    <row r="51" ht="11.25" customHeight="1">
      <c r="A51" s="12" t="str">
        <f t="shared" si="1"/>
        <v/>
      </c>
      <c r="B51" s="15" t="s">
        <v>24</v>
      </c>
      <c r="C51" s="17"/>
      <c r="D51" s="17"/>
      <c r="E51" s="36"/>
      <c r="F51" s="36"/>
      <c r="G51" s="14"/>
      <c r="H51" s="64"/>
      <c r="I51" s="17"/>
      <c r="J51" s="23"/>
      <c r="K51" s="28"/>
      <c r="L51" s="28"/>
      <c r="M51" s="28"/>
      <c r="N51" s="76"/>
      <c r="O51" s="77"/>
      <c r="P51" s="33"/>
    </row>
    <row r="52" ht="11.25" customHeight="1">
      <c r="A52" s="12" t="str">
        <f t="shared" si="1"/>
        <v/>
      </c>
      <c r="B52" s="15" t="s">
        <v>24</v>
      </c>
      <c r="C52" s="17"/>
      <c r="D52" s="17"/>
      <c r="E52" s="22"/>
      <c r="F52" s="22"/>
      <c r="G52" s="14"/>
      <c r="H52" s="68"/>
      <c r="I52" s="18"/>
      <c r="J52" s="22"/>
      <c r="K52" s="29"/>
      <c r="L52" s="28"/>
      <c r="M52" s="28"/>
      <c r="N52" s="28"/>
      <c r="O52" s="28"/>
      <c r="P52" s="33"/>
    </row>
    <row r="53" ht="11.25" customHeight="1">
      <c r="A53" s="12" t="str">
        <f t="shared" si="1"/>
        <v/>
      </c>
      <c r="B53" s="15" t="s">
        <v>24</v>
      </c>
      <c r="C53" s="17"/>
      <c r="D53" s="17"/>
      <c r="E53" s="81"/>
      <c r="F53" s="83"/>
      <c r="G53" s="25"/>
      <c r="H53" s="64"/>
      <c r="I53" s="17"/>
      <c r="J53" s="23"/>
      <c r="K53" s="28"/>
      <c r="L53" s="28"/>
      <c r="M53" s="28"/>
      <c r="N53" s="28"/>
      <c r="O53" s="28"/>
      <c r="P53" s="33"/>
    </row>
    <row r="54" ht="11.25" customHeight="1">
      <c r="A54" s="12" t="str">
        <f t="shared" si="1"/>
        <v/>
      </c>
      <c r="B54" s="15" t="s">
        <v>24</v>
      </c>
      <c r="C54" s="17"/>
      <c r="D54" s="49"/>
      <c r="E54" s="51"/>
      <c r="F54" s="51"/>
      <c r="G54" s="14"/>
      <c r="H54" s="60"/>
      <c r="I54" s="49"/>
      <c r="J54" s="14"/>
      <c r="K54" s="53"/>
      <c r="L54" s="53"/>
      <c r="M54" s="53"/>
      <c r="N54" s="44"/>
      <c r="O54" s="44"/>
      <c r="P54" s="54"/>
    </row>
    <row r="55" ht="11.25" customHeight="1">
      <c r="A55" s="12" t="str">
        <f t="shared" si="1"/>
        <v/>
      </c>
      <c r="B55" s="15" t="s">
        <v>24</v>
      </c>
      <c r="C55" s="17"/>
      <c r="D55" s="49"/>
      <c r="E55" s="51"/>
      <c r="F55" s="51"/>
      <c r="G55" s="14"/>
      <c r="H55" s="60"/>
      <c r="I55" s="49"/>
      <c r="J55" s="14"/>
      <c r="K55" s="53"/>
      <c r="L55" s="53"/>
      <c r="M55" s="53"/>
      <c r="N55" s="44"/>
      <c r="O55" s="44"/>
      <c r="P55" s="24"/>
    </row>
    <row r="56" ht="11.25" customHeight="1">
      <c r="A56" s="12" t="str">
        <f t="shared" si="1"/>
        <v/>
      </c>
      <c r="B56" s="15" t="s">
        <v>24</v>
      </c>
      <c r="C56" s="17"/>
      <c r="D56" s="49"/>
      <c r="E56" s="51"/>
      <c r="F56" s="51"/>
      <c r="G56" s="14"/>
      <c r="H56" s="60"/>
      <c r="I56" s="49"/>
      <c r="J56" s="14"/>
      <c r="K56" s="53"/>
      <c r="L56" s="53"/>
      <c r="M56" s="53"/>
      <c r="N56" s="44"/>
      <c r="O56" s="44"/>
      <c r="P56" s="24"/>
    </row>
    <row r="57" ht="11.25" customHeight="1">
      <c r="A57" s="12" t="str">
        <f t="shared" si="1"/>
        <v/>
      </c>
      <c r="B57" s="15" t="s">
        <v>24</v>
      </c>
      <c r="C57" s="17"/>
      <c r="D57" s="49"/>
      <c r="E57" s="21"/>
      <c r="F57" s="21"/>
      <c r="G57" s="14"/>
      <c r="H57" s="60"/>
      <c r="I57" s="49"/>
      <c r="J57" s="14"/>
      <c r="K57" s="53"/>
      <c r="L57" s="53"/>
      <c r="M57" s="53"/>
      <c r="N57" s="44"/>
      <c r="O57" s="44"/>
      <c r="P57" s="54"/>
    </row>
    <row r="58" ht="11.25" customHeight="1">
      <c r="A58" s="12" t="str">
        <f t="shared" si="1"/>
        <v/>
      </c>
      <c r="B58" s="15" t="s">
        <v>24</v>
      </c>
      <c r="C58" s="17"/>
      <c r="D58" s="17"/>
      <c r="E58" s="65"/>
      <c r="F58" s="65"/>
      <c r="G58" s="25"/>
      <c r="H58" s="64"/>
      <c r="I58" s="17"/>
      <c r="J58" s="23"/>
      <c r="K58" s="28"/>
      <c r="L58" s="28"/>
      <c r="M58" s="28"/>
      <c r="N58" s="28"/>
      <c r="O58" s="28"/>
      <c r="P58" s="33"/>
    </row>
    <row r="59" ht="11.25" customHeight="1">
      <c r="A59" s="12" t="str">
        <f t="shared" si="1"/>
        <v/>
      </c>
      <c r="B59" s="15" t="s">
        <v>24</v>
      </c>
      <c r="C59" s="17"/>
      <c r="D59" s="49"/>
      <c r="E59" s="36"/>
      <c r="F59" s="36"/>
      <c r="G59" s="14"/>
      <c r="H59" s="60"/>
      <c r="I59" s="49"/>
      <c r="J59" s="22"/>
      <c r="K59" s="53"/>
      <c r="L59" s="53"/>
      <c r="M59" s="53"/>
      <c r="N59" s="44"/>
      <c r="O59" s="44"/>
      <c r="P59" s="54"/>
    </row>
    <row r="60" ht="11.25" customHeight="1">
      <c r="A60" s="12" t="str">
        <f t="shared" si="1"/>
        <v/>
      </c>
      <c r="B60" s="15" t="s">
        <v>24</v>
      </c>
      <c r="C60" s="17"/>
      <c r="D60" s="17"/>
      <c r="E60" s="21"/>
      <c r="F60" s="21"/>
      <c r="G60" s="14"/>
      <c r="H60" s="64"/>
      <c r="I60" s="18"/>
      <c r="J60" s="23"/>
      <c r="K60" s="29"/>
      <c r="L60" s="28"/>
      <c r="M60" s="28"/>
      <c r="N60" s="28"/>
      <c r="O60" s="28"/>
      <c r="P60" s="33"/>
    </row>
    <row r="61" ht="11.25" customHeight="1">
      <c r="A61" s="12" t="str">
        <f t="shared" si="1"/>
        <v/>
      </c>
      <c r="B61" s="15" t="s">
        <v>24</v>
      </c>
      <c r="C61" s="17"/>
      <c r="D61" s="17"/>
      <c r="E61" s="94"/>
      <c r="F61" s="94"/>
      <c r="G61" s="14"/>
      <c r="H61" s="64"/>
      <c r="I61" s="18"/>
      <c r="J61" s="23"/>
      <c r="K61" s="29"/>
      <c r="L61" s="28"/>
      <c r="M61" s="28"/>
      <c r="N61" s="28"/>
      <c r="O61" s="28"/>
      <c r="P61" s="33"/>
    </row>
    <row r="62" ht="11.25" customHeight="1">
      <c r="A62" s="12" t="str">
        <f t="shared" si="1"/>
        <v/>
      </c>
      <c r="B62" s="15" t="s">
        <v>24</v>
      </c>
      <c r="C62" s="17"/>
      <c r="D62" s="17"/>
      <c r="E62" s="21"/>
      <c r="F62" s="21"/>
      <c r="G62" s="14"/>
      <c r="H62" s="64"/>
      <c r="I62" s="18"/>
      <c r="J62" s="23"/>
      <c r="K62" s="29"/>
      <c r="L62" s="28"/>
      <c r="M62" s="28"/>
      <c r="N62" s="28"/>
      <c r="O62" s="28"/>
      <c r="P62" s="33"/>
    </row>
    <row r="63" ht="11.25" customHeight="1">
      <c r="A63" s="12" t="str">
        <f t="shared" si="1"/>
        <v/>
      </c>
      <c r="B63" s="15" t="s">
        <v>24</v>
      </c>
      <c r="C63" s="17"/>
      <c r="D63" s="17"/>
      <c r="E63" s="36"/>
      <c r="F63" s="23"/>
      <c r="G63" s="25"/>
      <c r="H63" s="64"/>
      <c r="I63" s="17"/>
      <c r="J63" s="23"/>
      <c r="K63" s="28"/>
      <c r="L63" s="28"/>
      <c r="M63" s="28"/>
      <c r="N63" s="28"/>
      <c r="O63" s="28"/>
      <c r="P63" s="33"/>
    </row>
    <row r="64" ht="11.25" customHeight="1">
      <c r="A64" s="12" t="str">
        <f t="shared" si="1"/>
        <v/>
      </c>
      <c r="B64" s="15" t="s">
        <v>24</v>
      </c>
      <c r="C64" s="17"/>
      <c r="D64" s="17"/>
      <c r="E64" s="36"/>
      <c r="F64" s="23"/>
      <c r="G64" s="25"/>
      <c r="H64" s="64"/>
      <c r="I64" s="17"/>
      <c r="J64" s="23"/>
      <c r="K64" s="28"/>
      <c r="L64" s="28"/>
      <c r="M64" s="28"/>
      <c r="N64" s="28"/>
      <c r="O64" s="28"/>
      <c r="P64" s="33"/>
    </row>
    <row r="65" ht="11.25" customHeight="1">
      <c r="A65" s="12" t="str">
        <f t="shared" si="1"/>
        <v/>
      </c>
      <c r="B65" s="15" t="s">
        <v>24</v>
      </c>
      <c r="C65" s="17"/>
      <c r="D65" s="17"/>
      <c r="E65" s="25"/>
      <c r="F65" s="25"/>
      <c r="G65" s="25"/>
      <c r="H65" s="64"/>
      <c r="I65" s="17"/>
      <c r="J65" s="23"/>
      <c r="K65" s="28"/>
      <c r="L65" s="28"/>
      <c r="M65" s="28"/>
      <c r="N65" s="28"/>
      <c r="O65" s="28"/>
      <c r="P65" s="33"/>
    </row>
    <row r="66" ht="11.25" customHeight="1">
      <c r="A66" s="12" t="str">
        <f t="shared" si="1"/>
        <v/>
      </c>
      <c r="B66" s="15" t="s">
        <v>24</v>
      </c>
      <c r="C66" s="17"/>
      <c r="D66" s="17"/>
      <c r="E66" s="23"/>
      <c r="F66" s="23"/>
      <c r="G66" s="25"/>
      <c r="H66" s="73"/>
      <c r="I66" s="17"/>
      <c r="J66" s="23"/>
      <c r="K66" s="28"/>
      <c r="L66" s="28"/>
      <c r="M66" s="28"/>
      <c r="N66" s="76"/>
      <c r="O66" s="77"/>
      <c r="P66" s="33"/>
    </row>
    <row r="67" ht="11.25" customHeight="1">
      <c r="A67" s="12" t="str">
        <f t="shared" si="1"/>
        <v/>
      </c>
      <c r="B67" s="15" t="s">
        <v>24</v>
      </c>
      <c r="C67" s="17"/>
      <c r="D67" s="17"/>
      <c r="E67" s="22"/>
      <c r="F67" s="22"/>
      <c r="G67" s="14"/>
      <c r="H67" s="68"/>
      <c r="I67" s="18"/>
      <c r="J67" s="22"/>
      <c r="K67" s="98"/>
      <c r="L67" s="28"/>
      <c r="M67" s="28"/>
      <c r="N67" s="28"/>
      <c r="O67" s="28"/>
      <c r="P67" s="33"/>
    </row>
    <row r="68" ht="11.25" customHeight="1">
      <c r="A68" s="12" t="str">
        <f t="shared" si="1"/>
        <v/>
      </c>
      <c r="B68" s="15" t="s">
        <v>24</v>
      </c>
      <c r="C68" s="17"/>
      <c r="D68" s="49"/>
      <c r="E68" s="23"/>
      <c r="F68" s="23"/>
      <c r="G68" s="14"/>
      <c r="H68" s="60"/>
      <c r="I68" s="49"/>
      <c r="J68" s="22"/>
      <c r="K68" s="53"/>
      <c r="L68" s="28"/>
      <c r="M68" s="28"/>
      <c r="N68" s="28"/>
      <c r="O68" s="28"/>
      <c r="P68" s="33"/>
    </row>
    <row r="69" ht="11.25" customHeight="1">
      <c r="A69" s="12" t="str">
        <f t="shared" si="1"/>
        <v/>
      </c>
      <c r="B69" s="15" t="s">
        <v>24</v>
      </c>
      <c r="C69" s="17"/>
      <c r="D69" s="17"/>
      <c r="E69" s="21"/>
      <c r="F69" s="21"/>
      <c r="G69" s="22"/>
      <c r="H69" s="68"/>
      <c r="I69" s="17"/>
      <c r="J69" s="23"/>
      <c r="K69" s="28"/>
      <c r="L69" s="28"/>
      <c r="M69" s="28"/>
      <c r="N69" s="28"/>
      <c r="O69" s="28"/>
      <c r="P69" s="33"/>
    </row>
    <row r="70" ht="11.25" customHeight="1">
      <c r="A70" s="12" t="str">
        <f t="shared" si="1"/>
        <v/>
      </c>
      <c r="B70" s="15" t="s">
        <v>24</v>
      </c>
      <c r="C70" s="17"/>
      <c r="D70" s="49"/>
      <c r="E70" s="36"/>
      <c r="F70" s="36"/>
      <c r="G70" s="14"/>
      <c r="H70" s="60"/>
      <c r="I70" s="49"/>
      <c r="J70" s="92"/>
      <c r="K70" s="53"/>
      <c r="L70" s="53"/>
      <c r="M70" s="53"/>
      <c r="N70" s="44"/>
      <c r="O70" s="44"/>
      <c r="P70" s="33"/>
    </row>
    <row r="71" ht="11.25" customHeight="1">
      <c r="A71" s="12" t="str">
        <f t="shared" si="1"/>
        <v/>
      </c>
      <c r="B71" s="15" t="s">
        <v>24</v>
      </c>
      <c r="C71" s="17"/>
      <c r="D71" s="17"/>
      <c r="E71" s="22"/>
      <c r="F71" s="22"/>
      <c r="G71" s="14"/>
      <c r="H71" s="68"/>
      <c r="I71" s="18"/>
      <c r="J71" s="22"/>
      <c r="K71" s="29"/>
      <c r="L71" s="28"/>
      <c r="M71" s="28"/>
      <c r="N71" s="28"/>
      <c r="O71" s="28"/>
      <c r="P71" s="33"/>
    </row>
    <row r="72" ht="11.25" customHeight="1">
      <c r="A72" s="12" t="str">
        <f t="shared" si="1"/>
        <v/>
      </c>
      <c r="B72" s="15" t="s">
        <v>24</v>
      </c>
      <c r="C72" s="17"/>
      <c r="D72" s="17"/>
      <c r="E72" s="22"/>
      <c r="F72" s="22"/>
      <c r="G72" s="14"/>
      <c r="H72" s="68"/>
      <c r="I72" s="18"/>
      <c r="J72" s="22"/>
      <c r="K72" s="29"/>
      <c r="L72" s="28"/>
      <c r="M72" s="28"/>
      <c r="N72" s="28"/>
      <c r="O72" s="28"/>
      <c r="P72" s="33"/>
    </row>
    <row r="73" ht="11.25" customHeight="1">
      <c r="A73" s="12" t="str">
        <f t="shared" si="1"/>
        <v/>
      </c>
      <c r="B73" s="15" t="s">
        <v>24</v>
      </c>
      <c r="C73" s="17"/>
      <c r="D73" s="17"/>
      <c r="E73" s="22"/>
      <c r="F73" s="22"/>
      <c r="G73" s="14"/>
      <c r="H73" s="68"/>
      <c r="I73" s="18"/>
      <c r="J73" s="22"/>
      <c r="K73" s="29"/>
      <c r="L73" s="28"/>
      <c r="M73" s="28"/>
      <c r="N73" s="28"/>
      <c r="O73" s="28"/>
      <c r="P73" s="33"/>
    </row>
    <row r="74" ht="11.25" customHeight="1">
      <c r="A74" s="12" t="str">
        <f t="shared" si="1"/>
        <v/>
      </c>
      <c r="B74" s="15" t="s">
        <v>24</v>
      </c>
      <c r="C74" s="17"/>
      <c r="D74" s="17"/>
      <c r="E74" s="22"/>
      <c r="F74" s="22"/>
      <c r="G74" s="14"/>
      <c r="H74" s="68"/>
      <c r="I74" s="18"/>
      <c r="J74" s="22"/>
      <c r="K74" s="29"/>
      <c r="L74" s="28"/>
      <c r="M74" s="28"/>
      <c r="N74" s="28"/>
      <c r="O74" s="28"/>
      <c r="P74" s="33"/>
    </row>
    <row r="75" ht="11.25" customHeight="1">
      <c r="A75" s="12" t="str">
        <f t="shared" si="1"/>
        <v/>
      </c>
      <c r="B75" s="15" t="s">
        <v>24</v>
      </c>
      <c r="C75" s="17"/>
      <c r="D75" s="17"/>
      <c r="E75" s="21"/>
      <c r="F75" s="23"/>
      <c r="G75" s="14"/>
      <c r="H75" s="68"/>
      <c r="I75" s="17"/>
      <c r="J75" s="22"/>
      <c r="K75" s="28"/>
      <c r="L75" s="28"/>
      <c r="M75" s="28"/>
      <c r="N75" s="28"/>
      <c r="O75" s="28"/>
      <c r="P75" s="33"/>
    </row>
    <row r="76" ht="11.25" customHeight="1">
      <c r="A76" s="12" t="str">
        <f t="shared" si="1"/>
        <v/>
      </c>
      <c r="B76" s="15" t="s">
        <v>24</v>
      </c>
      <c r="C76" s="17"/>
      <c r="D76" s="17"/>
      <c r="E76" s="21"/>
      <c r="F76" s="23"/>
      <c r="G76" s="14"/>
      <c r="H76" s="68"/>
      <c r="I76" s="17"/>
      <c r="J76" s="22"/>
      <c r="K76" s="28"/>
      <c r="L76" s="28"/>
      <c r="M76" s="28"/>
      <c r="N76" s="28"/>
      <c r="O76" s="28"/>
      <c r="P76" s="33"/>
    </row>
    <row r="77" ht="11.25" customHeight="1">
      <c r="A77" s="12" t="str">
        <f t="shared" si="1"/>
        <v/>
      </c>
      <c r="B77" s="15" t="s">
        <v>24</v>
      </c>
      <c r="C77" s="17"/>
      <c r="D77" s="17"/>
      <c r="E77" s="21"/>
      <c r="F77" s="21"/>
      <c r="G77" s="22"/>
      <c r="H77" s="68"/>
      <c r="I77" s="17"/>
      <c r="J77" s="23"/>
      <c r="K77" s="28"/>
      <c r="L77" s="28"/>
      <c r="M77" s="28"/>
      <c r="N77" s="28"/>
      <c r="O77" s="28"/>
      <c r="P77" s="33"/>
    </row>
    <row r="78" ht="11.25" customHeight="1">
      <c r="A78" s="12" t="str">
        <f t="shared" si="1"/>
        <v/>
      </c>
      <c r="B78" s="15" t="s">
        <v>24</v>
      </c>
      <c r="C78" s="17"/>
      <c r="D78" s="17"/>
      <c r="E78" s="65"/>
      <c r="F78" s="67"/>
      <c r="G78" s="25"/>
      <c r="H78" s="64"/>
      <c r="I78" s="17"/>
      <c r="J78" s="23"/>
      <c r="K78" s="28"/>
      <c r="L78" s="28"/>
      <c r="M78" s="28"/>
      <c r="N78" s="28"/>
      <c r="O78" s="28"/>
      <c r="P78" s="33"/>
    </row>
    <row r="79" ht="11.25" customHeight="1">
      <c r="A79" s="12" t="str">
        <f t="shared" si="1"/>
        <v/>
      </c>
      <c r="B79" s="15" t="s">
        <v>24</v>
      </c>
      <c r="C79" s="17"/>
      <c r="D79" s="17"/>
      <c r="E79" s="23"/>
      <c r="F79" s="23"/>
      <c r="G79" s="25"/>
      <c r="H79" s="64"/>
      <c r="I79" s="17"/>
      <c r="J79" s="23"/>
      <c r="K79" s="28"/>
      <c r="L79" s="28"/>
      <c r="M79" s="28"/>
      <c r="N79" s="28"/>
      <c r="O79" s="28"/>
      <c r="P79" s="33"/>
    </row>
    <row r="80" ht="11.25" customHeight="1">
      <c r="A80" s="12" t="str">
        <f t="shared" si="1"/>
        <v/>
      </c>
      <c r="B80" s="15" t="s">
        <v>24</v>
      </c>
      <c r="C80" s="17"/>
      <c r="D80" s="17"/>
      <c r="E80" s="21"/>
      <c r="F80" s="23"/>
      <c r="G80" s="14"/>
      <c r="H80" s="68"/>
      <c r="I80" s="17"/>
      <c r="J80" s="22"/>
      <c r="K80" s="101"/>
      <c r="L80" s="28"/>
      <c r="M80" s="28"/>
      <c r="N80" s="28"/>
      <c r="O80" s="28"/>
      <c r="P80" s="33"/>
    </row>
    <row r="81" ht="11.25" customHeight="1">
      <c r="A81" s="12" t="str">
        <f t="shared" si="1"/>
        <v/>
      </c>
      <c r="B81" s="15" t="s">
        <v>24</v>
      </c>
      <c r="C81" s="17"/>
      <c r="D81" s="17"/>
      <c r="E81" s="102"/>
      <c r="F81" s="102"/>
      <c r="G81" s="25"/>
      <c r="H81" s="64"/>
      <c r="I81" s="17"/>
      <c r="J81" s="23"/>
      <c r="K81" s="28"/>
      <c r="L81" s="28"/>
      <c r="M81" s="28"/>
      <c r="N81" s="28"/>
      <c r="O81" s="28"/>
      <c r="P81" s="33"/>
    </row>
    <row r="82" ht="11.25" customHeight="1">
      <c r="A82" s="12" t="str">
        <f t="shared" si="1"/>
        <v/>
      </c>
      <c r="B82" s="15" t="s">
        <v>24</v>
      </c>
      <c r="C82" s="17"/>
      <c r="D82" s="17"/>
      <c r="E82" s="23"/>
      <c r="F82" s="23"/>
      <c r="G82" s="25"/>
      <c r="H82" s="64"/>
      <c r="I82" s="17"/>
      <c r="J82" s="23"/>
      <c r="K82" s="28"/>
      <c r="L82" s="28"/>
      <c r="M82" s="28"/>
      <c r="N82" s="28"/>
      <c r="O82" s="28"/>
      <c r="P82" s="33"/>
    </row>
    <row r="83" ht="11.25" customHeight="1">
      <c r="A83" s="12" t="str">
        <f t="shared" si="1"/>
        <v/>
      </c>
      <c r="B83" s="15" t="s">
        <v>24</v>
      </c>
      <c r="C83" s="17"/>
      <c r="D83" s="17"/>
      <c r="E83" s="25"/>
      <c r="F83" s="25"/>
      <c r="G83" s="25"/>
      <c r="H83" s="64"/>
      <c r="I83" s="15"/>
      <c r="J83" s="25"/>
      <c r="K83" s="28"/>
      <c r="L83" s="28"/>
      <c r="M83" s="28"/>
      <c r="N83" s="28"/>
      <c r="O83" s="28"/>
      <c r="P83" s="33"/>
    </row>
    <row r="84" ht="11.25" customHeight="1">
      <c r="A84" s="12" t="str">
        <f t="shared" si="1"/>
        <v/>
      </c>
      <c r="B84" s="15" t="s">
        <v>24</v>
      </c>
      <c r="C84" s="17"/>
      <c r="D84" s="17"/>
      <c r="E84" s="22"/>
      <c r="F84" s="22"/>
      <c r="G84" s="14"/>
      <c r="H84" s="68"/>
      <c r="I84" s="18"/>
      <c r="J84" s="22"/>
      <c r="K84" s="29"/>
      <c r="L84" s="28"/>
      <c r="M84" s="28"/>
      <c r="N84" s="28"/>
      <c r="O84" s="28"/>
      <c r="P84" s="33"/>
    </row>
    <row r="85" ht="11.25" customHeight="1">
      <c r="A85" s="12" t="str">
        <f t="shared" si="1"/>
        <v/>
      </c>
      <c r="B85" s="15" t="s">
        <v>24</v>
      </c>
      <c r="C85" s="17"/>
      <c r="D85" s="17"/>
      <c r="E85" s="23"/>
      <c r="F85" s="23"/>
      <c r="G85" s="25"/>
      <c r="H85" s="64"/>
      <c r="I85" s="17"/>
      <c r="J85" s="23"/>
      <c r="K85" s="28"/>
      <c r="L85" s="28"/>
      <c r="M85" s="28"/>
      <c r="N85" s="28"/>
      <c r="O85" s="28"/>
      <c r="P85" s="33"/>
    </row>
    <row r="86" ht="11.25" customHeight="1">
      <c r="A86" s="12" t="str">
        <f t="shared" si="1"/>
        <v/>
      </c>
      <c r="B86" s="15" t="s">
        <v>24</v>
      </c>
      <c r="C86" s="17"/>
      <c r="D86" s="49"/>
      <c r="E86" s="21"/>
      <c r="F86" s="21"/>
      <c r="G86" s="14"/>
      <c r="H86" s="60"/>
      <c r="I86" s="49"/>
      <c r="J86" s="92"/>
      <c r="K86" s="53"/>
      <c r="L86" s="53"/>
      <c r="M86" s="53"/>
      <c r="N86" s="44"/>
      <c r="O86" s="44"/>
      <c r="P86" s="54"/>
    </row>
    <row r="87" ht="11.25" customHeight="1">
      <c r="A87" s="12" t="str">
        <f t="shared" si="1"/>
        <v/>
      </c>
      <c r="B87" s="15" t="s">
        <v>24</v>
      </c>
      <c r="C87" s="17"/>
      <c r="D87" s="17"/>
      <c r="E87" s="21"/>
      <c r="F87" s="21"/>
      <c r="G87" s="25"/>
      <c r="H87" s="64"/>
      <c r="I87" s="17"/>
      <c r="J87" s="23"/>
      <c r="K87" s="28"/>
      <c r="L87" s="28"/>
      <c r="M87" s="28"/>
      <c r="N87" s="28"/>
      <c r="O87" s="28"/>
      <c r="P87" s="33"/>
    </row>
    <row r="88" ht="11.25" customHeight="1">
      <c r="A88" s="12" t="str">
        <f t="shared" si="1"/>
        <v/>
      </c>
      <c r="B88" s="15" t="s">
        <v>24</v>
      </c>
      <c r="C88" s="17"/>
      <c r="D88" s="17"/>
      <c r="E88" s="21"/>
      <c r="F88" s="21"/>
      <c r="G88" s="25"/>
      <c r="H88" s="64"/>
      <c r="I88" s="17"/>
      <c r="J88" s="23"/>
      <c r="K88" s="28"/>
      <c r="L88" s="28"/>
      <c r="M88" s="28"/>
      <c r="N88" s="28"/>
      <c r="O88" s="28"/>
      <c r="P88" s="33"/>
    </row>
    <row r="89" ht="11.25" customHeight="1">
      <c r="A89" s="12" t="str">
        <f t="shared" si="1"/>
        <v/>
      </c>
      <c r="B89" s="15" t="s">
        <v>24</v>
      </c>
      <c r="C89" s="17"/>
      <c r="D89" s="17"/>
      <c r="E89" s="21"/>
      <c r="F89" s="21"/>
      <c r="G89" s="25"/>
      <c r="H89" s="64"/>
      <c r="I89" s="17"/>
      <c r="J89" s="23"/>
      <c r="K89" s="28"/>
      <c r="L89" s="28"/>
      <c r="M89" s="28"/>
      <c r="N89" s="28"/>
      <c r="O89" s="28"/>
      <c r="P89" s="33"/>
    </row>
    <row r="90" ht="11.25" customHeight="1">
      <c r="A90" s="12" t="str">
        <f t="shared" si="1"/>
        <v/>
      </c>
      <c r="B90" s="15" t="s">
        <v>24</v>
      </c>
      <c r="C90" s="17"/>
      <c r="D90" s="17"/>
      <c r="E90" s="21"/>
      <c r="F90" s="21"/>
      <c r="G90" s="25"/>
      <c r="H90" s="104"/>
      <c r="I90" s="17"/>
      <c r="J90" s="23"/>
      <c r="K90" s="28"/>
      <c r="L90" s="28"/>
      <c r="M90" s="28"/>
      <c r="N90" s="28"/>
      <c r="O90" s="28"/>
      <c r="P90" s="33"/>
    </row>
    <row r="91" ht="11.25" customHeight="1">
      <c r="A91" s="12" t="str">
        <f t="shared" si="1"/>
        <v/>
      </c>
      <c r="B91" s="15" t="s">
        <v>24</v>
      </c>
      <c r="C91" s="17"/>
      <c r="D91" s="17"/>
      <c r="E91" s="21"/>
      <c r="F91" s="21"/>
      <c r="G91" s="25"/>
      <c r="H91" s="104"/>
      <c r="I91" s="17"/>
      <c r="J91" s="23"/>
      <c r="K91" s="28"/>
      <c r="L91" s="28"/>
      <c r="M91" s="28"/>
      <c r="N91" s="28"/>
      <c r="O91" s="28"/>
      <c r="P91" s="33"/>
    </row>
    <row r="92" ht="11.25" customHeight="1">
      <c r="A92" s="12" t="str">
        <f t="shared" si="1"/>
        <v/>
      </c>
      <c r="B92" s="15" t="s">
        <v>24</v>
      </c>
      <c r="C92" s="17"/>
      <c r="D92" s="17"/>
      <c r="E92" s="21"/>
      <c r="F92" s="21"/>
      <c r="G92" s="25"/>
      <c r="H92" s="104"/>
      <c r="I92" s="17"/>
      <c r="J92" s="23"/>
      <c r="K92" s="28"/>
      <c r="L92" s="28"/>
      <c r="M92" s="28"/>
      <c r="N92" s="28"/>
      <c r="O92" s="28"/>
      <c r="P92" s="33"/>
    </row>
    <row r="93" ht="11.25" customHeight="1">
      <c r="A93" s="12" t="str">
        <f t="shared" si="1"/>
        <v/>
      </c>
      <c r="B93" s="15" t="s">
        <v>24</v>
      </c>
      <c r="C93" s="17"/>
      <c r="D93" s="17"/>
      <c r="E93" s="21"/>
      <c r="F93" s="21"/>
      <c r="G93" s="25"/>
      <c r="H93" s="104"/>
      <c r="I93" s="17"/>
      <c r="J93" s="23"/>
      <c r="K93" s="28"/>
      <c r="L93" s="28"/>
      <c r="M93" s="28"/>
      <c r="N93" s="28"/>
      <c r="O93" s="28"/>
      <c r="P93" s="33"/>
    </row>
    <row r="94" ht="11.25" customHeight="1">
      <c r="A94" s="12"/>
      <c r="B94" s="12"/>
      <c r="C94" s="12"/>
      <c r="D94" s="12"/>
      <c r="E94" s="106"/>
      <c r="F94" s="106"/>
      <c r="G94" s="106"/>
      <c r="H94" s="107"/>
      <c r="I94" s="108"/>
      <c r="J94" s="108"/>
      <c r="K94" s="109"/>
      <c r="L94" s="109"/>
      <c r="M94" s="109"/>
      <c r="N94" s="109"/>
      <c r="O94" s="110"/>
      <c r="P94" s="112"/>
    </row>
    <row r="95" ht="11.25" customHeight="1">
      <c r="A95" s="12" t="str">
        <f t="shared" ref="A95:A97" si="2">IF(D95="","",SUBTOTAL(3,$D$3:D95))</f>
        <v/>
      </c>
      <c r="B95" s="12"/>
      <c r="C95" s="12"/>
      <c r="D95" s="12"/>
      <c r="E95" s="106"/>
      <c r="F95" s="106"/>
      <c r="G95" s="106"/>
      <c r="H95" s="118"/>
      <c r="I95" s="119" t="s">
        <v>21</v>
      </c>
      <c r="J95" s="120"/>
      <c r="K95" s="121"/>
      <c r="L95" s="121"/>
      <c r="M95" s="121"/>
      <c r="N95" s="121"/>
      <c r="O95" s="122"/>
      <c r="P95" s="123"/>
    </row>
    <row r="96" ht="11.25" customHeight="1">
      <c r="A96" s="12" t="str">
        <f t="shared" si="2"/>
        <v/>
      </c>
      <c r="B96" s="12"/>
      <c r="C96" s="12"/>
      <c r="D96" s="12"/>
      <c r="E96" s="106"/>
      <c r="F96" s="106"/>
      <c r="G96" s="106"/>
      <c r="H96" s="118"/>
      <c r="I96" s="124" t="s">
        <v>462</v>
      </c>
      <c r="J96" s="120"/>
      <c r="K96" s="125" t="s">
        <v>13</v>
      </c>
      <c r="L96" s="125" t="s">
        <v>14</v>
      </c>
      <c r="M96" s="125" t="s">
        <v>15</v>
      </c>
      <c r="N96" s="2" t="s">
        <v>465</v>
      </c>
      <c r="O96" s="119" t="s">
        <v>18</v>
      </c>
      <c r="P96" s="120"/>
    </row>
    <row r="97" ht="11.25" customHeight="1">
      <c r="A97" s="12" t="str">
        <f t="shared" si="2"/>
        <v/>
      </c>
      <c r="B97" s="126"/>
      <c r="C97" s="127"/>
      <c r="D97" s="128"/>
      <c r="E97" s="127"/>
      <c r="F97" s="127"/>
      <c r="G97" s="127"/>
      <c r="H97" s="129"/>
      <c r="I97" s="130">
        <f>SUM(I3:I96)</f>
        <v>11</v>
      </c>
      <c r="J97" s="120"/>
      <c r="K97" s="131">
        <f t="shared" ref="K97:O97" si="3">SUM(K3:K96)</f>
        <v>983000</v>
      </c>
      <c r="L97" s="131">
        <f t="shared" si="3"/>
        <v>54000</v>
      </c>
      <c r="M97" s="131">
        <f t="shared" si="3"/>
        <v>600000</v>
      </c>
      <c r="N97" s="131">
        <f t="shared" si="3"/>
        <v>500000</v>
      </c>
      <c r="O97" s="131">
        <f t="shared" si="3"/>
        <v>0</v>
      </c>
      <c r="P97" s="133" t="s">
        <v>481</v>
      </c>
    </row>
    <row r="98" ht="11.25" customHeight="1">
      <c r="A98" s="134"/>
      <c r="B98" s="135"/>
      <c r="C98" s="135"/>
      <c r="D98" s="134"/>
      <c r="E98" s="135"/>
      <c r="F98" s="135"/>
      <c r="G98" s="135"/>
      <c r="H98" s="136"/>
      <c r="I98" s="137"/>
      <c r="J98" s="138"/>
      <c r="K98" s="139" t="s">
        <v>491</v>
      </c>
      <c r="L98" s="120"/>
      <c r="M98" s="140">
        <f>SUM(K97:M97)</f>
        <v>1637000</v>
      </c>
      <c r="N98" s="141"/>
      <c r="O98" s="141"/>
      <c r="P98" s="142"/>
    </row>
    <row r="99" ht="11.25" customHeight="1">
      <c r="A99" s="134"/>
      <c r="B99" s="135"/>
      <c r="C99" s="135"/>
      <c r="D99" s="134"/>
      <c r="E99" s="135"/>
      <c r="F99" s="135"/>
      <c r="G99" s="135"/>
      <c r="H99" s="136"/>
      <c r="I99" s="143"/>
      <c r="J99" s="144"/>
      <c r="K99" s="145" t="s">
        <v>506</v>
      </c>
      <c r="L99" s="120"/>
      <c r="M99" s="146">
        <f>SUM(M98-K5-L12-K17-K18)</f>
        <v>1600000</v>
      </c>
      <c r="N99" s="147"/>
      <c r="O99" s="147"/>
      <c r="P99" s="148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  <row r="1018" ht="15.75" customHeight="1">
      <c r="A1018" s="149"/>
      <c r="D1018" s="149"/>
      <c r="H1018" s="150"/>
      <c r="P1018" s="150"/>
    </row>
    <row r="1019" ht="15.75" customHeight="1">
      <c r="A1019" s="149"/>
      <c r="D1019" s="149"/>
      <c r="H1019" s="150"/>
      <c r="P1019" s="150"/>
    </row>
    <row r="1020" ht="15.75" customHeight="1">
      <c r="A1020" s="149"/>
      <c r="D1020" s="149"/>
      <c r="H1020" s="150"/>
      <c r="P1020" s="150"/>
    </row>
    <row r="1021" ht="15.75" customHeight="1">
      <c r="A1021" s="149"/>
      <c r="D1021" s="149"/>
      <c r="H1021" s="150"/>
      <c r="P1021" s="150"/>
    </row>
    <row r="1022" ht="15.75" customHeight="1">
      <c r="A1022" s="149"/>
      <c r="D1022" s="149"/>
      <c r="H1022" s="150"/>
      <c r="P1022" s="150"/>
    </row>
    <row r="1023" ht="15.75" customHeight="1">
      <c r="A1023" s="149"/>
      <c r="D1023" s="149"/>
      <c r="H1023" s="150"/>
      <c r="P1023" s="150"/>
    </row>
    <row r="1024" ht="15.75" customHeight="1">
      <c r="A1024" s="149"/>
      <c r="D1024" s="149"/>
      <c r="H1024" s="150"/>
      <c r="P1024" s="150"/>
    </row>
    <row r="1025" ht="15.75" customHeight="1">
      <c r="A1025" s="149"/>
      <c r="D1025" s="149"/>
      <c r="H1025" s="150"/>
      <c r="P1025" s="150"/>
    </row>
    <row r="1026" ht="15.75" customHeight="1">
      <c r="A1026" s="149"/>
      <c r="D1026" s="149"/>
      <c r="H1026" s="150"/>
      <c r="P1026" s="150"/>
    </row>
  </sheetData>
  <autoFilter ref="$A$2:$P$99"/>
  <mergeCells count="7">
    <mergeCell ref="A1:P1"/>
    <mergeCell ref="I95:J95"/>
    <mergeCell ref="I96:J96"/>
    <mergeCell ref="O96:P96"/>
    <mergeCell ref="I97:J97"/>
    <mergeCell ref="K98:L98"/>
    <mergeCell ref="K99:L99"/>
  </mergeCells>
  <dataValidations>
    <dataValidation type="list" allowBlank="1" showDropDown="1" showErrorMessage="1" sqref="C3:C8 C12:C18 C66:C67 C69 C71:C74 C77 C79 C83:C85">
      <formula1>"Un Used,Batch-1,Batch-2,Batch-3,Branch,Batch Ind."</formula1>
    </dataValidation>
    <dataValidation type="list" allowBlank="1" showDropDown="1" showErrorMessage="1" sqref="C9:C11 C19:C65 C68 C70 C75:C76 C78 C80:C82 C86">
      <formula1>"Un Used,Batch-1,Batch-2,Batch-3,Branch"</formula1>
    </dataValidation>
  </dataValidation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10.14"/>
    <col customWidth="1" min="3" max="3" width="7.57"/>
    <col customWidth="1" min="4" max="4" width="6.57"/>
    <col customWidth="1" min="5" max="5" width="14.29"/>
    <col customWidth="1" min="6" max="6" width="17.0"/>
    <col customWidth="1" min="7" max="7" width="9.14"/>
    <col customWidth="1" min="8" max="8" width="9.57"/>
    <col customWidth="1" min="9" max="9" width="5.57"/>
    <col customWidth="1" min="10" max="10" width="9.0"/>
    <col customWidth="1" min="11" max="11" width="9.57"/>
    <col customWidth="1" min="12" max="12" width="10.57"/>
    <col customWidth="1" min="13" max="13" width="9.0"/>
    <col customWidth="1" min="14" max="14" width="8.0"/>
    <col customWidth="1" min="15" max="15" width="6.86"/>
    <col customWidth="1" min="16" max="16" width="10.14"/>
    <col customWidth="1" min="17" max="26" width="8.71"/>
  </cols>
  <sheetData>
    <row r="1" ht="19.5" customHeight="1">
      <c r="A1" s="3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7" t="s">
        <v>4</v>
      </c>
      <c r="D2" s="2" t="s">
        <v>5</v>
      </c>
      <c r="E2" s="2" t="s">
        <v>6</v>
      </c>
      <c r="F2" s="2" t="s">
        <v>17</v>
      </c>
      <c r="G2" s="2" t="s">
        <v>8</v>
      </c>
      <c r="H2" s="2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99" si="1">IF(D3="","",SUBTOTAL(3,$D$3:D3))</f>
        <v>1</v>
      </c>
      <c r="B3" s="15" t="s">
        <v>24</v>
      </c>
      <c r="C3" s="17" t="s">
        <v>58</v>
      </c>
      <c r="D3" s="17" t="s">
        <v>59</v>
      </c>
      <c r="E3" s="23" t="s">
        <v>60</v>
      </c>
      <c r="F3" s="23" t="s">
        <v>62</v>
      </c>
      <c r="G3" s="25" t="s">
        <v>36</v>
      </c>
      <c r="H3" s="38">
        <v>46266.0</v>
      </c>
      <c r="I3" s="17">
        <v>1.0</v>
      </c>
      <c r="J3" s="22" t="s">
        <v>38</v>
      </c>
      <c r="K3" s="28">
        <v>10000.0</v>
      </c>
      <c r="L3" s="28">
        <v>0.0</v>
      </c>
      <c r="M3" s="28">
        <v>0.0</v>
      </c>
      <c r="N3" s="28">
        <v>0.0</v>
      </c>
      <c r="O3" s="28">
        <v>0.0</v>
      </c>
      <c r="P3" s="42"/>
    </row>
    <row r="4" ht="11.25" customHeight="1">
      <c r="A4" s="12">
        <f t="shared" si="1"/>
        <v>2</v>
      </c>
      <c r="B4" s="15" t="s">
        <v>24</v>
      </c>
      <c r="C4" s="17" t="s">
        <v>58</v>
      </c>
      <c r="D4" s="17" t="s">
        <v>73</v>
      </c>
      <c r="E4" s="23" t="s">
        <v>60</v>
      </c>
      <c r="F4" s="23" t="s">
        <v>62</v>
      </c>
      <c r="G4" s="25" t="s">
        <v>36</v>
      </c>
      <c r="H4" s="38">
        <v>46266.0</v>
      </c>
      <c r="I4" s="17">
        <v>1.0</v>
      </c>
      <c r="J4" s="22" t="s">
        <v>38</v>
      </c>
      <c r="K4" s="28">
        <v>10000.0</v>
      </c>
      <c r="L4" s="28">
        <v>0.0</v>
      </c>
      <c r="M4" s="28">
        <v>0.0</v>
      </c>
      <c r="N4" s="28">
        <v>0.0</v>
      </c>
      <c r="O4" s="28">
        <v>0.0</v>
      </c>
      <c r="P4" s="42"/>
    </row>
    <row r="5" ht="11.25" customHeight="1">
      <c r="A5" s="12">
        <f t="shared" si="1"/>
        <v>3</v>
      </c>
      <c r="B5" s="15" t="s">
        <v>24</v>
      </c>
      <c r="C5" s="17" t="s">
        <v>87</v>
      </c>
      <c r="D5" s="49" t="s">
        <v>89</v>
      </c>
      <c r="E5" s="36" t="s">
        <v>91</v>
      </c>
      <c r="F5" s="51" t="s">
        <v>96</v>
      </c>
      <c r="G5" s="14" t="s">
        <v>34</v>
      </c>
      <c r="H5" s="38">
        <v>46267.0</v>
      </c>
      <c r="I5" s="49">
        <v>0.0</v>
      </c>
      <c r="J5" s="14" t="s">
        <v>38</v>
      </c>
      <c r="K5" s="53">
        <v>0.0</v>
      </c>
      <c r="L5" s="53">
        <v>18000.0</v>
      </c>
      <c r="M5" s="53">
        <v>0.0</v>
      </c>
      <c r="N5" s="44">
        <v>0.0</v>
      </c>
      <c r="O5" s="44">
        <v>0.0</v>
      </c>
      <c r="P5" s="54"/>
    </row>
    <row r="6" ht="11.25" customHeight="1">
      <c r="A6" s="12">
        <f t="shared" si="1"/>
        <v>4</v>
      </c>
      <c r="B6" s="15" t="s">
        <v>24</v>
      </c>
      <c r="C6" s="17" t="s">
        <v>46</v>
      </c>
      <c r="D6" s="17" t="s">
        <v>104</v>
      </c>
      <c r="E6" s="21" t="s">
        <v>40</v>
      </c>
      <c r="F6" s="21" t="s">
        <v>41</v>
      </c>
      <c r="G6" s="25" t="s">
        <v>36</v>
      </c>
      <c r="H6" s="26">
        <v>46268.0</v>
      </c>
      <c r="I6" s="17">
        <v>0.0</v>
      </c>
      <c r="J6" s="23" t="s">
        <v>57</v>
      </c>
      <c r="K6" s="28">
        <v>10000.0</v>
      </c>
      <c r="L6" s="28">
        <v>0.0</v>
      </c>
      <c r="M6" s="28">
        <v>0.0</v>
      </c>
      <c r="N6" s="28">
        <v>0.0</v>
      </c>
      <c r="O6" s="28">
        <v>0.0</v>
      </c>
      <c r="P6" s="24"/>
    </row>
    <row r="7" ht="11.25" customHeight="1">
      <c r="A7" s="12">
        <f t="shared" si="1"/>
        <v>5</v>
      </c>
      <c r="B7" s="15" t="s">
        <v>24</v>
      </c>
      <c r="C7" s="17" t="s">
        <v>46</v>
      </c>
      <c r="D7" s="17" t="s">
        <v>115</v>
      </c>
      <c r="E7" s="21" t="s">
        <v>116</v>
      </c>
      <c r="F7" s="21" t="s">
        <v>117</v>
      </c>
      <c r="G7" s="25" t="s">
        <v>36</v>
      </c>
      <c r="H7" s="26">
        <v>46268.0</v>
      </c>
      <c r="I7" s="17">
        <v>0.0</v>
      </c>
      <c r="J7" s="23" t="s">
        <v>57</v>
      </c>
      <c r="K7" s="28">
        <v>8000.0</v>
      </c>
      <c r="L7" s="28">
        <v>0.0</v>
      </c>
      <c r="M7" s="28">
        <v>0.0</v>
      </c>
      <c r="N7" s="28">
        <v>0.0</v>
      </c>
      <c r="O7" s="28">
        <v>0.0</v>
      </c>
      <c r="P7" s="55"/>
    </row>
    <row r="8" ht="11.25" customHeight="1">
      <c r="A8" s="12">
        <f t="shared" si="1"/>
        <v>6</v>
      </c>
      <c r="B8" s="15" t="s">
        <v>24</v>
      </c>
      <c r="C8" s="17" t="s">
        <v>46</v>
      </c>
      <c r="D8" s="17" t="s">
        <v>126</v>
      </c>
      <c r="E8" s="23" t="s">
        <v>33</v>
      </c>
      <c r="F8" s="23" t="s">
        <v>127</v>
      </c>
      <c r="G8" s="25" t="s">
        <v>36</v>
      </c>
      <c r="H8" s="30">
        <v>46268.0</v>
      </c>
      <c r="I8" s="17">
        <v>0.0</v>
      </c>
      <c r="J8" s="23" t="s">
        <v>57</v>
      </c>
      <c r="K8" s="28">
        <v>40000.0</v>
      </c>
      <c r="L8" s="28">
        <v>0.0</v>
      </c>
      <c r="M8" s="28">
        <v>0.0</v>
      </c>
      <c r="N8" s="28">
        <v>0.0</v>
      </c>
      <c r="O8" s="28">
        <v>0.0</v>
      </c>
      <c r="P8" s="42"/>
    </row>
    <row r="9" ht="11.25" customHeight="1">
      <c r="A9" s="12">
        <f t="shared" si="1"/>
        <v>7</v>
      </c>
      <c r="B9" s="15" t="s">
        <v>24</v>
      </c>
      <c r="C9" s="17" t="s">
        <v>46</v>
      </c>
      <c r="D9" s="17" t="s">
        <v>133</v>
      </c>
      <c r="E9" s="23" t="s">
        <v>91</v>
      </c>
      <c r="F9" s="58" t="s">
        <v>135</v>
      </c>
      <c r="G9" s="25" t="s">
        <v>36</v>
      </c>
      <c r="H9" s="26">
        <v>46268.0</v>
      </c>
      <c r="I9" s="17">
        <v>0.0</v>
      </c>
      <c r="J9" s="23" t="s">
        <v>57</v>
      </c>
      <c r="K9" s="28">
        <v>20000.0</v>
      </c>
      <c r="L9" s="28">
        <v>0.0</v>
      </c>
      <c r="M9" s="28">
        <v>0.0</v>
      </c>
      <c r="N9" s="28">
        <v>0.0</v>
      </c>
      <c r="O9" s="28">
        <v>0.0</v>
      </c>
      <c r="P9" s="42"/>
    </row>
    <row r="10" ht="11.25" customHeight="1">
      <c r="A10" s="12">
        <f t="shared" si="1"/>
        <v>8</v>
      </c>
      <c r="B10" s="15" t="s">
        <v>24</v>
      </c>
      <c r="C10" s="17" t="s">
        <v>46</v>
      </c>
      <c r="D10" s="17">
        <v>96170.0</v>
      </c>
      <c r="E10" s="23" t="s">
        <v>91</v>
      </c>
      <c r="F10" s="58" t="s">
        <v>135</v>
      </c>
      <c r="G10" s="25" t="s">
        <v>36</v>
      </c>
      <c r="H10" s="26">
        <v>46268.0</v>
      </c>
      <c r="I10" s="17">
        <v>0.0</v>
      </c>
      <c r="J10" s="23" t="s">
        <v>57</v>
      </c>
      <c r="K10" s="28">
        <v>20000.0</v>
      </c>
      <c r="L10" s="28">
        <v>0.0</v>
      </c>
      <c r="M10" s="28">
        <v>0.0</v>
      </c>
      <c r="N10" s="28">
        <v>0.0</v>
      </c>
      <c r="O10" s="28">
        <v>0.0</v>
      </c>
      <c r="P10" s="42"/>
    </row>
    <row r="11" ht="11.25" customHeight="1">
      <c r="A11" s="12">
        <f t="shared" si="1"/>
        <v>9</v>
      </c>
      <c r="B11" s="15" t="s">
        <v>24</v>
      </c>
      <c r="C11" s="17" t="s">
        <v>46</v>
      </c>
      <c r="D11" s="17" t="s">
        <v>154</v>
      </c>
      <c r="E11" s="36" t="s">
        <v>49</v>
      </c>
      <c r="F11" s="36" t="s">
        <v>54</v>
      </c>
      <c r="G11" s="23" t="s">
        <v>55</v>
      </c>
      <c r="H11" s="26">
        <v>46270.0</v>
      </c>
      <c r="I11" s="17">
        <v>0.0</v>
      </c>
      <c r="J11" s="23" t="s">
        <v>57</v>
      </c>
      <c r="K11" s="28">
        <v>5000.0</v>
      </c>
      <c r="L11" s="28">
        <v>0.0</v>
      </c>
      <c r="M11" s="28">
        <v>0.0</v>
      </c>
      <c r="N11" s="28">
        <v>0.0</v>
      </c>
      <c r="O11" s="28">
        <v>0.0</v>
      </c>
      <c r="P11" s="24"/>
    </row>
    <row r="12" ht="11.25" customHeight="1">
      <c r="A12" s="12">
        <f t="shared" si="1"/>
        <v>10</v>
      </c>
      <c r="B12" s="15" t="s">
        <v>24</v>
      </c>
      <c r="C12" s="17" t="s">
        <v>46</v>
      </c>
      <c r="D12" s="49" t="s">
        <v>159</v>
      </c>
      <c r="E12" s="14" t="s">
        <v>44</v>
      </c>
      <c r="F12" s="61" t="s">
        <v>163</v>
      </c>
      <c r="G12" s="14" t="s">
        <v>34</v>
      </c>
      <c r="H12" s="52">
        <v>46271.0</v>
      </c>
      <c r="I12" s="49">
        <v>0.0</v>
      </c>
      <c r="J12" s="22" t="s">
        <v>57</v>
      </c>
      <c r="K12" s="53">
        <v>0.0</v>
      </c>
      <c r="L12" s="44">
        <v>0.0</v>
      </c>
      <c r="M12" s="44">
        <v>44000.0</v>
      </c>
      <c r="N12" s="44">
        <v>0.0</v>
      </c>
      <c r="O12" s="44">
        <v>0.0</v>
      </c>
      <c r="P12" s="24">
        <v>46269.0</v>
      </c>
    </row>
    <row r="13" ht="11.25" customHeight="1">
      <c r="A13" s="12">
        <f t="shared" si="1"/>
        <v>11</v>
      </c>
      <c r="B13" s="15" t="s">
        <v>24</v>
      </c>
      <c r="C13" s="17" t="s">
        <v>46</v>
      </c>
      <c r="D13" s="17" t="s">
        <v>167</v>
      </c>
      <c r="E13" s="36" t="s">
        <v>169</v>
      </c>
      <c r="F13" s="36" t="s">
        <v>170</v>
      </c>
      <c r="G13" s="14" t="s">
        <v>37</v>
      </c>
      <c r="H13" s="38">
        <v>46271.0</v>
      </c>
      <c r="I13" s="17">
        <v>0.0</v>
      </c>
      <c r="J13" s="22" t="s">
        <v>57</v>
      </c>
      <c r="K13" s="28">
        <v>3000.0</v>
      </c>
      <c r="L13" s="28">
        <v>0.0</v>
      </c>
      <c r="M13" s="28">
        <v>0.0</v>
      </c>
      <c r="N13" s="28">
        <v>0.0</v>
      </c>
      <c r="O13" s="28">
        <v>0.0</v>
      </c>
      <c r="P13" s="24"/>
    </row>
    <row r="14" ht="11.25" customHeight="1">
      <c r="A14" s="12">
        <f t="shared" si="1"/>
        <v>12</v>
      </c>
      <c r="B14" s="15" t="s">
        <v>24</v>
      </c>
      <c r="C14" s="17" t="s">
        <v>46</v>
      </c>
      <c r="D14" s="17" t="s">
        <v>175</v>
      </c>
      <c r="E14" s="36" t="s">
        <v>169</v>
      </c>
      <c r="F14" s="36" t="s">
        <v>170</v>
      </c>
      <c r="G14" s="25" t="s">
        <v>36</v>
      </c>
      <c r="H14" s="38">
        <v>46271.0</v>
      </c>
      <c r="I14" s="17">
        <v>0.0</v>
      </c>
      <c r="J14" s="22" t="s">
        <v>57</v>
      </c>
      <c r="K14" s="28">
        <v>8500.0</v>
      </c>
      <c r="L14" s="28">
        <v>0.0</v>
      </c>
      <c r="M14" s="28">
        <v>0.0</v>
      </c>
      <c r="N14" s="28">
        <v>0.0</v>
      </c>
      <c r="O14" s="28">
        <v>0.0</v>
      </c>
      <c r="P14" s="54"/>
    </row>
    <row r="15" ht="11.25" customHeight="1">
      <c r="A15" s="12">
        <f t="shared" si="1"/>
        <v>13</v>
      </c>
      <c r="B15" s="15" t="s">
        <v>24</v>
      </c>
      <c r="C15" s="17" t="s">
        <v>182</v>
      </c>
      <c r="D15" s="49" t="s">
        <v>185</v>
      </c>
      <c r="E15" s="51" t="s">
        <v>142</v>
      </c>
      <c r="F15" s="51" t="s">
        <v>144</v>
      </c>
      <c r="G15" s="14" t="s">
        <v>34</v>
      </c>
      <c r="H15" s="52">
        <v>46272.0</v>
      </c>
      <c r="I15" s="49">
        <v>5.0</v>
      </c>
      <c r="J15" s="14" t="s">
        <v>38</v>
      </c>
      <c r="K15" s="44">
        <v>100000.0</v>
      </c>
      <c r="L15" s="53">
        <v>0.0</v>
      </c>
      <c r="M15" s="44">
        <v>0.0</v>
      </c>
      <c r="N15" s="44">
        <v>0.0</v>
      </c>
      <c r="O15" s="44">
        <v>0.0</v>
      </c>
      <c r="P15" s="24">
        <v>46271.0</v>
      </c>
    </row>
    <row r="16" ht="11.25" customHeight="1">
      <c r="A16" s="12">
        <f t="shared" si="1"/>
        <v>14</v>
      </c>
      <c r="B16" s="15" t="s">
        <v>24</v>
      </c>
      <c r="C16" s="17" t="s">
        <v>58</v>
      </c>
      <c r="D16" s="49" t="s">
        <v>194</v>
      </c>
      <c r="E16" s="51" t="s">
        <v>66</v>
      </c>
      <c r="F16" s="51" t="s">
        <v>196</v>
      </c>
      <c r="G16" s="14" t="s">
        <v>34</v>
      </c>
      <c r="H16" s="52">
        <v>46271.0</v>
      </c>
      <c r="I16" s="49">
        <v>5.0</v>
      </c>
      <c r="J16" s="14" t="s">
        <v>38</v>
      </c>
      <c r="K16" s="53">
        <v>900000.0</v>
      </c>
      <c r="L16" s="53">
        <v>0.0</v>
      </c>
      <c r="M16" s="53">
        <v>0.0</v>
      </c>
      <c r="N16" s="44">
        <v>0.0</v>
      </c>
      <c r="O16" s="44">
        <v>0.0</v>
      </c>
      <c r="P16" s="54"/>
    </row>
    <row r="17" ht="11.25" customHeight="1">
      <c r="A17" s="12">
        <f t="shared" si="1"/>
        <v>15</v>
      </c>
      <c r="B17" s="15" t="s">
        <v>24</v>
      </c>
      <c r="C17" s="17" t="s">
        <v>58</v>
      </c>
      <c r="D17" s="49" t="s">
        <v>201</v>
      </c>
      <c r="E17" s="51" t="s">
        <v>66</v>
      </c>
      <c r="F17" s="51" t="s">
        <v>196</v>
      </c>
      <c r="G17" s="14" t="s">
        <v>34</v>
      </c>
      <c r="H17" s="52">
        <v>46271.0</v>
      </c>
      <c r="I17" s="49">
        <v>0.0</v>
      </c>
      <c r="J17" s="14" t="s">
        <v>38</v>
      </c>
      <c r="K17" s="53">
        <v>0.0</v>
      </c>
      <c r="L17" s="53">
        <v>1000000.0</v>
      </c>
      <c r="M17" s="53">
        <v>0.0</v>
      </c>
      <c r="N17" s="44">
        <v>0.0</v>
      </c>
      <c r="O17" s="44">
        <v>0.0</v>
      </c>
      <c r="P17" s="54"/>
    </row>
    <row r="18" ht="11.25" customHeight="1">
      <c r="A18" s="12">
        <f t="shared" si="1"/>
        <v>16</v>
      </c>
      <c r="B18" s="15" t="s">
        <v>24</v>
      </c>
      <c r="C18" s="17" t="s">
        <v>58</v>
      </c>
      <c r="D18" s="17" t="s">
        <v>207</v>
      </c>
      <c r="E18" s="36" t="s">
        <v>60</v>
      </c>
      <c r="F18" s="36" t="s">
        <v>209</v>
      </c>
      <c r="G18" s="70" t="s">
        <v>212</v>
      </c>
      <c r="H18" s="30">
        <v>46272.0</v>
      </c>
      <c r="I18" s="17">
        <v>0.0</v>
      </c>
      <c r="J18" s="23" t="s">
        <v>38</v>
      </c>
      <c r="K18" s="28">
        <v>0.0</v>
      </c>
      <c r="L18" s="28">
        <v>0.0</v>
      </c>
      <c r="M18" s="28">
        <v>0.0</v>
      </c>
      <c r="N18" s="28">
        <v>50000.0</v>
      </c>
      <c r="O18" s="28">
        <v>0.0</v>
      </c>
      <c r="P18" s="30">
        <v>46272.0</v>
      </c>
    </row>
    <row r="19" ht="11.25" customHeight="1">
      <c r="A19" s="12">
        <f t="shared" si="1"/>
        <v>17</v>
      </c>
      <c r="B19" s="15" t="s">
        <v>24</v>
      </c>
      <c r="C19" s="17" t="s">
        <v>46</v>
      </c>
      <c r="D19" s="17" t="s">
        <v>222</v>
      </c>
      <c r="E19" s="23" t="s">
        <v>223</v>
      </c>
      <c r="F19" s="23" t="s">
        <v>224</v>
      </c>
      <c r="G19" s="25" t="s">
        <v>36</v>
      </c>
      <c r="H19" s="26">
        <v>46272.0</v>
      </c>
      <c r="I19" s="17">
        <v>0.0</v>
      </c>
      <c r="J19" s="23" t="s">
        <v>57</v>
      </c>
      <c r="K19" s="28">
        <v>0.0</v>
      </c>
      <c r="L19" s="28">
        <v>8000.0</v>
      </c>
      <c r="M19" s="28">
        <v>0.0</v>
      </c>
      <c r="N19" s="28">
        <v>0.0</v>
      </c>
      <c r="O19" s="28">
        <v>0.0</v>
      </c>
      <c r="P19" s="33"/>
    </row>
    <row r="20" ht="11.25" customHeight="1">
      <c r="A20" s="12">
        <f t="shared" si="1"/>
        <v>18</v>
      </c>
      <c r="B20" s="15" t="s">
        <v>24</v>
      </c>
      <c r="C20" s="17" t="s">
        <v>46</v>
      </c>
      <c r="D20" s="17" t="s">
        <v>232</v>
      </c>
      <c r="E20" s="23" t="s">
        <v>33</v>
      </c>
      <c r="F20" s="23" t="s">
        <v>233</v>
      </c>
      <c r="G20" s="25" t="s">
        <v>37</v>
      </c>
      <c r="H20" s="26">
        <v>46272.0</v>
      </c>
      <c r="I20" s="17">
        <v>0.0</v>
      </c>
      <c r="J20" s="23" t="s">
        <v>57</v>
      </c>
      <c r="K20" s="28">
        <v>30000.0</v>
      </c>
      <c r="L20" s="28">
        <v>0.0</v>
      </c>
      <c r="M20" s="28">
        <v>0.0</v>
      </c>
      <c r="N20" s="28">
        <v>0.0</v>
      </c>
      <c r="O20" s="28">
        <v>0.0</v>
      </c>
      <c r="P20" s="33"/>
    </row>
    <row r="21" ht="11.25" customHeight="1">
      <c r="A21" s="12">
        <f t="shared" si="1"/>
        <v>19</v>
      </c>
      <c r="B21" s="15" t="s">
        <v>24</v>
      </c>
      <c r="C21" s="17" t="s">
        <v>46</v>
      </c>
      <c r="D21" s="49" t="s">
        <v>239</v>
      </c>
      <c r="E21" s="23" t="s">
        <v>33</v>
      </c>
      <c r="F21" s="23" t="s">
        <v>233</v>
      </c>
      <c r="G21" s="14" t="s">
        <v>34</v>
      </c>
      <c r="H21" s="52">
        <v>46272.0</v>
      </c>
      <c r="I21" s="49">
        <v>0.0</v>
      </c>
      <c r="J21" s="22" t="s">
        <v>57</v>
      </c>
      <c r="K21" s="53">
        <v>100000.0</v>
      </c>
      <c r="L21" s="53">
        <v>0.0</v>
      </c>
      <c r="M21" s="44">
        <v>0.0</v>
      </c>
      <c r="N21" s="44">
        <v>0.0</v>
      </c>
      <c r="O21" s="44">
        <v>0.0</v>
      </c>
      <c r="P21" s="54"/>
    </row>
    <row r="22" ht="11.25" customHeight="1">
      <c r="A22" s="12">
        <f t="shared" si="1"/>
        <v>20</v>
      </c>
      <c r="B22" s="15" t="s">
        <v>24</v>
      </c>
      <c r="C22" s="17" t="s">
        <v>182</v>
      </c>
      <c r="D22" s="17" t="s">
        <v>248</v>
      </c>
      <c r="E22" s="23" t="s">
        <v>142</v>
      </c>
      <c r="F22" s="23" t="s">
        <v>250</v>
      </c>
      <c r="G22" s="25" t="s">
        <v>36</v>
      </c>
      <c r="H22" s="26">
        <v>46273.0</v>
      </c>
      <c r="I22" s="17">
        <v>1.0</v>
      </c>
      <c r="J22" s="23" t="s">
        <v>38</v>
      </c>
      <c r="K22" s="28">
        <v>50000.0</v>
      </c>
      <c r="L22" s="28">
        <v>0.0</v>
      </c>
      <c r="M22" s="28">
        <v>0.0</v>
      </c>
      <c r="N22" s="28">
        <v>0.0</v>
      </c>
      <c r="O22" s="28">
        <v>0.0</v>
      </c>
      <c r="P22" s="33"/>
    </row>
    <row r="23" ht="11.25" customHeight="1">
      <c r="A23" s="12">
        <f t="shared" si="1"/>
        <v>21</v>
      </c>
      <c r="B23" s="15" t="s">
        <v>24</v>
      </c>
      <c r="C23" s="17" t="s">
        <v>58</v>
      </c>
      <c r="D23" s="49" t="s">
        <v>255</v>
      </c>
      <c r="E23" s="51" t="s">
        <v>66</v>
      </c>
      <c r="F23" s="51" t="s">
        <v>196</v>
      </c>
      <c r="G23" s="14" t="s">
        <v>34</v>
      </c>
      <c r="H23" s="52">
        <v>46273.0</v>
      </c>
      <c r="I23" s="49">
        <v>0.0</v>
      </c>
      <c r="J23" s="14" t="s">
        <v>38</v>
      </c>
      <c r="K23" s="53">
        <v>300000.0</v>
      </c>
      <c r="L23" s="53">
        <v>0.0</v>
      </c>
      <c r="M23" s="44">
        <v>0.0</v>
      </c>
      <c r="N23" s="44">
        <v>0.0</v>
      </c>
      <c r="O23" s="44">
        <v>0.0</v>
      </c>
      <c r="P23" s="54"/>
    </row>
    <row r="24" ht="11.25" customHeight="1">
      <c r="A24" s="12">
        <f t="shared" si="1"/>
        <v>22</v>
      </c>
      <c r="B24" s="15" t="s">
        <v>24</v>
      </c>
      <c r="C24" s="17" t="s">
        <v>46</v>
      </c>
      <c r="D24" s="17">
        <v>96190.0</v>
      </c>
      <c r="E24" s="21" t="s">
        <v>51</v>
      </c>
      <c r="F24" s="21" t="s">
        <v>259</v>
      </c>
      <c r="G24" s="25" t="s">
        <v>36</v>
      </c>
      <c r="H24" s="26">
        <v>46274.0</v>
      </c>
      <c r="I24" s="17">
        <v>0.0</v>
      </c>
      <c r="J24" s="23" t="s">
        <v>57</v>
      </c>
      <c r="K24" s="28">
        <v>5000.0</v>
      </c>
      <c r="L24" s="28">
        <v>0.0</v>
      </c>
      <c r="M24" s="28">
        <v>0.0</v>
      </c>
      <c r="N24" s="28">
        <v>0.0</v>
      </c>
      <c r="O24" s="28">
        <v>0.0</v>
      </c>
      <c r="P24" s="33"/>
    </row>
    <row r="25" ht="11.25" customHeight="1">
      <c r="A25" s="12">
        <f t="shared" si="1"/>
        <v>23</v>
      </c>
      <c r="B25" s="15" t="s">
        <v>24</v>
      </c>
      <c r="C25" s="17" t="s">
        <v>87</v>
      </c>
      <c r="D25" s="17" t="s">
        <v>263</v>
      </c>
      <c r="E25" s="66" t="s">
        <v>49</v>
      </c>
      <c r="F25" s="66" t="s">
        <v>265</v>
      </c>
      <c r="G25" s="25" t="s">
        <v>36</v>
      </c>
      <c r="H25" s="52">
        <v>46274.0</v>
      </c>
      <c r="I25" s="17">
        <v>0.0</v>
      </c>
      <c r="J25" s="23" t="s">
        <v>38</v>
      </c>
      <c r="K25" s="28">
        <v>20000.0</v>
      </c>
      <c r="L25" s="28">
        <v>0.0</v>
      </c>
      <c r="M25" s="28">
        <v>0.0</v>
      </c>
      <c r="N25" s="28">
        <v>0.0</v>
      </c>
      <c r="O25" s="28">
        <v>0.0</v>
      </c>
      <c r="P25" s="24"/>
    </row>
    <row r="26" ht="11.25" customHeight="1">
      <c r="A26" s="12">
        <f t="shared" si="1"/>
        <v>24</v>
      </c>
      <c r="B26" s="15" t="s">
        <v>24</v>
      </c>
      <c r="C26" s="17" t="s">
        <v>58</v>
      </c>
      <c r="D26" s="49" t="s">
        <v>271</v>
      </c>
      <c r="E26" s="36" t="s">
        <v>92</v>
      </c>
      <c r="F26" s="51" t="s">
        <v>273</v>
      </c>
      <c r="G26" s="14" t="s">
        <v>34</v>
      </c>
      <c r="H26" s="52">
        <v>46274.0</v>
      </c>
      <c r="I26" s="49">
        <v>0.0</v>
      </c>
      <c r="J26" s="14" t="s">
        <v>38</v>
      </c>
      <c r="K26" s="53">
        <v>200000.0</v>
      </c>
      <c r="L26" s="53">
        <v>0.0</v>
      </c>
      <c r="M26" s="53">
        <v>0.0</v>
      </c>
      <c r="N26" s="44">
        <v>0.0</v>
      </c>
      <c r="O26" s="44">
        <v>0.0</v>
      </c>
      <c r="P26" s="33"/>
    </row>
    <row r="27" ht="11.25" customHeight="1">
      <c r="A27" s="12">
        <f t="shared" si="1"/>
        <v>25</v>
      </c>
      <c r="B27" s="15" t="s">
        <v>24</v>
      </c>
      <c r="C27" s="17" t="s">
        <v>87</v>
      </c>
      <c r="D27" s="17" t="s">
        <v>278</v>
      </c>
      <c r="E27" s="36" t="s">
        <v>279</v>
      </c>
      <c r="F27" s="36" t="s">
        <v>280</v>
      </c>
      <c r="G27" s="25" t="s">
        <v>36</v>
      </c>
      <c r="H27" s="38">
        <v>46275.0</v>
      </c>
      <c r="I27" s="17">
        <v>0.0</v>
      </c>
      <c r="J27" s="23" t="s">
        <v>38</v>
      </c>
      <c r="K27" s="28">
        <v>30000.0</v>
      </c>
      <c r="L27" s="28">
        <v>0.0</v>
      </c>
      <c r="M27" s="28">
        <v>0.0</v>
      </c>
      <c r="N27" s="28">
        <v>0.0</v>
      </c>
      <c r="O27" s="28">
        <v>0.0</v>
      </c>
      <c r="P27" s="33"/>
    </row>
    <row r="28" ht="11.25" customHeight="1">
      <c r="A28" s="12">
        <f t="shared" si="1"/>
        <v>26</v>
      </c>
      <c r="B28" s="15" t="s">
        <v>24</v>
      </c>
      <c r="C28" s="17" t="s">
        <v>46</v>
      </c>
      <c r="D28" s="17" t="s">
        <v>287</v>
      </c>
      <c r="E28" s="21" t="s">
        <v>180</v>
      </c>
      <c r="F28" s="21" t="s">
        <v>288</v>
      </c>
      <c r="G28" s="25" t="s">
        <v>36</v>
      </c>
      <c r="H28" s="26">
        <v>46275.0</v>
      </c>
      <c r="I28" s="17">
        <v>0.0</v>
      </c>
      <c r="J28" s="23" t="s">
        <v>57</v>
      </c>
      <c r="K28" s="28">
        <v>9000.0</v>
      </c>
      <c r="L28" s="28">
        <v>0.0</v>
      </c>
      <c r="M28" s="28">
        <v>0.0</v>
      </c>
      <c r="N28" s="28">
        <v>0.0</v>
      </c>
      <c r="O28" s="28">
        <v>0.0</v>
      </c>
      <c r="P28" s="24"/>
    </row>
    <row r="29" ht="11.25" customHeight="1">
      <c r="A29" s="12">
        <f t="shared" si="1"/>
        <v>27</v>
      </c>
      <c r="B29" s="15" t="s">
        <v>24</v>
      </c>
      <c r="C29" s="17" t="s">
        <v>46</v>
      </c>
      <c r="D29" s="17" t="s">
        <v>292</v>
      </c>
      <c r="E29" s="21" t="s">
        <v>293</v>
      </c>
      <c r="F29" s="36" t="s">
        <v>294</v>
      </c>
      <c r="G29" s="14" t="s">
        <v>37</v>
      </c>
      <c r="H29" s="26">
        <v>46275.0</v>
      </c>
      <c r="I29" s="18">
        <v>0.0</v>
      </c>
      <c r="J29" s="22" t="s">
        <v>57</v>
      </c>
      <c r="K29" s="29">
        <v>3100.0</v>
      </c>
      <c r="L29" s="28">
        <v>0.0</v>
      </c>
      <c r="M29" s="28">
        <v>0.0</v>
      </c>
      <c r="N29" s="28">
        <v>0.0</v>
      </c>
      <c r="O29" s="28">
        <v>0.0</v>
      </c>
      <c r="P29" s="33"/>
    </row>
    <row r="30" ht="11.25" customHeight="1">
      <c r="A30" s="12">
        <f t="shared" si="1"/>
        <v>28</v>
      </c>
      <c r="B30" s="15" t="s">
        <v>24</v>
      </c>
      <c r="C30" s="17" t="s">
        <v>58</v>
      </c>
      <c r="D30" s="49" t="s">
        <v>300</v>
      </c>
      <c r="E30" s="36" t="s">
        <v>92</v>
      </c>
      <c r="F30" s="51" t="s">
        <v>106</v>
      </c>
      <c r="G30" s="14" t="s">
        <v>34</v>
      </c>
      <c r="H30" s="38">
        <v>46275.0</v>
      </c>
      <c r="I30" s="49">
        <v>6.0</v>
      </c>
      <c r="J30" s="14" t="s">
        <v>38</v>
      </c>
      <c r="K30" s="44">
        <v>100000.0</v>
      </c>
      <c r="L30" s="53">
        <v>0.0</v>
      </c>
      <c r="M30" s="53">
        <v>0.0</v>
      </c>
      <c r="N30" s="44">
        <v>0.0</v>
      </c>
      <c r="O30" s="44">
        <v>0.0</v>
      </c>
      <c r="P30" s="24">
        <v>46274.0</v>
      </c>
    </row>
    <row r="31" ht="11.25" customHeight="1">
      <c r="A31" s="12">
        <f t="shared" si="1"/>
        <v>29</v>
      </c>
      <c r="B31" s="15" t="s">
        <v>24</v>
      </c>
      <c r="C31" s="17" t="s">
        <v>58</v>
      </c>
      <c r="D31" s="49" t="s">
        <v>307</v>
      </c>
      <c r="E31" s="36" t="s">
        <v>92</v>
      </c>
      <c r="F31" s="51" t="s">
        <v>95</v>
      </c>
      <c r="G31" s="14" t="s">
        <v>34</v>
      </c>
      <c r="H31" s="38">
        <v>46275.0</v>
      </c>
      <c r="I31" s="49">
        <v>6.0</v>
      </c>
      <c r="J31" s="14" t="s">
        <v>38</v>
      </c>
      <c r="K31" s="44">
        <v>100000.0</v>
      </c>
      <c r="L31" s="53">
        <v>0.0</v>
      </c>
      <c r="M31" s="53">
        <v>0.0</v>
      </c>
      <c r="N31" s="44">
        <v>0.0</v>
      </c>
      <c r="O31" s="44">
        <v>0.0</v>
      </c>
      <c r="P31" s="24">
        <v>46274.0</v>
      </c>
    </row>
    <row r="32" ht="11.25" customHeight="1">
      <c r="A32" s="12">
        <f t="shared" si="1"/>
        <v>30</v>
      </c>
      <c r="B32" s="15" t="s">
        <v>24</v>
      </c>
      <c r="C32" s="17" t="s">
        <v>46</v>
      </c>
      <c r="D32" s="49" t="s">
        <v>310</v>
      </c>
      <c r="E32" s="21" t="s">
        <v>28</v>
      </c>
      <c r="F32" s="21" t="s">
        <v>79</v>
      </c>
      <c r="G32" s="14" t="s">
        <v>34</v>
      </c>
      <c r="H32" s="38">
        <v>46275.0</v>
      </c>
      <c r="I32" s="49">
        <v>0.0</v>
      </c>
      <c r="J32" s="14" t="s">
        <v>57</v>
      </c>
      <c r="K32" s="53">
        <v>0.0</v>
      </c>
      <c r="L32" s="53">
        <v>50000.0</v>
      </c>
      <c r="M32" s="29">
        <v>0.0</v>
      </c>
      <c r="N32" s="29">
        <v>0.0</v>
      </c>
      <c r="O32" s="44">
        <v>0.0</v>
      </c>
      <c r="P32" s="54"/>
    </row>
    <row r="33" ht="11.25" customHeight="1">
      <c r="A33" s="12">
        <f t="shared" si="1"/>
        <v>31</v>
      </c>
      <c r="B33" s="15" t="s">
        <v>24</v>
      </c>
      <c r="C33" s="17" t="s">
        <v>46</v>
      </c>
      <c r="D33" s="17" t="s">
        <v>313</v>
      </c>
      <c r="E33" s="21" t="s">
        <v>191</v>
      </c>
      <c r="F33" s="21" t="s">
        <v>316</v>
      </c>
      <c r="G33" s="14" t="s">
        <v>36</v>
      </c>
      <c r="H33" s="26">
        <v>46277.0</v>
      </c>
      <c r="I33" s="18">
        <v>0.0</v>
      </c>
      <c r="J33" s="22" t="s">
        <v>57</v>
      </c>
      <c r="K33" s="29">
        <v>10000.0</v>
      </c>
      <c r="L33" s="28">
        <v>0.0</v>
      </c>
      <c r="M33" s="28">
        <v>0.0</v>
      </c>
      <c r="N33" s="28">
        <v>0.0</v>
      </c>
      <c r="O33" s="28">
        <v>0.0</v>
      </c>
      <c r="P33" s="33"/>
    </row>
    <row r="34" ht="11.25" customHeight="1">
      <c r="A34" s="12">
        <f t="shared" si="1"/>
        <v>32</v>
      </c>
      <c r="B34" s="15" t="s">
        <v>24</v>
      </c>
      <c r="C34" s="17" t="s">
        <v>46</v>
      </c>
      <c r="D34" s="17" t="s">
        <v>321</v>
      </c>
      <c r="E34" s="71" t="s">
        <v>84</v>
      </c>
      <c r="F34" s="72" t="s">
        <v>324</v>
      </c>
      <c r="G34" s="25" t="s">
        <v>36</v>
      </c>
      <c r="H34" s="95">
        <v>46278.0</v>
      </c>
      <c r="I34" s="17">
        <v>0.0</v>
      </c>
      <c r="J34" s="25" t="s">
        <v>57</v>
      </c>
      <c r="K34" s="28">
        <v>0.0</v>
      </c>
      <c r="L34" s="28">
        <v>15000.0</v>
      </c>
      <c r="M34" s="28">
        <v>0.0</v>
      </c>
      <c r="N34" s="28">
        <v>0.0</v>
      </c>
      <c r="O34" s="28">
        <v>0.0</v>
      </c>
      <c r="P34" s="33"/>
      <c r="Q34" s="11"/>
      <c r="R34" s="11"/>
      <c r="T34" s="11"/>
      <c r="U34" s="11"/>
      <c r="V34" s="11"/>
      <c r="W34" s="11"/>
      <c r="X34" s="11"/>
      <c r="Y34" s="11"/>
      <c r="Z34" s="11"/>
    </row>
    <row r="35" ht="11.25" customHeight="1">
      <c r="A35" s="12">
        <f t="shared" si="1"/>
        <v>33</v>
      </c>
      <c r="B35" s="15" t="s">
        <v>24</v>
      </c>
      <c r="C35" s="17" t="s">
        <v>46</v>
      </c>
      <c r="D35" s="17" t="s">
        <v>332</v>
      </c>
      <c r="E35" s="72" t="s">
        <v>272</v>
      </c>
      <c r="F35" s="72" t="s">
        <v>274</v>
      </c>
      <c r="G35" s="25" t="s">
        <v>36</v>
      </c>
      <c r="H35" s="26">
        <v>46278.0</v>
      </c>
      <c r="I35" s="17">
        <v>0.0</v>
      </c>
      <c r="J35" s="23" t="s">
        <v>57</v>
      </c>
      <c r="K35" s="28">
        <v>5000.0</v>
      </c>
      <c r="L35" s="28">
        <v>0.0</v>
      </c>
      <c r="M35" s="28">
        <v>0.0</v>
      </c>
      <c r="N35" s="28">
        <v>0.0</v>
      </c>
      <c r="O35" s="28">
        <v>0.0</v>
      </c>
      <c r="P35" s="33"/>
    </row>
    <row r="36" ht="11.25" customHeight="1">
      <c r="A36" s="12">
        <f t="shared" si="1"/>
        <v>34</v>
      </c>
      <c r="B36" s="15" t="s">
        <v>24</v>
      </c>
      <c r="C36" s="17" t="s">
        <v>46</v>
      </c>
      <c r="D36" s="17" t="s">
        <v>337</v>
      </c>
      <c r="E36" s="51" t="s">
        <v>91</v>
      </c>
      <c r="F36" s="51" t="s">
        <v>338</v>
      </c>
      <c r="G36" s="23" t="s">
        <v>55</v>
      </c>
      <c r="H36" s="26">
        <v>46278.0</v>
      </c>
      <c r="I36" s="17">
        <v>0.0</v>
      </c>
      <c r="J36" s="23" t="s">
        <v>57</v>
      </c>
      <c r="K36" s="28">
        <v>12000.0</v>
      </c>
      <c r="L36" s="28">
        <v>0.0</v>
      </c>
      <c r="M36" s="28">
        <v>0.0</v>
      </c>
      <c r="N36" s="28">
        <v>0.0</v>
      </c>
      <c r="O36" s="28">
        <v>0.0</v>
      </c>
      <c r="P36" s="33"/>
    </row>
    <row r="37" ht="11.25" customHeight="1">
      <c r="A37" s="12">
        <f t="shared" si="1"/>
        <v>35</v>
      </c>
      <c r="B37" s="15" t="s">
        <v>24</v>
      </c>
      <c r="C37" s="17" t="s">
        <v>46</v>
      </c>
      <c r="D37" s="17" t="s">
        <v>344</v>
      </c>
      <c r="E37" s="51" t="s">
        <v>91</v>
      </c>
      <c r="F37" s="51" t="s">
        <v>338</v>
      </c>
      <c r="G37" s="23" t="s">
        <v>55</v>
      </c>
      <c r="H37" s="26">
        <v>46278.0</v>
      </c>
      <c r="I37" s="17">
        <v>0.0</v>
      </c>
      <c r="J37" s="23" t="s">
        <v>57</v>
      </c>
      <c r="K37" s="28">
        <v>12000.0</v>
      </c>
      <c r="L37" s="28">
        <v>0.0</v>
      </c>
      <c r="M37" s="28">
        <v>0.0</v>
      </c>
      <c r="N37" s="28">
        <v>0.0</v>
      </c>
      <c r="O37" s="28">
        <v>0.0</v>
      </c>
      <c r="P37" s="33"/>
    </row>
    <row r="38" ht="11.25" customHeight="1">
      <c r="A38" s="12">
        <f t="shared" si="1"/>
        <v>36</v>
      </c>
      <c r="B38" s="15" t="s">
        <v>24</v>
      </c>
      <c r="C38" s="17" t="s">
        <v>46</v>
      </c>
      <c r="D38" s="49" t="s">
        <v>350</v>
      </c>
      <c r="E38" s="51" t="s">
        <v>272</v>
      </c>
      <c r="F38" s="51" t="s">
        <v>274</v>
      </c>
      <c r="G38" s="14" t="s">
        <v>34</v>
      </c>
      <c r="H38" s="38">
        <v>46278.0</v>
      </c>
      <c r="I38" s="16">
        <v>0.0</v>
      </c>
      <c r="J38" s="14" t="s">
        <v>57</v>
      </c>
      <c r="K38" s="29">
        <v>20000.0</v>
      </c>
      <c r="L38" s="29">
        <v>0.0</v>
      </c>
      <c r="M38" s="29">
        <v>0.0</v>
      </c>
      <c r="N38" s="29">
        <v>0.0</v>
      </c>
      <c r="O38" s="44">
        <v>0.0</v>
      </c>
      <c r="P38" s="54"/>
    </row>
    <row r="39" ht="11.25" customHeight="1">
      <c r="A39" s="12">
        <f t="shared" si="1"/>
        <v>37</v>
      </c>
      <c r="B39" s="15" t="s">
        <v>24</v>
      </c>
      <c r="C39" s="17" t="s">
        <v>87</v>
      </c>
      <c r="D39" s="17" t="s">
        <v>357</v>
      </c>
      <c r="E39" s="23" t="s">
        <v>223</v>
      </c>
      <c r="F39" s="23" t="s">
        <v>359</v>
      </c>
      <c r="G39" s="25" t="s">
        <v>36</v>
      </c>
      <c r="H39" s="95">
        <v>46279.0</v>
      </c>
      <c r="I39" s="17">
        <v>1.0</v>
      </c>
      <c r="J39" s="23" t="s">
        <v>38</v>
      </c>
      <c r="K39" s="28">
        <v>10000.0</v>
      </c>
      <c r="L39" s="28">
        <v>0.0</v>
      </c>
      <c r="M39" s="28">
        <v>0.0</v>
      </c>
      <c r="N39" s="28">
        <v>0.0</v>
      </c>
      <c r="O39" s="28">
        <v>0.0</v>
      </c>
      <c r="P39" s="30"/>
    </row>
    <row r="40" ht="11.25" customHeight="1">
      <c r="A40" s="12">
        <f t="shared" si="1"/>
        <v>38</v>
      </c>
      <c r="B40" s="15" t="s">
        <v>24</v>
      </c>
      <c r="C40" s="17" t="s">
        <v>46</v>
      </c>
      <c r="D40" s="17" t="s">
        <v>366</v>
      </c>
      <c r="E40" s="21" t="s">
        <v>44</v>
      </c>
      <c r="F40" s="21" t="s">
        <v>45</v>
      </c>
      <c r="G40" s="25" t="s">
        <v>36</v>
      </c>
      <c r="H40" s="95">
        <v>46279.0</v>
      </c>
      <c r="I40" s="17">
        <v>0.0</v>
      </c>
      <c r="J40" s="23" t="s">
        <v>57</v>
      </c>
      <c r="K40" s="28">
        <v>8000.0</v>
      </c>
      <c r="L40" s="28">
        <v>0.0</v>
      </c>
      <c r="M40" s="28">
        <v>0.0</v>
      </c>
      <c r="N40" s="28">
        <v>0.0</v>
      </c>
      <c r="O40" s="28">
        <v>0.0</v>
      </c>
      <c r="P40" s="33"/>
    </row>
    <row r="41" ht="11.25" customHeight="1">
      <c r="A41" s="12">
        <f t="shared" si="1"/>
        <v>39</v>
      </c>
      <c r="B41" s="15" t="s">
        <v>24</v>
      </c>
      <c r="C41" s="17" t="s">
        <v>46</v>
      </c>
      <c r="D41" s="35" t="s">
        <v>373</v>
      </c>
      <c r="E41" s="21" t="s">
        <v>44</v>
      </c>
      <c r="F41" s="21" t="s">
        <v>45</v>
      </c>
      <c r="G41" s="25" t="s">
        <v>36</v>
      </c>
      <c r="H41" s="95">
        <v>46279.0</v>
      </c>
      <c r="I41" s="17">
        <v>0.0</v>
      </c>
      <c r="J41" s="23" t="s">
        <v>57</v>
      </c>
      <c r="K41" s="28">
        <v>10000.0</v>
      </c>
      <c r="L41" s="28">
        <v>0.0</v>
      </c>
      <c r="M41" s="28">
        <v>0.0</v>
      </c>
      <c r="N41" s="28">
        <v>0.0</v>
      </c>
      <c r="O41" s="28">
        <v>0.0</v>
      </c>
      <c r="P41" s="33"/>
    </row>
    <row r="42" ht="11.25" customHeight="1">
      <c r="A42" s="12">
        <f t="shared" si="1"/>
        <v>40</v>
      </c>
      <c r="B42" s="15" t="s">
        <v>24</v>
      </c>
      <c r="C42" s="17" t="s">
        <v>87</v>
      </c>
      <c r="D42" s="17" t="s">
        <v>382</v>
      </c>
      <c r="E42" s="23" t="s">
        <v>49</v>
      </c>
      <c r="F42" s="23" t="s">
        <v>383</v>
      </c>
      <c r="G42" s="25" t="s">
        <v>36</v>
      </c>
      <c r="H42" s="26">
        <v>46281.0</v>
      </c>
      <c r="I42" s="17">
        <v>0.0</v>
      </c>
      <c r="J42" s="23" t="s">
        <v>38</v>
      </c>
      <c r="K42" s="28">
        <v>100000.0</v>
      </c>
      <c r="L42" s="28">
        <v>0.0</v>
      </c>
      <c r="M42" s="28">
        <v>0.0</v>
      </c>
      <c r="N42" s="28">
        <v>0.0</v>
      </c>
      <c r="O42" s="28">
        <v>0.0</v>
      </c>
      <c r="P42" s="33"/>
    </row>
    <row r="43" ht="11.25" customHeight="1">
      <c r="A43" s="12">
        <f t="shared" si="1"/>
        <v>41</v>
      </c>
      <c r="B43" s="15" t="s">
        <v>24</v>
      </c>
      <c r="C43" s="17" t="s">
        <v>46</v>
      </c>
      <c r="D43" s="17" t="s">
        <v>390</v>
      </c>
      <c r="E43" s="21" t="s">
        <v>60</v>
      </c>
      <c r="F43" s="21" t="s">
        <v>161</v>
      </c>
      <c r="G43" s="25" t="s">
        <v>36</v>
      </c>
      <c r="H43" s="26">
        <v>46281.0</v>
      </c>
      <c r="I43" s="17">
        <v>0.0</v>
      </c>
      <c r="J43" s="23" t="s">
        <v>57</v>
      </c>
      <c r="K43" s="28">
        <v>7300.0</v>
      </c>
      <c r="L43" s="28">
        <v>0.0</v>
      </c>
      <c r="M43" s="28">
        <v>0.0</v>
      </c>
      <c r="N43" s="28">
        <v>0.0</v>
      </c>
      <c r="O43" s="28">
        <v>0.0</v>
      </c>
      <c r="P43" s="33"/>
    </row>
    <row r="44" ht="11.25" customHeight="1">
      <c r="A44" s="12">
        <f t="shared" si="1"/>
        <v>42</v>
      </c>
      <c r="B44" s="15" t="s">
        <v>24</v>
      </c>
      <c r="C44" s="17" t="s">
        <v>46</v>
      </c>
      <c r="D44" s="17" t="s">
        <v>396</v>
      </c>
      <c r="E44" s="51" t="s">
        <v>91</v>
      </c>
      <c r="F44" s="23" t="s">
        <v>397</v>
      </c>
      <c r="G44" s="25" t="s">
        <v>36</v>
      </c>
      <c r="H44" s="26">
        <v>46281.0</v>
      </c>
      <c r="I44" s="17">
        <v>0.0</v>
      </c>
      <c r="J44" s="23" t="s">
        <v>57</v>
      </c>
      <c r="K44" s="28">
        <v>24600.0</v>
      </c>
      <c r="L44" s="28">
        <v>0.0</v>
      </c>
      <c r="M44" s="28">
        <v>0.0</v>
      </c>
      <c r="N44" s="28">
        <v>0.0</v>
      </c>
      <c r="O44" s="28">
        <v>0.0</v>
      </c>
      <c r="P44" s="33"/>
    </row>
    <row r="45" ht="11.25" customHeight="1">
      <c r="A45" s="12">
        <f t="shared" si="1"/>
        <v>43</v>
      </c>
      <c r="B45" s="15" t="s">
        <v>24</v>
      </c>
      <c r="C45" s="17" t="s">
        <v>46</v>
      </c>
      <c r="D45" s="17" t="s">
        <v>401</v>
      </c>
      <c r="E45" s="51" t="s">
        <v>91</v>
      </c>
      <c r="F45" s="23" t="s">
        <v>397</v>
      </c>
      <c r="G45" s="25" t="s">
        <v>36</v>
      </c>
      <c r="H45" s="26">
        <v>46281.0</v>
      </c>
      <c r="I45" s="17">
        <v>0.0</v>
      </c>
      <c r="J45" s="23" t="s">
        <v>57</v>
      </c>
      <c r="K45" s="28">
        <v>24600.0</v>
      </c>
      <c r="L45" s="28">
        <v>0.0</v>
      </c>
      <c r="M45" s="28">
        <v>0.0</v>
      </c>
      <c r="N45" s="28">
        <v>0.0</v>
      </c>
      <c r="O45" s="28">
        <v>0.0</v>
      </c>
      <c r="P45" s="33"/>
    </row>
    <row r="46" ht="11.25" customHeight="1">
      <c r="A46" s="12">
        <f t="shared" si="1"/>
        <v>44</v>
      </c>
      <c r="B46" s="15" t="s">
        <v>24</v>
      </c>
      <c r="C46" s="17" t="s">
        <v>46</v>
      </c>
      <c r="D46" s="17" t="s">
        <v>405</v>
      </c>
      <c r="E46" s="51" t="s">
        <v>91</v>
      </c>
      <c r="F46" s="23" t="s">
        <v>397</v>
      </c>
      <c r="G46" s="25" t="s">
        <v>36</v>
      </c>
      <c r="H46" s="26">
        <v>46281.0</v>
      </c>
      <c r="I46" s="17">
        <v>0.0</v>
      </c>
      <c r="J46" s="23" t="s">
        <v>57</v>
      </c>
      <c r="K46" s="28">
        <v>24600.0</v>
      </c>
      <c r="L46" s="28">
        <v>0.0</v>
      </c>
      <c r="M46" s="28">
        <v>0.0</v>
      </c>
      <c r="N46" s="28">
        <v>0.0</v>
      </c>
      <c r="O46" s="28">
        <v>0.0</v>
      </c>
      <c r="P46" s="33"/>
    </row>
    <row r="47" ht="11.25" customHeight="1">
      <c r="A47" s="12">
        <f t="shared" si="1"/>
        <v>45</v>
      </c>
      <c r="B47" s="15" t="s">
        <v>24</v>
      </c>
      <c r="C47" s="17" t="s">
        <v>46</v>
      </c>
      <c r="D47" s="17" t="s">
        <v>410</v>
      </c>
      <c r="E47" s="51" t="s">
        <v>91</v>
      </c>
      <c r="F47" s="23" t="s">
        <v>411</v>
      </c>
      <c r="G47" s="25" t="s">
        <v>36</v>
      </c>
      <c r="H47" s="26">
        <v>46281.0</v>
      </c>
      <c r="I47" s="17">
        <v>0.0</v>
      </c>
      <c r="J47" s="23" t="s">
        <v>57</v>
      </c>
      <c r="K47" s="28">
        <v>24600.0</v>
      </c>
      <c r="L47" s="28">
        <v>0.0</v>
      </c>
      <c r="M47" s="28">
        <v>0.0</v>
      </c>
      <c r="N47" s="28">
        <v>0.0</v>
      </c>
      <c r="O47" s="28">
        <v>0.0</v>
      </c>
      <c r="P47" s="33"/>
    </row>
    <row r="48" ht="11.25" customHeight="1">
      <c r="A48" s="12">
        <f t="shared" si="1"/>
        <v>46</v>
      </c>
      <c r="B48" s="15" t="s">
        <v>24</v>
      </c>
      <c r="C48" s="17" t="s">
        <v>46</v>
      </c>
      <c r="D48" s="17" t="s">
        <v>417</v>
      </c>
      <c r="E48" s="51" t="s">
        <v>91</v>
      </c>
      <c r="F48" s="23" t="s">
        <v>411</v>
      </c>
      <c r="G48" s="25" t="s">
        <v>36</v>
      </c>
      <c r="H48" s="26">
        <v>46281.0</v>
      </c>
      <c r="I48" s="17">
        <v>0.0</v>
      </c>
      <c r="J48" s="23" t="s">
        <v>57</v>
      </c>
      <c r="K48" s="28">
        <v>24600.0</v>
      </c>
      <c r="L48" s="28">
        <v>0.0</v>
      </c>
      <c r="M48" s="28">
        <v>0.0</v>
      </c>
      <c r="N48" s="28">
        <v>0.0</v>
      </c>
      <c r="O48" s="28">
        <v>0.0</v>
      </c>
      <c r="P48" s="33"/>
    </row>
    <row r="49" ht="11.25" customHeight="1">
      <c r="A49" s="12">
        <f t="shared" si="1"/>
        <v>47</v>
      </c>
      <c r="B49" s="15" t="s">
        <v>24</v>
      </c>
      <c r="C49" s="17" t="s">
        <v>87</v>
      </c>
      <c r="D49" s="17" t="s">
        <v>422</v>
      </c>
      <c r="E49" s="23" t="s">
        <v>91</v>
      </c>
      <c r="F49" s="23" t="s">
        <v>423</v>
      </c>
      <c r="G49" s="25" t="s">
        <v>36</v>
      </c>
      <c r="H49" s="26">
        <v>46281.0</v>
      </c>
      <c r="I49" s="17">
        <v>0.0</v>
      </c>
      <c r="J49" s="23" t="s">
        <v>38</v>
      </c>
      <c r="K49" s="28">
        <v>20000.0</v>
      </c>
      <c r="L49" s="28">
        <v>0.0</v>
      </c>
      <c r="M49" s="28">
        <v>0.0</v>
      </c>
      <c r="N49" s="76">
        <v>0.0</v>
      </c>
      <c r="O49" s="77">
        <v>0.0</v>
      </c>
      <c r="P49" s="33"/>
    </row>
    <row r="50" ht="11.25" customHeight="1">
      <c r="A50" s="12">
        <f t="shared" si="1"/>
        <v>48</v>
      </c>
      <c r="B50" s="15" t="s">
        <v>24</v>
      </c>
      <c r="C50" s="17" t="s">
        <v>46</v>
      </c>
      <c r="D50" s="17" t="s">
        <v>433</v>
      </c>
      <c r="E50" s="36" t="s">
        <v>66</v>
      </c>
      <c r="F50" s="36" t="s">
        <v>434</v>
      </c>
      <c r="G50" s="25" t="s">
        <v>36</v>
      </c>
      <c r="H50" s="26">
        <v>46281.0</v>
      </c>
      <c r="I50" s="17">
        <v>0.0</v>
      </c>
      <c r="J50" s="23" t="s">
        <v>57</v>
      </c>
      <c r="K50" s="28">
        <v>5000.0</v>
      </c>
      <c r="L50" s="28">
        <v>0.0</v>
      </c>
      <c r="M50" s="28">
        <v>0.0</v>
      </c>
      <c r="N50" s="76">
        <v>0.0</v>
      </c>
      <c r="O50" s="77">
        <v>0.0</v>
      </c>
      <c r="P50" s="32"/>
    </row>
    <row r="51" ht="11.25" customHeight="1">
      <c r="A51" s="12">
        <f t="shared" si="1"/>
        <v>49</v>
      </c>
      <c r="B51" s="15" t="s">
        <v>24</v>
      </c>
      <c r="C51" s="17" t="s">
        <v>46</v>
      </c>
      <c r="D51" s="49" t="s">
        <v>438</v>
      </c>
      <c r="E51" s="21" t="s">
        <v>28</v>
      </c>
      <c r="F51" s="21" t="s">
        <v>32</v>
      </c>
      <c r="G51" s="14" t="s">
        <v>34</v>
      </c>
      <c r="H51" s="38">
        <v>46281.0</v>
      </c>
      <c r="I51" s="49">
        <v>0.0</v>
      </c>
      <c r="J51" s="22" t="s">
        <v>57</v>
      </c>
      <c r="K51" s="53">
        <v>0.0</v>
      </c>
      <c r="L51" s="53">
        <v>50000.0</v>
      </c>
      <c r="M51" s="29">
        <v>0.0</v>
      </c>
      <c r="N51" s="29">
        <v>0.0</v>
      </c>
      <c r="O51" s="44">
        <v>0.0</v>
      </c>
      <c r="P51" s="54"/>
    </row>
    <row r="52" ht="11.25" customHeight="1">
      <c r="A52" s="12">
        <f t="shared" si="1"/>
        <v>50</v>
      </c>
      <c r="B52" s="15" t="s">
        <v>24</v>
      </c>
      <c r="C52" s="17" t="s">
        <v>182</v>
      </c>
      <c r="D52" s="17" t="s">
        <v>442</v>
      </c>
      <c r="E52" s="23" t="s">
        <v>33</v>
      </c>
      <c r="F52" s="78" t="s">
        <v>444</v>
      </c>
      <c r="G52" s="23" t="s">
        <v>55</v>
      </c>
      <c r="H52" s="26">
        <v>46282.0</v>
      </c>
      <c r="I52" s="17">
        <v>1.0</v>
      </c>
      <c r="J52" s="23" t="s">
        <v>38</v>
      </c>
      <c r="K52" s="28">
        <v>20000.0</v>
      </c>
      <c r="L52" s="28">
        <v>0.0</v>
      </c>
      <c r="M52" s="28">
        <v>0.0</v>
      </c>
      <c r="N52" s="76">
        <v>0.0</v>
      </c>
      <c r="O52" s="77">
        <v>0.0</v>
      </c>
      <c r="P52" s="33"/>
    </row>
    <row r="53" ht="11.25" customHeight="1">
      <c r="A53" s="12">
        <f t="shared" si="1"/>
        <v>51</v>
      </c>
      <c r="B53" s="15" t="s">
        <v>24</v>
      </c>
      <c r="C53" s="17" t="s">
        <v>46</v>
      </c>
      <c r="D53" s="17" t="s">
        <v>447</v>
      </c>
      <c r="E53" s="36" t="s">
        <v>184</v>
      </c>
      <c r="F53" s="36" t="s">
        <v>449</v>
      </c>
      <c r="G53" s="14" t="s">
        <v>37</v>
      </c>
      <c r="H53" s="26">
        <v>46282.0</v>
      </c>
      <c r="I53" s="17">
        <v>0.0</v>
      </c>
      <c r="J53" s="23" t="s">
        <v>57</v>
      </c>
      <c r="K53" s="28">
        <v>5000.0</v>
      </c>
      <c r="L53" s="28">
        <v>0.0</v>
      </c>
      <c r="M53" s="28">
        <v>0.0</v>
      </c>
      <c r="N53" s="76">
        <v>0.0</v>
      </c>
      <c r="O53" s="77">
        <v>0.0</v>
      </c>
      <c r="P53" s="33"/>
    </row>
    <row r="54" ht="11.25" customHeight="1">
      <c r="A54" s="12">
        <f t="shared" si="1"/>
        <v>52</v>
      </c>
      <c r="B54" s="15" t="s">
        <v>24</v>
      </c>
      <c r="C54" s="17" t="s">
        <v>182</v>
      </c>
      <c r="D54" s="17" t="s">
        <v>451</v>
      </c>
      <c r="E54" s="22" t="s">
        <v>142</v>
      </c>
      <c r="F54" s="22" t="s">
        <v>452</v>
      </c>
      <c r="G54" s="14" t="s">
        <v>37</v>
      </c>
      <c r="H54" s="38">
        <v>46282.0</v>
      </c>
      <c r="I54" s="18">
        <v>0.0</v>
      </c>
      <c r="J54" s="22" t="s">
        <v>38</v>
      </c>
      <c r="K54" s="29">
        <v>5000.0</v>
      </c>
      <c r="L54" s="28">
        <v>0.0</v>
      </c>
      <c r="M54" s="28">
        <v>0.0</v>
      </c>
      <c r="N54" s="28">
        <v>0.0</v>
      </c>
      <c r="O54" s="28">
        <v>0.0</v>
      </c>
      <c r="P54" s="33"/>
    </row>
    <row r="55" ht="11.25" customHeight="1">
      <c r="A55" s="12">
        <f t="shared" si="1"/>
        <v>53</v>
      </c>
      <c r="B55" s="15" t="s">
        <v>24</v>
      </c>
      <c r="C55" s="17" t="s">
        <v>46</v>
      </c>
      <c r="D55" s="17" t="s">
        <v>455</v>
      </c>
      <c r="E55" s="81" t="s">
        <v>208</v>
      </c>
      <c r="F55" s="83" t="s">
        <v>208</v>
      </c>
      <c r="G55" s="25" t="s">
        <v>36</v>
      </c>
      <c r="H55" s="26">
        <v>46282.0</v>
      </c>
      <c r="I55" s="17">
        <v>0.0</v>
      </c>
      <c r="J55" s="23" t="s">
        <v>57</v>
      </c>
      <c r="K55" s="28">
        <v>5000.0</v>
      </c>
      <c r="L55" s="28">
        <v>0.0</v>
      </c>
      <c r="M55" s="28">
        <v>0.0</v>
      </c>
      <c r="N55" s="28">
        <v>0.0</v>
      </c>
      <c r="O55" s="28">
        <v>0.0</v>
      </c>
      <c r="P55" s="33"/>
    </row>
    <row r="56" ht="11.25" customHeight="1">
      <c r="A56" s="12">
        <f t="shared" si="1"/>
        <v>54</v>
      </c>
      <c r="B56" s="15" t="s">
        <v>24</v>
      </c>
      <c r="C56" s="17" t="s">
        <v>58</v>
      </c>
      <c r="D56" s="49" t="s">
        <v>459</v>
      </c>
      <c r="E56" s="51" t="s">
        <v>66</v>
      </c>
      <c r="F56" s="51" t="s">
        <v>196</v>
      </c>
      <c r="G56" s="14" t="s">
        <v>34</v>
      </c>
      <c r="H56" s="52">
        <v>46282.0</v>
      </c>
      <c r="I56" s="49">
        <v>0.0</v>
      </c>
      <c r="J56" s="14" t="s">
        <v>38</v>
      </c>
      <c r="K56" s="53">
        <v>2000000.0</v>
      </c>
      <c r="L56" s="53">
        <v>0.0</v>
      </c>
      <c r="M56" s="53">
        <v>0.0</v>
      </c>
      <c r="N56" s="44">
        <v>0.0</v>
      </c>
      <c r="O56" s="44">
        <v>0.0</v>
      </c>
      <c r="P56" s="54"/>
    </row>
    <row r="57" ht="11.25" customHeight="1">
      <c r="A57" s="12">
        <f t="shared" si="1"/>
        <v>55</v>
      </c>
      <c r="B57" s="15" t="s">
        <v>24</v>
      </c>
      <c r="C57" s="17" t="s">
        <v>58</v>
      </c>
      <c r="D57" s="49" t="s">
        <v>463</v>
      </c>
      <c r="E57" s="51" t="s">
        <v>66</v>
      </c>
      <c r="F57" s="51" t="s">
        <v>196</v>
      </c>
      <c r="G57" s="14" t="s">
        <v>34</v>
      </c>
      <c r="H57" s="24">
        <v>46282.0</v>
      </c>
      <c r="I57" s="49">
        <v>0.0</v>
      </c>
      <c r="J57" s="14" t="s">
        <v>38</v>
      </c>
      <c r="K57" s="53">
        <v>0.0</v>
      </c>
      <c r="L57" s="53">
        <v>0.0</v>
      </c>
      <c r="M57" s="53">
        <v>0.0</v>
      </c>
      <c r="N57" s="44">
        <v>1000000.0</v>
      </c>
      <c r="O57" s="44">
        <v>0.0</v>
      </c>
      <c r="P57" s="24">
        <v>46320.0</v>
      </c>
    </row>
    <row r="58" ht="11.25" customHeight="1">
      <c r="A58" s="12">
        <f t="shared" si="1"/>
        <v>56</v>
      </c>
      <c r="B58" s="15" t="s">
        <v>24</v>
      </c>
      <c r="C58" s="17" t="s">
        <v>46</v>
      </c>
      <c r="D58" s="49" t="s">
        <v>467</v>
      </c>
      <c r="E58" s="21" t="s">
        <v>84</v>
      </c>
      <c r="F58" s="21" t="s">
        <v>254</v>
      </c>
      <c r="G58" s="14" t="s">
        <v>34</v>
      </c>
      <c r="H58" s="52">
        <v>46282.0</v>
      </c>
      <c r="I58" s="49">
        <v>0.0</v>
      </c>
      <c r="J58" s="14" t="s">
        <v>38</v>
      </c>
      <c r="K58" s="53">
        <v>50000.0</v>
      </c>
      <c r="L58" s="53">
        <v>0.0</v>
      </c>
      <c r="M58" s="53">
        <v>0.0</v>
      </c>
      <c r="N58" s="44">
        <v>0.0</v>
      </c>
      <c r="O58" s="44">
        <v>0.0</v>
      </c>
      <c r="P58" s="54"/>
    </row>
    <row r="59" ht="11.25" customHeight="1">
      <c r="A59" s="12">
        <f t="shared" si="1"/>
        <v>57</v>
      </c>
      <c r="B59" s="15" t="s">
        <v>24</v>
      </c>
      <c r="C59" s="17" t="s">
        <v>46</v>
      </c>
      <c r="D59" s="17" t="s">
        <v>469</v>
      </c>
      <c r="E59" s="65" t="s">
        <v>84</v>
      </c>
      <c r="F59" s="65" t="s">
        <v>329</v>
      </c>
      <c r="G59" s="25" t="s">
        <v>36</v>
      </c>
      <c r="H59" s="26">
        <v>46284.0</v>
      </c>
      <c r="I59" s="17">
        <v>0.0</v>
      </c>
      <c r="J59" s="23" t="s">
        <v>57</v>
      </c>
      <c r="K59" s="28">
        <v>0.0</v>
      </c>
      <c r="L59" s="28">
        <v>8300.0</v>
      </c>
      <c r="M59" s="28">
        <v>0.0</v>
      </c>
      <c r="N59" s="28">
        <v>0.0</v>
      </c>
      <c r="O59" s="28">
        <v>0.0</v>
      </c>
      <c r="P59" s="33"/>
    </row>
    <row r="60" ht="11.25" customHeight="1">
      <c r="A60" s="12">
        <f t="shared" si="1"/>
        <v>58</v>
      </c>
      <c r="B60" s="15" t="s">
        <v>24</v>
      </c>
      <c r="C60" s="17" t="s">
        <v>46</v>
      </c>
      <c r="D60" s="49" t="s">
        <v>473</v>
      </c>
      <c r="E60" s="36" t="s">
        <v>92</v>
      </c>
      <c r="F60" s="36" t="s">
        <v>354</v>
      </c>
      <c r="G60" s="14" t="s">
        <v>34</v>
      </c>
      <c r="H60" s="52">
        <v>46284.0</v>
      </c>
      <c r="I60" s="49">
        <v>0.0</v>
      </c>
      <c r="J60" s="22" t="s">
        <v>57</v>
      </c>
      <c r="K60" s="53">
        <v>35000.0</v>
      </c>
      <c r="L60" s="53">
        <v>0.0</v>
      </c>
      <c r="M60" s="53">
        <v>0.0</v>
      </c>
      <c r="N60" s="44">
        <v>0.0</v>
      </c>
      <c r="O60" s="44">
        <v>0.0</v>
      </c>
      <c r="P60" s="54"/>
    </row>
    <row r="61" ht="11.25" customHeight="1">
      <c r="A61" s="12">
        <f t="shared" si="1"/>
        <v>59</v>
      </c>
      <c r="B61" s="15" t="s">
        <v>24</v>
      </c>
      <c r="C61" s="17" t="s">
        <v>46</v>
      </c>
      <c r="D61" s="17" t="s">
        <v>477</v>
      </c>
      <c r="E61" s="21" t="s">
        <v>44</v>
      </c>
      <c r="F61" s="21" t="s">
        <v>478</v>
      </c>
      <c r="G61" s="14" t="s">
        <v>37</v>
      </c>
      <c r="H61" s="26">
        <v>46285.0</v>
      </c>
      <c r="I61" s="18">
        <v>0.0</v>
      </c>
      <c r="J61" s="23" t="s">
        <v>57</v>
      </c>
      <c r="K61" s="29">
        <v>5500.0</v>
      </c>
      <c r="L61" s="28">
        <v>0.0</v>
      </c>
      <c r="M61" s="28">
        <v>0.0</v>
      </c>
      <c r="N61" s="28">
        <v>0.0</v>
      </c>
      <c r="O61" s="28">
        <v>0.0</v>
      </c>
      <c r="P61" s="33"/>
    </row>
    <row r="62" ht="11.25" customHeight="1">
      <c r="A62" s="12">
        <f t="shared" si="1"/>
        <v>60</v>
      </c>
      <c r="B62" s="15" t="s">
        <v>24</v>
      </c>
      <c r="C62" s="17" t="s">
        <v>46</v>
      </c>
      <c r="D62" s="17" t="s">
        <v>482</v>
      </c>
      <c r="E62" s="94" t="s">
        <v>44</v>
      </c>
      <c r="F62" s="94" t="s">
        <v>478</v>
      </c>
      <c r="G62" s="14" t="s">
        <v>36</v>
      </c>
      <c r="H62" s="26">
        <v>46285.0</v>
      </c>
      <c r="I62" s="18">
        <v>0.0</v>
      </c>
      <c r="J62" s="23" t="s">
        <v>57</v>
      </c>
      <c r="K62" s="29">
        <v>11000.0</v>
      </c>
      <c r="L62" s="28">
        <v>0.0</v>
      </c>
      <c r="M62" s="28">
        <v>0.0</v>
      </c>
      <c r="N62" s="28">
        <v>0.0</v>
      </c>
      <c r="O62" s="28">
        <v>0.0</v>
      </c>
      <c r="P62" s="33"/>
    </row>
    <row r="63" ht="11.25" customHeight="1">
      <c r="A63" s="12">
        <f t="shared" si="1"/>
        <v>61</v>
      </c>
      <c r="B63" s="15" t="s">
        <v>24</v>
      </c>
      <c r="C63" s="17" t="s">
        <v>46</v>
      </c>
      <c r="D63" s="17" t="s">
        <v>490</v>
      </c>
      <c r="E63" s="21" t="s">
        <v>44</v>
      </c>
      <c r="F63" s="21" t="s">
        <v>493</v>
      </c>
      <c r="G63" s="14" t="s">
        <v>37</v>
      </c>
      <c r="H63" s="26">
        <v>46285.0</v>
      </c>
      <c r="I63" s="18">
        <v>0.0</v>
      </c>
      <c r="J63" s="23" t="s">
        <v>57</v>
      </c>
      <c r="K63" s="29">
        <v>5500.0</v>
      </c>
      <c r="L63" s="28">
        <v>0.0</v>
      </c>
      <c r="M63" s="28">
        <v>0.0</v>
      </c>
      <c r="N63" s="28">
        <v>0.0</v>
      </c>
      <c r="O63" s="28">
        <v>0.0</v>
      </c>
      <c r="P63" s="33"/>
    </row>
    <row r="64" ht="11.25" customHeight="1">
      <c r="A64" s="12">
        <f t="shared" si="1"/>
        <v>62</v>
      </c>
      <c r="B64" s="15" t="s">
        <v>24</v>
      </c>
      <c r="C64" s="17" t="s">
        <v>46</v>
      </c>
      <c r="D64" s="17" t="s">
        <v>495</v>
      </c>
      <c r="E64" s="36" t="s">
        <v>279</v>
      </c>
      <c r="F64" s="23" t="s">
        <v>496</v>
      </c>
      <c r="G64" s="25" t="s">
        <v>36</v>
      </c>
      <c r="H64" s="26">
        <v>46286.0</v>
      </c>
      <c r="I64" s="17">
        <v>0.0</v>
      </c>
      <c r="J64" s="23" t="s">
        <v>57</v>
      </c>
      <c r="K64" s="28">
        <v>20000.0</v>
      </c>
      <c r="L64" s="28">
        <v>0.0</v>
      </c>
      <c r="M64" s="28">
        <v>0.0</v>
      </c>
      <c r="N64" s="28">
        <v>0.0</v>
      </c>
      <c r="O64" s="28">
        <v>0.0</v>
      </c>
      <c r="P64" s="33"/>
    </row>
    <row r="65" ht="11.25" customHeight="1">
      <c r="A65" s="12">
        <f t="shared" si="1"/>
        <v>63</v>
      </c>
      <c r="B65" s="15" t="s">
        <v>24</v>
      </c>
      <c r="C65" s="17" t="s">
        <v>46</v>
      </c>
      <c r="D65" s="17" t="s">
        <v>498</v>
      </c>
      <c r="E65" s="36" t="s">
        <v>279</v>
      </c>
      <c r="F65" s="23" t="s">
        <v>500</v>
      </c>
      <c r="G65" s="25" t="s">
        <v>36</v>
      </c>
      <c r="H65" s="26">
        <v>46286.0</v>
      </c>
      <c r="I65" s="17">
        <v>0.0</v>
      </c>
      <c r="J65" s="23" t="s">
        <v>57</v>
      </c>
      <c r="K65" s="28">
        <v>24000.0</v>
      </c>
      <c r="L65" s="28">
        <v>0.0</v>
      </c>
      <c r="M65" s="28">
        <v>0.0</v>
      </c>
      <c r="N65" s="28">
        <v>0.0</v>
      </c>
      <c r="O65" s="28">
        <v>0.0</v>
      </c>
      <c r="P65" s="33"/>
    </row>
    <row r="66" ht="11.25" customHeight="1">
      <c r="A66" s="12">
        <f t="shared" si="1"/>
        <v>64</v>
      </c>
      <c r="B66" s="15" t="s">
        <v>24</v>
      </c>
      <c r="C66" s="17" t="s">
        <v>29</v>
      </c>
      <c r="D66" s="17" t="s">
        <v>509</v>
      </c>
      <c r="E66" s="25" t="s">
        <v>184</v>
      </c>
      <c r="F66" s="25" t="s">
        <v>449</v>
      </c>
      <c r="G66" s="25" t="s">
        <v>36</v>
      </c>
      <c r="H66" s="26">
        <v>46286.0</v>
      </c>
      <c r="I66" s="17">
        <v>0.0</v>
      </c>
      <c r="J66" s="23" t="s">
        <v>38</v>
      </c>
      <c r="K66" s="28">
        <v>100000.0</v>
      </c>
      <c r="L66" s="28">
        <v>0.0</v>
      </c>
      <c r="M66" s="28">
        <v>0.0</v>
      </c>
      <c r="N66" s="28">
        <v>0.0</v>
      </c>
      <c r="O66" s="28">
        <v>0.0</v>
      </c>
      <c r="P66" s="33"/>
    </row>
    <row r="67" ht="11.25" customHeight="1">
      <c r="A67" s="12">
        <f t="shared" si="1"/>
        <v>65</v>
      </c>
      <c r="B67" s="15" t="s">
        <v>24</v>
      </c>
      <c r="C67" s="17" t="s">
        <v>29</v>
      </c>
      <c r="D67" s="17" t="s">
        <v>511</v>
      </c>
      <c r="E67" s="23" t="s">
        <v>142</v>
      </c>
      <c r="F67" s="23" t="s">
        <v>512</v>
      </c>
      <c r="G67" s="25" t="s">
        <v>37</v>
      </c>
      <c r="H67" s="95">
        <v>46286.0</v>
      </c>
      <c r="I67" s="17">
        <v>0.0</v>
      </c>
      <c r="J67" s="23" t="s">
        <v>38</v>
      </c>
      <c r="K67" s="28">
        <v>7000.0</v>
      </c>
      <c r="L67" s="28">
        <v>0.0</v>
      </c>
      <c r="M67" s="28">
        <v>0.0</v>
      </c>
      <c r="N67" s="76">
        <v>0.0</v>
      </c>
      <c r="O67" s="77">
        <v>0.0</v>
      </c>
      <c r="P67" s="33"/>
    </row>
    <row r="68" ht="11.25" customHeight="1">
      <c r="A68" s="12">
        <f t="shared" si="1"/>
        <v>66</v>
      </c>
      <c r="B68" s="15" t="s">
        <v>24</v>
      </c>
      <c r="C68" s="17" t="s">
        <v>29</v>
      </c>
      <c r="D68" s="17" t="s">
        <v>516</v>
      </c>
      <c r="E68" s="22" t="s">
        <v>84</v>
      </c>
      <c r="F68" s="22" t="s">
        <v>517</v>
      </c>
      <c r="G68" s="14" t="s">
        <v>36</v>
      </c>
      <c r="H68" s="38">
        <v>46286.0</v>
      </c>
      <c r="I68" s="18">
        <v>0.0</v>
      </c>
      <c r="J68" s="22" t="s">
        <v>38</v>
      </c>
      <c r="K68" s="98">
        <v>10000.0</v>
      </c>
      <c r="L68" s="28">
        <v>0.0</v>
      </c>
      <c r="M68" s="28">
        <v>0.0</v>
      </c>
      <c r="N68" s="28">
        <v>0.0</v>
      </c>
      <c r="O68" s="28">
        <v>0.0</v>
      </c>
      <c r="P68" s="33"/>
    </row>
    <row r="69" ht="11.25" customHeight="1">
      <c r="A69" s="12">
        <f t="shared" si="1"/>
        <v>67</v>
      </c>
      <c r="B69" s="15" t="s">
        <v>24</v>
      </c>
      <c r="C69" s="17" t="s">
        <v>46</v>
      </c>
      <c r="D69" s="49" t="s">
        <v>520</v>
      </c>
      <c r="E69" s="23" t="s">
        <v>33</v>
      </c>
      <c r="F69" s="23" t="s">
        <v>233</v>
      </c>
      <c r="G69" s="14" t="s">
        <v>34</v>
      </c>
      <c r="H69" s="52">
        <v>46286.0</v>
      </c>
      <c r="I69" s="49">
        <v>0.0</v>
      </c>
      <c r="J69" s="22" t="s">
        <v>57</v>
      </c>
      <c r="K69" s="53">
        <v>50000.0</v>
      </c>
      <c r="L69" s="28">
        <v>0.0</v>
      </c>
      <c r="M69" s="28">
        <v>0.0</v>
      </c>
      <c r="N69" s="28">
        <v>0.0</v>
      </c>
      <c r="O69" s="28">
        <v>0.0</v>
      </c>
      <c r="P69" s="33"/>
    </row>
    <row r="70" ht="11.25" customHeight="1">
      <c r="A70" s="12">
        <f t="shared" si="1"/>
        <v>68</v>
      </c>
      <c r="B70" s="15" t="s">
        <v>24</v>
      </c>
      <c r="C70" s="17" t="s">
        <v>29</v>
      </c>
      <c r="D70" s="17" t="s">
        <v>524</v>
      </c>
      <c r="E70" s="21" t="s">
        <v>40</v>
      </c>
      <c r="F70" s="21" t="s">
        <v>41</v>
      </c>
      <c r="G70" s="22" t="s">
        <v>212</v>
      </c>
      <c r="H70" s="38">
        <v>46288.0</v>
      </c>
      <c r="I70" s="17">
        <v>2.0</v>
      </c>
      <c r="J70" s="23" t="s">
        <v>38</v>
      </c>
      <c r="K70" s="28">
        <v>100000.0</v>
      </c>
      <c r="L70" s="28">
        <v>0.0</v>
      </c>
      <c r="M70" s="28">
        <v>0.0</v>
      </c>
      <c r="N70" s="28">
        <v>0.0</v>
      </c>
      <c r="O70" s="28">
        <v>0.0</v>
      </c>
      <c r="P70" s="33"/>
    </row>
    <row r="71" ht="11.25" customHeight="1">
      <c r="A71" s="12">
        <f t="shared" si="1"/>
        <v>69</v>
      </c>
      <c r="B71" s="15" t="s">
        <v>24</v>
      </c>
      <c r="C71" s="17" t="s">
        <v>46</v>
      </c>
      <c r="D71" s="49" t="s">
        <v>527</v>
      </c>
      <c r="E71" s="36" t="s">
        <v>92</v>
      </c>
      <c r="F71" s="36" t="s">
        <v>111</v>
      </c>
      <c r="G71" s="14" t="s">
        <v>34</v>
      </c>
      <c r="H71" s="52">
        <v>46288.0</v>
      </c>
      <c r="I71" s="49">
        <v>0.0</v>
      </c>
      <c r="J71" s="92" t="s">
        <v>57</v>
      </c>
      <c r="K71" s="53">
        <v>35000.0</v>
      </c>
      <c r="L71" s="53">
        <v>0.0</v>
      </c>
      <c r="M71" s="53">
        <v>0.0</v>
      </c>
      <c r="N71" s="44">
        <v>0.0</v>
      </c>
      <c r="O71" s="44">
        <v>0.0</v>
      </c>
      <c r="P71" s="33"/>
    </row>
    <row r="72" ht="11.25" customHeight="1">
      <c r="A72" s="12">
        <f t="shared" si="1"/>
        <v>70</v>
      </c>
      <c r="B72" s="15" t="s">
        <v>24</v>
      </c>
      <c r="C72" s="17" t="s">
        <v>46</v>
      </c>
      <c r="D72" s="17" t="s">
        <v>530</v>
      </c>
      <c r="E72" s="22" t="s">
        <v>84</v>
      </c>
      <c r="F72" s="22" t="s">
        <v>531</v>
      </c>
      <c r="G72" s="14" t="s">
        <v>36</v>
      </c>
      <c r="H72" s="38">
        <v>46289.0</v>
      </c>
      <c r="I72" s="18">
        <v>0.0</v>
      </c>
      <c r="J72" s="23" t="s">
        <v>57</v>
      </c>
      <c r="K72" s="29">
        <v>0.0</v>
      </c>
      <c r="L72" s="28">
        <v>85000.0</v>
      </c>
      <c r="M72" s="28">
        <v>0.0</v>
      </c>
      <c r="N72" s="28">
        <v>0.0</v>
      </c>
      <c r="O72" s="28">
        <v>0.0</v>
      </c>
      <c r="P72" s="33"/>
    </row>
    <row r="73" ht="11.25" customHeight="1">
      <c r="A73" s="12">
        <f t="shared" si="1"/>
        <v>71</v>
      </c>
      <c r="B73" s="15" t="s">
        <v>24</v>
      </c>
      <c r="C73" s="17" t="s">
        <v>29</v>
      </c>
      <c r="D73" s="17" t="s">
        <v>535</v>
      </c>
      <c r="E73" s="22" t="s">
        <v>84</v>
      </c>
      <c r="F73" s="22" t="s">
        <v>517</v>
      </c>
      <c r="G73" s="14" t="s">
        <v>36</v>
      </c>
      <c r="H73" s="38">
        <v>46289.0</v>
      </c>
      <c r="I73" s="18">
        <v>0.0</v>
      </c>
      <c r="J73" s="22" t="s">
        <v>38</v>
      </c>
      <c r="K73" s="29">
        <v>0.0</v>
      </c>
      <c r="L73" s="28">
        <v>20000.0</v>
      </c>
      <c r="M73" s="28">
        <v>0.0</v>
      </c>
      <c r="N73" s="28">
        <v>0.0</v>
      </c>
      <c r="O73" s="28">
        <v>0.0</v>
      </c>
      <c r="P73" s="33"/>
    </row>
    <row r="74" ht="11.25" customHeight="1">
      <c r="A74" s="12">
        <f t="shared" si="1"/>
        <v>72</v>
      </c>
      <c r="B74" s="15" t="s">
        <v>24</v>
      </c>
      <c r="C74" s="17" t="s">
        <v>29</v>
      </c>
      <c r="D74" s="17" t="s">
        <v>539</v>
      </c>
      <c r="E74" s="22" t="s">
        <v>84</v>
      </c>
      <c r="F74" s="22" t="s">
        <v>517</v>
      </c>
      <c r="G74" s="14" t="s">
        <v>36</v>
      </c>
      <c r="H74" s="38">
        <v>46289.0</v>
      </c>
      <c r="I74" s="18">
        <v>0.0</v>
      </c>
      <c r="J74" s="22" t="s">
        <v>38</v>
      </c>
      <c r="K74" s="29">
        <v>8000.0</v>
      </c>
      <c r="L74" s="28">
        <v>0.0</v>
      </c>
      <c r="M74" s="28">
        <v>0.0</v>
      </c>
      <c r="N74" s="28">
        <v>0.0</v>
      </c>
      <c r="O74" s="28">
        <v>0.0</v>
      </c>
      <c r="P74" s="33"/>
    </row>
    <row r="75" ht="11.25" customHeight="1">
      <c r="A75" s="12">
        <f t="shared" si="1"/>
        <v>73</v>
      </c>
      <c r="B75" s="15" t="s">
        <v>24</v>
      </c>
      <c r="C75" s="17" t="s">
        <v>29</v>
      </c>
      <c r="D75" s="17" t="s">
        <v>541</v>
      </c>
      <c r="E75" s="22" t="s">
        <v>84</v>
      </c>
      <c r="F75" s="22" t="s">
        <v>517</v>
      </c>
      <c r="G75" s="14" t="s">
        <v>36</v>
      </c>
      <c r="H75" s="38">
        <v>46289.0</v>
      </c>
      <c r="I75" s="18">
        <v>0.0</v>
      </c>
      <c r="J75" s="22" t="s">
        <v>38</v>
      </c>
      <c r="K75" s="29">
        <v>0.0</v>
      </c>
      <c r="L75" s="28">
        <v>2000.0</v>
      </c>
      <c r="M75" s="28">
        <v>0.0</v>
      </c>
      <c r="N75" s="28">
        <v>0.0</v>
      </c>
      <c r="O75" s="28">
        <v>0.0</v>
      </c>
      <c r="P75" s="33"/>
    </row>
    <row r="76" ht="11.25" customHeight="1">
      <c r="A76" s="12">
        <f t="shared" si="1"/>
        <v>74</v>
      </c>
      <c r="B76" s="15" t="s">
        <v>24</v>
      </c>
      <c r="C76" s="17" t="s">
        <v>58</v>
      </c>
      <c r="D76" s="17" t="s">
        <v>544</v>
      </c>
      <c r="E76" s="21" t="s">
        <v>116</v>
      </c>
      <c r="F76" s="23" t="s">
        <v>545</v>
      </c>
      <c r="G76" s="14" t="s">
        <v>36</v>
      </c>
      <c r="H76" s="38">
        <v>46289.0</v>
      </c>
      <c r="I76" s="17">
        <v>3.0</v>
      </c>
      <c r="J76" s="22" t="s">
        <v>38</v>
      </c>
      <c r="K76" s="28">
        <v>300000.0</v>
      </c>
      <c r="L76" s="28">
        <v>0.0</v>
      </c>
      <c r="M76" s="28">
        <v>0.0</v>
      </c>
      <c r="N76" s="28">
        <v>0.0</v>
      </c>
      <c r="O76" s="28">
        <v>0.0</v>
      </c>
      <c r="P76" s="33"/>
    </row>
    <row r="77" ht="11.25" customHeight="1">
      <c r="A77" s="12">
        <f t="shared" si="1"/>
        <v>75</v>
      </c>
      <c r="B77" s="15" t="s">
        <v>24</v>
      </c>
      <c r="C77" s="17" t="s">
        <v>58</v>
      </c>
      <c r="D77" s="17" t="s">
        <v>549</v>
      </c>
      <c r="E77" s="21" t="s">
        <v>116</v>
      </c>
      <c r="F77" s="23" t="s">
        <v>545</v>
      </c>
      <c r="G77" s="14" t="s">
        <v>36</v>
      </c>
      <c r="H77" s="38">
        <v>46290.0</v>
      </c>
      <c r="I77" s="17">
        <v>0.0</v>
      </c>
      <c r="J77" s="22" t="s">
        <v>38</v>
      </c>
      <c r="K77" s="28">
        <v>200000.0</v>
      </c>
      <c r="L77" s="28">
        <v>0.0</v>
      </c>
      <c r="M77" s="28">
        <v>0.0</v>
      </c>
      <c r="N77" s="28">
        <v>0.0</v>
      </c>
      <c r="O77" s="28">
        <v>0.0</v>
      </c>
      <c r="P77" s="33"/>
    </row>
    <row r="78" ht="11.25" customHeight="1">
      <c r="A78" s="12">
        <f t="shared" si="1"/>
        <v>76</v>
      </c>
      <c r="B78" s="15" t="s">
        <v>24</v>
      </c>
      <c r="C78" s="17" t="s">
        <v>29</v>
      </c>
      <c r="D78" s="17" t="s">
        <v>552</v>
      </c>
      <c r="E78" s="21" t="s">
        <v>40</v>
      </c>
      <c r="F78" s="21" t="s">
        <v>41</v>
      </c>
      <c r="G78" s="22" t="s">
        <v>212</v>
      </c>
      <c r="H78" s="38">
        <v>46291.0</v>
      </c>
      <c r="I78" s="17">
        <v>0.0</v>
      </c>
      <c r="J78" s="23" t="s">
        <v>38</v>
      </c>
      <c r="K78" s="28">
        <v>150000.0</v>
      </c>
      <c r="L78" s="28">
        <v>0.0</v>
      </c>
      <c r="M78" s="28">
        <v>0.0</v>
      </c>
      <c r="N78" s="28">
        <v>0.0</v>
      </c>
      <c r="O78" s="28">
        <v>0.0</v>
      </c>
      <c r="P78" s="33"/>
    </row>
    <row r="79" ht="11.25" customHeight="1">
      <c r="A79" s="12">
        <f t="shared" si="1"/>
        <v>77</v>
      </c>
      <c r="B79" s="15" t="s">
        <v>24</v>
      </c>
      <c r="C79" s="17" t="s">
        <v>46</v>
      </c>
      <c r="D79" s="17" t="s">
        <v>557</v>
      </c>
      <c r="E79" s="65" t="s">
        <v>40</v>
      </c>
      <c r="F79" s="67" t="s">
        <v>558</v>
      </c>
      <c r="G79" s="25" t="s">
        <v>36</v>
      </c>
      <c r="H79" s="26">
        <v>46292.0</v>
      </c>
      <c r="I79" s="17">
        <v>0.0</v>
      </c>
      <c r="J79" s="23" t="s">
        <v>57</v>
      </c>
      <c r="K79" s="28">
        <v>0.0</v>
      </c>
      <c r="L79" s="28">
        <v>17500.0</v>
      </c>
      <c r="M79" s="28">
        <v>0.0</v>
      </c>
      <c r="N79" s="28">
        <v>0.0</v>
      </c>
      <c r="O79" s="28">
        <v>0.0</v>
      </c>
      <c r="P79" s="33"/>
    </row>
    <row r="80" ht="11.25" customHeight="1">
      <c r="A80" s="12">
        <f t="shared" si="1"/>
        <v>78</v>
      </c>
      <c r="B80" s="15" t="s">
        <v>24</v>
      </c>
      <c r="C80" s="17" t="s">
        <v>29</v>
      </c>
      <c r="D80" s="17" t="s">
        <v>563</v>
      </c>
      <c r="E80" s="23" t="s">
        <v>33</v>
      </c>
      <c r="F80" s="23" t="s">
        <v>564</v>
      </c>
      <c r="G80" s="25" t="s">
        <v>36</v>
      </c>
      <c r="H80" s="26">
        <v>46292.0</v>
      </c>
      <c r="I80" s="17">
        <v>1.0</v>
      </c>
      <c r="J80" s="23" t="s">
        <v>38</v>
      </c>
      <c r="K80" s="28">
        <v>150000.0</v>
      </c>
      <c r="L80" s="28">
        <v>0.0</v>
      </c>
      <c r="M80" s="28">
        <v>0.0</v>
      </c>
      <c r="N80" s="28">
        <v>0.0</v>
      </c>
      <c r="O80" s="28">
        <v>0.0</v>
      </c>
      <c r="P80" s="33"/>
    </row>
    <row r="81" ht="11.25" customHeight="1">
      <c r="A81" s="12">
        <f t="shared" si="1"/>
        <v>79</v>
      </c>
      <c r="B81" s="15" t="s">
        <v>24</v>
      </c>
      <c r="C81" s="17" t="s">
        <v>58</v>
      </c>
      <c r="D81" s="17" t="s">
        <v>567</v>
      </c>
      <c r="E81" s="21" t="s">
        <v>116</v>
      </c>
      <c r="F81" s="23" t="s">
        <v>545</v>
      </c>
      <c r="G81" s="14" t="s">
        <v>36</v>
      </c>
      <c r="H81" s="38">
        <v>46292.0</v>
      </c>
      <c r="I81" s="17">
        <v>0.0</v>
      </c>
      <c r="J81" s="22" t="s">
        <v>38</v>
      </c>
      <c r="K81" s="101">
        <v>250000.0</v>
      </c>
      <c r="L81" s="28">
        <v>0.0</v>
      </c>
      <c r="M81" s="28">
        <v>0.0</v>
      </c>
      <c r="N81" s="28">
        <v>0.0</v>
      </c>
      <c r="O81" s="28">
        <v>0.0</v>
      </c>
      <c r="P81" s="33"/>
    </row>
    <row r="82" ht="11.25" customHeight="1">
      <c r="A82" s="12">
        <f t="shared" si="1"/>
        <v>80</v>
      </c>
      <c r="B82" s="15" t="s">
        <v>24</v>
      </c>
      <c r="C82" s="17" t="s">
        <v>46</v>
      </c>
      <c r="D82" s="17" t="s">
        <v>572</v>
      </c>
      <c r="E82" s="102" t="s">
        <v>84</v>
      </c>
      <c r="F82" s="102" t="s">
        <v>575</v>
      </c>
      <c r="G82" s="25" t="s">
        <v>36</v>
      </c>
      <c r="H82" s="26">
        <v>46292.0</v>
      </c>
      <c r="I82" s="17">
        <v>0.0</v>
      </c>
      <c r="J82" s="23" t="s">
        <v>57</v>
      </c>
      <c r="K82" s="28">
        <v>6000.0</v>
      </c>
      <c r="L82" s="28">
        <v>0.0</v>
      </c>
      <c r="M82" s="28">
        <v>0.0</v>
      </c>
      <c r="N82" s="28">
        <v>0.0</v>
      </c>
      <c r="O82" s="28">
        <v>0.0</v>
      </c>
      <c r="P82" s="33"/>
    </row>
    <row r="83" ht="11.25" customHeight="1">
      <c r="A83" s="12">
        <f t="shared" si="1"/>
        <v>81</v>
      </c>
      <c r="B83" s="15" t="s">
        <v>24</v>
      </c>
      <c r="C83" s="17" t="s">
        <v>46</v>
      </c>
      <c r="D83" s="17" t="s">
        <v>579</v>
      </c>
      <c r="E83" s="23" t="s">
        <v>356</v>
      </c>
      <c r="F83" s="23" t="s">
        <v>388</v>
      </c>
      <c r="G83" s="25" t="s">
        <v>36</v>
      </c>
      <c r="H83" s="26">
        <v>46293.0</v>
      </c>
      <c r="I83" s="17">
        <v>0.0</v>
      </c>
      <c r="J83" s="23" t="s">
        <v>57</v>
      </c>
      <c r="K83" s="28">
        <v>7500.0</v>
      </c>
      <c r="L83" s="28">
        <v>0.0</v>
      </c>
      <c r="M83" s="28">
        <v>0.0</v>
      </c>
      <c r="N83" s="28">
        <v>0.0</v>
      </c>
      <c r="O83" s="28">
        <v>0.0</v>
      </c>
      <c r="P83" s="33"/>
    </row>
    <row r="84" ht="11.25" customHeight="1">
      <c r="A84" s="12">
        <f t="shared" si="1"/>
        <v>82</v>
      </c>
      <c r="B84" s="15" t="s">
        <v>24</v>
      </c>
      <c r="C84" s="17" t="s">
        <v>46</v>
      </c>
      <c r="D84" s="17" t="s">
        <v>583</v>
      </c>
      <c r="E84" s="25" t="s">
        <v>142</v>
      </c>
      <c r="F84" s="25" t="s">
        <v>584</v>
      </c>
      <c r="G84" s="25" t="s">
        <v>36</v>
      </c>
      <c r="H84" s="26">
        <v>46293.0</v>
      </c>
      <c r="I84" s="15">
        <v>0.0</v>
      </c>
      <c r="J84" s="25" t="s">
        <v>57</v>
      </c>
      <c r="K84" s="28">
        <v>20000.0</v>
      </c>
      <c r="L84" s="28">
        <v>0.0</v>
      </c>
      <c r="M84" s="28">
        <v>0.0</v>
      </c>
      <c r="N84" s="28">
        <v>0.0</v>
      </c>
      <c r="O84" s="28">
        <v>0.0</v>
      </c>
      <c r="P84" s="33"/>
    </row>
    <row r="85" ht="11.25" customHeight="1">
      <c r="A85" s="12">
        <f t="shared" si="1"/>
        <v>83</v>
      </c>
      <c r="B85" s="15" t="s">
        <v>24</v>
      </c>
      <c r="C85" s="17" t="s">
        <v>29</v>
      </c>
      <c r="D85" s="17" t="s">
        <v>589</v>
      </c>
      <c r="E85" s="22" t="s">
        <v>84</v>
      </c>
      <c r="F85" s="22" t="s">
        <v>517</v>
      </c>
      <c r="G85" s="14" t="s">
        <v>36</v>
      </c>
      <c r="H85" s="38">
        <v>46293.0</v>
      </c>
      <c r="I85" s="18">
        <v>0.0</v>
      </c>
      <c r="J85" s="22" t="s">
        <v>38</v>
      </c>
      <c r="K85" s="29">
        <v>10000.0</v>
      </c>
      <c r="L85" s="28">
        <v>0.0</v>
      </c>
      <c r="M85" s="28">
        <v>0.0</v>
      </c>
      <c r="N85" s="28">
        <v>0.0</v>
      </c>
      <c r="O85" s="28">
        <v>0.0</v>
      </c>
      <c r="P85" s="33"/>
    </row>
    <row r="86" ht="11.25" customHeight="1">
      <c r="A86" s="12">
        <f t="shared" si="1"/>
        <v>84</v>
      </c>
      <c r="B86" s="15" t="s">
        <v>24</v>
      </c>
      <c r="C86" s="17" t="s">
        <v>29</v>
      </c>
      <c r="D86" s="17" t="s">
        <v>594</v>
      </c>
      <c r="E86" s="23" t="s">
        <v>33</v>
      </c>
      <c r="F86" s="23" t="s">
        <v>596</v>
      </c>
      <c r="G86" s="25" t="s">
        <v>36</v>
      </c>
      <c r="H86" s="26">
        <v>46293.0</v>
      </c>
      <c r="I86" s="17">
        <v>0.0</v>
      </c>
      <c r="J86" s="23" t="s">
        <v>38</v>
      </c>
      <c r="K86" s="28">
        <v>50000.0</v>
      </c>
      <c r="L86" s="28">
        <v>0.0</v>
      </c>
      <c r="M86" s="28">
        <v>0.0</v>
      </c>
      <c r="N86" s="28">
        <v>0.0</v>
      </c>
      <c r="O86" s="28">
        <v>0.0</v>
      </c>
      <c r="P86" s="33"/>
    </row>
    <row r="87" ht="11.25" customHeight="1">
      <c r="A87" s="12">
        <f t="shared" si="1"/>
        <v>85</v>
      </c>
      <c r="B87" s="15" t="s">
        <v>24</v>
      </c>
      <c r="C87" s="17" t="s">
        <v>46</v>
      </c>
      <c r="D87" s="49" t="s">
        <v>555</v>
      </c>
      <c r="E87" s="21" t="s">
        <v>184</v>
      </c>
      <c r="F87" s="21" t="s">
        <v>186</v>
      </c>
      <c r="G87" s="14" t="s">
        <v>34</v>
      </c>
      <c r="H87" s="52">
        <v>46293.0</v>
      </c>
      <c r="I87" s="49">
        <v>0.0</v>
      </c>
      <c r="J87" s="92" t="s">
        <v>57</v>
      </c>
      <c r="K87" s="53">
        <v>55000.0</v>
      </c>
      <c r="L87" s="53">
        <v>0.0</v>
      </c>
      <c r="M87" s="53">
        <v>0.0</v>
      </c>
      <c r="N87" s="44">
        <v>0.0</v>
      </c>
      <c r="O87" s="44">
        <v>0.0</v>
      </c>
      <c r="P87" s="54"/>
    </row>
    <row r="88" ht="11.25" customHeight="1">
      <c r="A88" s="12">
        <f t="shared" si="1"/>
        <v>86</v>
      </c>
      <c r="B88" s="15" t="s">
        <v>24</v>
      </c>
      <c r="C88" s="17" t="s">
        <v>58</v>
      </c>
      <c r="D88" s="17" t="s">
        <v>605</v>
      </c>
      <c r="E88" s="14" t="s">
        <v>44</v>
      </c>
      <c r="F88" s="23" t="s">
        <v>606</v>
      </c>
      <c r="G88" s="14" t="s">
        <v>37</v>
      </c>
      <c r="H88" s="26">
        <v>46294.0</v>
      </c>
      <c r="I88" s="17">
        <v>1.0</v>
      </c>
      <c r="J88" s="23" t="s">
        <v>38</v>
      </c>
      <c r="K88" s="28">
        <v>100000.0</v>
      </c>
      <c r="L88" s="28">
        <v>0.0</v>
      </c>
      <c r="M88" s="28">
        <v>0.0</v>
      </c>
      <c r="N88" s="28">
        <v>0.0</v>
      </c>
      <c r="O88" s="28">
        <v>0.0</v>
      </c>
      <c r="P88" s="33"/>
    </row>
    <row r="89" ht="11.25" customHeight="1">
      <c r="A89" s="12">
        <f t="shared" si="1"/>
        <v>87</v>
      </c>
      <c r="B89" s="15" t="s">
        <v>24</v>
      </c>
      <c r="C89" s="17" t="s">
        <v>87</v>
      </c>
      <c r="D89" s="17" t="s">
        <v>609</v>
      </c>
      <c r="E89" s="23" t="s">
        <v>223</v>
      </c>
      <c r="F89" s="23" t="s">
        <v>359</v>
      </c>
      <c r="G89" s="25" t="s">
        <v>36</v>
      </c>
      <c r="H89" s="95">
        <v>46294.0</v>
      </c>
      <c r="I89" s="17">
        <v>0.0</v>
      </c>
      <c r="J89" s="23" t="s">
        <v>38</v>
      </c>
      <c r="K89" s="28">
        <v>190000.0</v>
      </c>
      <c r="L89" s="28">
        <v>0.0</v>
      </c>
      <c r="M89" s="28">
        <v>0.0</v>
      </c>
      <c r="N89" s="28">
        <v>0.0</v>
      </c>
      <c r="O89" s="28">
        <v>0.0</v>
      </c>
      <c r="P89" s="33"/>
    </row>
    <row r="90" ht="11.25" customHeight="1">
      <c r="A90" s="12">
        <f t="shared" si="1"/>
        <v>88</v>
      </c>
      <c r="B90" s="15" t="s">
        <v>24</v>
      </c>
      <c r="C90" s="17" t="s">
        <v>87</v>
      </c>
      <c r="D90" s="17" t="s">
        <v>613</v>
      </c>
      <c r="E90" s="23" t="s">
        <v>614</v>
      </c>
      <c r="F90" s="23" t="s">
        <v>615</v>
      </c>
      <c r="G90" s="25" t="s">
        <v>36</v>
      </c>
      <c r="H90" s="95">
        <v>46294.0</v>
      </c>
      <c r="I90" s="17">
        <v>1.0</v>
      </c>
      <c r="J90" s="23" t="s">
        <v>38</v>
      </c>
      <c r="K90" s="28">
        <v>0.0</v>
      </c>
      <c r="L90" s="28">
        <v>50000.0</v>
      </c>
      <c r="M90" s="28">
        <v>0.0</v>
      </c>
      <c r="N90" s="28">
        <v>0.0</v>
      </c>
      <c r="O90" s="28">
        <v>0.0</v>
      </c>
      <c r="P90" s="33"/>
    </row>
    <row r="91" ht="11.25" customHeight="1">
      <c r="A91" s="12">
        <f t="shared" si="1"/>
        <v>89</v>
      </c>
      <c r="B91" s="15" t="s">
        <v>24</v>
      </c>
      <c r="C91" s="17" t="s">
        <v>46</v>
      </c>
      <c r="D91" s="49" t="s">
        <v>559</v>
      </c>
      <c r="E91" s="71" t="s">
        <v>116</v>
      </c>
      <c r="F91" s="71" t="s">
        <v>286</v>
      </c>
      <c r="G91" s="71" t="s">
        <v>34</v>
      </c>
      <c r="H91" s="52">
        <v>46295.0</v>
      </c>
      <c r="I91" s="49">
        <v>0.0</v>
      </c>
      <c r="J91" s="92" t="s">
        <v>57</v>
      </c>
      <c r="K91" s="53">
        <v>0.0</v>
      </c>
      <c r="L91" s="53">
        <v>50000.0</v>
      </c>
      <c r="M91" s="53">
        <v>0.0</v>
      </c>
      <c r="N91" s="44">
        <v>0.0</v>
      </c>
      <c r="O91" s="44">
        <v>0.0</v>
      </c>
      <c r="P91" s="54"/>
    </row>
    <row r="92" ht="11.25" customHeight="1">
      <c r="A92" s="12">
        <f t="shared" si="1"/>
        <v>90</v>
      </c>
      <c r="B92" s="15" t="s">
        <v>24</v>
      </c>
      <c r="C92" s="17" t="s">
        <v>46</v>
      </c>
      <c r="D92" s="49" t="s">
        <v>562</v>
      </c>
      <c r="E92" s="71" t="s">
        <v>116</v>
      </c>
      <c r="F92" s="71" t="s">
        <v>286</v>
      </c>
      <c r="G92" s="71" t="s">
        <v>34</v>
      </c>
      <c r="H92" s="52">
        <v>46295.0</v>
      </c>
      <c r="I92" s="49">
        <v>0.0</v>
      </c>
      <c r="J92" s="92" t="s">
        <v>57</v>
      </c>
      <c r="K92" s="53">
        <v>0.0</v>
      </c>
      <c r="L92" s="53">
        <v>200000.0</v>
      </c>
      <c r="M92" s="53">
        <v>0.0</v>
      </c>
      <c r="N92" s="44">
        <v>0.0</v>
      </c>
      <c r="O92" s="44">
        <v>0.0</v>
      </c>
      <c r="P92" s="54"/>
    </row>
    <row r="93" ht="11.25" customHeight="1">
      <c r="A93" s="12">
        <f t="shared" si="1"/>
        <v>91</v>
      </c>
      <c r="B93" s="15" t="s">
        <v>24</v>
      </c>
      <c r="C93" s="17" t="s">
        <v>46</v>
      </c>
      <c r="D93" s="17" t="s">
        <v>625</v>
      </c>
      <c r="E93" s="152" t="s">
        <v>51</v>
      </c>
      <c r="F93" s="65" t="s">
        <v>428</v>
      </c>
      <c r="G93" s="25" t="s">
        <v>36</v>
      </c>
      <c r="H93" s="26">
        <v>46295.0</v>
      </c>
      <c r="I93" s="17">
        <v>0.0</v>
      </c>
      <c r="J93" s="23" t="s">
        <v>57</v>
      </c>
      <c r="K93" s="28">
        <v>7000.0</v>
      </c>
      <c r="L93" s="28">
        <v>0.0</v>
      </c>
      <c r="M93" s="28">
        <v>0.0</v>
      </c>
      <c r="N93" s="28">
        <v>0.0</v>
      </c>
      <c r="O93" s="28">
        <v>0.0</v>
      </c>
      <c r="P93" s="33"/>
    </row>
    <row r="94" ht="11.25" customHeight="1">
      <c r="A94" s="12">
        <f t="shared" si="1"/>
        <v>92</v>
      </c>
      <c r="B94" s="15" t="s">
        <v>24</v>
      </c>
      <c r="C94" s="17" t="s">
        <v>29</v>
      </c>
      <c r="D94" s="17" t="s">
        <v>633</v>
      </c>
      <c r="E94" s="23" t="s">
        <v>33</v>
      </c>
      <c r="F94" s="23" t="s">
        <v>35</v>
      </c>
      <c r="G94" s="25" t="s">
        <v>37</v>
      </c>
      <c r="H94" s="26">
        <v>46295.0</v>
      </c>
      <c r="I94" s="17">
        <v>0.0</v>
      </c>
      <c r="J94" s="23" t="s">
        <v>38</v>
      </c>
      <c r="K94" s="28">
        <v>50000.0</v>
      </c>
      <c r="L94" s="28">
        <v>0.0</v>
      </c>
      <c r="M94" s="28">
        <v>0.0</v>
      </c>
      <c r="N94" s="28">
        <v>0.0</v>
      </c>
      <c r="O94" s="28">
        <v>0.0</v>
      </c>
      <c r="P94" s="33"/>
    </row>
    <row r="95" ht="11.25" customHeight="1">
      <c r="A95" s="12">
        <f t="shared" si="1"/>
        <v>93</v>
      </c>
      <c r="B95" s="15" t="s">
        <v>24</v>
      </c>
      <c r="C95" s="17" t="s">
        <v>87</v>
      </c>
      <c r="D95" s="17" t="s">
        <v>636</v>
      </c>
      <c r="E95" s="36" t="s">
        <v>279</v>
      </c>
      <c r="F95" s="23" t="s">
        <v>639</v>
      </c>
      <c r="G95" s="25" t="s">
        <v>36</v>
      </c>
      <c r="H95" s="26">
        <v>46295.0</v>
      </c>
      <c r="I95" s="17">
        <v>1.0</v>
      </c>
      <c r="J95" s="23" t="s">
        <v>38</v>
      </c>
      <c r="K95" s="28">
        <v>20000.0</v>
      </c>
      <c r="L95" s="28">
        <v>0.0</v>
      </c>
      <c r="M95" s="28">
        <v>0.0</v>
      </c>
      <c r="N95" s="28">
        <v>0.0</v>
      </c>
      <c r="O95" s="28">
        <v>0.0</v>
      </c>
      <c r="P95" s="33"/>
    </row>
    <row r="96" ht="11.25" customHeight="1">
      <c r="A96" s="12">
        <f t="shared" si="1"/>
        <v>94</v>
      </c>
      <c r="B96" s="15" t="s">
        <v>24</v>
      </c>
      <c r="C96" s="17" t="s">
        <v>87</v>
      </c>
      <c r="D96" s="17" t="s">
        <v>642</v>
      </c>
      <c r="E96" s="153" t="s">
        <v>272</v>
      </c>
      <c r="F96" s="23" t="s">
        <v>643</v>
      </c>
      <c r="G96" s="23" t="s">
        <v>212</v>
      </c>
      <c r="H96" s="26">
        <v>46295.0</v>
      </c>
      <c r="I96" s="17">
        <v>1.0</v>
      </c>
      <c r="J96" s="23" t="s">
        <v>38</v>
      </c>
      <c r="K96" s="28">
        <v>0.0</v>
      </c>
      <c r="L96" s="28">
        <v>50000.0</v>
      </c>
      <c r="M96" s="28">
        <v>0.0</v>
      </c>
      <c r="N96" s="28">
        <v>0.0</v>
      </c>
      <c r="O96" s="28">
        <v>0.0</v>
      </c>
      <c r="P96" s="24"/>
    </row>
    <row r="97" ht="11.25" customHeight="1">
      <c r="A97" s="12">
        <f t="shared" si="1"/>
        <v>95</v>
      </c>
      <c r="B97" s="15" t="s">
        <v>24</v>
      </c>
      <c r="C97" s="17" t="s">
        <v>58</v>
      </c>
      <c r="D97" s="49" t="s">
        <v>571</v>
      </c>
      <c r="E97" s="36" t="s">
        <v>92</v>
      </c>
      <c r="F97" s="51" t="s">
        <v>650</v>
      </c>
      <c r="G97" s="14" t="s">
        <v>34</v>
      </c>
      <c r="H97" s="52">
        <v>46295.0</v>
      </c>
      <c r="I97" s="49">
        <v>3.0</v>
      </c>
      <c r="J97" s="27" t="s">
        <v>38</v>
      </c>
      <c r="K97" s="53">
        <v>20000.0</v>
      </c>
      <c r="L97" s="53">
        <v>0.0</v>
      </c>
      <c r="M97" s="53">
        <v>0.0</v>
      </c>
      <c r="N97" s="44">
        <v>0.0</v>
      </c>
      <c r="O97" s="44">
        <v>0.0</v>
      </c>
      <c r="P97" s="54"/>
    </row>
    <row r="98" ht="11.25" customHeight="1">
      <c r="A98" s="12">
        <f t="shared" si="1"/>
        <v>96</v>
      </c>
      <c r="B98" s="15" t="s">
        <v>24</v>
      </c>
      <c r="C98" s="17" t="s">
        <v>58</v>
      </c>
      <c r="D98" s="49" t="s">
        <v>536</v>
      </c>
      <c r="E98" s="51" t="s">
        <v>66</v>
      </c>
      <c r="F98" s="51" t="s">
        <v>196</v>
      </c>
      <c r="G98" s="14" t="s">
        <v>34</v>
      </c>
      <c r="H98" s="52">
        <v>46295.0</v>
      </c>
      <c r="I98" s="49">
        <v>0.0</v>
      </c>
      <c r="J98" s="14" t="s">
        <v>38</v>
      </c>
      <c r="K98" s="44">
        <v>100000.0</v>
      </c>
      <c r="L98" s="53">
        <v>0.0</v>
      </c>
      <c r="M98" s="53">
        <v>0.0</v>
      </c>
      <c r="N98" s="44">
        <v>0.0</v>
      </c>
      <c r="O98" s="44">
        <v>0.0</v>
      </c>
      <c r="P98" s="24">
        <v>46282.0</v>
      </c>
    </row>
    <row r="99" ht="11.25" customHeight="1">
      <c r="A99" s="12">
        <f t="shared" si="1"/>
        <v>97</v>
      </c>
      <c r="B99" s="15" t="s">
        <v>24</v>
      </c>
      <c r="C99" s="17" t="s">
        <v>87</v>
      </c>
      <c r="D99" s="17" t="s">
        <v>658</v>
      </c>
      <c r="E99" s="23" t="s">
        <v>91</v>
      </c>
      <c r="F99" s="23" t="s">
        <v>659</v>
      </c>
      <c r="G99" s="25" t="s">
        <v>36</v>
      </c>
      <c r="H99" s="26">
        <v>46295.0</v>
      </c>
      <c r="I99" s="17">
        <v>0.0</v>
      </c>
      <c r="J99" s="23" t="s">
        <v>38</v>
      </c>
      <c r="K99" s="28">
        <v>12000.0</v>
      </c>
      <c r="L99" s="28">
        <v>0.0</v>
      </c>
      <c r="M99" s="28">
        <v>0.0</v>
      </c>
      <c r="N99" s="28">
        <v>0.0</v>
      </c>
      <c r="O99" s="28">
        <v>0.0</v>
      </c>
      <c r="P99" s="112"/>
    </row>
    <row r="100" ht="11.25" customHeight="1">
      <c r="A100" s="12"/>
      <c r="B100" s="12"/>
      <c r="C100" s="12"/>
      <c r="D100" s="12"/>
      <c r="E100" s="106"/>
      <c r="F100" s="106"/>
      <c r="G100" s="106"/>
      <c r="H100" s="107"/>
      <c r="I100" s="108"/>
      <c r="J100" s="108"/>
      <c r="K100" s="109"/>
      <c r="L100" s="109"/>
      <c r="M100" s="109"/>
      <c r="N100" s="109"/>
      <c r="O100" s="110"/>
      <c r="P100" s="112"/>
    </row>
    <row r="101" ht="11.25" customHeight="1">
      <c r="A101" s="12" t="str">
        <f t="shared" ref="A101:A103" si="2">IF(D101="","",SUBTOTAL(3,$D$3:D101))</f>
        <v/>
      </c>
      <c r="B101" s="12"/>
      <c r="C101" s="12"/>
      <c r="D101" s="12"/>
      <c r="E101" s="106"/>
      <c r="F101" s="106"/>
      <c r="G101" s="106"/>
      <c r="H101" s="118"/>
      <c r="I101" s="119" t="s">
        <v>21</v>
      </c>
      <c r="J101" s="120"/>
      <c r="K101" s="121"/>
      <c r="L101" s="121"/>
      <c r="M101" s="121"/>
      <c r="N101" s="121"/>
      <c r="O101" s="122"/>
      <c r="P101" s="123"/>
    </row>
    <row r="102" ht="11.25" customHeight="1">
      <c r="A102" s="12" t="str">
        <f t="shared" si="2"/>
        <v/>
      </c>
      <c r="B102" s="12"/>
      <c r="C102" s="12"/>
      <c r="D102" s="12"/>
      <c r="E102" s="106"/>
      <c r="F102" s="106"/>
      <c r="G102" s="106"/>
      <c r="H102" s="118"/>
      <c r="I102" s="124" t="s">
        <v>462</v>
      </c>
      <c r="J102" s="120"/>
      <c r="K102" s="125" t="s">
        <v>13</v>
      </c>
      <c r="L102" s="125" t="s">
        <v>14</v>
      </c>
      <c r="M102" s="125" t="s">
        <v>15</v>
      </c>
      <c r="N102" s="2" t="s">
        <v>465</v>
      </c>
      <c r="O102" s="119" t="s">
        <v>18</v>
      </c>
      <c r="P102" s="120"/>
    </row>
    <row r="103" ht="11.25" customHeight="1">
      <c r="A103" s="12" t="str">
        <f t="shared" si="2"/>
        <v/>
      </c>
      <c r="B103" s="126"/>
      <c r="C103" s="127"/>
      <c r="D103" s="128"/>
      <c r="E103" s="127"/>
      <c r="F103" s="127"/>
      <c r="G103" s="127"/>
      <c r="H103" s="129"/>
      <c r="I103" s="130">
        <f>SUM(I3:I102)</f>
        <v>40</v>
      </c>
      <c r="J103" s="120"/>
      <c r="K103" s="131">
        <f t="shared" ref="K103:O103" si="3">SUM(K3:K102)</f>
        <v>6617400</v>
      </c>
      <c r="L103" s="131">
        <f t="shared" si="3"/>
        <v>1623800</v>
      </c>
      <c r="M103" s="131">
        <f t="shared" si="3"/>
        <v>44000</v>
      </c>
      <c r="N103" s="131">
        <f t="shared" si="3"/>
        <v>1050000</v>
      </c>
      <c r="O103" s="131">
        <f t="shared" si="3"/>
        <v>0</v>
      </c>
      <c r="P103" s="133" t="s">
        <v>481</v>
      </c>
    </row>
    <row r="104" ht="11.25" customHeight="1">
      <c r="A104" s="134"/>
      <c r="B104" s="135"/>
      <c r="C104" s="135"/>
      <c r="D104" s="134"/>
      <c r="E104" s="135"/>
      <c r="F104" s="135"/>
      <c r="G104" s="135"/>
      <c r="H104" s="136"/>
      <c r="I104" s="137"/>
      <c r="J104" s="138"/>
      <c r="K104" s="139" t="s">
        <v>491</v>
      </c>
      <c r="L104" s="120"/>
      <c r="M104" s="140">
        <f>SUM(K103:M103)</f>
        <v>8285200</v>
      </c>
      <c r="N104" s="141"/>
      <c r="O104" s="141"/>
      <c r="P104" s="142"/>
    </row>
    <row r="105" ht="11.25" customHeight="1">
      <c r="A105" s="134"/>
      <c r="B105" s="135"/>
      <c r="C105" s="135"/>
      <c r="D105" s="134"/>
      <c r="E105" s="135"/>
      <c r="F105" s="135"/>
      <c r="G105" s="135"/>
      <c r="H105" s="136"/>
      <c r="I105" s="143"/>
      <c r="J105" s="144"/>
      <c r="K105" s="145" t="s">
        <v>506</v>
      </c>
      <c r="L105" s="120"/>
      <c r="M105" s="146">
        <f>SUM(M104-K6-K7-K8-K9-K10-K11-M12-K13-K14-L19-K20-K21-K24-K28-K29-L32-K33-L34-K35-K36-K37-K38-K40-K41-K43-K44-K45-K46-K47-K48-K50-L51-K53-K55-L59-K60-K61-K62-K63-K64-K65-K69-K71-L72-L79-K82-K83-K84-K87-L91-L92-K93)</f>
        <v>6992000</v>
      </c>
      <c r="N105" s="147"/>
      <c r="O105" s="147"/>
      <c r="P105" s="148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  <row r="1018" ht="15.75" customHeight="1">
      <c r="A1018" s="149"/>
      <c r="D1018" s="149"/>
      <c r="H1018" s="150"/>
      <c r="P1018" s="150"/>
    </row>
    <row r="1019" ht="15.75" customHeight="1">
      <c r="A1019" s="149"/>
      <c r="D1019" s="149"/>
      <c r="H1019" s="150"/>
      <c r="P1019" s="150"/>
    </row>
    <row r="1020" ht="15.75" customHeight="1">
      <c r="A1020" s="149"/>
      <c r="D1020" s="149"/>
      <c r="H1020" s="150"/>
      <c r="P1020" s="150"/>
    </row>
    <row r="1021" ht="15.75" customHeight="1">
      <c r="A1021" s="149"/>
      <c r="D1021" s="149"/>
      <c r="H1021" s="150"/>
      <c r="P1021" s="150"/>
    </row>
    <row r="1022" ht="15.75" customHeight="1">
      <c r="A1022" s="149"/>
      <c r="D1022" s="149"/>
      <c r="H1022" s="150"/>
      <c r="P1022" s="150"/>
    </row>
    <row r="1023" ht="15.75" customHeight="1">
      <c r="A1023" s="149"/>
      <c r="D1023" s="149"/>
      <c r="H1023" s="150"/>
      <c r="P1023" s="150"/>
    </row>
    <row r="1024" ht="15.75" customHeight="1">
      <c r="A1024" s="149"/>
      <c r="D1024" s="149"/>
      <c r="H1024" s="150"/>
      <c r="P1024" s="150"/>
    </row>
    <row r="1025" ht="15.75" customHeight="1">
      <c r="A1025" s="149"/>
      <c r="D1025" s="149"/>
      <c r="H1025" s="150"/>
      <c r="P1025" s="150"/>
    </row>
    <row r="1026" ht="15.75" customHeight="1">
      <c r="A1026" s="149"/>
      <c r="D1026" s="149"/>
      <c r="H1026" s="150"/>
      <c r="P1026" s="150"/>
    </row>
    <row r="1027" ht="15.75" customHeight="1">
      <c r="A1027" s="149"/>
      <c r="D1027" s="149"/>
      <c r="H1027" s="150"/>
      <c r="P1027" s="150"/>
    </row>
    <row r="1028" ht="15.75" customHeight="1">
      <c r="A1028" s="149"/>
      <c r="D1028" s="149"/>
      <c r="H1028" s="150"/>
      <c r="P1028" s="150"/>
    </row>
    <row r="1029" ht="15.75" customHeight="1">
      <c r="A1029" s="149"/>
      <c r="D1029" s="149"/>
      <c r="H1029" s="150"/>
      <c r="P1029" s="150"/>
    </row>
    <row r="1030" ht="15.75" customHeight="1">
      <c r="A1030" s="149"/>
      <c r="D1030" s="149"/>
      <c r="H1030" s="150"/>
      <c r="P1030" s="150"/>
    </row>
    <row r="1031" ht="15.75" customHeight="1">
      <c r="A1031" s="149"/>
      <c r="D1031" s="149"/>
      <c r="H1031" s="150"/>
      <c r="P1031" s="150"/>
    </row>
    <row r="1032" ht="15.75" customHeight="1">
      <c r="A1032" s="149"/>
      <c r="D1032" s="149"/>
      <c r="H1032" s="150"/>
      <c r="P1032" s="150"/>
    </row>
  </sheetData>
  <autoFilter ref="$A$2:$P$105"/>
  <mergeCells count="7">
    <mergeCell ref="A1:P1"/>
    <mergeCell ref="I101:J101"/>
    <mergeCell ref="I102:J102"/>
    <mergeCell ref="O102:P102"/>
    <mergeCell ref="I103:J103"/>
    <mergeCell ref="K104:L104"/>
    <mergeCell ref="K105:L105"/>
  </mergeCells>
  <dataValidations>
    <dataValidation type="list" allowBlank="1" showDropDown="1" showErrorMessage="1" sqref="C66:C68 C70 C72:C75 C78 C80 C84:C86 C88:C90 C93:C96 C99">
      <formula1>"Un Used,Batch-1,Batch-2,Batch-3,Branch,Batch Ind."</formula1>
    </dataValidation>
    <dataValidation type="list" allowBlank="1" showDropDown="1" showErrorMessage="1" sqref="C3:C65 C69 C71 C76:C77 C79 C81:C83 C87 C91:C92 C97:C98">
      <formula1>"Un Used,Batch-1,Batch-2,Batch-3,Branch"</formula1>
    </dataValidation>
  </dataValidation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10.14"/>
    <col customWidth="1" min="3" max="3" width="7.57"/>
    <col customWidth="1" min="4" max="4" width="6.57"/>
    <col customWidth="1" min="5" max="5" width="14.29"/>
    <col customWidth="1" min="6" max="6" width="17.0"/>
    <col customWidth="1" min="7" max="7" width="9.14"/>
    <col customWidth="1" min="8" max="8" width="9.57"/>
    <col customWidth="1" min="9" max="9" width="5.57"/>
    <col customWidth="1" min="10" max="10" width="9.0"/>
    <col customWidth="1" min="11" max="11" width="9.57"/>
    <col customWidth="1" min="12" max="12" width="10.57"/>
    <col customWidth="1" min="13" max="13" width="9.0"/>
    <col customWidth="1" min="14" max="14" width="8.0"/>
    <col customWidth="1" min="15" max="15" width="6.86"/>
    <col customWidth="1" min="16" max="16" width="10.14"/>
    <col customWidth="1" min="17" max="26" width="8.71"/>
  </cols>
  <sheetData>
    <row r="1" ht="19.5" customHeight="1">
      <c r="A1" s="3" t="s">
        <v>916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7" t="s">
        <v>4</v>
      </c>
      <c r="D2" s="2" t="s">
        <v>5</v>
      </c>
      <c r="E2" s="2" t="s">
        <v>6</v>
      </c>
      <c r="F2" s="2" t="s">
        <v>17</v>
      </c>
      <c r="G2" s="2" t="s">
        <v>8</v>
      </c>
      <c r="H2" s="2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84" si="1">IF(D3="","",SUBTOTAL(3,$D$3:D3))</f>
        <v>1</v>
      </c>
      <c r="B3" s="15" t="s">
        <v>24</v>
      </c>
      <c r="C3" s="17" t="s">
        <v>58</v>
      </c>
      <c r="D3" s="35" t="s">
        <v>931</v>
      </c>
      <c r="E3" s="51" t="s">
        <v>116</v>
      </c>
      <c r="F3" s="51" t="s">
        <v>434</v>
      </c>
      <c r="G3" s="25" t="s">
        <v>36</v>
      </c>
      <c r="H3" s="95">
        <v>46235.0</v>
      </c>
      <c r="I3" s="17">
        <v>1.0</v>
      </c>
      <c r="J3" s="23" t="s">
        <v>38</v>
      </c>
      <c r="K3" s="28">
        <v>20000.0</v>
      </c>
      <c r="L3" s="28">
        <v>0.0</v>
      </c>
      <c r="M3" s="28">
        <v>0.0</v>
      </c>
      <c r="N3" s="28">
        <v>0.0</v>
      </c>
      <c r="O3" s="28">
        <v>0.0</v>
      </c>
      <c r="P3" s="42"/>
    </row>
    <row r="4" ht="11.25" customHeight="1">
      <c r="A4" s="12">
        <f t="shared" si="1"/>
        <v>2</v>
      </c>
      <c r="B4" s="15" t="s">
        <v>24</v>
      </c>
      <c r="C4" s="17" t="s">
        <v>87</v>
      </c>
      <c r="D4" s="17" t="s">
        <v>940</v>
      </c>
      <c r="E4" s="23" t="s">
        <v>223</v>
      </c>
      <c r="F4" s="23" t="s">
        <v>224</v>
      </c>
      <c r="G4" s="25" t="s">
        <v>36</v>
      </c>
      <c r="H4" s="95">
        <v>46236.0</v>
      </c>
      <c r="I4" s="17">
        <v>1.0</v>
      </c>
      <c r="J4" s="23" t="s">
        <v>38</v>
      </c>
      <c r="K4" s="28">
        <v>10000.0</v>
      </c>
      <c r="L4" s="28">
        <v>0.0</v>
      </c>
      <c r="M4" s="28">
        <v>0.0</v>
      </c>
      <c r="N4" s="28">
        <v>0.0</v>
      </c>
      <c r="O4" s="28">
        <v>0.0</v>
      </c>
      <c r="P4" s="42"/>
    </row>
    <row r="5" ht="11.25" customHeight="1">
      <c r="A5" s="12">
        <f t="shared" si="1"/>
        <v>3</v>
      </c>
      <c r="B5" s="15" t="s">
        <v>24</v>
      </c>
      <c r="C5" s="17" t="s">
        <v>182</v>
      </c>
      <c r="D5" s="17" t="s">
        <v>942</v>
      </c>
      <c r="E5" s="21" t="s">
        <v>84</v>
      </c>
      <c r="F5" s="36" t="s">
        <v>86</v>
      </c>
      <c r="G5" s="14" t="s">
        <v>36</v>
      </c>
      <c r="H5" s="95">
        <v>46236.0</v>
      </c>
      <c r="I5" s="17">
        <v>0.0</v>
      </c>
      <c r="J5" s="23" t="s">
        <v>38</v>
      </c>
      <c r="K5" s="28">
        <v>0.0</v>
      </c>
      <c r="L5" s="28">
        <v>5000.0</v>
      </c>
      <c r="M5" s="28">
        <v>0.0</v>
      </c>
      <c r="N5" s="28">
        <v>0.0</v>
      </c>
      <c r="O5" s="28">
        <v>0.0</v>
      </c>
      <c r="P5" s="42"/>
    </row>
    <row r="6" ht="11.25" customHeight="1">
      <c r="A6" s="12">
        <f t="shared" si="1"/>
        <v>4</v>
      </c>
      <c r="B6" s="15" t="s">
        <v>24</v>
      </c>
      <c r="C6" s="17" t="s">
        <v>58</v>
      </c>
      <c r="D6" s="49" t="s">
        <v>424</v>
      </c>
      <c r="E6" s="14" t="s">
        <v>44</v>
      </c>
      <c r="F6" s="61" t="s">
        <v>163</v>
      </c>
      <c r="G6" s="14" t="s">
        <v>34</v>
      </c>
      <c r="H6" s="52">
        <v>46236.0</v>
      </c>
      <c r="I6" s="49">
        <v>3.0</v>
      </c>
      <c r="J6" s="14" t="s">
        <v>38</v>
      </c>
      <c r="K6" s="196">
        <v>0.0</v>
      </c>
      <c r="L6" s="196">
        <v>0.0</v>
      </c>
      <c r="M6" s="197">
        <v>1000000.0</v>
      </c>
      <c r="N6" s="197">
        <v>0.0</v>
      </c>
      <c r="O6" s="197">
        <v>0.0</v>
      </c>
      <c r="P6" s="24">
        <v>46235.0</v>
      </c>
    </row>
    <row r="7" ht="11.25" customHeight="1">
      <c r="A7" s="12">
        <f t="shared" si="1"/>
        <v>5</v>
      </c>
      <c r="B7" s="15" t="s">
        <v>24</v>
      </c>
      <c r="C7" s="17" t="s">
        <v>46</v>
      </c>
      <c r="D7" s="49" t="s">
        <v>426</v>
      </c>
      <c r="E7" s="21" t="s">
        <v>184</v>
      </c>
      <c r="F7" s="21" t="s">
        <v>186</v>
      </c>
      <c r="G7" s="14" t="s">
        <v>34</v>
      </c>
      <c r="H7" s="52">
        <v>46236.0</v>
      </c>
      <c r="I7" s="49">
        <v>0.0</v>
      </c>
      <c r="J7" s="22" t="s">
        <v>57</v>
      </c>
      <c r="K7" s="196">
        <v>55000.0</v>
      </c>
      <c r="L7" s="196">
        <v>0.0</v>
      </c>
      <c r="M7" s="196">
        <v>0.0</v>
      </c>
      <c r="N7" s="197">
        <v>0.0</v>
      </c>
      <c r="O7" s="197">
        <v>0.0</v>
      </c>
      <c r="P7" s="55"/>
    </row>
    <row r="8" ht="11.25" customHeight="1">
      <c r="A8" s="12">
        <f t="shared" si="1"/>
        <v>6</v>
      </c>
      <c r="B8" s="15" t="s">
        <v>24</v>
      </c>
      <c r="C8" s="17" t="s">
        <v>87</v>
      </c>
      <c r="D8" s="17" t="s">
        <v>953</v>
      </c>
      <c r="E8" s="23" t="s">
        <v>279</v>
      </c>
      <c r="F8" s="23" t="s">
        <v>280</v>
      </c>
      <c r="G8" s="25" t="s">
        <v>37</v>
      </c>
      <c r="H8" s="95">
        <v>46237.0</v>
      </c>
      <c r="I8" s="17">
        <v>0.0</v>
      </c>
      <c r="J8" s="23" t="s">
        <v>38</v>
      </c>
      <c r="K8" s="28">
        <v>0.0</v>
      </c>
      <c r="L8" s="28">
        <v>100000.0</v>
      </c>
      <c r="M8" s="28">
        <v>0.0</v>
      </c>
      <c r="N8" s="28">
        <v>0.0</v>
      </c>
      <c r="O8" s="28">
        <v>0.0</v>
      </c>
      <c r="P8" s="42"/>
    </row>
    <row r="9" ht="11.25" customHeight="1">
      <c r="A9" s="12">
        <f t="shared" si="1"/>
        <v>7</v>
      </c>
      <c r="B9" s="15" t="s">
        <v>24</v>
      </c>
      <c r="C9" s="17" t="s">
        <v>87</v>
      </c>
      <c r="D9" s="17" t="s">
        <v>955</v>
      </c>
      <c r="E9" s="23" t="s">
        <v>223</v>
      </c>
      <c r="F9" s="23" t="s">
        <v>224</v>
      </c>
      <c r="G9" s="25" t="s">
        <v>36</v>
      </c>
      <c r="H9" s="95">
        <v>46237.0</v>
      </c>
      <c r="I9" s="17">
        <v>0.0</v>
      </c>
      <c r="J9" s="23" t="s">
        <v>38</v>
      </c>
      <c r="K9" s="28">
        <v>0.0</v>
      </c>
      <c r="L9" s="28">
        <v>76000.0</v>
      </c>
      <c r="M9" s="28">
        <v>0.0</v>
      </c>
      <c r="N9" s="28">
        <v>0.0</v>
      </c>
      <c r="O9" s="28">
        <v>0.0</v>
      </c>
      <c r="P9" s="42"/>
    </row>
    <row r="10" ht="11.25" customHeight="1">
      <c r="A10" s="12">
        <f t="shared" si="1"/>
        <v>8</v>
      </c>
      <c r="B10" s="15" t="s">
        <v>24</v>
      </c>
      <c r="C10" s="17" t="s">
        <v>87</v>
      </c>
      <c r="D10" s="17" t="s">
        <v>957</v>
      </c>
      <c r="E10" s="23" t="s">
        <v>223</v>
      </c>
      <c r="F10" s="23" t="s">
        <v>224</v>
      </c>
      <c r="G10" s="25" t="s">
        <v>36</v>
      </c>
      <c r="H10" s="95">
        <v>46237.0</v>
      </c>
      <c r="I10" s="17">
        <v>0.0</v>
      </c>
      <c r="J10" s="23" t="s">
        <v>38</v>
      </c>
      <c r="K10" s="28">
        <v>0.0</v>
      </c>
      <c r="L10" s="28">
        <v>14000.0</v>
      </c>
      <c r="M10" s="28">
        <v>0.0</v>
      </c>
      <c r="N10" s="28">
        <v>0.0</v>
      </c>
      <c r="O10" s="28">
        <v>0.0</v>
      </c>
      <c r="P10" s="42"/>
    </row>
    <row r="11" ht="11.25" customHeight="1">
      <c r="A11" s="12">
        <f t="shared" si="1"/>
        <v>9</v>
      </c>
      <c r="B11" s="15" t="s">
        <v>24</v>
      </c>
      <c r="C11" s="17" t="s">
        <v>182</v>
      </c>
      <c r="D11" s="17" t="s">
        <v>959</v>
      </c>
      <c r="E11" s="198" t="s">
        <v>84</v>
      </c>
      <c r="F11" s="198" t="s">
        <v>531</v>
      </c>
      <c r="G11" s="25" t="s">
        <v>36</v>
      </c>
      <c r="H11" s="95">
        <v>46237.0</v>
      </c>
      <c r="I11" s="17">
        <v>0.0</v>
      </c>
      <c r="J11" s="23" t="s">
        <v>38</v>
      </c>
      <c r="K11" s="28">
        <v>4000.0</v>
      </c>
      <c r="L11" s="28">
        <v>0.0</v>
      </c>
      <c r="M11" s="28">
        <v>0.0</v>
      </c>
      <c r="N11" s="28">
        <v>0.0</v>
      </c>
      <c r="O11" s="28">
        <v>0.0</v>
      </c>
      <c r="P11" s="42"/>
    </row>
    <row r="12" ht="11.25" customHeight="1">
      <c r="A12" s="12">
        <f t="shared" si="1"/>
        <v>10</v>
      </c>
      <c r="B12" s="15" t="s">
        <v>24</v>
      </c>
      <c r="C12" s="17" t="s">
        <v>46</v>
      </c>
      <c r="D12" s="17" t="s">
        <v>964</v>
      </c>
      <c r="E12" s="23" t="s">
        <v>33</v>
      </c>
      <c r="F12" s="23" t="s">
        <v>965</v>
      </c>
      <c r="G12" s="25" t="s">
        <v>37</v>
      </c>
      <c r="H12" s="95">
        <v>46238.0</v>
      </c>
      <c r="I12" s="17">
        <v>0.0</v>
      </c>
      <c r="J12" s="23" t="s">
        <v>57</v>
      </c>
      <c r="K12" s="28">
        <v>50000.0</v>
      </c>
      <c r="L12" s="28">
        <v>0.0</v>
      </c>
      <c r="M12" s="28">
        <v>0.0</v>
      </c>
      <c r="N12" s="28">
        <v>0.0</v>
      </c>
      <c r="O12" s="28">
        <v>0.0</v>
      </c>
      <c r="P12" s="42"/>
    </row>
    <row r="13" ht="11.25" customHeight="1">
      <c r="A13" s="12">
        <f t="shared" si="1"/>
        <v>11</v>
      </c>
      <c r="B13" s="15" t="s">
        <v>24</v>
      </c>
      <c r="C13" s="17" t="s">
        <v>46</v>
      </c>
      <c r="D13" s="17" t="s">
        <v>968</v>
      </c>
      <c r="E13" s="21" t="s">
        <v>71</v>
      </c>
      <c r="F13" s="36" t="s">
        <v>915</v>
      </c>
      <c r="G13" s="25" t="s">
        <v>37</v>
      </c>
      <c r="H13" s="95">
        <v>46240.0</v>
      </c>
      <c r="I13" s="17">
        <v>0.0</v>
      </c>
      <c r="J13" s="23" t="s">
        <v>57</v>
      </c>
      <c r="K13" s="28">
        <v>10000.0</v>
      </c>
      <c r="L13" s="28">
        <v>0.0</v>
      </c>
      <c r="M13" s="28">
        <v>0.0</v>
      </c>
      <c r="N13" s="28">
        <v>0.0</v>
      </c>
      <c r="O13" s="28">
        <v>0.0</v>
      </c>
      <c r="P13" s="42"/>
    </row>
    <row r="14" ht="11.25" customHeight="1">
      <c r="A14" s="12">
        <f t="shared" si="1"/>
        <v>12</v>
      </c>
      <c r="B14" s="15" t="s">
        <v>24</v>
      </c>
      <c r="C14" s="17" t="s">
        <v>58</v>
      </c>
      <c r="D14" s="17" t="s">
        <v>970</v>
      </c>
      <c r="E14" s="94" t="s">
        <v>92</v>
      </c>
      <c r="F14" s="23" t="s">
        <v>700</v>
      </c>
      <c r="G14" s="25" t="s">
        <v>36</v>
      </c>
      <c r="H14" s="95">
        <v>46240.0</v>
      </c>
      <c r="I14" s="17">
        <v>0.0</v>
      </c>
      <c r="J14" s="23" t="s">
        <v>38</v>
      </c>
      <c r="K14" s="28">
        <v>10000.0</v>
      </c>
      <c r="L14" s="28">
        <v>0.0</v>
      </c>
      <c r="M14" s="28">
        <v>0.0</v>
      </c>
      <c r="N14" s="28">
        <v>0.0</v>
      </c>
      <c r="O14" s="28">
        <v>0.0</v>
      </c>
      <c r="P14" s="42"/>
    </row>
    <row r="15" ht="11.25" customHeight="1">
      <c r="A15" s="12">
        <f t="shared" si="1"/>
        <v>13</v>
      </c>
      <c r="B15" s="15" t="s">
        <v>24</v>
      </c>
      <c r="C15" s="17" t="s">
        <v>87</v>
      </c>
      <c r="D15" s="17" t="s">
        <v>973</v>
      </c>
      <c r="E15" s="23" t="s">
        <v>91</v>
      </c>
      <c r="F15" s="23" t="s">
        <v>975</v>
      </c>
      <c r="G15" s="25" t="s">
        <v>37</v>
      </c>
      <c r="H15" s="95">
        <v>46240.0</v>
      </c>
      <c r="I15" s="17">
        <v>1.0</v>
      </c>
      <c r="J15" s="23" t="s">
        <v>38</v>
      </c>
      <c r="K15" s="28">
        <v>10000.0</v>
      </c>
      <c r="L15" s="28">
        <v>0.0</v>
      </c>
      <c r="M15" s="28">
        <v>0.0</v>
      </c>
      <c r="N15" s="28">
        <v>0.0</v>
      </c>
      <c r="O15" s="28">
        <v>0.0</v>
      </c>
      <c r="P15" s="42"/>
    </row>
    <row r="16" ht="11.25" customHeight="1">
      <c r="A16" s="12">
        <f t="shared" si="1"/>
        <v>14</v>
      </c>
      <c r="B16" s="15" t="s">
        <v>24</v>
      </c>
      <c r="C16" s="17" t="s">
        <v>46</v>
      </c>
      <c r="D16" s="17" t="s">
        <v>978</v>
      </c>
      <c r="E16" s="21" t="s">
        <v>33</v>
      </c>
      <c r="F16" s="21" t="s">
        <v>980</v>
      </c>
      <c r="G16" s="25" t="s">
        <v>36</v>
      </c>
      <c r="H16" s="95">
        <v>46240.0</v>
      </c>
      <c r="I16" s="17">
        <v>0.0</v>
      </c>
      <c r="J16" s="23" t="s">
        <v>57</v>
      </c>
      <c r="K16" s="28">
        <v>10000.0</v>
      </c>
      <c r="L16" s="28">
        <v>0.0</v>
      </c>
      <c r="M16" s="28">
        <v>0.0</v>
      </c>
      <c r="N16" s="28">
        <v>0.0</v>
      </c>
      <c r="O16" s="28">
        <v>0.0</v>
      </c>
      <c r="P16" s="42"/>
    </row>
    <row r="17" ht="11.25" customHeight="1">
      <c r="A17" s="12">
        <f t="shared" si="1"/>
        <v>15</v>
      </c>
      <c r="B17" s="15" t="s">
        <v>24</v>
      </c>
      <c r="C17" s="17" t="s">
        <v>87</v>
      </c>
      <c r="D17" s="17" t="s">
        <v>983</v>
      </c>
      <c r="E17" s="23" t="s">
        <v>279</v>
      </c>
      <c r="F17" s="23" t="s">
        <v>280</v>
      </c>
      <c r="G17" s="25" t="s">
        <v>37</v>
      </c>
      <c r="H17" s="95">
        <v>46242.0</v>
      </c>
      <c r="I17" s="17">
        <v>0.0</v>
      </c>
      <c r="J17" s="23" t="s">
        <v>38</v>
      </c>
      <c r="K17" s="28">
        <v>20000.0</v>
      </c>
      <c r="L17" s="28">
        <v>0.0</v>
      </c>
      <c r="M17" s="28">
        <v>0.0</v>
      </c>
      <c r="N17" s="28">
        <v>0.0</v>
      </c>
      <c r="O17" s="28">
        <v>0.0</v>
      </c>
      <c r="P17" s="42"/>
    </row>
    <row r="18" ht="11.25" customHeight="1">
      <c r="A18" s="12">
        <f t="shared" si="1"/>
        <v>16</v>
      </c>
      <c r="B18" s="15" t="s">
        <v>24</v>
      </c>
      <c r="C18" s="17" t="s">
        <v>87</v>
      </c>
      <c r="D18" s="17" t="s">
        <v>986</v>
      </c>
      <c r="E18" s="23" t="s">
        <v>91</v>
      </c>
      <c r="F18" s="23" t="s">
        <v>659</v>
      </c>
      <c r="G18" s="25" t="s">
        <v>36</v>
      </c>
      <c r="H18" s="95">
        <v>46243.0</v>
      </c>
      <c r="I18" s="17">
        <v>1.0</v>
      </c>
      <c r="J18" s="23" t="s">
        <v>38</v>
      </c>
      <c r="K18" s="28">
        <v>10000.0</v>
      </c>
      <c r="L18" s="28">
        <v>0.0</v>
      </c>
      <c r="M18" s="28">
        <v>0.0</v>
      </c>
      <c r="N18" s="28">
        <v>0.0</v>
      </c>
      <c r="O18" s="28">
        <v>0.0</v>
      </c>
      <c r="P18" s="42"/>
    </row>
    <row r="19" ht="11.25" customHeight="1">
      <c r="A19" s="12">
        <f t="shared" si="1"/>
        <v>17</v>
      </c>
      <c r="B19" s="15" t="s">
        <v>24</v>
      </c>
      <c r="C19" s="17" t="s">
        <v>87</v>
      </c>
      <c r="D19" s="17" t="s">
        <v>989</v>
      </c>
      <c r="E19" s="66" t="s">
        <v>49</v>
      </c>
      <c r="F19" s="66" t="s">
        <v>265</v>
      </c>
      <c r="G19" s="25" t="s">
        <v>36</v>
      </c>
      <c r="H19" s="95">
        <v>46243.0</v>
      </c>
      <c r="I19" s="17">
        <v>0.0</v>
      </c>
      <c r="J19" s="23" t="s">
        <v>38</v>
      </c>
      <c r="K19" s="28">
        <v>20000.0</v>
      </c>
      <c r="L19" s="28">
        <v>0.0</v>
      </c>
      <c r="M19" s="28">
        <v>0.0</v>
      </c>
      <c r="N19" s="28">
        <v>0.0</v>
      </c>
      <c r="O19" s="28">
        <v>0.0</v>
      </c>
      <c r="P19" s="42"/>
    </row>
    <row r="20" ht="11.25" customHeight="1">
      <c r="A20" s="12">
        <f t="shared" si="1"/>
        <v>18</v>
      </c>
      <c r="B20" s="15" t="s">
        <v>24</v>
      </c>
      <c r="C20" s="17" t="s">
        <v>46</v>
      </c>
      <c r="D20" s="49" t="s">
        <v>429</v>
      </c>
      <c r="E20" s="21" t="s">
        <v>28</v>
      </c>
      <c r="F20" s="21" t="s">
        <v>79</v>
      </c>
      <c r="G20" s="14" t="s">
        <v>34</v>
      </c>
      <c r="H20" s="38">
        <v>46243.0</v>
      </c>
      <c r="I20" s="49">
        <v>0.0</v>
      </c>
      <c r="J20" s="14" t="s">
        <v>57</v>
      </c>
      <c r="K20" s="53">
        <v>0.0</v>
      </c>
      <c r="L20" s="53">
        <v>50000.0</v>
      </c>
      <c r="M20" s="29">
        <v>0.0</v>
      </c>
      <c r="N20" s="29">
        <v>0.0</v>
      </c>
      <c r="O20" s="44">
        <v>0.0</v>
      </c>
      <c r="P20" s="158"/>
    </row>
    <row r="21" ht="11.25" customHeight="1">
      <c r="A21" s="12">
        <f t="shared" si="1"/>
        <v>19</v>
      </c>
      <c r="B21" s="15" t="s">
        <v>24</v>
      </c>
      <c r="C21" s="17" t="s">
        <v>182</v>
      </c>
      <c r="D21" s="17" t="s">
        <v>995</v>
      </c>
      <c r="E21" s="51" t="s">
        <v>84</v>
      </c>
      <c r="F21" s="51" t="s">
        <v>531</v>
      </c>
      <c r="G21" s="25" t="s">
        <v>36</v>
      </c>
      <c r="H21" s="26">
        <v>46244.0</v>
      </c>
      <c r="I21" s="17">
        <v>0.0</v>
      </c>
      <c r="J21" s="23" t="s">
        <v>38</v>
      </c>
      <c r="K21" s="28">
        <v>100000.0</v>
      </c>
      <c r="L21" s="28">
        <v>0.0</v>
      </c>
      <c r="M21" s="28">
        <v>0.0</v>
      </c>
      <c r="N21" s="28">
        <v>0.0</v>
      </c>
      <c r="O21" s="28">
        <v>0.0</v>
      </c>
      <c r="P21" s="33"/>
    </row>
    <row r="22" ht="11.25" customHeight="1">
      <c r="A22" s="12">
        <f t="shared" si="1"/>
        <v>20</v>
      </c>
      <c r="B22" s="15" t="s">
        <v>24</v>
      </c>
      <c r="C22" s="17" t="s">
        <v>87</v>
      </c>
      <c r="D22" s="17" t="s">
        <v>998</v>
      </c>
      <c r="E22" s="23" t="s">
        <v>279</v>
      </c>
      <c r="F22" s="23" t="s">
        <v>280</v>
      </c>
      <c r="G22" s="25" t="s">
        <v>37</v>
      </c>
      <c r="H22" s="26">
        <v>46244.0</v>
      </c>
      <c r="I22" s="17">
        <v>0.0</v>
      </c>
      <c r="J22" s="23" t="s">
        <v>38</v>
      </c>
      <c r="K22" s="28">
        <v>30000.0</v>
      </c>
      <c r="L22" s="28">
        <v>0.0</v>
      </c>
      <c r="M22" s="28">
        <v>0.0</v>
      </c>
      <c r="N22" s="28">
        <v>0.0</v>
      </c>
      <c r="O22" s="28">
        <v>0.0</v>
      </c>
      <c r="P22" s="200"/>
    </row>
    <row r="23" ht="11.25" customHeight="1">
      <c r="A23" s="12">
        <f t="shared" si="1"/>
        <v>21</v>
      </c>
      <c r="B23" s="15" t="s">
        <v>24</v>
      </c>
      <c r="C23" s="17" t="s">
        <v>46</v>
      </c>
      <c r="D23" s="17" t="s">
        <v>1001</v>
      </c>
      <c r="E23" s="21" t="s">
        <v>180</v>
      </c>
      <c r="F23" s="21" t="s">
        <v>288</v>
      </c>
      <c r="G23" s="25" t="s">
        <v>36</v>
      </c>
      <c r="H23" s="26">
        <v>46244.0</v>
      </c>
      <c r="I23" s="17">
        <v>0.0</v>
      </c>
      <c r="J23" s="23" t="s">
        <v>57</v>
      </c>
      <c r="K23" s="28">
        <v>9000.0</v>
      </c>
      <c r="L23" s="28">
        <v>0.0</v>
      </c>
      <c r="M23" s="28">
        <v>0.0</v>
      </c>
      <c r="N23" s="28">
        <v>0.0</v>
      </c>
      <c r="O23" s="28">
        <v>0.0</v>
      </c>
      <c r="P23" s="33"/>
    </row>
    <row r="24" ht="11.25" customHeight="1">
      <c r="A24" s="12">
        <f t="shared" si="1"/>
        <v>22</v>
      </c>
      <c r="B24" s="15" t="s">
        <v>24</v>
      </c>
      <c r="C24" s="17" t="s">
        <v>87</v>
      </c>
      <c r="D24" s="17" t="s">
        <v>1003</v>
      </c>
      <c r="E24" s="23" t="s">
        <v>91</v>
      </c>
      <c r="F24" s="23" t="s">
        <v>134</v>
      </c>
      <c r="G24" s="25" t="s">
        <v>36</v>
      </c>
      <c r="H24" s="26">
        <v>46244.0</v>
      </c>
      <c r="I24" s="17">
        <v>0.0</v>
      </c>
      <c r="J24" s="23" t="s">
        <v>38</v>
      </c>
      <c r="K24" s="28">
        <v>0.0</v>
      </c>
      <c r="L24" s="28">
        <v>50000.0</v>
      </c>
      <c r="M24" s="28">
        <v>0.0</v>
      </c>
      <c r="N24" s="28">
        <v>0.0</v>
      </c>
      <c r="O24" s="28">
        <v>0.0</v>
      </c>
      <c r="P24" s="33"/>
    </row>
    <row r="25" ht="11.25" customHeight="1">
      <c r="A25" s="12">
        <f t="shared" si="1"/>
        <v>23</v>
      </c>
      <c r="B25" s="15" t="s">
        <v>24</v>
      </c>
      <c r="C25" s="17" t="s">
        <v>87</v>
      </c>
      <c r="D25" s="17" t="s">
        <v>1005</v>
      </c>
      <c r="E25" s="36" t="s">
        <v>91</v>
      </c>
      <c r="F25" s="36" t="s">
        <v>135</v>
      </c>
      <c r="G25" s="25" t="s">
        <v>37</v>
      </c>
      <c r="H25" s="26">
        <v>46244.0</v>
      </c>
      <c r="I25" s="17">
        <v>0.0</v>
      </c>
      <c r="J25" s="23" t="s">
        <v>38</v>
      </c>
      <c r="K25" s="28">
        <v>20000.0</v>
      </c>
      <c r="L25" s="28">
        <v>0.0</v>
      </c>
      <c r="M25" s="28">
        <v>0.0</v>
      </c>
      <c r="N25" s="28">
        <v>0.0</v>
      </c>
      <c r="O25" s="28">
        <v>0.0</v>
      </c>
      <c r="P25" s="33"/>
    </row>
    <row r="26" ht="11.25" customHeight="1">
      <c r="A26" s="12">
        <f t="shared" si="1"/>
        <v>24</v>
      </c>
      <c r="B26" s="15" t="s">
        <v>24</v>
      </c>
      <c r="C26" s="17" t="s">
        <v>182</v>
      </c>
      <c r="D26" s="17" t="s">
        <v>1009</v>
      </c>
      <c r="E26" s="51" t="s">
        <v>84</v>
      </c>
      <c r="F26" s="51" t="s">
        <v>531</v>
      </c>
      <c r="G26" s="25" t="s">
        <v>36</v>
      </c>
      <c r="H26" s="26">
        <v>46244.0</v>
      </c>
      <c r="I26" s="17">
        <v>0.0</v>
      </c>
      <c r="J26" s="23" t="s">
        <v>38</v>
      </c>
      <c r="K26" s="28">
        <v>30000.0</v>
      </c>
      <c r="L26" s="28">
        <v>0.0</v>
      </c>
      <c r="M26" s="28">
        <v>0.0</v>
      </c>
      <c r="N26" s="28">
        <v>0.0</v>
      </c>
      <c r="O26" s="28">
        <v>0.0</v>
      </c>
      <c r="P26" s="33"/>
    </row>
    <row r="27" ht="11.25" customHeight="1">
      <c r="A27" s="12">
        <f t="shared" si="1"/>
        <v>25</v>
      </c>
      <c r="B27" s="15" t="s">
        <v>24</v>
      </c>
      <c r="C27" s="17" t="s">
        <v>46</v>
      </c>
      <c r="D27" s="17" t="s">
        <v>1014</v>
      </c>
      <c r="E27" s="21" t="s">
        <v>116</v>
      </c>
      <c r="F27" s="21" t="s">
        <v>117</v>
      </c>
      <c r="G27" s="25" t="s">
        <v>36</v>
      </c>
      <c r="H27" s="26">
        <v>46246.0</v>
      </c>
      <c r="I27" s="17">
        <v>0.0</v>
      </c>
      <c r="J27" s="23" t="s">
        <v>57</v>
      </c>
      <c r="K27" s="28">
        <v>8000.0</v>
      </c>
      <c r="L27" s="28">
        <v>0.0</v>
      </c>
      <c r="M27" s="28">
        <v>0.0</v>
      </c>
      <c r="N27" s="28">
        <v>0.0</v>
      </c>
      <c r="O27" s="28">
        <v>0.0</v>
      </c>
      <c r="P27" s="33"/>
    </row>
    <row r="28" ht="11.25" customHeight="1">
      <c r="A28" s="12">
        <f t="shared" si="1"/>
        <v>26</v>
      </c>
      <c r="B28" s="15" t="s">
        <v>24</v>
      </c>
      <c r="C28" s="17" t="s">
        <v>46</v>
      </c>
      <c r="D28" s="17" t="s">
        <v>1020</v>
      </c>
      <c r="E28" s="21" t="s">
        <v>60</v>
      </c>
      <c r="F28" s="21" t="s">
        <v>161</v>
      </c>
      <c r="G28" s="25" t="s">
        <v>36</v>
      </c>
      <c r="H28" s="26">
        <v>46246.0</v>
      </c>
      <c r="I28" s="17">
        <v>0.0</v>
      </c>
      <c r="J28" s="23" t="s">
        <v>57</v>
      </c>
      <c r="K28" s="28">
        <v>7300.0</v>
      </c>
      <c r="L28" s="28">
        <v>0.0</v>
      </c>
      <c r="M28" s="28">
        <v>0.0</v>
      </c>
      <c r="N28" s="28">
        <v>0.0</v>
      </c>
      <c r="O28" s="28">
        <v>0.0</v>
      </c>
      <c r="P28" s="33" t="str">
        <f>IFERROR(__xludf.DUMMYFUNCTION("AI(""Fill an appropriate value for this cell based on the table context"")"),"")</f>
        <v/>
      </c>
    </row>
    <row r="29" ht="11.25" customHeight="1">
      <c r="A29" s="12">
        <f t="shared" si="1"/>
        <v>27</v>
      </c>
      <c r="B29" s="15" t="s">
        <v>24</v>
      </c>
      <c r="C29" s="17" t="s">
        <v>46</v>
      </c>
      <c r="D29" s="17" t="s">
        <v>1025</v>
      </c>
      <c r="E29" s="21" t="s">
        <v>44</v>
      </c>
      <c r="F29" s="21" t="s">
        <v>45</v>
      </c>
      <c r="G29" s="25" t="s">
        <v>36</v>
      </c>
      <c r="H29" s="26">
        <v>46246.0</v>
      </c>
      <c r="I29" s="17">
        <v>0.0</v>
      </c>
      <c r="J29" s="23" t="s">
        <v>57</v>
      </c>
      <c r="K29" s="28">
        <v>8000.0</v>
      </c>
      <c r="L29" s="28">
        <v>0.0</v>
      </c>
      <c r="M29" s="28">
        <v>0.0</v>
      </c>
      <c r="N29" s="28">
        <v>0.0</v>
      </c>
      <c r="O29" s="28">
        <v>0.0</v>
      </c>
      <c r="P29" s="33"/>
    </row>
    <row r="30" ht="11.25" customHeight="1">
      <c r="A30" s="12">
        <f t="shared" si="1"/>
        <v>28</v>
      </c>
      <c r="B30" s="15" t="s">
        <v>24</v>
      </c>
      <c r="C30" s="17" t="s">
        <v>46</v>
      </c>
      <c r="D30" s="17" t="s">
        <v>1027</v>
      </c>
      <c r="E30" s="21" t="s">
        <v>44</v>
      </c>
      <c r="F30" s="21" t="s">
        <v>45</v>
      </c>
      <c r="G30" s="25" t="s">
        <v>36</v>
      </c>
      <c r="H30" s="26">
        <v>46246.0</v>
      </c>
      <c r="I30" s="17">
        <v>0.0</v>
      </c>
      <c r="J30" s="23" t="s">
        <v>57</v>
      </c>
      <c r="K30" s="28">
        <v>10000.0</v>
      </c>
      <c r="L30" s="28">
        <v>0.0</v>
      </c>
      <c r="M30" s="28">
        <v>0.0</v>
      </c>
      <c r="N30" s="28">
        <v>0.0</v>
      </c>
      <c r="O30" s="28">
        <v>0.0</v>
      </c>
      <c r="P30" s="33"/>
    </row>
    <row r="31" ht="11.25" customHeight="1">
      <c r="A31" s="12">
        <f t="shared" si="1"/>
        <v>29</v>
      </c>
      <c r="B31" s="15" t="s">
        <v>24</v>
      </c>
      <c r="C31" s="17" t="s">
        <v>46</v>
      </c>
      <c r="D31" s="17" t="s">
        <v>1029</v>
      </c>
      <c r="E31" s="36" t="s">
        <v>49</v>
      </c>
      <c r="F31" s="36" t="s">
        <v>54</v>
      </c>
      <c r="G31" s="23" t="s">
        <v>55</v>
      </c>
      <c r="H31" s="26">
        <v>46247.0</v>
      </c>
      <c r="I31" s="17">
        <v>0.0</v>
      </c>
      <c r="J31" s="23" t="s">
        <v>57</v>
      </c>
      <c r="K31" s="28">
        <v>5000.0</v>
      </c>
      <c r="L31" s="28">
        <v>0.0</v>
      </c>
      <c r="M31" s="28">
        <v>0.0</v>
      </c>
      <c r="N31" s="28">
        <v>0.0</v>
      </c>
      <c r="O31" s="28">
        <v>0.0</v>
      </c>
      <c r="P31" s="33"/>
    </row>
    <row r="32" ht="11.25" customHeight="1">
      <c r="A32" s="12">
        <f t="shared" si="1"/>
        <v>30</v>
      </c>
      <c r="B32" s="15" t="s">
        <v>24</v>
      </c>
      <c r="C32" s="17" t="s">
        <v>46</v>
      </c>
      <c r="D32" s="18" t="s">
        <v>1032</v>
      </c>
      <c r="E32" s="21" t="s">
        <v>44</v>
      </c>
      <c r="F32" s="21" t="s">
        <v>478</v>
      </c>
      <c r="G32" s="14" t="s">
        <v>37</v>
      </c>
      <c r="H32" s="26">
        <v>46247.0</v>
      </c>
      <c r="I32" s="18">
        <v>0.0</v>
      </c>
      <c r="J32" s="23" t="s">
        <v>57</v>
      </c>
      <c r="K32" s="29">
        <v>5500.0</v>
      </c>
      <c r="L32" s="28">
        <v>0.0</v>
      </c>
      <c r="M32" s="28">
        <v>0.0</v>
      </c>
      <c r="N32" s="28">
        <v>0.0</v>
      </c>
      <c r="O32" s="28">
        <v>0.0</v>
      </c>
      <c r="P32" s="33"/>
    </row>
    <row r="33" ht="11.25" customHeight="1">
      <c r="A33" s="12">
        <f t="shared" si="1"/>
        <v>31</v>
      </c>
      <c r="B33" s="15" t="s">
        <v>24</v>
      </c>
      <c r="C33" s="17" t="s">
        <v>46</v>
      </c>
      <c r="D33" s="18" t="s">
        <v>1035</v>
      </c>
      <c r="E33" s="94" t="s">
        <v>44</v>
      </c>
      <c r="F33" s="94" t="s">
        <v>478</v>
      </c>
      <c r="G33" s="14" t="s">
        <v>36</v>
      </c>
      <c r="H33" s="26">
        <v>46247.0</v>
      </c>
      <c r="I33" s="18">
        <v>0.0</v>
      </c>
      <c r="J33" s="23" t="s">
        <v>57</v>
      </c>
      <c r="K33" s="29">
        <v>11000.0</v>
      </c>
      <c r="L33" s="28">
        <v>0.0</v>
      </c>
      <c r="M33" s="28">
        <v>0.0</v>
      </c>
      <c r="N33" s="28">
        <v>0.0</v>
      </c>
      <c r="O33" s="28">
        <v>0.0</v>
      </c>
      <c r="P33" s="33"/>
    </row>
    <row r="34" ht="11.25" customHeight="1">
      <c r="A34" s="12">
        <f t="shared" si="1"/>
        <v>32</v>
      </c>
      <c r="B34" s="15" t="s">
        <v>24</v>
      </c>
      <c r="C34" s="17" t="s">
        <v>46</v>
      </c>
      <c r="D34" s="18" t="s">
        <v>1037</v>
      </c>
      <c r="E34" s="21" t="s">
        <v>44</v>
      </c>
      <c r="F34" s="21" t="s">
        <v>493</v>
      </c>
      <c r="G34" s="14" t="s">
        <v>37</v>
      </c>
      <c r="H34" s="26">
        <v>46247.0</v>
      </c>
      <c r="I34" s="18">
        <v>0.0</v>
      </c>
      <c r="J34" s="23" t="s">
        <v>57</v>
      </c>
      <c r="K34" s="29">
        <v>5500.0</v>
      </c>
      <c r="L34" s="28">
        <v>0.0</v>
      </c>
      <c r="M34" s="28">
        <v>0.0</v>
      </c>
      <c r="N34" s="28">
        <v>0.0</v>
      </c>
      <c r="O34" s="28">
        <v>0.0</v>
      </c>
      <c r="P34" s="33"/>
    </row>
    <row r="35" ht="11.25" customHeight="1">
      <c r="A35" s="12">
        <f t="shared" si="1"/>
        <v>33</v>
      </c>
      <c r="B35" s="15" t="s">
        <v>24</v>
      </c>
      <c r="C35" s="17" t="s">
        <v>182</v>
      </c>
      <c r="D35" s="18" t="s">
        <v>1040</v>
      </c>
      <c r="E35" s="36" t="s">
        <v>84</v>
      </c>
      <c r="F35" s="36" t="s">
        <v>517</v>
      </c>
      <c r="G35" s="14" t="s">
        <v>36</v>
      </c>
      <c r="H35" s="38">
        <v>46247.0</v>
      </c>
      <c r="I35" s="18">
        <v>0.0</v>
      </c>
      <c r="J35" s="22" t="s">
        <v>38</v>
      </c>
      <c r="K35" s="29">
        <v>30000.0</v>
      </c>
      <c r="L35" s="28">
        <v>0.0</v>
      </c>
      <c r="M35" s="28">
        <v>0.0</v>
      </c>
      <c r="N35" s="28">
        <v>0.0</v>
      </c>
      <c r="O35" s="28">
        <v>0.0</v>
      </c>
      <c r="P35" s="33"/>
    </row>
    <row r="36" ht="11.25" customHeight="1">
      <c r="A36" s="12">
        <f t="shared" si="1"/>
        <v>34</v>
      </c>
      <c r="B36" s="15" t="s">
        <v>24</v>
      </c>
      <c r="C36" s="17" t="s">
        <v>182</v>
      </c>
      <c r="D36" s="18" t="s">
        <v>1042</v>
      </c>
      <c r="E36" s="22" t="s">
        <v>142</v>
      </c>
      <c r="F36" s="22" t="s">
        <v>452</v>
      </c>
      <c r="G36" s="14" t="s">
        <v>37</v>
      </c>
      <c r="H36" s="38">
        <v>46247.0</v>
      </c>
      <c r="I36" s="18">
        <v>0.0</v>
      </c>
      <c r="J36" s="22" t="s">
        <v>38</v>
      </c>
      <c r="K36" s="29">
        <v>10000.0</v>
      </c>
      <c r="L36" s="28">
        <v>0.0</v>
      </c>
      <c r="M36" s="28">
        <v>0.0</v>
      </c>
      <c r="N36" s="28">
        <v>0.0</v>
      </c>
      <c r="O36" s="28">
        <v>0.0</v>
      </c>
      <c r="P36" s="33"/>
      <c r="Q36" s="11"/>
      <c r="R36" s="11"/>
      <c r="T36" s="11"/>
      <c r="U36" s="11"/>
      <c r="V36" s="11"/>
      <c r="W36" s="11"/>
      <c r="X36" s="11"/>
      <c r="Y36" s="11"/>
      <c r="Z36" s="11"/>
    </row>
    <row r="37" ht="11.25" customHeight="1">
      <c r="A37" s="12">
        <f t="shared" si="1"/>
        <v>35</v>
      </c>
      <c r="B37" s="15" t="s">
        <v>24</v>
      </c>
      <c r="C37" s="17" t="s">
        <v>46</v>
      </c>
      <c r="D37" s="18" t="s">
        <v>1045</v>
      </c>
      <c r="E37" s="21" t="s">
        <v>488</v>
      </c>
      <c r="F37" s="36" t="s">
        <v>697</v>
      </c>
      <c r="G37" s="14" t="s">
        <v>36</v>
      </c>
      <c r="H37" s="38">
        <v>46247.0</v>
      </c>
      <c r="I37" s="18">
        <v>0.0</v>
      </c>
      <c r="J37" s="22" t="s">
        <v>57</v>
      </c>
      <c r="K37" s="29">
        <v>20000.0</v>
      </c>
      <c r="L37" s="28">
        <v>0.0</v>
      </c>
      <c r="M37" s="28">
        <v>0.0</v>
      </c>
      <c r="N37" s="28">
        <v>0.0</v>
      </c>
      <c r="O37" s="28">
        <v>0.0</v>
      </c>
      <c r="P37" s="33"/>
    </row>
    <row r="38" ht="11.25" customHeight="1">
      <c r="A38" s="12">
        <f t="shared" si="1"/>
        <v>36</v>
      </c>
      <c r="B38" s="15" t="s">
        <v>24</v>
      </c>
      <c r="C38" s="17" t="s">
        <v>46</v>
      </c>
      <c r="D38" s="18" t="s">
        <v>1048</v>
      </c>
      <c r="E38" s="21" t="s">
        <v>208</v>
      </c>
      <c r="F38" s="21" t="s">
        <v>653</v>
      </c>
      <c r="G38" s="14" t="s">
        <v>37</v>
      </c>
      <c r="H38" s="38">
        <v>46247.0</v>
      </c>
      <c r="I38" s="18">
        <v>0.0</v>
      </c>
      <c r="J38" s="22" t="s">
        <v>57</v>
      </c>
      <c r="K38" s="29">
        <v>6000.0</v>
      </c>
      <c r="L38" s="28">
        <v>0.0</v>
      </c>
      <c r="M38" s="28">
        <v>0.0</v>
      </c>
      <c r="N38" s="28">
        <v>0.0</v>
      </c>
      <c r="O38" s="28">
        <v>0.0</v>
      </c>
      <c r="P38" s="33"/>
    </row>
    <row r="39" ht="11.25" customHeight="1">
      <c r="A39" s="12">
        <f t="shared" si="1"/>
        <v>37</v>
      </c>
      <c r="B39" s="15" t="s">
        <v>24</v>
      </c>
      <c r="C39" s="17" t="s">
        <v>182</v>
      </c>
      <c r="D39" s="18" t="s">
        <v>1051</v>
      </c>
      <c r="E39" s="22" t="s">
        <v>84</v>
      </c>
      <c r="F39" s="22" t="s">
        <v>517</v>
      </c>
      <c r="G39" s="14" t="s">
        <v>36</v>
      </c>
      <c r="H39" s="38">
        <v>46247.0</v>
      </c>
      <c r="I39" s="18">
        <v>0.0</v>
      </c>
      <c r="J39" s="22" t="s">
        <v>38</v>
      </c>
      <c r="K39" s="29">
        <v>4000.0</v>
      </c>
      <c r="L39" s="28">
        <v>0.0</v>
      </c>
      <c r="M39" s="28">
        <v>0.0</v>
      </c>
      <c r="N39" s="28">
        <v>0.0</v>
      </c>
      <c r="O39" s="28">
        <v>0.0</v>
      </c>
      <c r="P39" s="33"/>
    </row>
    <row r="40" ht="11.25" customHeight="1">
      <c r="A40" s="12">
        <f t="shared" si="1"/>
        <v>38</v>
      </c>
      <c r="B40" s="15" t="s">
        <v>24</v>
      </c>
      <c r="C40" s="17" t="s">
        <v>182</v>
      </c>
      <c r="D40" s="18" t="s">
        <v>1053</v>
      </c>
      <c r="E40" s="22" t="s">
        <v>84</v>
      </c>
      <c r="F40" s="22" t="s">
        <v>531</v>
      </c>
      <c r="G40" s="14" t="s">
        <v>36</v>
      </c>
      <c r="H40" s="38">
        <v>46247.0</v>
      </c>
      <c r="I40" s="18">
        <v>0.0</v>
      </c>
      <c r="J40" s="22" t="s">
        <v>38</v>
      </c>
      <c r="K40" s="29">
        <v>16000.0</v>
      </c>
      <c r="L40" s="28">
        <v>0.0</v>
      </c>
      <c r="M40" s="28">
        <v>0.0</v>
      </c>
      <c r="N40" s="28">
        <v>0.0</v>
      </c>
      <c r="O40" s="28">
        <v>0.0</v>
      </c>
      <c r="P40" s="33"/>
    </row>
    <row r="41" ht="11.25" customHeight="1">
      <c r="A41" s="12">
        <f t="shared" si="1"/>
        <v>39</v>
      </c>
      <c r="B41" s="15" t="s">
        <v>24</v>
      </c>
      <c r="C41" s="17" t="s">
        <v>46</v>
      </c>
      <c r="D41" s="17" t="s">
        <v>1057</v>
      </c>
      <c r="E41" s="21" t="s">
        <v>191</v>
      </c>
      <c r="F41" s="21" t="s">
        <v>316</v>
      </c>
      <c r="G41" s="14" t="s">
        <v>36</v>
      </c>
      <c r="H41" s="38">
        <v>46247.0</v>
      </c>
      <c r="I41" s="18">
        <v>0.0</v>
      </c>
      <c r="J41" s="22" t="s">
        <v>57</v>
      </c>
      <c r="K41" s="29">
        <v>10000.0</v>
      </c>
      <c r="L41" s="28">
        <v>0.0</v>
      </c>
      <c r="M41" s="28">
        <v>0.0</v>
      </c>
      <c r="N41" s="28">
        <v>0.0</v>
      </c>
      <c r="O41" s="28">
        <v>0.0</v>
      </c>
      <c r="P41" s="30"/>
    </row>
    <row r="42" ht="11.25" customHeight="1">
      <c r="A42" s="12">
        <f t="shared" si="1"/>
        <v>40</v>
      </c>
      <c r="B42" s="15" t="s">
        <v>24</v>
      </c>
      <c r="C42" s="17" t="s">
        <v>182</v>
      </c>
      <c r="D42" s="17" t="s">
        <v>1059</v>
      </c>
      <c r="E42" s="22" t="s">
        <v>142</v>
      </c>
      <c r="F42" s="23" t="s">
        <v>1062</v>
      </c>
      <c r="G42" s="14" t="s">
        <v>36</v>
      </c>
      <c r="H42" s="38">
        <v>46247.0</v>
      </c>
      <c r="I42" s="18">
        <v>1.0</v>
      </c>
      <c r="J42" s="22" t="s">
        <v>38</v>
      </c>
      <c r="K42" s="29">
        <v>7000.0</v>
      </c>
      <c r="L42" s="28">
        <v>0.0</v>
      </c>
      <c r="M42" s="28">
        <v>0.0</v>
      </c>
      <c r="N42" s="28">
        <v>0.0</v>
      </c>
      <c r="O42" s="28">
        <v>0.0</v>
      </c>
      <c r="P42" s="33"/>
    </row>
    <row r="43" ht="11.25" customHeight="1">
      <c r="A43" s="12">
        <f t="shared" si="1"/>
        <v>41</v>
      </c>
      <c r="B43" s="15" t="s">
        <v>24</v>
      </c>
      <c r="C43" s="17" t="s">
        <v>46</v>
      </c>
      <c r="D43" s="49" t="s">
        <v>431</v>
      </c>
      <c r="E43" s="21" t="s">
        <v>28</v>
      </c>
      <c r="F43" s="21" t="s">
        <v>32</v>
      </c>
      <c r="G43" s="14" t="s">
        <v>34</v>
      </c>
      <c r="H43" s="38">
        <v>46250.0</v>
      </c>
      <c r="I43" s="49">
        <v>0.0</v>
      </c>
      <c r="J43" s="22" t="s">
        <v>57</v>
      </c>
      <c r="K43" s="53">
        <v>0.0</v>
      </c>
      <c r="L43" s="53">
        <v>50000.0</v>
      </c>
      <c r="M43" s="29">
        <v>0.0</v>
      </c>
      <c r="N43" s="29">
        <v>0.0</v>
      </c>
      <c r="O43" s="44">
        <v>0.0</v>
      </c>
      <c r="P43" s="33"/>
    </row>
    <row r="44" ht="11.25" customHeight="1">
      <c r="A44" s="12">
        <f t="shared" si="1"/>
        <v>42</v>
      </c>
      <c r="B44" s="15" t="s">
        <v>24</v>
      </c>
      <c r="C44" s="17" t="s">
        <v>46</v>
      </c>
      <c r="D44" s="17" t="s">
        <v>1065</v>
      </c>
      <c r="E44" s="21" t="s">
        <v>184</v>
      </c>
      <c r="F44" s="21" t="s">
        <v>449</v>
      </c>
      <c r="G44" s="14" t="s">
        <v>37</v>
      </c>
      <c r="H44" s="38">
        <v>46251.0</v>
      </c>
      <c r="I44" s="18">
        <v>0.0</v>
      </c>
      <c r="J44" s="22" t="s">
        <v>57</v>
      </c>
      <c r="K44" s="29">
        <v>5000.0</v>
      </c>
      <c r="L44" s="28">
        <v>0.0</v>
      </c>
      <c r="M44" s="28">
        <v>0.0</v>
      </c>
      <c r="N44" s="28">
        <v>0.0</v>
      </c>
      <c r="O44" s="28">
        <v>0.0</v>
      </c>
      <c r="P44" s="33"/>
    </row>
    <row r="45" ht="11.25" customHeight="1">
      <c r="A45" s="12">
        <f t="shared" si="1"/>
        <v>43</v>
      </c>
      <c r="B45" s="15" t="s">
        <v>24</v>
      </c>
      <c r="C45" s="17" t="s">
        <v>46</v>
      </c>
      <c r="D45" s="17" t="s">
        <v>1068</v>
      </c>
      <c r="E45" s="36" t="s">
        <v>33</v>
      </c>
      <c r="F45" s="36" t="s">
        <v>1070</v>
      </c>
      <c r="G45" s="14" t="s">
        <v>36</v>
      </c>
      <c r="H45" s="38">
        <v>46251.0</v>
      </c>
      <c r="I45" s="18">
        <v>0.0</v>
      </c>
      <c r="J45" s="22" t="s">
        <v>57</v>
      </c>
      <c r="K45" s="29">
        <v>6000.0</v>
      </c>
      <c r="L45" s="28">
        <v>0.0</v>
      </c>
      <c r="M45" s="28">
        <v>0.0</v>
      </c>
      <c r="N45" s="28">
        <v>0.0</v>
      </c>
      <c r="O45" s="28">
        <v>0.0</v>
      </c>
      <c r="P45" s="105"/>
    </row>
    <row r="46" ht="11.25" customHeight="1">
      <c r="A46" s="12">
        <f t="shared" si="1"/>
        <v>44</v>
      </c>
      <c r="B46" s="15" t="s">
        <v>24</v>
      </c>
      <c r="C46" s="17" t="s">
        <v>46</v>
      </c>
      <c r="D46" s="17" t="s">
        <v>1073</v>
      </c>
      <c r="E46" s="21" t="s">
        <v>293</v>
      </c>
      <c r="F46" s="36" t="s">
        <v>294</v>
      </c>
      <c r="G46" s="14" t="s">
        <v>37</v>
      </c>
      <c r="H46" s="38">
        <v>46251.0</v>
      </c>
      <c r="I46" s="18">
        <v>0.0</v>
      </c>
      <c r="J46" s="22" t="s">
        <v>57</v>
      </c>
      <c r="K46" s="29">
        <v>3100.0</v>
      </c>
      <c r="L46" s="28">
        <v>0.0</v>
      </c>
      <c r="M46" s="28">
        <v>0.0</v>
      </c>
      <c r="N46" s="28">
        <v>0.0</v>
      </c>
      <c r="O46" s="28">
        <v>0.0</v>
      </c>
      <c r="P46" s="33"/>
    </row>
    <row r="47" ht="11.25" customHeight="1">
      <c r="A47" s="12">
        <f t="shared" si="1"/>
        <v>45</v>
      </c>
      <c r="B47" s="15" t="s">
        <v>24</v>
      </c>
      <c r="C47" s="17" t="s">
        <v>46</v>
      </c>
      <c r="D47" s="49" t="s">
        <v>435</v>
      </c>
      <c r="E47" s="36" t="s">
        <v>92</v>
      </c>
      <c r="F47" s="36" t="s">
        <v>354</v>
      </c>
      <c r="G47" s="14" t="s">
        <v>34</v>
      </c>
      <c r="H47" s="52">
        <v>46251.0</v>
      </c>
      <c r="I47" s="49">
        <v>0.0</v>
      </c>
      <c r="J47" s="22" t="s">
        <v>57</v>
      </c>
      <c r="K47" s="53">
        <v>35000.0</v>
      </c>
      <c r="L47" s="53">
        <v>0.0</v>
      </c>
      <c r="M47" s="53">
        <v>0.0</v>
      </c>
      <c r="N47" s="44">
        <v>0.0</v>
      </c>
      <c r="O47" s="44">
        <v>0.0</v>
      </c>
      <c r="P47" s="54"/>
    </row>
    <row r="48" ht="11.25" customHeight="1">
      <c r="A48" s="12">
        <f t="shared" si="1"/>
        <v>46</v>
      </c>
      <c r="B48" s="15" t="s">
        <v>24</v>
      </c>
      <c r="C48" s="17" t="s">
        <v>58</v>
      </c>
      <c r="D48" s="17" t="s">
        <v>1079</v>
      </c>
      <c r="E48" s="216" t="s">
        <v>116</v>
      </c>
      <c r="F48" s="216" t="s">
        <v>434</v>
      </c>
      <c r="G48" s="25" t="s">
        <v>36</v>
      </c>
      <c r="H48" s="38">
        <v>46252.0</v>
      </c>
      <c r="I48" s="17">
        <v>0.0</v>
      </c>
      <c r="J48" s="23" t="s">
        <v>38</v>
      </c>
      <c r="K48" s="28">
        <v>180000.0</v>
      </c>
      <c r="L48" s="28">
        <v>0.0</v>
      </c>
      <c r="M48" s="28">
        <v>0.0</v>
      </c>
      <c r="N48" s="28">
        <v>0.0</v>
      </c>
      <c r="O48" s="28">
        <v>0.0</v>
      </c>
      <c r="P48" s="47">
        <v>46251.0</v>
      </c>
    </row>
    <row r="49" ht="11.25" customHeight="1">
      <c r="A49" s="12">
        <f t="shared" si="1"/>
        <v>47</v>
      </c>
      <c r="B49" s="15" t="s">
        <v>24</v>
      </c>
      <c r="C49" s="17" t="s">
        <v>46</v>
      </c>
      <c r="D49" s="17" t="s">
        <v>1084</v>
      </c>
      <c r="E49" s="36" t="s">
        <v>91</v>
      </c>
      <c r="F49" s="23" t="s">
        <v>120</v>
      </c>
      <c r="G49" s="25" t="s">
        <v>36</v>
      </c>
      <c r="H49" s="47">
        <v>46252.0</v>
      </c>
      <c r="I49" s="17">
        <v>0.0</v>
      </c>
      <c r="J49" s="22" t="s">
        <v>57</v>
      </c>
      <c r="K49" s="28">
        <v>0.0</v>
      </c>
      <c r="L49" s="28">
        <v>4000.0</v>
      </c>
      <c r="M49" s="28">
        <v>0.0</v>
      </c>
      <c r="N49" s="28">
        <v>0.0</v>
      </c>
      <c r="O49" s="28">
        <v>0.0</v>
      </c>
      <c r="P49" s="175"/>
    </row>
    <row r="50" ht="11.25" customHeight="1">
      <c r="A50" s="12">
        <f t="shared" si="1"/>
        <v>48</v>
      </c>
      <c r="B50" s="15" t="s">
        <v>24</v>
      </c>
      <c r="C50" s="17" t="s">
        <v>87</v>
      </c>
      <c r="D50" s="17" t="s">
        <v>1086</v>
      </c>
      <c r="E50" s="36" t="s">
        <v>279</v>
      </c>
      <c r="F50" s="36" t="s">
        <v>280</v>
      </c>
      <c r="G50" s="25" t="s">
        <v>36</v>
      </c>
      <c r="H50" s="38">
        <v>46252.0</v>
      </c>
      <c r="I50" s="17">
        <v>1.0</v>
      </c>
      <c r="J50" s="23" t="s">
        <v>38</v>
      </c>
      <c r="K50" s="28">
        <v>30000.0</v>
      </c>
      <c r="L50" s="28">
        <v>0.0</v>
      </c>
      <c r="M50" s="28">
        <v>0.0</v>
      </c>
      <c r="N50" s="28">
        <v>0.0</v>
      </c>
      <c r="O50" s="28">
        <v>0.0</v>
      </c>
      <c r="P50" s="33"/>
    </row>
    <row r="51" ht="11.25" customHeight="1">
      <c r="A51" s="12">
        <f t="shared" si="1"/>
        <v>49</v>
      </c>
      <c r="B51" s="15" t="s">
        <v>24</v>
      </c>
      <c r="C51" s="17" t="s">
        <v>46</v>
      </c>
      <c r="D51" s="17" t="s">
        <v>1091</v>
      </c>
      <c r="E51" s="36" t="s">
        <v>169</v>
      </c>
      <c r="F51" s="36" t="s">
        <v>170</v>
      </c>
      <c r="G51" s="14" t="s">
        <v>37</v>
      </c>
      <c r="H51" s="38">
        <v>46252.0</v>
      </c>
      <c r="I51" s="17">
        <v>0.0</v>
      </c>
      <c r="J51" s="23" t="s">
        <v>38</v>
      </c>
      <c r="K51" s="28">
        <v>14000.0</v>
      </c>
      <c r="L51" s="28">
        <v>0.0</v>
      </c>
      <c r="M51" s="28">
        <v>0.0</v>
      </c>
      <c r="N51" s="28">
        <v>0.0</v>
      </c>
      <c r="O51" s="28">
        <v>0.0</v>
      </c>
      <c r="P51" s="33"/>
    </row>
    <row r="52" ht="11.25" customHeight="1">
      <c r="A52" s="12">
        <f t="shared" si="1"/>
        <v>50</v>
      </c>
      <c r="B52" s="15" t="s">
        <v>24</v>
      </c>
      <c r="C52" s="17" t="s">
        <v>46</v>
      </c>
      <c r="D52" s="17" t="s">
        <v>1095</v>
      </c>
      <c r="E52" s="36" t="s">
        <v>169</v>
      </c>
      <c r="F52" s="36" t="s">
        <v>170</v>
      </c>
      <c r="G52" s="14" t="s">
        <v>37</v>
      </c>
      <c r="H52" s="38">
        <v>46252.0</v>
      </c>
      <c r="I52" s="17">
        <v>0.0</v>
      </c>
      <c r="J52" s="22" t="s">
        <v>57</v>
      </c>
      <c r="K52" s="28">
        <v>3000.0</v>
      </c>
      <c r="L52" s="28">
        <v>0.0</v>
      </c>
      <c r="M52" s="28">
        <v>0.0</v>
      </c>
      <c r="N52" s="28">
        <v>0.0</v>
      </c>
      <c r="O52" s="28">
        <v>0.0</v>
      </c>
      <c r="P52" s="32"/>
    </row>
    <row r="53" ht="11.25" customHeight="1">
      <c r="A53" s="12">
        <f t="shared" si="1"/>
        <v>51</v>
      </c>
      <c r="B53" s="15" t="s">
        <v>24</v>
      </c>
      <c r="C53" s="17" t="s">
        <v>58</v>
      </c>
      <c r="D53" s="49" t="s">
        <v>437</v>
      </c>
      <c r="E53" s="36" t="s">
        <v>92</v>
      </c>
      <c r="F53" s="51" t="s">
        <v>273</v>
      </c>
      <c r="G53" s="14" t="s">
        <v>34</v>
      </c>
      <c r="H53" s="52">
        <v>46253.0</v>
      </c>
      <c r="I53" s="49">
        <v>6.0</v>
      </c>
      <c r="J53" s="14" t="s">
        <v>38</v>
      </c>
      <c r="K53" s="53">
        <v>50000.0</v>
      </c>
      <c r="L53" s="53">
        <v>0.0</v>
      </c>
      <c r="M53" s="53">
        <v>0.0</v>
      </c>
      <c r="N53" s="44">
        <v>0.0</v>
      </c>
      <c r="O53" s="44">
        <v>0.0</v>
      </c>
      <c r="P53" s="54"/>
    </row>
    <row r="54" ht="11.25" customHeight="1">
      <c r="A54" s="12">
        <f t="shared" si="1"/>
        <v>52</v>
      </c>
      <c r="B54" s="15" t="s">
        <v>24</v>
      </c>
      <c r="C54" s="17" t="s">
        <v>46</v>
      </c>
      <c r="D54" s="49" t="s">
        <v>440</v>
      </c>
      <c r="E54" s="36" t="s">
        <v>92</v>
      </c>
      <c r="F54" s="36" t="s">
        <v>111</v>
      </c>
      <c r="G54" s="14" t="s">
        <v>34</v>
      </c>
      <c r="H54" s="52">
        <v>46253.0</v>
      </c>
      <c r="I54" s="49">
        <v>0.0</v>
      </c>
      <c r="J54" s="22" t="s">
        <v>57</v>
      </c>
      <c r="K54" s="53">
        <v>35000.0</v>
      </c>
      <c r="L54" s="53">
        <v>0.0</v>
      </c>
      <c r="M54" s="53">
        <v>0.0</v>
      </c>
      <c r="N54" s="44">
        <v>0.0</v>
      </c>
      <c r="O54" s="44">
        <v>0.0</v>
      </c>
      <c r="P54" s="54"/>
    </row>
    <row r="55" ht="11.25" customHeight="1">
      <c r="A55" s="12">
        <f t="shared" si="1"/>
        <v>53</v>
      </c>
      <c r="B55" s="15" t="s">
        <v>24</v>
      </c>
      <c r="C55" s="17" t="s">
        <v>87</v>
      </c>
      <c r="D55" s="17" t="s">
        <v>1102</v>
      </c>
      <c r="E55" s="23" t="s">
        <v>91</v>
      </c>
      <c r="F55" s="23" t="s">
        <v>1103</v>
      </c>
      <c r="G55" s="25" t="s">
        <v>37</v>
      </c>
      <c r="H55" s="26">
        <v>46254.0</v>
      </c>
      <c r="I55" s="17">
        <v>1.0</v>
      </c>
      <c r="J55" s="23" t="s">
        <v>38</v>
      </c>
      <c r="K55" s="28">
        <v>10000.0</v>
      </c>
      <c r="L55" s="28">
        <v>0.0</v>
      </c>
      <c r="M55" s="28">
        <v>0.0</v>
      </c>
      <c r="N55" s="28">
        <v>0.0</v>
      </c>
      <c r="O55" s="28">
        <v>0.0</v>
      </c>
      <c r="P55" s="28"/>
    </row>
    <row r="56" ht="11.25" customHeight="1">
      <c r="A56" s="12">
        <f t="shared" si="1"/>
        <v>54</v>
      </c>
      <c r="B56" s="15" t="s">
        <v>24</v>
      </c>
      <c r="C56" s="17" t="s">
        <v>87</v>
      </c>
      <c r="D56" s="17" t="s">
        <v>1107</v>
      </c>
      <c r="E56" s="23" t="s">
        <v>223</v>
      </c>
      <c r="F56" s="23" t="s">
        <v>1108</v>
      </c>
      <c r="G56" s="14" t="s">
        <v>37</v>
      </c>
      <c r="H56" s="38">
        <v>46254.0</v>
      </c>
      <c r="I56" s="17">
        <v>1.0</v>
      </c>
      <c r="J56" s="23" t="s">
        <v>38</v>
      </c>
      <c r="K56" s="28">
        <v>90000.0</v>
      </c>
      <c r="L56" s="28">
        <v>0.0</v>
      </c>
      <c r="M56" s="28">
        <v>0.0</v>
      </c>
      <c r="N56" s="28">
        <v>0.0</v>
      </c>
      <c r="O56" s="28">
        <v>0.0</v>
      </c>
      <c r="P56" s="33"/>
    </row>
    <row r="57" ht="11.25" customHeight="1">
      <c r="A57" s="12">
        <f t="shared" si="1"/>
        <v>55</v>
      </c>
      <c r="B57" s="15" t="s">
        <v>24</v>
      </c>
      <c r="C57" s="17" t="s">
        <v>46</v>
      </c>
      <c r="D57" s="17" t="s">
        <v>1111</v>
      </c>
      <c r="E57" s="21" t="s">
        <v>84</v>
      </c>
      <c r="F57" s="21" t="s">
        <v>254</v>
      </c>
      <c r="G57" s="25" t="s">
        <v>36</v>
      </c>
      <c r="H57" s="38">
        <v>46254.0</v>
      </c>
      <c r="I57" s="17">
        <v>0.0</v>
      </c>
      <c r="J57" s="23" t="s">
        <v>57</v>
      </c>
      <c r="K57" s="28">
        <v>5000.0</v>
      </c>
      <c r="L57" s="28">
        <v>0.0</v>
      </c>
      <c r="M57" s="28">
        <v>0.0</v>
      </c>
      <c r="N57" s="28">
        <v>0.0</v>
      </c>
      <c r="O57" s="28">
        <v>0.0</v>
      </c>
      <c r="P57" s="33"/>
    </row>
    <row r="58" ht="11.25" customHeight="1">
      <c r="A58" s="12">
        <f t="shared" si="1"/>
        <v>56</v>
      </c>
      <c r="B58" s="15" t="s">
        <v>24</v>
      </c>
      <c r="C58" s="17" t="s">
        <v>46</v>
      </c>
      <c r="D58" s="17" t="s">
        <v>1115</v>
      </c>
      <c r="E58" s="21" t="s">
        <v>84</v>
      </c>
      <c r="F58" s="21" t="s">
        <v>270</v>
      </c>
      <c r="G58" s="25" t="s">
        <v>36</v>
      </c>
      <c r="H58" s="38">
        <v>46254.0</v>
      </c>
      <c r="I58" s="17">
        <v>0.0</v>
      </c>
      <c r="J58" s="23" t="s">
        <v>57</v>
      </c>
      <c r="K58" s="28">
        <v>5000.0</v>
      </c>
      <c r="L58" s="28">
        <v>0.0</v>
      </c>
      <c r="M58" s="28">
        <v>0.0</v>
      </c>
      <c r="N58" s="28">
        <v>0.0</v>
      </c>
      <c r="O58" s="28">
        <v>0.0</v>
      </c>
      <c r="P58" s="33"/>
    </row>
    <row r="59" ht="11.25" customHeight="1">
      <c r="A59" s="12">
        <f t="shared" si="1"/>
        <v>57</v>
      </c>
      <c r="B59" s="15" t="s">
        <v>24</v>
      </c>
      <c r="C59" s="17" t="s">
        <v>46</v>
      </c>
      <c r="D59" s="17" t="s">
        <v>1119</v>
      </c>
      <c r="E59" s="21" t="s">
        <v>40</v>
      </c>
      <c r="F59" s="21" t="s">
        <v>41</v>
      </c>
      <c r="G59" s="25" t="s">
        <v>36</v>
      </c>
      <c r="H59" s="38">
        <v>46254.0</v>
      </c>
      <c r="I59" s="17">
        <v>0.0</v>
      </c>
      <c r="J59" s="23" t="s">
        <v>57</v>
      </c>
      <c r="K59" s="28">
        <v>10000.0</v>
      </c>
      <c r="L59" s="28">
        <v>0.0</v>
      </c>
      <c r="M59" s="28">
        <v>0.0</v>
      </c>
      <c r="N59" s="28">
        <v>0.0</v>
      </c>
      <c r="O59" s="28">
        <v>0.0</v>
      </c>
      <c r="P59" s="218"/>
    </row>
    <row r="60" ht="11.25" customHeight="1">
      <c r="A60" s="12">
        <f t="shared" si="1"/>
        <v>58</v>
      </c>
      <c r="B60" s="15" t="s">
        <v>24</v>
      </c>
      <c r="C60" s="17" t="s">
        <v>46</v>
      </c>
      <c r="D60" s="17" t="s">
        <v>1125</v>
      </c>
      <c r="E60" s="21" t="s">
        <v>142</v>
      </c>
      <c r="F60" s="21" t="s">
        <v>1127</v>
      </c>
      <c r="G60" s="25" t="s">
        <v>36</v>
      </c>
      <c r="H60" s="26">
        <v>46257.0</v>
      </c>
      <c r="I60" s="17">
        <v>0.0</v>
      </c>
      <c r="J60" s="23" t="s">
        <v>57</v>
      </c>
      <c r="K60" s="28">
        <v>20000.0</v>
      </c>
      <c r="L60" s="28">
        <v>0.0</v>
      </c>
      <c r="M60" s="28">
        <v>0.0</v>
      </c>
      <c r="N60" s="28">
        <v>0.0</v>
      </c>
      <c r="O60" s="28">
        <v>0.0</v>
      </c>
      <c r="P60" s="218"/>
    </row>
    <row r="61" ht="11.25" customHeight="1">
      <c r="A61" s="12">
        <f t="shared" si="1"/>
        <v>59</v>
      </c>
      <c r="B61" s="15" t="s">
        <v>24</v>
      </c>
      <c r="C61" s="17" t="s">
        <v>46</v>
      </c>
      <c r="D61" s="75" t="s">
        <v>441</v>
      </c>
      <c r="E61" s="219" t="s">
        <v>116</v>
      </c>
      <c r="F61" s="219" t="s">
        <v>286</v>
      </c>
      <c r="G61" s="219" t="s">
        <v>34</v>
      </c>
      <c r="H61" s="52">
        <v>46257.0</v>
      </c>
      <c r="I61" s="49">
        <v>0.0</v>
      </c>
      <c r="J61" s="22" t="s">
        <v>57</v>
      </c>
      <c r="K61" s="53">
        <v>50000.0</v>
      </c>
      <c r="L61" s="53">
        <v>0.0</v>
      </c>
      <c r="M61" s="53">
        <v>0.0</v>
      </c>
      <c r="N61" s="44">
        <v>0.0</v>
      </c>
      <c r="O61" s="44">
        <v>0.0</v>
      </c>
      <c r="P61" s="54"/>
    </row>
    <row r="62" ht="11.25" customHeight="1">
      <c r="A62" s="12">
        <f t="shared" si="1"/>
        <v>60</v>
      </c>
      <c r="B62" s="15" t="s">
        <v>24</v>
      </c>
      <c r="C62" s="17" t="s">
        <v>58</v>
      </c>
      <c r="D62" s="49" t="s">
        <v>445</v>
      </c>
      <c r="E62" s="219" t="s">
        <v>116</v>
      </c>
      <c r="F62" s="219" t="s">
        <v>286</v>
      </c>
      <c r="G62" s="219" t="s">
        <v>34</v>
      </c>
      <c r="H62" s="52">
        <v>46257.0</v>
      </c>
      <c r="I62" s="49">
        <v>0.0</v>
      </c>
      <c r="J62" s="14" t="s">
        <v>38</v>
      </c>
      <c r="K62" s="53">
        <v>0.0</v>
      </c>
      <c r="L62" s="53">
        <v>200000.0</v>
      </c>
      <c r="M62" s="53">
        <v>0.0</v>
      </c>
      <c r="N62" s="44">
        <v>0.0</v>
      </c>
      <c r="O62" s="44">
        <v>0.0</v>
      </c>
      <c r="P62" s="54"/>
    </row>
    <row r="63" ht="11.25" customHeight="1">
      <c r="A63" s="12">
        <f t="shared" si="1"/>
        <v>61</v>
      </c>
      <c r="B63" s="15" t="s">
        <v>24</v>
      </c>
      <c r="C63" s="17" t="s">
        <v>182</v>
      </c>
      <c r="D63" s="17" t="s">
        <v>1136</v>
      </c>
      <c r="E63" s="21" t="s">
        <v>40</v>
      </c>
      <c r="F63" s="23" t="s">
        <v>1137</v>
      </c>
      <c r="G63" s="14" t="s">
        <v>37</v>
      </c>
      <c r="H63" s="26">
        <v>46258.0</v>
      </c>
      <c r="I63" s="17">
        <v>1.0</v>
      </c>
      <c r="J63" s="23" t="s">
        <v>38</v>
      </c>
      <c r="K63" s="28">
        <v>20000.0</v>
      </c>
      <c r="L63" s="28">
        <v>0.0</v>
      </c>
      <c r="M63" s="28">
        <v>0.0</v>
      </c>
      <c r="N63" s="28">
        <v>0.0</v>
      </c>
      <c r="O63" s="28">
        <v>0.0</v>
      </c>
      <c r="P63" s="218"/>
    </row>
    <row r="64" ht="11.25" customHeight="1">
      <c r="A64" s="12">
        <f t="shared" si="1"/>
        <v>62</v>
      </c>
      <c r="B64" s="15" t="s">
        <v>24</v>
      </c>
      <c r="C64" s="17" t="s">
        <v>182</v>
      </c>
      <c r="D64" s="17" t="s">
        <v>1141</v>
      </c>
      <c r="E64" s="21" t="s">
        <v>40</v>
      </c>
      <c r="F64" s="21" t="s">
        <v>41</v>
      </c>
      <c r="G64" s="14" t="s">
        <v>37</v>
      </c>
      <c r="H64" s="26">
        <v>46258.0</v>
      </c>
      <c r="I64" s="17">
        <v>1.0</v>
      </c>
      <c r="J64" s="23" t="s">
        <v>38</v>
      </c>
      <c r="K64" s="28">
        <v>150000.0</v>
      </c>
      <c r="L64" s="28">
        <v>0.0</v>
      </c>
      <c r="M64" s="28">
        <v>0.0</v>
      </c>
      <c r="N64" s="28">
        <v>0.0</v>
      </c>
      <c r="O64" s="28">
        <v>0.0</v>
      </c>
      <c r="P64" s="218"/>
    </row>
    <row r="65" ht="11.25" customHeight="1">
      <c r="A65" s="12">
        <f t="shared" si="1"/>
        <v>63</v>
      </c>
      <c r="B65" s="15" t="s">
        <v>24</v>
      </c>
      <c r="C65" s="17" t="s">
        <v>182</v>
      </c>
      <c r="D65" s="17" t="s">
        <v>1144</v>
      </c>
      <c r="E65" s="23" t="s">
        <v>33</v>
      </c>
      <c r="F65" s="23" t="s">
        <v>1145</v>
      </c>
      <c r="G65" s="25" t="s">
        <v>36</v>
      </c>
      <c r="H65" s="26">
        <v>46258.0</v>
      </c>
      <c r="I65" s="17">
        <v>2.0</v>
      </c>
      <c r="J65" s="23" t="s">
        <v>38</v>
      </c>
      <c r="K65" s="28">
        <v>50000.0</v>
      </c>
      <c r="L65" s="28">
        <v>0.0</v>
      </c>
      <c r="M65" s="28">
        <v>0.0</v>
      </c>
      <c r="N65" s="28">
        <v>0.0</v>
      </c>
      <c r="O65" s="28">
        <v>0.0</v>
      </c>
      <c r="P65" s="175"/>
    </row>
    <row r="66" ht="11.25" customHeight="1">
      <c r="A66" s="12">
        <f t="shared" si="1"/>
        <v>64</v>
      </c>
      <c r="B66" s="15" t="s">
        <v>24</v>
      </c>
      <c r="C66" s="17" t="s">
        <v>182</v>
      </c>
      <c r="D66" s="17" t="s">
        <v>1150</v>
      </c>
      <c r="E66" s="37" t="s">
        <v>84</v>
      </c>
      <c r="F66" s="23" t="s">
        <v>420</v>
      </c>
      <c r="G66" s="25" t="s">
        <v>37</v>
      </c>
      <c r="H66" s="26">
        <v>46258.0</v>
      </c>
      <c r="I66" s="17">
        <v>0.0</v>
      </c>
      <c r="J66" s="23" t="s">
        <v>38</v>
      </c>
      <c r="K66" s="28">
        <v>0.0</v>
      </c>
      <c r="L66" s="28">
        <v>10000.0</v>
      </c>
      <c r="M66" s="28">
        <v>0.0</v>
      </c>
      <c r="N66" s="28">
        <v>0.0</v>
      </c>
      <c r="O66" s="28">
        <v>0.0</v>
      </c>
      <c r="P66" s="175"/>
    </row>
    <row r="67" ht="11.25" customHeight="1">
      <c r="A67" s="12">
        <f t="shared" si="1"/>
        <v>65</v>
      </c>
      <c r="B67" s="15" t="s">
        <v>24</v>
      </c>
      <c r="C67" s="17" t="s">
        <v>46</v>
      </c>
      <c r="D67" s="17" t="s">
        <v>1155</v>
      </c>
      <c r="E67" s="81" t="s">
        <v>208</v>
      </c>
      <c r="F67" s="83" t="s">
        <v>208</v>
      </c>
      <c r="G67" s="25" t="s">
        <v>36</v>
      </c>
      <c r="H67" s="26">
        <v>46258.0</v>
      </c>
      <c r="I67" s="17">
        <v>0.0</v>
      </c>
      <c r="J67" s="23" t="s">
        <v>57</v>
      </c>
      <c r="K67" s="28">
        <v>5000.0</v>
      </c>
      <c r="L67" s="28">
        <v>0.0</v>
      </c>
      <c r="M67" s="28">
        <v>0.0</v>
      </c>
      <c r="N67" s="28">
        <v>0.0</v>
      </c>
      <c r="O67" s="28">
        <v>0.0</v>
      </c>
      <c r="P67" s="33"/>
    </row>
    <row r="68" ht="11.25" customHeight="1">
      <c r="A68" s="12">
        <f t="shared" si="1"/>
        <v>66</v>
      </c>
      <c r="B68" s="15" t="s">
        <v>24</v>
      </c>
      <c r="C68" s="17" t="s">
        <v>58</v>
      </c>
      <c r="D68" s="49" t="s">
        <v>448</v>
      </c>
      <c r="E68" s="36" t="s">
        <v>92</v>
      </c>
      <c r="F68" s="51" t="s">
        <v>273</v>
      </c>
      <c r="G68" s="14" t="s">
        <v>34</v>
      </c>
      <c r="H68" s="52">
        <v>46258.0</v>
      </c>
      <c r="I68" s="49">
        <v>0.0</v>
      </c>
      <c r="J68" s="14" t="s">
        <v>38</v>
      </c>
      <c r="K68" s="53">
        <v>350000.0</v>
      </c>
      <c r="L68" s="53">
        <v>0.0</v>
      </c>
      <c r="M68" s="53">
        <v>0.0</v>
      </c>
      <c r="N68" s="44">
        <v>0.0</v>
      </c>
      <c r="O68" s="44">
        <v>0.0</v>
      </c>
      <c r="P68" s="33"/>
    </row>
    <row r="69" ht="11.25" customHeight="1">
      <c r="A69" s="12">
        <f t="shared" si="1"/>
        <v>67</v>
      </c>
      <c r="B69" s="15" t="s">
        <v>24</v>
      </c>
      <c r="C69" s="17" t="s">
        <v>87</v>
      </c>
      <c r="D69" s="17" t="s">
        <v>1163</v>
      </c>
      <c r="E69" s="23" t="s">
        <v>377</v>
      </c>
      <c r="F69" s="23" t="s">
        <v>1164</v>
      </c>
      <c r="G69" s="25" t="s">
        <v>37</v>
      </c>
      <c r="H69" s="30">
        <v>46259.0</v>
      </c>
      <c r="I69" s="17">
        <v>0.0</v>
      </c>
      <c r="J69" s="23" t="s">
        <v>38</v>
      </c>
      <c r="K69" s="28">
        <v>4000.0</v>
      </c>
      <c r="L69" s="28">
        <v>0.0</v>
      </c>
      <c r="M69" s="28">
        <v>0.0</v>
      </c>
      <c r="N69" s="28">
        <v>0.0</v>
      </c>
      <c r="O69" s="28">
        <v>0.0</v>
      </c>
      <c r="P69" s="33"/>
    </row>
    <row r="70" ht="11.25" customHeight="1">
      <c r="A70" s="12">
        <f t="shared" si="1"/>
        <v>68</v>
      </c>
      <c r="B70" s="15" t="s">
        <v>24</v>
      </c>
      <c r="C70" s="17" t="s">
        <v>46</v>
      </c>
      <c r="D70" s="17" t="s">
        <v>1168</v>
      </c>
      <c r="E70" s="65" t="s">
        <v>40</v>
      </c>
      <c r="F70" s="67" t="s">
        <v>558</v>
      </c>
      <c r="G70" s="25" t="s">
        <v>36</v>
      </c>
      <c r="H70" s="26">
        <v>46259.0</v>
      </c>
      <c r="I70" s="17">
        <v>0.0</v>
      </c>
      <c r="J70" s="23" t="s">
        <v>57</v>
      </c>
      <c r="K70" s="28">
        <v>17500.0</v>
      </c>
      <c r="L70" s="28">
        <v>0.0</v>
      </c>
      <c r="M70" s="28">
        <v>0.0</v>
      </c>
      <c r="N70" s="28">
        <v>0.0</v>
      </c>
      <c r="O70" s="28">
        <v>0.0</v>
      </c>
      <c r="P70" s="33"/>
    </row>
    <row r="71" ht="11.25" customHeight="1">
      <c r="A71" s="12">
        <f t="shared" si="1"/>
        <v>69</v>
      </c>
      <c r="B71" s="15" t="s">
        <v>24</v>
      </c>
      <c r="C71" s="17" t="s">
        <v>46</v>
      </c>
      <c r="D71" s="49" t="s">
        <v>450</v>
      </c>
      <c r="E71" s="21" t="s">
        <v>184</v>
      </c>
      <c r="F71" s="21" t="s">
        <v>186</v>
      </c>
      <c r="G71" s="14" t="s">
        <v>34</v>
      </c>
      <c r="H71" s="52">
        <v>46259.0</v>
      </c>
      <c r="I71" s="49">
        <v>0.0</v>
      </c>
      <c r="J71" s="22" t="s">
        <v>57</v>
      </c>
      <c r="K71" s="53">
        <v>55000.0</v>
      </c>
      <c r="L71" s="53">
        <v>0.0</v>
      </c>
      <c r="M71" s="53">
        <v>0.0</v>
      </c>
      <c r="N71" s="44">
        <v>0.0</v>
      </c>
      <c r="O71" s="44">
        <v>0.0</v>
      </c>
      <c r="P71" s="33"/>
    </row>
    <row r="72" ht="11.25" customHeight="1">
      <c r="A72" s="12">
        <f t="shared" si="1"/>
        <v>70</v>
      </c>
      <c r="B72" s="15" t="s">
        <v>24</v>
      </c>
      <c r="C72" s="17" t="s">
        <v>46</v>
      </c>
      <c r="D72" s="17" t="s">
        <v>1174</v>
      </c>
      <c r="E72" s="23" t="s">
        <v>377</v>
      </c>
      <c r="F72" s="23" t="s">
        <v>1164</v>
      </c>
      <c r="G72" s="25" t="s">
        <v>37</v>
      </c>
      <c r="H72" s="26">
        <v>46261.0</v>
      </c>
      <c r="I72" s="17">
        <v>0.0</v>
      </c>
      <c r="J72" s="23" t="s">
        <v>57</v>
      </c>
      <c r="K72" s="28">
        <v>6100.0</v>
      </c>
      <c r="L72" s="28">
        <v>0.0</v>
      </c>
      <c r="M72" s="28">
        <v>0.0</v>
      </c>
      <c r="N72" s="28">
        <v>0.0</v>
      </c>
      <c r="O72" s="28">
        <v>0.0</v>
      </c>
      <c r="P72" s="33"/>
    </row>
    <row r="73" ht="11.25" customHeight="1">
      <c r="A73" s="12">
        <f t="shared" si="1"/>
        <v>71</v>
      </c>
      <c r="B73" s="15" t="s">
        <v>24</v>
      </c>
      <c r="C73" s="17" t="s">
        <v>87</v>
      </c>
      <c r="D73" s="17" t="s">
        <v>1179</v>
      </c>
      <c r="E73" s="36" t="s">
        <v>279</v>
      </c>
      <c r="F73" s="36" t="s">
        <v>280</v>
      </c>
      <c r="G73" s="25" t="s">
        <v>36</v>
      </c>
      <c r="H73" s="38">
        <v>46261.0</v>
      </c>
      <c r="I73" s="17">
        <v>0.0</v>
      </c>
      <c r="J73" s="23" t="s">
        <v>38</v>
      </c>
      <c r="K73" s="28">
        <v>20000.0</v>
      </c>
      <c r="L73" s="28">
        <v>0.0</v>
      </c>
      <c r="M73" s="28">
        <v>0.0</v>
      </c>
      <c r="N73" s="28">
        <v>0.0</v>
      </c>
      <c r="O73" s="28">
        <v>0.0</v>
      </c>
      <c r="P73" s="33"/>
    </row>
    <row r="74" ht="11.25" customHeight="1">
      <c r="A74" s="12">
        <f t="shared" si="1"/>
        <v>72</v>
      </c>
      <c r="B74" s="15" t="s">
        <v>24</v>
      </c>
      <c r="C74" s="17" t="s">
        <v>46</v>
      </c>
      <c r="D74" s="17" t="s">
        <v>1181</v>
      </c>
      <c r="E74" s="102" t="s">
        <v>84</v>
      </c>
      <c r="F74" s="102" t="s">
        <v>575</v>
      </c>
      <c r="G74" s="25" t="s">
        <v>36</v>
      </c>
      <c r="H74" s="26">
        <v>46261.0</v>
      </c>
      <c r="I74" s="17">
        <v>0.0</v>
      </c>
      <c r="J74" s="23" t="s">
        <v>57</v>
      </c>
      <c r="K74" s="28">
        <v>6000.0</v>
      </c>
      <c r="L74" s="28">
        <v>0.0</v>
      </c>
      <c r="M74" s="28">
        <v>0.0</v>
      </c>
      <c r="N74" s="28">
        <v>0.0</v>
      </c>
      <c r="O74" s="28">
        <v>0.0</v>
      </c>
      <c r="P74" s="33"/>
    </row>
    <row r="75" ht="11.25" customHeight="1">
      <c r="A75" s="12">
        <f t="shared" si="1"/>
        <v>73</v>
      </c>
      <c r="B75" s="15" t="s">
        <v>24</v>
      </c>
      <c r="C75" s="17" t="s">
        <v>46</v>
      </c>
      <c r="D75" s="17" t="s">
        <v>1186</v>
      </c>
      <c r="E75" s="23" t="s">
        <v>356</v>
      </c>
      <c r="F75" s="23" t="s">
        <v>388</v>
      </c>
      <c r="G75" s="25" t="s">
        <v>36</v>
      </c>
      <c r="H75" s="26">
        <v>46263.0</v>
      </c>
      <c r="I75" s="17">
        <v>0.0</v>
      </c>
      <c r="J75" s="23" t="s">
        <v>57</v>
      </c>
      <c r="K75" s="28">
        <v>7500.0</v>
      </c>
      <c r="L75" s="28">
        <v>0.0</v>
      </c>
      <c r="M75" s="28">
        <v>0.0</v>
      </c>
      <c r="N75" s="28">
        <v>0.0</v>
      </c>
      <c r="O75" s="28">
        <v>0.0</v>
      </c>
      <c r="P75" s="33"/>
    </row>
    <row r="76" ht="11.25" customHeight="1">
      <c r="A76" s="12">
        <f t="shared" si="1"/>
        <v>74</v>
      </c>
      <c r="B76" s="15" t="s">
        <v>24</v>
      </c>
      <c r="C76" s="17" t="s">
        <v>46</v>
      </c>
      <c r="D76" s="17" t="s">
        <v>1188</v>
      </c>
      <c r="E76" s="36" t="s">
        <v>1189</v>
      </c>
      <c r="F76" s="36" t="s">
        <v>1190</v>
      </c>
      <c r="G76" s="25" t="s">
        <v>36</v>
      </c>
      <c r="H76" s="26">
        <v>46264.0</v>
      </c>
      <c r="I76" s="17">
        <v>0.0</v>
      </c>
      <c r="J76" s="23" t="s">
        <v>57</v>
      </c>
      <c r="K76" s="28">
        <v>11500.0</v>
      </c>
      <c r="L76" s="28">
        <v>0.0</v>
      </c>
      <c r="M76" s="28">
        <v>0.0</v>
      </c>
      <c r="N76" s="76">
        <v>0.0</v>
      </c>
      <c r="O76" s="77">
        <v>0.0</v>
      </c>
      <c r="P76" s="33"/>
    </row>
    <row r="77" ht="11.25" customHeight="1">
      <c r="A77" s="12">
        <f t="shared" si="1"/>
        <v>75</v>
      </c>
      <c r="B77" s="15" t="s">
        <v>24</v>
      </c>
      <c r="C77" s="17" t="s">
        <v>87</v>
      </c>
      <c r="D77" s="49" t="s">
        <v>454</v>
      </c>
      <c r="E77" s="36" t="s">
        <v>91</v>
      </c>
      <c r="F77" s="51" t="s">
        <v>96</v>
      </c>
      <c r="G77" s="14" t="s">
        <v>34</v>
      </c>
      <c r="H77" s="38">
        <v>46264.0</v>
      </c>
      <c r="I77" s="49">
        <v>5.0</v>
      </c>
      <c r="J77" s="14" t="s">
        <v>38</v>
      </c>
      <c r="K77" s="53">
        <v>0.0</v>
      </c>
      <c r="L77" s="53">
        <v>100000.0</v>
      </c>
      <c r="M77" s="53">
        <v>0.0</v>
      </c>
      <c r="N77" s="44">
        <v>0.0</v>
      </c>
      <c r="O77" s="44">
        <v>0.0</v>
      </c>
      <c r="P77" s="33"/>
    </row>
    <row r="78" ht="11.25" customHeight="1">
      <c r="A78" s="12">
        <f t="shared" si="1"/>
        <v>76</v>
      </c>
      <c r="B78" s="15" t="s">
        <v>24</v>
      </c>
      <c r="C78" s="17" t="s">
        <v>46</v>
      </c>
      <c r="D78" s="17" t="s">
        <v>1196</v>
      </c>
      <c r="E78" s="152" t="s">
        <v>51</v>
      </c>
      <c r="F78" s="65" t="s">
        <v>428</v>
      </c>
      <c r="G78" s="25" t="s">
        <v>36</v>
      </c>
      <c r="H78" s="26">
        <v>46265.0</v>
      </c>
      <c r="I78" s="17">
        <v>0.0</v>
      </c>
      <c r="J78" s="23" t="s">
        <v>57</v>
      </c>
      <c r="K78" s="28">
        <v>7000.0</v>
      </c>
      <c r="L78" s="28">
        <v>0.0</v>
      </c>
      <c r="M78" s="28">
        <v>0.0</v>
      </c>
      <c r="N78" s="28">
        <v>0.0</v>
      </c>
      <c r="O78" s="28">
        <v>0.0</v>
      </c>
      <c r="P78" s="33"/>
    </row>
    <row r="79" ht="11.25" customHeight="1">
      <c r="A79" s="12">
        <f t="shared" si="1"/>
        <v>77</v>
      </c>
      <c r="B79" s="15" t="s">
        <v>24</v>
      </c>
      <c r="C79" s="17" t="s">
        <v>182</v>
      </c>
      <c r="D79" s="17" t="s">
        <v>1198</v>
      </c>
      <c r="E79" s="23" t="s">
        <v>33</v>
      </c>
      <c r="F79" s="23" t="s">
        <v>35</v>
      </c>
      <c r="G79" s="25" t="s">
        <v>37</v>
      </c>
      <c r="H79" s="26">
        <v>46265.0</v>
      </c>
      <c r="I79" s="17">
        <v>3.0</v>
      </c>
      <c r="J79" s="23" t="s">
        <v>38</v>
      </c>
      <c r="K79" s="28">
        <v>50000.0</v>
      </c>
      <c r="L79" s="28">
        <v>0.0</v>
      </c>
      <c r="M79" s="28">
        <v>0.0</v>
      </c>
      <c r="N79" s="28">
        <v>0.0</v>
      </c>
      <c r="O79" s="28">
        <v>0.0</v>
      </c>
      <c r="P79" s="33"/>
    </row>
    <row r="80" ht="11.25" customHeight="1">
      <c r="A80" s="12">
        <f t="shared" si="1"/>
        <v>78</v>
      </c>
      <c r="B80" s="15" t="s">
        <v>24</v>
      </c>
      <c r="C80" s="17" t="s">
        <v>46</v>
      </c>
      <c r="D80" s="17" t="s">
        <v>1200</v>
      </c>
      <c r="E80" s="65" t="s">
        <v>84</v>
      </c>
      <c r="F80" s="65" t="s">
        <v>329</v>
      </c>
      <c r="G80" s="25" t="s">
        <v>36</v>
      </c>
      <c r="H80" s="26">
        <v>46265.0</v>
      </c>
      <c r="I80" s="17">
        <v>0.0</v>
      </c>
      <c r="J80" s="23" t="s">
        <v>57</v>
      </c>
      <c r="K80" s="28">
        <v>0.0</v>
      </c>
      <c r="L80" s="28">
        <v>8300.0</v>
      </c>
      <c r="M80" s="28">
        <v>0.0</v>
      </c>
      <c r="N80" s="28">
        <v>0.0</v>
      </c>
      <c r="O80" s="28">
        <v>0.0</v>
      </c>
      <c r="P80" s="200"/>
    </row>
    <row r="81" ht="11.25" customHeight="1">
      <c r="A81" s="12">
        <f t="shared" si="1"/>
        <v>79</v>
      </c>
      <c r="B81" s="15" t="s">
        <v>24</v>
      </c>
      <c r="C81" s="17" t="s">
        <v>182</v>
      </c>
      <c r="D81" s="17" t="s">
        <v>1203</v>
      </c>
      <c r="E81" s="21" t="s">
        <v>142</v>
      </c>
      <c r="F81" s="23" t="s">
        <v>1204</v>
      </c>
      <c r="G81" s="25" t="s">
        <v>36</v>
      </c>
      <c r="H81" s="26">
        <v>46265.0</v>
      </c>
      <c r="I81" s="17">
        <v>10.0</v>
      </c>
      <c r="J81" s="23" t="s">
        <v>38</v>
      </c>
      <c r="K81" s="28">
        <v>20000.0</v>
      </c>
      <c r="L81" s="28">
        <v>0.0</v>
      </c>
      <c r="M81" s="28">
        <v>0.0</v>
      </c>
      <c r="N81" s="28">
        <v>0.0</v>
      </c>
      <c r="O81" s="28">
        <v>0.0</v>
      </c>
      <c r="P81" s="33"/>
    </row>
    <row r="82" ht="11.25" customHeight="1">
      <c r="A82" s="12">
        <f t="shared" si="1"/>
        <v>80</v>
      </c>
      <c r="B82" s="15" t="s">
        <v>24</v>
      </c>
      <c r="C82" s="17" t="s">
        <v>87</v>
      </c>
      <c r="D82" s="17" t="s">
        <v>1206</v>
      </c>
      <c r="E82" s="23" t="s">
        <v>49</v>
      </c>
      <c r="F82" s="23" t="s">
        <v>383</v>
      </c>
      <c r="G82" s="25" t="s">
        <v>36</v>
      </c>
      <c r="H82" s="26">
        <v>46265.0</v>
      </c>
      <c r="I82" s="17">
        <v>2.0</v>
      </c>
      <c r="J82" s="23" t="s">
        <v>38</v>
      </c>
      <c r="K82" s="28">
        <v>70000.0</v>
      </c>
      <c r="L82" s="28">
        <v>0.0</v>
      </c>
      <c r="M82" s="28">
        <v>0.0</v>
      </c>
      <c r="N82" s="28">
        <v>0.0</v>
      </c>
      <c r="O82" s="28">
        <v>0.0</v>
      </c>
      <c r="P82" s="33"/>
    </row>
    <row r="83" ht="11.25" customHeight="1">
      <c r="A83" s="12">
        <f t="shared" si="1"/>
        <v>81</v>
      </c>
      <c r="B83" s="15" t="s">
        <v>24</v>
      </c>
      <c r="C83" s="17" t="s">
        <v>182</v>
      </c>
      <c r="D83" s="17" t="s">
        <v>1209</v>
      </c>
      <c r="E83" s="22" t="s">
        <v>142</v>
      </c>
      <c r="F83" s="22" t="s">
        <v>452</v>
      </c>
      <c r="G83" s="14" t="s">
        <v>37</v>
      </c>
      <c r="H83" s="38">
        <v>46265.0</v>
      </c>
      <c r="I83" s="18">
        <v>0.0</v>
      </c>
      <c r="J83" s="22" t="s">
        <v>38</v>
      </c>
      <c r="K83" s="29">
        <v>5000.0</v>
      </c>
      <c r="L83" s="28">
        <v>0.0</v>
      </c>
      <c r="M83" s="28">
        <v>0.0</v>
      </c>
      <c r="N83" s="28">
        <v>0.0</v>
      </c>
      <c r="O83" s="28">
        <v>0.0</v>
      </c>
      <c r="P83" s="33"/>
    </row>
    <row r="84" ht="11.25" customHeight="1">
      <c r="A84" s="12">
        <f t="shared" si="1"/>
        <v>82</v>
      </c>
      <c r="B84" s="15" t="s">
        <v>24</v>
      </c>
      <c r="C84" s="17" t="s">
        <v>87</v>
      </c>
      <c r="D84" s="49" t="s">
        <v>456</v>
      </c>
      <c r="E84" s="36" t="s">
        <v>91</v>
      </c>
      <c r="F84" s="51" t="s">
        <v>96</v>
      </c>
      <c r="G84" s="14" t="s">
        <v>34</v>
      </c>
      <c r="H84" s="38">
        <v>46265.0</v>
      </c>
      <c r="I84" s="49">
        <v>0.0</v>
      </c>
      <c r="J84" s="14" t="s">
        <v>38</v>
      </c>
      <c r="K84" s="53">
        <v>0.0</v>
      </c>
      <c r="L84" s="53">
        <v>50000.0</v>
      </c>
      <c r="M84" s="53">
        <v>0.0</v>
      </c>
      <c r="N84" s="44">
        <v>0.0</v>
      </c>
      <c r="O84" s="44">
        <v>0.0</v>
      </c>
      <c r="P84" s="33"/>
    </row>
    <row r="85" ht="11.25" customHeight="1">
      <c r="A85" s="12"/>
      <c r="B85" s="12"/>
      <c r="C85" s="12"/>
      <c r="D85" s="12"/>
      <c r="E85" s="106"/>
      <c r="F85" s="106"/>
      <c r="G85" s="106"/>
      <c r="H85" s="107"/>
      <c r="I85" s="108"/>
      <c r="J85" s="108"/>
      <c r="K85" s="109"/>
      <c r="L85" s="109"/>
      <c r="M85" s="109"/>
      <c r="N85" s="109"/>
      <c r="O85" s="110"/>
      <c r="P85" s="112"/>
    </row>
    <row r="86" ht="11.25" customHeight="1">
      <c r="A86" s="12" t="str">
        <f t="shared" ref="A86:A88" si="2">IF(D86="","",SUBTOTAL(3,$D$3:D86))</f>
        <v/>
      </c>
      <c r="B86" s="12"/>
      <c r="C86" s="12"/>
      <c r="D86" s="12"/>
      <c r="E86" s="106"/>
      <c r="F86" s="106"/>
      <c r="G86" s="106"/>
      <c r="H86" s="118"/>
      <c r="I86" s="119" t="s">
        <v>21</v>
      </c>
      <c r="J86" s="120"/>
      <c r="K86" s="121"/>
      <c r="L86" s="121"/>
      <c r="M86" s="121"/>
      <c r="N86" s="121"/>
      <c r="O86" s="122"/>
      <c r="P86" s="123"/>
    </row>
    <row r="87" ht="11.25" customHeight="1">
      <c r="A87" s="12" t="str">
        <f t="shared" si="2"/>
        <v/>
      </c>
      <c r="B87" s="12"/>
      <c r="C87" s="12"/>
      <c r="D87" s="12"/>
      <c r="E87" s="106"/>
      <c r="F87" s="106"/>
      <c r="G87" s="106"/>
      <c r="H87" s="118"/>
      <c r="I87" s="124" t="s">
        <v>462</v>
      </c>
      <c r="J87" s="120"/>
      <c r="K87" s="125" t="s">
        <v>13</v>
      </c>
      <c r="L87" s="125" t="s">
        <v>14</v>
      </c>
      <c r="M87" s="125" t="s">
        <v>15</v>
      </c>
      <c r="N87" s="2" t="s">
        <v>465</v>
      </c>
      <c r="O87" s="119" t="s">
        <v>18</v>
      </c>
      <c r="P87" s="120"/>
    </row>
    <row r="88" ht="11.25" customHeight="1">
      <c r="A88" s="12" t="str">
        <f t="shared" si="2"/>
        <v/>
      </c>
      <c r="B88" s="126"/>
      <c r="C88" s="127"/>
      <c r="D88" s="128"/>
      <c r="E88" s="127"/>
      <c r="F88" s="127"/>
      <c r="G88" s="127"/>
      <c r="H88" s="129"/>
      <c r="I88" s="130">
        <f>SUM(I3:I87)</f>
        <v>41</v>
      </c>
      <c r="J88" s="120"/>
      <c r="K88" s="131">
        <f t="shared" ref="K88:O88" si="3">SUM(K3:K87)</f>
        <v>1987000</v>
      </c>
      <c r="L88" s="131">
        <f t="shared" si="3"/>
        <v>717300</v>
      </c>
      <c r="M88" s="131">
        <f t="shared" si="3"/>
        <v>1000000</v>
      </c>
      <c r="N88" s="131">
        <f t="shared" si="3"/>
        <v>0</v>
      </c>
      <c r="O88" s="131">
        <f t="shared" si="3"/>
        <v>0</v>
      </c>
      <c r="P88" s="133" t="s">
        <v>481</v>
      </c>
    </row>
    <row r="89" ht="11.25" customHeight="1">
      <c r="A89" s="134"/>
      <c r="B89" s="135"/>
      <c r="C89" s="135"/>
      <c r="D89" s="134"/>
      <c r="E89" s="135"/>
      <c r="F89" s="135"/>
      <c r="G89" s="135"/>
      <c r="H89" s="136"/>
      <c r="I89" s="137"/>
      <c r="J89" s="138"/>
      <c r="K89" s="139" t="s">
        <v>491</v>
      </c>
      <c r="L89" s="120"/>
      <c r="M89" s="140">
        <f>SUM(K88:M88)</f>
        <v>3704300</v>
      </c>
      <c r="N89" s="141"/>
      <c r="O89" s="141"/>
      <c r="P89" s="142"/>
    </row>
    <row r="90" ht="11.25" customHeight="1">
      <c r="A90" s="134"/>
      <c r="B90" s="135"/>
      <c r="C90" s="135"/>
      <c r="D90" s="134"/>
      <c r="E90" s="135"/>
      <c r="F90" s="135"/>
      <c r="G90" s="135"/>
      <c r="H90" s="136"/>
      <c r="I90" s="143"/>
      <c r="J90" s="144"/>
      <c r="K90" s="145" t="s">
        <v>506</v>
      </c>
      <c r="L90" s="120"/>
      <c r="M90" s="146">
        <f>SUM(M89-K7-K12-K13-K16-L20-K23-K27-K28-K29-K30-K31-K32-K33-K34-K37-K38-K41-L43-K44-K45-K46-K47-L49-K52-K54-K57-K58-K59-K60-K61-K67-K70-K71-K72-K74-K75-K76-K78-L80)</f>
        <v>3069000</v>
      </c>
      <c r="N90" s="147"/>
      <c r="O90" s="147"/>
      <c r="P90" s="148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P92" s="150"/>
    </row>
    <row r="93" ht="15.75" customHeight="1">
      <c r="A93" s="149"/>
      <c r="D93" s="149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</sheetData>
  <autoFilter ref="$A$2:$P$90"/>
  <mergeCells count="7">
    <mergeCell ref="A1:P1"/>
    <mergeCell ref="I86:J86"/>
    <mergeCell ref="I87:J87"/>
    <mergeCell ref="O87:P87"/>
    <mergeCell ref="I88:J88"/>
    <mergeCell ref="K89:L89"/>
    <mergeCell ref="K90:L90"/>
  </mergeCells>
  <dataValidations>
    <dataValidation type="list" allowBlank="1" showDropDown="1" showErrorMessage="1" sqref="C3:C84">
      <formula1>"Un Used,Batch-1,Batch-2,Batch-3,Branch"</formula1>
    </dataValidation>
  </dataValidation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10.14"/>
    <col customWidth="1" min="3" max="3" width="7.57"/>
    <col customWidth="1" min="4" max="4" width="6.57"/>
    <col customWidth="1" min="5" max="5" width="14.29"/>
    <col customWidth="1" min="6" max="6" width="17.0"/>
    <col customWidth="1" min="7" max="7" width="9.14"/>
    <col customWidth="1" min="8" max="8" width="9.57"/>
    <col customWidth="1" min="9" max="9" width="5.57"/>
    <col customWidth="1" min="10" max="10" width="9.0"/>
    <col customWidth="1" min="11" max="11" width="9.57"/>
    <col customWidth="1" min="12" max="12" width="10.57"/>
    <col customWidth="1" min="13" max="13" width="9.0"/>
    <col customWidth="1" min="14" max="14" width="8.0"/>
    <col customWidth="1" min="15" max="15" width="6.86"/>
    <col customWidth="1" min="16" max="16" width="10.14"/>
    <col customWidth="1" min="17" max="26" width="8.71"/>
  </cols>
  <sheetData>
    <row r="1" ht="19.5" customHeight="1">
      <c r="A1" s="3" t="s">
        <v>1038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7" t="s">
        <v>4</v>
      </c>
      <c r="D2" s="2" t="s">
        <v>5</v>
      </c>
      <c r="E2" s="2" t="s">
        <v>6</v>
      </c>
      <c r="F2" s="2" t="s">
        <v>17</v>
      </c>
      <c r="G2" s="2" t="s">
        <v>8</v>
      </c>
      <c r="H2" s="209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84" si="1">IF(D3="","",SUBTOTAL(3,$D$3:D3))</f>
        <v>1</v>
      </c>
      <c r="B3" s="15" t="s">
        <v>24</v>
      </c>
      <c r="C3" s="17" t="s">
        <v>58</v>
      </c>
      <c r="D3" s="17" t="s">
        <v>1055</v>
      </c>
      <c r="E3" s="23" t="s">
        <v>92</v>
      </c>
      <c r="F3" s="23" t="s">
        <v>1056</v>
      </c>
      <c r="G3" s="25" t="s">
        <v>37</v>
      </c>
      <c r="H3" s="95">
        <v>46205.0</v>
      </c>
      <c r="I3" s="17">
        <v>0.0</v>
      </c>
      <c r="J3" s="23" t="s">
        <v>38</v>
      </c>
      <c r="K3" s="28">
        <v>70000.0</v>
      </c>
      <c r="L3" s="28">
        <v>0.0</v>
      </c>
      <c r="M3" s="28">
        <v>0.0</v>
      </c>
      <c r="N3" s="28">
        <v>0.0</v>
      </c>
      <c r="O3" s="28">
        <v>0.0</v>
      </c>
      <c r="P3" s="73">
        <v>46183.0</v>
      </c>
    </row>
    <row r="4" ht="11.25" customHeight="1">
      <c r="A4" s="12">
        <f t="shared" si="1"/>
        <v>2</v>
      </c>
      <c r="B4" s="15" t="s">
        <v>24</v>
      </c>
      <c r="C4" s="17" t="s">
        <v>87</v>
      </c>
      <c r="D4" s="17" t="s">
        <v>1060</v>
      </c>
      <c r="E4" s="36" t="s">
        <v>377</v>
      </c>
      <c r="F4" s="36" t="s">
        <v>723</v>
      </c>
      <c r="G4" s="25" t="s">
        <v>37</v>
      </c>
      <c r="H4" s="26">
        <v>46205.0</v>
      </c>
      <c r="I4" s="17">
        <v>0.0</v>
      </c>
      <c r="J4" s="23" t="s">
        <v>38</v>
      </c>
      <c r="K4" s="28">
        <v>3000.0</v>
      </c>
      <c r="L4" s="210">
        <v>0.0</v>
      </c>
      <c r="M4" s="210">
        <v>0.0</v>
      </c>
      <c r="N4" s="28">
        <v>0.0</v>
      </c>
      <c r="O4" s="28">
        <v>0.0</v>
      </c>
      <c r="P4" s="33"/>
    </row>
    <row r="5" ht="11.25" customHeight="1">
      <c r="A5" s="12">
        <f t="shared" si="1"/>
        <v>3</v>
      </c>
      <c r="B5" s="15" t="s">
        <v>24</v>
      </c>
      <c r="C5" s="17" t="s">
        <v>87</v>
      </c>
      <c r="D5" s="211" t="s">
        <v>381</v>
      </c>
      <c r="E5" s="212" t="s">
        <v>377</v>
      </c>
      <c r="F5" s="212" t="s">
        <v>378</v>
      </c>
      <c r="G5" s="25" t="s">
        <v>34</v>
      </c>
      <c r="H5" s="95">
        <v>46205.0</v>
      </c>
      <c r="I5" s="211">
        <v>0.0</v>
      </c>
      <c r="J5" s="25" t="s">
        <v>38</v>
      </c>
      <c r="K5" s="213">
        <v>1900000.0</v>
      </c>
      <c r="L5" s="213">
        <v>0.0</v>
      </c>
      <c r="M5" s="214">
        <v>0.0</v>
      </c>
      <c r="N5" s="215">
        <v>0.0</v>
      </c>
      <c r="O5" s="215">
        <v>0.0</v>
      </c>
      <c r="P5" s="33"/>
    </row>
    <row r="6" ht="11.25" customHeight="1">
      <c r="A6" s="12">
        <f t="shared" si="1"/>
        <v>4</v>
      </c>
      <c r="B6" s="15" t="s">
        <v>24</v>
      </c>
      <c r="C6" s="17" t="s">
        <v>87</v>
      </c>
      <c r="D6" s="17" t="s">
        <v>1071</v>
      </c>
      <c r="E6" s="23" t="s">
        <v>91</v>
      </c>
      <c r="F6" s="23" t="s">
        <v>967</v>
      </c>
      <c r="G6" s="25" t="s">
        <v>36</v>
      </c>
      <c r="H6" s="26">
        <v>46207.0</v>
      </c>
      <c r="I6" s="17">
        <v>1.0</v>
      </c>
      <c r="J6" s="23" t="s">
        <v>38</v>
      </c>
      <c r="K6" s="28">
        <v>50000.0</v>
      </c>
      <c r="L6" s="210">
        <v>0.0</v>
      </c>
      <c r="M6" s="210">
        <v>0.0</v>
      </c>
      <c r="N6" s="28">
        <v>0.0</v>
      </c>
      <c r="O6" s="28">
        <v>0.0</v>
      </c>
      <c r="P6" s="33"/>
    </row>
    <row r="7" ht="11.25" customHeight="1">
      <c r="A7" s="12">
        <f t="shared" si="1"/>
        <v>5</v>
      </c>
      <c r="B7" s="15" t="s">
        <v>24</v>
      </c>
      <c r="C7" s="211" t="s">
        <v>46</v>
      </c>
      <c r="D7" s="211" t="s">
        <v>386</v>
      </c>
      <c r="E7" s="94" t="s">
        <v>184</v>
      </c>
      <c r="F7" s="94" t="s">
        <v>186</v>
      </c>
      <c r="G7" s="25" t="s">
        <v>34</v>
      </c>
      <c r="H7" s="95">
        <v>46208.0</v>
      </c>
      <c r="I7" s="211">
        <v>0.0</v>
      </c>
      <c r="J7" s="23" t="s">
        <v>57</v>
      </c>
      <c r="K7" s="213">
        <v>55000.0</v>
      </c>
      <c r="L7" s="213">
        <v>0.0</v>
      </c>
      <c r="M7" s="214">
        <v>0.0</v>
      </c>
      <c r="N7" s="215">
        <v>0.0</v>
      </c>
      <c r="O7" s="215">
        <v>0.0</v>
      </c>
      <c r="P7" s="33"/>
    </row>
    <row r="8" ht="11.25" customHeight="1">
      <c r="A8" s="12">
        <f t="shared" si="1"/>
        <v>6</v>
      </c>
      <c r="B8" s="15" t="s">
        <v>24</v>
      </c>
      <c r="C8" s="17" t="s">
        <v>58</v>
      </c>
      <c r="D8" s="211" t="s">
        <v>389</v>
      </c>
      <c r="E8" s="72" t="s">
        <v>116</v>
      </c>
      <c r="F8" s="72" t="s">
        <v>286</v>
      </c>
      <c r="G8" s="25" t="s">
        <v>34</v>
      </c>
      <c r="H8" s="95">
        <v>46209.0</v>
      </c>
      <c r="I8" s="211">
        <v>0.0</v>
      </c>
      <c r="J8" s="25" t="s">
        <v>38</v>
      </c>
      <c r="K8" s="213">
        <v>300000.0</v>
      </c>
      <c r="L8" s="213">
        <v>0.0</v>
      </c>
      <c r="M8" s="214">
        <v>0.0</v>
      </c>
      <c r="N8" s="215">
        <v>0.0</v>
      </c>
      <c r="O8" s="215">
        <v>0.0</v>
      </c>
      <c r="P8" s="33"/>
    </row>
    <row r="9" ht="11.25" customHeight="1">
      <c r="A9" s="12">
        <f t="shared" si="1"/>
        <v>7</v>
      </c>
      <c r="B9" s="15" t="s">
        <v>24</v>
      </c>
      <c r="C9" s="17" t="s">
        <v>182</v>
      </c>
      <c r="D9" s="17" t="s">
        <v>1082</v>
      </c>
      <c r="E9" s="51" t="s">
        <v>84</v>
      </c>
      <c r="F9" s="51" t="s">
        <v>531</v>
      </c>
      <c r="G9" s="25" t="s">
        <v>36</v>
      </c>
      <c r="H9" s="26">
        <v>46209.0</v>
      </c>
      <c r="I9" s="17">
        <v>1.0</v>
      </c>
      <c r="J9" s="23" t="s">
        <v>38</v>
      </c>
      <c r="K9" s="28">
        <v>1000.0</v>
      </c>
      <c r="L9" s="210">
        <v>0.0</v>
      </c>
      <c r="M9" s="210">
        <v>0.0</v>
      </c>
      <c r="N9" s="28">
        <v>0.0</v>
      </c>
      <c r="O9" s="28">
        <v>0.0</v>
      </c>
      <c r="P9" s="33"/>
    </row>
    <row r="10" ht="11.25" customHeight="1">
      <c r="A10" s="12">
        <f t="shared" si="1"/>
        <v>8</v>
      </c>
      <c r="B10" s="15" t="s">
        <v>24</v>
      </c>
      <c r="C10" s="17" t="s">
        <v>46</v>
      </c>
      <c r="D10" s="17">
        <v>92384.0</v>
      </c>
      <c r="E10" s="21" t="s">
        <v>51</v>
      </c>
      <c r="F10" s="21" t="s">
        <v>259</v>
      </c>
      <c r="G10" s="25" t="s">
        <v>36</v>
      </c>
      <c r="H10" s="26">
        <v>46209.0</v>
      </c>
      <c r="I10" s="17">
        <v>0.0</v>
      </c>
      <c r="J10" s="23" t="s">
        <v>57</v>
      </c>
      <c r="K10" s="28">
        <v>5000.0</v>
      </c>
      <c r="L10" s="210">
        <v>0.0</v>
      </c>
      <c r="M10" s="210">
        <v>0.0</v>
      </c>
      <c r="N10" s="28">
        <v>0.0</v>
      </c>
      <c r="O10" s="28">
        <v>0.0</v>
      </c>
      <c r="P10" s="33"/>
    </row>
    <row r="11" ht="11.25" customHeight="1">
      <c r="A11" s="12">
        <f t="shared" si="1"/>
        <v>9</v>
      </c>
      <c r="B11" s="15" t="s">
        <v>24</v>
      </c>
      <c r="C11" s="17" t="s">
        <v>182</v>
      </c>
      <c r="D11" s="17" t="s">
        <v>1087</v>
      </c>
      <c r="E11" s="23" t="s">
        <v>1016</v>
      </c>
      <c r="F11" s="23" t="s">
        <v>1088</v>
      </c>
      <c r="G11" s="25" t="s">
        <v>37</v>
      </c>
      <c r="H11" s="26">
        <v>46210.0</v>
      </c>
      <c r="I11" s="17">
        <v>0.0</v>
      </c>
      <c r="J11" s="23" t="s">
        <v>38</v>
      </c>
      <c r="K11" s="28">
        <v>30000.0</v>
      </c>
      <c r="L11" s="210">
        <v>0.0</v>
      </c>
      <c r="M11" s="210">
        <v>0.0</v>
      </c>
      <c r="N11" s="28">
        <v>0.0</v>
      </c>
      <c r="O11" s="28">
        <v>0.0</v>
      </c>
      <c r="P11" s="33"/>
    </row>
    <row r="12" ht="11.25" customHeight="1">
      <c r="A12" s="12">
        <f t="shared" si="1"/>
        <v>10</v>
      </c>
      <c r="B12" s="15" t="s">
        <v>24</v>
      </c>
      <c r="C12" s="17" t="s">
        <v>46</v>
      </c>
      <c r="D12" s="17" t="s">
        <v>1092</v>
      </c>
      <c r="E12" s="21" t="s">
        <v>487</v>
      </c>
      <c r="F12" s="21" t="s">
        <v>554</v>
      </c>
      <c r="G12" s="25" t="s">
        <v>36</v>
      </c>
      <c r="H12" s="26">
        <v>46210.0</v>
      </c>
      <c r="I12" s="17">
        <v>0.0</v>
      </c>
      <c r="J12" s="23" t="s">
        <v>57</v>
      </c>
      <c r="K12" s="28">
        <v>8000.0</v>
      </c>
      <c r="L12" s="210">
        <v>0.0</v>
      </c>
      <c r="M12" s="210">
        <v>0.0</v>
      </c>
      <c r="N12" s="28">
        <v>0.0</v>
      </c>
      <c r="O12" s="28">
        <v>0.0</v>
      </c>
      <c r="P12" s="33"/>
    </row>
    <row r="13" ht="11.25" customHeight="1">
      <c r="A13" s="12">
        <f t="shared" si="1"/>
        <v>11</v>
      </c>
      <c r="B13" s="15" t="s">
        <v>24</v>
      </c>
      <c r="C13" s="17" t="s">
        <v>46</v>
      </c>
      <c r="D13" s="17" t="s">
        <v>1096</v>
      </c>
      <c r="E13" s="21" t="s">
        <v>334</v>
      </c>
      <c r="F13" s="21" t="s">
        <v>922</v>
      </c>
      <c r="G13" s="25" t="s">
        <v>36</v>
      </c>
      <c r="H13" s="26">
        <v>46210.0</v>
      </c>
      <c r="I13" s="17">
        <v>0.0</v>
      </c>
      <c r="J13" s="23" t="s">
        <v>57</v>
      </c>
      <c r="K13" s="28">
        <v>0.0</v>
      </c>
      <c r="L13" s="28">
        <v>16000.0</v>
      </c>
      <c r="M13" s="210">
        <v>0.0</v>
      </c>
      <c r="N13" s="28">
        <v>0.0</v>
      </c>
      <c r="O13" s="28">
        <v>0.0</v>
      </c>
      <c r="P13" s="33"/>
    </row>
    <row r="14" ht="11.25" customHeight="1">
      <c r="A14" s="12">
        <f t="shared" si="1"/>
        <v>12</v>
      </c>
      <c r="B14" s="15" t="s">
        <v>24</v>
      </c>
      <c r="C14" s="17" t="s">
        <v>58</v>
      </c>
      <c r="D14" s="17" t="s">
        <v>1098</v>
      </c>
      <c r="E14" s="36" t="s">
        <v>60</v>
      </c>
      <c r="F14" s="36" t="s">
        <v>209</v>
      </c>
      <c r="G14" s="70" t="s">
        <v>212</v>
      </c>
      <c r="H14" s="26">
        <v>46210.0</v>
      </c>
      <c r="I14" s="17">
        <v>0.0</v>
      </c>
      <c r="J14" s="23" t="s">
        <v>38</v>
      </c>
      <c r="K14" s="28">
        <v>35000.0</v>
      </c>
      <c r="L14" s="210">
        <v>0.0</v>
      </c>
      <c r="M14" s="210">
        <v>0.0</v>
      </c>
      <c r="N14" s="28">
        <v>0.0</v>
      </c>
      <c r="O14" s="28">
        <v>0.0</v>
      </c>
      <c r="P14" s="33"/>
    </row>
    <row r="15" ht="11.25" customHeight="1">
      <c r="A15" s="12">
        <f t="shared" si="1"/>
        <v>13</v>
      </c>
      <c r="B15" s="15" t="s">
        <v>24</v>
      </c>
      <c r="C15" s="17" t="s">
        <v>46</v>
      </c>
      <c r="D15" s="17" t="s">
        <v>1101</v>
      </c>
      <c r="E15" s="21" t="s">
        <v>116</v>
      </c>
      <c r="F15" s="21" t="s">
        <v>117</v>
      </c>
      <c r="G15" s="25" t="s">
        <v>36</v>
      </c>
      <c r="H15" s="26">
        <v>46210.0</v>
      </c>
      <c r="I15" s="17">
        <v>0.0</v>
      </c>
      <c r="J15" s="23" t="s">
        <v>57</v>
      </c>
      <c r="K15" s="28">
        <v>8000.0</v>
      </c>
      <c r="L15" s="210">
        <v>0.0</v>
      </c>
      <c r="M15" s="210">
        <v>0.0</v>
      </c>
      <c r="N15" s="28">
        <v>0.0</v>
      </c>
      <c r="O15" s="28">
        <v>0.0</v>
      </c>
      <c r="P15" s="33"/>
    </row>
    <row r="16" ht="11.25" customHeight="1">
      <c r="A16" s="12">
        <f t="shared" si="1"/>
        <v>14</v>
      </c>
      <c r="B16" s="15" t="s">
        <v>24</v>
      </c>
      <c r="C16" s="17" t="s">
        <v>87</v>
      </c>
      <c r="D16" s="211" t="s">
        <v>391</v>
      </c>
      <c r="E16" s="36" t="s">
        <v>223</v>
      </c>
      <c r="F16" s="36" t="s">
        <v>392</v>
      </c>
      <c r="G16" s="25" t="s">
        <v>34</v>
      </c>
      <c r="H16" s="95">
        <v>46210.0</v>
      </c>
      <c r="I16" s="211">
        <v>3.0</v>
      </c>
      <c r="J16" s="25" t="s">
        <v>38</v>
      </c>
      <c r="K16" s="213">
        <v>50000.0</v>
      </c>
      <c r="L16" s="213">
        <v>0.0</v>
      </c>
      <c r="M16" s="214">
        <v>0.0</v>
      </c>
      <c r="N16" s="215">
        <v>0.0</v>
      </c>
      <c r="O16" s="215">
        <v>0.0</v>
      </c>
      <c r="P16" s="33"/>
    </row>
    <row r="17" ht="11.25" customHeight="1">
      <c r="A17" s="12">
        <f t="shared" si="1"/>
        <v>15</v>
      </c>
      <c r="B17" s="15" t="s">
        <v>24</v>
      </c>
      <c r="C17" s="17" t="s">
        <v>182</v>
      </c>
      <c r="D17" s="17" t="s">
        <v>1109</v>
      </c>
      <c r="E17" s="23" t="s">
        <v>33</v>
      </c>
      <c r="F17" s="23" t="s">
        <v>1110</v>
      </c>
      <c r="G17" s="25" t="s">
        <v>37</v>
      </c>
      <c r="H17" s="26">
        <v>46212.0</v>
      </c>
      <c r="I17" s="17">
        <v>3.0</v>
      </c>
      <c r="J17" s="23" t="s">
        <v>38</v>
      </c>
      <c r="K17" s="28">
        <v>50000.0</v>
      </c>
      <c r="L17" s="210">
        <v>0.0</v>
      </c>
      <c r="M17" s="210">
        <v>0.0</v>
      </c>
      <c r="N17" s="28">
        <v>0.0</v>
      </c>
      <c r="O17" s="28">
        <v>0.0</v>
      </c>
      <c r="P17" s="33"/>
    </row>
    <row r="18" ht="11.25" customHeight="1">
      <c r="A18" s="12">
        <f t="shared" si="1"/>
        <v>16</v>
      </c>
      <c r="B18" s="15" t="s">
        <v>24</v>
      </c>
      <c r="C18" s="17" t="s">
        <v>46</v>
      </c>
      <c r="D18" s="17" t="s">
        <v>1112</v>
      </c>
      <c r="E18" s="23" t="s">
        <v>33</v>
      </c>
      <c r="F18" s="23" t="s">
        <v>1113</v>
      </c>
      <c r="G18" s="25" t="s">
        <v>37</v>
      </c>
      <c r="H18" s="26">
        <v>46212.0</v>
      </c>
      <c r="I18" s="17">
        <v>0.0</v>
      </c>
      <c r="J18" s="23" t="s">
        <v>57</v>
      </c>
      <c r="K18" s="28">
        <v>29600.0</v>
      </c>
      <c r="L18" s="210">
        <v>0.0</v>
      </c>
      <c r="M18" s="210">
        <v>0.0</v>
      </c>
      <c r="N18" s="28">
        <v>0.0</v>
      </c>
      <c r="O18" s="28">
        <v>0.0</v>
      </c>
      <c r="P18" s="33"/>
    </row>
    <row r="19" ht="11.25" customHeight="1">
      <c r="A19" s="12">
        <f t="shared" si="1"/>
        <v>17</v>
      </c>
      <c r="B19" s="15" t="s">
        <v>24</v>
      </c>
      <c r="C19" s="17" t="s">
        <v>46</v>
      </c>
      <c r="D19" s="17" t="s">
        <v>1116</v>
      </c>
      <c r="E19" s="23" t="s">
        <v>33</v>
      </c>
      <c r="F19" s="23" t="s">
        <v>1113</v>
      </c>
      <c r="G19" s="25" t="s">
        <v>36</v>
      </c>
      <c r="H19" s="26">
        <v>46212.0</v>
      </c>
      <c r="I19" s="17">
        <v>0.0</v>
      </c>
      <c r="J19" s="23" t="s">
        <v>57</v>
      </c>
      <c r="K19" s="28">
        <v>40000.0</v>
      </c>
      <c r="L19" s="210">
        <v>0.0</v>
      </c>
      <c r="M19" s="210">
        <v>0.0</v>
      </c>
      <c r="N19" s="28">
        <v>0.0</v>
      </c>
      <c r="O19" s="28">
        <v>0.0</v>
      </c>
      <c r="P19" s="33"/>
    </row>
    <row r="20" ht="11.25" customHeight="1">
      <c r="A20" s="12">
        <f t="shared" si="1"/>
        <v>18</v>
      </c>
      <c r="B20" s="15" t="s">
        <v>24</v>
      </c>
      <c r="C20" s="17" t="s">
        <v>46</v>
      </c>
      <c r="D20" s="17" t="s">
        <v>1118</v>
      </c>
      <c r="E20" s="23" t="s">
        <v>33</v>
      </c>
      <c r="F20" s="23" t="s">
        <v>1113</v>
      </c>
      <c r="G20" s="23" t="s">
        <v>55</v>
      </c>
      <c r="H20" s="26">
        <v>46212.0</v>
      </c>
      <c r="I20" s="17">
        <v>0.0</v>
      </c>
      <c r="J20" s="23" t="s">
        <v>57</v>
      </c>
      <c r="K20" s="28">
        <v>29000.0</v>
      </c>
      <c r="L20" s="210">
        <v>0.0</v>
      </c>
      <c r="M20" s="210">
        <v>0.0</v>
      </c>
      <c r="N20" s="28">
        <v>0.0</v>
      </c>
      <c r="O20" s="28">
        <v>0.0</v>
      </c>
      <c r="P20" s="158"/>
    </row>
    <row r="21" ht="11.25" customHeight="1">
      <c r="A21" s="12">
        <f t="shared" si="1"/>
        <v>19</v>
      </c>
      <c r="B21" s="15" t="s">
        <v>24</v>
      </c>
      <c r="C21" s="17" t="s">
        <v>46</v>
      </c>
      <c r="D21" s="17" t="s">
        <v>1122</v>
      </c>
      <c r="E21" s="23" t="s">
        <v>33</v>
      </c>
      <c r="F21" s="23" t="s">
        <v>1123</v>
      </c>
      <c r="G21" s="25" t="s">
        <v>37</v>
      </c>
      <c r="H21" s="26">
        <v>46212.0</v>
      </c>
      <c r="I21" s="17">
        <v>0.0</v>
      </c>
      <c r="J21" s="23" t="s">
        <v>57</v>
      </c>
      <c r="K21" s="28">
        <v>29600.0</v>
      </c>
      <c r="L21" s="210">
        <v>0.0</v>
      </c>
      <c r="M21" s="210">
        <v>0.0</v>
      </c>
      <c r="N21" s="28">
        <v>0.0</v>
      </c>
      <c r="O21" s="28">
        <v>0.0</v>
      </c>
      <c r="P21" s="33"/>
    </row>
    <row r="22" ht="11.25" customHeight="1">
      <c r="A22" s="12">
        <f t="shared" si="1"/>
        <v>20</v>
      </c>
      <c r="B22" s="15" t="s">
        <v>24</v>
      </c>
      <c r="C22" s="17" t="s">
        <v>46</v>
      </c>
      <c r="D22" s="17" t="s">
        <v>1126</v>
      </c>
      <c r="E22" s="23" t="s">
        <v>33</v>
      </c>
      <c r="F22" s="23" t="s">
        <v>1123</v>
      </c>
      <c r="G22" s="25" t="s">
        <v>36</v>
      </c>
      <c r="H22" s="26">
        <v>46212.0</v>
      </c>
      <c r="I22" s="17">
        <v>0.0</v>
      </c>
      <c r="J22" s="23" t="s">
        <v>57</v>
      </c>
      <c r="K22" s="28">
        <v>40000.0</v>
      </c>
      <c r="L22" s="210">
        <v>0.0</v>
      </c>
      <c r="M22" s="210">
        <v>0.0</v>
      </c>
      <c r="N22" s="28">
        <v>0.0</v>
      </c>
      <c r="O22" s="28">
        <v>0.0</v>
      </c>
      <c r="P22" s="200"/>
    </row>
    <row r="23" ht="11.25" customHeight="1">
      <c r="A23" s="12">
        <f t="shared" si="1"/>
        <v>21</v>
      </c>
      <c r="B23" s="15" t="s">
        <v>24</v>
      </c>
      <c r="C23" s="17" t="s">
        <v>46</v>
      </c>
      <c r="D23" s="17" t="s">
        <v>1130</v>
      </c>
      <c r="E23" s="23" t="s">
        <v>33</v>
      </c>
      <c r="F23" s="23" t="s">
        <v>1123</v>
      </c>
      <c r="G23" s="23" t="s">
        <v>55</v>
      </c>
      <c r="H23" s="26">
        <v>46212.0</v>
      </c>
      <c r="I23" s="17">
        <v>0.0</v>
      </c>
      <c r="J23" s="23" t="s">
        <v>57</v>
      </c>
      <c r="K23" s="28">
        <v>29000.0</v>
      </c>
      <c r="L23" s="210">
        <v>0.0</v>
      </c>
      <c r="M23" s="210">
        <v>0.0</v>
      </c>
      <c r="N23" s="28">
        <v>0.0</v>
      </c>
      <c r="O23" s="28">
        <v>0.0</v>
      </c>
      <c r="P23" s="33"/>
    </row>
    <row r="24" ht="11.25" customHeight="1">
      <c r="A24" s="12">
        <f t="shared" si="1"/>
        <v>22</v>
      </c>
      <c r="B24" s="15" t="s">
        <v>24</v>
      </c>
      <c r="C24" s="17" t="s">
        <v>46</v>
      </c>
      <c r="D24" s="17" t="s">
        <v>1133</v>
      </c>
      <c r="E24" s="36" t="s">
        <v>60</v>
      </c>
      <c r="F24" s="36" t="s">
        <v>209</v>
      </c>
      <c r="G24" s="25" t="s">
        <v>36</v>
      </c>
      <c r="H24" s="26">
        <v>46212.0</v>
      </c>
      <c r="I24" s="17">
        <v>0.0</v>
      </c>
      <c r="J24" s="23" t="s">
        <v>57</v>
      </c>
      <c r="K24" s="28">
        <v>8900.0</v>
      </c>
      <c r="L24" s="210">
        <v>0.0</v>
      </c>
      <c r="M24" s="210">
        <v>0.0</v>
      </c>
      <c r="N24" s="28">
        <v>0.0</v>
      </c>
      <c r="O24" s="28">
        <v>0.0</v>
      </c>
      <c r="P24" s="33"/>
    </row>
    <row r="25" ht="11.25" customHeight="1">
      <c r="A25" s="12">
        <f t="shared" si="1"/>
        <v>23</v>
      </c>
      <c r="B25" s="15" t="s">
        <v>24</v>
      </c>
      <c r="C25" s="17" t="s">
        <v>46</v>
      </c>
      <c r="D25" s="17" t="s">
        <v>1135</v>
      </c>
      <c r="E25" s="65" t="s">
        <v>184</v>
      </c>
      <c r="F25" s="65" t="s">
        <v>449</v>
      </c>
      <c r="G25" s="25" t="s">
        <v>37</v>
      </c>
      <c r="H25" s="26">
        <v>46212.0</v>
      </c>
      <c r="I25" s="17">
        <v>0.0</v>
      </c>
      <c r="J25" s="23" t="s">
        <v>57</v>
      </c>
      <c r="K25" s="28">
        <v>5000.0</v>
      </c>
      <c r="L25" s="210">
        <v>0.0</v>
      </c>
      <c r="M25" s="210">
        <v>0.0</v>
      </c>
      <c r="N25" s="28">
        <v>0.0</v>
      </c>
      <c r="O25" s="28">
        <v>0.0</v>
      </c>
      <c r="P25" s="33"/>
    </row>
    <row r="26" ht="11.25" customHeight="1">
      <c r="A26" s="12">
        <f t="shared" si="1"/>
        <v>24</v>
      </c>
      <c r="B26" s="15" t="s">
        <v>24</v>
      </c>
      <c r="C26" s="17" t="s">
        <v>46</v>
      </c>
      <c r="D26" s="17" t="s">
        <v>1140</v>
      </c>
      <c r="E26" s="67" t="s">
        <v>49</v>
      </c>
      <c r="F26" s="67" t="s">
        <v>54</v>
      </c>
      <c r="G26" s="23" t="s">
        <v>55</v>
      </c>
      <c r="H26" s="26">
        <v>46212.0</v>
      </c>
      <c r="I26" s="17">
        <v>0.0</v>
      </c>
      <c r="J26" s="23" t="s">
        <v>57</v>
      </c>
      <c r="K26" s="28">
        <v>5000.0</v>
      </c>
      <c r="L26" s="210">
        <v>0.0</v>
      </c>
      <c r="M26" s="210">
        <v>0.0</v>
      </c>
      <c r="N26" s="28">
        <v>0.0</v>
      </c>
      <c r="O26" s="28">
        <v>0.0</v>
      </c>
      <c r="P26" s="33"/>
    </row>
    <row r="27" ht="11.25" customHeight="1">
      <c r="A27" s="12">
        <f t="shared" si="1"/>
        <v>25</v>
      </c>
      <c r="B27" s="15" t="s">
        <v>24</v>
      </c>
      <c r="C27" s="17" t="s">
        <v>46</v>
      </c>
      <c r="D27" s="17" t="s">
        <v>1143</v>
      </c>
      <c r="E27" s="65" t="s">
        <v>208</v>
      </c>
      <c r="F27" s="65" t="s">
        <v>653</v>
      </c>
      <c r="G27" s="25" t="s">
        <v>37</v>
      </c>
      <c r="H27" s="26">
        <v>46212.0</v>
      </c>
      <c r="I27" s="17">
        <v>0.0</v>
      </c>
      <c r="J27" s="23" t="s">
        <v>57</v>
      </c>
      <c r="K27" s="28">
        <v>6000.0</v>
      </c>
      <c r="L27" s="210">
        <v>0.0</v>
      </c>
      <c r="M27" s="210">
        <v>0.0</v>
      </c>
      <c r="N27" s="28">
        <v>0.0</v>
      </c>
      <c r="O27" s="28">
        <v>0.0</v>
      </c>
      <c r="P27" s="33"/>
    </row>
    <row r="28" ht="11.25" customHeight="1">
      <c r="A28" s="12">
        <f t="shared" si="1"/>
        <v>26</v>
      </c>
      <c r="B28" s="15" t="s">
        <v>24</v>
      </c>
      <c r="C28" s="17" t="s">
        <v>58</v>
      </c>
      <c r="D28" s="35" t="s">
        <v>1147</v>
      </c>
      <c r="E28" s="23" t="s">
        <v>1148</v>
      </c>
      <c r="F28" s="23" t="s">
        <v>1149</v>
      </c>
      <c r="G28" s="25" t="s">
        <v>37</v>
      </c>
      <c r="H28" s="26">
        <v>46212.0</v>
      </c>
      <c r="I28" s="17">
        <v>2.0</v>
      </c>
      <c r="J28" s="23" t="s">
        <v>38</v>
      </c>
      <c r="K28" s="28">
        <v>25000.0</v>
      </c>
      <c r="L28" s="210">
        <v>0.0</v>
      </c>
      <c r="M28" s="210">
        <v>0.0</v>
      </c>
      <c r="N28" s="28">
        <v>0.0</v>
      </c>
      <c r="O28" s="28">
        <v>0.0</v>
      </c>
      <c r="P28" s="33"/>
    </row>
    <row r="29" ht="11.25" customHeight="1">
      <c r="A29" s="12">
        <f t="shared" si="1"/>
        <v>27</v>
      </c>
      <c r="B29" s="15" t="s">
        <v>24</v>
      </c>
      <c r="C29" s="17" t="s">
        <v>46</v>
      </c>
      <c r="D29" s="17" t="s">
        <v>1152</v>
      </c>
      <c r="E29" s="65" t="s">
        <v>293</v>
      </c>
      <c r="F29" s="67" t="s">
        <v>294</v>
      </c>
      <c r="G29" s="25" t="s">
        <v>37</v>
      </c>
      <c r="H29" s="26">
        <v>46212.0</v>
      </c>
      <c r="I29" s="17">
        <v>0.0</v>
      </c>
      <c r="J29" s="23" t="s">
        <v>57</v>
      </c>
      <c r="K29" s="28">
        <v>3100.0</v>
      </c>
      <c r="L29" s="210">
        <v>0.0</v>
      </c>
      <c r="M29" s="210">
        <v>0.0</v>
      </c>
      <c r="N29" s="28">
        <v>0.0</v>
      </c>
      <c r="O29" s="28">
        <v>0.0</v>
      </c>
      <c r="P29" s="33"/>
    </row>
    <row r="30" ht="11.25" customHeight="1">
      <c r="A30" s="12">
        <f t="shared" si="1"/>
        <v>28</v>
      </c>
      <c r="B30" s="15" t="s">
        <v>24</v>
      </c>
      <c r="C30" s="17" t="s">
        <v>87</v>
      </c>
      <c r="D30" s="17" t="s">
        <v>1156</v>
      </c>
      <c r="E30" s="66" t="s">
        <v>49</v>
      </c>
      <c r="F30" s="66" t="s">
        <v>265</v>
      </c>
      <c r="G30" s="25" t="s">
        <v>36</v>
      </c>
      <c r="H30" s="26">
        <v>46212.0</v>
      </c>
      <c r="I30" s="17">
        <v>0.0</v>
      </c>
      <c r="J30" s="23" t="s">
        <v>38</v>
      </c>
      <c r="K30" s="28">
        <v>20000.0</v>
      </c>
      <c r="L30" s="210">
        <v>0.0</v>
      </c>
      <c r="M30" s="210">
        <v>0.0</v>
      </c>
      <c r="N30" s="28">
        <v>0.0</v>
      </c>
      <c r="O30" s="28">
        <v>0.0</v>
      </c>
      <c r="P30" s="33"/>
    </row>
    <row r="31" ht="11.25" customHeight="1">
      <c r="A31" s="12">
        <f t="shared" si="1"/>
        <v>29</v>
      </c>
      <c r="B31" s="15" t="s">
        <v>24</v>
      </c>
      <c r="C31" s="17" t="s">
        <v>46</v>
      </c>
      <c r="D31" s="17" t="s">
        <v>1158</v>
      </c>
      <c r="E31" s="23" t="s">
        <v>33</v>
      </c>
      <c r="F31" s="23" t="s">
        <v>1159</v>
      </c>
      <c r="G31" s="25" t="s">
        <v>36</v>
      </c>
      <c r="H31" s="26">
        <v>46215.0</v>
      </c>
      <c r="I31" s="17">
        <v>0.0</v>
      </c>
      <c r="J31" s="23" t="s">
        <v>57</v>
      </c>
      <c r="K31" s="28">
        <v>50000.0</v>
      </c>
      <c r="L31" s="210">
        <v>0.0</v>
      </c>
      <c r="M31" s="210">
        <v>0.0</v>
      </c>
      <c r="N31" s="28">
        <v>0.0</v>
      </c>
      <c r="O31" s="28">
        <v>0.0</v>
      </c>
      <c r="P31" s="33"/>
    </row>
    <row r="32" ht="11.25" customHeight="1">
      <c r="A32" s="12">
        <f t="shared" si="1"/>
        <v>30</v>
      </c>
      <c r="B32" s="15" t="s">
        <v>24</v>
      </c>
      <c r="C32" s="17" t="s">
        <v>46</v>
      </c>
      <c r="D32" s="17" t="s">
        <v>1161</v>
      </c>
      <c r="E32" s="21" t="s">
        <v>44</v>
      </c>
      <c r="F32" s="21" t="s">
        <v>45</v>
      </c>
      <c r="G32" s="25" t="s">
        <v>36</v>
      </c>
      <c r="H32" s="26">
        <v>46215.0</v>
      </c>
      <c r="I32" s="17">
        <v>0.0</v>
      </c>
      <c r="J32" s="23" t="s">
        <v>57</v>
      </c>
      <c r="K32" s="28">
        <v>8000.0</v>
      </c>
      <c r="L32" s="210">
        <v>0.0</v>
      </c>
      <c r="M32" s="210">
        <v>0.0</v>
      </c>
      <c r="N32" s="28">
        <v>0.0</v>
      </c>
      <c r="O32" s="28">
        <v>0.0</v>
      </c>
      <c r="P32" s="33"/>
    </row>
    <row r="33" ht="11.25" customHeight="1">
      <c r="A33" s="12">
        <f t="shared" si="1"/>
        <v>31</v>
      </c>
      <c r="B33" s="15" t="s">
        <v>24</v>
      </c>
      <c r="C33" s="17" t="s">
        <v>46</v>
      </c>
      <c r="D33" s="17" t="s">
        <v>1165</v>
      </c>
      <c r="E33" s="25" t="s">
        <v>142</v>
      </c>
      <c r="F33" s="25" t="s">
        <v>584</v>
      </c>
      <c r="G33" s="25" t="s">
        <v>36</v>
      </c>
      <c r="H33" s="26">
        <v>46215.0</v>
      </c>
      <c r="I33" s="15">
        <v>0.0</v>
      </c>
      <c r="J33" s="25" t="s">
        <v>57</v>
      </c>
      <c r="K33" s="28">
        <v>20000.0</v>
      </c>
      <c r="L33" s="28">
        <v>0.0</v>
      </c>
      <c r="M33" s="28">
        <v>0.0</v>
      </c>
      <c r="N33" s="28">
        <v>0.0</v>
      </c>
      <c r="O33" s="28">
        <v>0.0</v>
      </c>
      <c r="P33" s="33"/>
    </row>
    <row r="34" ht="11.25" customHeight="1">
      <c r="A34" s="12">
        <f t="shared" si="1"/>
        <v>32</v>
      </c>
      <c r="B34" s="15" t="s">
        <v>24</v>
      </c>
      <c r="C34" s="17" t="s">
        <v>46</v>
      </c>
      <c r="D34" s="17" t="s">
        <v>1167</v>
      </c>
      <c r="E34" s="21" t="s">
        <v>180</v>
      </c>
      <c r="F34" s="21" t="s">
        <v>288</v>
      </c>
      <c r="G34" s="25" t="s">
        <v>36</v>
      </c>
      <c r="H34" s="26">
        <v>46216.0</v>
      </c>
      <c r="I34" s="17">
        <v>0.0</v>
      </c>
      <c r="J34" s="23" t="s">
        <v>57</v>
      </c>
      <c r="K34" s="28">
        <v>9000.0</v>
      </c>
      <c r="L34" s="210">
        <v>0.0</v>
      </c>
      <c r="M34" s="210">
        <v>0.0</v>
      </c>
      <c r="N34" s="28">
        <v>0.0</v>
      </c>
      <c r="O34" s="28">
        <v>0.0</v>
      </c>
      <c r="P34" s="33"/>
    </row>
    <row r="35" ht="11.25" customHeight="1">
      <c r="A35" s="12">
        <f t="shared" si="1"/>
        <v>33</v>
      </c>
      <c r="B35" s="15" t="s">
        <v>24</v>
      </c>
      <c r="C35" s="17" t="s">
        <v>182</v>
      </c>
      <c r="D35" s="17" t="s">
        <v>1170</v>
      </c>
      <c r="E35" s="198" t="s">
        <v>1016</v>
      </c>
      <c r="F35" s="198" t="s">
        <v>1088</v>
      </c>
      <c r="G35" s="25" t="s">
        <v>37</v>
      </c>
      <c r="H35" s="26">
        <v>46216.0</v>
      </c>
      <c r="I35" s="17">
        <v>0.0</v>
      </c>
      <c r="J35" s="23" t="s">
        <v>38</v>
      </c>
      <c r="K35" s="28">
        <v>62000.0</v>
      </c>
      <c r="L35" s="28">
        <v>0.0</v>
      </c>
      <c r="M35" s="28">
        <v>0.0</v>
      </c>
      <c r="N35" s="28">
        <v>0.0</v>
      </c>
      <c r="O35" s="28">
        <v>0.0</v>
      </c>
      <c r="P35" s="33"/>
    </row>
    <row r="36" ht="11.25" customHeight="1">
      <c r="A36" s="12">
        <f t="shared" si="1"/>
        <v>34</v>
      </c>
      <c r="B36" s="15" t="s">
        <v>24</v>
      </c>
      <c r="C36" s="17" t="s">
        <v>46</v>
      </c>
      <c r="D36" s="17" t="s">
        <v>1172</v>
      </c>
      <c r="E36" s="72" t="s">
        <v>272</v>
      </c>
      <c r="F36" s="72" t="s">
        <v>274</v>
      </c>
      <c r="G36" s="25" t="s">
        <v>36</v>
      </c>
      <c r="H36" s="26">
        <v>46216.0</v>
      </c>
      <c r="I36" s="17">
        <v>0.0</v>
      </c>
      <c r="J36" s="23" t="s">
        <v>57</v>
      </c>
      <c r="K36" s="28">
        <v>5000.0</v>
      </c>
      <c r="L36" s="210">
        <v>0.0</v>
      </c>
      <c r="M36" s="210">
        <v>0.0</v>
      </c>
      <c r="N36" s="28">
        <v>0.0</v>
      </c>
      <c r="O36" s="28">
        <v>0.0</v>
      </c>
      <c r="P36" s="33"/>
      <c r="Q36" s="11"/>
      <c r="R36" s="11"/>
      <c r="T36" s="11"/>
      <c r="U36" s="11"/>
      <c r="V36" s="11"/>
      <c r="W36" s="11"/>
      <c r="X36" s="11"/>
      <c r="Y36" s="11"/>
      <c r="Z36" s="11"/>
    </row>
    <row r="37" ht="11.25" customHeight="1">
      <c r="A37" s="12">
        <f t="shared" si="1"/>
        <v>35</v>
      </c>
      <c r="B37" s="15" t="s">
        <v>24</v>
      </c>
      <c r="C37" s="17" t="s">
        <v>182</v>
      </c>
      <c r="D37" s="17" t="s">
        <v>1176</v>
      </c>
      <c r="E37" s="198" t="s">
        <v>84</v>
      </c>
      <c r="F37" s="198" t="s">
        <v>531</v>
      </c>
      <c r="G37" s="25" t="s">
        <v>36</v>
      </c>
      <c r="H37" s="26">
        <v>46216.0</v>
      </c>
      <c r="I37" s="17">
        <v>0.0</v>
      </c>
      <c r="J37" s="23" t="s">
        <v>38</v>
      </c>
      <c r="K37" s="28">
        <v>9000.0</v>
      </c>
      <c r="L37" s="28">
        <v>0.0</v>
      </c>
      <c r="M37" s="28">
        <v>0.0</v>
      </c>
      <c r="N37" s="28">
        <v>0.0</v>
      </c>
      <c r="O37" s="28">
        <v>0.0</v>
      </c>
      <c r="P37" s="33"/>
    </row>
    <row r="38" ht="11.25" customHeight="1">
      <c r="A38" s="12">
        <f t="shared" si="1"/>
        <v>36</v>
      </c>
      <c r="B38" s="15" t="s">
        <v>24</v>
      </c>
      <c r="C38" s="211" t="s">
        <v>46</v>
      </c>
      <c r="D38" s="211" t="s">
        <v>395</v>
      </c>
      <c r="E38" s="72" t="s">
        <v>272</v>
      </c>
      <c r="F38" s="72" t="s">
        <v>274</v>
      </c>
      <c r="G38" s="25" t="s">
        <v>34</v>
      </c>
      <c r="H38" s="26">
        <v>46216.0</v>
      </c>
      <c r="I38" s="15">
        <v>0.0</v>
      </c>
      <c r="J38" s="25" t="s">
        <v>57</v>
      </c>
      <c r="K38" s="28">
        <v>20000.0</v>
      </c>
      <c r="L38" s="28">
        <v>0.0</v>
      </c>
      <c r="M38" s="28">
        <v>0.0</v>
      </c>
      <c r="N38" s="28">
        <v>0.0</v>
      </c>
      <c r="O38" s="215">
        <v>0.0</v>
      </c>
      <c r="P38" s="33"/>
    </row>
    <row r="39" ht="11.25" customHeight="1">
      <c r="A39" s="12">
        <f t="shared" si="1"/>
        <v>37</v>
      </c>
      <c r="B39" s="15" t="s">
        <v>24</v>
      </c>
      <c r="C39" s="17" t="s">
        <v>46</v>
      </c>
      <c r="D39" s="17" t="s">
        <v>1182</v>
      </c>
      <c r="E39" s="23" t="s">
        <v>279</v>
      </c>
      <c r="F39" s="23" t="s">
        <v>1183</v>
      </c>
      <c r="G39" s="25" t="s">
        <v>36</v>
      </c>
      <c r="H39" s="26">
        <v>46217.0</v>
      </c>
      <c r="I39" s="17">
        <v>0.0</v>
      </c>
      <c r="J39" s="23" t="s">
        <v>57</v>
      </c>
      <c r="K39" s="28">
        <v>10000.0</v>
      </c>
      <c r="L39" s="210">
        <v>0.0</v>
      </c>
      <c r="M39" s="210">
        <v>0.0</v>
      </c>
      <c r="N39" s="28">
        <v>0.0</v>
      </c>
      <c r="O39" s="28">
        <v>0.0</v>
      </c>
      <c r="P39" s="33"/>
    </row>
    <row r="40" ht="11.25" customHeight="1">
      <c r="A40" s="12">
        <f t="shared" si="1"/>
        <v>38</v>
      </c>
      <c r="B40" s="15" t="s">
        <v>24</v>
      </c>
      <c r="C40" s="17" t="s">
        <v>46</v>
      </c>
      <c r="D40" s="17" t="s">
        <v>1185</v>
      </c>
      <c r="E40" s="152" t="s">
        <v>51</v>
      </c>
      <c r="F40" s="65" t="s">
        <v>428</v>
      </c>
      <c r="G40" s="25" t="s">
        <v>36</v>
      </c>
      <c r="H40" s="26">
        <v>46217.0</v>
      </c>
      <c r="I40" s="17">
        <v>0.0</v>
      </c>
      <c r="J40" s="23" t="s">
        <v>57</v>
      </c>
      <c r="K40" s="28">
        <v>7000.0</v>
      </c>
      <c r="L40" s="210">
        <v>0.0</v>
      </c>
      <c r="M40" s="210">
        <v>0.0</v>
      </c>
      <c r="N40" s="28">
        <v>0.0</v>
      </c>
      <c r="O40" s="28">
        <v>0.0</v>
      </c>
      <c r="P40" s="33"/>
    </row>
    <row r="41" ht="11.25" customHeight="1">
      <c r="A41" s="12">
        <f t="shared" si="1"/>
        <v>39</v>
      </c>
      <c r="B41" s="15" t="s">
        <v>24</v>
      </c>
      <c r="C41" s="17" t="s">
        <v>46</v>
      </c>
      <c r="D41" s="211" t="s">
        <v>399</v>
      </c>
      <c r="E41" s="21" t="s">
        <v>28</v>
      </c>
      <c r="F41" s="21" t="s">
        <v>79</v>
      </c>
      <c r="G41" s="25" t="s">
        <v>34</v>
      </c>
      <c r="H41" s="26">
        <v>46217.0</v>
      </c>
      <c r="I41" s="211">
        <v>0.0</v>
      </c>
      <c r="J41" s="25" t="s">
        <v>57</v>
      </c>
      <c r="K41" s="213">
        <v>0.0</v>
      </c>
      <c r="L41" s="213">
        <v>50000.0</v>
      </c>
      <c r="M41" s="28">
        <v>0.0</v>
      </c>
      <c r="N41" s="28">
        <v>0.0</v>
      </c>
      <c r="O41" s="215">
        <v>0.0</v>
      </c>
      <c r="P41" s="30"/>
    </row>
    <row r="42" ht="11.25" customHeight="1">
      <c r="A42" s="12">
        <f t="shared" si="1"/>
        <v>40</v>
      </c>
      <c r="B42" s="15" t="s">
        <v>24</v>
      </c>
      <c r="C42" s="211" t="s">
        <v>46</v>
      </c>
      <c r="D42" s="211" t="s">
        <v>402</v>
      </c>
      <c r="E42" s="21" t="s">
        <v>28</v>
      </c>
      <c r="F42" s="21" t="s">
        <v>32</v>
      </c>
      <c r="G42" s="25" t="s">
        <v>34</v>
      </c>
      <c r="H42" s="26">
        <v>46218.0</v>
      </c>
      <c r="I42" s="211">
        <v>0.0</v>
      </c>
      <c r="J42" s="23" t="s">
        <v>57</v>
      </c>
      <c r="K42" s="214">
        <v>0.0</v>
      </c>
      <c r="L42" s="214">
        <v>50000.0</v>
      </c>
      <c r="M42" s="28">
        <v>0.0</v>
      </c>
      <c r="N42" s="28">
        <v>0.0</v>
      </c>
      <c r="O42" s="215">
        <v>0.0</v>
      </c>
      <c r="P42" s="33"/>
    </row>
    <row r="43" ht="11.25" customHeight="1">
      <c r="A43" s="12">
        <f t="shared" si="1"/>
        <v>41</v>
      </c>
      <c r="B43" s="15" t="s">
        <v>24</v>
      </c>
      <c r="C43" s="17" t="s">
        <v>182</v>
      </c>
      <c r="D43" s="17" t="s">
        <v>1194</v>
      </c>
      <c r="E43" s="198" t="s">
        <v>84</v>
      </c>
      <c r="F43" s="198" t="s">
        <v>531</v>
      </c>
      <c r="G43" s="25" t="s">
        <v>36</v>
      </c>
      <c r="H43" s="26">
        <v>46219.0</v>
      </c>
      <c r="I43" s="17">
        <v>0.0</v>
      </c>
      <c r="J43" s="23" t="s">
        <v>38</v>
      </c>
      <c r="K43" s="28">
        <v>55000.0</v>
      </c>
      <c r="L43" s="28">
        <v>0.0</v>
      </c>
      <c r="M43" s="28">
        <v>0.0</v>
      </c>
      <c r="N43" s="28">
        <v>0.0</v>
      </c>
      <c r="O43" s="28">
        <v>0.0</v>
      </c>
      <c r="P43" s="33"/>
    </row>
    <row r="44" ht="11.25" customHeight="1">
      <c r="A44" s="12">
        <f t="shared" si="1"/>
        <v>42</v>
      </c>
      <c r="B44" s="15" t="s">
        <v>24</v>
      </c>
      <c r="C44" s="17" t="s">
        <v>58</v>
      </c>
      <c r="D44" s="17" t="s">
        <v>1197</v>
      </c>
      <c r="E44" s="25" t="s">
        <v>184</v>
      </c>
      <c r="F44" s="25" t="s">
        <v>449</v>
      </c>
      <c r="G44" s="25" t="s">
        <v>36</v>
      </c>
      <c r="H44" s="26">
        <v>46219.0</v>
      </c>
      <c r="I44" s="17">
        <v>1.0</v>
      </c>
      <c r="J44" s="25" t="s">
        <v>38</v>
      </c>
      <c r="K44" s="28">
        <v>30000.0</v>
      </c>
      <c r="L44" s="100">
        <v>0.0</v>
      </c>
      <c r="M44" s="100">
        <v>0.0</v>
      </c>
      <c r="N44" s="100">
        <v>0.0</v>
      </c>
      <c r="O44" s="100">
        <v>0.0</v>
      </c>
      <c r="P44" s="33"/>
    </row>
    <row r="45" ht="11.25" customHeight="1">
      <c r="A45" s="12">
        <f t="shared" si="1"/>
        <v>43</v>
      </c>
      <c r="B45" s="15" t="s">
        <v>24</v>
      </c>
      <c r="C45" s="17" t="s">
        <v>182</v>
      </c>
      <c r="D45" s="17" t="s">
        <v>1201</v>
      </c>
      <c r="E45" s="198" t="s">
        <v>84</v>
      </c>
      <c r="F45" s="223" t="s">
        <v>517</v>
      </c>
      <c r="G45" s="25" t="s">
        <v>36</v>
      </c>
      <c r="H45" s="26">
        <v>46219.0</v>
      </c>
      <c r="I45" s="17">
        <v>1.0</v>
      </c>
      <c r="J45" s="23" t="s">
        <v>38</v>
      </c>
      <c r="K45" s="28">
        <v>40000.0</v>
      </c>
      <c r="L45" s="28">
        <v>0.0</v>
      </c>
      <c r="M45" s="28">
        <v>0.0</v>
      </c>
      <c r="N45" s="28">
        <v>0.0</v>
      </c>
      <c r="O45" s="28">
        <v>0.0</v>
      </c>
      <c r="P45" s="105"/>
    </row>
    <row r="46" ht="11.25" customHeight="1">
      <c r="A46" s="12">
        <f t="shared" si="1"/>
        <v>44</v>
      </c>
      <c r="B46" s="15" t="s">
        <v>24</v>
      </c>
      <c r="C46" s="17" t="s">
        <v>46</v>
      </c>
      <c r="D46" s="17" t="s">
        <v>1207</v>
      </c>
      <c r="E46" s="23" t="s">
        <v>33</v>
      </c>
      <c r="F46" s="23" t="s">
        <v>965</v>
      </c>
      <c r="G46" s="25" t="s">
        <v>37</v>
      </c>
      <c r="H46" s="26">
        <v>46219.0</v>
      </c>
      <c r="I46" s="17">
        <v>0.0</v>
      </c>
      <c r="J46" s="23" t="s">
        <v>57</v>
      </c>
      <c r="K46" s="28">
        <v>50000.0</v>
      </c>
      <c r="L46" s="28">
        <v>0.0</v>
      </c>
      <c r="M46" s="28">
        <v>0.0</v>
      </c>
      <c r="N46" s="28">
        <v>0.0</v>
      </c>
      <c r="O46" s="28">
        <v>0.0</v>
      </c>
      <c r="P46" s="33"/>
    </row>
    <row r="47" ht="11.25" customHeight="1">
      <c r="A47" s="12">
        <f t="shared" si="1"/>
        <v>45</v>
      </c>
      <c r="B47" s="15" t="s">
        <v>24</v>
      </c>
      <c r="C47" s="17" t="s">
        <v>87</v>
      </c>
      <c r="D47" s="17" t="s">
        <v>1210</v>
      </c>
      <c r="E47" s="223" t="s">
        <v>91</v>
      </c>
      <c r="F47" s="223" t="s">
        <v>135</v>
      </c>
      <c r="G47" s="25" t="s">
        <v>37</v>
      </c>
      <c r="H47" s="26">
        <v>46219.0</v>
      </c>
      <c r="I47" s="17">
        <v>1.0</v>
      </c>
      <c r="J47" s="23" t="s">
        <v>38</v>
      </c>
      <c r="K47" s="28">
        <v>100000.0</v>
      </c>
      <c r="L47" s="28">
        <v>0.0</v>
      </c>
      <c r="M47" s="28">
        <v>0.0</v>
      </c>
      <c r="N47" s="28">
        <v>0.0</v>
      </c>
      <c r="O47" s="28">
        <v>0.0</v>
      </c>
      <c r="P47" s="30"/>
    </row>
    <row r="48" ht="11.25" customHeight="1">
      <c r="A48" s="12">
        <f t="shared" si="1"/>
        <v>46</v>
      </c>
      <c r="B48" s="15" t="s">
        <v>24</v>
      </c>
      <c r="C48" s="17" t="s">
        <v>46</v>
      </c>
      <c r="D48" s="17" t="s">
        <v>1214</v>
      </c>
      <c r="E48" s="152" t="s">
        <v>44</v>
      </c>
      <c r="F48" s="152" t="s">
        <v>478</v>
      </c>
      <c r="G48" s="25" t="s">
        <v>37</v>
      </c>
      <c r="H48" s="26">
        <v>46219.0</v>
      </c>
      <c r="I48" s="17">
        <v>0.0</v>
      </c>
      <c r="J48" s="23" t="s">
        <v>57</v>
      </c>
      <c r="K48" s="28">
        <v>5500.0</v>
      </c>
      <c r="L48" s="28">
        <v>0.0</v>
      </c>
      <c r="M48" s="28">
        <v>0.0</v>
      </c>
      <c r="N48" s="28">
        <v>0.0</v>
      </c>
      <c r="O48" s="28">
        <v>0.0</v>
      </c>
      <c r="P48" s="30"/>
    </row>
    <row r="49" ht="11.25" customHeight="1">
      <c r="A49" s="12">
        <f t="shared" si="1"/>
        <v>47</v>
      </c>
      <c r="B49" s="15" t="s">
        <v>24</v>
      </c>
      <c r="C49" s="17" t="s">
        <v>46</v>
      </c>
      <c r="D49" s="17" t="s">
        <v>1219</v>
      </c>
      <c r="E49" s="152" t="s">
        <v>44</v>
      </c>
      <c r="F49" s="152" t="s">
        <v>478</v>
      </c>
      <c r="G49" s="25" t="s">
        <v>36</v>
      </c>
      <c r="H49" s="26">
        <v>46219.0</v>
      </c>
      <c r="I49" s="17">
        <v>0.0</v>
      </c>
      <c r="J49" s="23" t="s">
        <v>57</v>
      </c>
      <c r="K49" s="28">
        <v>11000.0</v>
      </c>
      <c r="L49" s="28">
        <v>0.0</v>
      </c>
      <c r="M49" s="28">
        <v>0.0</v>
      </c>
      <c r="N49" s="28">
        <v>0.0</v>
      </c>
      <c r="O49" s="28">
        <v>0.0</v>
      </c>
      <c r="P49" s="175"/>
    </row>
    <row r="50" ht="11.25" customHeight="1">
      <c r="A50" s="12">
        <f t="shared" si="1"/>
        <v>48</v>
      </c>
      <c r="B50" s="15" t="s">
        <v>24</v>
      </c>
      <c r="C50" s="17" t="s">
        <v>46</v>
      </c>
      <c r="D50" s="17" t="s">
        <v>1222</v>
      </c>
      <c r="E50" s="67" t="s">
        <v>44</v>
      </c>
      <c r="F50" s="67" t="s">
        <v>493</v>
      </c>
      <c r="G50" s="25" t="s">
        <v>37</v>
      </c>
      <c r="H50" s="26">
        <v>46219.0</v>
      </c>
      <c r="I50" s="17">
        <v>0.0</v>
      </c>
      <c r="J50" s="23" t="s">
        <v>57</v>
      </c>
      <c r="K50" s="28">
        <v>5500.0</v>
      </c>
      <c r="L50" s="28">
        <v>0.0</v>
      </c>
      <c r="M50" s="28">
        <v>0.0</v>
      </c>
      <c r="N50" s="28">
        <v>0.0</v>
      </c>
      <c r="O50" s="28">
        <v>0.0</v>
      </c>
      <c r="P50" s="33"/>
    </row>
    <row r="51" ht="11.25" customHeight="1">
      <c r="A51" s="12">
        <f t="shared" si="1"/>
        <v>49</v>
      </c>
      <c r="B51" s="15" t="s">
        <v>24</v>
      </c>
      <c r="C51" s="17" t="s">
        <v>58</v>
      </c>
      <c r="D51" s="211" t="s">
        <v>404</v>
      </c>
      <c r="E51" s="72" t="s">
        <v>116</v>
      </c>
      <c r="F51" s="72" t="s">
        <v>286</v>
      </c>
      <c r="G51" s="25" t="s">
        <v>34</v>
      </c>
      <c r="H51" s="95">
        <v>46219.0</v>
      </c>
      <c r="I51" s="211">
        <v>0.0</v>
      </c>
      <c r="J51" s="25" t="s">
        <v>38</v>
      </c>
      <c r="K51" s="213">
        <v>100000.0</v>
      </c>
      <c r="L51" s="213">
        <v>0.0</v>
      </c>
      <c r="M51" s="214">
        <v>0.0</v>
      </c>
      <c r="N51" s="215">
        <v>0.0</v>
      </c>
      <c r="O51" s="215">
        <v>0.0</v>
      </c>
      <c r="P51" s="33"/>
    </row>
    <row r="52" ht="11.25" customHeight="1">
      <c r="A52" s="12">
        <f t="shared" si="1"/>
        <v>50</v>
      </c>
      <c r="B52" s="15" t="s">
        <v>24</v>
      </c>
      <c r="C52" s="211" t="s">
        <v>46</v>
      </c>
      <c r="D52" s="211" t="s">
        <v>406</v>
      </c>
      <c r="E52" s="72" t="s">
        <v>116</v>
      </c>
      <c r="F52" s="72" t="s">
        <v>286</v>
      </c>
      <c r="G52" s="25" t="s">
        <v>34</v>
      </c>
      <c r="H52" s="95">
        <v>46222.0</v>
      </c>
      <c r="I52" s="211">
        <v>0.0</v>
      </c>
      <c r="J52" s="23" t="s">
        <v>57</v>
      </c>
      <c r="K52" s="215">
        <v>0.0</v>
      </c>
      <c r="L52" s="214">
        <v>0.0</v>
      </c>
      <c r="M52" s="215">
        <v>50000.0</v>
      </c>
      <c r="N52" s="215">
        <v>0.0</v>
      </c>
      <c r="O52" s="215">
        <v>0.0</v>
      </c>
      <c r="P52" s="32">
        <v>46219.0</v>
      </c>
    </row>
    <row r="53" ht="11.25" customHeight="1">
      <c r="A53" s="12">
        <f t="shared" si="1"/>
        <v>51</v>
      </c>
      <c r="B53" s="15" t="s">
        <v>24</v>
      </c>
      <c r="C53" s="17" t="s">
        <v>46</v>
      </c>
      <c r="D53" s="17" t="s">
        <v>1229</v>
      </c>
      <c r="E53" s="94" t="s">
        <v>84</v>
      </c>
      <c r="F53" s="94" t="s">
        <v>270</v>
      </c>
      <c r="G53" s="25" t="s">
        <v>36</v>
      </c>
      <c r="H53" s="26">
        <v>46223.0</v>
      </c>
      <c r="I53" s="17">
        <v>0.0</v>
      </c>
      <c r="J53" s="23" t="s">
        <v>57</v>
      </c>
      <c r="K53" s="28">
        <v>5000.0</v>
      </c>
      <c r="L53" s="28">
        <v>0.0</v>
      </c>
      <c r="M53" s="28">
        <v>0.0</v>
      </c>
      <c r="N53" s="28">
        <v>0.0</v>
      </c>
      <c r="O53" s="28">
        <v>0.0</v>
      </c>
      <c r="P53" s="33"/>
    </row>
    <row r="54" ht="11.25" customHeight="1">
      <c r="A54" s="12">
        <f t="shared" si="1"/>
        <v>52</v>
      </c>
      <c r="B54" s="15" t="s">
        <v>24</v>
      </c>
      <c r="C54" s="17" t="s">
        <v>58</v>
      </c>
      <c r="D54" s="17" t="s">
        <v>1231</v>
      </c>
      <c r="E54" s="25" t="s">
        <v>184</v>
      </c>
      <c r="F54" s="25" t="s">
        <v>449</v>
      </c>
      <c r="G54" s="25" t="s">
        <v>36</v>
      </c>
      <c r="H54" s="26">
        <v>46223.0</v>
      </c>
      <c r="I54" s="17">
        <v>0.0</v>
      </c>
      <c r="J54" s="23" t="s">
        <v>38</v>
      </c>
      <c r="K54" s="28">
        <v>270000.0</v>
      </c>
      <c r="L54" s="28">
        <v>0.0</v>
      </c>
      <c r="M54" s="28">
        <v>0.0</v>
      </c>
      <c r="N54" s="28">
        <v>0.0</v>
      </c>
      <c r="O54" s="28">
        <v>0.0</v>
      </c>
      <c r="P54" s="33"/>
    </row>
    <row r="55" ht="11.25" customHeight="1">
      <c r="A55" s="12">
        <f t="shared" si="1"/>
        <v>53</v>
      </c>
      <c r="B55" s="15" t="s">
        <v>24</v>
      </c>
      <c r="C55" s="17" t="s">
        <v>46</v>
      </c>
      <c r="D55" s="17" t="s">
        <v>1234</v>
      </c>
      <c r="E55" s="81" t="s">
        <v>208</v>
      </c>
      <c r="F55" s="83" t="s">
        <v>208</v>
      </c>
      <c r="G55" s="25" t="s">
        <v>36</v>
      </c>
      <c r="H55" s="26">
        <v>46223.0</v>
      </c>
      <c r="I55" s="17">
        <v>0.0</v>
      </c>
      <c r="J55" s="23" t="s">
        <v>57</v>
      </c>
      <c r="K55" s="28">
        <v>5000.0</v>
      </c>
      <c r="L55" s="28">
        <v>0.0</v>
      </c>
      <c r="M55" s="28">
        <v>0.0</v>
      </c>
      <c r="N55" s="28">
        <v>0.0</v>
      </c>
      <c r="O55" s="28">
        <v>0.0</v>
      </c>
      <c r="P55" s="28"/>
    </row>
    <row r="56" ht="11.25" customHeight="1">
      <c r="A56" s="12">
        <f t="shared" si="1"/>
        <v>54</v>
      </c>
      <c r="B56" s="15" t="s">
        <v>24</v>
      </c>
      <c r="C56" s="17" t="s">
        <v>46</v>
      </c>
      <c r="D56" s="17" t="s">
        <v>1239</v>
      </c>
      <c r="E56" s="23" t="s">
        <v>33</v>
      </c>
      <c r="F56" s="23" t="s">
        <v>980</v>
      </c>
      <c r="G56" s="25" t="s">
        <v>36</v>
      </c>
      <c r="H56" s="26">
        <v>46223.0</v>
      </c>
      <c r="I56" s="17">
        <v>0.0</v>
      </c>
      <c r="J56" s="23" t="s">
        <v>57</v>
      </c>
      <c r="K56" s="28">
        <v>5000.0</v>
      </c>
      <c r="L56" s="28">
        <v>0.0</v>
      </c>
      <c r="M56" s="28">
        <v>0.0</v>
      </c>
      <c r="N56" s="28">
        <v>0.0</v>
      </c>
      <c r="O56" s="28">
        <v>0.0</v>
      </c>
      <c r="P56" s="33"/>
    </row>
    <row r="57" ht="11.25" customHeight="1">
      <c r="A57" s="12">
        <f t="shared" si="1"/>
        <v>55</v>
      </c>
      <c r="B57" s="15" t="s">
        <v>24</v>
      </c>
      <c r="C57" s="17" t="s">
        <v>46</v>
      </c>
      <c r="D57" s="17" t="s">
        <v>1243</v>
      </c>
      <c r="E57" s="23" t="s">
        <v>33</v>
      </c>
      <c r="F57" s="23" t="s">
        <v>158</v>
      </c>
      <c r="G57" s="25" t="s">
        <v>36</v>
      </c>
      <c r="H57" s="26">
        <v>46223.0</v>
      </c>
      <c r="I57" s="17">
        <v>0.0</v>
      </c>
      <c r="J57" s="23" t="s">
        <v>57</v>
      </c>
      <c r="K57" s="28">
        <v>20000.0</v>
      </c>
      <c r="L57" s="28">
        <v>0.0</v>
      </c>
      <c r="M57" s="28">
        <v>0.0</v>
      </c>
      <c r="N57" s="28">
        <v>0.0</v>
      </c>
      <c r="O57" s="28">
        <v>0.0</v>
      </c>
      <c r="P57" s="33"/>
    </row>
    <row r="58" ht="11.25" customHeight="1">
      <c r="A58" s="12">
        <f t="shared" si="1"/>
        <v>56</v>
      </c>
      <c r="B58" s="15" t="s">
        <v>24</v>
      </c>
      <c r="C58" s="17" t="s">
        <v>46</v>
      </c>
      <c r="D58" s="17" t="s">
        <v>1247</v>
      </c>
      <c r="E58" s="65" t="s">
        <v>84</v>
      </c>
      <c r="F58" s="65" t="s">
        <v>254</v>
      </c>
      <c r="G58" s="25" t="s">
        <v>36</v>
      </c>
      <c r="H58" s="26">
        <v>46223.0</v>
      </c>
      <c r="I58" s="17">
        <v>0.0</v>
      </c>
      <c r="J58" s="23" t="s">
        <v>57</v>
      </c>
      <c r="K58" s="28">
        <v>5000.0</v>
      </c>
      <c r="L58" s="28">
        <v>0.0</v>
      </c>
      <c r="M58" s="28">
        <v>0.0</v>
      </c>
      <c r="N58" s="28">
        <v>0.0</v>
      </c>
      <c r="O58" s="28">
        <v>0.0</v>
      </c>
      <c r="P58" s="33"/>
    </row>
    <row r="59" ht="11.25" customHeight="1">
      <c r="A59" s="12">
        <f t="shared" si="1"/>
        <v>57</v>
      </c>
      <c r="B59" s="15" t="s">
        <v>24</v>
      </c>
      <c r="C59" s="17" t="s">
        <v>182</v>
      </c>
      <c r="D59" s="211" t="s">
        <v>409</v>
      </c>
      <c r="E59" s="65" t="s">
        <v>84</v>
      </c>
      <c r="F59" s="65" t="s">
        <v>254</v>
      </c>
      <c r="G59" s="25" t="s">
        <v>34</v>
      </c>
      <c r="H59" s="95">
        <v>46223.0</v>
      </c>
      <c r="I59" s="211">
        <v>0.0</v>
      </c>
      <c r="J59" s="25" t="s">
        <v>38</v>
      </c>
      <c r="K59" s="213">
        <v>50000.0</v>
      </c>
      <c r="L59" s="214">
        <v>0.0</v>
      </c>
      <c r="M59" s="214">
        <v>0.0</v>
      </c>
      <c r="N59" s="215">
        <v>0.0</v>
      </c>
      <c r="O59" s="215">
        <v>0.0</v>
      </c>
      <c r="P59" s="218"/>
    </row>
    <row r="60" ht="11.25" customHeight="1">
      <c r="A60" s="12">
        <f t="shared" si="1"/>
        <v>58</v>
      </c>
      <c r="B60" s="15" t="s">
        <v>24</v>
      </c>
      <c r="C60" s="17" t="s">
        <v>58</v>
      </c>
      <c r="D60" s="211" t="s">
        <v>413</v>
      </c>
      <c r="E60" s="25" t="s">
        <v>44</v>
      </c>
      <c r="F60" s="72" t="s">
        <v>414</v>
      </c>
      <c r="G60" s="25" t="s">
        <v>34</v>
      </c>
      <c r="H60" s="95">
        <v>46224.0</v>
      </c>
      <c r="I60" s="211">
        <v>5.0</v>
      </c>
      <c r="J60" s="25" t="s">
        <v>38</v>
      </c>
      <c r="K60" s="214">
        <v>10000.0</v>
      </c>
      <c r="L60" s="214">
        <v>0.0</v>
      </c>
      <c r="M60" s="214">
        <v>0.0</v>
      </c>
      <c r="N60" s="215">
        <v>0.0</v>
      </c>
      <c r="O60" s="215">
        <v>0.0</v>
      </c>
      <c r="P60" s="218"/>
    </row>
    <row r="61" ht="11.25" customHeight="1">
      <c r="A61" s="12">
        <f t="shared" si="1"/>
        <v>59</v>
      </c>
      <c r="B61" s="15" t="s">
        <v>24</v>
      </c>
      <c r="C61" s="17" t="s">
        <v>46</v>
      </c>
      <c r="D61" s="17" t="s">
        <v>1256</v>
      </c>
      <c r="E61" s="94" t="s">
        <v>44</v>
      </c>
      <c r="F61" s="94" t="s">
        <v>45</v>
      </c>
      <c r="G61" s="25" t="s">
        <v>36</v>
      </c>
      <c r="H61" s="26">
        <v>46225.0</v>
      </c>
      <c r="I61" s="17">
        <v>0.0</v>
      </c>
      <c r="J61" s="23" t="s">
        <v>57</v>
      </c>
      <c r="K61" s="28">
        <v>10000.0</v>
      </c>
      <c r="L61" s="28">
        <v>0.0</v>
      </c>
      <c r="M61" s="28">
        <v>0.0</v>
      </c>
      <c r="N61" s="28">
        <v>0.0</v>
      </c>
      <c r="O61" s="28">
        <v>0.0</v>
      </c>
      <c r="P61" s="33"/>
    </row>
    <row r="62" ht="11.25" customHeight="1">
      <c r="A62" s="12">
        <f t="shared" si="1"/>
        <v>60</v>
      </c>
      <c r="B62" s="15" t="s">
        <v>24</v>
      </c>
      <c r="C62" s="17" t="s">
        <v>46</v>
      </c>
      <c r="D62" s="19" t="s">
        <v>834</v>
      </c>
      <c r="E62" s="23" t="s">
        <v>208</v>
      </c>
      <c r="F62" s="23" t="s">
        <v>661</v>
      </c>
      <c r="G62" s="23" t="s">
        <v>36</v>
      </c>
      <c r="H62" s="226">
        <v>46226.0</v>
      </c>
      <c r="I62" s="17">
        <v>0.0</v>
      </c>
      <c r="J62" s="28" t="s">
        <v>57</v>
      </c>
      <c r="K62" s="28">
        <v>0.0</v>
      </c>
      <c r="L62" s="28">
        <v>0.0</v>
      </c>
      <c r="M62" s="28">
        <v>12500.0</v>
      </c>
      <c r="N62" s="28">
        <v>0.0</v>
      </c>
      <c r="O62" s="174">
        <v>0.0</v>
      </c>
      <c r="P62" s="176">
        <v>46092.0</v>
      </c>
    </row>
    <row r="63" ht="11.25" customHeight="1">
      <c r="A63" s="12">
        <f t="shared" si="1"/>
        <v>61</v>
      </c>
      <c r="B63" s="15" t="s">
        <v>24</v>
      </c>
      <c r="C63" s="17" t="s">
        <v>46</v>
      </c>
      <c r="D63" s="17" t="s">
        <v>1263</v>
      </c>
      <c r="E63" s="94" t="s">
        <v>191</v>
      </c>
      <c r="F63" s="94" t="s">
        <v>316</v>
      </c>
      <c r="G63" s="25" t="s">
        <v>36</v>
      </c>
      <c r="H63" s="26">
        <v>46226.0</v>
      </c>
      <c r="I63" s="17">
        <v>0.0</v>
      </c>
      <c r="J63" s="23" t="s">
        <v>57</v>
      </c>
      <c r="K63" s="28">
        <v>10000.0</v>
      </c>
      <c r="L63" s="28">
        <v>0.0</v>
      </c>
      <c r="M63" s="28">
        <v>0.0</v>
      </c>
      <c r="N63" s="28">
        <v>0.0</v>
      </c>
      <c r="O63" s="28">
        <v>0.0</v>
      </c>
      <c r="P63" s="218"/>
    </row>
    <row r="64" ht="11.25" customHeight="1">
      <c r="A64" s="12">
        <f t="shared" si="1"/>
        <v>62</v>
      </c>
      <c r="B64" s="15" t="s">
        <v>24</v>
      </c>
      <c r="C64" s="17" t="s">
        <v>87</v>
      </c>
      <c r="D64" s="17" t="s">
        <v>1266</v>
      </c>
      <c r="E64" s="223" t="s">
        <v>614</v>
      </c>
      <c r="F64" s="23" t="s">
        <v>1267</v>
      </c>
      <c r="G64" s="25" t="s">
        <v>36</v>
      </c>
      <c r="H64" s="26">
        <v>46226.0</v>
      </c>
      <c r="I64" s="17">
        <v>1.0</v>
      </c>
      <c r="J64" s="23" t="s">
        <v>38</v>
      </c>
      <c r="K64" s="28">
        <v>10000.0</v>
      </c>
      <c r="L64" s="28">
        <v>0.0</v>
      </c>
      <c r="M64" s="28">
        <v>0.0</v>
      </c>
      <c r="N64" s="28">
        <v>0.0</v>
      </c>
      <c r="O64" s="28">
        <v>0.0</v>
      </c>
      <c r="P64" s="218"/>
    </row>
    <row r="65" ht="11.25" customHeight="1">
      <c r="A65" s="12">
        <f t="shared" si="1"/>
        <v>63</v>
      </c>
      <c r="B65" s="15" t="s">
        <v>24</v>
      </c>
      <c r="C65" s="17" t="s">
        <v>46</v>
      </c>
      <c r="D65" s="17" t="s">
        <v>1270</v>
      </c>
      <c r="E65" s="102" t="s">
        <v>84</v>
      </c>
      <c r="F65" s="102" t="s">
        <v>575</v>
      </c>
      <c r="G65" s="25" t="s">
        <v>36</v>
      </c>
      <c r="H65" s="26">
        <v>46226.0</v>
      </c>
      <c r="I65" s="17">
        <v>0.0</v>
      </c>
      <c r="J65" s="23" t="s">
        <v>57</v>
      </c>
      <c r="K65" s="28">
        <v>6000.0</v>
      </c>
      <c r="L65" s="28">
        <v>0.0</v>
      </c>
      <c r="M65" s="28">
        <v>0.0</v>
      </c>
      <c r="N65" s="28">
        <v>0.0</v>
      </c>
      <c r="O65" s="28">
        <v>0.0</v>
      </c>
      <c r="P65" s="175"/>
    </row>
    <row r="66" ht="11.25" customHeight="1">
      <c r="A66" s="12">
        <f t="shared" si="1"/>
        <v>64</v>
      </c>
      <c r="B66" s="15" t="s">
        <v>24</v>
      </c>
      <c r="C66" s="17" t="s">
        <v>58</v>
      </c>
      <c r="D66" s="211" t="s">
        <v>416</v>
      </c>
      <c r="E66" s="36" t="s">
        <v>92</v>
      </c>
      <c r="F66" s="36" t="s">
        <v>354</v>
      </c>
      <c r="G66" s="25" t="s">
        <v>34</v>
      </c>
      <c r="H66" s="95">
        <v>46226.0</v>
      </c>
      <c r="I66" s="211">
        <v>0.0</v>
      </c>
      <c r="J66" s="25" t="s">
        <v>38</v>
      </c>
      <c r="K66" s="214">
        <v>300000.0</v>
      </c>
      <c r="L66" s="214">
        <v>0.0</v>
      </c>
      <c r="M66" s="214">
        <v>0.0</v>
      </c>
      <c r="N66" s="215">
        <v>0.0</v>
      </c>
      <c r="O66" s="215">
        <v>0.0</v>
      </c>
      <c r="P66" s="175"/>
    </row>
    <row r="67" ht="11.25" customHeight="1">
      <c r="A67" s="12">
        <f t="shared" si="1"/>
        <v>65</v>
      </c>
      <c r="B67" s="15" t="s">
        <v>24</v>
      </c>
      <c r="C67" s="17" t="s">
        <v>58</v>
      </c>
      <c r="D67" s="211" t="s">
        <v>419</v>
      </c>
      <c r="E67" s="36" t="s">
        <v>92</v>
      </c>
      <c r="F67" s="36" t="s">
        <v>111</v>
      </c>
      <c r="G67" s="25" t="s">
        <v>34</v>
      </c>
      <c r="H67" s="95">
        <v>46226.0</v>
      </c>
      <c r="I67" s="211">
        <v>0.0</v>
      </c>
      <c r="J67" s="25" t="s">
        <v>38</v>
      </c>
      <c r="K67" s="214">
        <v>400000.0</v>
      </c>
      <c r="L67" s="214">
        <v>0.0</v>
      </c>
      <c r="M67" s="214">
        <v>0.0</v>
      </c>
      <c r="N67" s="215">
        <v>0.0</v>
      </c>
      <c r="O67" s="215">
        <v>0.0</v>
      </c>
      <c r="P67" s="33"/>
    </row>
    <row r="68" ht="11.25" customHeight="1">
      <c r="A68" s="12">
        <f t="shared" si="1"/>
        <v>66</v>
      </c>
      <c r="B68" s="15" t="s">
        <v>24</v>
      </c>
      <c r="C68" s="17" t="s">
        <v>182</v>
      </c>
      <c r="D68" s="17" t="s">
        <v>1277</v>
      </c>
      <c r="E68" s="23" t="s">
        <v>33</v>
      </c>
      <c r="F68" s="23" t="s">
        <v>1070</v>
      </c>
      <c r="G68" s="25" t="s">
        <v>36</v>
      </c>
      <c r="H68" s="26">
        <v>46228.0</v>
      </c>
      <c r="I68" s="17">
        <v>1.0</v>
      </c>
      <c r="J68" s="23" t="s">
        <v>38</v>
      </c>
      <c r="K68" s="28">
        <v>20000.0</v>
      </c>
      <c r="L68" s="28">
        <v>0.0</v>
      </c>
      <c r="M68" s="28">
        <v>0.0</v>
      </c>
      <c r="N68" s="28">
        <v>0.0</v>
      </c>
      <c r="O68" s="28">
        <v>0.0</v>
      </c>
      <c r="P68" s="33"/>
    </row>
    <row r="69" ht="11.25" customHeight="1">
      <c r="A69" s="12">
        <f t="shared" si="1"/>
        <v>67</v>
      </c>
      <c r="B69" s="15" t="s">
        <v>24</v>
      </c>
      <c r="C69" s="17" t="s">
        <v>46</v>
      </c>
      <c r="D69" s="17" t="s">
        <v>1281</v>
      </c>
      <c r="E69" s="21" t="s">
        <v>40</v>
      </c>
      <c r="F69" s="21" t="s">
        <v>41</v>
      </c>
      <c r="G69" s="25" t="s">
        <v>36</v>
      </c>
      <c r="H69" s="26">
        <v>46228.0</v>
      </c>
      <c r="I69" s="17">
        <v>0.0</v>
      </c>
      <c r="J69" s="23" t="s">
        <v>57</v>
      </c>
      <c r="K69" s="28">
        <v>10000.0</v>
      </c>
      <c r="L69" s="28">
        <v>0.0</v>
      </c>
      <c r="M69" s="28">
        <v>0.0</v>
      </c>
      <c r="N69" s="28">
        <v>0.0</v>
      </c>
      <c r="O69" s="28">
        <v>0.0</v>
      </c>
      <c r="P69" s="33"/>
    </row>
    <row r="70" ht="11.25" customHeight="1">
      <c r="A70" s="12">
        <f t="shared" si="1"/>
        <v>68</v>
      </c>
      <c r="B70" s="15" t="s">
        <v>24</v>
      </c>
      <c r="C70" s="17" t="s">
        <v>46</v>
      </c>
      <c r="D70" s="17" t="s">
        <v>1283</v>
      </c>
      <c r="E70" s="36" t="s">
        <v>40</v>
      </c>
      <c r="F70" s="36" t="s">
        <v>558</v>
      </c>
      <c r="G70" s="25" t="s">
        <v>36</v>
      </c>
      <c r="H70" s="26">
        <v>46229.0</v>
      </c>
      <c r="I70" s="17">
        <v>0.0</v>
      </c>
      <c r="J70" s="23" t="s">
        <v>57</v>
      </c>
      <c r="K70" s="28">
        <v>17500.0</v>
      </c>
      <c r="L70" s="28">
        <v>0.0</v>
      </c>
      <c r="M70" s="28">
        <v>0.0</v>
      </c>
      <c r="N70" s="28">
        <v>0.0</v>
      </c>
      <c r="O70" s="28">
        <v>0.0</v>
      </c>
      <c r="P70" s="33"/>
    </row>
    <row r="71" ht="11.25" customHeight="1">
      <c r="A71" s="12">
        <f t="shared" si="1"/>
        <v>69</v>
      </c>
      <c r="B71" s="15" t="s">
        <v>24</v>
      </c>
      <c r="C71" s="17" t="s">
        <v>46</v>
      </c>
      <c r="D71" s="17" t="s">
        <v>1286</v>
      </c>
      <c r="E71" s="23" t="s">
        <v>356</v>
      </c>
      <c r="F71" s="23" t="s">
        <v>388</v>
      </c>
      <c r="G71" s="25" t="s">
        <v>36</v>
      </c>
      <c r="H71" s="26">
        <v>46230.0</v>
      </c>
      <c r="I71" s="17">
        <v>0.0</v>
      </c>
      <c r="J71" s="23" t="s">
        <v>57</v>
      </c>
      <c r="K71" s="28">
        <v>7500.0</v>
      </c>
      <c r="L71" s="28">
        <v>0.0</v>
      </c>
      <c r="M71" s="28">
        <v>0.0</v>
      </c>
      <c r="N71" s="28">
        <v>0.0</v>
      </c>
      <c r="O71" s="28">
        <v>0.0</v>
      </c>
      <c r="P71" s="33"/>
    </row>
    <row r="72" ht="11.25" customHeight="1">
      <c r="A72" s="12">
        <f t="shared" si="1"/>
        <v>70</v>
      </c>
      <c r="B72" s="15" t="s">
        <v>24</v>
      </c>
      <c r="C72" s="17" t="s">
        <v>58</v>
      </c>
      <c r="D72" s="17" t="s">
        <v>1290</v>
      </c>
      <c r="E72" s="23" t="s">
        <v>1148</v>
      </c>
      <c r="F72" s="23" t="s">
        <v>1291</v>
      </c>
      <c r="G72" s="25" t="s">
        <v>37</v>
      </c>
      <c r="H72" s="26">
        <v>46230.0</v>
      </c>
      <c r="I72" s="17">
        <v>2.0</v>
      </c>
      <c r="J72" s="23" t="s">
        <v>38</v>
      </c>
      <c r="K72" s="28">
        <v>200000.0</v>
      </c>
      <c r="L72" s="28">
        <v>0.0</v>
      </c>
      <c r="M72" s="28">
        <v>0.0</v>
      </c>
      <c r="N72" s="28">
        <v>0.0</v>
      </c>
      <c r="O72" s="28">
        <v>0.0</v>
      </c>
      <c r="P72" s="33"/>
    </row>
    <row r="73" ht="11.25" customHeight="1">
      <c r="A73" s="12">
        <f t="shared" si="1"/>
        <v>71</v>
      </c>
      <c r="B73" s="15" t="s">
        <v>24</v>
      </c>
      <c r="C73" s="17" t="s">
        <v>46</v>
      </c>
      <c r="D73" s="17" t="s">
        <v>1293</v>
      </c>
      <c r="E73" s="65" t="s">
        <v>84</v>
      </c>
      <c r="F73" s="65" t="s">
        <v>329</v>
      </c>
      <c r="G73" s="25" t="s">
        <v>36</v>
      </c>
      <c r="H73" s="26">
        <v>46230.0</v>
      </c>
      <c r="I73" s="17">
        <v>0.0</v>
      </c>
      <c r="J73" s="23" t="s">
        <v>57</v>
      </c>
      <c r="K73" s="28">
        <v>0.0</v>
      </c>
      <c r="L73" s="28">
        <v>10000.0</v>
      </c>
      <c r="M73" s="28">
        <v>0.0</v>
      </c>
      <c r="N73" s="28">
        <v>0.0</v>
      </c>
      <c r="O73" s="28">
        <v>0.0</v>
      </c>
      <c r="P73" s="218"/>
    </row>
    <row r="74" ht="11.25" customHeight="1">
      <c r="A74" s="12">
        <f t="shared" si="1"/>
        <v>72</v>
      </c>
      <c r="B74" s="15" t="s">
        <v>24</v>
      </c>
      <c r="C74" s="17" t="s">
        <v>46</v>
      </c>
      <c r="D74" s="17" t="s">
        <v>1297</v>
      </c>
      <c r="E74" s="36" t="s">
        <v>169</v>
      </c>
      <c r="F74" s="36" t="s">
        <v>170</v>
      </c>
      <c r="G74" s="25" t="s">
        <v>36</v>
      </c>
      <c r="H74" s="26">
        <v>46230.0</v>
      </c>
      <c r="I74" s="17">
        <v>0.0</v>
      </c>
      <c r="J74" s="23" t="s">
        <v>57</v>
      </c>
      <c r="K74" s="28">
        <v>17000.0</v>
      </c>
      <c r="L74" s="28">
        <v>0.0</v>
      </c>
      <c r="M74" s="28">
        <v>0.0</v>
      </c>
      <c r="N74" s="28">
        <v>0.0</v>
      </c>
      <c r="O74" s="28">
        <v>0.0</v>
      </c>
      <c r="P74" s="33"/>
    </row>
    <row r="75" ht="11.25" customHeight="1">
      <c r="A75" s="12">
        <f t="shared" si="1"/>
        <v>73</v>
      </c>
      <c r="B75" s="15" t="s">
        <v>24</v>
      </c>
      <c r="C75" s="17" t="s">
        <v>46</v>
      </c>
      <c r="D75" s="17" t="s">
        <v>1302</v>
      </c>
      <c r="E75" s="36" t="s">
        <v>169</v>
      </c>
      <c r="F75" s="36" t="s">
        <v>170</v>
      </c>
      <c r="G75" s="25" t="s">
        <v>37</v>
      </c>
      <c r="H75" s="26">
        <v>46230.0</v>
      </c>
      <c r="I75" s="17">
        <v>0.0</v>
      </c>
      <c r="J75" s="23" t="s">
        <v>38</v>
      </c>
      <c r="K75" s="28">
        <v>6000.0</v>
      </c>
      <c r="L75" s="28">
        <v>0.0</v>
      </c>
      <c r="M75" s="28">
        <v>0.0</v>
      </c>
      <c r="N75" s="28">
        <v>0.0</v>
      </c>
      <c r="O75" s="28">
        <v>0.0</v>
      </c>
      <c r="P75" s="33"/>
    </row>
    <row r="76" ht="11.25" customHeight="1">
      <c r="A76" s="12">
        <f t="shared" si="1"/>
        <v>74</v>
      </c>
      <c r="B76" s="15" t="s">
        <v>24</v>
      </c>
      <c r="C76" s="17" t="s">
        <v>58</v>
      </c>
      <c r="D76" s="17" t="s">
        <v>1304</v>
      </c>
      <c r="E76" s="23" t="s">
        <v>1305</v>
      </c>
      <c r="F76" s="23" t="s">
        <v>700</v>
      </c>
      <c r="G76" s="25" t="s">
        <v>36</v>
      </c>
      <c r="H76" s="26">
        <v>46230.0</v>
      </c>
      <c r="I76" s="17">
        <v>1.0</v>
      </c>
      <c r="J76" s="23" t="s">
        <v>38</v>
      </c>
      <c r="K76" s="28">
        <v>5000.0</v>
      </c>
      <c r="L76" s="28">
        <v>0.0</v>
      </c>
      <c r="M76" s="28">
        <v>0.0</v>
      </c>
      <c r="N76" s="28">
        <v>0.0</v>
      </c>
      <c r="O76" s="28">
        <v>0.0</v>
      </c>
      <c r="P76" s="33"/>
    </row>
    <row r="77" ht="11.25" customHeight="1">
      <c r="A77" s="12">
        <f t="shared" si="1"/>
        <v>75</v>
      </c>
      <c r="B77" s="15" t="s">
        <v>24</v>
      </c>
      <c r="C77" s="17" t="s">
        <v>46</v>
      </c>
      <c r="D77" s="17" t="s">
        <v>1309</v>
      </c>
      <c r="E77" s="21" t="s">
        <v>60</v>
      </c>
      <c r="F77" s="21" t="s">
        <v>161</v>
      </c>
      <c r="G77" s="25" t="s">
        <v>36</v>
      </c>
      <c r="H77" s="26">
        <v>46231.0</v>
      </c>
      <c r="I77" s="17">
        <v>0.0</v>
      </c>
      <c r="J77" s="23" t="s">
        <v>57</v>
      </c>
      <c r="K77" s="28">
        <v>7300.0</v>
      </c>
      <c r="L77" s="28">
        <v>0.0</v>
      </c>
      <c r="M77" s="28">
        <v>0.0</v>
      </c>
      <c r="N77" s="76">
        <v>0.0</v>
      </c>
      <c r="O77" s="77">
        <v>0.0</v>
      </c>
      <c r="P77" s="33"/>
    </row>
    <row r="78" ht="11.25" customHeight="1">
      <c r="A78" s="12">
        <f t="shared" si="1"/>
        <v>76</v>
      </c>
      <c r="B78" s="15" t="s">
        <v>24</v>
      </c>
      <c r="C78" s="17" t="s">
        <v>46</v>
      </c>
      <c r="D78" s="17" t="s">
        <v>1314</v>
      </c>
      <c r="E78" s="36" t="s">
        <v>1189</v>
      </c>
      <c r="F78" s="36" t="s">
        <v>1190</v>
      </c>
      <c r="G78" s="25" t="s">
        <v>36</v>
      </c>
      <c r="H78" s="26">
        <v>46231.0</v>
      </c>
      <c r="I78" s="17">
        <v>0.0</v>
      </c>
      <c r="J78" s="23" t="s">
        <v>57</v>
      </c>
      <c r="K78" s="28">
        <v>11500.0</v>
      </c>
      <c r="L78" s="28">
        <v>0.0</v>
      </c>
      <c r="M78" s="28">
        <v>0.0</v>
      </c>
      <c r="N78" s="76">
        <v>0.0</v>
      </c>
      <c r="O78" s="77">
        <v>0.0</v>
      </c>
      <c r="P78" s="33"/>
    </row>
    <row r="79" ht="11.25" customHeight="1">
      <c r="A79" s="12">
        <f t="shared" si="1"/>
        <v>77</v>
      </c>
      <c r="B79" s="15" t="s">
        <v>24</v>
      </c>
      <c r="C79" s="17" t="s">
        <v>87</v>
      </c>
      <c r="D79" s="17" t="s">
        <v>1316</v>
      </c>
      <c r="E79" s="23" t="s">
        <v>279</v>
      </c>
      <c r="F79" s="23" t="s">
        <v>280</v>
      </c>
      <c r="G79" s="25" t="s">
        <v>37</v>
      </c>
      <c r="H79" s="26">
        <v>46232.0</v>
      </c>
      <c r="I79" s="17">
        <v>1.0</v>
      </c>
      <c r="J79" s="23" t="s">
        <v>38</v>
      </c>
      <c r="K79" s="28">
        <v>0.0</v>
      </c>
      <c r="L79" s="28">
        <v>50000.0</v>
      </c>
      <c r="M79" s="28">
        <v>0.0</v>
      </c>
      <c r="N79" s="28">
        <v>0.0</v>
      </c>
      <c r="O79" s="28">
        <v>0.0</v>
      </c>
      <c r="P79" s="33"/>
    </row>
    <row r="80" ht="11.25" customHeight="1">
      <c r="A80" s="12">
        <f t="shared" si="1"/>
        <v>78</v>
      </c>
      <c r="B80" s="15" t="s">
        <v>24</v>
      </c>
      <c r="C80" s="17" t="s">
        <v>182</v>
      </c>
      <c r="D80" s="17" t="s">
        <v>1320</v>
      </c>
      <c r="E80" s="23" t="s">
        <v>142</v>
      </c>
      <c r="F80" s="23" t="s">
        <v>1321</v>
      </c>
      <c r="G80" s="25" t="s">
        <v>37</v>
      </c>
      <c r="H80" s="26">
        <v>46232.0</v>
      </c>
      <c r="I80" s="17">
        <v>5.0</v>
      </c>
      <c r="J80" s="23" t="s">
        <v>38</v>
      </c>
      <c r="K80" s="28">
        <v>50000.0</v>
      </c>
      <c r="L80" s="28">
        <v>0.0</v>
      </c>
      <c r="M80" s="28">
        <v>0.0</v>
      </c>
      <c r="N80" s="76">
        <v>0.0</v>
      </c>
      <c r="O80" s="77">
        <v>0.0</v>
      </c>
      <c r="P80" s="33"/>
    </row>
    <row r="81" ht="11.25" customHeight="1">
      <c r="A81" s="12">
        <f t="shared" si="1"/>
        <v>79</v>
      </c>
      <c r="B81" s="15" t="s">
        <v>24</v>
      </c>
      <c r="C81" s="17" t="s">
        <v>87</v>
      </c>
      <c r="D81" s="17" t="s">
        <v>1324</v>
      </c>
      <c r="E81" s="23" t="s">
        <v>91</v>
      </c>
      <c r="F81" s="23" t="s">
        <v>1326</v>
      </c>
      <c r="G81" s="25" t="s">
        <v>37</v>
      </c>
      <c r="H81" s="26">
        <v>46232.0</v>
      </c>
      <c r="I81" s="17">
        <v>1.0</v>
      </c>
      <c r="J81" s="23" t="s">
        <v>38</v>
      </c>
      <c r="K81" s="28">
        <v>15000.0</v>
      </c>
      <c r="L81" s="28">
        <v>0.0</v>
      </c>
      <c r="M81" s="28">
        <v>0.0</v>
      </c>
      <c r="N81" s="76">
        <v>0.0</v>
      </c>
      <c r="O81" s="77">
        <v>0.0</v>
      </c>
      <c r="P81" s="200"/>
    </row>
    <row r="82" ht="11.25" customHeight="1">
      <c r="A82" s="12">
        <f t="shared" si="1"/>
        <v>80</v>
      </c>
      <c r="B82" s="15" t="s">
        <v>24</v>
      </c>
      <c r="C82" s="17" t="s">
        <v>182</v>
      </c>
      <c r="D82" s="17" t="s">
        <v>1328</v>
      </c>
      <c r="E82" s="21" t="s">
        <v>33</v>
      </c>
      <c r="F82" s="21" t="s">
        <v>1070</v>
      </c>
      <c r="G82" s="25" t="s">
        <v>36</v>
      </c>
      <c r="H82" s="26">
        <v>46232.0</v>
      </c>
      <c r="I82" s="17">
        <v>0.0</v>
      </c>
      <c r="J82" s="23" t="s">
        <v>38</v>
      </c>
      <c r="K82" s="28">
        <v>80000.0</v>
      </c>
      <c r="L82" s="28">
        <v>0.0</v>
      </c>
      <c r="M82" s="28">
        <v>0.0</v>
      </c>
      <c r="N82" s="76">
        <v>0.0</v>
      </c>
      <c r="O82" s="77">
        <v>0.0</v>
      </c>
      <c r="P82" s="33"/>
    </row>
    <row r="83" ht="11.25" customHeight="1">
      <c r="A83" s="12">
        <f t="shared" si="1"/>
        <v>81</v>
      </c>
      <c r="B83" s="15" t="s">
        <v>24</v>
      </c>
      <c r="C83" s="17" t="s">
        <v>46</v>
      </c>
      <c r="D83" s="17" t="s">
        <v>1332</v>
      </c>
      <c r="E83" s="36" t="s">
        <v>49</v>
      </c>
      <c r="F83" s="36" t="s">
        <v>54</v>
      </c>
      <c r="G83" s="23" t="s">
        <v>55</v>
      </c>
      <c r="H83" s="26">
        <v>46233.0</v>
      </c>
      <c r="I83" s="17">
        <v>0.0</v>
      </c>
      <c r="J83" s="23" t="s">
        <v>57</v>
      </c>
      <c r="K83" s="28">
        <v>5000.0</v>
      </c>
      <c r="L83" s="28">
        <v>0.0</v>
      </c>
      <c r="M83" s="28">
        <v>0.0</v>
      </c>
      <c r="N83" s="28">
        <v>0.0</v>
      </c>
      <c r="O83" s="28">
        <v>0.0</v>
      </c>
      <c r="P83" s="33"/>
    </row>
    <row r="84" ht="11.25" customHeight="1">
      <c r="A84" s="12">
        <f t="shared" si="1"/>
        <v>82</v>
      </c>
      <c r="B84" s="15" t="s">
        <v>24</v>
      </c>
      <c r="C84" s="17" t="s">
        <v>46</v>
      </c>
      <c r="D84" s="35" t="s">
        <v>1335</v>
      </c>
      <c r="E84" s="21" t="s">
        <v>141</v>
      </c>
      <c r="F84" s="21" t="s">
        <v>143</v>
      </c>
      <c r="G84" s="25" t="s">
        <v>36</v>
      </c>
      <c r="H84" s="26">
        <v>46233.0</v>
      </c>
      <c r="I84" s="17">
        <v>0.0</v>
      </c>
      <c r="J84" s="23" t="s">
        <v>57</v>
      </c>
      <c r="K84" s="28">
        <v>11600.0</v>
      </c>
      <c r="L84" s="28">
        <v>0.0</v>
      </c>
      <c r="M84" s="28">
        <v>0.0</v>
      </c>
      <c r="N84" s="28">
        <v>0.0</v>
      </c>
      <c r="O84" s="28">
        <v>0.0</v>
      </c>
      <c r="P84" s="33"/>
    </row>
    <row r="85" ht="11.25" customHeight="1">
      <c r="A85" s="12"/>
      <c r="B85" s="12"/>
      <c r="C85" s="12"/>
      <c r="D85" s="12"/>
      <c r="E85" s="106"/>
      <c r="F85" s="106"/>
      <c r="G85" s="106"/>
      <c r="H85" s="112"/>
      <c r="I85" s="108"/>
      <c r="J85" s="108"/>
      <c r="K85" s="109"/>
      <c r="L85" s="109"/>
      <c r="M85" s="109"/>
      <c r="N85" s="109"/>
      <c r="O85" s="110"/>
      <c r="P85" s="112"/>
    </row>
    <row r="86" ht="11.25" customHeight="1">
      <c r="A86" s="12" t="str">
        <f t="shared" ref="A86:A88" si="2">IF(D86="","",SUBTOTAL(3,$D$3:D86))</f>
        <v/>
      </c>
      <c r="B86" s="12"/>
      <c r="C86" s="12"/>
      <c r="D86" s="12"/>
      <c r="E86" s="106"/>
      <c r="F86" s="106"/>
      <c r="G86" s="106"/>
      <c r="H86" s="118"/>
      <c r="I86" s="119" t="s">
        <v>21</v>
      </c>
      <c r="J86" s="120"/>
      <c r="K86" s="121"/>
      <c r="L86" s="121"/>
      <c r="M86" s="121"/>
      <c r="N86" s="121"/>
      <c r="O86" s="122"/>
      <c r="P86" s="123"/>
    </row>
    <row r="87" ht="11.25" customHeight="1">
      <c r="A87" s="12" t="str">
        <f t="shared" si="2"/>
        <v/>
      </c>
      <c r="B87" s="12"/>
      <c r="C87" s="12"/>
      <c r="D87" s="12"/>
      <c r="E87" s="106"/>
      <c r="F87" s="106"/>
      <c r="G87" s="106"/>
      <c r="H87" s="118"/>
      <c r="I87" s="124" t="s">
        <v>462</v>
      </c>
      <c r="J87" s="120"/>
      <c r="K87" s="125" t="s">
        <v>13</v>
      </c>
      <c r="L87" s="125" t="s">
        <v>14</v>
      </c>
      <c r="M87" s="125" t="s">
        <v>15</v>
      </c>
      <c r="N87" s="2" t="s">
        <v>465</v>
      </c>
      <c r="O87" s="119" t="s">
        <v>18</v>
      </c>
      <c r="P87" s="120"/>
    </row>
    <row r="88" ht="11.25" customHeight="1">
      <c r="A88" s="12" t="str">
        <f t="shared" si="2"/>
        <v/>
      </c>
      <c r="B88" s="126"/>
      <c r="C88" s="127"/>
      <c r="D88" s="128"/>
      <c r="E88" s="127"/>
      <c r="F88" s="127"/>
      <c r="G88" s="127"/>
      <c r="H88" s="129"/>
      <c r="I88" s="130">
        <f>SUM(I3:I87)</f>
        <v>30</v>
      </c>
      <c r="J88" s="120"/>
      <c r="K88" s="131">
        <f t="shared" ref="K88:O88" si="3">SUM(K3:K87)</f>
        <v>5001600</v>
      </c>
      <c r="L88" s="131">
        <f t="shared" si="3"/>
        <v>176000</v>
      </c>
      <c r="M88" s="131">
        <f t="shared" si="3"/>
        <v>62500</v>
      </c>
      <c r="N88" s="131">
        <f t="shared" si="3"/>
        <v>0</v>
      </c>
      <c r="O88" s="131">
        <f t="shared" si="3"/>
        <v>0</v>
      </c>
      <c r="P88" s="133" t="s">
        <v>481</v>
      </c>
    </row>
    <row r="89" ht="11.25" customHeight="1">
      <c r="A89" s="134"/>
      <c r="B89" s="135"/>
      <c r="C89" s="135"/>
      <c r="D89" s="134"/>
      <c r="E89" s="135"/>
      <c r="F89" s="135"/>
      <c r="G89" s="135"/>
      <c r="H89" s="136"/>
      <c r="I89" s="137"/>
      <c r="J89" s="138"/>
      <c r="K89" s="139" t="s">
        <v>491</v>
      </c>
      <c r="L89" s="120"/>
      <c r="M89" s="140">
        <f>SUM(K88:M88)</f>
        <v>5240100</v>
      </c>
      <c r="N89" s="141"/>
      <c r="O89" s="141"/>
      <c r="P89" s="142"/>
    </row>
    <row r="90" ht="11.25" customHeight="1">
      <c r="A90" s="134"/>
      <c r="B90" s="135"/>
      <c r="C90" s="135"/>
      <c r="D90" s="134"/>
      <c r="E90" s="135"/>
      <c r="F90" s="135"/>
      <c r="G90" s="135"/>
      <c r="H90" s="136"/>
      <c r="I90" s="143"/>
      <c r="J90" s="144"/>
      <c r="K90" s="145" t="s">
        <v>506</v>
      </c>
      <c r="L90" s="120"/>
      <c r="M90" s="146">
        <f>SUM(M89-K7-K10-K12-L13-K15-K18-K19-K20-K21-K22-K23-K24-K25-K26-K27-K29-K31-K32-K33-K34-K36-K38-K39-K40-L41-L42-K46-K48-K49-K50-M52-K53-K55-K56-K57-K58-K61-M62-K63-K65-K69-K70-K71-L73-K74-K77-K78-K83-K84)</f>
        <v>4396000</v>
      </c>
      <c r="N90" s="147"/>
      <c r="O90" s="147"/>
      <c r="P90" s="148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</sheetData>
  <autoFilter ref="$A$2:$P$90"/>
  <mergeCells count="7">
    <mergeCell ref="A1:P1"/>
    <mergeCell ref="I86:J86"/>
    <mergeCell ref="I87:J87"/>
    <mergeCell ref="O87:P87"/>
    <mergeCell ref="I88:J88"/>
    <mergeCell ref="K89:L89"/>
    <mergeCell ref="K90:L90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10.14"/>
    <col customWidth="1" min="3" max="3" width="7.57"/>
    <col customWidth="1" min="4" max="4" width="6.57"/>
    <col customWidth="1" min="5" max="5" width="14.86"/>
    <col customWidth="1" min="6" max="6" width="17.71"/>
    <col customWidth="1" min="7" max="7" width="9.14"/>
    <col customWidth="1" min="8" max="8" width="9.57"/>
    <col customWidth="1" min="9" max="9" width="5.57"/>
    <col customWidth="1" min="10" max="10" width="8.29"/>
    <col customWidth="1" min="11" max="11" width="9.57"/>
    <col customWidth="1" min="12" max="12" width="10.57"/>
    <col customWidth="1" min="13" max="13" width="9.0"/>
    <col customWidth="1" min="14" max="14" width="8.0"/>
    <col customWidth="1" min="15" max="15" width="6.86"/>
    <col customWidth="1" min="16" max="16" width="10.14"/>
    <col customWidth="1" min="17" max="26" width="8.71"/>
  </cols>
  <sheetData>
    <row r="1" ht="19.5" customHeight="1">
      <c r="A1" s="3" t="s">
        <v>1211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2" t="s">
        <v>1216</v>
      </c>
      <c r="D2" s="2" t="s">
        <v>5</v>
      </c>
      <c r="E2" s="2" t="s">
        <v>6</v>
      </c>
      <c r="F2" s="2" t="s">
        <v>17</v>
      </c>
      <c r="G2" s="2" t="s">
        <v>8</v>
      </c>
      <c r="H2" s="209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hidden="1" customHeight="1">
      <c r="A3" s="12">
        <f t="shared" ref="A3:A101" si="1">IF(D3="","",SUBTOTAL(3,$D$3:D3))</f>
        <v>0</v>
      </c>
      <c r="B3" s="15" t="s">
        <v>24</v>
      </c>
      <c r="C3" s="17" t="s">
        <v>87</v>
      </c>
      <c r="D3" s="17">
        <v>90661.0</v>
      </c>
      <c r="E3" s="23" t="s">
        <v>142</v>
      </c>
      <c r="F3" s="78" t="s">
        <v>1227</v>
      </c>
      <c r="G3" s="23" t="s">
        <v>55</v>
      </c>
      <c r="H3" s="95">
        <v>46175.0</v>
      </c>
      <c r="I3" s="17">
        <v>2.0</v>
      </c>
      <c r="J3" s="23" t="s">
        <v>38</v>
      </c>
      <c r="K3" s="28">
        <v>50000.0</v>
      </c>
      <c r="L3" s="28">
        <v>0.0</v>
      </c>
      <c r="M3" s="28">
        <v>0.0</v>
      </c>
      <c r="N3" s="28">
        <v>0.0</v>
      </c>
      <c r="O3" s="28">
        <v>0.0</v>
      </c>
      <c r="P3" s="33"/>
    </row>
    <row r="4" ht="11.25" customHeight="1">
      <c r="A4" s="12">
        <f t="shared" si="1"/>
        <v>1</v>
      </c>
      <c r="B4" s="15" t="s">
        <v>24</v>
      </c>
      <c r="C4" s="17" t="s">
        <v>87</v>
      </c>
      <c r="D4" s="17" t="s">
        <v>1232</v>
      </c>
      <c r="E4" s="69" t="s">
        <v>377</v>
      </c>
      <c r="F4" s="225" t="s">
        <v>723</v>
      </c>
      <c r="G4" s="23" t="s">
        <v>37</v>
      </c>
      <c r="H4" s="95">
        <v>46177.0</v>
      </c>
      <c r="I4" s="17">
        <v>0.0</v>
      </c>
      <c r="J4" s="23" t="s">
        <v>38</v>
      </c>
      <c r="K4" s="28">
        <v>2000.0</v>
      </c>
      <c r="L4" s="28">
        <v>0.0</v>
      </c>
      <c r="M4" s="28">
        <v>0.0</v>
      </c>
      <c r="N4" s="28">
        <v>0.0</v>
      </c>
      <c r="O4" s="28">
        <v>0.0</v>
      </c>
      <c r="P4" s="33"/>
    </row>
    <row r="5" ht="11.25" hidden="1" customHeight="1">
      <c r="A5" s="12">
        <f t="shared" si="1"/>
        <v>1</v>
      </c>
      <c r="B5" s="15" t="s">
        <v>24</v>
      </c>
      <c r="C5" s="17" t="s">
        <v>58</v>
      </c>
      <c r="D5" s="17" t="s">
        <v>1238</v>
      </c>
      <c r="E5" s="23" t="s">
        <v>169</v>
      </c>
      <c r="F5" s="23" t="s">
        <v>170</v>
      </c>
      <c r="G5" s="25" t="s">
        <v>37</v>
      </c>
      <c r="H5" s="95">
        <v>46177.0</v>
      </c>
      <c r="I5" s="17">
        <v>0.0</v>
      </c>
      <c r="J5" s="23" t="s">
        <v>38</v>
      </c>
      <c r="K5" s="28">
        <v>50000.0</v>
      </c>
      <c r="L5" s="210">
        <v>0.0</v>
      </c>
      <c r="M5" s="210">
        <v>0.0</v>
      </c>
      <c r="N5" s="28">
        <v>0.0</v>
      </c>
      <c r="O5" s="28">
        <v>0.0</v>
      </c>
      <c r="P5" s="33"/>
    </row>
    <row r="6" ht="11.25" hidden="1" customHeight="1">
      <c r="A6" s="12">
        <f t="shared" si="1"/>
        <v>1</v>
      </c>
      <c r="B6" s="15" t="s">
        <v>24</v>
      </c>
      <c r="C6" s="17" t="s">
        <v>46</v>
      </c>
      <c r="D6" s="17" t="s">
        <v>1244</v>
      </c>
      <c r="E6" s="21" t="s">
        <v>116</v>
      </c>
      <c r="F6" s="21" t="s">
        <v>117</v>
      </c>
      <c r="G6" s="25" t="s">
        <v>36</v>
      </c>
      <c r="H6" s="95">
        <v>46177.0</v>
      </c>
      <c r="I6" s="17">
        <v>0.0</v>
      </c>
      <c r="J6" s="23" t="s">
        <v>57</v>
      </c>
      <c r="K6" s="28">
        <v>8000.0</v>
      </c>
      <c r="L6" s="210">
        <v>0.0</v>
      </c>
      <c r="M6" s="210">
        <v>0.0</v>
      </c>
      <c r="N6" s="28">
        <v>0.0</v>
      </c>
      <c r="O6" s="28">
        <v>0.0</v>
      </c>
      <c r="P6" s="33"/>
    </row>
    <row r="7" ht="11.25" hidden="1" customHeight="1">
      <c r="A7" s="12">
        <f t="shared" si="1"/>
        <v>1</v>
      </c>
      <c r="B7" s="15" t="s">
        <v>24</v>
      </c>
      <c r="C7" s="17" t="s">
        <v>87</v>
      </c>
      <c r="D7" s="17" t="s">
        <v>1250</v>
      </c>
      <c r="E7" s="23" t="s">
        <v>91</v>
      </c>
      <c r="F7" s="23" t="s">
        <v>1103</v>
      </c>
      <c r="G7" s="25" t="s">
        <v>37</v>
      </c>
      <c r="H7" s="95">
        <v>46177.0</v>
      </c>
      <c r="I7" s="17">
        <v>1.0</v>
      </c>
      <c r="J7" s="23" t="s">
        <v>38</v>
      </c>
      <c r="K7" s="28">
        <v>10000.0</v>
      </c>
      <c r="L7" s="210">
        <v>0.0</v>
      </c>
      <c r="M7" s="210">
        <v>0.0</v>
      </c>
      <c r="N7" s="28">
        <v>0.0</v>
      </c>
      <c r="O7" s="28">
        <v>0.0</v>
      </c>
      <c r="P7" s="33"/>
    </row>
    <row r="8" ht="11.25" hidden="1" customHeight="1">
      <c r="A8" s="12">
        <f t="shared" si="1"/>
        <v>1</v>
      </c>
      <c r="B8" s="15" t="s">
        <v>24</v>
      </c>
      <c r="C8" s="17" t="s">
        <v>87</v>
      </c>
      <c r="D8" s="17" t="s">
        <v>1254</v>
      </c>
      <c r="E8" s="23" t="s">
        <v>91</v>
      </c>
      <c r="F8" s="23" t="s">
        <v>1103</v>
      </c>
      <c r="G8" s="25" t="s">
        <v>37</v>
      </c>
      <c r="H8" s="95">
        <v>46177.0</v>
      </c>
      <c r="I8" s="17">
        <v>1.0</v>
      </c>
      <c r="J8" s="23" t="s">
        <v>38</v>
      </c>
      <c r="K8" s="28">
        <v>10000.0</v>
      </c>
      <c r="L8" s="210">
        <v>0.0</v>
      </c>
      <c r="M8" s="210">
        <v>0.0</v>
      </c>
      <c r="N8" s="28">
        <v>0.0</v>
      </c>
      <c r="O8" s="28">
        <v>0.0</v>
      </c>
      <c r="P8" s="33"/>
    </row>
    <row r="9" ht="11.25" hidden="1" customHeight="1">
      <c r="A9" s="12">
        <f t="shared" si="1"/>
        <v>1</v>
      </c>
      <c r="B9" s="15" t="s">
        <v>24</v>
      </c>
      <c r="C9" s="17" t="s">
        <v>46</v>
      </c>
      <c r="D9" s="17" t="s">
        <v>1257</v>
      </c>
      <c r="E9" s="23" t="s">
        <v>91</v>
      </c>
      <c r="F9" s="23" t="s">
        <v>496</v>
      </c>
      <c r="G9" s="25" t="s">
        <v>36</v>
      </c>
      <c r="H9" s="32">
        <v>46180.0</v>
      </c>
      <c r="I9" s="17">
        <v>0.0</v>
      </c>
      <c r="J9" s="23" t="s">
        <v>57</v>
      </c>
      <c r="K9" s="28">
        <v>20000.0</v>
      </c>
      <c r="L9" s="210">
        <v>0.0</v>
      </c>
      <c r="M9" s="210">
        <v>0.0</v>
      </c>
      <c r="N9" s="28">
        <v>0.0</v>
      </c>
      <c r="O9" s="28">
        <v>0.0</v>
      </c>
      <c r="P9" s="33"/>
    </row>
    <row r="10" ht="11.25" hidden="1" customHeight="1">
      <c r="A10" s="12">
        <f t="shared" si="1"/>
        <v>1</v>
      </c>
      <c r="B10" s="15" t="s">
        <v>24</v>
      </c>
      <c r="C10" s="17" t="s">
        <v>46</v>
      </c>
      <c r="D10" s="17" t="s">
        <v>1261</v>
      </c>
      <c r="E10" s="23" t="s">
        <v>91</v>
      </c>
      <c r="F10" s="23" t="s">
        <v>500</v>
      </c>
      <c r="G10" s="25" t="s">
        <v>36</v>
      </c>
      <c r="H10" s="32">
        <v>46180.0</v>
      </c>
      <c r="I10" s="17">
        <v>0.0</v>
      </c>
      <c r="J10" s="23" t="s">
        <v>57</v>
      </c>
      <c r="K10" s="28">
        <v>20000.0</v>
      </c>
      <c r="L10" s="210">
        <v>0.0</v>
      </c>
      <c r="M10" s="210">
        <v>0.0</v>
      </c>
      <c r="N10" s="28">
        <v>0.0</v>
      </c>
      <c r="O10" s="28">
        <v>0.0</v>
      </c>
      <c r="P10" s="33"/>
    </row>
    <row r="11" ht="11.25" hidden="1" customHeight="1">
      <c r="A11" s="12">
        <f t="shared" si="1"/>
        <v>1</v>
      </c>
      <c r="B11" s="15" t="s">
        <v>24</v>
      </c>
      <c r="C11" s="17" t="s">
        <v>46</v>
      </c>
      <c r="D11" s="17" t="s">
        <v>1264</v>
      </c>
      <c r="E11" s="67" t="s">
        <v>184</v>
      </c>
      <c r="F11" s="67" t="s">
        <v>449</v>
      </c>
      <c r="G11" s="25" t="s">
        <v>37</v>
      </c>
      <c r="H11" s="95">
        <v>46181.0</v>
      </c>
      <c r="I11" s="17">
        <v>0.0</v>
      </c>
      <c r="J11" s="23" t="s">
        <v>57</v>
      </c>
      <c r="K11" s="28">
        <v>5000.0</v>
      </c>
      <c r="L11" s="210">
        <v>0.0</v>
      </c>
      <c r="M11" s="210">
        <v>0.0</v>
      </c>
      <c r="N11" s="28">
        <v>0.0</v>
      </c>
      <c r="O11" s="28">
        <v>0.0</v>
      </c>
      <c r="P11" s="33"/>
    </row>
    <row r="12" ht="11.25" hidden="1" customHeight="1">
      <c r="A12" s="12">
        <f t="shared" si="1"/>
        <v>1</v>
      </c>
      <c r="B12" s="15" t="s">
        <v>24</v>
      </c>
      <c r="C12" s="17" t="s">
        <v>46</v>
      </c>
      <c r="D12" s="17" t="s">
        <v>1268</v>
      </c>
      <c r="E12" s="65" t="s">
        <v>180</v>
      </c>
      <c r="F12" s="65" t="s">
        <v>288</v>
      </c>
      <c r="G12" s="25" t="s">
        <v>36</v>
      </c>
      <c r="H12" s="95">
        <v>46181.0</v>
      </c>
      <c r="I12" s="17">
        <v>0.0</v>
      </c>
      <c r="J12" s="23" t="s">
        <v>57</v>
      </c>
      <c r="K12" s="28">
        <v>9000.0</v>
      </c>
      <c r="L12" s="210">
        <v>0.0</v>
      </c>
      <c r="M12" s="210">
        <v>0.0</v>
      </c>
      <c r="N12" s="28">
        <v>0.0</v>
      </c>
      <c r="O12" s="28">
        <v>0.0</v>
      </c>
      <c r="P12" s="33"/>
    </row>
    <row r="13" ht="11.25" hidden="1" customHeight="1">
      <c r="A13" s="12">
        <f t="shared" si="1"/>
        <v>1</v>
      </c>
      <c r="B13" s="15" t="s">
        <v>24</v>
      </c>
      <c r="C13" s="17" t="s">
        <v>182</v>
      </c>
      <c r="D13" s="17" t="s">
        <v>1272</v>
      </c>
      <c r="E13" s="25" t="s">
        <v>84</v>
      </c>
      <c r="F13" s="25" t="s">
        <v>270</v>
      </c>
      <c r="G13" s="25" t="s">
        <v>37</v>
      </c>
      <c r="H13" s="95">
        <v>46181.0</v>
      </c>
      <c r="I13" s="17">
        <v>0.0</v>
      </c>
      <c r="J13" s="23" t="s">
        <v>38</v>
      </c>
      <c r="K13" s="28">
        <v>15000.0</v>
      </c>
      <c r="L13" s="210">
        <v>0.0</v>
      </c>
      <c r="M13" s="210">
        <v>0.0</v>
      </c>
      <c r="N13" s="28">
        <v>0.0</v>
      </c>
      <c r="O13" s="28">
        <v>0.0</v>
      </c>
      <c r="P13" s="33"/>
    </row>
    <row r="14" ht="11.25" hidden="1" customHeight="1">
      <c r="A14" s="12">
        <f t="shared" si="1"/>
        <v>1</v>
      </c>
      <c r="B14" s="15" t="s">
        <v>24</v>
      </c>
      <c r="C14" s="17" t="s">
        <v>182</v>
      </c>
      <c r="D14" s="17" t="s">
        <v>1274</v>
      </c>
      <c r="E14" s="65" t="s">
        <v>84</v>
      </c>
      <c r="F14" s="65" t="s">
        <v>254</v>
      </c>
      <c r="G14" s="25" t="s">
        <v>37</v>
      </c>
      <c r="H14" s="95">
        <v>46181.0</v>
      </c>
      <c r="I14" s="17">
        <v>1.0</v>
      </c>
      <c r="J14" s="23" t="s">
        <v>38</v>
      </c>
      <c r="K14" s="28">
        <v>15000.0</v>
      </c>
      <c r="L14" s="210">
        <v>0.0</v>
      </c>
      <c r="M14" s="210">
        <v>0.0</v>
      </c>
      <c r="N14" s="28">
        <v>0.0</v>
      </c>
      <c r="O14" s="28">
        <v>0.0</v>
      </c>
      <c r="P14" s="33"/>
    </row>
    <row r="15" ht="11.25" hidden="1" customHeight="1">
      <c r="A15" s="12">
        <f t="shared" si="1"/>
        <v>1</v>
      </c>
      <c r="B15" s="15" t="s">
        <v>24</v>
      </c>
      <c r="C15" s="17" t="s">
        <v>46</v>
      </c>
      <c r="D15" s="17" t="s">
        <v>1278</v>
      </c>
      <c r="E15" s="65" t="s">
        <v>84</v>
      </c>
      <c r="F15" s="65" t="s">
        <v>254</v>
      </c>
      <c r="G15" s="25" t="s">
        <v>36</v>
      </c>
      <c r="H15" s="95">
        <v>46181.0</v>
      </c>
      <c r="I15" s="17">
        <v>0.0</v>
      </c>
      <c r="J15" s="23" t="s">
        <v>57</v>
      </c>
      <c r="K15" s="28">
        <v>5000.0</v>
      </c>
      <c r="L15" s="210">
        <v>0.0</v>
      </c>
      <c r="M15" s="210">
        <v>0.0</v>
      </c>
      <c r="N15" s="28">
        <v>0.0</v>
      </c>
      <c r="O15" s="28">
        <v>0.0</v>
      </c>
      <c r="P15" s="33"/>
    </row>
    <row r="16" ht="11.25" hidden="1" customHeight="1">
      <c r="A16" s="12">
        <f t="shared" si="1"/>
        <v>1</v>
      </c>
      <c r="B16" s="15" t="s">
        <v>24</v>
      </c>
      <c r="C16" s="17" t="s">
        <v>46</v>
      </c>
      <c r="D16" s="17" t="s">
        <v>1282</v>
      </c>
      <c r="E16" s="65" t="s">
        <v>84</v>
      </c>
      <c r="F16" s="25" t="s">
        <v>270</v>
      </c>
      <c r="G16" s="25" t="s">
        <v>36</v>
      </c>
      <c r="H16" s="95">
        <v>46181.0</v>
      </c>
      <c r="I16" s="17">
        <v>0.0</v>
      </c>
      <c r="J16" s="23" t="s">
        <v>57</v>
      </c>
      <c r="K16" s="28">
        <v>5000.0</v>
      </c>
      <c r="L16" s="210">
        <v>0.0</v>
      </c>
      <c r="M16" s="210">
        <v>0.0</v>
      </c>
      <c r="N16" s="28">
        <v>0.0</v>
      </c>
      <c r="O16" s="28">
        <v>0.0</v>
      </c>
      <c r="P16" s="33"/>
    </row>
    <row r="17" ht="11.25" hidden="1" customHeight="1">
      <c r="A17" s="12">
        <f t="shared" si="1"/>
        <v>1</v>
      </c>
      <c r="B17" s="15" t="s">
        <v>24</v>
      </c>
      <c r="C17" s="17" t="s">
        <v>182</v>
      </c>
      <c r="D17" s="17" t="s">
        <v>1285</v>
      </c>
      <c r="E17" s="25" t="s">
        <v>84</v>
      </c>
      <c r="F17" s="25" t="s">
        <v>270</v>
      </c>
      <c r="G17" s="25" t="s">
        <v>37</v>
      </c>
      <c r="H17" s="95">
        <v>46181.0</v>
      </c>
      <c r="I17" s="17">
        <v>0.0</v>
      </c>
      <c r="J17" s="23" t="s">
        <v>38</v>
      </c>
      <c r="K17" s="28">
        <v>5000.0</v>
      </c>
      <c r="L17" s="210">
        <v>0.0</v>
      </c>
      <c r="M17" s="210">
        <v>0.0</v>
      </c>
      <c r="N17" s="28">
        <v>0.0</v>
      </c>
      <c r="O17" s="28">
        <v>0.0</v>
      </c>
      <c r="P17" s="33"/>
    </row>
    <row r="18" ht="11.25" hidden="1" customHeight="1">
      <c r="A18" s="12">
        <f t="shared" si="1"/>
        <v>1</v>
      </c>
      <c r="B18" s="15" t="s">
        <v>24</v>
      </c>
      <c r="C18" s="17" t="s">
        <v>182</v>
      </c>
      <c r="D18" s="17" t="s">
        <v>1288</v>
      </c>
      <c r="E18" s="65" t="s">
        <v>84</v>
      </c>
      <c r="F18" s="65" t="s">
        <v>254</v>
      </c>
      <c r="G18" s="25" t="s">
        <v>37</v>
      </c>
      <c r="H18" s="95">
        <v>46181.0</v>
      </c>
      <c r="I18" s="17">
        <v>0.0</v>
      </c>
      <c r="J18" s="23" t="s">
        <v>38</v>
      </c>
      <c r="K18" s="28">
        <v>5000.0</v>
      </c>
      <c r="L18" s="210">
        <v>0.0</v>
      </c>
      <c r="M18" s="210">
        <v>0.0</v>
      </c>
      <c r="N18" s="28">
        <v>0.0</v>
      </c>
      <c r="O18" s="28">
        <v>0.0</v>
      </c>
      <c r="P18" s="33"/>
    </row>
    <row r="19" ht="11.25" hidden="1" customHeight="1">
      <c r="A19" s="12">
        <f t="shared" si="1"/>
        <v>1</v>
      </c>
      <c r="B19" s="15" t="s">
        <v>24</v>
      </c>
      <c r="C19" s="17" t="s">
        <v>87</v>
      </c>
      <c r="D19" s="17" t="s">
        <v>1294</v>
      </c>
      <c r="E19" s="23" t="s">
        <v>614</v>
      </c>
      <c r="F19" s="23" t="s">
        <v>1295</v>
      </c>
      <c r="G19" s="25" t="s">
        <v>36</v>
      </c>
      <c r="H19" s="95">
        <v>46181.0</v>
      </c>
      <c r="I19" s="17">
        <v>1.0</v>
      </c>
      <c r="J19" s="23" t="s">
        <v>38</v>
      </c>
      <c r="K19" s="28">
        <v>30000.0</v>
      </c>
      <c r="L19" s="210">
        <v>0.0</v>
      </c>
      <c r="M19" s="210">
        <v>0.0</v>
      </c>
      <c r="N19" s="28">
        <v>0.0</v>
      </c>
      <c r="O19" s="28">
        <v>0.0</v>
      </c>
      <c r="P19" s="33"/>
    </row>
    <row r="20" ht="11.25" hidden="1" customHeight="1">
      <c r="A20" s="12">
        <f t="shared" si="1"/>
        <v>1</v>
      </c>
      <c r="B20" s="15" t="s">
        <v>24</v>
      </c>
      <c r="C20" s="17" t="s">
        <v>46</v>
      </c>
      <c r="D20" s="17" t="s">
        <v>1298</v>
      </c>
      <c r="E20" s="152" t="s">
        <v>44</v>
      </c>
      <c r="F20" s="152" t="s">
        <v>45</v>
      </c>
      <c r="G20" s="25" t="s">
        <v>36</v>
      </c>
      <c r="H20" s="95">
        <v>46182.0</v>
      </c>
      <c r="I20" s="194">
        <v>0.0</v>
      </c>
      <c r="J20" s="23" t="s">
        <v>57</v>
      </c>
      <c r="K20" s="28">
        <v>8000.0</v>
      </c>
      <c r="L20" s="28">
        <v>0.0</v>
      </c>
      <c r="M20" s="28">
        <v>0.0</v>
      </c>
      <c r="N20" s="76">
        <v>0.0</v>
      </c>
      <c r="O20" s="77">
        <v>0.0</v>
      </c>
      <c r="P20" s="33"/>
    </row>
    <row r="21" ht="11.25" hidden="1" customHeight="1">
      <c r="A21" s="12">
        <f t="shared" si="1"/>
        <v>1</v>
      </c>
      <c r="B21" s="15" t="s">
        <v>24</v>
      </c>
      <c r="C21" s="17" t="s">
        <v>87</v>
      </c>
      <c r="D21" s="228">
        <v>86428.0</v>
      </c>
      <c r="E21" s="229" t="s">
        <v>49</v>
      </c>
      <c r="F21" s="229" t="s">
        <v>54</v>
      </c>
      <c r="G21" s="229" t="s">
        <v>55</v>
      </c>
      <c r="H21" s="230">
        <v>46183.0</v>
      </c>
      <c r="I21" s="231">
        <v>0.0</v>
      </c>
      <c r="J21" s="232" t="s">
        <v>38</v>
      </c>
      <c r="K21" s="233">
        <v>25000.0</v>
      </c>
      <c r="L21" s="28">
        <v>0.0</v>
      </c>
      <c r="M21" s="28">
        <v>0.0</v>
      </c>
      <c r="N21" s="76">
        <v>0.0</v>
      </c>
      <c r="O21" s="77">
        <v>0.0</v>
      </c>
      <c r="P21" s="158">
        <v>46149.0</v>
      </c>
    </row>
    <row r="22" ht="11.25" hidden="1" customHeight="1">
      <c r="A22" s="12">
        <f t="shared" si="1"/>
        <v>1</v>
      </c>
      <c r="B22" s="15" t="s">
        <v>24</v>
      </c>
      <c r="C22" s="17" t="s">
        <v>58</v>
      </c>
      <c r="D22" s="17" t="s">
        <v>1319</v>
      </c>
      <c r="E22" s="23" t="s">
        <v>92</v>
      </c>
      <c r="F22" s="23" t="s">
        <v>1056</v>
      </c>
      <c r="G22" s="25" t="s">
        <v>37</v>
      </c>
      <c r="H22" s="95">
        <v>46183.0</v>
      </c>
      <c r="I22" s="17">
        <v>1.0</v>
      </c>
      <c r="J22" s="23" t="s">
        <v>38</v>
      </c>
      <c r="K22" s="28">
        <v>10000.0</v>
      </c>
      <c r="L22" s="28">
        <v>0.0</v>
      </c>
      <c r="M22" s="28">
        <v>0.0</v>
      </c>
      <c r="N22" s="76">
        <v>0.0</v>
      </c>
      <c r="O22" s="77">
        <v>0.0</v>
      </c>
      <c r="P22" s="33"/>
    </row>
    <row r="23" ht="11.25" hidden="1" customHeight="1">
      <c r="A23" s="12">
        <f t="shared" si="1"/>
        <v>1</v>
      </c>
      <c r="B23" s="15" t="s">
        <v>24</v>
      </c>
      <c r="C23" s="17" t="s">
        <v>58</v>
      </c>
      <c r="D23" s="17" t="s">
        <v>1055</v>
      </c>
      <c r="E23" s="23" t="s">
        <v>92</v>
      </c>
      <c r="F23" s="23" t="s">
        <v>1056</v>
      </c>
      <c r="G23" s="25" t="s">
        <v>37</v>
      </c>
      <c r="H23" s="95">
        <v>46183.0</v>
      </c>
      <c r="I23" s="17">
        <v>0.0</v>
      </c>
      <c r="J23" s="23" t="s">
        <v>38</v>
      </c>
      <c r="K23" s="28">
        <v>0.0</v>
      </c>
      <c r="L23" s="28">
        <v>0.0</v>
      </c>
      <c r="M23" s="28">
        <v>0.0</v>
      </c>
      <c r="N23" s="28">
        <v>70000.0</v>
      </c>
      <c r="O23" s="28">
        <v>0.0</v>
      </c>
      <c r="P23" s="200">
        <v>46204.0</v>
      </c>
    </row>
    <row r="24" ht="11.25" hidden="1" customHeight="1">
      <c r="A24" s="12">
        <f t="shared" si="1"/>
        <v>1</v>
      </c>
      <c r="B24" s="15" t="s">
        <v>24</v>
      </c>
      <c r="C24" s="17" t="s">
        <v>87</v>
      </c>
      <c r="D24" s="17" t="s">
        <v>1329</v>
      </c>
      <c r="E24" s="23" t="s">
        <v>1189</v>
      </c>
      <c r="F24" s="23" t="s">
        <v>1330</v>
      </c>
      <c r="G24" s="25" t="s">
        <v>36</v>
      </c>
      <c r="H24" s="95">
        <v>46183.0</v>
      </c>
      <c r="I24" s="17">
        <v>1.0</v>
      </c>
      <c r="J24" s="23" t="s">
        <v>38</v>
      </c>
      <c r="K24" s="28">
        <v>10000.0</v>
      </c>
      <c r="L24" s="28">
        <v>0.0</v>
      </c>
      <c r="M24" s="28">
        <v>0.0</v>
      </c>
      <c r="N24" s="76">
        <v>0.0</v>
      </c>
      <c r="O24" s="77">
        <v>0.0</v>
      </c>
      <c r="P24" s="33"/>
    </row>
    <row r="25" ht="11.25" hidden="1" customHeight="1">
      <c r="A25" s="12">
        <f t="shared" si="1"/>
        <v>1</v>
      </c>
      <c r="B25" s="15" t="s">
        <v>24</v>
      </c>
      <c r="C25" s="17" t="s">
        <v>46</v>
      </c>
      <c r="D25" s="17" t="s">
        <v>1334</v>
      </c>
      <c r="E25" s="21" t="s">
        <v>52</v>
      </c>
      <c r="F25" s="21" t="s">
        <v>114</v>
      </c>
      <c r="G25" s="25" t="s">
        <v>36</v>
      </c>
      <c r="H25" s="95">
        <v>46184.0</v>
      </c>
      <c r="I25" s="17">
        <v>0.0</v>
      </c>
      <c r="J25" s="23" t="s">
        <v>57</v>
      </c>
      <c r="K25" s="28">
        <v>4000.0</v>
      </c>
      <c r="L25" s="28">
        <v>0.0</v>
      </c>
      <c r="M25" s="28">
        <v>0.0</v>
      </c>
      <c r="N25" s="76">
        <v>0.0</v>
      </c>
      <c r="O25" s="77">
        <v>0.0</v>
      </c>
      <c r="P25" s="33"/>
    </row>
    <row r="26" ht="11.25" hidden="1" customHeight="1">
      <c r="A26" s="12">
        <f t="shared" si="1"/>
        <v>1</v>
      </c>
      <c r="B26" s="15" t="s">
        <v>24</v>
      </c>
      <c r="C26" s="17" t="s">
        <v>46</v>
      </c>
      <c r="D26" s="17" t="s">
        <v>1336</v>
      </c>
      <c r="E26" s="65" t="s">
        <v>71</v>
      </c>
      <c r="F26" s="21" t="s">
        <v>114</v>
      </c>
      <c r="G26" s="25" t="s">
        <v>36</v>
      </c>
      <c r="H26" s="95">
        <v>46184.0</v>
      </c>
      <c r="I26" s="17">
        <v>0.0</v>
      </c>
      <c r="J26" s="23" t="s">
        <v>57</v>
      </c>
      <c r="K26" s="28">
        <v>4000.0</v>
      </c>
      <c r="L26" s="28">
        <v>0.0</v>
      </c>
      <c r="M26" s="28">
        <v>0.0</v>
      </c>
      <c r="N26" s="76">
        <v>0.0</v>
      </c>
      <c r="O26" s="77">
        <v>0.0</v>
      </c>
      <c r="P26" s="33"/>
    </row>
    <row r="27" ht="11.25" hidden="1" customHeight="1">
      <c r="A27" s="12">
        <f t="shared" si="1"/>
        <v>1</v>
      </c>
      <c r="B27" s="15" t="s">
        <v>24</v>
      </c>
      <c r="C27" s="17" t="s">
        <v>46</v>
      </c>
      <c r="D27" s="17" t="s">
        <v>1339</v>
      </c>
      <c r="E27" s="65" t="s">
        <v>71</v>
      </c>
      <c r="F27" s="21" t="s">
        <v>114</v>
      </c>
      <c r="G27" s="25" t="s">
        <v>36</v>
      </c>
      <c r="H27" s="95">
        <v>46184.0</v>
      </c>
      <c r="I27" s="17">
        <v>0.0</v>
      </c>
      <c r="J27" s="23" t="s">
        <v>38</v>
      </c>
      <c r="K27" s="28">
        <v>7000.0</v>
      </c>
      <c r="L27" s="28">
        <v>0.0</v>
      </c>
      <c r="M27" s="28">
        <v>0.0</v>
      </c>
      <c r="N27" s="76">
        <v>0.0</v>
      </c>
      <c r="O27" s="77">
        <v>0.0</v>
      </c>
      <c r="P27" s="33"/>
    </row>
    <row r="28" ht="11.25" customHeight="1">
      <c r="A28" s="12">
        <f t="shared" si="1"/>
        <v>2</v>
      </c>
      <c r="B28" s="15" t="s">
        <v>24</v>
      </c>
      <c r="C28" s="17" t="s">
        <v>87</v>
      </c>
      <c r="D28" s="17" t="s">
        <v>1343</v>
      </c>
      <c r="E28" s="23" t="s">
        <v>377</v>
      </c>
      <c r="F28" s="23" t="s">
        <v>1241</v>
      </c>
      <c r="G28" s="25" t="s">
        <v>36</v>
      </c>
      <c r="H28" s="95">
        <v>46184.0</v>
      </c>
      <c r="I28" s="17">
        <v>0.0</v>
      </c>
      <c r="J28" s="23" t="s">
        <v>38</v>
      </c>
      <c r="K28" s="28">
        <v>150000.0</v>
      </c>
      <c r="L28" s="28">
        <v>0.0</v>
      </c>
      <c r="M28" s="28">
        <v>0.0</v>
      </c>
      <c r="N28" s="28">
        <v>0.0</v>
      </c>
      <c r="O28" s="28">
        <v>0.0</v>
      </c>
      <c r="P28" s="33"/>
    </row>
    <row r="29" ht="11.25" hidden="1" customHeight="1">
      <c r="A29" s="12">
        <f t="shared" si="1"/>
        <v>2</v>
      </c>
      <c r="B29" s="15" t="s">
        <v>24</v>
      </c>
      <c r="C29" s="17" t="s">
        <v>87</v>
      </c>
      <c r="D29" s="17" t="s">
        <v>1345</v>
      </c>
      <c r="E29" s="23" t="s">
        <v>1016</v>
      </c>
      <c r="F29" s="23" t="s">
        <v>1347</v>
      </c>
      <c r="G29" s="25" t="s">
        <v>37</v>
      </c>
      <c r="H29" s="95">
        <v>46184.0</v>
      </c>
      <c r="I29" s="17">
        <v>1.0</v>
      </c>
      <c r="J29" s="23" t="s">
        <v>38</v>
      </c>
      <c r="K29" s="28">
        <v>5000.0</v>
      </c>
      <c r="L29" s="28">
        <v>0.0</v>
      </c>
      <c r="M29" s="28">
        <v>0.0</v>
      </c>
      <c r="N29" s="28">
        <v>0.0</v>
      </c>
      <c r="O29" s="28">
        <v>0.0</v>
      </c>
      <c r="P29" s="33"/>
    </row>
    <row r="30" ht="11.25" hidden="1" customHeight="1">
      <c r="A30" s="12">
        <f t="shared" si="1"/>
        <v>2</v>
      </c>
      <c r="B30" s="15" t="s">
        <v>24</v>
      </c>
      <c r="C30" s="17" t="s">
        <v>46</v>
      </c>
      <c r="D30" s="17" t="s">
        <v>1349</v>
      </c>
      <c r="E30" s="235" t="s">
        <v>169</v>
      </c>
      <c r="F30" s="235" t="s">
        <v>170</v>
      </c>
      <c r="G30" s="25" t="s">
        <v>36</v>
      </c>
      <c r="H30" s="95">
        <v>46184.0</v>
      </c>
      <c r="I30" s="17">
        <v>0.0</v>
      </c>
      <c r="J30" s="23" t="s">
        <v>57</v>
      </c>
      <c r="K30" s="28">
        <v>8500.0</v>
      </c>
      <c r="L30" s="28">
        <v>0.0</v>
      </c>
      <c r="M30" s="28">
        <v>0.0</v>
      </c>
      <c r="N30" s="76">
        <v>0.0</v>
      </c>
      <c r="O30" s="77">
        <v>0.0</v>
      </c>
      <c r="P30" s="33"/>
    </row>
    <row r="31" ht="11.25" hidden="1" customHeight="1">
      <c r="A31" s="12">
        <f t="shared" si="1"/>
        <v>2</v>
      </c>
      <c r="B31" s="15" t="s">
        <v>24</v>
      </c>
      <c r="C31" s="17" t="s">
        <v>58</v>
      </c>
      <c r="D31" s="17" t="s">
        <v>1350</v>
      </c>
      <c r="E31" s="235" t="s">
        <v>169</v>
      </c>
      <c r="F31" s="235" t="s">
        <v>170</v>
      </c>
      <c r="G31" s="25" t="s">
        <v>37</v>
      </c>
      <c r="H31" s="95">
        <v>46184.0</v>
      </c>
      <c r="I31" s="17">
        <v>0.0</v>
      </c>
      <c r="J31" s="23" t="s">
        <v>38</v>
      </c>
      <c r="K31" s="28">
        <v>3000.0</v>
      </c>
      <c r="L31" s="28">
        <v>0.0</v>
      </c>
      <c r="M31" s="28">
        <v>0.0</v>
      </c>
      <c r="N31" s="76">
        <v>0.0</v>
      </c>
      <c r="O31" s="77">
        <v>0.0</v>
      </c>
      <c r="P31" s="33"/>
    </row>
    <row r="32" ht="11.25" hidden="1" customHeight="1">
      <c r="A32" s="12">
        <f t="shared" si="1"/>
        <v>2</v>
      </c>
      <c r="B32" s="15" t="s">
        <v>24</v>
      </c>
      <c r="C32" s="17" t="s">
        <v>87</v>
      </c>
      <c r="D32" s="17" t="s">
        <v>1351</v>
      </c>
      <c r="E32" s="23" t="s">
        <v>142</v>
      </c>
      <c r="F32" s="23" t="s">
        <v>512</v>
      </c>
      <c r="G32" s="25" t="s">
        <v>37</v>
      </c>
      <c r="H32" s="95">
        <v>46184.0</v>
      </c>
      <c r="I32" s="17">
        <v>2.0</v>
      </c>
      <c r="J32" s="23" t="s">
        <v>38</v>
      </c>
      <c r="K32" s="28">
        <v>15000.0</v>
      </c>
      <c r="L32" s="28">
        <v>0.0</v>
      </c>
      <c r="M32" s="28">
        <v>0.0</v>
      </c>
      <c r="N32" s="76">
        <v>0.0</v>
      </c>
      <c r="O32" s="77">
        <v>0.0</v>
      </c>
      <c r="P32" s="33"/>
    </row>
    <row r="33" ht="11.25" hidden="1" customHeight="1">
      <c r="A33" s="12">
        <f t="shared" si="1"/>
        <v>2</v>
      </c>
      <c r="B33" s="15" t="s">
        <v>24</v>
      </c>
      <c r="C33" s="17" t="s">
        <v>46</v>
      </c>
      <c r="D33" s="17" t="s">
        <v>1352</v>
      </c>
      <c r="E33" s="94" t="s">
        <v>92</v>
      </c>
      <c r="F33" s="21" t="s">
        <v>742</v>
      </c>
      <c r="G33" s="25" t="s">
        <v>37</v>
      </c>
      <c r="H33" s="95">
        <v>46184.0</v>
      </c>
      <c r="I33" s="17">
        <v>0.0</v>
      </c>
      <c r="J33" s="23" t="s">
        <v>57</v>
      </c>
      <c r="K33" s="28">
        <v>9000.0</v>
      </c>
      <c r="L33" s="28">
        <v>0.0</v>
      </c>
      <c r="M33" s="28">
        <v>0.0</v>
      </c>
      <c r="N33" s="76">
        <v>0.0</v>
      </c>
      <c r="O33" s="77">
        <v>0.0</v>
      </c>
      <c r="P33" s="33"/>
    </row>
    <row r="34" ht="11.25" hidden="1" customHeight="1">
      <c r="A34" s="12">
        <f t="shared" si="1"/>
        <v>2</v>
      </c>
      <c r="B34" s="15" t="s">
        <v>24</v>
      </c>
      <c r="C34" s="17" t="s">
        <v>87</v>
      </c>
      <c r="D34" s="17" t="s">
        <v>1353</v>
      </c>
      <c r="E34" s="198" t="s">
        <v>142</v>
      </c>
      <c r="F34" s="223" t="s">
        <v>452</v>
      </c>
      <c r="G34" s="25" t="s">
        <v>37</v>
      </c>
      <c r="H34" s="95">
        <v>46184.0</v>
      </c>
      <c r="I34" s="17">
        <v>0.0</v>
      </c>
      <c r="J34" s="23" t="s">
        <v>38</v>
      </c>
      <c r="K34" s="28">
        <v>15000.0</v>
      </c>
      <c r="L34" s="28">
        <v>0.0</v>
      </c>
      <c r="M34" s="28">
        <v>0.0</v>
      </c>
      <c r="N34" s="76">
        <v>0.0</v>
      </c>
      <c r="O34" s="77">
        <v>0.0</v>
      </c>
      <c r="P34" s="33"/>
    </row>
    <row r="35" ht="11.25" hidden="1" customHeight="1">
      <c r="A35" s="12">
        <f t="shared" si="1"/>
        <v>2</v>
      </c>
      <c r="B35" s="15" t="s">
        <v>24</v>
      </c>
      <c r="C35" s="17" t="s">
        <v>58</v>
      </c>
      <c r="D35" s="17" t="s">
        <v>1354</v>
      </c>
      <c r="E35" s="94" t="s">
        <v>92</v>
      </c>
      <c r="F35" s="23" t="s">
        <v>700</v>
      </c>
      <c r="G35" s="25" t="s">
        <v>36</v>
      </c>
      <c r="H35" s="95">
        <v>46184.0</v>
      </c>
      <c r="I35" s="17">
        <v>0.0</v>
      </c>
      <c r="J35" s="23" t="s">
        <v>38</v>
      </c>
      <c r="K35" s="28">
        <v>10000.0</v>
      </c>
      <c r="L35" s="28">
        <v>0.0</v>
      </c>
      <c r="M35" s="28">
        <v>0.0</v>
      </c>
      <c r="N35" s="76">
        <v>0.0</v>
      </c>
      <c r="O35" s="77">
        <v>0.0</v>
      </c>
      <c r="P35" s="33"/>
    </row>
    <row r="36" ht="11.25" hidden="1" customHeight="1">
      <c r="A36" s="12">
        <f t="shared" si="1"/>
        <v>2</v>
      </c>
      <c r="B36" s="15" t="s">
        <v>24</v>
      </c>
      <c r="C36" s="17" t="s">
        <v>46</v>
      </c>
      <c r="D36" s="17" t="s">
        <v>1355</v>
      </c>
      <c r="E36" s="21" t="s">
        <v>488</v>
      </c>
      <c r="F36" s="36" t="s">
        <v>697</v>
      </c>
      <c r="G36" s="25" t="s">
        <v>36</v>
      </c>
      <c r="H36" s="95">
        <v>46184.0</v>
      </c>
      <c r="I36" s="17">
        <v>0.0</v>
      </c>
      <c r="J36" s="23" t="s">
        <v>57</v>
      </c>
      <c r="K36" s="28">
        <v>10000.0</v>
      </c>
      <c r="L36" s="28">
        <v>0.0</v>
      </c>
      <c r="M36" s="28">
        <v>0.0</v>
      </c>
      <c r="N36" s="76">
        <v>0.0</v>
      </c>
      <c r="O36" s="77">
        <v>0.0</v>
      </c>
      <c r="P36" s="33"/>
    </row>
    <row r="37" ht="11.25" hidden="1" customHeight="1">
      <c r="A37" s="12">
        <f t="shared" si="1"/>
        <v>2</v>
      </c>
      <c r="B37" s="15" t="s">
        <v>24</v>
      </c>
      <c r="C37" s="17" t="s">
        <v>87</v>
      </c>
      <c r="D37" s="17" t="s">
        <v>1356</v>
      </c>
      <c r="E37" s="23" t="s">
        <v>223</v>
      </c>
      <c r="F37" s="23" t="s">
        <v>392</v>
      </c>
      <c r="G37" s="25" t="s">
        <v>37</v>
      </c>
      <c r="H37" s="26">
        <v>46184.0</v>
      </c>
      <c r="I37" s="17">
        <v>0.0</v>
      </c>
      <c r="J37" s="23" t="s">
        <v>38</v>
      </c>
      <c r="K37" s="28">
        <v>100000.0</v>
      </c>
      <c r="L37" s="28">
        <v>0.0</v>
      </c>
      <c r="M37" s="28">
        <v>0.0</v>
      </c>
      <c r="N37" s="76">
        <v>0.0</v>
      </c>
      <c r="O37" s="77">
        <v>0.0</v>
      </c>
      <c r="P37" s="33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1.25" hidden="1" customHeight="1">
      <c r="A38" s="12">
        <f t="shared" si="1"/>
        <v>2</v>
      </c>
      <c r="B38" s="15" t="s">
        <v>24</v>
      </c>
      <c r="C38" s="17" t="s">
        <v>46</v>
      </c>
      <c r="D38" s="211" t="s">
        <v>342</v>
      </c>
      <c r="E38" s="72" t="s">
        <v>272</v>
      </c>
      <c r="F38" s="72" t="s">
        <v>274</v>
      </c>
      <c r="G38" s="25" t="s">
        <v>34</v>
      </c>
      <c r="H38" s="26">
        <v>46184.0</v>
      </c>
      <c r="I38" s="15">
        <v>0.0</v>
      </c>
      <c r="J38" s="25" t="s">
        <v>57</v>
      </c>
      <c r="K38" s="28">
        <v>20000.0</v>
      </c>
      <c r="L38" s="28">
        <v>0.0</v>
      </c>
      <c r="M38" s="28">
        <v>0.0</v>
      </c>
      <c r="N38" s="28">
        <v>0.0</v>
      </c>
      <c r="O38" s="215">
        <v>0.0</v>
      </c>
      <c r="P38" s="105"/>
    </row>
    <row r="39" ht="11.25" hidden="1" customHeight="1">
      <c r="A39" s="12">
        <f t="shared" si="1"/>
        <v>2</v>
      </c>
      <c r="B39" s="15" t="s">
        <v>24</v>
      </c>
      <c r="C39" s="17" t="s">
        <v>87</v>
      </c>
      <c r="D39" s="17" t="s">
        <v>1357</v>
      </c>
      <c r="E39" s="23" t="s">
        <v>49</v>
      </c>
      <c r="F39" s="236" t="s">
        <v>967</v>
      </c>
      <c r="G39" s="25" t="s">
        <v>36</v>
      </c>
      <c r="H39" s="26">
        <v>46186.0</v>
      </c>
      <c r="I39" s="17">
        <v>1.0</v>
      </c>
      <c r="J39" s="23" t="s">
        <v>38</v>
      </c>
      <c r="K39" s="28">
        <v>50000.0</v>
      </c>
      <c r="L39" s="28">
        <v>0.0</v>
      </c>
      <c r="M39" s="28">
        <v>0.0</v>
      </c>
      <c r="N39" s="76">
        <v>0.0</v>
      </c>
      <c r="O39" s="77">
        <v>0.0</v>
      </c>
      <c r="P39" s="33"/>
    </row>
    <row r="40" ht="11.25" hidden="1" customHeight="1">
      <c r="A40" s="12">
        <f t="shared" si="1"/>
        <v>2</v>
      </c>
      <c r="B40" s="15" t="s">
        <v>24</v>
      </c>
      <c r="C40" s="17" t="s">
        <v>46</v>
      </c>
      <c r="D40" s="17" t="s">
        <v>1358</v>
      </c>
      <c r="E40" s="237" t="s">
        <v>272</v>
      </c>
      <c r="F40" s="23" t="s">
        <v>318</v>
      </c>
      <c r="G40" s="25" t="s">
        <v>36</v>
      </c>
      <c r="H40" s="26">
        <v>46186.0</v>
      </c>
      <c r="I40" s="17">
        <v>0.0</v>
      </c>
      <c r="J40" s="23" t="s">
        <v>57</v>
      </c>
      <c r="K40" s="28">
        <v>5000.0</v>
      </c>
      <c r="L40" s="28">
        <v>0.0</v>
      </c>
      <c r="M40" s="28">
        <v>0.0</v>
      </c>
      <c r="N40" s="76">
        <v>0.0</v>
      </c>
      <c r="O40" s="77">
        <v>0.0</v>
      </c>
      <c r="P40" s="33"/>
    </row>
    <row r="41" ht="11.25" hidden="1" customHeight="1">
      <c r="A41" s="12">
        <f t="shared" si="1"/>
        <v>2</v>
      </c>
      <c r="B41" s="15" t="s">
        <v>24</v>
      </c>
      <c r="C41" s="17" t="s">
        <v>46</v>
      </c>
      <c r="D41" s="17" t="s">
        <v>1359</v>
      </c>
      <c r="E41" s="21" t="s">
        <v>60</v>
      </c>
      <c r="F41" s="21" t="s">
        <v>161</v>
      </c>
      <c r="G41" s="25" t="s">
        <v>36</v>
      </c>
      <c r="H41" s="26">
        <v>46186.0</v>
      </c>
      <c r="I41" s="17">
        <v>0.0</v>
      </c>
      <c r="J41" s="23" t="s">
        <v>57</v>
      </c>
      <c r="K41" s="28">
        <v>7300.0</v>
      </c>
      <c r="L41" s="28">
        <v>0.0</v>
      </c>
      <c r="M41" s="28">
        <v>0.0</v>
      </c>
      <c r="N41" s="76">
        <v>0.0</v>
      </c>
      <c r="O41" s="77">
        <v>0.0</v>
      </c>
      <c r="P41" s="33"/>
    </row>
    <row r="42" ht="11.25" hidden="1" customHeight="1">
      <c r="A42" s="12">
        <f t="shared" si="1"/>
        <v>2</v>
      </c>
      <c r="B42" s="15" t="s">
        <v>24</v>
      </c>
      <c r="C42" s="17" t="s">
        <v>87</v>
      </c>
      <c r="D42" s="17" t="s">
        <v>1360</v>
      </c>
      <c r="E42" s="23" t="s">
        <v>49</v>
      </c>
      <c r="F42" s="236" t="s">
        <v>967</v>
      </c>
      <c r="G42" s="25" t="s">
        <v>36</v>
      </c>
      <c r="H42" s="26">
        <v>46187.0</v>
      </c>
      <c r="I42" s="17">
        <v>0.0</v>
      </c>
      <c r="J42" s="23" t="s">
        <v>38</v>
      </c>
      <c r="K42" s="28">
        <v>50000.0</v>
      </c>
      <c r="L42" s="28">
        <v>0.0</v>
      </c>
      <c r="M42" s="28">
        <v>0.0</v>
      </c>
      <c r="N42" s="76">
        <v>0.0</v>
      </c>
      <c r="O42" s="77">
        <v>0.0</v>
      </c>
      <c r="P42" s="33"/>
    </row>
    <row r="43" ht="11.25" hidden="1" customHeight="1">
      <c r="A43" s="12">
        <f t="shared" si="1"/>
        <v>2</v>
      </c>
      <c r="B43" s="15" t="s">
        <v>24</v>
      </c>
      <c r="C43" s="17" t="s">
        <v>182</v>
      </c>
      <c r="D43" s="17" t="s">
        <v>1363</v>
      </c>
      <c r="E43" s="23" t="s">
        <v>1364</v>
      </c>
      <c r="F43" s="23" t="s">
        <v>1365</v>
      </c>
      <c r="G43" s="25" t="s">
        <v>36</v>
      </c>
      <c r="H43" s="30">
        <v>46187.0</v>
      </c>
      <c r="I43" s="17">
        <v>0.0</v>
      </c>
      <c r="J43" s="23" t="s">
        <v>38</v>
      </c>
      <c r="K43" s="28">
        <v>0.0</v>
      </c>
      <c r="L43" s="28">
        <v>0.0</v>
      </c>
      <c r="M43" s="28">
        <v>0.0</v>
      </c>
      <c r="N43" s="28">
        <v>100000.0</v>
      </c>
      <c r="O43" s="28">
        <v>0.0</v>
      </c>
      <c r="P43" s="30">
        <v>46203.0</v>
      </c>
    </row>
    <row r="44" ht="11.25" customHeight="1">
      <c r="A44" s="12">
        <f t="shared" si="1"/>
        <v>3</v>
      </c>
      <c r="B44" s="15" t="s">
        <v>24</v>
      </c>
      <c r="C44" s="17" t="s">
        <v>46</v>
      </c>
      <c r="D44" s="35" t="s">
        <v>1366</v>
      </c>
      <c r="E44" s="238" t="s">
        <v>377</v>
      </c>
      <c r="F44" s="78" t="s">
        <v>1164</v>
      </c>
      <c r="G44" s="25" t="s">
        <v>36</v>
      </c>
      <c r="H44" s="30">
        <v>46187.0</v>
      </c>
      <c r="I44" s="17">
        <v>0.0</v>
      </c>
      <c r="J44" s="23" t="s">
        <v>57</v>
      </c>
      <c r="K44" s="28">
        <v>6100.0</v>
      </c>
      <c r="L44" s="28">
        <v>0.0</v>
      </c>
      <c r="M44" s="28">
        <v>0.0</v>
      </c>
      <c r="N44" s="76">
        <v>0.0</v>
      </c>
      <c r="O44" s="77">
        <v>0.0</v>
      </c>
      <c r="P44" s="33"/>
    </row>
    <row r="45" ht="11.25" hidden="1" customHeight="1">
      <c r="A45" s="12">
        <f t="shared" si="1"/>
        <v>3</v>
      </c>
      <c r="B45" s="15" t="s">
        <v>24</v>
      </c>
      <c r="C45" s="17" t="s">
        <v>87</v>
      </c>
      <c r="D45" s="17" t="s">
        <v>1367</v>
      </c>
      <c r="E45" s="23" t="s">
        <v>614</v>
      </c>
      <c r="F45" s="23" t="s">
        <v>1368</v>
      </c>
      <c r="G45" s="25" t="s">
        <v>37</v>
      </c>
      <c r="H45" s="26">
        <v>46187.0</v>
      </c>
      <c r="I45" s="17">
        <v>1.0</v>
      </c>
      <c r="J45" s="23" t="s">
        <v>38</v>
      </c>
      <c r="K45" s="28">
        <v>0.0</v>
      </c>
      <c r="L45" s="28">
        <v>100000.0</v>
      </c>
      <c r="M45" s="28">
        <v>0.0</v>
      </c>
      <c r="N45" s="76">
        <v>0.0</v>
      </c>
      <c r="O45" s="77">
        <v>0.0</v>
      </c>
      <c r="P45" s="33"/>
    </row>
    <row r="46" ht="11.25" hidden="1" customHeight="1">
      <c r="A46" s="12">
        <f t="shared" si="1"/>
        <v>3</v>
      </c>
      <c r="B46" s="15" t="s">
        <v>24</v>
      </c>
      <c r="C46" s="231" t="s">
        <v>46</v>
      </c>
      <c r="D46" s="211" t="s">
        <v>346</v>
      </c>
      <c r="E46" s="21" t="s">
        <v>28</v>
      </c>
      <c r="F46" s="94" t="s">
        <v>79</v>
      </c>
      <c r="G46" s="25" t="s">
        <v>34</v>
      </c>
      <c r="H46" s="26">
        <v>46187.0</v>
      </c>
      <c r="I46" s="211">
        <v>0.0</v>
      </c>
      <c r="J46" s="25" t="s">
        <v>57</v>
      </c>
      <c r="K46" s="213">
        <v>0.0</v>
      </c>
      <c r="L46" s="213">
        <v>50000.0</v>
      </c>
      <c r="M46" s="28">
        <v>0.0</v>
      </c>
      <c r="N46" s="28">
        <v>0.0</v>
      </c>
      <c r="O46" s="215">
        <v>0.0</v>
      </c>
      <c r="P46" s="33"/>
    </row>
    <row r="47" ht="11.25" hidden="1" customHeight="1">
      <c r="A47" s="12">
        <f t="shared" si="1"/>
        <v>3</v>
      </c>
      <c r="B47" s="15" t="s">
        <v>24</v>
      </c>
      <c r="C47" s="17" t="s">
        <v>58</v>
      </c>
      <c r="D47" s="17" t="s">
        <v>1369</v>
      </c>
      <c r="E47" s="80" t="s">
        <v>60</v>
      </c>
      <c r="F47" s="23" t="s">
        <v>209</v>
      </c>
      <c r="G47" s="23" t="s">
        <v>212</v>
      </c>
      <c r="H47" s="26">
        <v>46188.0</v>
      </c>
      <c r="I47" s="17">
        <v>0.0</v>
      </c>
      <c r="J47" s="23" t="s">
        <v>38</v>
      </c>
      <c r="K47" s="28">
        <v>5000.0</v>
      </c>
      <c r="L47" s="210">
        <v>0.0</v>
      </c>
      <c r="M47" s="210">
        <v>0.0</v>
      </c>
      <c r="N47" s="28">
        <v>0.0</v>
      </c>
      <c r="O47" s="28">
        <v>0.0</v>
      </c>
      <c r="P47" s="105"/>
    </row>
    <row r="48" ht="11.25" hidden="1" customHeight="1">
      <c r="A48" s="12">
        <f t="shared" si="1"/>
        <v>3</v>
      </c>
      <c r="B48" s="15" t="s">
        <v>24</v>
      </c>
      <c r="C48" s="17" t="s">
        <v>87</v>
      </c>
      <c r="D48" s="17" t="s">
        <v>1370</v>
      </c>
      <c r="E48" s="23" t="s">
        <v>142</v>
      </c>
      <c r="F48" s="78" t="s">
        <v>1227</v>
      </c>
      <c r="G48" s="23" t="s">
        <v>55</v>
      </c>
      <c r="H48" s="95">
        <v>46189.0</v>
      </c>
      <c r="I48" s="17">
        <v>0.0</v>
      </c>
      <c r="J48" s="23" t="s">
        <v>38</v>
      </c>
      <c r="K48" s="28">
        <v>40000.0</v>
      </c>
      <c r="L48" s="28">
        <v>0.0</v>
      </c>
      <c r="M48" s="28">
        <v>0.0</v>
      </c>
      <c r="N48" s="28">
        <v>0.0</v>
      </c>
      <c r="O48" s="28">
        <v>0.0</v>
      </c>
      <c r="P48" s="33"/>
    </row>
    <row r="49" ht="11.25" hidden="1" customHeight="1">
      <c r="A49" s="12">
        <f t="shared" si="1"/>
        <v>3</v>
      </c>
      <c r="B49" s="15" t="s">
        <v>24</v>
      </c>
      <c r="C49" s="17" t="s">
        <v>182</v>
      </c>
      <c r="D49" s="17" t="s">
        <v>1371</v>
      </c>
      <c r="E49" s="23" t="s">
        <v>1364</v>
      </c>
      <c r="F49" s="23" t="s">
        <v>1372</v>
      </c>
      <c r="G49" s="25" t="s">
        <v>37</v>
      </c>
      <c r="H49" s="95">
        <v>46189.0</v>
      </c>
      <c r="I49" s="17">
        <v>20.0</v>
      </c>
      <c r="J49" s="23" t="s">
        <v>38</v>
      </c>
      <c r="K49" s="210">
        <v>0.0</v>
      </c>
      <c r="L49" s="210">
        <v>0.0</v>
      </c>
      <c r="M49" s="28">
        <v>0.0</v>
      </c>
      <c r="N49" s="28">
        <v>20000.0</v>
      </c>
      <c r="O49" s="215">
        <v>0.0</v>
      </c>
      <c r="P49" s="30">
        <v>46199.0</v>
      </c>
    </row>
    <row r="50" ht="11.25" hidden="1" customHeight="1">
      <c r="A50" s="12">
        <f t="shared" si="1"/>
        <v>3</v>
      </c>
      <c r="B50" s="15" t="s">
        <v>24</v>
      </c>
      <c r="C50" s="17" t="s">
        <v>182</v>
      </c>
      <c r="D50" s="17">
        <v>92351.0</v>
      </c>
      <c r="E50" s="23" t="s">
        <v>1364</v>
      </c>
      <c r="F50" s="23" t="s">
        <v>1373</v>
      </c>
      <c r="G50" s="25" t="s">
        <v>37</v>
      </c>
      <c r="H50" s="95">
        <v>46189.0</v>
      </c>
      <c r="I50" s="17">
        <v>20.0</v>
      </c>
      <c r="J50" s="23" t="s">
        <v>38</v>
      </c>
      <c r="K50" s="28">
        <v>0.0</v>
      </c>
      <c r="L50" s="28">
        <v>0.0</v>
      </c>
      <c r="M50" s="28">
        <v>0.0</v>
      </c>
      <c r="N50" s="28">
        <v>20000.0</v>
      </c>
      <c r="O50" s="215">
        <v>0.0</v>
      </c>
      <c r="P50" s="30">
        <v>46199.0</v>
      </c>
    </row>
    <row r="51" ht="11.25" hidden="1" customHeight="1">
      <c r="A51" s="12">
        <f t="shared" si="1"/>
        <v>3</v>
      </c>
      <c r="B51" s="15" t="s">
        <v>24</v>
      </c>
      <c r="C51" s="17" t="s">
        <v>87</v>
      </c>
      <c r="D51" s="17" t="s">
        <v>1374</v>
      </c>
      <c r="E51" s="23" t="s">
        <v>1189</v>
      </c>
      <c r="F51" s="23" t="s">
        <v>1190</v>
      </c>
      <c r="G51" s="25" t="s">
        <v>36</v>
      </c>
      <c r="H51" s="95">
        <v>46190.0</v>
      </c>
      <c r="I51" s="17">
        <v>1.0</v>
      </c>
      <c r="J51" s="23" t="s">
        <v>38</v>
      </c>
      <c r="K51" s="28">
        <v>0.0</v>
      </c>
      <c r="L51" s="28">
        <v>60000.0</v>
      </c>
      <c r="M51" s="210">
        <v>0.0</v>
      </c>
      <c r="N51" s="210">
        <v>0.0</v>
      </c>
      <c r="O51" s="215">
        <v>0.0</v>
      </c>
      <c r="P51" s="175"/>
    </row>
    <row r="52" ht="11.25" hidden="1" customHeight="1">
      <c r="A52" s="12">
        <f t="shared" si="1"/>
        <v>3</v>
      </c>
      <c r="B52" s="15" t="s">
        <v>24</v>
      </c>
      <c r="C52" s="17" t="s">
        <v>87</v>
      </c>
      <c r="D52" s="17" t="s">
        <v>1375</v>
      </c>
      <c r="E52" s="23" t="s">
        <v>91</v>
      </c>
      <c r="F52" s="23" t="s">
        <v>134</v>
      </c>
      <c r="G52" s="25" t="s">
        <v>36</v>
      </c>
      <c r="H52" s="26">
        <v>46191.0</v>
      </c>
      <c r="I52" s="17">
        <v>0.0</v>
      </c>
      <c r="J52" s="23" t="s">
        <v>38</v>
      </c>
      <c r="K52" s="28">
        <v>0.0</v>
      </c>
      <c r="L52" s="28">
        <v>50000.0</v>
      </c>
      <c r="M52" s="28">
        <v>0.0</v>
      </c>
      <c r="N52" s="76">
        <v>0.0</v>
      </c>
      <c r="O52" s="77">
        <v>0.0</v>
      </c>
      <c r="P52" s="33"/>
    </row>
    <row r="53" ht="11.25" hidden="1" customHeight="1">
      <c r="A53" s="12">
        <f t="shared" si="1"/>
        <v>3</v>
      </c>
      <c r="B53" s="15" t="s">
        <v>24</v>
      </c>
      <c r="C53" s="17" t="s">
        <v>87</v>
      </c>
      <c r="D53" s="17" t="s">
        <v>1376</v>
      </c>
      <c r="E53" s="23" t="s">
        <v>142</v>
      </c>
      <c r="F53" s="78" t="s">
        <v>1227</v>
      </c>
      <c r="G53" s="23" t="s">
        <v>55</v>
      </c>
      <c r="H53" s="95">
        <v>46191.0</v>
      </c>
      <c r="I53" s="17">
        <v>0.0</v>
      </c>
      <c r="J53" s="23" t="s">
        <v>38</v>
      </c>
      <c r="K53" s="28">
        <v>46000.0</v>
      </c>
      <c r="L53" s="28">
        <v>0.0</v>
      </c>
      <c r="M53" s="28">
        <v>0.0</v>
      </c>
      <c r="N53" s="28">
        <v>0.0</v>
      </c>
      <c r="O53" s="28">
        <v>0.0</v>
      </c>
      <c r="P53" s="33"/>
    </row>
    <row r="54" ht="11.25" hidden="1" customHeight="1">
      <c r="A54" s="12">
        <f t="shared" si="1"/>
        <v>3</v>
      </c>
      <c r="B54" s="15" t="s">
        <v>24</v>
      </c>
      <c r="C54" s="17" t="s">
        <v>46</v>
      </c>
      <c r="D54" s="17" t="s">
        <v>1377</v>
      </c>
      <c r="E54" s="152" t="s">
        <v>44</v>
      </c>
      <c r="F54" s="152" t="s">
        <v>478</v>
      </c>
      <c r="G54" s="25" t="s">
        <v>37</v>
      </c>
      <c r="H54" s="95">
        <v>46191.0</v>
      </c>
      <c r="I54" s="17">
        <v>0.0</v>
      </c>
      <c r="J54" s="23" t="s">
        <v>57</v>
      </c>
      <c r="K54" s="28">
        <v>5500.0</v>
      </c>
      <c r="L54" s="28">
        <v>0.0</v>
      </c>
      <c r="M54" s="28">
        <v>0.0</v>
      </c>
      <c r="N54" s="28">
        <v>0.0</v>
      </c>
      <c r="O54" s="28">
        <v>0.0</v>
      </c>
      <c r="P54" s="33"/>
    </row>
    <row r="55" ht="11.25" hidden="1" customHeight="1">
      <c r="A55" s="12">
        <f t="shared" si="1"/>
        <v>3</v>
      </c>
      <c r="B55" s="15" t="s">
        <v>24</v>
      </c>
      <c r="C55" s="17" t="s">
        <v>46</v>
      </c>
      <c r="D55" s="17" t="s">
        <v>1378</v>
      </c>
      <c r="E55" s="152" t="s">
        <v>44</v>
      </c>
      <c r="F55" s="152" t="s">
        <v>478</v>
      </c>
      <c r="G55" s="25" t="s">
        <v>36</v>
      </c>
      <c r="H55" s="95">
        <v>46191.0</v>
      </c>
      <c r="I55" s="17">
        <v>0.0</v>
      </c>
      <c r="J55" s="23" t="s">
        <v>57</v>
      </c>
      <c r="K55" s="28">
        <v>11000.0</v>
      </c>
      <c r="L55" s="28">
        <v>0.0</v>
      </c>
      <c r="M55" s="28">
        <v>0.0</v>
      </c>
      <c r="N55" s="28">
        <v>0.0</v>
      </c>
      <c r="O55" s="28">
        <v>0.0</v>
      </c>
      <c r="P55" s="33"/>
    </row>
    <row r="56" ht="11.25" hidden="1" customHeight="1">
      <c r="A56" s="12">
        <f t="shared" si="1"/>
        <v>3</v>
      </c>
      <c r="B56" s="15" t="s">
        <v>24</v>
      </c>
      <c r="C56" s="17" t="s">
        <v>46</v>
      </c>
      <c r="D56" s="17" t="s">
        <v>1379</v>
      </c>
      <c r="E56" s="67" t="s">
        <v>44</v>
      </c>
      <c r="F56" s="67" t="s">
        <v>493</v>
      </c>
      <c r="G56" s="25" t="s">
        <v>37</v>
      </c>
      <c r="H56" s="95">
        <v>46191.0</v>
      </c>
      <c r="I56" s="17">
        <v>0.0</v>
      </c>
      <c r="J56" s="23" t="s">
        <v>57</v>
      </c>
      <c r="K56" s="28">
        <v>5500.0</v>
      </c>
      <c r="L56" s="28">
        <v>0.0</v>
      </c>
      <c r="M56" s="28">
        <v>0.0</v>
      </c>
      <c r="N56" s="28">
        <v>0.0</v>
      </c>
      <c r="O56" s="28">
        <v>0.0</v>
      </c>
      <c r="P56" s="33"/>
    </row>
    <row r="57" ht="11.25" hidden="1" customHeight="1">
      <c r="A57" s="12">
        <f t="shared" si="1"/>
        <v>3</v>
      </c>
      <c r="B57" s="15" t="s">
        <v>24</v>
      </c>
      <c r="C57" s="231" t="s">
        <v>46</v>
      </c>
      <c r="D57" s="211" t="s">
        <v>347</v>
      </c>
      <c r="E57" s="72" t="s">
        <v>116</v>
      </c>
      <c r="F57" s="72" t="s">
        <v>286</v>
      </c>
      <c r="G57" s="25" t="s">
        <v>34</v>
      </c>
      <c r="H57" s="95">
        <v>46191.0</v>
      </c>
      <c r="I57" s="211">
        <v>0.0</v>
      </c>
      <c r="J57" s="23" t="s">
        <v>57</v>
      </c>
      <c r="K57" s="215">
        <v>0.0</v>
      </c>
      <c r="L57" s="215">
        <v>50000.0</v>
      </c>
      <c r="M57" s="215">
        <v>0.0</v>
      </c>
      <c r="N57" s="215">
        <v>0.0</v>
      </c>
      <c r="O57" s="215">
        <v>0.0</v>
      </c>
      <c r="P57" s="33"/>
    </row>
    <row r="58" ht="11.25" hidden="1" customHeight="1">
      <c r="A58" s="12">
        <f t="shared" si="1"/>
        <v>3</v>
      </c>
      <c r="B58" s="15" t="s">
        <v>24</v>
      </c>
      <c r="C58" s="17" t="s">
        <v>87</v>
      </c>
      <c r="D58" s="17" t="s">
        <v>1381</v>
      </c>
      <c r="E58" s="23" t="s">
        <v>223</v>
      </c>
      <c r="F58" s="23" t="s">
        <v>392</v>
      </c>
      <c r="G58" s="25" t="s">
        <v>37</v>
      </c>
      <c r="H58" s="26">
        <v>46191.0</v>
      </c>
      <c r="I58" s="17">
        <v>0.0</v>
      </c>
      <c r="J58" s="23" t="s">
        <v>38</v>
      </c>
      <c r="K58" s="28">
        <v>50000.0</v>
      </c>
      <c r="L58" s="28">
        <v>0.0</v>
      </c>
      <c r="M58" s="28">
        <v>0.0</v>
      </c>
      <c r="N58" s="76">
        <v>0.0</v>
      </c>
      <c r="O58" s="77">
        <v>0.0</v>
      </c>
      <c r="P58" s="33"/>
    </row>
    <row r="59" ht="11.25" hidden="1" customHeight="1">
      <c r="A59" s="12">
        <f t="shared" si="1"/>
        <v>3</v>
      </c>
      <c r="B59" s="15" t="s">
        <v>24</v>
      </c>
      <c r="C59" s="17" t="s">
        <v>46</v>
      </c>
      <c r="D59" s="17" t="s">
        <v>1382</v>
      </c>
      <c r="E59" s="67" t="s">
        <v>51</v>
      </c>
      <c r="F59" s="67" t="s">
        <v>428</v>
      </c>
      <c r="G59" s="25" t="s">
        <v>36</v>
      </c>
      <c r="H59" s="26">
        <v>46193.0</v>
      </c>
      <c r="I59" s="17">
        <v>0.0</v>
      </c>
      <c r="J59" s="23" t="s">
        <v>57</v>
      </c>
      <c r="K59" s="28">
        <v>7000.0</v>
      </c>
      <c r="L59" s="28">
        <v>0.0</v>
      </c>
      <c r="M59" s="28">
        <v>0.0</v>
      </c>
      <c r="N59" s="28">
        <v>0.0</v>
      </c>
      <c r="O59" s="28">
        <v>0.0</v>
      </c>
      <c r="P59" s="33"/>
    </row>
    <row r="60" ht="11.25" hidden="1" customHeight="1">
      <c r="A60" s="12">
        <f t="shared" si="1"/>
        <v>3</v>
      </c>
      <c r="B60" s="15" t="s">
        <v>24</v>
      </c>
      <c r="C60" s="211" t="s">
        <v>46</v>
      </c>
      <c r="D60" s="211" t="s">
        <v>349</v>
      </c>
      <c r="E60" s="21" t="s">
        <v>28</v>
      </c>
      <c r="F60" s="21" t="s">
        <v>32</v>
      </c>
      <c r="G60" s="25" t="s">
        <v>34</v>
      </c>
      <c r="H60" s="95">
        <v>46194.0</v>
      </c>
      <c r="I60" s="211">
        <v>0.0</v>
      </c>
      <c r="J60" s="23" t="s">
        <v>57</v>
      </c>
      <c r="K60" s="213">
        <v>0.0</v>
      </c>
      <c r="L60" s="215">
        <v>50000.0</v>
      </c>
      <c r="M60" s="215">
        <v>0.0</v>
      </c>
      <c r="N60" s="215">
        <v>0.0</v>
      </c>
      <c r="O60" s="215">
        <v>0.0</v>
      </c>
      <c r="P60" s="33"/>
    </row>
    <row r="61" ht="11.25" hidden="1" customHeight="1">
      <c r="A61" s="12">
        <f t="shared" si="1"/>
        <v>3</v>
      </c>
      <c r="B61" s="15" t="s">
        <v>24</v>
      </c>
      <c r="C61" s="17" t="s">
        <v>46</v>
      </c>
      <c r="D61" s="17" t="s">
        <v>1383</v>
      </c>
      <c r="E61" s="21" t="s">
        <v>142</v>
      </c>
      <c r="F61" s="21" t="s">
        <v>1127</v>
      </c>
      <c r="G61" s="25" t="s">
        <v>36</v>
      </c>
      <c r="H61" s="26">
        <v>46194.0</v>
      </c>
      <c r="I61" s="17">
        <v>0.0</v>
      </c>
      <c r="J61" s="23" t="s">
        <v>57</v>
      </c>
      <c r="K61" s="28">
        <v>20000.0</v>
      </c>
      <c r="L61" s="28">
        <v>0.0</v>
      </c>
      <c r="M61" s="28">
        <v>0.0</v>
      </c>
      <c r="N61" s="28">
        <v>0.0</v>
      </c>
      <c r="O61" s="28">
        <v>0.0</v>
      </c>
      <c r="P61" s="33"/>
    </row>
    <row r="62" ht="11.25" hidden="1" customHeight="1">
      <c r="A62" s="12">
        <f t="shared" si="1"/>
        <v>3</v>
      </c>
      <c r="B62" s="15" t="s">
        <v>24</v>
      </c>
      <c r="C62" s="17" t="s">
        <v>87</v>
      </c>
      <c r="D62" s="17" t="s">
        <v>1384</v>
      </c>
      <c r="E62" s="23" t="s">
        <v>614</v>
      </c>
      <c r="F62" s="23" t="s">
        <v>1385</v>
      </c>
      <c r="G62" s="25" t="s">
        <v>36</v>
      </c>
      <c r="H62" s="26">
        <v>46195.0</v>
      </c>
      <c r="I62" s="17">
        <v>1.0</v>
      </c>
      <c r="J62" s="23" t="s">
        <v>38</v>
      </c>
      <c r="K62" s="28">
        <v>0.0</v>
      </c>
      <c r="L62" s="28">
        <v>50000.0</v>
      </c>
      <c r="M62" s="28">
        <v>0.0</v>
      </c>
      <c r="N62" s="28">
        <v>0.0</v>
      </c>
      <c r="O62" s="28">
        <v>0.0</v>
      </c>
      <c r="P62" s="33"/>
    </row>
    <row r="63" ht="11.25" hidden="1" customHeight="1">
      <c r="A63" s="12">
        <f t="shared" si="1"/>
        <v>3</v>
      </c>
      <c r="B63" s="15" t="s">
        <v>24</v>
      </c>
      <c r="C63" s="17" t="s">
        <v>182</v>
      </c>
      <c r="D63" s="17" t="s">
        <v>1386</v>
      </c>
      <c r="E63" s="23" t="s">
        <v>84</v>
      </c>
      <c r="F63" s="23" t="s">
        <v>575</v>
      </c>
      <c r="G63" s="25" t="s">
        <v>36</v>
      </c>
      <c r="H63" s="26">
        <v>46195.0</v>
      </c>
      <c r="I63" s="17">
        <v>0.0</v>
      </c>
      <c r="J63" s="23" t="s">
        <v>38</v>
      </c>
      <c r="K63" s="28">
        <v>50000.0</v>
      </c>
      <c r="L63" s="28">
        <v>0.0</v>
      </c>
      <c r="M63" s="28">
        <v>0.0</v>
      </c>
      <c r="N63" s="28">
        <v>0.0</v>
      </c>
      <c r="O63" s="28">
        <v>0.0</v>
      </c>
      <c r="P63" s="33"/>
    </row>
    <row r="64" ht="11.25" hidden="1" customHeight="1">
      <c r="A64" s="12">
        <f t="shared" si="1"/>
        <v>3</v>
      </c>
      <c r="B64" s="15" t="s">
        <v>24</v>
      </c>
      <c r="C64" s="17" t="s">
        <v>87</v>
      </c>
      <c r="D64" s="17" t="s">
        <v>1387</v>
      </c>
      <c r="E64" s="21" t="s">
        <v>142</v>
      </c>
      <c r="F64" s="23" t="s">
        <v>1227</v>
      </c>
      <c r="G64" s="23" t="s">
        <v>212</v>
      </c>
      <c r="H64" s="26">
        <v>46195.0</v>
      </c>
      <c r="I64" s="17">
        <v>2.0</v>
      </c>
      <c r="J64" s="23" t="s">
        <v>38</v>
      </c>
      <c r="K64" s="28">
        <v>2000.0</v>
      </c>
      <c r="L64" s="28">
        <v>0.0</v>
      </c>
      <c r="M64" s="28">
        <v>0.0</v>
      </c>
      <c r="N64" s="28">
        <v>0.0</v>
      </c>
      <c r="O64" s="28">
        <v>0.0</v>
      </c>
      <c r="P64" s="33"/>
    </row>
    <row r="65" ht="11.25" hidden="1" customHeight="1">
      <c r="A65" s="12">
        <f t="shared" si="1"/>
        <v>3</v>
      </c>
      <c r="B65" s="15" t="s">
        <v>24</v>
      </c>
      <c r="C65" s="17" t="s">
        <v>58</v>
      </c>
      <c r="D65" s="211" t="s">
        <v>352</v>
      </c>
      <c r="E65" s="23" t="s">
        <v>92</v>
      </c>
      <c r="F65" s="51" t="s">
        <v>111</v>
      </c>
      <c r="G65" s="25" t="s">
        <v>34</v>
      </c>
      <c r="H65" s="95">
        <v>46195.0</v>
      </c>
      <c r="I65" s="211">
        <v>6.0</v>
      </c>
      <c r="J65" s="25" t="s">
        <v>38</v>
      </c>
      <c r="K65" s="213">
        <v>200000.0</v>
      </c>
      <c r="L65" s="213">
        <v>0.0</v>
      </c>
      <c r="M65" s="213">
        <v>0.0</v>
      </c>
      <c r="N65" s="239">
        <v>0.0</v>
      </c>
      <c r="O65" s="239">
        <v>0.0</v>
      </c>
      <c r="P65" s="218"/>
    </row>
    <row r="66" ht="11.25" hidden="1" customHeight="1">
      <c r="A66" s="12">
        <f t="shared" si="1"/>
        <v>3</v>
      </c>
      <c r="B66" s="15" t="s">
        <v>24</v>
      </c>
      <c r="C66" s="17" t="s">
        <v>58</v>
      </c>
      <c r="D66" s="211">
        <v>1623.0</v>
      </c>
      <c r="E66" s="23" t="s">
        <v>92</v>
      </c>
      <c r="F66" s="51" t="s">
        <v>354</v>
      </c>
      <c r="G66" s="25" t="s">
        <v>34</v>
      </c>
      <c r="H66" s="95">
        <v>46195.0</v>
      </c>
      <c r="I66" s="211">
        <v>6.0</v>
      </c>
      <c r="J66" s="25" t="s">
        <v>38</v>
      </c>
      <c r="K66" s="213">
        <v>50000.0</v>
      </c>
      <c r="L66" s="213">
        <v>0.0</v>
      </c>
      <c r="M66" s="213">
        <v>0.0</v>
      </c>
      <c r="N66" s="239">
        <v>0.0</v>
      </c>
      <c r="O66" s="239">
        <v>0.0</v>
      </c>
      <c r="P66" s="218"/>
    </row>
    <row r="67" ht="11.25" hidden="1" customHeight="1">
      <c r="A67" s="12">
        <f t="shared" si="1"/>
        <v>3</v>
      </c>
      <c r="B67" s="15" t="s">
        <v>24</v>
      </c>
      <c r="C67" s="17" t="s">
        <v>182</v>
      </c>
      <c r="D67" s="19" t="s">
        <v>833</v>
      </c>
      <c r="E67" s="23" t="s">
        <v>208</v>
      </c>
      <c r="F67" s="23" t="s">
        <v>661</v>
      </c>
      <c r="G67" s="23" t="s">
        <v>36</v>
      </c>
      <c r="H67" s="226">
        <v>46196.0</v>
      </c>
      <c r="I67" s="17">
        <v>0.0</v>
      </c>
      <c r="J67" s="240" t="s">
        <v>57</v>
      </c>
      <c r="K67" s="28">
        <v>0.0</v>
      </c>
      <c r="L67" s="28">
        <v>0.0</v>
      </c>
      <c r="M67" s="28">
        <v>12500.0</v>
      </c>
      <c r="N67" s="28">
        <v>0.0</v>
      </c>
      <c r="O67" s="174">
        <v>0.0</v>
      </c>
      <c r="P67" s="175">
        <v>46092.0</v>
      </c>
    </row>
    <row r="68" ht="11.25" hidden="1" customHeight="1">
      <c r="A68" s="12">
        <f t="shared" si="1"/>
        <v>3</v>
      </c>
      <c r="B68" s="15" t="s">
        <v>24</v>
      </c>
      <c r="C68" s="17" t="s">
        <v>46</v>
      </c>
      <c r="D68" s="35" t="s">
        <v>1388</v>
      </c>
      <c r="E68" s="152" t="s">
        <v>44</v>
      </c>
      <c r="F68" s="152" t="s">
        <v>45</v>
      </c>
      <c r="G68" s="25" t="s">
        <v>36</v>
      </c>
      <c r="H68" s="26">
        <v>46196.0</v>
      </c>
      <c r="I68" s="194">
        <v>0.0</v>
      </c>
      <c r="J68" s="23" t="s">
        <v>57</v>
      </c>
      <c r="K68" s="28">
        <v>10000.0</v>
      </c>
      <c r="L68" s="28">
        <v>0.0</v>
      </c>
      <c r="M68" s="28">
        <v>0.0</v>
      </c>
      <c r="N68" s="76">
        <v>0.0</v>
      </c>
      <c r="O68" s="77">
        <v>0.0</v>
      </c>
      <c r="P68" s="33"/>
    </row>
    <row r="69" ht="11.25" hidden="1" customHeight="1">
      <c r="A69" s="12">
        <f t="shared" si="1"/>
        <v>3</v>
      </c>
      <c r="B69" s="15" t="s">
        <v>24</v>
      </c>
      <c r="C69" s="17" t="s">
        <v>46</v>
      </c>
      <c r="D69" s="17" t="s">
        <v>1389</v>
      </c>
      <c r="E69" s="23" t="s">
        <v>191</v>
      </c>
      <c r="F69" s="23" t="s">
        <v>316</v>
      </c>
      <c r="G69" s="25" t="s">
        <v>36</v>
      </c>
      <c r="H69" s="26">
        <v>46196.0</v>
      </c>
      <c r="I69" s="17">
        <v>0.0</v>
      </c>
      <c r="J69" s="23" t="s">
        <v>57</v>
      </c>
      <c r="K69" s="28">
        <v>10000.0</v>
      </c>
      <c r="L69" s="28">
        <v>0.0</v>
      </c>
      <c r="M69" s="28">
        <v>0.0</v>
      </c>
      <c r="N69" s="28">
        <v>0.0</v>
      </c>
      <c r="O69" s="28">
        <v>0.0</v>
      </c>
      <c r="P69" s="33"/>
    </row>
    <row r="70" ht="11.25" hidden="1" customHeight="1">
      <c r="A70" s="12">
        <f t="shared" si="1"/>
        <v>3</v>
      </c>
      <c r="B70" s="15" t="s">
        <v>24</v>
      </c>
      <c r="C70" s="17" t="s">
        <v>46</v>
      </c>
      <c r="D70" s="17" t="s">
        <v>1390</v>
      </c>
      <c r="E70" s="21" t="s">
        <v>488</v>
      </c>
      <c r="F70" s="36" t="s">
        <v>697</v>
      </c>
      <c r="G70" s="25" t="s">
        <v>36</v>
      </c>
      <c r="H70" s="26">
        <v>46196.0</v>
      </c>
      <c r="I70" s="17">
        <v>0.0</v>
      </c>
      <c r="J70" s="23" t="s">
        <v>57</v>
      </c>
      <c r="K70" s="28">
        <v>10000.0</v>
      </c>
      <c r="L70" s="28">
        <v>0.0</v>
      </c>
      <c r="M70" s="28">
        <v>0.0</v>
      </c>
      <c r="N70" s="76">
        <v>0.0</v>
      </c>
      <c r="O70" s="77">
        <v>0.0</v>
      </c>
      <c r="P70" s="33"/>
    </row>
    <row r="71" ht="11.25" hidden="1" customHeight="1">
      <c r="A71" s="12">
        <f t="shared" si="1"/>
        <v>3</v>
      </c>
      <c r="B71" s="15" t="s">
        <v>24</v>
      </c>
      <c r="C71" s="17" t="s">
        <v>58</v>
      </c>
      <c r="D71" s="211" t="s">
        <v>360</v>
      </c>
      <c r="E71" s="23" t="s">
        <v>92</v>
      </c>
      <c r="F71" s="51" t="s">
        <v>111</v>
      </c>
      <c r="G71" s="25" t="s">
        <v>34</v>
      </c>
      <c r="H71" s="95">
        <v>46196.0</v>
      </c>
      <c r="I71" s="211">
        <v>0.0</v>
      </c>
      <c r="J71" s="25" t="s">
        <v>38</v>
      </c>
      <c r="K71" s="214">
        <v>300000.0</v>
      </c>
      <c r="L71" s="214">
        <v>0.0</v>
      </c>
      <c r="M71" s="214">
        <v>0.0</v>
      </c>
      <c r="N71" s="215">
        <v>0.0</v>
      </c>
      <c r="O71" s="215">
        <v>0.0</v>
      </c>
      <c r="P71" s="33"/>
    </row>
    <row r="72" ht="11.25" hidden="1" customHeight="1">
      <c r="A72" s="12">
        <f t="shared" si="1"/>
        <v>3</v>
      </c>
      <c r="B72" s="15" t="s">
        <v>24</v>
      </c>
      <c r="C72" s="17" t="s">
        <v>58</v>
      </c>
      <c r="D72" s="211" t="s">
        <v>364</v>
      </c>
      <c r="E72" s="23" t="s">
        <v>92</v>
      </c>
      <c r="F72" s="51" t="s">
        <v>354</v>
      </c>
      <c r="G72" s="25" t="s">
        <v>34</v>
      </c>
      <c r="H72" s="95">
        <v>46196.0</v>
      </c>
      <c r="I72" s="211">
        <v>0.0</v>
      </c>
      <c r="J72" s="25" t="s">
        <v>38</v>
      </c>
      <c r="K72" s="214">
        <v>550000.0</v>
      </c>
      <c r="L72" s="214">
        <v>0.0</v>
      </c>
      <c r="M72" s="214">
        <v>0.0</v>
      </c>
      <c r="N72" s="215">
        <v>0.0</v>
      </c>
      <c r="O72" s="215">
        <v>0.0</v>
      </c>
      <c r="P72" s="33"/>
    </row>
    <row r="73" ht="11.25" hidden="1" customHeight="1">
      <c r="A73" s="12">
        <f t="shared" si="1"/>
        <v>3</v>
      </c>
      <c r="B73" s="15" t="s">
        <v>24</v>
      </c>
      <c r="C73" s="17" t="s">
        <v>46</v>
      </c>
      <c r="D73" s="17" t="s">
        <v>1391</v>
      </c>
      <c r="E73" s="21" t="s">
        <v>71</v>
      </c>
      <c r="F73" s="36" t="s">
        <v>915</v>
      </c>
      <c r="G73" s="25" t="s">
        <v>37</v>
      </c>
      <c r="H73" s="26">
        <v>46197.0</v>
      </c>
      <c r="I73" s="17">
        <v>0.0</v>
      </c>
      <c r="J73" s="23" t="s">
        <v>57</v>
      </c>
      <c r="K73" s="28">
        <v>10000.0</v>
      </c>
      <c r="L73" s="28">
        <v>0.0</v>
      </c>
      <c r="M73" s="28">
        <v>0.0</v>
      </c>
      <c r="N73" s="76">
        <v>0.0</v>
      </c>
      <c r="O73" s="77">
        <v>0.0</v>
      </c>
      <c r="P73" s="33"/>
    </row>
    <row r="74" ht="11.25" hidden="1" customHeight="1">
      <c r="A74" s="12">
        <f t="shared" si="1"/>
        <v>3</v>
      </c>
      <c r="B74" s="15" t="s">
        <v>24</v>
      </c>
      <c r="C74" s="17" t="s">
        <v>182</v>
      </c>
      <c r="D74" s="211" t="s">
        <v>367</v>
      </c>
      <c r="E74" s="25" t="s">
        <v>84</v>
      </c>
      <c r="F74" s="25" t="s">
        <v>254</v>
      </c>
      <c r="G74" s="25" t="s">
        <v>34</v>
      </c>
      <c r="H74" s="95">
        <v>46198.0</v>
      </c>
      <c r="I74" s="211">
        <v>0.0</v>
      </c>
      <c r="J74" s="25" t="s">
        <v>38</v>
      </c>
      <c r="K74" s="213">
        <v>50000.0</v>
      </c>
      <c r="L74" s="214">
        <v>0.0</v>
      </c>
      <c r="M74" s="214">
        <v>0.0</v>
      </c>
      <c r="N74" s="215">
        <v>0.0</v>
      </c>
      <c r="O74" s="215">
        <v>0.0</v>
      </c>
      <c r="P74" s="218"/>
    </row>
    <row r="75" ht="11.25" hidden="1" customHeight="1">
      <c r="A75" s="12">
        <f t="shared" si="1"/>
        <v>3</v>
      </c>
      <c r="B75" s="15" t="s">
        <v>24</v>
      </c>
      <c r="C75" s="17" t="s">
        <v>46</v>
      </c>
      <c r="D75" s="17" t="s">
        <v>1392</v>
      </c>
      <c r="E75" s="21" t="s">
        <v>40</v>
      </c>
      <c r="F75" s="36" t="s">
        <v>558</v>
      </c>
      <c r="G75" s="25" t="s">
        <v>36</v>
      </c>
      <c r="H75" s="26">
        <v>46198.0</v>
      </c>
      <c r="I75" s="17">
        <v>0.0</v>
      </c>
      <c r="J75" s="23" t="s">
        <v>57</v>
      </c>
      <c r="K75" s="28">
        <v>0.0</v>
      </c>
      <c r="L75" s="28">
        <v>17500.0</v>
      </c>
      <c r="M75" s="28">
        <v>0.0</v>
      </c>
      <c r="N75" s="76">
        <v>0.0</v>
      </c>
      <c r="O75" s="77">
        <v>0.0</v>
      </c>
      <c r="P75" s="33"/>
    </row>
    <row r="76" ht="11.25" hidden="1" customHeight="1">
      <c r="A76" s="12">
        <f t="shared" si="1"/>
        <v>3</v>
      </c>
      <c r="B76" s="15" t="s">
        <v>24</v>
      </c>
      <c r="C76" s="17" t="s">
        <v>46</v>
      </c>
      <c r="D76" s="17" t="s">
        <v>1393</v>
      </c>
      <c r="E76" s="23" t="s">
        <v>208</v>
      </c>
      <c r="F76" s="23" t="s">
        <v>208</v>
      </c>
      <c r="G76" s="25" t="s">
        <v>36</v>
      </c>
      <c r="H76" s="26">
        <v>46200.0</v>
      </c>
      <c r="I76" s="17">
        <v>0.0</v>
      </c>
      <c r="J76" s="23" t="s">
        <v>57</v>
      </c>
      <c r="K76" s="28">
        <v>5000.0</v>
      </c>
      <c r="L76" s="210">
        <v>0.0</v>
      </c>
      <c r="M76" s="210">
        <v>0.0</v>
      </c>
      <c r="N76" s="28">
        <v>0.0</v>
      </c>
      <c r="O76" s="28">
        <v>0.0</v>
      </c>
      <c r="P76" s="33"/>
    </row>
    <row r="77" ht="11.25" hidden="1" customHeight="1">
      <c r="A77" s="12">
        <f t="shared" si="1"/>
        <v>3</v>
      </c>
      <c r="B77" s="15" t="s">
        <v>24</v>
      </c>
      <c r="C77" s="17" t="s">
        <v>87</v>
      </c>
      <c r="D77" s="17" t="s">
        <v>1394</v>
      </c>
      <c r="E77" s="23" t="s">
        <v>279</v>
      </c>
      <c r="F77" s="23" t="s">
        <v>1395</v>
      </c>
      <c r="G77" s="25" t="s">
        <v>36</v>
      </c>
      <c r="H77" s="30">
        <v>46200.0</v>
      </c>
      <c r="I77" s="17">
        <v>0.0</v>
      </c>
      <c r="J77" s="23" t="s">
        <v>38</v>
      </c>
      <c r="K77" s="28">
        <v>50000.0</v>
      </c>
      <c r="L77" s="210">
        <v>0.0</v>
      </c>
      <c r="M77" s="210">
        <v>0.0</v>
      </c>
      <c r="N77" s="28">
        <v>0.0</v>
      </c>
      <c r="O77" s="28">
        <v>0.0</v>
      </c>
      <c r="P77" s="33"/>
    </row>
    <row r="78" ht="11.25" hidden="1" customHeight="1">
      <c r="A78" s="12">
        <f t="shared" si="1"/>
        <v>3</v>
      </c>
      <c r="B78" s="15" t="s">
        <v>24</v>
      </c>
      <c r="C78" s="17" t="s">
        <v>46</v>
      </c>
      <c r="D78" s="17" t="s">
        <v>1396</v>
      </c>
      <c r="E78" s="23" t="s">
        <v>356</v>
      </c>
      <c r="F78" s="23" t="s">
        <v>388</v>
      </c>
      <c r="G78" s="25" t="s">
        <v>36</v>
      </c>
      <c r="H78" s="26">
        <v>46200.0</v>
      </c>
      <c r="I78" s="17">
        <v>0.0</v>
      </c>
      <c r="J78" s="23" t="s">
        <v>57</v>
      </c>
      <c r="K78" s="28">
        <v>7500.0</v>
      </c>
      <c r="L78" s="210">
        <v>0.0</v>
      </c>
      <c r="M78" s="210">
        <v>0.0</v>
      </c>
      <c r="N78" s="28">
        <v>0.0</v>
      </c>
      <c r="O78" s="28">
        <v>0.0</v>
      </c>
      <c r="P78" s="33"/>
    </row>
    <row r="79" ht="11.25" hidden="1" customHeight="1">
      <c r="A79" s="12">
        <f t="shared" si="1"/>
        <v>3</v>
      </c>
      <c r="B79" s="15" t="s">
        <v>24</v>
      </c>
      <c r="C79" s="17" t="s">
        <v>182</v>
      </c>
      <c r="D79" s="17" t="s">
        <v>1397</v>
      </c>
      <c r="E79" s="23" t="s">
        <v>1364</v>
      </c>
      <c r="F79" s="23" t="s">
        <v>1398</v>
      </c>
      <c r="G79" s="25" t="s">
        <v>36</v>
      </c>
      <c r="H79" s="26">
        <v>46200.0</v>
      </c>
      <c r="I79" s="17">
        <v>2.0</v>
      </c>
      <c r="J79" s="23" t="s">
        <v>38</v>
      </c>
      <c r="K79" s="28">
        <v>0.0</v>
      </c>
      <c r="L79" s="28">
        <v>10000.0</v>
      </c>
      <c r="M79" s="28">
        <v>0.0</v>
      </c>
      <c r="N79" s="76">
        <v>0.0</v>
      </c>
      <c r="O79" s="77">
        <v>0.0</v>
      </c>
      <c r="P79" s="33"/>
    </row>
    <row r="80" ht="11.25" hidden="1" customHeight="1">
      <c r="A80" s="12">
        <f t="shared" si="1"/>
        <v>3</v>
      </c>
      <c r="B80" s="15" t="s">
        <v>24</v>
      </c>
      <c r="C80" s="17" t="s">
        <v>182</v>
      </c>
      <c r="D80" s="17" t="s">
        <v>1399</v>
      </c>
      <c r="E80" s="65" t="s">
        <v>40</v>
      </c>
      <c r="F80" s="65" t="s">
        <v>41</v>
      </c>
      <c r="G80" s="25" t="s">
        <v>36</v>
      </c>
      <c r="H80" s="26">
        <v>46201.0</v>
      </c>
      <c r="I80" s="17">
        <v>0.0</v>
      </c>
      <c r="J80" s="23" t="s">
        <v>38</v>
      </c>
      <c r="K80" s="28">
        <v>30000.0</v>
      </c>
      <c r="L80" s="28">
        <v>0.0</v>
      </c>
      <c r="M80" s="210">
        <v>0.0</v>
      </c>
      <c r="N80" s="28">
        <v>0.0</v>
      </c>
      <c r="O80" s="28">
        <v>0.0</v>
      </c>
      <c r="P80" s="33"/>
    </row>
    <row r="81" ht="11.25" hidden="1" customHeight="1">
      <c r="A81" s="12">
        <f t="shared" si="1"/>
        <v>3</v>
      </c>
      <c r="B81" s="15" t="s">
        <v>24</v>
      </c>
      <c r="C81" s="17" t="s">
        <v>46</v>
      </c>
      <c r="D81" s="17" t="s">
        <v>1400</v>
      </c>
      <c r="E81" s="65" t="s">
        <v>84</v>
      </c>
      <c r="F81" s="65" t="s">
        <v>329</v>
      </c>
      <c r="G81" s="25" t="s">
        <v>36</v>
      </c>
      <c r="H81" s="26">
        <v>46201.0</v>
      </c>
      <c r="I81" s="17">
        <v>0.0</v>
      </c>
      <c r="J81" s="23" t="s">
        <v>57</v>
      </c>
      <c r="K81" s="28">
        <v>0.0</v>
      </c>
      <c r="L81" s="28">
        <v>10000.0</v>
      </c>
      <c r="M81" s="210">
        <v>0.0</v>
      </c>
      <c r="N81" s="28">
        <v>0.0</v>
      </c>
      <c r="O81" s="28">
        <v>0.0</v>
      </c>
      <c r="P81" s="33"/>
    </row>
    <row r="82" ht="11.25" hidden="1" customHeight="1">
      <c r="A82" s="12">
        <f t="shared" si="1"/>
        <v>3</v>
      </c>
      <c r="B82" s="15" t="s">
        <v>24</v>
      </c>
      <c r="C82" s="17" t="s">
        <v>46</v>
      </c>
      <c r="D82" s="17" t="s">
        <v>1401</v>
      </c>
      <c r="E82" s="65" t="s">
        <v>141</v>
      </c>
      <c r="F82" s="65" t="s">
        <v>143</v>
      </c>
      <c r="G82" s="25" t="s">
        <v>36</v>
      </c>
      <c r="H82" s="26">
        <v>46201.0</v>
      </c>
      <c r="I82" s="17">
        <v>0.0</v>
      </c>
      <c r="J82" s="23" t="s">
        <v>57</v>
      </c>
      <c r="K82" s="28">
        <v>5800.0</v>
      </c>
      <c r="L82" s="210">
        <v>0.0</v>
      </c>
      <c r="M82" s="210">
        <v>0.0</v>
      </c>
      <c r="N82" s="28">
        <v>0.0</v>
      </c>
      <c r="O82" s="28">
        <v>0.0</v>
      </c>
      <c r="P82" s="200"/>
    </row>
    <row r="83" ht="11.25" hidden="1" customHeight="1">
      <c r="A83" s="12">
        <f t="shared" si="1"/>
        <v>3</v>
      </c>
      <c r="B83" s="15" t="s">
        <v>24</v>
      </c>
      <c r="C83" s="17" t="s">
        <v>87</v>
      </c>
      <c r="D83" s="17" t="s">
        <v>1403</v>
      </c>
      <c r="E83" s="23" t="s">
        <v>49</v>
      </c>
      <c r="F83" s="23" t="s">
        <v>265</v>
      </c>
      <c r="G83" s="25" t="s">
        <v>36</v>
      </c>
      <c r="H83" s="26">
        <v>46202.0</v>
      </c>
      <c r="I83" s="17">
        <v>1.0</v>
      </c>
      <c r="J83" s="23" t="s">
        <v>38</v>
      </c>
      <c r="K83" s="28">
        <v>20000.0</v>
      </c>
      <c r="L83" s="210">
        <v>0.0</v>
      </c>
      <c r="M83" s="210">
        <v>0.0</v>
      </c>
      <c r="N83" s="28">
        <v>0.0</v>
      </c>
      <c r="O83" s="28">
        <v>0.0</v>
      </c>
      <c r="P83" s="33"/>
    </row>
    <row r="84" ht="11.25" hidden="1" customHeight="1">
      <c r="A84" s="12">
        <f t="shared" si="1"/>
        <v>3</v>
      </c>
      <c r="B84" s="15" t="s">
        <v>24</v>
      </c>
      <c r="C84" s="17" t="s">
        <v>58</v>
      </c>
      <c r="D84" s="211" t="s">
        <v>372</v>
      </c>
      <c r="E84" s="72" t="s">
        <v>116</v>
      </c>
      <c r="F84" s="72" t="s">
        <v>286</v>
      </c>
      <c r="G84" s="25" t="s">
        <v>34</v>
      </c>
      <c r="H84" s="95">
        <v>46203.0</v>
      </c>
      <c r="I84" s="211">
        <v>5.0</v>
      </c>
      <c r="J84" s="25" t="s">
        <v>38</v>
      </c>
      <c r="K84" s="213">
        <v>100000.0</v>
      </c>
      <c r="L84" s="213">
        <v>0.0</v>
      </c>
      <c r="M84" s="214">
        <v>0.0</v>
      </c>
      <c r="N84" s="215">
        <v>0.0</v>
      </c>
      <c r="O84" s="215">
        <v>0.0</v>
      </c>
      <c r="P84" s="33"/>
    </row>
    <row r="85" ht="11.25" customHeight="1">
      <c r="A85" s="12">
        <f t="shared" si="1"/>
        <v>4</v>
      </c>
      <c r="B85" s="15" t="s">
        <v>24</v>
      </c>
      <c r="C85" s="17" t="s">
        <v>87</v>
      </c>
      <c r="D85" s="211" t="s">
        <v>376</v>
      </c>
      <c r="E85" s="212" t="s">
        <v>377</v>
      </c>
      <c r="F85" s="212" t="s">
        <v>378</v>
      </c>
      <c r="G85" s="25" t="s">
        <v>34</v>
      </c>
      <c r="H85" s="95">
        <v>46203.0</v>
      </c>
      <c r="I85" s="211">
        <v>5.0</v>
      </c>
      <c r="J85" s="25" t="s">
        <v>38</v>
      </c>
      <c r="K85" s="213">
        <v>200000.0</v>
      </c>
      <c r="L85" s="213">
        <v>0.0</v>
      </c>
      <c r="M85" s="214">
        <v>0.0</v>
      </c>
      <c r="N85" s="215">
        <v>0.0</v>
      </c>
      <c r="O85" s="215">
        <v>0.0</v>
      </c>
      <c r="P85" s="33"/>
    </row>
    <row r="86" ht="11.25" hidden="1" customHeight="1">
      <c r="A86" s="12">
        <f t="shared" si="1"/>
        <v>4</v>
      </c>
      <c r="B86" s="15" t="s">
        <v>24</v>
      </c>
      <c r="C86" s="17" t="s">
        <v>46</v>
      </c>
      <c r="D86" s="17" t="s">
        <v>1402</v>
      </c>
      <c r="E86" s="21" t="s">
        <v>293</v>
      </c>
      <c r="F86" s="36" t="s">
        <v>294</v>
      </c>
      <c r="G86" s="25" t="s">
        <v>37</v>
      </c>
      <c r="H86" s="26">
        <v>46203.0</v>
      </c>
      <c r="I86" s="17">
        <v>0.0</v>
      </c>
      <c r="J86" s="23" t="s">
        <v>57</v>
      </c>
      <c r="K86" s="28">
        <v>3100.0</v>
      </c>
      <c r="L86" s="210">
        <v>0.0</v>
      </c>
      <c r="M86" s="210">
        <v>0.0</v>
      </c>
      <c r="N86" s="28">
        <v>0.0</v>
      </c>
      <c r="O86" s="28">
        <v>0.0</v>
      </c>
      <c r="P86" s="33"/>
    </row>
    <row r="87" ht="11.25" hidden="1" customHeight="1">
      <c r="A87" s="12">
        <f t="shared" si="1"/>
        <v>4</v>
      </c>
      <c r="B87" s="15" t="s">
        <v>24</v>
      </c>
      <c r="C87" s="17" t="s">
        <v>182</v>
      </c>
      <c r="D87" s="17" t="s">
        <v>1406</v>
      </c>
      <c r="E87" s="23" t="s">
        <v>1364</v>
      </c>
      <c r="F87" s="23" t="s">
        <v>1398</v>
      </c>
      <c r="G87" s="25" t="s">
        <v>36</v>
      </c>
      <c r="H87" s="26">
        <v>46203.0</v>
      </c>
      <c r="I87" s="17">
        <v>0.0</v>
      </c>
      <c r="J87" s="23" t="s">
        <v>38</v>
      </c>
      <c r="K87" s="28">
        <v>0.0</v>
      </c>
      <c r="L87" s="28">
        <v>90000.0</v>
      </c>
      <c r="M87" s="210">
        <v>0.0</v>
      </c>
      <c r="N87" s="28">
        <v>0.0</v>
      </c>
      <c r="O87" s="28">
        <v>0.0</v>
      </c>
      <c r="P87" s="33"/>
    </row>
    <row r="88" ht="11.25" hidden="1" customHeight="1">
      <c r="A88" s="12">
        <f t="shared" si="1"/>
        <v>4</v>
      </c>
      <c r="B88" s="15" t="s">
        <v>24</v>
      </c>
      <c r="C88" s="17" t="s">
        <v>46</v>
      </c>
      <c r="D88" s="17" t="s">
        <v>1407</v>
      </c>
      <c r="E88" s="21" t="s">
        <v>92</v>
      </c>
      <c r="F88" s="21" t="s">
        <v>742</v>
      </c>
      <c r="G88" s="25" t="s">
        <v>37</v>
      </c>
      <c r="H88" s="26">
        <v>46203.0</v>
      </c>
      <c r="I88" s="17">
        <v>0.0</v>
      </c>
      <c r="J88" s="23" t="s">
        <v>57</v>
      </c>
      <c r="K88" s="28">
        <v>9000.0</v>
      </c>
      <c r="L88" s="210">
        <v>0.0</v>
      </c>
      <c r="M88" s="210">
        <v>0.0</v>
      </c>
      <c r="N88" s="28">
        <v>0.0</v>
      </c>
      <c r="O88" s="28">
        <v>0.0</v>
      </c>
      <c r="P88" s="33"/>
    </row>
    <row r="89" ht="11.25" hidden="1" customHeight="1">
      <c r="A89" s="12" t="str">
        <f t="shared" si="1"/>
        <v/>
      </c>
      <c r="B89" s="15" t="s">
        <v>24</v>
      </c>
      <c r="C89" s="17"/>
      <c r="D89" s="17"/>
      <c r="E89" s="94"/>
      <c r="F89" s="94"/>
      <c r="G89" s="25"/>
      <c r="H89" s="241"/>
      <c r="I89" s="17"/>
      <c r="J89" s="23"/>
      <c r="K89" s="28"/>
      <c r="L89" s="28"/>
      <c r="M89" s="28"/>
      <c r="N89" s="28"/>
      <c r="O89" s="28"/>
      <c r="P89" s="73"/>
    </row>
    <row r="90" ht="11.25" hidden="1" customHeight="1">
      <c r="A90" s="12" t="str">
        <f t="shared" si="1"/>
        <v/>
      </c>
      <c r="B90" s="15" t="s">
        <v>24</v>
      </c>
      <c r="C90" s="17"/>
      <c r="D90" s="17"/>
      <c r="E90" s="23"/>
      <c r="F90" s="23"/>
      <c r="G90" s="25"/>
      <c r="H90" s="73"/>
      <c r="I90" s="17"/>
      <c r="J90" s="23"/>
      <c r="K90" s="28"/>
      <c r="L90" s="210"/>
      <c r="M90" s="210"/>
      <c r="N90" s="28"/>
      <c r="O90" s="28"/>
      <c r="P90" s="33"/>
    </row>
    <row r="91" ht="11.25" hidden="1" customHeight="1">
      <c r="A91" s="12" t="str">
        <f t="shared" si="1"/>
        <v/>
      </c>
      <c r="B91" s="15" t="s">
        <v>24</v>
      </c>
      <c r="C91" s="17"/>
      <c r="D91" s="17"/>
      <c r="E91" s="23"/>
      <c r="F91" s="23"/>
      <c r="G91" s="25"/>
      <c r="H91" s="73"/>
      <c r="I91" s="17"/>
      <c r="J91" s="23"/>
      <c r="K91" s="28"/>
      <c r="L91" s="210"/>
      <c r="M91" s="210"/>
      <c r="N91" s="28"/>
      <c r="O91" s="28"/>
      <c r="P91" s="32"/>
    </row>
    <row r="92" ht="11.25" hidden="1" customHeight="1">
      <c r="A92" s="12" t="str">
        <f t="shared" si="1"/>
        <v/>
      </c>
      <c r="B92" s="15" t="s">
        <v>24</v>
      </c>
      <c r="C92" s="17"/>
      <c r="D92" s="17"/>
      <c r="E92" s="23"/>
      <c r="F92" s="23"/>
      <c r="G92" s="25"/>
      <c r="H92" s="73"/>
      <c r="I92" s="17"/>
      <c r="J92" s="23"/>
      <c r="K92" s="28"/>
      <c r="L92" s="210"/>
      <c r="M92" s="210"/>
      <c r="N92" s="28"/>
      <c r="O92" s="28"/>
      <c r="P92" s="112"/>
    </row>
    <row r="93" ht="11.25" hidden="1" customHeight="1">
      <c r="A93" s="12" t="str">
        <f t="shared" si="1"/>
        <v/>
      </c>
      <c r="B93" s="15" t="s">
        <v>24</v>
      </c>
      <c r="C93" s="17"/>
      <c r="D93" s="211"/>
      <c r="E93" s="72"/>
      <c r="F93" s="72"/>
      <c r="G93" s="25"/>
      <c r="H93" s="73"/>
      <c r="I93" s="211"/>
      <c r="J93" s="23"/>
      <c r="K93" s="215"/>
      <c r="L93" s="214"/>
      <c r="M93" s="215"/>
      <c r="N93" s="215"/>
      <c r="O93" s="215"/>
      <c r="P93" s="32"/>
    </row>
    <row r="94" ht="11.25" hidden="1" customHeight="1">
      <c r="A94" s="12" t="str">
        <f t="shared" si="1"/>
        <v/>
      </c>
      <c r="B94" s="15" t="s">
        <v>24</v>
      </c>
      <c r="C94" s="17"/>
      <c r="D94" s="17"/>
      <c r="E94" s="23"/>
      <c r="F94" s="23"/>
      <c r="G94" s="23"/>
      <c r="H94" s="73"/>
      <c r="I94" s="17"/>
      <c r="J94" s="23"/>
      <c r="K94" s="28"/>
      <c r="L94" s="28"/>
      <c r="M94" s="28"/>
      <c r="N94" s="28"/>
      <c r="O94" s="28"/>
      <c r="P94" s="112"/>
    </row>
    <row r="95" ht="11.25" hidden="1" customHeight="1">
      <c r="A95" s="12" t="str">
        <f t="shared" si="1"/>
        <v/>
      </c>
      <c r="B95" s="15" t="s">
        <v>24</v>
      </c>
      <c r="C95" s="12"/>
      <c r="D95" s="12"/>
      <c r="E95" s="106"/>
      <c r="F95" s="106"/>
      <c r="G95" s="106"/>
      <c r="H95" s="112"/>
      <c r="I95" s="108"/>
      <c r="J95" s="108"/>
      <c r="K95" s="109"/>
      <c r="L95" s="109"/>
      <c r="M95" s="109"/>
      <c r="N95" s="109"/>
      <c r="O95" s="110"/>
      <c r="P95" s="112"/>
    </row>
    <row r="96" ht="11.25" hidden="1" customHeight="1">
      <c r="A96" s="12" t="str">
        <f t="shared" si="1"/>
        <v/>
      </c>
      <c r="B96" s="15" t="s">
        <v>24</v>
      </c>
      <c r="C96" s="12"/>
      <c r="D96" s="12"/>
      <c r="E96" s="106"/>
      <c r="F96" s="106"/>
      <c r="G96" s="106"/>
      <c r="H96" s="112"/>
      <c r="I96" s="108"/>
      <c r="J96" s="108"/>
      <c r="K96" s="109"/>
      <c r="L96" s="109"/>
      <c r="M96" s="109"/>
      <c r="N96" s="109"/>
      <c r="O96" s="110"/>
      <c r="P96" s="112"/>
    </row>
    <row r="97" ht="11.25" hidden="1" customHeight="1">
      <c r="A97" s="12" t="str">
        <f t="shared" si="1"/>
        <v/>
      </c>
      <c r="B97" s="15" t="s">
        <v>24</v>
      </c>
      <c r="C97" s="12"/>
      <c r="D97" s="12"/>
      <c r="E97" s="106"/>
      <c r="F97" s="106"/>
      <c r="G97" s="106"/>
      <c r="H97" s="112"/>
      <c r="I97" s="108"/>
      <c r="J97" s="108"/>
      <c r="K97" s="109"/>
      <c r="L97" s="109"/>
      <c r="M97" s="109"/>
      <c r="N97" s="109"/>
      <c r="O97" s="110"/>
      <c r="P97" s="112"/>
    </row>
    <row r="98" ht="11.25" hidden="1" customHeight="1">
      <c r="A98" s="12" t="str">
        <f t="shared" si="1"/>
        <v/>
      </c>
      <c r="B98" s="15" t="s">
        <v>24</v>
      </c>
      <c r="C98" s="12"/>
      <c r="D98" s="12"/>
      <c r="E98" s="106"/>
      <c r="F98" s="106"/>
      <c r="G98" s="106"/>
      <c r="H98" s="112"/>
      <c r="I98" s="108"/>
      <c r="J98" s="108"/>
      <c r="K98" s="109"/>
      <c r="L98" s="109"/>
      <c r="M98" s="109"/>
      <c r="N98" s="109"/>
      <c r="O98" s="110"/>
      <c r="P98" s="112"/>
    </row>
    <row r="99" ht="11.25" hidden="1" customHeight="1">
      <c r="A99" s="12" t="str">
        <f t="shared" si="1"/>
        <v/>
      </c>
      <c r="B99" s="15" t="s">
        <v>24</v>
      </c>
      <c r="C99" s="12"/>
      <c r="D99" s="12"/>
      <c r="E99" s="106"/>
      <c r="F99" s="106"/>
      <c r="G99" s="106"/>
      <c r="H99" s="112"/>
      <c r="I99" s="108"/>
      <c r="J99" s="108"/>
      <c r="K99" s="109"/>
      <c r="L99" s="109"/>
      <c r="M99" s="109"/>
      <c r="N99" s="109"/>
      <c r="O99" s="110"/>
      <c r="P99" s="112"/>
    </row>
    <row r="100" ht="11.25" hidden="1" customHeight="1">
      <c r="A100" s="12" t="str">
        <f t="shared" si="1"/>
        <v/>
      </c>
      <c r="B100" s="15" t="s">
        <v>24</v>
      </c>
      <c r="C100" s="12"/>
      <c r="D100" s="12"/>
      <c r="E100" s="106"/>
      <c r="F100" s="106"/>
      <c r="G100" s="106"/>
      <c r="H100" s="112"/>
      <c r="I100" s="108"/>
      <c r="J100" s="108"/>
      <c r="K100" s="109"/>
      <c r="L100" s="109"/>
      <c r="M100" s="109"/>
      <c r="N100" s="109"/>
      <c r="O100" s="110"/>
      <c r="P100" s="112"/>
    </row>
    <row r="101" ht="11.25" hidden="1" customHeight="1">
      <c r="A101" s="12" t="str">
        <f t="shared" si="1"/>
        <v/>
      </c>
      <c r="B101" s="15" t="s">
        <v>24</v>
      </c>
      <c r="C101" s="12"/>
      <c r="D101" s="12"/>
      <c r="E101" s="106"/>
      <c r="F101" s="106"/>
      <c r="G101" s="106"/>
      <c r="H101" s="112"/>
      <c r="I101" s="108"/>
      <c r="J101" s="108"/>
      <c r="K101" s="109"/>
      <c r="L101" s="109"/>
      <c r="M101" s="109"/>
      <c r="N101" s="109"/>
      <c r="O101" s="110"/>
      <c r="P101" s="112"/>
    </row>
    <row r="102" ht="11.25" hidden="1" customHeight="1">
      <c r="A102" s="242"/>
      <c r="B102" s="15"/>
      <c r="C102" s="12"/>
      <c r="D102" s="12"/>
      <c r="E102" s="106"/>
      <c r="F102" s="106"/>
      <c r="G102" s="106"/>
      <c r="H102" s="112"/>
      <c r="I102" s="108"/>
      <c r="J102" s="108"/>
      <c r="K102" s="109"/>
      <c r="L102" s="109"/>
      <c r="M102" s="109"/>
      <c r="N102" s="109"/>
      <c r="O102" s="110"/>
      <c r="P102" s="112"/>
    </row>
    <row r="103" ht="11.25" hidden="1" customHeight="1">
      <c r="A103" s="12"/>
      <c r="B103" s="12"/>
      <c r="C103" s="12"/>
      <c r="D103" s="12"/>
      <c r="E103" s="106"/>
      <c r="F103" s="106"/>
      <c r="G103" s="106"/>
      <c r="H103" s="112"/>
      <c r="I103" s="108"/>
      <c r="J103" s="108"/>
      <c r="K103" s="109"/>
      <c r="L103" s="109"/>
      <c r="M103" s="109"/>
      <c r="N103" s="109"/>
      <c r="O103" s="110"/>
      <c r="P103" s="112"/>
    </row>
    <row r="104" ht="11.25" hidden="1" customHeight="1">
      <c r="A104" s="12"/>
      <c r="B104" s="12"/>
      <c r="C104" s="12"/>
      <c r="D104" s="12"/>
      <c r="E104" s="106"/>
      <c r="F104" s="106"/>
      <c r="G104" s="106"/>
      <c r="H104" s="112"/>
      <c r="I104" s="108"/>
      <c r="J104" s="108"/>
      <c r="K104" s="109"/>
      <c r="L104" s="109"/>
      <c r="M104" s="109"/>
      <c r="N104" s="109"/>
      <c r="O104" s="110"/>
      <c r="P104" s="112"/>
    </row>
    <row r="105" ht="11.25" hidden="1" customHeight="1">
      <c r="A105" s="12" t="str">
        <f t="shared" ref="A105:A107" si="2">IF(D105="","",SUBTOTAL(3,$D$3:D105))</f>
        <v/>
      </c>
      <c r="B105" s="12"/>
      <c r="C105" s="12"/>
      <c r="D105" s="12"/>
      <c r="E105" s="106"/>
      <c r="F105" s="106"/>
      <c r="G105" s="106"/>
      <c r="H105" s="118"/>
      <c r="I105" s="119" t="s">
        <v>21</v>
      </c>
      <c r="J105" s="120"/>
      <c r="K105" s="121"/>
      <c r="L105" s="121"/>
      <c r="M105" s="121"/>
      <c r="N105" s="121"/>
      <c r="O105" s="122"/>
      <c r="P105" s="123"/>
    </row>
    <row r="106" ht="11.25" hidden="1" customHeight="1">
      <c r="A106" s="12" t="str">
        <f t="shared" si="2"/>
        <v/>
      </c>
      <c r="B106" s="12"/>
      <c r="C106" s="12"/>
      <c r="D106" s="12"/>
      <c r="E106" s="106"/>
      <c r="F106" s="106"/>
      <c r="G106" s="106"/>
      <c r="H106" s="118"/>
      <c r="I106" s="124" t="s">
        <v>462</v>
      </c>
      <c r="J106" s="120"/>
      <c r="K106" s="125" t="s">
        <v>13</v>
      </c>
      <c r="L106" s="125" t="s">
        <v>14</v>
      </c>
      <c r="M106" s="125" t="s">
        <v>15</v>
      </c>
      <c r="N106" s="2" t="s">
        <v>465</v>
      </c>
      <c r="O106" s="119" t="s">
        <v>18</v>
      </c>
      <c r="P106" s="120"/>
    </row>
    <row r="107" ht="11.25" hidden="1" customHeight="1">
      <c r="A107" s="12" t="str">
        <f t="shared" si="2"/>
        <v/>
      </c>
      <c r="B107" s="126"/>
      <c r="C107" s="127"/>
      <c r="D107" s="128"/>
      <c r="E107" s="127"/>
      <c r="F107" s="127"/>
      <c r="G107" s="127"/>
      <c r="H107" s="129"/>
      <c r="I107" s="130">
        <f>SUM(I3:I106)</f>
        <v>82</v>
      </c>
      <c r="J107" s="120"/>
      <c r="K107" s="131">
        <f t="shared" ref="K107:O107" si="3">SUM(K3:K106)</f>
        <v>2658300</v>
      </c>
      <c r="L107" s="131">
        <f t="shared" si="3"/>
        <v>537500</v>
      </c>
      <c r="M107" s="131">
        <f t="shared" si="3"/>
        <v>12500</v>
      </c>
      <c r="N107" s="131">
        <f t="shared" si="3"/>
        <v>210000</v>
      </c>
      <c r="O107" s="131">
        <f t="shared" si="3"/>
        <v>0</v>
      </c>
      <c r="P107" s="133" t="s">
        <v>481</v>
      </c>
    </row>
    <row r="108" ht="11.25" hidden="1" customHeight="1">
      <c r="A108" s="134"/>
      <c r="B108" s="135"/>
      <c r="C108" s="135"/>
      <c r="D108" s="134"/>
      <c r="E108" s="135"/>
      <c r="F108" s="135"/>
      <c r="G108" s="135"/>
      <c r="H108" s="136"/>
      <c r="I108" s="137"/>
      <c r="J108" s="138"/>
      <c r="K108" s="139" t="s">
        <v>491</v>
      </c>
      <c r="L108" s="120"/>
      <c r="M108" s="140">
        <f>SUM(K107:M107)</f>
        <v>3208300</v>
      </c>
      <c r="N108" s="141"/>
      <c r="O108" s="141"/>
      <c r="P108" s="142"/>
    </row>
    <row r="109" ht="11.25" hidden="1" customHeight="1">
      <c r="A109" s="134"/>
      <c r="B109" s="135"/>
      <c r="C109" s="135"/>
      <c r="D109" s="134"/>
      <c r="E109" s="135"/>
      <c r="F109" s="135"/>
      <c r="G109" s="135"/>
      <c r="H109" s="136"/>
      <c r="I109" s="143"/>
      <c r="J109" s="144"/>
      <c r="K109" s="145" t="s">
        <v>506</v>
      </c>
      <c r="L109" s="120"/>
      <c r="M109" s="146">
        <f>SUM(M108-K6-K9-K10-K11-K12-K15-K16-K20-K25-K26-K30-K33-K36-K38-K40-K41-K44-L46-K54-K55-K56-L57-K59-L60-K61-M67-K68-K69-K70)</f>
        <v>2812900</v>
      </c>
      <c r="N109" s="147"/>
      <c r="O109" s="147"/>
      <c r="P109" s="148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  <row r="1018" ht="15.75" customHeight="1">
      <c r="A1018" s="149"/>
      <c r="D1018" s="149"/>
      <c r="H1018" s="150"/>
      <c r="P1018" s="150"/>
    </row>
    <row r="1019" ht="15.75" customHeight="1">
      <c r="A1019" s="149"/>
      <c r="D1019" s="149"/>
      <c r="H1019" s="150"/>
      <c r="P1019" s="150"/>
    </row>
    <row r="1020" ht="15.75" customHeight="1">
      <c r="A1020" s="149"/>
      <c r="D1020" s="149"/>
      <c r="H1020" s="150"/>
      <c r="P1020" s="150"/>
    </row>
    <row r="1021" ht="15.75" customHeight="1">
      <c r="A1021" s="149"/>
      <c r="D1021" s="149"/>
      <c r="H1021" s="150"/>
      <c r="P1021" s="150"/>
    </row>
    <row r="1022" ht="15.75" customHeight="1">
      <c r="A1022" s="149"/>
      <c r="D1022" s="149"/>
      <c r="H1022" s="150"/>
      <c r="P1022" s="150"/>
    </row>
    <row r="1023" ht="15.75" customHeight="1">
      <c r="A1023" s="149"/>
      <c r="D1023" s="149"/>
      <c r="H1023" s="150"/>
      <c r="P1023" s="150"/>
    </row>
    <row r="1024" ht="15.75" customHeight="1">
      <c r="A1024" s="149"/>
      <c r="D1024" s="149"/>
      <c r="H1024" s="150"/>
      <c r="P1024" s="150"/>
    </row>
    <row r="1025" ht="15.75" customHeight="1">
      <c r="A1025" s="149"/>
      <c r="D1025" s="149"/>
      <c r="H1025" s="150"/>
      <c r="P1025" s="150"/>
    </row>
    <row r="1026" ht="15.75" customHeight="1">
      <c r="A1026" s="149"/>
      <c r="D1026" s="149"/>
      <c r="H1026" s="150"/>
      <c r="P1026" s="150"/>
    </row>
    <row r="1027" ht="15.75" customHeight="1">
      <c r="A1027" s="149"/>
      <c r="D1027" s="149"/>
      <c r="H1027" s="150"/>
      <c r="P1027" s="150"/>
    </row>
    <row r="1028" ht="15.75" customHeight="1">
      <c r="A1028" s="149"/>
      <c r="D1028" s="149"/>
      <c r="H1028" s="150"/>
      <c r="P1028" s="150"/>
    </row>
    <row r="1029" ht="15.75" customHeight="1">
      <c r="A1029" s="149"/>
      <c r="D1029" s="149"/>
      <c r="H1029" s="150"/>
      <c r="P1029" s="150"/>
    </row>
    <row r="1030" ht="15.75" customHeight="1">
      <c r="A1030" s="149"/>
      <c r="D1030" s="149"/>
      <c r="H1030" s="150"/>
      <c r="P1030" s="150"/>
    </row>
    <row r="1031" ht="15.75" customHeight="1">
      <c r="A1031" s="149"/>
      <c r="D1031" s="149"/>
      <c r="H1031" s="150"/>
      <c r="P1031" s="150"/>
    </row>
    <row r="1032" ht="15.75" customHeight="1">
      <c r="A1032" s="149"/>
      <c r="D1032" s="149"/>
      <c r="H1032" s="150"/>
      <c r="P1032" s="150"/>
    </row>
    <row r="1033" ht="15.75" customHeight="1">
      <c r="A1033" s="149"/>
      <c r="D1033" s="149"/>
      <c r="H1033" s="150"/>
      <c r="P1033" s="150"/>
    </row>
    <row r="1034" ht="15.75" customHeight="1">
      <c r="A1034" s="149"/>
      <c r="D1034" s="149"/>
      <c r="H1034" s="150"/>
      <c r="P1034" s="150"/>
    </row>
    <row r="1035" ht="15.75" customHeight="1">
      <c r="A1035" s="149"/>
      <c r="D1035" s="149"/>
      <c r="H1035" s="150"/>
      <c r="P1035" s="150"/>
    </row>
    <row r="1036" ht="15.75" customHeight="1">
      <c r="A1036" s="149"/>
      <c r="D1036" s="149"/>
      <c r="H1036" s="150"/>
      <c r="P1036" s="150"/>
    </row>
  </sheetData>
  <autoFilter ref="$A$2:$P$109">
    <filterColumn colId="4">
      <filters>
        <filter val="Md. Estiak Mahbub"/>
      </filters>
    </filterColumn>
  </autoFilter>
  <mergeCells count="7">
    <mergeCell ref="A1:P1"/>
    <mergeCell ref="I105:J105"/>
    <mergeCell ref="I106:J106"/>
    <mergeCell ref="O106:P106"/>
    <mergeCell ref="I107:J107"/>
    <mergeCell ref="K108:L108"/>
    <mergeCell ref="K109:L109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8.57"/>
    <col customWidth="1" min="4" max="4" width="6.57"/>
    <col customWidth="1" min="5" max="5" width="14.57"/>
    <col customWidth="1" min="6" max="6" width="23.57"/>
    <col customWidth="1" min="7" max="7" width="9.14"/>
    <col customWidth="1" min="8" max="8" width="9.57"/>
    <col customWidth="1" min="9" max="9" width="10.0"/>
    <col customWidth="1" min="10" max="10" width="12.14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12.29"/>
    <col customWidth="1" min="17" max="17" width="9.43"/>
    <col customWidth="1" min="18" max="26" width="8.71"/>
  </cols>
  <sheetData>
    <row r="1" ht="19.5" customHeight="1">
      <c r="A1" s="3" t="s">
        <v>1424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2" t="s">
        <v>1216</v>
      </c>
      <c r="D2" s="2" t="s">
        <v>5</v>
      </c>
      <c r="E2" s="2" t="s">
        <v>6</v>
      </c>
      <c r="F2" s="2" t="s">
        <v>17</v>
      </c>
      <c r="G2" s="2" t="s">
        <v>8</v>
      </c>
      <c r="H2" s="209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95" si="1">IF(D3="","",SUBTOTAL(3,$D$3:D3))</f>
        <v>1</v>
      </c>
      <c r="B3" s="15" t="s">
        <v>24</v>
      </c>
      <c r="C3" s="17" t="s">
        <v>46</v>
      </c>
      <c r="D3" s="17" t="s">
        <v>1094</v>
      </c>
      <c r="E3" s="25" t="s">
        <v>169</v>
      </c>
      <c r="F3" s="25" t="s">
        <v>170</v>
      </c>
      <c r="G3" s="25" t="s">
        <v>36</v>
      </c>
      <c r="H3" s="26">
        <v>46145.0</v>
      </c>
      <c r="I3" s="15">
        <v>0.0</v>
      </c>
      <c r="J3" s="25" t="s">
        <v>57</v>
      </c>
      <c r="K3" s="28">
        <v>8500.0</v>
      </c>
      <c r="L3" s="28">
        <v>0.0</v>
      </c>
      <c r="M3" s="28">
        <v>0.0</v>
      </c>
      <c r="N3" s="28">
        <v>0.0</v>
      </c>
      <c r="O3" s="28">
        <v>0.0</v>
      </c>
      <c r="P3" s="33"/>
    </row>
    <row r="4" ht="11.25" customHeight="1">
      <c r="A4" s="12">
        <f t="shared" si="1"/>
        <v>2</v>
      </c>
      <c r="B4" s="15" t="s">
        <v>24</v>
      </c>
      <c r="C4" s="17" t="s">
        <v>46</v>
      </c>
      <c r="D4" s="228" t="s">
        <v>1097</v>
      </c>
      <c r="E4" s="219" t="s">
        <v>71</v>
      </c>
      <c r="F4" s="219" t="s">
        <v>114</v>
      </c>
      <c r="G4" s="219" t="s">
        <v>36</v>
      </c>
      <c r="H4" s="243">
        <v>46146.0</v>
      </c>
      <c r="I4" s="244">
        <v>1.0</v>
      </c>
      <c r="J4" s="219" t="s">
        <v>38</v>
      </c>
      <c r="K4" s="233">
        <v>80000.0</v>
      </c>
      <c r="L4" s="233">
        <v>0.0</v>
      </c>
      <c r="M4" s="233">
        <v>0.0</v>
      </c>
      <c r="N4" s="233">
        <v>0.0</v>
      </c>
      <c r="O4" s="233">
        <v>0.0</v>
      </c>
      <c r="P4" s="112"/>
    </row>
    <row r="5" ht="11.25" customHeight="1">
      <c r="A5" s="12">
        <f t="shared" si="1"/>
        <v>3</v>
      </c>
      <c r="B5" s="15" t="s">
        <v>24</v>
      </c>
      <c r="C5" s="17" t="s">
        <v>46</v>
      </c>
      <c r="D5" s="228" t="s">
        <v>1099</v>
      </c>
      <c r="E5" s="229" t="s">
        <v>71</v>
      </c>
      <c r="F5" s="229" t="s">
        <v>114</v>
      </c>
      <c r="G5" s="219" t="s">
        <v>37</v>
      </c>
      <c r="H5" s="243">
        <v>46146.0</v>
      </c>
      <c r="I5" s="228">
        <v>2.0</v>
      </c>
      <c r="J5" s="219" t="s">
        <v>38</v>
      </c>
      <c r="K5" s="233">
        <v>50000.0</v>
      </c>
      <c r="L5" s="233">
        <v>0.0</v>
      </c>
      <c r="M5" s="233">
        <v>0.0</v>
      </c>
      <c r="N5" s="233">
        <v>0.0</v>
      </c>
      <c r="O5" s="233">
        <v>0.0</v>
      </c>
      <c r="P5" s="112"/>
    </row>
    <row r="6" ht="11.25" customHeight="1">
      <c r="A6" s="12">
        <f t="shared" si="1"/>
        <v>4</v>
      </c>
      <c r="B6" s="15" t="s">
        <v>24</v>
      </c>
      <c r="C6" s="17" t="s">
        <v>46</v>
      </c>
      <c r="D6" s="228" t="s">
        <v>1100</v>
      </c>
      <c r="E6" s="245"/>
      <c r="F6" s="229" t="s">
        <v>288</v>
      </c>
      <c r="G6" s="219" t="s">
        <v>36</v>
      </c>
      <c r="H6" s="243">
        <v>46146.0</v>
      </c>
      <c r="I6" s="228">
        <v>0.0</v>
      </c>
      <c r="J6" s="219" t="s">
        <v>57</v>
      </c>
      <c r="K6" s="233">
        <v>9000.0</v>
      </c>
      <c r="L6" s="233">
        <v>0.0</v>
      </c>
      <c r="M6" s="233">
        <v>0.0</v>
      </c>
      <c r="N6" s="233">
        <v>0.0</v>
      </c>
      <c r="O6" s="233">
        <v>0.0</v>
      </c>
      <c r="P6" s="112"/>
    </row>
    <row r="7" ht="11.25" customHeight="1">
      <c r="A7" s="12">
        <f t="shared" si="1"/>
        <v>5</v>
      </c>
      <c r="B7" s="15" t="s">
        <v>24</v>
      </c>
      <c r="C7" s="17" t="s">
        <v>87</v>
      </c>
      <c r="D7" s="228" t="s">
        <v>1106</v>
      </c>
      <c r="E7" s="23" t="s">
        <v>142</v>
      </c>
      <c r="F7" s="219" t="s">
        <v>802</v>
      </c>
      <c r="G7" s="219" t="s">
        <v>36</v>
      </c>
      <c r="H7" s="243">
        <v>46146.0</v>
      </c>
      <c r="I7" s="244">
        <v>0.0</v>
      </c>
      <c r="J7" s="219" t="s">
        <v>38</v>
      </c>
      <c r="K7" s="233">
        <v>100000.0</v>
      </c>
      <c r="L7" s="233">
        <v>0.0</v>
      </c>
      <c r="M7" s="233">
        <v>0.0</v>
      </c>
      <c r="N7" s="233">
        <v>0.0</v>
      </c>
      <c r="O7" s="233">
        <v>0.0</v>
      </c>
      <c r="P7" s="193"/>
    </row>
    <row r="8" ht="11.25" customHeight="1">
      <c r="A8" s="12">
        <f t="shared" si="1"/>
        <v>6</v>
      </c>
      <c r="B8" s="15" t="s">
        <v>24</v>
      </c>
      <c r="C8" s="17" t="s">
        <v>1427</v>
      </c>
      <c r="D8" s="17" t="s">
        <v>1104</v>
      </c>
      <c r="E8" s="23" t="s">
        <v>726</v>
      </c>
      <c r="F8" s="23" t="s">
        <v>1105</v>
      </c>
      <c r="G8" s="25" t="s">
        <v>36</v>
      </c>
      <c r="H8" s="95">
        <v>46148.0</v>
      </c>
      <c r="I8" s="17">
        <v>1.0</v>
      </c>
      <c r="J8" s="25" t="s">
        <v>38</v>
      </c>
      <c r="K8" s="28">
        <v>2000.0</v>
      </c>
      <c r="L8" s="28">
        <v>0.0</v>
      </c>
      <c r="M8" s="28">
        <v>0.0</v>
      </c>
      <c r="N8" s="28">
        <v>0.0</v>
      </c>
      <c r="O8" s="28">
        <v>0.0</v>
      </c>
      <c r="P8" s="246"/>
    </row>
    <row r="9" ht="11.25" customHeight="1">
      <c r="A9" s="12">
        <f t="shared" si="1"/>
        <v>7</v>
      </c>
      <c r="B9" s="15" t="s">
        <v>24</v>
      </c>
      <c r="C9" s="17" t="s">
        <v>1427</v>
      </c>
      <c r="D9" s="17" t="s">
        <v>1114</v>
      </c>
      <c r="E9" s="23" t="s">
        <v>1012</v>
      </c>
      <c r="F9" s="23" t="s">
        <v>1013</v>
      </c>
      <c r="G9" s="25" t="s">
        <v>36</v>
      </c>
      <c r="H9" s="95">
        <v>46148.0</v>
      </c>
      <c r="I9" s="17">
        <v>0.0</v>
      </c>
      <c r="J9" s="25" t="s">
        <v>38</v>
      </c>
      <c r="K9" s="28">
        <v>100000.0</v>
      </c>
      <c r="L9" s="28">
        <v>0.0</v>
      </c>
      <c r="M9" s="28">
        <v>0.0</v>
      </c>
      <c r="N9" s="76">
        <v>0.0</v>
      </c>
      <c r="O9" s="77">
        <v>0.0</v>
      </c>
      <c r="P9" s="112"/>
    </row>
    <row r="10" ht="11.25" customHeight="1">
      <c r="A10" s="12">
        <f t="shared" si="1"/>
        <v>8</v>
      </c>
      <c r="B10" s="15" t="s">
        <v>24</v>
      </c>
      <c r="C10" s="17" t="s">
        <v>87</v>
      </c>
      <c r="D10" s="228" t="s">
        <v>1117</v>
      </c>
      <c r="E10" s="229" t="s">
        <v>49</v>
      </c>
      <c r="F10" s="229" t="s">
        <v>54</v>
      </c>
      <c r="G10" s="229" t="s">
        <v>55</v>
      </c>
      <c r="H10" s="247">
        <v>46149.0</v>
      </c>
      <c r="I10" s="228">
        <v>0.0</v>
      </c>
      <c r="J10" s="229" t="s">
        <v>38</v>
      </c>
      <c r="K10" s="233">
        <v>0.0</v>
      </c>
      <c r="L10" s="233">
        <v>0.0</v>
      </c>
      <c r="M10" s="233">
        <v>0.0</v>
      </c>
      <c r="N10" s="233">
        <v>25000.0</v>
      </c>
      <c r="O10" s="233">
        <v>0.0</v>
      </c>
      <c r="P10" s="247">
        <v>46183.0</v>
      </c>
    </row>
    <row r="11" ht="11.25" customHeight="1">
      <c r="A11" s="12">
        <f t="shared" si="1"/>
        <v>9</v>
      </c>
      <c r="B11" s="15" t="s">
        <v>24</v>
      </c>
      <c r="C11" s="17" t="s">
        <v>87</v>
      </c>
      <c r="D11" s="228" t="s">
        <v>1120</v>
      </c>
      <c r="E11" s="23" t="s">
        <v>142</v>
      </c>
      <c r="F11" s="219" t="s">
        <v>1121</v>
      </c>
      <c r="G11" s="219" t="s">
        <v>36</v>
      </c>
      <c r="H11" s="243">
        <v>46149.0</v>
      </c>
      <c r="I11" s="228">
        <v>1.0</v>
      </c>
      <c r="J11" s="219" t="s">
        <v>38</v>
      </c>
      <c r="K11" s="233">
        <v>5000.0</v>
      </c>
      <c r="L11" s="233">
        <v>0.0</v>
      </c>
      <c r="M11" s="233">
        <v>0.0</v>
      </c>
      <c r="N11" s="233">
        <v>0.0</v>
      </c>
      <c r="O11" s="233">
        <v>0.0</v>
      </c>
      <c r="P11" s="248"/>
    </row>
    <row r="12" ht="11.25" customHeight="1">
      <c r="A12" s="12">
        <f t="shared" si="1"/>
        <v>10</v>
      </c>
      <c r="B12" s="15" t="s">
        <v>24</v>
      </c>
      <c r="C12" s="17" t="s">
        <v>46</v>
      </c>
      <c r="D12" s="228" t="s">
        <v>1124</v>
      </c>
      <c r="E12" s="219" t="s">
        <v>84</v>
      </c>
      <c r="F12" s="219" t="s">
        <v>324</v>
      </c>
      <c r="G12" s="219" t="s">
        <v>36</v>
      </c>
      <c r="H12" s="243">
        <v>46149.0</v>
      </c>
      <c r="I12" s="228">
        <v>0.0</v>
      </c>
      <c r="J12" s="219" t="s">
        <v>57</v>
      </c>
      <c r="K12" s="233">
        <v>15000.0</v>
      </c>
      <c r="L12" s="233">
        <v>0.0</v>
      </c>
      <c r="M12" s="233">
        <v>0.0</v>
      </c>
      <c r="N12" s="233">
        <v>0.0</v>
      </c>
      <c r="O12" s="233">
        <v>0.0</v>
      </c>
      <c r="P12" s="248"/>
    </row>
    <row r="13" ht="11.25" customHeight="1">
      <c r="A13" s="12">
        <f t="shared" si="1"/>
        <v>11</v>
      </c>
      <c r="B13" s="15" t="s">
        <v>24</v>
      </c>
      <c r="C13" s="17" t="s">
        <v>87</v>
      </c>
      <c r="D13" s="228" t="s">
        <v>1128</v>
      </c>
      <c r="E13" s="23" t="s">
        <v>142</v>
      </c>
      <c r="F13" s="229" t="s">
        <v>1129</v>
      </c>
      <c r="G13" s="219" t="s">
        <v>36</v>
      </c>
      <c r="H13" s="247">
        <v>46149.0</v>
      </c>
      <c r="I13" s="228">
        <v>1.0</v>
      </c>
      <c r="J13" s="219" t="s">
        <v>38</v>
      </c>
      <c r="K13" s="233">
        <v>0.0</v>
      </c>
      <c r="L13" s="233">
        <v>0.0</v>
      </c>
      <c r="M13" s="233">
        <v>0.0</v>
      </c>
      <c r="N13" s="233">
        <v>100000.0</v>
      </c>
      <c r="O13" s="249"/>
      <c r="P13" s="250">
        <v>46164.0</v>
      </c>
    </row>
    <row r="14" ht="11.25" customHeight="1">
      <c r="A14" s="12">
        <f t="shared" si="1"/>
        <v>12</v>
      </c>
      <c r="B14" s="15" t="s">
        <v>24</v>
      </c>
      <c r="C14" s="17" t="s">
        <v>58</v>
      </c>
      <c r="D14" s="228" t="s">
        <v>1131</v>
      </c>
      <c r="E14" s="219" t="s">
        <v>60</v>
      </c>
      <c r="F14" s="229" t="s">
        <v>1132</v>
      </c>
      <c r="G14" s="219" t="s">
        <v>36</v>
      </c>
      <c r="H14" s="243">
        <v>46149.0</v>
      </c>
      <c r="I14" s="228">
        <v>1.0</v>
      </c>
      <c r="J14" s="229" t="s">
        <v>38</v>
      </c>
      <c r="K14" s="233">
        <v>10000.0</v>
      </c>
      <c r="L14" s="233">
        <v>0.0</v>
      </c>
      <c r="M14" s="233">
        <v>0.0</v>
      </c>
      <c r="N14" s="233">
        <v>0.0</v>
      </c>
      <c r="O14" s="233">
        <v>0.0</v>
      </c>
      <c r="P14" s="248"/>
    </row>
    <row r="15" ht="11.25" customHeight="1">
      <c r="A15" s="12">
        <f t="shared" si="1"/>
        <v>13</v>
      </c>
      <c r="B15" s="15" t="s">
        <v>24</v>
      </c>
      <c r="C15" s="17" t="s">
        <v>46</v>
      </c>
      <c r="D15" s="228" t="s">
        <v>1134</v>
      </c>
      <c r="E15" s="37" t="s">
        <v>116</v>
      </c>
      <c r="F15" s="219" t="s">
        <v>117</v>
      </c>
      <c r="G15" s="229" t="s">
        <v>36</v>
      </c>
      <c r="H15" s="243">
        <v>46149.0</v>
      </c>
      <c r="I15" s="228">
        <v>0.0</v>
      </c>
      <c r="J15" s="229" t="s">
        <v>57</v>
      </c>
      <c r="K15" s="233">
        <v>8000.0</v>
      </c>
      <c r="L15" s="233">
        <v>0.0</v>
      </c>
      <c r="M15" s="233">
        <v>0.0</v>
      </c>
      <c r="N15" s="233">
        <v>0.0</v>
      </c>
      <c r="O15" s="233">
        <v>0.0</v>
      </c>
      <c r="P15" s="248"/>
    </row>
    <row r="16" ht="11.25" customHeight="1">
      <c r="A16" s="12">
        <f t="shared" si="1"/>
        <v>14</v>
      </c>
      <c r="B16" s="15" t="s">
        <v>24</v>
      </c>
      <c r="C16" s="17" t="s">
        <v>46</v>
      </c>
      <c r="D16" s="228" t="s">
        <v>1138</v>
      </c>
      <c r="E16" s="236" t="s">
        <v>44</v>
      </c>
      <c r="F16" s="219" t="s">
        <v>478</v>
      </c>
      <c r="G16" s="219" t="s">
        <v>37</v>
      </c>
      <c r="H16" s="243">
        <v>46149.0</v>
      </c>
      <c r="I16" s="228">
        <v>0.0</v>
      </c>
      <c r="J16" s="219" t="s">
        <v>57</v>
      </c>
      <c r="K16" s="233">
        <v>5500.0</v>
      </c>
      <c r="L16" s="233">
        <v>0.0</v>
      </c>
      <c r="M16" s="233">
        <v>0.0</v>
      </c>
      <c r="N16" s="233">
        <v>0.0</v>
      </c>
      <c r="O16" s="233">
        <v>0.0</v>
      </c>
      <c r="P16" s="248"/>
    </row>
    <row r="17" ht="11.25" customHeight="1">
      <c r="A17" s="12">
        <f t="shared" si="1"/>
        <v>15</v>
      </c>
      <c r="B17" s="15" t="s">
        <v>24</v>
      </c>
      <c r="C17" s="17" t="s">
        <v>46</v>
      </c>
      <c r="D17" s="228" t="s">
        <v>1146</v>
      </c>
      <c r="E17" s="236" t="s">
        <v>44</v>
      </c>
      <c r="F17" s="229" t="s">
        <v>478</v>
      </c>
      <c r="G17" s="229" t="s">
        <v>36</v>
      </c>
      <c r="H17" s="252">
        <v>46149.0</v>
      </c>
      <c r="I17" s="228">
        <v>0.0</v>
      </c>
      <c r="J17" s="229" t="s">
        <v>57</v>
      </c>
      <c r="K17" s="233">
        <v>11000.0</v>
      </c>
      <c r="L17" s="233">
        <v>0.0</v>
      </c>
      <c r="M17" s="233">
        <v>0.0</v>
      </c>
      <c r="N17" s="233">
        <v>0.0</v>
      </c>
      <c r="O17" s="233">
        <v>0.0</v>
      </c>
      <c r="P17" s="248"/>
    </row>
    <row r="18" ht="11.25" customHeight="1">
      <c r="A18" s="12">
        <f t="shared" si="1"/>
        <v>16</v>
      </c>
      <c r="B18" s="15" t="s">
        <v>24</v>
      </c>
      <c r="C18" s="17" t="s">
        <v>46</v>
      </c>
      <c r="D18" s="228" t="s">
        <v>1151</v>
      </c>
      <c r="E18" s="37" t="s">
        <v>44</v>
      </c>
      <c r="F18" s="229" t="s">
        <v>493</v>
      </c>
      <c r="G18" s="229" t="s">
        <v>37</v>
      </c>
      <c r="H18" s="243">
        <v>46149.0</v>
      </c>
      <c r="I18" s="228">
        <v>0.0</v>
      </c>
      <c r="J18" s="229" t="s">
        <v>57</v>
      </c>
      <c r="K18" s="233">
        <v>5500.0</v>
      </c>
      <c r="L18" s="233">
        <v>0.0</v>
      </c>
      <c r="M18" s="233">
        <v>0.0</v>
      </c>
      <c r="N18" s="233">
        <v>0.0</v>
      </c>
      <c r="O18" s="233">
        <v>0.0</v>
      </c>
      <c r="P18" s="248"/>
    </row>
    <row r="19" ht="11.25" customHeight="1">
      <c r="A19" s="12">
        <f t="shared" si="1"/>
        <v>17</v>
      </c>
      <c r="B19" s="15" t="s">
        <v>24</v>
      </c>
      <c r="C19" s="17" t="s">
        <v>46</v>
      </c>
      <c r="D19" s="231">
        <v>86439.0</v>
      </c>
      <c r="E19" s="23" t="s">
        <v>208</v>
      </c>
      <c r="F19" s="23" t="s">
        <v>911</v>
      </c>
      <c r="G19" s="23" t="s">
        <v>37</v>
      </c>
      <c r="H19" s="95">
        <v>46151.0</v>
      </c>
      <c r="I19" s="17">
        <v>0.0</v>
      </c>
      <c r="J19" s="23" t="s">
        <v>57</v>
      </c>
      <c r="K19" s="28">
        <v>6000.0</v>
      </c>
      <c r="L19" s="233">
        <v>0.0</v>
      </c>
      <c r="M19" s="233">
        <v>0.0</v>
      </c>
      <c r="N19" s="233">
        <v>0.0</v>
      </c>
      <c r="O19" s="233">
        <v>0.0</v>
      </c>
      <c r="P19" s="33"/>
    </row>
    <row r="20" ht="11.25" customHeight="1">
      <c r="A20" s="12">
        <f t="shared" si="1"/>
        <v>18</v>
      </c>
      <c r="B20" s="15" t="s">
        <v>24</v>
      </c>
      <c r="C20" s="17" t="s">
        <v>46</v>
      </c>
      <c r="D20" s="231">
        <v>86440.0</v>
      </c>
      <c r="E20" s="25" t="s">
        <v>487</v>
      </c>
      <c r="F20" s="25" t="s">
        <v>488</v>
      </c>
      <c r="G20" s="25" t="s">
        <v>36</v>
      </c>
      <c r="H20" s="95">
        <v>46151.0</v>
      </c>
      <c r="I20" s="15">
        <v>0.0</v>
      </c>
      <c r="J20" s="25" t="s">
        <v>57</v>
      </c>
      <c r="K20" s="28">
        <v>10000.0</v>
      </c>
      <c r="L20" s="233">
        <v>0.0</v>
      </c>
      <c r="M20" s="233">
        <v>0.0</v>
      </c>
      <c r="N20" s="233">
        <v>0.0</v>
      </c>
      <c r="O20" s="233">
        <v>0.0</v>
      </c>
      <c r="P20" s="33"/>
    </row>
    <row r="21" ht="11.25" customHeight="1">
      <c r="A21" s="12">
        <f t="shared" si="1"/>
        <v>19</v>
      </c>
      <c r="B21" s="15" t="s">
        <v>24</v>
      </c>
      <c r="C21" s="17" t="s">
        <v>87</v>
      </c>
      <c r="D21" s="17" t="s">
        <v>1162</v>
      </c>
      <c r="E21" s="23" t="s">
        <v>49</v>
      </c>
      <c r="F21" s="23" t="s">
        <v>967</v>
      </c>
      <c r="G21" s="23" t="s">
        <v>55</v>
      </c>
      <c r="H21" s="95">
        <v>46152.0</v>
      </c>
      <c r="I21" s="17">
        <v>0.0</v>
      </c>
      <c r="J21" s="23" t="s">
        <v>38</v>
      </c>
      <c r="K21" s="28">
        <v>100000.0</v>
      </c>
      <c r="L21" s="28">
        <v>0.0</v>
      </c>
      <c r="M21" s="28">
        <v>0.0</v>
      </c>
      <c r="N21" s="76">
        <v>0.0</v>
      </c>
      <c r="O21" s="77">
        <v>0.0</v>
      </c>
      <c r="P21" s="33"/>
    </row>
    <row r="22" ht="11.25" customHeight="1">
      <c r="A22" s="12">
        <f t="shared" si="1"/>
        <v>20</v>
      </c>
      <c r="B22" s="15" t="s">
        <v>24</v>
      </c>
      <c r="C22" s="17" t="s">
        <v>46</v>
      </c>
      <c r="D22" s="211" t="s">
        <v>314</v>
      </c>
      <c r="E22" s="219"/>
      <c r="F22" s="25" t="s">
        <v>79</v>
      </c>
      <c r="G22" s="25" t="s">
        <v>34</v>
      </c>
      <c r="H22" s="26">
        <v>46152.0</v>
      </c>
      <c r="I22" s="15">
        <v>0.0</v>
      </c>
      <c r="J22" s="25" t="s">
        <v>57</v>
      </c>
      <c r="K22" s="28">
        <v>0.0</v>
      </c>
      <c r="L22" s="28">
        <v>50000.0</v>
      </c>
      <c r="M22" s="28">
        <v>0.0</v>
      </c>
      <c r="N22" s="28">
        <v>0.0</v>
      </c>
      <c r="O22" s="215">
        <v>0.0</v>
      </c>
      <c r="P22" s="105"/>
    </row>
    <row r="23" ht="11.25" customHeight="1">
      <c r="A23" s="12">
        <f t="shared" si="1"/>
        <v>21</v>
      </c>
      <c r="B23" s="15" t="s">
        <v>24</v>
      </c>
      <c r="C23" s="17" t="s">
        <v>46</v>
      </c>
      <c r="D23" s="17" t="s">
        <v>1166</v>
      </c>
      <c r="E23" s="237" t="s">
        <v>272</v>
      </c>
      <c r="F23" s="23" t="s">
        <v>318</v>
      </c>
      <c r="G23" s="25" t="s">
        <v>36</v>
      </c>
      <c r="H23" s="95">
        <v>46153.0</v>
      </c>
      <c r="I23" s="17">
        <v>0.0</v>
      </c>
      <c r="J23" s="23" t="s">
        <v>57</v>
      </c>
      <c r="K23" s="28">
        <v>5000.0</v>
      </c>
      <c r="L23" s="28">
        <v>0.0</v>
      </c>
      <c r="M23" s="28">
        <v>0.0</v>
      </c>
      <c r="N23" s="76">
        <v>0.0</v>
      </c>
      <c r="O23" s="77">
        <v>0.0</v>
      </c>
      <c r="P23" s="253"/>
    </row>
    <row r="24" ht="11.25" customHeight="1">
      <c r="A24" s="12">
        <f t="shared" si="1"/>
        <v>22</v>
      </c>
      <c r="B24" s="15" t="s">
        <v>24</v>
      </c>
      <c r="C24" s="17" t="s">
        <v>46</v>
      </c>
      <c r="D24" s="211" t="s">
        <v>317</v>
      </c>
      <c r="E24" s="237" t="s">
        <v>272</v>
      </c>
      <c r="F24" s="23" t="s">
        <v>318</v>
      </c>
      <c r="G24" s="25" t="s">
        <v>34</v>
      </c>
      <c r="H24" s="95">
        <v>46153.0</v>
      </c>
      <c r="I24" s="17">
        <v>0.0</v>
      </c>
      <c r="J24" s="23" t="s">
        <v>57</v>
      </c>
      <c r="K24" s="28">
        <v>20000.0</v>
      </c>
      <c r="L24" s="28">
        <v>0.0</v>
      </c>
      <c r="M24" s="28">
        <v>0.0</v>
      </c>
      <c r="N24" s="76">
        <v>0.0</v>
      </c>
      <c r="O24" s="77">
        <v>0.0</v>
      </c>
      <c r="P24" s="253"/>
    </row>
    <row r="25" ht="11.25" customHeight="1">
      <c r="A25" s="12">
        <f t="shared" si="1"/>
        <v>23</v>
      </c>
      <c r="B25" s="15" t="s">
        <v>24</v>
      </c>
      <c r="C25" s="17" t="s">
        <v>46</v>
      </c>
      <c r="D25" s="17" t="s">
        <v>1169</v>
      </c>
      <c r="E25" s="25" t="s">
        <v>293</v>
      </c>
      <c r="F25" s="25" t="s">
        <v>294</v>
      </c>
      <c r="G25" s="25" t="s">
        <v>37</v>
      </c>
      <c r="H25" s="95">
        <v>46154.0</v>
      </c>
      <c r="I25" s="17">
        <v>0.0</v>
      </c>
      <c r="J25" s="23" t="s">
        <v>57</v>
      </c>
      <c r="K25" s="28">
        <v>3100.0</v>
      </c>
      <c r="L25" s="28">
        <v>0.0</v>
      </c>
      <c r="M25" s="28">
        <v>0.0</v>
      </c>
      <c r="N25" s="76">
        <v>0.0</v>
      </c>
      <c r="O25" s="77">
        <v>0.0</v>
      </c>
      <c r="P25" s="33"/>
    </row>
    <row r="26" ht="11.25" customHeight="1">
      <c r="A26" s="12">
        <f t="shared" si="1"/>
        <v>24</v>
      </c>
      <c r="B26" s="15" t="s">
        <v>24</v>
      </c>
      <c r="C26" s="17" t="s">
        <v>46</v>
      </c>
      <c r="D26" s="17" t="s">
        <v>1171</v>
      </c>
      <c r="E26" s="65" t="s">
        <v>71</v>
      </c>
      <c r="F26" s="65" t="s">
        <v>114</v>
      </c>
      <c r="G26" s="23" t="s">
        <v>37</v>
      </c>
      <c r="H26" s="95">
        <v>46155.0</v>
      </c>
      <c r="I26" s="17">
        <v>0.0</v>
      </c>
      <c r="J26" s="23" t="s">
        <v>38</v>
      </c>
      <c r="K26" s="28">
        <v>20000.0</v>
      </c>
      <c r="L26" s="28">
        <v>0.0</v>
      </c>
      <c r="M26" s="28">
        <v>0.0</v>
      </c>
      <c r="N26" s="76">
        <v>0.0</v>
      </c>
      <c r="O26" s="77">
        <v>0.0</v>
      </c>
      <c r="P26" s="193"/>
    </row>
    <row r="27" ht="11.25" customHeight="1">
      <c r="A27" s="12">
        <f t="shared" si="1"/>
        <v>25</v>
      </c>
      <c r="B27" s="15" t="s">
        <v>24</v>
      </c>
      <c r="C27" s="17" t="s">
        <v>46</v>
      </c>
      <c r="D27" s="17" t="s">
        <v>1173</v>
      </c>
      <c r="E27" s="65" t="s">
        <v>71</v>
      </c>
      <c r="F27" s="65" t="s">
        <v>114</v>
      </c>
      <c r="G27" s="25" t="s">
        <v>36</v>
      </c>
      <c r="H27" s="95">
        <v>46155.0</v>
      </c>
      <c r="I27" s="17">
        <v>0.0</v>
      </c>
      <c r="J27" s="23" t="s">
        <v>57</v>
      </c>
      <c r="K27" s="28">
        <v>4000.0</v>
      </c>
      <c r="L27" s="28">
        <v>0.0</v>
      </c>
      <c r="M27" s="28">
        <v>0.0</v>
      </c>
      <c r="N27" s="76">
        <v>0.0</v>
      </c>
      <c r="O27" s="77">
        <v>0.0</v>
      </c>
      <c r="P27" s="193"/>
    </row>
    <row r="28" ht="11.25" customHeight="1">
      <c r="A28" s="12">
        <f t="shared" si="1"/>
        <v>26</v>
      </c>
      <c r="B28" s="15" t="s">
        <v>24</v>
      </c>
      <c r="C28" s="17" t="s">
        <v>46</v>
      </c>
      <c r="D28" s="17" t="s">
        <v>1175</v>
      </c>
      <c r="E28" s="65" t="s">
        <v>71</v>
      </c>
      <c r="F28" s="65" t="s">
        <v>114</v>
      </c>
      <c r="G28" s="25" t="s">
        <v>36</v>
      </c>
      <c r="H28" s="95">
        <v>46155.0</v>
      </c>
      <c r="I28" s="17">
        <v>0.0</v>
      </c>
      <c r="J28" s="23" t="s">
        <v>57</v>
      </c>
      <c r="K28" s="28">
        <v>4000.0</v>
      </c>
      <c r="L28" s="28">
        <v>0.0</v>
      </c>
      <c r="M28" s="28">
        <v>0.0</v>
      </c>
      <c r="N28" s="76">
        <v>0.0</v>
      </c>
      <c r="O28" s="77">
        <v>0.0</v>
      </c>
      <c r="P28" s="30"/>
    </row>
    <row r="29" ht="11.25" customHeight="1">
      <c r="A29" s="12">
        <f t="shared" si="1"/>
        <v>27</v>
      </c>
      <c r="B29" s="15" t="s">
        <v>24</v>
      </c>
      <c r="C29" s="17" t="s">
        <v>46</v>
      </c>
      <c r="D29" s="211" t="s">
        <v>322</v>
      </c>
      <c r="E29" s="72" t="s">
        <v>91</v>
      </c>
      <c r="F29" s="72" t="s">
        <v>96</v>
      </c>
      <c r="G29" s="25" t="s">
        <v>34</v>
      </c>
      <c r="H29" s="32">
        <v>46155.0</v>
      </c>
      <c r="I29" s="17">
        <v>0.0</v>
      </c>
      <c r="J29" s="23" t="s">
        <v>57</v>
      </c>
      <c r="K29" s="28">
        <v>0.0</v>
      </c>
      <c r="L29" s="28">
        <v>57000.0</v>
      </c>
      <c r="M29" s="28">
        <v>0.0</v>
      </c>
      <c r="N29" s="76">
        <v>0.0</v>
      </c>
      <c r="O29" s="77">
        <v>0.0</v>
      </c>
      <c r="P29" s="218"/>
    </row>
    <row r="30" ht="11.25" customHeight="1">
      <c r="A30" s="12">
        <f t="shared" si="1"/>
        <v>28</v>
      </c>
      <c r="B30" s="15" t="s">
        <v>24</v>
      </c>
      <c r="C30" s="17" t="s">
        <v>1427</v>
      </c>
      <c r="D30" s="17" t="s">
        <v>1177</v>
      </c>
      <c r="E30" s="22" t="s">
        <v>1012</v>
      </c>
      <c r="F30" s="23" t="s">
        <v>1178</v>
      </c>
      <c r="G30" s="25" t="s">
        <v>36</v>
      </c>
      <c r="H30" s="32">
        <v>46156.0</v>
      </c>
      <c r="I30" s="17">
        <v>0.0</v>
      </c>
      <c r="J30" s="23" t="s">
        <v>38</v>
      </c>
      <c r="K30" s="28">
        <v>100000.0</v>
      </c>
      <c r="L30" s="28">
        <v>0.0</v>
      </c>
      <c r="M30" s="28">
        <v>0.0</v>
      </c>
      <c r="N30" s="76">
        <v>0.0</v>
      </c>
      <c r="O30" s="77">
        <v>0.0</v>
      </c>
      <c r="P30" s="30"/>
    </row>
    <row r="31" ht="11.25" customHeight="1">
      <c r="A31" s="12">
        <f t="shared" si="1"/>
        <v>29</v>
      </c>
      <c r="B31" s="15" t="s">
        <v>24</v>
      </c>
      <c r="C31" s="17" t="s">
        <v>46</v>
      </c>
      <c r="D31" s="17" t="s">
        <v>1180</v>
      </c>
      <c r="E31" s="254" t="s">
        <v>487</v>
      </c>
      <c r="F31" s="254" t="s">
        <v>554</v>
      </c>
      <c r="G31" s="25" t="s">
        <v>36</v>
      </c>
      <c r="H31" s="95">
        <v>46156.0</v>
      </c>
      <c r="I31" s="17">
        <v>0.0</v>
      </c>
      <c r="J31" s="23" t="s">
        <v>57</v>
      </c>
      <c r="K31" s="28">
        <v>24000.0</v>
      </c>
      <c r="L31" s="28">
        <v>0.0</v>
      </c>
      <c r="M31" s="28">
        <v>0.0</v>
      </c>
      <c r="N31" s="76">
        <v>0.0</v>
      </c>
      <c r="O31" s="77">
        <v>0.0</v>
      </c>
      <c r="P31" s="193"/>
    </row>
    <row r="32" ht="11.25" customHeight="1">
      <c r="A32" s="12">
        <f t="shared" si="1"/>
        <v>30</v>
      </c>
      <c r="B32" s="15" t="s">
        <v>24</v>
      </c>
      <c r="C32" s="17" t="s">
        <v>46</v>
      </c>
      <c r="D32" s="17">
        <v>86449.0</v>
      </c>
      <c r="E32" s="255" t="s">
        <v>44</v>
      </c>
      <c r="F32" s="255" t="s">
        <v>45</v>
      </c>
      <c r="G32" s="25" t="s">
        <v>36</v>
      </c>
      <c r="H32" s="95">
        <v>46156.0</v>
      </c>
      <c r="I32" s="194">
        <v>0.0</v>
      </c>
      <c r="J32" s="23" t="s">
        <v>57</v>
      </c>
      <c r="K32" s="28">
        <v>8000.0</v>
      </c>
      <c r="L32" s="28">
        <v>0.0</v>
      </c>
      <c r="M32" s="28">
        <v>0.0</v>
      </c>
      <c r="N32" s="76">
        <v>0.0</v>
      </c>
      <c r="O32" s="77">
        <v>0.0</v>
      </c>
      <c r="P32" s="193"/>
    </row>
    <row r="33" ht="11.25" customHeight="1">
      <c r="A33" s="12">
        <f t="shared" si="1"/>
        <v>31</v>
      </c>
      <c r="B33" s="15" t="s">
        <v>24</v>
      </c>
      <c r="C33" s="17" t="s">
        <v>46</v>
      </c>
      <c r="D33" s="17" t="s">
        <v>1187</v>
      </c>
      <c r="E33" s="255" t="s">
        <v>44</v>
      </c>
      <c r="F33" s="255" t="s">
        <v>45</v>
      </c>
      <c r="G33" s="25" t="s">
        <v>36</v>
      </c>
      <c r="H33" s="95">
        <v>46156.0</v>
      </c>
      <c r="I33" s="194">
        <v>0.0</v>
      </c>
      <c r="J33" s="23" t="s">
        <v>57</v>
      </c>
      <c r="K33" s="28">
        <v>10000.0</v>
      </c>
      <c r="L33" s="28">
        <v>0.0</v>
      </c>
      <c r="M33" s="28">
        <v>0.0</v>
      </c>
      <c r="N33" s="76">
        <v>0.0</v>
      </c>
      <c r="O33" s="77">
        <v>0.0</v>
      </c>
      <c r="P33" s="33"/>
    </row>
    <row r="34" ht="11.25" customHeight="1">
      <c r="A34" s="12">
        <f t="shared" si="1"/>
        <v>32</v>
      </c>
      <c r="B34" s="15" t="s">
        <v>24</v>
      </c>
      <c r="C34" s="17" t="s">
        <v>46</v>
      </c>
      <c r="D34" s="35" t="s">
        <v>1191</v>
      </c>
      <c r="E34" s="25" t="s">
        <v>184</v>
      </c>
      <c r="F34" s="25" t="s">
        <v>449</v>
      </c>
      <c r="G34" s="25" t="s">
        <v>37</v>
      </c>
      <c r="H34" s="26">
        <v>46156.0</v>
      </c>
      <c r="I34" s="17">
        <v>0.0</v>
      </c>
      <c r="J34" s="23" t="s">
        <v>57</v>
      </c>
      <c r="K34" s="28">
        <v>5000.0</v>
      </c>
      <c r="L34" s="28">
        <v>0.0</v>
      </c>
      <c r="M34" s="28">
        <v>0.0</v>
      </c>
      <c r="N34" s="76">
        <v>0.0</v>
      </c>
      <c r="O34" s="77">
        <v>0.0</v>
      </c>
      <c r="P34" s="33"/>
    </row>
    <row r="35" ht="11.25" customHeight="1">
      <c r="A35" s="12">
        <f t="shared" si="1"/>
        <v>33</v>
      </c>
      <c r="B35" s="15" t="s">
        <v>24</v>
      </c>
      <c r="C35" s="17" t="s">
        <v>182</v>
      </c>
      <c r="D35" s="17" t="s">
        <v>1195</v>
      </c>
      <c r="E35" s="65" t="s">
        <v>84</v>
      </c>
      <c r="F35" s="65" t="s">
        <v>270</v>
      </c>
      <c r="G35" s="25" t="s">
        <v>36</v>
      </c>
      <c r="H35" s="95">
        <v>46156.0</v>
      </c>
      <c r="I35" s="17">
        <v>0.0</v>
      </c>
      <c r="J35" s="23" t="s">
        <v>38</v>
      </c>
      <c r="K35" s="28">
        <v>12500.0</v>
      </c>
      <c r="L35" s="28">
        <v>0.0</v>
      </c>
      <c r="M35" s="28">
        <v>0.0</v>
      </c>
      <c r="N35" s="76">
        <v>0.0</v>
      </c>
      <c r="O35" s="77">
        <v>0.0</v>
      </c>
      <c r="P35" s="33"/>
    </row>
    <row r="36" ht="11.25" customHeight="1">
      <c r="A36" s="12">
        <f t="shared" si="1"/>
        <v>34</v>
      </c>
      <c r="B36" s="15" t="s">
        <v>24</v>
      </c>
      <c r="C36" s="17" t="s">
        <v>182</v>
      </c>
      <c r="D36" s="17" t="s">
        <v>1199</v>
      </c>
      <c r="E36" s="254" t="s">
        <v>84</v>
      </c>
      <c r="F36" s="254" t="s">
        <v>254</v>
      </c>
      <c r="G36" s="25" t="s">
        <v>36</v>
      </c>
      <c r="H36" s="95">
        <v>46156.0</v>
      </c>
      <c r="I36" s="17">
        <v>0.0</v>
      </c>
      <c r="J36" s="23" t="s">
        <v>38</v>
      </c>
      <c r="K36" s="28">
        <v>12500.0</v>
      </c>
      <c r="L36" s="28">
        <v>0.0</v>
      </c>
      <c r="M36" s="28">
        <v>0.0</v>
      </c>
      <c r="N36" s="76">
        <v>0.0</v>
      </c>
      <c r="O36" s="77">
        <v>0.0</v>
      </c>
      <c r="P36" s="33"/>
    </row>
    <row r="37" ht="11.25" customHeight="1">
      <c r="A37" s="12">
        <f t="shared" si="1"/>
        <v>35</v>
      </c>
      <c r="B37" s="15" t="s">
        <v>24</v>
      </c>
      <c r="C37" s="17" t="s">
        <v>87</v>
      </c>
      <c r="D37" s="17" t="s">
        <v>1202</v>
      </c>
      <c r="E37" s="23" t="s">
        <v>142</v>
      </c>
      <c r="F37" s="23" t="s">
        <v>452</v>
      </c>
      <c r="G37" s="25" t="s">
        <v>37</v>
      </c>
      <c r="H37" s="95">
        <v>46156.0</v>
      </c>
      <c r="I37" s="17">
        <v>2.0</v>
      </c>
      <c r="J37" s="23" t="s">
        <v>38</v>
      </c>
      <c r="K37" s="28">
        <v>15000.0</v>
      </c>
      <c r="L37" s="28">
        <v>0.0</v>
      </c>
      <c r="M37" s="28">
        <v>0.0</v>
      </c>
      <c r="N37" s="76">
        <v>0.0</v>
      </c>
      <c r="O37" s="77">
        <v>0.0</v>
      </c>
      <c r="P37" s="105"/>
    </row>
    <row r="38" ht="11.25" customHeight="1">
      <c r="A38" s="12">
        <f t="shared" si="1"/>
        <v>36</v>
      </c>
      <c r="B38" s="15" t="s">
        <v>24</v>
      </c>
      <c r="C38" s="17" t="s">
        <v>46</v>
      </c>
      <c r="D38" s="211" t="s">
        <v>331</v>
      </c>
      <c r="E38" s="67"/>
      <c r="F38" s="36" t="s">
        <v>32</v>
      </c>
      <c r="G38" s="25" t="s">
        <v>34</v>
      </c>
      <c r="H38" s="95">
        <v>46156.0</v>
      </c>
      <c r="I38" s="211">
        <v>0.0</v>
      </c>
      <c r="J38" s="23" t="s">
        <v>57</v>
      </c>
      <c r="K38" s="28">
        <v>0.0</v>
      </c>
      <c r="L38" s="28">
        <v>50000.0</v>
      </c>
      <c r="M38" s="28">
        <v>0.0</v>
      </c>
      <c r="N38" s="28">
        <v>0.0</v>
      </c>
      <c r="O38" s="215">
        <v>0.0</v>
      </c>
      <c r="P38" s="33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1.25" customHeight="1">
      <c r="A39" s="12">
        <f t="shared" si="1"/>
        <v>37</v>
      </c>
      <c r="B39" s="15" t="s">
        <v>24</v>
      </c>
      <c r="C39" s="17" t="s">
        <v>87</v>
      </c>
      <c r="D39" s="17">
        <v>88056.0</v>
      </c>
      <c r="E39" s="23" t="s">
        <v>377</v>
      </c>
      <c r="F39" s="23" t="s">
        <v>723</v>
      </c>
      <c r="G39" s="25" t="s">
        <v>37</v>
      </c>
      <c r="H39" s="95">
        <v>46156.0</v>
      </c>
      <c r="I39" s="17">
        <v>0.0</v>
      </c>
      <c r="J39" s="23" t="s">
        <v>38</v>
      </c>
      <c r="K39" s="28">
        <v>1000.0</v>
      </c>
      <c r="L39" s="28">
        <v>0.0</v>
      </c>
      <c r="M39" s="28">
        <v>0.0</v>
      </c>
      <c r="N39" s="76">
        <v>0.0</v>
      </c>
      <c r="O39" s="77">
        <v>0.0</v>
      </c>
      <c r="P39" s="105"/>
    </row>
    <row r="40" ht="11.25" customHeight="1">
      <c r="A40" s="12">
        <f t="shared" si="1"/>
        <v>38</v>
      </c>
      <c r="B40" s="15" t="s">
        <v>24</v>
      </c>
      <c r="C40" s="17" t="s">
        <v>46</v>
      </c>
      <c r="D40" s="17">
        <v>88057.0</v>
      </c>
      <c r="E40" s="254" t="s">
        <v>488</v>
      </c>
      <c r="F40" s="256" t="s">
        <v>697</v>
      </c>
      <c r="G40" s="25" t="s">
        <v>36</v>
      </c>
      <c r="H40" s="95">
        <v>46156.0</v>
      </c>
      <c r="I40" s="17">
        <v>0.0</v>
      </c>
      <c r="J40" s="23" t="s">
        <v>57</v>
      </c>
      <c r="K40" s="28">
        <v>10000.0</v>
      </c>
      <c r="L40" s="28">
        <v>0.0</v>
      </c>
      <c r="M40" s="28">
        <v>0.0</v>
      </c>
      <c r="N40" s="76">
        <v>0.0</v>
      </c>
      <c r="O40" s="77">
        <v>0.0</v>
      </c>
      <c r="P40" s="105"/>
    </row>
    <row r="41" ht="11.25" customHeight="1">
      <c r="A41" s="12">
        <f t="shared" si="1"/>
        <v>39</v>
      </c>
      <c r="B41" s="15" t="s">
        <v>24</v>
      </c>
      <c r="C41" s="17" t="s">
        <v>46</v>
      </c>
      <c r="D41" s="17" t="s">
        <v>1225</v>
      </c>
      <c r="E41" s="254" t="s">
        <v>71</v>
      </c>
      <c r="F41" s="257" t="s">
        <v>915</v>
      </c>
      <c r="G41" s="25" t="s">
        <v>37</v>
      </c>
      <c r="H41" s="95">
        <v>46158.0</v>
      </c>
      <c r="I41" s="17">
        <v>0.0</v>
      </c>
      <c r="J41" s="23" t="s">
        <v>38</v>
      </c>
      <c r="K41" s="28">
        <v>40000.0</v>
      </c>
      <c r="L41" s="28">
        <v>0.0</v>
      </c>
      <c r="M41" s="28">
        <v>0.0</v>
      </c>
      <c r="N41" s="76">
        <v>0.0</v>
      </c>
      <c r="O41" s="77">
        <v>0.0</v>
      </c>
      <c r="P41" s="105"/>
    </row>
    <row r="42" ht="11.25" customHeight="1">
      <c r="A42" s="12">
        <f t="shared" si="1"/>
        <v>40</v>
      </c>
      <c r="B42" s="15" t="s">
        <v>24</v>
      </c>
      <c r="C42" s="17" t="s">
        <v>87</v>
      </c>
      <c r="D42" s="17" t="s">
        <v>1212</v>
      </c>
      <c r="E42" s="23" t="s">
        <v>91</v>
      </c>
      <c r="F42" s="23" t="s">
        <v>1213</v>
      </c>
      <c r="G42" s="25" t="s">
        <v>37</v>
      </c>
      <c r="H42" s="26">
        <v>46159.0</v>
      </c>
      <c r="I42" s="17">
        <v>1.0</v>
      </c>
      <c r="J42" s="23" t="s">
        <v>38</v>
      </c>
      <c r="K42" s="28">
        <v>0.0</v>
      </c>
      <c r="L42" s="28">
        <v>10000.0</v>
      </c>
      <c r="M42" s="28">
        <v>0.0</v>
      </c>
      <c r="N42" s="76">
        <v>0.0</v>
      </c>
      <c r="O42" s="77">
        <v>0.0</v>
      </c>
      <c r="P42" s="105"/>
    </row>
    <row r="43" ht="11.25" customHeight="1">
      <c r="A43" s="12">
        <f t="shared" si="1"/>
        <v>41</v>
      </c>
      <c r="B43" s="15" t="s">
        <v>24</v>
      </c>
      <c r="C43" s="17" t="s">
        <v>87</v>
      </c>
      <c r="D43" s="17" t="s">
        <v>1215</v>
      </c>
      <c r="E43" s="23" t="s">
        <v>91</v>
      </c>
      <c r="F43" s="23" t="s">
        <v>423</v>
      </c>
      <c r="G43" s="25" t="s">
        <v>36</v>
      </c>
      <c r="H43" s="26">
        <v>46159.0</v>
      </c>
      <c r="I43" s="17">
        <v>1.0</v>
      </c>
      <c r="J43" s="23" t="s">
        <v>38</v>
      </c>
      <c r="K43" s="28"/>
      <c r="L43" s="28">
        <v>100000.0</v>
      </c>
      <c r="M43" s="28">
        <v>0.0</v>
      </c>
      <c r="N43" s="76">
        <v>0.0</v>
      </c>
      <c r="O43" s="77">
        <v>0.0</v>
      </c>
      <c r="P43" s="105"/>
    </row>
    <row r="44" ht="11.25" customHeight="1">
      <c r="A44" s="12">
        <f t="shared" si="1"/>
        <v>42</v>
      </c>
      <c r="B44" s="15" t="s">
        <v>24</v>
      </c>
      <c r="C44" s="17" t="s">
        <v>46</v>
      </c>
      <c r="D44" s="17" t="s">
        <v>1217</v>
      </c>
      <c r="E44" s="22" t="s">
        <v>1012</v>
      </c>
      <c r="F44" s="23" t="s">
        <v>1218</v>
      </c>
      <c r="G44" s="25" t="s">
        <v>36</v>
      </c>
      <c r="H44" s="26">
        <v>46159.0</v>
      </c>
      <c r="I44" s="17">
        <v>0.0</v>
      </c>
      <c r="J44" s="23" t="s">
        <v>57</v>
      </c>
      <c r="K44" s="28">
        <v>9600.0</v>
      </c>
      <c r="L44" s="28">
        <v>0.0</v>
      </c>
      <c r="M44" s="28">
        <v>0.0</v>
      </c>
      <c r="N44" s="76">
        <v>0.0</v>
      </c>
      <c r="O44" s="77">
        <v>0.0</v>
      </c>
      <c r="P44" s="105"/>
    </row>
    <row r="45" ht="11.25" customHeight="1">
      <c r="A45" s="12">
        <f t="shared" si="1"/>
        <v>43</v>
      </c>
      <c r="B45" s="15" t="s">
        <v>24</v>
      </c>
      <c r="C45" s="17" t="s">
        <v>87</v>
      </c>
      <c r="D45" s="17" t="s">
        <v>1220</v>
      </c>
      <c r="E45" s="23" t="s">
        <v>223</v>
      </c>
      <c r="F45" s="23" t="s">
        <v>392</v>
      </c>
      <c r="G45" s="25" t="s">
        <v>37</v>
      </c>
      <c r="H45" s="26">
        <v>46159.0</v>
      </c>
      <c r="I45" s="17">
        <v>1.0</v>
      </c>
      <c r="J45" s="23" t="s">
        <v>38</v>
      </c>
      <c r="K45" s="28">
        <v>100000.0</v>
      </c>
      <c r="L45" s="28">
        <v>0.0</v>
      </c>
      <c r="M45" s="28">
        <v>0.0</v>
      </c>
      <c r="N45" s="76">
        <v>0.0</v>
      </c>
      <c r="O45" s="77">
        <v>0.0</v>
      </c>
      <c r="P45" s="105"/>
    </row>
    <row r="46" ht="11.25" customHeight="1">
      <c r="A46" s="12">
        <f t="shared" si="1"/>
        <v>44</v>
      </c>
      <c r="B46" s="15" t="s">
        <v>24</v>
      </c>
      <c r="C46" s="17" t="s">
        <v>182</v>
      </c>
      <c r="D46" s="17" t="s">
        <v>1221</v>
      </c>
      <c r="E46" s="254" t="s">
        <v>40</v>
      </c>
      <c r="F46" s="254" t="s">
        <v>41</v>
      </c>
      <c r="G46" s="25" t="s">
        <v>36</v>
      </c>
      <c r="H46" s="26">
        <v>46160.0</v>
      </c>
      <c r="I46" s="17">
        <v>0.0</v>
      </c>
      <c r="J46" s="23" t="s">
        <v>38</v>
      </c>
      <c r="K46" s="28">
        <v>40000.0</v>
      </c>
      <c r="L46" s="28">
        <v>0.0</v>
      </c>
      <c r="M46" s="28">
        <v>0.0</v>
      </c>
      <c r="N46" s="76">
        <v>0.0</v>
      </c>
      <c r="O46" s="77">
        <v>0.0</v>
      </c>
      <c r="P46" s="105"/>
    </row>
    <row r="47" ht="11.25" customHeight="1">
      <c r="A47" s="12">
        <f t="shared" si="1"/>
        <v>45</v>
      </c>
      <c r="B47" s="15" t="s">
        <v>24</v>
      </c>
      <c r="C47" s="17" t="s">
        <v>87</v>
      </c>
      <c r="D47" s="17" t="s">
        <v>1223</v>
      </c>
      <c r="E47" s="23" t="s">
        <v>223</v>
      </c>
      <c r="F47" s="23" t="s">
        <v>1224</v>
      </c>
      <c r="G47" s="25" t="s">
        <v>36</v>
      </c>
      <c r="H47" s="26">
        <v>46160.0</v>
      </c>
      <c r="I47" s="17">
        <v>1.0</v>
      </c>
      <c r="J47" s="23" t="s">
        <v>38</v>
      </c>
      <c r="K47" s="28"/>
      <c r="L47" s="28">
        <v>10000.0</v>
      </c>
      <c r="M47" s="28">
        <v>0.0</v>
      </c>
      <c r="N47" s="76">
        <v>0.0</v>
      </c>
      <c r="O47" s="77">
        <v>0.0</v>
      </c>
      <c r="P47" s="33"/>
    </row>
    <row r="48" ht="11.25" customHeight="1">
      <c r="A48" s="12">
        <f t="shared" si="1"/>
        <v>46</v>
      </c>
      <c r="B48" s="15" t="s">
        <v>24</v>
      </c>
      <c r="C48" s="17" t="s">
        <v>46</v>
      </c>
      <c r="D48" s="17" t="s">
        <v>1226</v>
      </c>
      <c r="E48" s="23" t="s">
        <v>60</v>
      </c>
      <c r="F48" s="23" t="s">
        <v>161</v>
      </c>
      <c r="G48" s="25" t="s">
        <v>36</v>
      </c>
      <c r="H48" s="26">
        <v>46160.0</v>
      </c>
      <c r="I48" s="17">
        <v>0.0</v>
      </c>
      <c r="J48" s="23" t="s">
        <v>57</v>
      </c>
      <c r="K48" s="28">
        <v>7300.0</v>
      </c>
      <c r="L48" s="28">
        <v>0.0</v>
      </c>
      <c r="M48" s="28">
        <v>0.0</v>
      </c>
      <c r="N48" s="76">
        <v>0.0</v>
      </c>
      <c r="O48" s="77">
        <v>0.0</v>
      </c>
      <c r="P48" s="105"/>
    </row>
    <row r="49" ht="11.25" customHeight="1">
      <c r="A49" s="12">
        <f t="shared" si="1"/>
        <v>47</v>
      </c>
      <c r="B49" s="15" t="s">
        <v>24</v>
      </c>
      <c r="C49" s="17" t="s">
        <v>87</v>
      </c>
      <c r="D49" s="17" t="s">
        <v>1228</v>
      </c>
      <c r="E49" s="23" t="s">
        <v>91</v>
      </c>
      <c r="F49" s="23" t="s">
        <v>134</v>
      </c>
      <c r="G49" s="25" t="s">
        <v>36</v>
      </c>
      <c r="H49" s="26">
        <v>46161.0</v>
      </c>
      <c r="I49" s="17">
        <v>1.0</v>
      </c>
      <c r="J49" s="23" t="s">
        <v>38</v>
      </c>
      <c r="K49" s="28">
        <v>0.0</v>
      </c>
      <c r="L49" s="28">
        <v>50000.0</v>
      </c>
      <c r="M49" s="28">
        <v>0.0</v>
      </c>
      <c r="N49" s="76">
        <v>0.0</v>
      </c>
      <c r="O49" s="77">
        <v>0.0</v>
      </c>
      <c r="P49" s="33"/>
    </row>
    <row r="50" ht="11.25" customHeight="1">
      <c r="A50" s="12">
        <f t="shared" si="1"/>
        <v>48</v>
      </c>
      <c r="B50" s="15" t="s">
        <v>24</v>
      </c>
      <c r="C50" s="17" t="s">
        <v>46</v>
      </c>
      <c r="D50" s="17" t="s">
        <v>1230</v>
      </c>
      <c r="E50" s="254" t="s">
        <v>84</v>
      </c>
      <c r="F50" s="259" t="s">
        <v>324</v>
      </c>
      <c r="G50" s="25" t="s">
        <v>36</v>
      </c>
      <c r="H50" s="26">
        <v>46161.0</v>
      </c>
      <c r="I50" s="17">
        <v>0.0</v>
      </c>
      <c r="J50" s="23" t="s">
        <v>57</v>
      </c>
      <c r="K50" s="28">
        <v>60000.0</v>
      </c>
      <c r="L50" s="28">
        <v>0.0</v>
      </c>
      <c r="M50" s="28">
        <v>0.0</v>
      </c>
      <c r="N50" s="76">
        <v>0.0</v>
      </c>
      <c r="O50" s="77">
        <v>0.0</v>
      </c>
      <c r="P50" s="33"/>
    </row>
    <row r="51" ht="11.25" customHeight="1">
      <c r="A51" s="12">
        <f t="shared" si="1"/>
        <v>49</v>
      </c>
      <c r="B51" s="15" t="s">
        <v>24</v>
      </c>
      <c r="C51" s="17" t="s">
        <v>87</v>
      </c>
      <c r="D51" s="17" t="s">
        <v>1233</v>
      </c>
      <c r="E51" s="23" t="s">
        <v>487</v>
      </c>
      <c r="F51" s="23" t="s">
        <v>1429</v>
      </c>
      <c r="G51" s="25" t="s">
        <v>37</v>
      </c>
      <c r="H51" s="95">
        <v>46162.0</v>
      </c>
      <c r="I51" s="17">
        <v>0.0</v>
      </c>
      <c r="J51" s="23" t="s">
        <v>38</v>
      </c>
      <c r="K51" s="28">
        <v>0.0</v>
      </c>
      <c r="L51" s="28">
        <v>100000.0</v>
      </c>
      <c r="M51" s="28">
        <v>0.0</v>
      </c>
      <c r="N51" s="76">
        <v>0.0</v>
      </c>
      <c r="O51" s="77">
        <v>0.0</v>
      </c>
      <c r="P51" s="33"/>
    </row>
    <row r="52" ht="11.25" customHeight="1">
      <c r="A52" s="12">
        <f t="shared" si="1"/>
        <v>50</v>
      </c>
      <c r="B52" s="15" t="s">
        <v>24</v>
      </c>
      <c r="C52" s="17" t="s">
        <v>46</v>
      </c>
      <c r="D52" s="19" t="s">
        <v>832</v>
      </c>
      <c r="E52" s="23" t="s">
        <v>208</v>
      </c>
      <c r="F52" s="23" t="s">
        <v>661</v>
      </c>
      <c r="G52" s="23" t="s">
        <v>36</v>
      </c>
      <c r="H52" s="226">
        <v>46163.0</v>
      </c>
      <c r="I52" s="186">
        <v>0.0</v>
      </c>
      <c r="J52" s="240" t="s">
        <v>57</v>
      </c>
      <c r="K52" s="28">
        <v>0.0</v>
      </c>
      <c r="L52" s="28">
        <v>0.0</v>
      </c>
      <c r="M52" s="28">
        <v>12500.0</v>
      </c>
      <c r="N52" s="28">
        <v>0.0</v>
      </c>
      <c r="O52" s="174">
        <v>0.0</v>
      </c>
      <c r="P52" s="175">
        <v>46092.0</v>
      </c>
    </row>
    <row r="53" ht="11.25" customHeight="1">
      <c r="A53" s="12">
        <f t="shared" si="1"/>
        <v>51</v>
      </c>
      <c r="B53" s="15" t="s">
        <v>24</v>
      </c>
      <c r="C53" s="17" t="s">
        <v>87</v>
      </c>
      <c r="D53" s="17" t="s">
        <v>1235</v>
      </c>
      <c r="E53" s="23" t="s">
        <v>377</v>
      </c>
      <c r="F53" s="23" t="s">
        <v>723</v>
      </c>
      <c r="G53" s="25" t="s">
        <v>37</v>
      </c>
      <c r="H53" s="95">
        <v>46163.0</v>
      </c>
      <c r="I53" s="17">
        <v>0.0</v>
      </c>
      <c r="J53" s="23" t="s">
        <v>38</v>
      </c>
      <c r="K53" s="28">
        <v>5000.0</v>
      </c>
      <c r="L53" s="28">
        <v>0.0</v>
      </c>
      <c r="M53" s="28">
        <v>0.0</v>
      </c>
      <c r="N53" s="76">
        <v>0.0</v>
      </c>
      <c r="O53" s="77">
        <v>0.0</v>
      </c>
      <c r="P53" s="33"/>
    </row>
    <row r="54" ht="11.25" customHeight="1">
      <c r="A54" s="12">
        <f t="shared" si="1"/>
        <v>52</v>
      </c>
      <c r="B54" s="15" t="s">
        <v>24</v>
      </c>
      <c r="C54" s="17" t="s">
        <v>182</v>
      </c>
      <c r="D54" s="17" t="s">
        <v>1236</v>
      </c>
      <c r="E54" s="23" t="s">
        <v>977</v>
      </c>
      <c r="F54" s="23" t="s">
        <v>1237</v>
      </c>
      <c r="G54" s="25" t="s">
        <v>37</v>
      </c>
      <c r="H54" s="95">
        <v>46163.0</v>
      </c>
      <c r="I54" s="17">
        <v>1.0</v>
      </c>
      <c r="J54" s="23" t="s">
        <v>38</v>
      </c>
      <c r="K54" s="28">
        <v>1000.0</v>
      </c>
      <c r="L54" s="28">
        <v>0.0</v>
      </c>
      <c r="M54" s="28">
        <v>0.0</v>
      </c>
      <c r="N54" s="76">
        <v>0.0</v>
      </c>
      <c r="O54" s="77">
        <v>0.0</v>
      </c>
      <c r="P54" s="33"/>
    </row>
    <row r="55" ht="11.25" customHeight="1">
      <c r="A55" s="12">
        <f t="shared" si="1"/>
        <v>53</v>
      </c>
      <c r="B55" s="15" t="s">
        <v>24</v>
      </c>
      <c r="C55" s="17" t="s">
        <v>87</v>
      </c>
      <c r="D55" s="17" t="s">
        <v>1240</v>
      </c>
      <c r="E55" s="23" t="s">
        <v>377</v>
      </c>
      <c r="F55" s="23" t="s">
        <v>1241</v>
      </c>
      <c r="G55" s="25" t="s">
        <v>36</v>
      </c>
      <c r="H55" s="95">
        <v>46163.0</v>
      </c>
      <c r="I55" s="17">
        <v>2.0</v>
      </c>
      <c r="J55" s="23" t="s">
        <v>38</v>
      </c>
      <c r="K55" s="28">
        <v>50000.0</v>
      </c>
      <c r="L55" s="28">
        <v>0.0</v>
      </c>
      <c r="M55" s="28">
        <v>0.0</v>
      </c>
      <c r="N55" s="28">
        <v>0.0</v>
      </c>
      <c r="O55" s="28">
        <v>0.0</v>
      </c>
      <c r="P55" s="33"/>
    </row>
    <row r="56" ht="11.25" customHeight="1">
      <c r="A56" s="12">
        <f t="shared" si="1"/>
        <v>54</v>
      </c>
      <c r="B56" s="15" t="s">
        <v>24</v>
      </c>
      <c r="C56" s="17" t="s">
        <v>46</v>
      </c>
      <c r="D56" s="17" t="s">
        <v>1242</v>
      </c>
      <c r="E56" s="23" t="s">
        <v>191</v>
      </c>
      <c r="F56" s="23" t="s">
        <v>316</v>
      </c>
      <c r="G56" s="25" t="s">
        <v>36</v>
      </c>
      <c r="H56" s="26">
        <v>46163.0</v>
      </c>
      <c r="I56" s="17">
        <v>0.0</v>
      </c>
      <c r="J56" s="23" t="s">
        <v>57</v>
      </c>
      <c r="K56" s="28">
        <v>10000.0</v>
      </c>
      <c r="L56" s="28">
        <v>0.0</v>
      </c>
      <c r="M56" s="28">
        <v>0.0</v>
      </c>
      <c r="N56" s="28">
        <v>0.0</v>
      </c>
      <c r="O56" s="28">
        <v>0.0</v>
      </c>
      <c r="P56" s="33"/>
    </row>
    <row r="57" ht="11.25" customHeight="1">
      <c r="A57" s="12">
        <f t="shared" si="1"/>
        <v>55</v>
      </c>
      <c r="B57" s="15" t="s">
        <v>24</v>
      </c>
      <c r="C57" s="17" t="s">
        <v>46</v>
      </c>
      <c r="D57" s="17" t="s">
        <v>1245</v>
      </c>
      <c r="E57" s="22" t="s">
        <v>1012</v>
      </c>
      <c r="F57" s="23" t="s">
        <v>1246</v>
      </c>
      <c r="G57" s="25" t="s">
        <v>37</v>
      </c>
      <c r="H57" s="30">
        <v>46163.0</v>
      </c>
      <c r="I57" s="17">
        <v>0.0</v>
      </c>
      <c r="J57" s="23" t="s">
        <v>57</v>
      </c>
      <c r="K57" s="28">
        <v>5000.0</v>
      </c>
      <c r="L57" s="28">
        <v>0.0</v>
      </c>
      <c r="M57" s="28">
        <v>0.0</v>
      </c>
      <c r="N57" s="28">
        <v>0.0</v>
      </c>
      <c r="O57" s="28">
        <v>0.0</v>
      </c>
      <c r="P57" s="33"/>
    </row>
    <row r="58" ht="11.25" customHeight="1">
      <c r="A58" s="12">
        <f t="shared" si="1"/>
        <v>56</v>
      </c>
      <c r="B58" s="15" t="s">
        <v>24</v>
      </c>
      <c r="C58" s="17" t="s">
        <v>46</v>
      </c>
      <c r="D58" s="17" t="s">
        <v>1248</v>
      </c>
      <c r="E58" s="22" t="s">
        <v>1012</v>
      </c>
      <c r="F58" s="23" t="s">
        <v>1249</v>
      </c>
      <c r="G58" s="25" t="s">
        <v>36</v>
      </c>
      <c r="H58" s="30">
        <v>46163.0</v>
      </c>
      <c r="I58" s="17">
        <v>0.0</v>
      </c>
      <c r="J58" s="23" t="s">
        <v>57</v>
      </c>
      <c r="K58" s="28">
        <v>0.0</v>
      </c>
      <c r="L58" s="28">
        <v>24000.0</v>
      </c>
      <c r="M58" s="28">
        <v>0.0</v>
      </c>
      <c r="N58" s="28">
        <v>0.0</v>
      </c>
      <c r="O58" s="28">
        <v>0.0</v>
      </c>
      <c r="P58" s="33"/>
    </row>
    <row r="59" ht="11.25" customHeight="1">
      <c r="A59" s="12">
        <f t="shared" si="1"/>
        <v>57</v>
      </c>
      <c r="B59" s="15" t="s">
        <v>24</v>
      </c>
      <c r="C59" s="17" t="s">
        <v>46</v>
      </c>
      <c r="D59" s="17" t="s">
        <v>1251</v>
      </c>
      <c r="E59" s="22" t="s">
        <v>1012</v>
      </c>
      <c r="F59" s="23" t="s">
        <v>1252</v>
      </c>
      <c r="G59" s="25" t="s">
        <v>36</v>
      </c>
      <c r="H59" s="30">
        <v>46163.0</v>
      </c>
      <c r="I59" s="17">
        <v>0.0</v>
      </c>
      <c r="J59" s="23" t="s">
        <v>57</v>
      </c>
      <c r="K59" s="28">
        <v>0.0</v>
      </c>
      <c r="L59" s="28">
        <v>5000.0</v>
      </c>
      <c r="M59" s="28">
        <v>0.0</v>
      </c>
      <c r="N59" s="28">
        <v>0.0</v>
      </c>
      <c r="O59" s="28">
        <v>0.0</v>
      </c>
      <c r="P59" s="33"/>
    </row>
    <row r="60" ht="11.25" customHeight="1">
      <c r="A60" s="12">
        <f t="shared" si="1"/>
        <v>58</v>
      </c>
      <c r="B60" s="15" t="s">
        <v>24</v>
      </c>
      <c r="C60" s="17" t="s">
        <v>46</v>
      </c>
      <c r="D60" s="17" t="s">
        <v>1253</v>
      </c>
      <c r="E60" s="22" t="s">
        <v>1012</v>
      </c>
      <c r="F60" s="23" t="s">
        <v>1252</v>
      </c>
      <c r="G60" s="25" t="s">
        <v>36</v>
      </c>
      <c r="H60" s="30">
        <v>46163.0</v>
      </c>
      <c r="I60" s="17">
        <v>0.0</v>
      </c>
      <c r="J60" s="23" t="s">
        <v>57</v>
      </c>
      <c r="K60" s="28">
        <v>0.0</v>
      </c>
      <c r="L60" s="28">
        <v>4000.0</v>
      </c>
      <c r="M60" s="28">
        <v>0.0</v>
      </c>
      <c r="N60" s="28">
        <v>0.0</v>
      </c>
      <c r="O60" s="28">
        <v>0.0</v>
      </c>
      <c r="P60" s="33"/>
    </row>
    <row r="61" ht="11.25" customHeight="1">
      <c r="A61" s="12">
        <f t="shared" si="1"/>
        <v>59</v>
      </c>
      <c r="B61" s="15" t="s">
        <v>24</v>
      </c>
      <c r="C61" s="17" t="s">
        <v>87</v>
      </c>
      <c r="D61" s="17" t="s">
        <v>1255</v>
      </c>
      <c r="E61" s="23" t="s">
        <v>142</v>
      </c>
      <c r="F61" s="78" t="s">
        <v>1227</v>
      </c>
      <c r="G61" s="25" t="s">
        <v>37</v>
      </c>
      <c r="H61" s="26">
        <v>46163.0</v>
      </c>
      <c r="I61" s="17">
        <v>1.0</v>
      </c>
      <c r="J61" s="23" t="s">
        <v>38</v>
      </c>
      <c r="K61" s="28">
        <v>2000.0</v>
      </c>
      <c r="L61" s="28">
        <v>0.0</v>
      </c>
      <c r="M61" s="28">
        <v>0.0</v>
      </c>
      <c r="N61" s="28">
        <v>0.0</v>
      </c>
      <c r="O61" s="28">
        <v>0.0</v>
      </c>
      <c r="P61" s="33"/>
    </row>
    <row r="62" ht="11.25" customHeight="1">
      <c r="A62" s="12">
        <f t="shared" si="1"/>
        <v>60</v>
      </c>
      <c r="B62" s="15" t="s">
        <v>24</v>
      </c>
      <c r="C62" s="202" t="s">
        <v>1153</v>
      </c>
      <c r="D62" s="204" t="s">
        <v>1258</v>
      </c>
      <c r="E62" s="182" t="s">
        <v>1259</v>
      </c>
      <c r="F62" s="182" t="s">
        <v>1260</v>
      </c>
      <c r="G62" s="181" t="s">
        <v>37</v>
      </c>
      <c r="H62" s="227">
        <v>46163.0</v>
      </c>
      <c r="I62" s="204">
        <v>0.0</v>
      </c>
      <c r="J62" s="182" t="s">
        <v>38</v>
      </c>
      <c r="K62" s="260">
        <v>150000.0</v>
      </c>
      <c r="L62" s="260">
        <v>0.0</v>
      </c>
      <c r="M62" s="260">
        <v>0.0</v>
      </c>
      <c r="N62" s="205">
        <v>0.0</v>
      </c>
      <c r="O62" s="205">
        <v>0.0</v>
      </c>
      <c r="P62" s="33"/>
    </row>
    <row r="63" ht="11.25" customHeight="1">
      <c r="A63" s="12">
        <f t="shared" si="1"/>
        <v>61</v>
      </c>
      <c r="B63" s="15" t="s">
        <v>24</v>
      </c>
      <c r="C63" s="17" t="s">
        <v>46</v>
      </c>
      <c r="D63" s="17" t="s">
        <v>1262</v>
      </c>
      <c r="E63" s="23" t="s">
        <v>1259</v>
      </c>
      <c r="F63" s="23" t="s">
        <v>1260</v>
      </c>
      <c r="G63" s="25" t="s">
        <v>37</v>
      </c>
      <c r="H63" s="30">
        <v>46163.0</v>
      </c>
      <c r="I63" s="17">
        <v>0.0</v>
      </c>
      <c r="J63" s="23" t="s">
        <v>57</v>
      </c>
      <c r="K63" s="210">
        <v>13700.0</v>
      </c>
      <c r="L63" s="210">
        <v>0.0</v>
      </c>
      <c r="M63" s="210">
        <v>0.0</v>
      </c>
      <c r="N63" s="28">
        <v>0.0</v>
      </c>
      <c r="O63" s="28">
        <v>0.0</v>
      </c>
      <c r="P63" s="33"/>
    </row>
    <row r="64" ht="11.25" customHeight="1">
      <c r="A64" s="12">
        <f t="shared" si="1"/>
        <v>62</v>
      </c>
      <c r="B64" s="15" t="s">
        <v>24</v>
      </c>
      <c r="C64" s="17" t="s">
        <v>58</v>
      </c>
      <c r="D64" s="17" t="s">
        <v>1265</v>
      </c>
      <c r="E64" s="37" t="s">
        <v>184</v>
      </c>
      <c r="F64" s="37" t="s">
        <v>543</v>
      </c>
      <c r="G64" s="25" t="s">
        <v>36</v>
      </c>
      <c r="H64" s="26">
        <v>46163.0</v>
      </c>
      <c r="I64" s="17">
        <v>0.0</v>
      </c>
      <c r="J64" s="23" t="s">
        <v>38</v>
      </c>
      <c r="K64" s="28">
        <v>50000.0</v>
      </c>
      <c r="L64" s="28">
        <v>0.0</v>
      </c>
      <c r="M64" s="28">
        <v>0.0</v>
      </c>
      <c r="N64" s="28">
        <v>0.0</v>
      </c>
      <c r="O64" s="28">
        <v>0.0</v>
      </c>
      <c r="P64" s="33"/>
    </row>
    <row r="65" ht="11.25" customHeight="1">
      <c r="A65" s="12">
        <f t="shared" si="1"/>
        <v>63</v>
      </c>
      <c r="B65" s="15" t="s">
        <v>24</v>
      </c>
      <c r="C65" s="17" t="s">
        <v>46</v>
      </c>
      <c r="D65" s="17" t="s">
        <v>1269</v>
      </c>
      <c r="E65" s="254" t="s">
        <v>141</v>
      </c>
      <c r="F65" s="254" t="s">
        <v>143</v>
      </c>
      <c r="G65" s="25" t="s">
        <v>36</v>
      </c>
      <c r="H65" s="26">
        <v>46163.0</v>
      </c>
      <c r="I65" s="17">
        <v>0.0</v>
      </c>
      <c r="J65" s="23" t="s">
        <v>57</v>
      </c>
      <c r="K65" s="210">
        <v>5800.0</v>
      </c>
      <c r="L65" s="210">
        <v>0.0</v>
      </c>
      <c r="M65" s="210">
        <v>0.0</v>
      </c>
      <c r="N65" s="28">
        <v>0.0</v>
      </c>
      <c r="O65" s="28">
        <v>0.0</v>
      </c>
      <c r="P65" s="33"/>
    </row>
    <row r="66" ht="11.25" customHeight="1">
      <c r="A66" s="12">
        <f t="shared" si="1"/>
        <v>64</v>
      </c>
      <c r="B66" s="15" t="s">
        <v>24</v>
      </c>
      <c r="C66" s="17" t="s">
        <v>182</v>
      </c>
      <c r="D66" s="17" t="s">
        <v>1271</v>
      </c>
      <c r="E66" s="37" t="s">
        <v>84</v>
      </c>
      <c r="F66" s="23" t="s">
        <v>575</v>
      </c>
      <c r="G66" s="25" t="s">
        <v>36</v>
      </c>
      <c r="H66" s="26">
        <v>46163.0</v>
      </c>
      <c r="I66" s="17">
        <v>1.0</v>
      </c>
      <c r="J66" s="23" t="s">
        <v>38</v>
      </c>
      <c r="K66" s="210">
        <v>30000.0</v>
      </c>
      <c r="L66" s="210">
        <v>0.0</v>
      </c>
      <c r="M66" s="210">
        <v>0.0</v>
      </c>
      <c r="N66" s="28">
        <v>0.0</v>
      </c>
      <c r="O66" s="28">
        <v>0.0</v>
      </c>
      <c r="P66" s="33"/>
    </row>
    <row r="67" ht="11.25" customHeight="1">
      <c r="A67" s="12">
        <f t="shared" si="1"/>
        <v>65</v>
      </c>
      <c r="B67" s="15" t="s">
        <v>24</v>
      </c>
      <c r="C67" s="17" t="s">
        <v>58</v>
      </c>
      <c r="D67" s="17" t="s">
        <v>1273</v>
      </c>
      <c r="E67" s="80" t="s">
        <v>60</v>
      </c>
      <c r="F67" s="23" t="s">
        <v>209</v>
      </c>
      <c r="G67" s="25" t="s">
        <v>36</v>
      </c>
      <c r="H67" s="26">
        <v>46163.0</v>
      </c>
      <c r="I67" s="17">
        <v>1.0</v>
      </c>
      <c r="J67" s="23" t="s">
        <v>38</v>
      </c>
      <c r="K67" s="28">
        <v>5000.0</v>
      </c>
      <c r="L67" s="210">
        <v>0.0</v>
      </c>
      <c r="M67" s="210">
        <v>0.0</v>
      </c>
      <c r="N67" s="28">
        <v>0.0</v>
      </c>
      <c r="O67" s="28">
        <v>0.0</v>
      </c>
      <c r="P67" s="33"/>
    </row>
    <row r="68" ht="11.25" customHeight="1">
      <c r="A68" s="12">
        <f t="shared" si="1"/>
        <v>66</v>
      </c>
      <c r="B68" s="15" t="s">
        <v>24</v>
      </c>
      <c r="C68" s="17" t="s">
        <v>182</v>
      </c>
      <c r="D68" s="17" t="s">
        <v>1275</v>
      </c>
      <c r="E68" s="37" t="s">
        <v>84</v>
      </c>
      <c r="F68" s="23" t="s">
        <v>420</v>
      </c>
      <c r="G68" s="25" t="s">
        <v>37</v>
      </c>
      <c r="H68" s="26">
        <v>46163.0</v>
      </c>
      <c r="I68" s="17">
        <v>0.0</v>
      </c>
      <c r="J68" s="23" t="s">
        <v>38</v>
      </c>
      <c r="K68" s="28">
        <v>50000.0</v>
      </c>
      <c r="L68" s="210">
        <v>0.0</v>
      </c>
      <c r="M68" s="210">
        <v>0.0</v>
      </c>
      <c r="N68" s="28">
        <v>0.0</v>
      </c>
      <c r="O68" s="28">
        <v>0.0</v>
      </c>
      <c r="P68" s="33"/>
    </row>
    <row r="69" ht="11.25" customHeight="1">
      <c r="A69" s="12">
        <f t="shared" si="1"/>
        <v>67</v>
      </c>
      <c r="B69" s="15" t="s">
        <v>24</v>
      </c>
      <c r="C69" s="17" t="s">
        <v>87</v>
      </c>
      <c r="D69" s="17" t="s">
        <v>1276</v>
      </c>
      <c r="E69" s="23" t="s">
        <v>1016</v>
      </c>
      <c r="F69" s="23" t="s">
        <v>1279</v>
      </c>
      <c r="G69" s="25" t="s">
        <v>37</v>
      </c>
      <c r="H69" s="26">
        <v>46163.0</v>
      </c>
      <c r="I69" s="17">
        <v>1.0</v>
      </c>
      <c r="J69" s="23" t="s">
        <v>38</v>
      </c>
      <c r="K69" s="28">
        <v>3000.0</v>
      </c>
      <c r="L69" s="210">
        <v>0.0</v>
      </c>
      <c r="M69" s="210">
        <v>0.0</v>
      </c>
      <c r="N69" s="28">
        <v>0.0</v>
      </c>
      <c r="O69" s="28">
        <v>0.0</v>
      </c>
      <c r="P69" s="33"/>
    </row>
    <row r="70" ht="11.25" customHeight="1">
      <c r="A70" s="12">
        <f t="shared" si="1"/>
        <v>68</v>
      </c>
      <c r="B70" s="15" t="s">
        <v>24</v>
      </c>
      <c r="C70" s="17" t="s">
        <v>87</v>
      </c>
      <c r="D70" s="17" t="s">
        <v>1280</v>
      </c>
      <c r="E70" s="23" t="s">
        <v>1016</v>
      </c>
      <c r="F70" s="23" t="s">
        <v>1088</v>
      </c>
      <c r="G70" s="25" t="s">
        <v>37</v>
      </c>
      <c r="H70" s="26">
        <v>46163.0</v>
      </c>
      <c r="I70" s="17">
        <v>1.0</v>
      </c>
      <c r="J70" s="23" t="s">
        <v>38</v>
      </c>
      <c r="K70" s="28">
        <v>3000.0</v>
      </c>
      <c r="L70" s="210">
        <v>0.0</v>
      </c>
      <c r="M70" s="210">
        <v>0.0</v>
      </c>
      <c r="N70" s="28">
        <v>0.0</v>
      </c>
      <c r="O70" s="28">
        <v>0.0</v>
      </c>
      <c r="P70" s="33"/>
    </row>
    <row r="71" ht="11.25" customHeight="1">
      <c r="A71" s="12">
        <f t="shared" si="1"/>
        <v>69</v>
      </c>
      <c r="B71" s="15" t="s">
        <v>24</v>
      </c>
      <c r="C71" s="17" t="s">
        <v>58</v>
      </c>
      <c r="D71" s="17" t="s">
        <v>1284</v>
      </c>
      <c r="E71" s="80" t="s">
        <v>60</v>
      </c>
      <c r="F71" s="23" t="s">
        <v>209</v>
      </c>
      <c r="G71" s="25" t="s">
        <v>36</v>
      </c>
      <c r="H71" s="26">
        <v>46165.0</v>
      </c>
      <c r="I71" s="17">
        <v>0.0</v>
      </c>
      <c r="J71" s="23" t="s">
        <v>38</v>
      </c>
      <c r="K71" s="28">
        <v>50000.0</v>
      </c>
      <c r="L71" s="210">
        <v>0.0</v>
      </c>
      <c r="M71" s="210">
        <v>0.0</v>
      </c>
      <c r="N71" s="28">
        <v>0.0</v>
      </c>
      <c r="O71" s="28">
        <v>0.0</v>
      </c>
      <c r="P71" s="33"/>
    </row>
    <row r="72" ht="11.25" customHeight="1">
      <c r="A72" s="12">
        <f t="shared" si="1"/>
        <v>70</v>
      </c>
      <c r="B72" s="15" t="s">
        <v>24</v>
      </c>
      <c r="C72" s="17" t="s">
        <v>46</v>
      </c>
      <c r="D72" s="17" t="s">
        <v>1287</v>
      </c>
      <c r="E72" s="23" t="s">
        <v>356</v>
      </c>
      <c r="F72" s="23" t="s">
        <v>388</v>
      </c>
      <c r="G72" s="25" t="s">
        <v>36</v>
      </c>
      <c r="H72" s="26">
        <v>46165.0</v>
      </c>
      <c r="I72" s="17">
        <v>0.0</v>
      </c>
      <c r="J72" s="23" t="s">
        <v>57</v>
      </c>
      <c r="K72" s="28">
        <v>15000.0</v>
      </c>
      <c r="L72" s="210">
        <v>0.0</v>
      </c>
      <c r="M72" s="210">
        <v>0.0</v>
      </c>
      <c r="N72" s="28">
        <v>0.0</v>
      </c>
      <c r="O72" s="28">
        <v>0.0</v>
      </c>
      <c r="P72" s="33"/>
    </row>
    <row r="73" ht="11.25" customHeight="1">
      <c r="A73" s="12">
        <f t="shared" si="1"/>
        <v>71</v>
      </c>
      <c r="B73" s="15" t="s">
        <v>24</v>
      </c>
      <c r="C73" s="17" t="s">
        <v>182</v>
      </c>
      <c r="D73" s="17" t="s">
        <v>1289</v>
      </c>
      <c r="E73" s="37" t="s">
        <v>84</v>
      </c>
      <c r="F73" s="23" t="s">
        <v>575</v>
      </c>
      <c r="G73" s="25" t="s">
        <v>36</v>
      </c>
      <c r="H73" s="26">
        <v>46166.0</v>
      </c>
      <c r="I73" s="17">
        <v>0.0</v>
      </c>
      <c r="J73" s="23" t="s">
        <v>38</v>
      </c>
      <c r="K73" s="210">
        <v>70000.0</v>
      </c>
      <c r="L73" s="210">
        <v>0.0</v>
      </c>
      <c r="M73" s="210">
        <v>0.0</v>
      </c>
      <c r="N73" s="28">
        <v>0.0</v>
      </c>
      <c r="O73" s="28">
        <v>0.0</v>
      </c>
      <c r="P73" s="33"/>
    </row>
    <row r="74" ht="11.25" customHeight="1">
      <c r="A74" s="12">
        <f t="shared" si="1"/>
        <v>72</v>
      </c>
      <c r="B74" s="15" t="s">
        <v>24</v>
      </c>
      <c r="C74" s="17" t="s">
        <v>46</v>
      </c>
      <c r="D74" s="17" t="s">
        <v>1296</v>
      </c>
      <c r="E74" s="23" t="s">
        <v>40</v>
      </c>
      <c r="F74" s="23" t="s">
        <v>558</v>
      </c>
      <c r="G74" s="25" t="s">
        <v>36</v>
      </c>
      <c r="H74" s="26">
        <v>46166.0</v>
      </c>
      <c r="I74" s="17">
        <v>0.0</v>
      </c>
      <c r="J74" s="23" t="s">
        <v>57</v>
      </c>
      <c r="K74" s="28">
        <v>17500.0</v>
      </c>
      <c r="L74" s="210">
        <v>0.0</v>
      </c>
      <c r="M74" s="210">
        <v>0.0</v>
      </c>
      <c r="N74" s="28">
        <v>0.0</v>
      </c>
      <c r="O74" s="28">
        <v>0.0</v>
      </c>
      <c r="P74" s="33"/>
    </row>
    <row r="75" ht="11.25" customHeight="1">
      <c r="A75" s="12">
        <f t="shared" si="1"/>
        <v>73</v>
      </c>
      <c r="B75" s="15" t="s">
        <v>24</v>
      </c>
      <c r="C75" s="17" t="s">
        <v>1427</v>
      </c>
      <c r="D75" s="17" t="s">
        <v>1299</v>
      </c>
      <c r="E75" s="23" t="s">
        <v>1300</v>
      </c>
      <c r="F75" s="78" t="s">
        <v>1301</v>
      </c>
      <c r="G75" s="25" t="s">
        <v>36</v>
      </c>
      <c r="H75" s="26">
        <v>46166.0</v>
      </c>
      <c r="I75" s="17">
        <v>10.0</v>
      </c>
      <c r="J75" s="23" t="s">
        <v>38</v>
      </c>
      <c r="K75" s="28">
        <v>0.0</v>
      </c>
      <c r="L75" s="28">
        <v>100000.0</v>
      </c>
      <c r="M75" s="210">
        <v>0.0</v>
      </c>
      <c r="N75" s="28">
        <v>0.0</v>
      </c>
      <c r="O75" s="28">
        <v>0.0</v>
      </c>
      <c r="P75" s="33"/>
    </row>
    <row r="76" ht="11.25" customHeight="1">
      <c r="A76" s="12">
        <f t="shared" si="1"/>
        <v>74</v>
      </c>
      <c r="B76" s="15" t="s">
        <v>24</v>
      </c>
      <c r="C76" s="17" t="s">
        <v>182</v>
      </c>
      <c r="D76" s="17" t="s">
        <v>1303</v>
      </c>
      <c r="E76" s="23" t="s">
        <v>40</v>
      </c>
      <c r="F76" s="37" t="s">
        <v>41</v>
      </c>
      <c r="G76" s="25" t="s">
        <v>36</v>
      </c>
      <c r="H76" s="26">
        <v>46166.0</v>
      </c>
      <c r="I76" s="17">
        <v>0.0</v>
      </c>
      <c r="J76" s="23" t="s">
        <v>38</v>
      </c>
      <c r="K76" s="28">
        <v>10000.0</v>
      </c>
      <c r="L76" s="210">
        <v>0.0</v>
      </c>
      <c r="M76" s="210">
        <v>0.0</v>
      </c>
      <c r="N76" s="28">
        <v>0.0</v>
      </c>
      <c r="O76" s="28">
        <v>0.0</v>
      </c>
      <c r="P76" s="33"/>
    </row>
    <row r="77" ht="11.25" customHeight="1">
      <c r="A77" s="12">
        <f t="shared" si="1"/>
        <v>75</v>
      </c>
      <c r="B77" s="15" t="s">
        <v>24</v>
      </c>
      <c r="C77" s="17" t="s">
        <v>87</v>
      </c>
      <c r="D77" s="17" t="s">
        <v>1306</v>
      </c>
      <c r="E77" s="23" t="s">
        <v>142</v>
      </c>
      <c r="F77" s="23" t="s">
        <v>1121</v>
      </c>
      <c r="G77" s="25" t="s">
        <v>36</v>
      </c>
      <c r="H77" s="26">
        <v>46166.0</v>
      </c>
      <c r="I77" s="17">
        <v>0.0</v>
      </c>
      <c r="J77" s="23" t="s">
        <v>38</v>
      </c>
      <c r="K77" s="28">
        <v>10000.0</v>
      </c>
      <c r="L77" s="210">
        <v>0.0</v>
      </c>
      <c r="M77" s="210">
        <v>0.0</v>
      </c>
      <c r="N77" s="28">
        <v>0.0</v>
      </c>
      <c r="O77" s="28">
        <v>0.0</v>
      </c>
      <c r="P77" s="33"/>
    </row>
    <row r="78" ht="11.25" customHeight="1">
      <c r="A78" s="12">
        <f t="shared" si="1"/>
        <v>76</v>
      </c>
      <c r="B78" s="15" t="s">
        <v>24</v>
      </c>
      <c r="C78" s="17" t="s">
        <v>182</v>
      </c>
      <c r="D78" s="17" t="s">
        <v>1307</v>
      </c>
      <c r="E78" s="23" t="s">
        <v>1308</v>
      </c>
      <c r="F78" s="23" t="s">
        <v>1310</v>
      </c>
      <c r="G78" s="25" t="s">
        <v>37</v>
      </c>
      <c r="H78" s="26">
        <v>46166.0</v>
      </c>
      <c r="I78" s="17">
        <v>1.0</v>
      </c>
      <c r="J78" s="23" t="s">
        <v>38</v>
      </c>
      <c r="K78" s="28">
        <v>1000.0</v>
      </c>
      <c r="L78" s="210">
        <v>0.0</v>
      </c>
      <c r="M78" s="210">
        <v>0.0</v>
      </c>
      <c r="N78" s="28">
        <v>0.0</v>
      </c>
      <c r="O78" s="28">
        <v>0.0</v>
      </c>
      <c r="P78" s="33"/>
    </row>
    <row r="79" ht="11.25" customHeight="1">
      <c r="A79" s="12">
        <f t="shared" si="1"/>
        <v>77</v>
      </c>
      <c r="B79" s="15" t="s">
        <v>24</v>
      </c>
      <c r="C79" s="17" t="s">
        <v>87</v>
      </c>
      <c r="D79" s="17" t="s">
        <v>1311</v>
      </c>
      <c r="E79" s="23" t="s">
        <v>91</v>
      </c>
      <c r="F79" s="23" t="s">
        <v>1312</v>
      </c>
      <c r="G79" s="25" t="s">
        <v>37</v>
      </c>
      <c r="H79" s="26">
        <v>46166.0</v>
      </c>
      <c r="I79" s="17">
        <v>1.0</v>
      </c>
      <c r="J79" s="23" t="s">
        <v>38</v>
      </c>
      <c r="K79" s="28">
        <v>50000.0</v>
      </c>
      <c r="L79" s="210">
        <v>0.0</v>
      </c>
      <c r="M79" s="210">
        <v>0.0</v>
      </c>
      <c r="N79" s="28">
        <v>0.0</v>
      </c>
      <c r="O79" s="28">
        <v>0.0</v>
      </c>
      <c r="P79" s="33"/>
    </row>
    <row r="80" ht="11.25" customHeight="1">
      <c r="A80" s="12">
        <f t="shared" si="1"/>
        <v>78</v>
      </c>
      <c r="B80" s="15" t="s">
        <v>24</v>
      </c>
      <c r="C80" s="17" t="s">
        <v>87</v>
      </c>
      <c r="D80" s="17" t="s">
        <v>1313</v>
      </c>
      <c r="E80" s="23" t="s">
        <v>91</v>
      </c>
      <c r="F80" s="23" t="s">
        <v>1312</v>
      </c>
      <c r="G80" s="25" t="s">
        <v>37</v>
      </c>
      <c r="H80" s="26">
        <v>46166.0</v>
      </c>
      <c r="I80" s="17">
        <v>1.0</v>
      </c>
      <c r="J80" s="23" t="s">
        <v>38</v>
      </c>
      <c r="K80" s="28">
        <v>50000.0</v>
      </c>
      <c r="L80" s="210">
        <v>0.0</v>
      </c>
      <c r="M80" s="210">
        <v>0.0</v>
      </c>
      <c r="N80" s="28">
        <v>0.0</v>
      </c>
      <c r="O80" s="28">
        <v>0.0</v>
      </c>
      <c r="P80" s="33"/>
    </row>
    <row r="81" ht="11.25" customHeight="1">
      <c r="A81" s="12">
        <f t="shared" si="1"/>
        <v>79</v>
      </c>
      <c r="B81" s="15" t="s">
        <v>24</v>
      </c>
      <c r="C81" s="17" t="s">
        <v>58</v>
      </c>
      <c r="D81" s="17" t="s">
        <v>1315</v>
      </c>
      <c r="E81" s="80" t="s">
        <v>60</v>
      </c>
      <c r="F81" s="23" t="s">
        <v>209</v>
      </c>
      <c r="G81" s="23" t="s">
        <v>212</v>
      </c>
      <c r="H81" s="26">
        <v>46166.0</v>
      </c>
      <c r="I81" s="17">
        <v>10.0</v>
      </c>
      <c r="J81" s="23" t="s">
        <v>38</v>
      </c>
      <c r="K81" s="28">
        <v>10000.0</v>
      </c>
      <c r="L81" s="210">
        <v>0.0</v>
      </c>
      <c r="M81" s="210">
        <v>0.0</v>
      </c>
      <c r="N81" s="28">
        <v>0.0</v>
      </c>
      <c r="O81" s="28">
        <v>0.0</v>
      </c>
      <c r="P81" s="33"/>
    </row>
    <row r="82" ht="11.25" customHeight="1">
      <c r="A82" s="12">
        <f t="shared" si="1"/>
        <v>80</v>
      </c>
      <c r="B82" s="15" t="s">
        <v>24</v>
      </c>
      <c r="C82" s="17" t="s">
        <v>87</v>
      </c>
      <c r="D82" s="17">
        <v>88099.0</v>
      </c>
      <c r="E82" s="23" t="s">
        <v>614</v>
      </c>
      <c r="F82" s="23" t="s">
        <v>1318</v>
      </c>
      <c r="G82" s="25" t="s">
        <v>37</v>
      </c>
      <c r="H82" s="26">
        <v>46166.0</v>
      </c>
      <c r="I82" s="17">
        <v>1.0</v>
      </c>
      <c r="J82" s="23" t="s">
        <v>38</v>
      </c>
      <c r="K82" s="28">
        <v>10000.0</v>
      </c>
      <c r="L82" s="210">
        <v>0.0</v>
      </c>
      <c r="M82" s="210">
        <v>0.0</v>
      </c>
      <c r="N82" s="28">
        <v>0.0</v>
      </c>
      <c r="O82" s="28">
        <v>0.0</v>
      </c>
      <c r="P82" s="33"/>
    </row>
    <row r="83" ht="11.25" customHeight="1">
      <c r="A83" s="12">
        <f t="shared" si="1"/>
        <v>81</v>
      </c>
      <c r="B83" s="15" t="s">
        <v>24</v>
      </c>
      <c r="C83" s="17" t="s">
        <v>58</v>
      </c>
      <c r="D83" s="17" t="s">
        <v>1322</v>
      </c>
      <c r="E83" s="23" t="s">
        <v>92</v>
      </c>
      <c r="F83" s="23" t="s">
        <v>1323</v>
      </c>
      <c r="G83" s="25" t="s">
        <v>36</v>
      </c>
      <c r="H83" s="30">
        <v>46166.0</v>
      </c>
      <c r="I83" s="17">
        <v>1.0</v>
      </c>
      <c r="J83" s="23" t="s">
        <v>38</v>
      </c>
      <c r="K83" s="28">
        <v>0.0</v>
      </c>
      <c r="L83" s="210">
        <v>0.0</v>
      </c>
      <c r="M83" s="210">
        <v>0.0</v>
      </c>
      <c r="N83" s="28">
        <v>175000.0</v>
      </c>
      <c r="O83" s="28">
        <v>0.0</v>
      </c>
      <c r="P83" s="200">
        <v>46178.0</v>
      </c>
    </row>
    <row r="84" ht="11.25" customHeight="1">
      <c r="A84" s="12">
        <f t="shared" si="1"/>
        <v>82</v>
      </c>
      <c r="B84" s="15" t="s">
        <v>24</v>
      </c>
      <c r="C84" s="17" t="s">
        <v>1427</v>
      </c>
      <c r="D84" s="35" t="s">
        <v>1325</v>
      </c>
      <c r="E84" s="23" t="s">
        <v>1012</v>
      </c>
      <c r="F84" s="23" t="s">
        <v>1069</v>
      </c>
      <c r="G84" s="25" t="s">
        <v>36</v>
      </c>
      <c r="H84" s="26">
        <v>46166.0</v>
      </c>
      <c r="I84" s="17">
        <v>0.0</v>
      </c>
      <c r="J84" s="23" t="s">
        <v>38</v>
      </c>
      <c r="K84" s="28">
        <v>50000.0</v>
      </c>
      <c r="L84" s="210">
        <v>0.0</v>
      </c>
      <c r="M84" s="210">
        <v>0.0</v>
      </c>
      <c r="N84" s="28">
        <v>0.0</v>
      </c>
      <c r="O84" s="28">
        <v>0.0</v>
      </c>
      <c r="P84" s="33"/>
    </row>
    <row r="85" ht="11.25" customHeight="1">
      <c r="A85" s="12">
        <f t="shared" si="1"/>
        <v>83</v>
      </c>
      <c r="B85" s="15" t="s">
        <v>24</v>
      </c>
      <c r="C85" s="17" t="s">
        <v>46</v>
      </c>
      <c r="D85" s="211" t="s">
        <v>339</v>
      </c>
      <c r="E85" s="212" t="s">
        <v>184</v>
      </c>
      <c r="F85" s="212" t="s">
        <v>186</v>
      </c>
      <c r="G85" s="25" t="s">
        <v>34</v>
      </c>
      <c r="H85" s="95">
        <v>46166.0</v>
      </c>
      <c r="I85" s="211">
        <v>0.0</v>
      </c>
      <c r="J85" s="103" t="s">
        <v>57</v>
      </c>
      <c r="K85" s="273">
        <v>55000.0</v>
      </c>
      <c r="L85" s="273">
        <v>0.0</v>
      </c>
      <c r="M85" s="273">
        <v>0.0</v>
      </c>
      <c r="N85" s="274">
        <v>0.0</v>
      </c>
      <c r="O85" s="274">
        <v>0.0</v>
      </c>
      <c r="P85" s="33"/>
    </row>
    <row r="86" ht="11.25" customHeight="1">
      <c r="A86" s="12">
        <f t="shared" si="1"/>
        <v>84</v>
      </c>
      <c r="B86" s="15" t="s">
        <v>24</v>
      </c>
      <c r="C86" s="17" t="s">
        <v>46</v>
      </c>
      <c r="D86" s="17" t="s">
        <v>1327</v>
      </c>
      <c r="E86" s="23" t="s">
        <v>208</v>
      </c>
      <c r="F86" s="23" t="s">
        <v>208</v>
      </c>
      <c r="G86" s="25" t="s">
        <v>36</v>
      </c>
      <c r="H86" s="26">
        <v>46167.0</v>
      </c>
      <c r="I86" s="17">
        <v>0.0</v>
      </c>
      <c r="J86" s="23" t="s">
        <v>57</v>
      </c>
      <c r="K86" s="28">
        <v>5000.0</v>
      </c>
      <c r="L86" s="210">
        <v>0.0</v>
      </c>
      <c r="M86" s="210">
        <v>0.0</v>
      </c>
      <c r="N86" s="28">
        <v>0.0</v>
      </c>
      <c r="O86" s="28">
        <v>0.0</v>
      </c>
      <c r="P86" s="33"/>
    </row>
    <row r="87" ht="11.25" customHeight="1">
      <c r="A87" s="12">
        <f t="shared" si="1"/>
        <v>85</v>
      </c>
      <c r="B87" s="15" t="s">
        <v>24</v>
      </c>
      <c r="C87" s="17" t="s">
        <v>58</v>
      </c>
      <c r="D87" s="17" t="s">
        <v>1331</v>
      </c>
      <c r="E87" s="23" t="s">
        <v>169</v>
      </c>
      <c r="F87" s="23" t="s">
        <v>170</v>
      </c>
      <c r="G87" s="25" t="s">
        <v>37</v>
      </c>
      <c r="H87" s="26">
        <v>46167.0</v>
      </c>
      <c r="I87" s="17">
        <v>1.0</v>
      </c>
      <c r="J87" s="23" t="s">
        <v>38</v>
      </c>
      <c r="K87" s="28">
        <v>50000.0</v>
      </c>
      <c r="L87" s="210">
        <v>0.0</v>
      </c>
      <c r="M87" s="210">
        <v>0.0</v>
      </c>
      <c r="N87" s="28">
        <v>0.0</v>
      </c>
      <c r="O87" s="28">
        <v>0.0</v>
      </c>
      <c r="P87" s="33"/>
    </row>
    <row r="88" ht="11.25" customHeight="1">
      <c r="A88" s="12">
        <f t="shared" si="1"/>
        <v>86</v>
      </c>
      <c r="B88" s="15" t="s">
        <v>24</v>
      </c>
      <c r="C88" s="17" t="s">
        <v>46</v>
      </c>
      <c r="D88" s="17" t="s">
        <v>1333</v>
      </c>
      <c r="E88" s="234" t="s">
        <v>191</v>
      </c>
      <c r="F88" s="23" t="s">
        <v>252</v>
      </c>
      <c r="G88" s="25" t="s">
        <v>36</v>
      </c>
      <c r="H88" s="30">
        <v>46167.0</v>
      </c>
      <c r="I88" s="17">
        <v>0.0</v>
      </c>
      <c r="J88" s="23" t="s">
        <v>57</v>
      </c>
      <c r="K88" s="28">
        <v>20000.0</v>
      </c>
      <c r="L88" s="210">
        <v>0.0</v>
      </c>
      <c r="M88" s="210">
        <v>0.0</v>
      </c>
      <c r="N88" s="28">
        <v>0.0</v>
      </c>
      <c r="O88" s="28">
        <v>0.0</v>
      </c>
      <c r="P88" s="33"/>
    </row>
    <row r="89" ht="11.25" customHeight="1">
      <c r="A89" s="12">
        <f t="shared" si="1"/>
        <v>87</v>
      </c>
      <c r="B89" s="15" t="s">
        <v>24</v>
      </c>
      <c r="C89" s="17" t="s">
        <v>182</v>
      </c>
      <c r="D89" s="17" t="s">
        <v>1337</v>
      </c>
      <c r="E89" s="37" t="s">
        <v>84</v>
      </c>
      <c r="F89" s="23" t="s">
        <v>420</v>
      </c>
      <c r="G89" s="25" t="s">
        <v>37</v>
      </c>
      <c r="H89" s="26">
        <v>46167.0</v>
      </c>
      <c r="I89" s="17">
        <v>0.0</v>
      </c>
      <c r="J89" s="23" t="s">
        <v>38</v>
      </c>
      <c r="K89" s="28">
        <v>5000.0</v>
      </c>
      <c r="L89" s="210">
        <v>0.0</v>
      </c>
      <c r="M89" s="210">
        <v>0.0</v>
      </c>
      <c r="N89" s="28">
        <v>0.0</v>
      </c>
      <c r="O89" s="28">
        <v>0.0</v>
      </c>
      <c r="P89" s="33"/>
    </row>
    <row r="90" ht="11.25" customHeight="1">
      <c r="A90" s="12">
        <f t="shared" si="1"/>
        <v>88</v>
      </c>
      <c r="B90" s="15" t="s">
        <v>24</v>
      </c>
      <c r="C90" s="17" t="s">
        <v>46</v>
      </c>
      <c r="D90" s="17" t="s">
        <v>1338</v>
      </c>
      <c r="E90" s="23" t="s">
        <v>84</v>
      </c>
      <c r="F90" s="23" t="s">
        <v>329</v>
      </c>
      <c r="G90" s="25" t="s">
        <v>36</v>
      </c>
      <c r="H90" s="26">
        <v>46167.0</v>
      </c>
      <c r="I90" s="17">
        <v>0.0</v>
      </c>
      <c r="J90" s="23" t="s">
        <v>57</v>
      </c>
      <c r="K90" s="28">
        <v>0.0</v>
      </c>
      <c r="L90" s="28">
        <v>10000.0</v>
      </c>
      <c r="M90" s="210">
        <v>0.0</v>
      </c>
      <c r="N90" s="28">
        <v>0.0</v>
      </c>
      <c r="O90" s="28">
        <v>0.0</v>
      </c>
      <c r="P90" s="33"/>
    </row>
    <row r="91" ht="11.25" customHeight="1">
      <c r="A91" s="12">
        <f t="shared" si="1"/>
        <v>89</v>
      </c>
      <c r="B91" s="15" t="s">
        <v>24</v>
      </c>
      <c r="C91" s="17" t="s">
        <v>87</v>
      </c>
      <c r="D91" s="17" t="s">
        <v>1340</v>
      </c>
      <c r="E91" s="23" t="s">
        <v>91</v>
      </c>
      <c r="F91" s="23" t="s">
        <v>1341</v>
      </c>
      <c r="G91" s="25" t="s">
        <v>37</v>
      </c>
      <c r="H91" s="26">
        <v>46167.0</v>
      </c>
      <c r="I91" s="17">
        <v>1.0</v>
      </c>
      <c r="J91" s="23" t="s">
        <v>38</v>
      </c>
      <c r="K91" s="28">
        <v>50000.0</v>
      </c>
      <c r="L91" s="210">
        <v>0.0</v>
      </c>
      <c r="M91" s="210">
        <v>0.0</v>
      </c>
      <c r="N91" s="28">
        <v>0.0</v>
      </c>
      <c r="O91" s="28">
        <v>0.0</v>
      </c>
      <c r="P91" s="33"/>
    </row>
    <row r="92" ht="11.25" customHeight="1">
      <c r="A92" s="12">
        <f t="shared" si="1"/>
        <v>90</v>
      </c>
      <c r="B92" s="15" t="s">
        <v>24</v>
      </c>
      <c r="C92" s="17" t="s">
        <v>87</v>
      </c>
      <c r="D92" s="17" t="s">
        <v>1342</v>
      </c>
      <c r="E92" s="23" t="s">
        <v>1016</v>
      </c>
      <c r="F92" s="23" t="s">
        <v>1088</v>
      </c>
      <c r="G92" s="25" t="s">
        <v>37</v>
      </c>
      <c r="H92" s="26">
        <v>46167.0</v>
      </c>
      <c r="I92" s="17">
        <v>0.0</v>
      </c>
      <c r="J92" s="23" t="s">
        <v>38</v>
      </c>
      <c r="K92" s="28">
        <v>5000.0</v>
      </c>
      <c r="L92" s="210">
        <v>0.0</v>
      </c>
      <c r="M92" s="210">
        <v>0.0</v>
      </c>
      <c r="N92" s="28">
        <v>0.0</v>
      </c>
      <c r="O92" s="28">
        <v>0.0</v>
      </c>
      <c r="P92" s="32"/>
    </row>
    <row r="93" ht="11.25" customHeight="1">
      <c r="A93" s="12">
        <f t="shared" si="1"/>
        <v>91</v>
      </c>
      <c r="B93" s="15" t="s">
        <v>24</v>
      </c>
      <c r="C93" s="17" t="s">
        <v>87</v>
      </c>
      <c r="D93" s="17" t="s">
        <v>1344</v>
      </c>
      <c r="E93" s="23" t="s">
        <v>91</v>
      </c>
      <c r="F93" s="23" t="s">
        <v>1103</v>
      </c>
      <c r="G93" s="25" t="s">
        <v>37</v>
      </c>
      <c r="H93" s="26">
        <v>46167.0</v>
      </c>
      <c r="I93" s="17">
        <v>1.0</v>
      </c>
      <c r="J93" s="23" t="s">
        <v>38</v>
      </c>
      <c r="K93" s="28">
        <v>50000.0</v>
      </c>
      <c r="L93" s="210">
        <v>0.0</v>
      </c>
      <c r="M93" s="210">
        <v>0.0</v>
      </c>
      <c r="N93" s="28">
        <v>0.0</v>
      </c>
      <c r="O93" s="28">
        <v>0.0</v>
      </c>
      <c r="P93" s="112"/>
    </row>
    <row r="94" ht="11.25" customHeight="1">
      <c r="A94" s="12">
        <f t="shared" si="1"/>
        <v>92</v>
      </c>
      <c r="B94" s="15" t="s">
        <v>24</v>
      </c>
      <c r="C94" s="17" t="s">
        <v>46</v>
      </c>
      <c r="D94" s="211" t="s">
        <v>335</v>
      </c>
      <c r="E94" s="72" t="s">
        <v>116</v>
      </c>
      <c r="F94" s="72" t="s">
        <v>286</v>
      </c>
      <c r="G94" s="25" t="s">
        <v>34</v>
      </c>
      <c r="H94" s="26">
        <v>46167.0</v>
      </c>
      <c r="I94" s="211">
        <v>0.0</v>
      </c>
      <c r="J94" s="23" t="s">
        <v>57</v>
      </c>
      <c r="K94" s="215">
        <v>50000.0</v>
      </c>
      <c r="L94" s="214">
        <v>0.0</v>
      </c>
      <c r="M94" s="215">
        <v>0.0</v>
      </c>
      <c r="N94" s="215">
        <v>0.0</v>
      </c>
      <c r="O94" s="215">
        <v>0.0</v>
      </c>
      <c r="P94" s="32">
        <v>46163.0</v>
      </c>
    </row>
    <row r="95" ht="11.25" customHeight="1">
      <c r="A95" s="12">
        <f t="shared" si="1"/>
        <v>93</v>
      </c>
      <c r="B95" s="15" t="s">
        <v>24</v>
      </c>
      <c r="C95" s="17" t="s">
        <v>46</v>
      </c>
      <c r="D95" s="17" t="s">
        <v>1346</v>
      </c>
      <c r="E95" s="23" t="s">
        <v>191</v>
      </c>
      <c r="F95" s="23" t="s">
        <v>193</v>
      </c>
      <c r="G95" s="23" t="s">
        <v>37</v>
      </c>
      <c r="H95" s="26">
        <v>46168.0</v>
      </c>
      <c r="I95" s="17">
        <v>0.0</v>
      </c>
      <c r="J95" s="23" t="s">
        <v>57</v>
      </c>
      <c r="K95" s="28">
        <v>0.0</v>
      </c>
      <c r="L95" s="28">
        <v>30000.0</v>
      </c>
      <c r="M95" s="28">
        <v>0.0</v>
      </c>
      <c r="N95" s="28">
        <v>0.0</v>
      </c>
      <c r="O95" s="28">
        <v>0.0</v>
      </c>
      <c r="P95" s="112"/>
    </row>
    <row r="96" ht="11.25" customHeight="1">
      <c r="A96" s="12"/>
      <c r="B96" s="12"/>
      <c r="C96" s="12"/>
      <c r="D96" s="12"/>
      <c r="E96" s="106"/>
      <c r="F96" s="106"/>
      <c r="G96" s="106"/>
      <c r="H96" s="118"/>
      <c r="I96" s="108"/>
      <c r="J96" s="108"/>
      <c r="K96" s="109"/>
      <c r="L96" s="109"/>
      <c r="M96" s="109"/>
      <c r="N96" s="109"/>
      <c r="O96" s="110"/>
      <c r="P96" s="112"/>
    </row>
    <row r="97" ht="11.25" customHeight="1">
      <c r="A97" s="12"/>
      <c r="B97" s="12"/>
      <c r="C97" s="12"/>
      <c r="D97" s="12"/>
      <c r="E97" s="106"/>
      <c r="F97" s="106"/>
      <c r="G97" s="106"/>
      <c r="I97" s="108"/>
      <c r="J97" s="108"/>
      <c r="K97" s="109"/>
      <c r="L97" s="109"/>
      <c r="M97" s="109"/>
      <c r="N97" s="109"/>
      <c r="O97" s="110"/>
      <c r="P97" s="112"/>
    </row>
    <row r="98" ht="11.25" customHeight="1">
      <c r="A98" s="12" t="str">
        <f t="shared" ref="A98:A100" si="2">IF(D98="","",SUBTOTAL(3,$D$3:D98))</f>
        <v/>
      </c>
      <c r="B98" s="12"/>
      <c r="C98" s="12"/>
      <c r="D98" s="12"/>
      <c r="E98" s="106"/>
      <c r="F98" s="106"/>
      <c r="G98" s="106"/>
      <c r="H98" s="118"/>
      <c r="I98" s="119" t="s">
        <v>21</v>
      </c>
      <c r="J98" s="120"/>
      <c r="K98" s="121"/>
      <c r="L98" s="121"/>
      <c r="M98" s="121"/>
      <c r="N98" s="121"/>
      <c r="O98" s="122"/>
      <c r="P98" s="123"/>
    </row>
    <row r="99" ht="11.25" customHeight="1">
      <c r="A99" s="12" t="str">
        <f t="shared" si="2"/>
        <v/>
      </c>
      <c r="B99" s="12"/>
      <c r="C99" s="12"/>
      <c r="D99" s="12"/>
      <c r="E99" s="106"/>
      <c r="F99" s="106"/>
      <c r="G99" s="106"/>
      <c r="H99" s="118"/>
      <c r="I99" s="124" t="s">
        <v>462</v>
      </c>
      <c r="J99" s="120"/>
      <c r="K99" s="125" t="s">
        <v>13</v>
      </c>
      <c r="L99" s="125" t="s">
        <v>14</v>
      </c>
      <c r="M99" s="125" t="s">
        <v>15</v>
      </c>
      <c r="N99" s="2" t="s">
        <v>465</v>
      </c>
      <c r="O99" s="119" t="s">
        <v>18</v>
      </c>
      <c r="P99" s="120"/>
    </row>
    <row r="100" ht="11.25" customHeight="1">
      <c r="A100" s="12" t="str">
        <f t="shared" si="2"/>
        <v/>
      </c>
      <c r="B100" s="126"/>
      <c r="C100" s="127"/>
      <c r="D100" s="128"/>
      <c r="E100" s="127"/>
      <c r="F100" s="127"/>
      <c r="G100" s="127"/>
      <c r="H100" s="129"/>
      <c r="I100" s="130">
        <f>SUM(I3:I99)</f>
        <v>50</v>
      </c>
      <c r="J100" s="120"/>
      <c r="K100" s="131">
        <f t="shared" ref="K100:O100" si="3">SUM(K3:K99)</f>
        <v>2053500</v>
      </c>
      <c r="L100" s="131">
        <f t="shared" si="3"/>
        <v>600000</v>
      </c>
      <c r="M100" s="131">
        <f t="shared" si="3"/>
        <v>12500</v>
      </c>
      <c r="N100" s="131">
        <f t="shared" si="3"/>
        <v>300000</v>
      </c>
      <c r="O100" s="131">
        <f t="shared" si="3"/>
        <v>0</v>
      </c>
      <c r="P100" s="133" t="s">
        <v>481</v>
      </c>
    </row>
    <row r="101" ht="11.25" customHeight="1">
      <c r="A101" s="134"/>
      <c r="B101" s="135"/>
      <c r="C101" s="135"/>
      <c r="D101" s="134"/>
      <c r="E101" s="135"/>
      <c r="F101" s="135"/>
      <c r="G101" s="135"/>
      <c r="H101" s="136"/>
      <c r="I101" s="137"/>
      <c r="J101" s="138"/>
      <c r="K101" s="139" t="s">
        <v>491</v>
      </c>
      <c r="L101" s="120"/>
      <c r="M101" s="282">
        <f>SUM(K100:M100)</f>
        <v>2666000</v>
      </c>
      <c r="N101" s="141"/>
      <c r="O101" s="141"/>
      <c r="P101" s="142"/>
    </row>
    <row r="102" ht="11.25" customHeight="1">
      <c r="A102" s="134"/>
      <c r="B102" s="135"/>
      <c r="C102" s="135"/>
      <c r="D102" s="134"/>
      <c r="E102" s="135"/>
      <c r="F102" s="135"/>
      <c r="G102" s="135"/>
      <c r="H102" s="136"/>
      <c r="I102" s="143"/>
      <c r="J102" s="144"/>
      <c r="K102" s="145" t="s">
        <v>506</v>
      </c>
      <c r="L102" s="120"/>
      <c r="M102" s="283">
        <f>SUM(M101-K3-K6-K12-K15-K16-K17-K18-K19-K20-L22-K23-K24-K25-K27-K28-L29-K31-K32-K33-K34-L38-K40-K44-K48-K50-M52-K56-K57-L58-L59-L60-K63-K65-K72-K74-K85-K86-K88-L90-K94-L95)</f>
        <v>1978000</v>
      </c>
      <c r="N102" s="147"/>
      <c r="O102" s="147"/>
      <c r="P102" s="148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  <row r="1018" ht="15.75" customHeight="1">
      <c r="A1018" s="149"/>
      <c r="D1018" s="149"/>
      <c r="H1018" s="150"/>
      <c r="P1018" s="150"/>
    </row>
    <row r="1019" ht="15.75" customHeight="1">
      <c r="A1019" s="149"/>
      <c r="D1019" s="149"/>
      <c r="H1019" s="150"/>
      <c r="P1019" s="150"/>
    </row>
    <row r="1020" ht="15.75" customHeight="1">
      <c r="A1020" s="149"/>
      <c r="D1020" s="149"/>
      <c r="H1020" s="150"/>
      <c r="P1020" s="150"/>
    </row>
    <row r="1021" ht="15.75" customHeight="1">
      <c r="A1021" s="149"/>
      <c r="D1021" s="149"/>
      <c r="H1021" s="150"/>
      <c r="P1021" s="150"/>
    </row>
    <row r="1022" ht="15.75" customHeight="1">
      <c r="A1022" s="149"/>
      <c r="D1022" s="149"/>
      <c r="H1022" s="150"/>
      <c r="P1022" s="150"/>
    </row>
    <row r="1023" ht="15.75" customHeight="1">
      <c r="A1023" s="149"/>
      <c r="D1023" s="149"/>
      <c r="H1023" s="150"/>
      <c r="P1023" s="150"/>
    </row>
    <row r="1024" ht="15.75" customHeight="1">
      <c r="A1024" s="149"/>
      <c r="D1024" s="149"/>
      <c r="H1024" s="150"/>
      <c r="P1024" s="150"/>
    </row>
    <row r="1025" ht="15.75" customHeight="1">
      <c r="A1025" s="149"/>
      <c r="D1025" s="149"/>
      <c r="H1025" s="150"/>
      <c r="P1025" s="150"/>
    </row>
    <row r="1026" ht="15.75" customHeight="1">
      <c r="A1026" s="149"/>
      <c r="D1026" s="149"/>
      <c r="H1026" s="150"/>
      <c r="P1026" s="150"/>
    </row>
    <row r="1027" ht="15.75" customHeight="1">
      <c r="A1027" s="149"/>
      <c r="D1027" s="149"/>
      <c r="H1027" s="150"/>
      <c r="P1027" s="150"/>
    </row>
    <row r="1028" ht="15.75" customHeight="1">
      <c r="A1028" s="149"/>
      <c r="D1028" s="149"/>
      <c r="H1028" s="150"/>
      <c r="P1028" s="150"/>
    </row>
    <row r="1029" ht="15.75" customHeight="1">
      <c r="A1029" s="149"/>
      <c r="D1029" s="149"/>
      <c r="H1029" s="150"/>
      <c r="P1029" s="150"/>
    </row>
  </sheetData>
  <autoFilter ref="$A$2:$P$59"/>
  <mergeCells count="7">
    <mergeCell ref="A1:P1"/>
    <mergeCell ref="I98:J98"/>
    <mergeCell ref="I99:J99"/>
    <mergeCell ref="O99:P99"/>
    <mergeCell ref="I100:J100"/>
    <mergeCell ref="K101:L101"/>
    <mergeCell ref="K102:L102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43"/>
    <col customWidth="1" min="8" max="8" width="9.57"/>
    <col customWidth="1" min="9" max="9" width="3.29"/>
    <col customWidth="1" min="10" max="10" width="6.43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12.29"/>
    <col customWidth="1" min="17" max="26" width="8.71"/>
  </cols>
  <sheetData>
    <row r="1" ht="19.5" customHeight="1">
      <c r="A1" s="3" t="s">
        <v>1425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2" t="s">
        <v>1216</v>
      </c>
      <c r="D2" s="2" t="s">
        <v>5</v>
      </c>
      <c r="E2" s="2" t="s">
        <v>6</v>
      </c>
      <c r="F2" s="2" t="s">
        <v>17</v>
      </c>
      <c r="G2" s="2" t="s">
        <v>8</v>
      </c>
      <c r="H2" s="209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103" si="1">IF(D3="","",SUBTOTAL(3,$D$3:D3))</f>
        <v>1</v>
      </c>
      <c r="B3" s="15" t="s">
        <v>24</v>
      </c>
      <c r="C3" s="17" t="s">
        <v>122</v>
      </c>
      <c r="D3" s="19" t="s">
        <v>262</v>
      </c>
      <c r="E3" s="25" t="s">
        <v>184</v>
      </c>
      <c r="F3" s="25" t="s">
        <v>186</v>
      </c>
      <c r="G3" s="25" t="s">
        <v>34</v>
      </c>
      <c r="H3" s="64">
        <v>46113.0</v>
      </c>
      <c r="I3" s="15">
        <v>0.0</v>
      </c>
      <c r="J3" s="25" t="s">
        <v>57</v>
      </c>
      <c r="K3" s="28">
        <v>55000.0</v>
      </c>
      <c r="L3" s="28">
        <v>0.0</v>
      </c>
      <c r="M3" s="28">
        <v>0.0</v>
      </c>
      <c r="N3" s="28">
        <v>0.0</v>
      </c>
      <c r="O3" s="28">
        <v>0.0</v>
      </c>
      <c r="P3" s="193"/>
    </row>
    <row r="4" ht="11.25" customHeight="1">
      <c r="A4" s="12">
        <f t="shared" si="1"/>
        <v>2</v>
      </c>
      <c r="B4" s="15" t="s">
        <v>24</v>
      </c>
      <c r="C4" s="17" t="s">
        <v>122</v>
      </c>
      <c r="D4" s="17" t="s">
        <v>899</v>
      </c>
      <c r="E4" s="25" t="s">
        <v>92</v>
      </c>
      <c r="F4" s="25" t="s">
        <v>742</v>
      </c>
      <c r="G4" s="25" t="s">
        <v>37</v>
      </c>
      <c r="H4" s="73">
        <v>46113.0</v>
      </c>
      <c r="I4" s="15">
        <v>0.0</v>
      </c>
      <c r="J4" s="106" t="s">
        <v>57</v>
      </c>
      <c r="K4" s="28">
        <v>9000.0</v>
      </c>
      <c r="L4" s="28">
        <v>0.0</v>
      </c>
      <c r="M4" s="28">
        <v>0.0</v>
      </c>
      <c r="N4" s="28">
        <v>0.0</v>
      </c>
      <c r="O4" s="28">
        <v>0.0</v>
      </c>
      <c r="P4" s="112"/>
    </row>
    <row r="5" ht="11.25" customHeight="1">
      <c r="A5" s="12">
        <f t="shared" si="1"/>
        <v>3</v>
      </c>
      <c r="B5" s="15" t="s">
        <v>24</v>
      </c>
      <c r="C5" s="17" t="s">
        <v>122</v>
      </c>
      <c r="D5" s="17" t="s">
        <v>900</v>
      </c>
      <c r="E5" s="25" t="s">
        <v>27</v>
      </c>
      <c r="F5" s="25" t="s">
        <v>794</v>
      </c>
      <c r="G5" s="25" t="s">
        <v>36</v>
      </c>
      <c r="H5" s="73">
        <v>46113.0</v>
      </c>
      <c r="I5" s="15">
        <v>0.0</v>
      </c>
      <c r="J5" s="25" t="s">
        <v>57</v>
      </c>
      <c r="K5" s="28">
        <v>10000.0</v>
      </c>
      <c r="L5" s="28">
        <v>0.0</v>
      </c>
      <c r="M5" s="28">
        <v>0.0</v>
      </c>
      <c r="N5" s="28">
        <v>0.0</v>
      </c>
      <c r="O5" s="28">
        <v>0.0</v>
      </c>
      <c r="P5" s="112"/>
    </row>
    <row r="6" ht="11.25" customHeight="1">
      <c r="A6" s="12">
        <f t="shared" si="1"/>
        <v>4</v>
      </c>
      <c r="B6" s="15" t="s">
        <v>24</v>
      </c>
      <c r="C6" s="17" t="s">
        <v>211</v>
      </c>
      <c r="D6" s="17" t="s">
        <v>901</v>
      </c>
      <c r="E6" s="23" t="s">
        <v>902</v>
      </c>
      <c r="F6" s="23" t="s">
        <v>903</v>
      </c>
      <c r="G6" s="25" t="s">
        <v>36</v>
      </c>
      <c r="H6" s="73">
        <v>46114.0</v>
      </c>
      <c r="I6" s="17">
        <v>1.0</v>
      </c>
      <c r="J6" s="25" t="s">
        <v>38</v>
      </c>
      <c r="K6" s="28">
        <v>50000.0</v>
      </c>
      <c r="L6" s="28">
        <v>0.0</v>
      </c>
      <c r="M6" s="28">
        <v>0.0</v>
      </c>
      <c r="N6" s="28">
        <v>0.0</v>
      </c>
      <c r="O6" s="28">
        <v>0.0</v>
      </c>
      <c r="P6" s="112"/>
    </row>
    <row r="7" ht="11.25" customHeight="1">
      <c r="A7" s="12">
        <f t="shared" si="1"/>
        <v>5</v>
      </c>
      <c r="B7" s="15" t="s">
        <v>24</v>
      </c>
      <c r="C7" s="17" t="s">
        <v>211</v>
      </c>
      <c r="D7" s="17" t="s">
        <v>904</v>
      </c>
      <c r="E7" s="23" t="s">
        <v>905</v>
      </c>
      <c r="F7" s="23" t="s">
        <v>906</v>
      </c>
      <c r="G7" s="25" t="s">
        <v>36</v>
      </c>
      <c r="H7" s="73">
        <v>46114.0</v>
      </c>
      <c r="I7" s="17">
        <v>1.0</v>
      </c>
      <c r="J7" s="25" t="s">
        <v>38</v>
      </c>
      <c r="K7" s="28">
        <v>0.0</v>
      </c>
      <c r="L7" s="28">
        <v>50000.0</v>
      </c>
      <c r="M7" s="28">
        <v>0.0</v>
      </c>
      <c r="N7" s="28">
        <v>0.0</v>
      </c>
      <c r="O7" s="28">
        <v>0.0</v>
      </c>
      <c r="P7" s="112"/>
    </row>
    <row r="8" ht="11.25" customHeight="1">
      <c r="A8" s="12">
        <f t="shared" si="1"/>
        <v>6</v>
      </c>
      <c r="B8" s="15" t="s">
        <v>24</v>
      </c>
      <c r="C8" s="17" t="s">
        <v>122</v>
      </c>
      <c r="D8" s="17" t="s">
        <v>907</v>
      </c>
      <c r="E8" s="25" t="s">
        <v>92</v>
      </c>
      <c r="F8" s="25" t="s">
        <v>700</v>
      </c>
      <c r="G8" s="25" t="s">
        <v>36</v>
      </c>
      <c r="H8" s="73">
        <v>46114.0</v>
      </c>
      <c r="I8" s="15">
        <v>0.0</v>
      </c>
      <c r="J8" s="25" t="s">
        <v>38</v>
      </c>
      <c r="K8" s="28">
        <v>15000.0</v>
      </c>
      <c r="L8" s="28">
        <v>0.0</v>
      </c>
      <c r="M8" s="28">
        <v>0.0</v>
      </c>
      <c r="N8" s="28">
        <v>0.0</v>
      </c>
      <c r="O8" s="28">
        <v>0.0</v>
      </c>
      <c r="P8" s="193"/>
    </row>
    <row r="9" ht="11.25" customHeight="1">
      <c r="A9" s="12">
        <f t="shared" si="1"/>
        <v>7</v>
      </c>
      <c r="B9" s="15" t="s">
        <v>24</v>
      </c>
      <c r="C9" s="17" t="s">
        <v>211</v>
      </c>
      <c r="D9" s="17" t="s">
        <v>908</v>
      </c>
      <c r="E9" s="25" t="s">
        <v>647</v>
      </c>
      <c r="F9" s="25" t="s">
        <v>809</v>
      </c>
      <c r="G9" s="25" t="s">
        <v>36</v>
      </c>
      <c r="H9" s="73">
        <v>46114.0</v>
      </c>
      <c r="I9" s="17">
        <v>0.0</v>
      </c>
      <c r="J9" s="172" t="s">
        <v>38</v>
      </c>
      <c r="K9" s="28">
        <v>0.0</v>
      </c>
      <c r="L9" s="28">
        <v>85000.0</v>
      </c>
      <c r="M9" s="28">
        <v>0.0</v>
      </c>
      <c r="N9" s="28">
        <v>0.0</v>
      </c>
      <c r="O9" s="28">
        <v>0.0</v>
      </c>
      <c r="P9" s="246"/>
    </row>
    <row r="10" ht="11.25" customHeight="1">
      <c r="A10" s="12">
        <f t="shared" si="1"/>
        <v>8</v>
      </c>
      <c r="B10" s="15" t="s">
        <v>24</v>
      </c>
      <c r="C10" s="17" t="s">
        <v>211</v>
      </c>
      <c r="D10" s="17" t="s">
        <v>909</v>
      </c>
      <c r="E10" s="25" t="s">
        <v>647</v>
      </c>
      <c r="F10" s="25" t="s">
        <v>809</v>
      </c>
      <c r="G10" s="25" t="s">
        <v>36</v>
      </c>
      <c r="H10" s="73">
        <v>46114.0</v>
      </c>
      <c r="I10" s="17">
        <v>0.0</v>
      </c>
      <c r="J10" s="172" t="s">
        <v>38</v>
      </c>
      <c r="K10" s="28">
        <v>0.0</v>
      </c>
      <c r="L10" s="28">
        <v>15000.0</v>
      </c>
      <c r="M10" s="28">
        <v>0.0</v>
      </c>
      <c r="N10" s="28">
        <v>0.0</v>
      </c>
      <c r="O10" s="28">
        <v>0.0</v>
      </c>
      <c r="P10" s="112"/>
    </row>
    <row r="11" ht="11.25" customHeight="1">
      <c r="A11" s="12">
        <f t="shared" si="1"/>
        <v>9</v>
      </c>
      <c r="B11" s="15" t="s">
        <v>24</v>
      </c>
      <c r="C11" s="17" t="s">
        <v>122</v>
      </c>
      <c r="D11" s="17" t="s">
        <v>910</v>
      </c>
      <c r="E11" s="23" t="s">
        <v>208</v>
      </c>
      <c r="F11" s="23" t="s">
        <v>911</v>
      </c>
      <c r="G11" s="23" t="s">
        <v>37</v>
      </c>
      <c r="H11" s="73">
        <v>46115.0</v>
      </c>
      <c r="I11" s="17">
        <v>0.0</v>
      </c>
      <c r="J11" s="23" t="s">
        <v>57</v>
      </c>
      <c r="K11" s="28">
        <v>6000.0</v>
      </c>
      <c r="L11" s="28">
        <v>0.0</v>
      </c>
      <c r="M11" s="28">
        <v>0.0</v>
      </c>
      <c r="N11" s="28">
        <v>0.0</v>
      </c>
      <c r="O11" s="28">
        <v>0.0</v>
      </c>
      <c r="P11" s="33"/>
    </row>
    <row r="12" ht="11.25" customHeight="1">
      <c r="A12" s="12">
        <f t="shared" si="1"/>
        <v>10</v>
      </c>
      <c r="B12" s="15" t="s">
        <v>24</v>
      </c>
      <c r="C12" s="17" t="s">
        <v>211</v>
      </c>
      <c r="D12" s="17" t="s">
        <v>912</v>
      </c>
      <c r="E12" s="25" t="s">
        <v>647</v>
      </c>
      <c r="F12" s="25" t="s">
        <v>809</v>
      </c>
      <c r="G12" s="25" t="s">
        <v>36</v>
      </c>
      <c r="H12" s="73">
        <v>46115.0</v>
      </c>
      <c r="I12" s="17">
        <v>0.0</v>
      </c>
      <c r="J12" s="25" t="s">
        <v>38</v>
      </c>
      <c r="K12" s="28">
        <v>0.0</v>
      </c>
      <c r="L12" s="28">
        <v>49000.0</v>
      </c>
      <c r="M12" s="28">
        <v>0.0</v>
      </c>
      <c r="N12" s="28">
        <v>0.0</v>
      </c>
      <c r="O12" s="28">
        <v>0.0</v>
      </c>
      <c r="P12" s="33"/>
    </row>
    <row r="13" ht="11.25" customHeight="1">
      <c r="A13" s="12">
        <f t="shared" si="1"/>
        <v>11</v>
      </c>
      <c r="B13" s="15" t="s">
        <v>24</v>
      </c>
      <c r="C13" s="17" t="s">
        <v>211</v>
      </c>
      <c r="D13" s="17" t="s">
        <v>1428</v>
      </c>
      <c r="E13" s="25" t="s">
        <v>647</v>
      </c>
      <c r="F13" s="25" t="s">
        <v>809</v>
      </c>
      <c r="G13" s="25" t="s">
        <v>36</v>
      </c>
      <c r="H13" s="73">
        <v>46115.0</v>
      </c>
      <c r="I13" s="17">
        <v>0.0</v>
      </c>
      <c r="J13" s="25" t="s">
        <v>38</v>
      </c>
      <c r="K13" s="28">
        <v>1000.0</v>
      </c>
      <c r="L13" s="28">
        <v>0.0</v>
      </c>
      <c r="M13" s="28">
        <v>0.0</v>
      </c>
      <c r="N13" s="28">
        <v>0.0</v>
      </c>
      <c r="O13" s="28">
        <v>0.0</v>
      </c>
      <c r="P13" s="33"/>
    </row>
    <row r="14" ht="11.25" customHeight="1">
      <c r="A14" s="12">
        <f t="shared" si="1"/>
        <v>12</v>
      </c>
      <c r="B14" s="15" t="s">
        <v>24</v>
      </c>
      <c r="C14" s="17" t="s">
        <v>122</v>
      </c>
      <c r="D14" s="17" t="s">
        <v>914</v>
      </c>
      <c r="E14" s="106" t="s">
        <v>71</v>
      </c>
      <c r="F14" s="23" t="s">
        <v>915</v>
      </c>
      <c r="G14" s="25" t="s">
        <v>37</v>
      </c>
      <c r="H14" s="95">
        <v>46115.0</v>
      </c>
      <c r="I14" s="17">
        <v>1.0</v>
      </c>
      <c r="J14" s="25" t="s">
        <v>38</v>
      </c>
      <c r="K14" s="23">
        <v>5000.0</v>
      </c>
      <c r="L14" s="28">
        <v>0.0</v>
      </c>
      <c r="M14" s="28">
        <v>0.0</v>
      </c>
      <c r="N14" s="28">
        <v>0.0</v>
      </c>
      <c r="O14" s="28">
        <v>0.0</v>
      </c>
      <c r="P14" s="33"/>
    </row>
    <row r="15" ht="11.25" customHeight="1">
      <c r="A15" s="12">
        <f t="shared" si="1"/>
        <v>13</v>
      </c>
      <c r="B15" s="15" t="s">
        <v>24</v>
      </c>
      <c r="C15" s="17"/>
      <c r="D15" s="17" t="s">
        <v>917</v>
      </c>
      <c r="E15" s="153"/>
      <c r="F15" s="23" t="s">
        <v>918</v>
      </c>
      <c r="G15" s="25" t="s">
        <v>36</v>
      </c>
      <c r="H15" s="32">
        <v>46116.0</v>
      </c>
      <c r="I15" s="17">
        <v>0.0</v>
      </c>
      <c r="J15" s="23" t="s">
        <v>57</v>
      </c>
      <c r="K15" s="28">
        <v>3300.0</v>
      </c>
      <c r="L15" s="28">
        <v>0.0</v>
      </c>
      <c r="M15" s="28">
        <v>0.0</v>
      </c>
      <c r="N15" s="28">
        <v>0.0</v>
      </c>
      <c r="O15" s="28">
        <v>0.0</v>
      </c>
      <c r="P15" s="33"/>
    </row>
    <row r="16" ht="11.25" customHeight="1">
      <c r="A16" s="12">
        <f t="shared" si="1"/>
        <v>14</v>
      </c>
      <c r="B16" s="15" t="s">
        <v>24</v>
      </c>
      <c r="C16" s="17"/>
      <c r="D16" s="17" t="s">
        <v>921</v>
      </c>
      <c r="E16" s="153"/>
      <c r="F16" s="80" t="s">
        <v>922</v>
      </c>
      <c r="G16" s="23" t="s">
        <v>36</v>
      </c>
      <c r="H16" s="95">
        <v>46116.0</v>
      </c>
      <c r="I16" s="17">
        <v>0.0</v>
      </c>
      <c r="J16" s="23" t="s">
        <v>57</v>
      </c>
      <c r="K16" s="28">
        <v>0.0</v>
      </c>
      <c r="L16" s="28">
        <v>16000.0</v>
      </c>
      <c r="M16" s="28">
        <v>0.0</v>
      </c>
      <c r="N16" s="28">
        <v>0.0</v>
      </c>
      <c r="O16" s="28">
        <v>0.0</v>
      </c>
      <c r="P16" s="33"/>
    </row>
    <row r="17" ht="11.25" customHeight="1">
      <c r="A17" s="12">
        <f t="shared" si="1"/>
        <v>15</v>
      </c>
      <c r="B17" s="15" t="s">
        <v>24</v>
      </c>
      <c r="C17" s="17" t="s">
        <v>211</v>
      </c>
      <c r="D17" s="17" t="s">
        <v>913</v>
      </c>
      <c r="E17" s="25" t="s">
        <v>647</v>
      </c>
      <c r="F17" s="25" t="s">
        <v>809</v>
      </c>
      <c r="G17" s="25" t="s">
        <v>36</v>
      </c>
      <c r="H17" s="251">
        <v>46117.0</v>
      </c>
      <c r="I17" s="17">
        <v>0.0</v>
      </c>
      <c r="J17" s="25" t="s">
        <v>38</v>
      </c>
      <c r="K17" s="28">
        <v>50000.0</v>
      </c>
      <c r="L17" s="28">
        <v>0.0</v>
      </c>
      <c r="M17" s="28">
        <v>0.0</v>
      </c>
      <c r="N17" s="28">
        <v>0.0</v>
      </c>
      <c r="O17" s="28">
        <v>0.0</v>
      </c>
      <c r="P17" s="158">
        <v>46115.0</v>
      </c>
    </row>
    <row r="18" ht="11.25" customHeight="1">
      <c r="A18" s="12">
        <f t="shared" si="1"/>
        <v>16</v>
      </c>
      <c r="B18" s="15" t="s">
        <v>24</v>
      </c>
      <c r="C18" s="17" t="s">
        <v>211</v>
      </c>
      <c r="D18" s="17" t="s">
        <v>919</v>
      </c>
      <c r="E18" s="153" t="s">
        <v>731</v>
      </c>
      <c r="F18" s="23" t="s">
        <v>920</v>
      </c>
      <c r="G18" s="23" t="s">
        <v>37</v>
      </c>
      <c r="H18" s="251">
        <v>46117.0</v>
      </c>
      <c r="I18" s="17">
        <v>1.0</v>
      </c>
      <c r="J18" s="23" t="s">
        <v>38</v>
      </c>
      <c r="K18" s="28">
        <v>100000.0</v>
      </c>
      <c r="L18" s="28">
        <v>0.0</v>
      </c>
      <c r="M18" s="28">
        <v>0.0</v>
      </c>
      <c r="N18" s="28">
        <v>0.0</v>
      </c>
      <c r="O18" s="28">
        <v>0.0</v>
      </c>
      <c r="P18" s="192">
        <v>46116.0</v>
      </c>
    </row>
    <row r="19" ht="11.25" customHeight="1">
      <c r="A19" s="12">
        <f t="shared" si="1"/>
        <v>17</v>
      </c>
      <c r="B19" s="15" t="s">
        <v>24</v>
      </c>
      <c r="C19" s="17" t="s">
        <v>211</v>
      </c>
      <c r="D19" s="17" t="s">
        <v>923</v>
      </c>
      <c r="E19" s="23" t="s">
        <v>49</v>
      </c>
      <c r="F19" s="23" t="s">
        <v>54</v>
      </c>
      <c r="G19" s="23" t="s">
        <v>55</v>
      </c>
      <c r="H19" s="158">
        <v>46117.0</v>
      </c>
      <c r="I19" s="17">
        <v>0.0</v>
      </c>
      <c r="J19" s="23" t="s">
        <v>38</v>
      </c>
      <c r="K19" s="28">
        <v>0.0</v>
      </c>
      <c r="L19" s="28">
        <v>0.0</v>
      </c>
      <c r="M19" s="28">
        <v>0.0</v>
      </c>
      <c r="N19" s="28">
        <v>65000.0</v>
      </c>
      <c r="O19" s="28">
        <v>0.0</v>
      </c>
      <c r="P19" s="158">
        <v>46142.0</v>
      </c>
    </row>
    <row r="20" ht="11.25" customHeight="1">
      <c r="A20" s="12">
        <f t="shared" si="1"/>
        <v>18</v>
      </c>
      <c r="B20" s="15" t="s">
        <v>24</v>
      </c>
      <c r="C20" s="17"/>
      <c r="D20" s="17" t="s">
        <v>924</v>
      </c>
      <c r="E20" s="25"/>
      <c r="F20" s="25" t="s">
        <v>288</v>
      </c>
      <c r="G20" s="25" t="s">
        <v>36</v>
      </c>
      <c r="H20" s="251">
        <v>46117.0</v>
      </c>
      <c r="I20" s="15">
        <v>0.0</v>
      </c>
      <c r="J20" s="25" t="s">
        <v>57</v>
      </c>
      <c r="K20" s="28">
        <v>9000.0</v>
      </c>
      <c r="L20" s="28">
        <v>0.0</v>
      </c>
      <c r="M20" s="28">
        <v>0.0</v>
      </c>
      <c r="N20" s="28">
        <v>0.0</v>
      </c>
      <c r="O20" s="28">
        <v>0.0</v>
      </c>
      <c r="P20" s="33"/>
    </row>
    <row r="21" ht="11.25" customHeight="1">
      <c r="A21" s="12">
        <f t="shared" si="1"/>
        <v>19</v>
      </c>
      <c r="B21" s="15" t="s">
        <v>24</v>
      </c>
      <c r="C21" s="17"/>
      <c r="D21" s="17" t="s">
        <v>926</v>
      </c>
      <c r="E21" s="25"/>
      <c r="F21" s="23" t="s">
        <v>927</v>
      </c>
      <c r="G21" s="25" t="s">
        <v>36</v>
      </c>
      <c r="H21" s="158">
        <v>46117.0</v>
      </c>
      <c r="I21" s="17">
        <v>0.0</v>
      </c>
      <c r="J21" s="23" t="s">
        <v>57</v>
      </c>
      <c r="K21" s="28">
        <v>6000.0</v>
      </c>
      <c r="L21" s="28">
        <v>0.0</v>
      </c>
      <c r="M21" s="28">
        <v>0.0</v>
      </c>
      <c r="N21" s="28">
        <v>0.0</v>
      </c>
      <c r="O21" s="28">
        <v>0.0</v>
      </c>
      <c r="P21" s="33"/>
    </row>
    <row r="22" ht="11.25" customHeight="1">
      <c r="A22" s="12">
        <f t="shared" si="1"/>
        <v>20</v>
      </c>
      <c r="B22" s="15" t="s">
        <v>24</v>
      </c>
      <c r="C22" s="17"/>
      <c r="D22" s="17" t="s">
        <v>928</v>
      </c>
      <c r="E22" s="25"/>
      <c r="F22" s="23" t="s">
        <v>927</v>
      </c>
      <c r="G22" s="25" t="s">
        <v>36</v>
      </c>
      <c r="H22" s="158">
        <v>46117.0</v>
      </c>
      <c r="I22" s="17">
        <v>0.0</v>
      </c>
      <c r="J22" s="23" t="s">
        <v>57</v>
      </c>
      <c r="K22" s="28">
        <v>12000.0</v>
      </c>
      <c r="L22" s="28">
        <v>0.0</v>
      </c>
      <c r="M22" s="28">
        <v>0.0</v>
      </c>
      <c r="N22" s="28">
        <v>0.0</v>
      </c>
      <c r="O22" s="28">
        <v>0.0</v>
      </c>
      <c r="P22" s="33"/>
    </row>
    <row r="23" ht="11.25" customHeight="1">
      <c r="A23" s="12">
        <f t="shared" si="1"/>
        <v>21</v>
      </c>
      <c r="B23" s="15" t="s">
        <v>24</v>
      </c>
      <c r="C23" s="17" t="s">
        <v>211</v>
      </c>
      <c r="D23" s="17" t="s">
        <v>925</v>
      </c>
      <c r="E23" s="25" t="s">
        <v>40</v>
      </c>
      <c r="F23" s="23" t="s">
        <v>558</v>
      </c>
      <c r="G23" s="25" t="s">
        <v>36</v>
      </c>
      <c r="H23" s="251">
        <v>46118.0</v>
      </c>
      <c r="I23" s="17">
        <v>0.0</v>
      </c>
      <c r="J23" s="25" t="s">
        <v>38</v>
      </c>
      <c r="K23" s="28">
        <v>0.0</v>
      </c>
      <c r="L23" s="28">
        <v>0.0</v>
      </c>
      <c r="M23" s="28">
        <v>200000.0</v>
      </c>
      <c r="N23" s="28">
        <v>0.0</v>
      </c>
      <c r="O23" s="28">
        <v>0.0</v>
      </c>
      <c r="P23" s="158">
        <v>46117.0</v>
      </c>
    </row>
    <row r="24" ht="11.25" customHeight="1">
      <c r="A24" s="12">
        <f t="shared" si="1"/>
        <v>22</v>
      </c>
      <c r="B24" s="15" t="s">
        <v>24</v>
      </c>
      <c r="C24" s="211" t="s">
        <v>122</v>
      </c>
      <c r="D24" s="211" t="s">
        <v>282</v>
      </c>
      <c r="E24" s="72" t="s">
        <v>272</v>
      </c>
      <c r="F24" s="72" t="s">
        <v>274</v>
      </c>
      <c r="G24" s="25" t="s">
        <v>34</v>
      </c>
      <c r="H24" s="30">
        <v>46118.0</v>
      </c>
      <c r="I24" s="15">
        <v>0.0</v>
      </c>
      <c r="J24" s="25" t="s">
        <v>57</v>
      </c>
      <c r="K24" s="28">
        <v>20000.0</v>
      </c>
      <c r="L24" s="28">
        <v>0.0</v>
      </c>
      <c r="M24" s="28">
        <v>0.0</v>
      </c>
      <c r="N24" s="28">
        <v>0.0</v>
      </c>
      <c r="O24" s="28">
        <v>0.0</v>
      </c>
      <c r="P24" s="253"/>
    </row>
    <row r="25" ht="11.25" customHeight="1">
      <c r="A25" s="12">
        <f t="shared" si="1"/>
        <v>23</v>
      </c>
      <c r="B25" s="15" t="s">
        <v>24</v>
      </c>
      <c r="C25" s="17" t="s">
        <v>211</v>
      </c>
      <c r="D25" s="17" t="s">
        <v>929</v>
      </c>
      <c r="E25" s="25" t="s">
        <v>169</v>
      </c>
      <c r="F25" s="25" t="s">
        <v>170</v>
      </c>
      <c r="G25" s="25" t="s">
        <v>36</v>
      </c>
      <c r="H25" s="26">
        <v>46118.0</v>
      </c>
      <c r="I25" s="15">
        <v>0.0</v>
      </c>
      <c r="J25" s="25" t="s">
        <v>57</v>
      </c>
      <c r="K25" s="28">
        <v>8500.0</v>
      </c>
      <c r="L25" s="28">
        <v>0.0</v>
      </c>
      <c r="M25" s="28">
        <v>0.0</v>
      </c>
      <c r="N25" s="28">
        <v>0.0</v>
      </c>
      <c r="O25" s="28">
        <v>0.0</v>
      </c>
      <c r="P25" s="253"/>
    </row>
    <row r="26" ht="11.25" customHeight="1">
      <c r="A26" s="12">
        <f t="shared" si="1"/>
        <v>24</v>
      </c>
      <c r="B26" s="15" t="s">
        <v>24</v>
      </c>
      <c r="C26" s="17" t="s">
        <v>122</v>
      </c>
      <c r="D26" s="17" t="s">
        <v>930</v>
      </c>
      <c r="E26" s="25" t="s">
        <v>116</v>
      </c>
      <c r="F26" s="25" t="s">
        <v>117</v>
      </c>
      <c r="G26" s="25" t="s">
        <v>36</v>
      </c>
      <c r="H26" s="26">
        <v>46118.0</v>
      </c>
      <c r="I26" s="15">
        <v>0.0</v>
      </c>
      <c r="J26" s="25" t="s">
        <v>57</v>
      </c>
      <c r="K26" s="28">
        <v>8000.0</v>
      </c>
      <c r="L26" s="28">
        <v>0.0</v>
      </c>
      <c r="M26" s="28">
        <v>0.0</v>
      </c>
      <c r="N26" s="28">
        <v>0.0</v>
      </c>
      <c r="O26" s="28">
        <v>0.0</v>
      </c>
      <c r="P26" s="253"/>
    </row>
    <row r="27" ht="11.25" customHeight="1">
      <c r="A27" s="12">
        <f t="shared" si="1"/>
        <v>25</v>
      </c>
      <c r="B27" s="15" t="s">
        <v>24</v>
      </c>
      <c r="C27" s="17" t="s">
        <v>122</v>
      </c>
      <c r="D27" s="17" t="s">
        <v>932</v>
      </c>
      <c r="E27" s="25" t="s">
        <v>71</v>
      </c>
      <c r="F27" s="23" t="s">
        <v>915</v>
      </c>
      <c r="G27" s="25" t="s">
        <v>37</v>
      </c>
      <c r="H27" s="26">
        <v>46118.0</v>
      </c>
      <c r="I27" s="17">
        <v>0.0</v>
      </c>
      <c r="J27" s="25" t="s">
        <v>38</v>
      </c>
      <c r="K27" s="23">
        <v>45000.0</v>
      </c>
      <c r="L27" s="28">
        <v>0.0</v>
      </c>
      <c r="M27" s="28">
        <v>0.0</v>
      </c>
      <c r="N27" s="28">
        <v>0.0</v>
      </c>
      <c r="O27" s="28">
        <v>0.0</v>
      </c>
      <c r="P27" s="193"/>
    </row>
    <row r="28" ht="11.25" customHeight="1">
      <c r="A28" s="12">
        <f t="shared" si="1"/>
        <v>26</v>
      </c>
      <c r="B28" s="15" t="s">
        <v>24</v>
      </c>
      <c r="C28" s="17" t="s">
        <v>122</v>
      </c>
      <c r="D28" s="35" t="s">
        <v>933</v>
      </c>
      <c r="E28" s="72" t="s">
        <v>272</v>
      </c>
      <c r="F28" s="72" t="s">
        <v>274</v>
      </c>
      <c r="G28" s="25" t="s">
        <v>36</v>
      </c>
      <c r="H28" s="30">
        <v>46118.0</v>
      </c>
      <c r="I28" s="17">
        <v>0.0</v>
      </c>
      <c r="J28" s="23" t="s">
        <v>57</v>
      </c>
      <c r="K28" s="28">
        <v>10000.0</v>
      </c>
      <c r="L28" s="28">
        <v>0.0</v>
      </c>
      <c r="M28" s="28">
        <v>0.0</v>
      </c>
      <c r="N28" s="28">
        <v>0.0</v>
      </c>
      <c r="O28" s="28">
        <v>0.0</v>
      </c>
      <c r="P28" s="193"/>
    </row>
    <row r="29" ht="11.25" customHeight="1">
      <c r="A29" s="12">
        <f t="shared" si="1"/>
        <v>27</v>
      </c>
      <c r="B29" s="15" t="s">
        <v>24</v>
      </c>
      <c r="C29" s="17" t="s">
        <v>211</v>
      </c>
      <c r="D29" s="17" t="s">
        <v>934</v>
      </c>
      <c r="E29" s="25" t="s">
        <v>169</v>
      </c>
      <c r="F29" s="23" t="s">
        <v>935</v>
      </c>
      <c r="G29" s="25" t="s">
        <v>36</v>
      </c>
      <c r="H29" s="26">
        <v>46118.0</v>
      </c>
      <c r="I29" s="17">
        <v>1.0</v>
      </c>
      <c r="J29" s="25" t="s">
        <v>38</v>
      </c>
      <c r="K29" s="23">
        <v>3000.0</v>
      </c>
      <c r="L29" s="28">
        <v>0.0</v>
      </c>
      <c r="M29" s="28">
        <v>0.0</v>
      </c>
      <c r="N29" s="28">
        <v>0.0</v>
      </c>
      <c r="O29" s="28">
        <v>0.0</v>
      </c>
      <c r="P29" s="193"/>
    </row>
    <row r="30" ht="11.25" customHeight="1">
      <c r="A30" s="12">
        <f t="shared" si="1"/>
        <v>28</v>
      </c>
      <c r="B30" s="15" t="s">
        <v>24</v>
      </c>
      <c r="C30" s="17"/>
      <c r="D30" s="17" t="s">
        <v>936</v>
      </c>
      <c r="E30" s="25"/>
      <c r="F30" s="23" t="s">
        <v>938</v>
      </c>
      <c r="G30" s="25" t="s">
        <v>36</v>
      </c>
      <c r="H30" s="30">
        <v>46120.0</v>
      </c>
      <c r="I30" s="17">
        <v>0.0</v>
      </c>
      <c r="J30" s="23" t="s">
        <v>57</v>
      </c>
      <c r="K30" s="28">
        <v>0.0</v>
      </c>
      <c r="L30" s="28">
        <v>0.0</v>
      </c>
      <c r="M30" s="28">
        <v>90000.0</v>
      </c>
      <c r="N30" s="28">
        <v>0.0</v>
      </c>
      <c r="O30" s="28">
        <v>0.0</v>
      </c>
      <c r="P30" s="30"/>
    </row>
    <row r="31" ht="11.25" customHeight="1">
      <c r="A31" s="12">
        <f t="shared" si="1"/>
        <v>29</v>
      </c>
      <c r="B31" s="15" t="s">
        <v>24</v>
      </c>
      <c r="C31" s="211" t="s">
        <v>122</v>
      </c>
      <c r="D31" s="211" t="s">
        <v>285</v>
      </c>
      <c r="E31" s="72" t="s">
        <v>116</v>
      </c>
      <c r="F31" s="72" t="s">
        <v>286</v>
      </c>
      <c r="G31" s="25" t="s">
        <v>34</v>
      </c>
      <c r="H31" s="26">
        <v>46121.0</v>
      </c>
      <c r="I31" s="211">
        <v>5.0</v>
      </c>
      <c r="J31" s="25" t="s">
        <v>38</v>
      </c>
      <c r="K31" s="215">
        <v>100000.0</v>
      </c>
      <c r="L31" s="28">
        <v>0.0</v>
      </c>
      <c r="M31" s="28">
        <v>0.0</v>
      </c>
      <c r="N31" s="215">
        <v>0.0</v>
      </c>
      <c r="O31" s="215">
        <v>0.0</v>
      </c>
      <c r="P31" s="30">
        <v>46121.0</v>
      </c>
    </row>
    <row r="32" ht="11.25" customHeight="1">
      <c r="A32" s="12">
        <f t="shared" si="1"/>
        <v>30</v>
      </c>
      <c r="B32" s="15" t="s">
        <v>24</v>
      </c>
      <c r="C32" s="194" t="s">
        <v>122</v>
      </c>
      <c r="D32" s="17" t="s">
        <v>943</v>
      </c>
      <c r="E32" s="25" t="s">
        <v>488</v>
      </c>
      <c r="F32" s="25" t="s">
        <v>697</v>
      </c>
      <c r="G32" s="25" t="s">
        <v>36</v>
      </c>
      <c r="H32" s="30">
        <v>46121.0</v>
      </c>
      <c r="I32" s="15">
        <v>0.0</v>
      </c>
      <c r="J32" s="25" t="s">
        <v>38</v>
      </c>
      <c r="K32" s="28">
        <v>0.0</v>
      </c>
      <c r="L32" s="28">
        <v>0.0</v>
      </c>
      <c r="M32" s="28">
        <v>0.0</v>
      </c>
      <c r="N32" s="28">
        <v>80000.0</v>
      </c>
      <c r="O32" s="28">
        <v>0.0</v>
      </c>
      <c r="P32" s="30">
        <v>46132.0</v>
      </c>
    </row>
    <row r="33" ht="11.25" customHeight="1">
      <c r="A33" s="12">
        <f t="shared" si="1"/>
        <v>31</v>
      </c>
      <c r="B33" s="15" t="s">
        <v>24</v>
      </c>
      <c r="C33" s="194" t="s">
        <v>122</v>
      </c>
      <c r="D33" s="17" t="s">
        <v>944</v>
      </c>
      <c r="E33" s="78" t="s">
        <v>487</v>
      </c>
      <c r="F33" s="78" t="s">
        <v>945</v>
      </c>
      <c r="G33" s="195" t="s">
        <v>36</v>
      </c>
      <c r="H33" s="95">
        <v>46122.0</v>
      </c>
      <c r="I33" s="194">
        <v>1.0</v>
      </c>
      <c r="J33" s="78" t="s">
        <v>38</v>
      </c>
      <c r="K33" s="101">
        <v>0.0</v>
      </c>
      <c r="L33" s="101">
        <v>300000.0</v>
      </c>
      <c r="M33" s="101">
        <v>0.0</v>
      </c>
      <c r="N33" s="101">
        <v>0.0</v>
      </c>
      <c r="O33" s="101">
        <v>0.0</v>
      </c>
      <c r="P33" s="193"/>
    </row>
    <row r="34" ht="11.25" customHeight="1">
      <c r="A34" s="12">
        <f t="shared" si="1"/>
        <v>32</v>
      </c>
      <c r="B34" s="15" t="s">
        <v>24</v>
      </c>
      <c r="C34" s="194" t="s">
        <v>122</v>
      </c>
      <c r="D34" s="17" t="s">
        <v>946</v>
      </c>
      <c r="E34" s="78" t="s">
        <v>487</v>
      </c>
      <c r="F34" s="78" t="s">
        <v>947</v>
      </c>
      <c r="G34" s="78" t="s">
        <v>36</v>
      </c>
      <c r="H34" s="95">
        <v>46122.0</v>
      </c>
      <c r="I34" s="194">
        <v>1.0</v>
      </c>
      <c r="J34" s="78" t="s">
        <v>38</v>
      </c>
      <c r="K34" s="101">
        <v>0.0</v>
      </c>
      <c r="L34" s="101">
        <v>225000.0</v>
      </c>
      <c r="M34" s="101">
        <v>0.0</v>
      </c>
      <c r="N34" s="101">
        <v>0.0</v>
      </c>
      <c r="O34" s="101">
        <v>0.0</v>
      </c>
      <c r="P34" s="193"/>
    </row>
    <row r="35" ht="11.25" customHeight="1">
      <c r="A35" s="12">
        <f t="shared" si="1"/>
        <v>33</v>
      </c>
      <c r="B35" s="15" t="s">
        <v>24</v>
      </c>
      <c r="C35" s="194" t="s">
        <v>122</v>
      </c>
      <c r="D35" s="17" t="s">
        <v>948</v>
      </c>
      <c r="E35" s="78" t="s">
        <v>487</v>
      </c>
      <c r="F35" s="78" t="s">
        <v>947</v>
      </c>
      <c r="G35" s="78" t="s">
        <v>36</v>
      </c>
      <c r="H35" s="95">
        <v>46122.0</v>
      </c>
      <c r="I35" s="194">
        <v>0.0</v>
      </c>
      <c r="J35" s="78" t="s">
        <v>38</v>
      </c>
      <c r="K35" s="101">
        <v>75000.0</v>
      </c>
      <c r="L35" s="101">
        <v>0.0</v>
      </c>
      <c r="M35" s="101">
        <v>0.0</v>
      </c>
      <c r="N35" s="101">
        <v>0.0</v>
      </c>
      <c r="O35" s="101">
        <v>0.0</v>
      </c>
      <c r="P35" s="193"/>
    </row>
    <row r="36" ht="11.25" customHeight="1">
      <c r="A36" s="12">
        <f t="shared" si="1"/>
        <v>34</v>
      </c>
      <c r="B36" s="15" t="s">
        <v>24</v>
      </c>
      <c r="C36" s="194" t="s">
        <v>122</v>
      </c>
      <c r="D36" s="17" t="s">
        <v>949</v>
      </c>
      <c r="E36" s="78" t="s">
        <v>191</v>
      </c>
      <c r="F36" s="78" t="s">
        <v>1429</v>
      </c>
      <c r="G36" s="78" t="s">
        <v>36</v>
      </c>
      <c r="H36" s="95">
        <v>46122.0</v>
      </c>
      <c r="I36" s="194">
        <v>1.0</v>
      </c>
      <c r="J36" s="78" t="s">
        <v>38</v>
      </c>
      <c r="K36" s="101">
        <v>0.0</v>
      </c>
      <c r="L36" s="101">
        <v>20000.0</v>
      </c>
      <c r="M36" s="101">
        <v>0.0</v>
      </c>
      <c r="N36" s="101">
        <v>0.0</v>
      </c>
      <c r="O36" s="101">
        <v>0.0</v>
      </c>
      <c r="P36" s="193"/>
    </row>
    <row r="37" ht="11.25" customHeight="1">
      <c r="A37" s="12">
        <f t="shared" si="1"/>
        <v>35</v>
      </c>
      <c r="B37" s="15" t="s">
        <v>24</v>
      </c>
      <c r="C37" s="194"/>
      <c r="D37" s="17" t="s">
        <v>951</v>
      </c>
      <c r="E37" s="25" t="s">
        <v>44</v>
      </c>
      <c r="F37" s="25" t="s">
        <v>478</v>
      </c>
      <c r="G37" s="25" t="s">
        <v>36</v>
      </c>
      <c r="H37" s="95">
        <v>46123.0</v>
      </c>
      <c r="I37" s="15">
        <v>0.0</v>
      </c>
      <c r="J37" s="25" t="s">
        <v>57</v>
      </c>
      <c r="K37" s="28">
        <v>11000.0</v>
      </c>
      <c r="L37" s="28">
        <v>0.0</v>
      </c>
      <c r="M37" s="28">
        <v>0.0</v>
      </c>
      <c r="N37" s="76">
        <v>0.0</v>
      </c>
      <c r="O37" s="77">
        <v>0.0</v>
      </c>
      <c r="P37" s="218"/>
    </row>
    <row r="38" ht="11.25" customHeight="1">
      <c r="A38" s="12">
        <f t="shared" si="1"/>
        <v>36</v>
      </c>
      <c r="B38" s="15" t="s">
        <v>24</v>
      </c>
      <c r="C38" s="194"/>
      <c r="D38" s="17" t="s">
        <v>952</v>
      </c>
      <c r="E38" s="25" t="s">
        <v>44</v>
      </c>
      <c r="F38" s="25" t="s">
        <v>478</v>
      </c>
      <c r="G38" s="25" t="s">
        <v>37</v>
      </c>
      <c r="H38" s="95">
        <v>46123.0</v>
      </c>
      <c r="I38" s="15">
        <v>0.0</v>
      </c>
      <c r="J38" s="25" t="s">
        <v>57</v>
      </c>
      <c r="K38" s="28">
        <v>5500.0</v>
      </c>
      <c r="L38" s="28">
        <v>0.0</v>
      </c>
      <c r="M38" s="28">
        <v>0.0</v>
      </c>
      <c r="N38" s="28">
        <v>0.0</v>
      </c>
      <c r="O38" s="28">
        <v>0.0</v>
      </c>
      <c r="P38" s="118"/>
    </row>
    <row r="39" ht="11.25" customHeight="1">
      <c r="A39" s="12">
        <f t="shared" si="1"/>
        <v>37</v>
      </c>
      <c r="B39" s="15" t="s">
        <v>24</v>
      </c>
      <c r="C39" s="194"/>
      <c r="D39" s="17" t="s">
        <v>954</v>
      </c>
      <c r="E39" s="25" t="s">
        <v>44</v>
      </c>
      <c r="F39" s="25" t="s">
        <v>493</v>
      </c>
      <c r="G39" s="25" t="s">
        <v>37</v>
      </c>
      <c r="H39" s="95">
        <v>46123.0</v>
      </c>
      <c r="I39" s="15">
        <v>0.0</v>
      </c>
      <c r="J39" s="25" t="s">
        <v>57</v>
      </c>
      <c r="K39" s="28">
        <v>5500.0</v>
      </c>
      <c r="L39" s="28">
        <v>0.0</v>
      </c>
      <c r="M39" s="28">
        <v>0.0</v>
      </c>
      <c r="N39" s="28">
        <v>0.0</v>
      </c>
      <c r="O39" s="28">
        <v>0.0</v>
      </c>
      <c r="P39" s="118"/>
    </row>
    <row r="40" ht="11.25" customHeight="1">
      <c r="A40" s="15">
        <f t="shared" si="1"/>
        <v>38</v>
      </c>
      <c r="B40" s="15" t="s">
        <v>24</v>
      </c>
      <c r="C40" s="258"/>
      <c r="D40" s="211" t="s">
        <v>290</v>
      </c>
      <c r="E40" s="71"/>
      <c r="F40" s="25" t="s">
        <v>79</v>
      </c>
      <c r="G40" s="25" t="s">
        <v>34</v>
      </c>
      <c r="H40" s="26">
        <v>46124.0</v>
      </c>
      <c r="I40" s="15">
        <v>0.0</v>
      </c>
      <c r="J40" s="25" t="s">
        <v>57</v>
      </c>
      <c r="K40" s="28">
        <v>0.0</v>
      </c>
      <c r="L40" s="28">
        <v>50000.0</v>
      </c>
      <c r="M40" s="28">
        <v>0.0</v>
      </c>
      <c r="N40" s="28">
        <v>0.0</v>
      </c>
      <c r="O40" s="215">
        <v>0.0</v>
      </c>
      <c r="P40" s="73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1.25" customHeight="1">
      <c r="A41" s="12">
        <f t="shared" si="1"/>
        <v>39</v>
      </c>
      <c r="B41" s="15" t="s">
        <v>24</v>
      </c>
      <c r="C41" s="17"/>
      <c r="D41" s="17" t="s">
        <v>956</v>
      </c>
      <c r="E41" s="25" t="s">
        <v>44</v>
      </c>
      <c r="F41" s="25" t="s">
        <v>45</v>
      </c>
      <c r="G41" s="25" t="s">
        <v>36</v>
      </c>
      <c r="H41" s="95">
        <v>46125.0</v>
      </c>
      <c r="I41" s="15">
        <v>0.0</v>
      </c>
      <c r="J41" s="25" t="s">
        <v>57</v>
      </c>
      <c r="K41" s="28">
        <v>8000.0</v>
      </c>
      <c r="L41" s="28">
        <v>0.0</v>
      </c>
      <c r="M41" s="28">
        <v>0.0</v>
      </c>
      <c r="N41" s="28">
        <v>0.0</v>
      </c>
      <c r="O41" s="28">
        <v>0.0</v>
      </c>
      <c r="P41" s="193"/>
    </row>
    <row r="42" ht="11.25" customHeight="1">
      <c r="A42" s="12">
        <f t="shared" si="1"/>
        <v>40</v>
      </c>
      <c r="B42" s="15" t="s">
        <v>24</v>
      </c>
      <c r="C42" s="17" t="s">
        <v>211</v>
      </c>
      <c r="D42" s="17" t="s">
        <v>939</v>
      </c>
      <c r="E42" s="71" t="s">
        <v>84</v>
      </c>
      <c r="F42" s="72" t="s">
        <v>324</v>
      </c>
      <c r="G42" s="25" t="s">
        <v>36</v>
      </c>
      <c r="H42" s="95">
        <v>46125.0</v>
      </c>
      <c r="I42" s="17">
        <v>2.0</v>
      </c>
      <c r="J42" s="25" t="s">
        <v>38</v>
      </c>
      <c r="K42" s="28">
        <v>0.0</v>
      </c>
      <c r="L42" s="28">
        <v>10000.0</v>
      </c>
      <c r="M42" s="28">
        <v>0.0</v>
      </c>
      <c r="N42" s="28">
        <v>0.0</v>
      </c>
      <c r="O42" s="28">
        <v>0.0</v>
      </c>
      <c r="P42" s="193"/>
    </row>
    <row r="43" ht="11.25" customHeight="1">
      <c r="A43" s="12">
        <f t="shared" si="1"/>
        <v>41</v>
      </c>
      <c r="B43" s="15" t="s">
        <v>24</v>
      </c>
      <c r="C43" s="17" t="s">
        <v>211</v>
      </c>
      <c r="D43" s="17" t="s">
        <v>941</v>
      </c>
      <c r="E43" s="71" t="s">
        <v>84</v>
      </c>
      <c r="F43" s="72" t="s">
        <v>324</v>
      </c>
      <c r="G43" s="25" t="s">
        <v>36</v>
      </c>
      <c r="H43" s="95">
        <v>46125.0</v>
      </c>
      <c r="I43" s="17">
        <v>0.0</v>
      </c>
      <c r="J43" s="25" t="s">
        <v>38</v>
      </c>
      <c r="K43" s="28">
        <v>0.0</v>
      </c>
      <c r="L43" s="28">
        <v>15000.0</v>
      </c>
      <c r="M43" s="28">
        <v>0.0</v>
      </c>
      <c r="N43" s="28">
        <v>0.0</v>
      </c>
      <c r="O43" s="28">
        <v>0.0</v>
      </c>
      <c r="P43" s="193"/>
    </row>
    <row r="44" ht="11.25" customHeight="1">
      <c r="A44" s="12">
        <f t="shared" si="1"/>
        <v>42</v>
      </c>
      <c r="B44" s="15" t="s">
        <v>24</v>
      </c>
      <c r="C44" s="17" t="s">
        <v>211</v>
      </c>
      <c r="D44" s="17" t="s">
        <v>958</v>
      </c>
      <c r="E44" s="25" t="s">
        <v>647</v>
      </c>
      <c r="F44" s="25" t="s">
        <v>809</v>
      </c>
      <c r="G44" s="25" t="s">
        <v>36</v>
      </c>
      <c r="H44" s="95">
        <v>46126.0</v>
      </c>
      <c r="I44" s="17">
        <v>0.0</v>
      </c>
      <c r="J44" s="25" t="s">
        <v>38</v>
      </c>
      <c r="K44" s="28">
        <v>0.0</v>
      </c>
      <c r="L44" s="28">
        <v>30000.0</v>
      </c>
      <c r="M44" s="28">
        <v>0.0</v>
      </c>
      <c r="N44" s="28">
        <v>0.0</v>
      </c>
      <c r="O44" s="28">
        <v>0.0</v>
      </c>
      <c r="P44" s="33"/>
    </row>
    <row r="45" ht="11.25" customHeight="1">
      <c r="A45" s="12">
        <f t="shared" si="1"/>
        <v>43</v>
      </c>
      <c r="B45" s="15" t="s">
        <v>24</v>
      </c>
      <c r="C45" s="17" t="s">
        <v>211</v>
      </c>
      <c r="D45" s="17" t="s">
        <v>960</v>
      </c>
      <c r="E45" s="25" t="s">
        <v>647</v>
      </c>
      <c r="F45" s="23" t="s">
        <v>961</v>
      </c>
      <c r="G45" s="25" t="s">
        <v>36</v>
      </c>
      <c r="H45" s="95">
        <v>46126.0</v>
      </c>
      <c r="I45" s="17">
        <v>0.0</v>
      </c>
      <c r="J45" s="25" t="s">
        <v>38</v>
      </c>
      <c r="K45" s="28">
        <v>0.0</v>
      </c>
      <c r="L45" s="28">
        <v>130000.0</v>
      </c>
      <c r="M45" s="28">
        <v>0.0</v>
      </c>
      <c r="N45" s="28">
        <v>0.0</v>
      </c>
      <c r="O45" s="28">
        <v>0.0</v>
      </c>
      <c r="P45" s="33"/>
    </row>
    <row r="46" ht="11.25" customHeight="1">
      <c r="A46" s="12">
        <f t="shared" si="1"/>
        <v>44</v>
      </c>
      <c r="B46" s="15" t="s">
        <v>24</v>
      </c>
      <c r="C46" s="17" t="s">
        <v>122</v>
      </c>
      <c r="D46" s="17" t="s">
        <v>962</v>
      </c>
      <c r="E46" s="23" t="s">
        <v>60</v>
      </c>
      <c r="F46" s="23" t="s">
        <v>963</v>
      </c>
      <c r="G46" s="25" t="s">
        <v>36</v>
      </c>
      <c r="H46" s="95">
        <v>46126.0</v>
      </c>
      <c r="I46" s="17">
        <v>1.0</v>
      </c>
      <c r="J46" s="25" t="s">
        <v>38</v>
      </c>
      <c r="K46" s="28">
        <v>5500.0</v>
      </c>
      <c r="L46" s="28">
        <v>0.0</v>
      </c>
      <c r="M46" s="28">
        <v>0.0</v>
      </c>
      <c r="N46" s="28">
        <v>0.0</v>
      </c>
      <c r="O46" s="28">
        <v>0.0</v>
      </c>
      <c r="P46" s="33"/>
    </row>
    <row r="47" ht="11.25" customHeight="1">
      <c r="A47" s="12">
        <f t="shared" si="1"/>
        <v>45</v>
      </c>
      <c r="B47" s="15" t="s">
        <v>24</v>
      </c>
      <c r="C47" s="17" t="s">
        <v>211</v>
      </c>
      <c r="D47" s="17" t="s">
        <v>966</v>
      </c>
      <c r="E47" s="23" t="s">
        <v>49</v>
      </c>
      <c r="F47" s="23" t="s">
        <v>967</v>
      </c>
      <c r="G47" s="23" t="s">
        <v>55</v>
      </c>
      <c r="H47" s="95">
        <v>46126.0</v>
      </c>
      <c r="I47" s="17">
        <v>1.0</v>
      </c>
      <c r="J47" s="23" t="s">
        <v>38</v>
      </c>
      <c r="K47" s="28">
        <v>100000.0</v>
      </c>
      <c r="L47" s="28">
        <v>0.0</v>
      </c>
      <c r="M47" s="28">
        <v>0.0</v>
      </c>
      <c r="N47" s="28">
        <v>0.0</v>
      </c>
      <c r="O47" s="28">
        <v>0.0</v>
      </c>
      <c r="P47" s="33"/>
    </row>
    <row r="48" ht="11.25" customHeight="1">
      <c r="A48" s="12">
        <f t="shared" si="1"/>
        <v>46</v>
      </c>
      <c r="B48" s="15" t="s">
        <v>24</v>
      </c>
      <c r="C48" s="17" t="s">
        <v>122</v>
      </c>
      <c r="D48" s="17" t="s">
        <v>969</v>
      </c>
      <c r="E48" s="25" t="s">
        <v>60</v>
      </c>
      <c r="F48" s="25" t="s">
        <v>161</v>
      </c>
      <c r="G48" s="25" t="s">
        <v>36</v>
      </c>
      <c r="H48" s="95">
        <v>46126.0</v>
      </c>
      <c r="I48" s="15">
        <v>0.0</v>
      </c>
      <c r="J48" s="25" t="s">
        <v>57</v>
      </c>
      <c r="K48" s="28">
        <v>7300.0</v>
      </c>
      <c r="L48" s="28">
        <v>0.0</v>
      </c>
      <c r="M48" s="28">
        <v>0.0</v>
      </c>
      <c r="N48" s="28">
        <v>0.0</v>
      </c>
      <c r="O48" s="28">
        <v>0.0</v>
      </c>
      <c r="P48" s="33"/>
    </row>
    <row r="49" ht="11.25" customHeight="1">
      <c r="A49" s="12">
        <f t="shared" si="1"/>
        <v>47</v>
      </c>
      <c r="B49" s="15" t="s">
        <v>24</v>
      </c>
      <c r="C49" s="17" t="s">
        <v>211</v>
      </c>
      <c r="D49" s="17" t="s">
        <v>971</v>
      </c>
      <c r="E49" s="71" t="s">
        <v>84</v>
      </c>
      <c r="F49" s="72" t="s">
        <v>324</v>
      </c>
      <c r="G49" s="25" t="s">
        <v>36</v>
      </c>
      <c r="H49" s="95">
        <v>46126.0</v>
      </c>
      <c r="I49" s="17">
        <v>0.0</v>
      </c>
      <c r="J49" s="25" t="s">
        <v>38</v>
      </c>
      <c r="K49" s="28">
        <v>25000.0</v>
      </c>
      <c r="L49" s="28">
        <v>0.0</v>
      </c>
      <c r="M49" s="28">
        <v>0.0</v>
      </c>
      <c r="N49" s="28">
        <v>0.0</v>
      </c>
      <c r="O49" s="28">
        <v>0.0</v>
      </c>
      <c r="P49" s="33"/>
    </row>
    <row r="50" ht="11.25" customHeight="1">
      <c r="A50" s="12">
        <f t="shared" si="1"/>
        <v>48</v>
      </c>
      <c r="B50" s="15" t="s">
        <v>24</v>
      </c>
      <c r="C50" s="17" t="s">
        <v>122</v>
      </c>
      <c r="D50" s="17" t="s">
        <v>972</v>
      </c>
      <c r="E50" s="23" t="s">
        <v>142</v>
      </c>
      <c r="F50" s="23" t="s">
        <v>974</v>
      </c>
      <c r="G50" s="25" t="s">
        <v>36</v>
      </c>
      <c r="H50" s="95">
        <v>46126.0</v>
      </c>
      <c r="I50" s="17">
        <v>1.0</v>
      </c>
      <c r="J50" s="25" t="s">
        <v>38</v>
      </c>
      <c r="K50" s="28">
        <v>1000.0</v>
      </c>
      <c r="L50" s="28">
        <v>0.0</v>
      </c>
      <c r="M50" s="28">
        <v>0.0</v>
      </c>
      <c r="N50" s="28">
        <v>0.0</v>
      </c>
      <c r="O50" s="28">
        <v>0.0</v>
      </c>
      <c r="P50" s="33"/>
    </row>
    <row r="51" ht="11.25" customHeight="1">
      <c r="A51" s="12">
        <f t="shared" si="1"/>
        <v>49</v>
      </c>
      <c r="B51" s="15" t="s">
        <v>24</v>
      </c>
      <c r="C51" s="17" t="s">
        <v>122</v>
      </c>
      <c r="D51" s="17" t="s">
        <v>976</v>
      </c>
      <c r="E51" s="23" t="s">
        <v>977</v>
      </c>
      <c r="F51" s="23" t="s">
        <v>979</v>
      </c>
      <c r="G51" s="25" t="s">
        <v>36</v>
      </c>
      <c r="H51" s="95">
        <v>46126.0</v>
      </c>
      <c r="I51" s="17">
        <v>1.0</v>
      </c>
      <c r="J51" s="25" t="s">
        <v>38</v>
      </c>
      <c r="K51" s="28">
        <v>20000.0</v>
      </c>
      <c r="L51" s="28">
        <v>0.0</v>
      </c>
      <c r="M51" s="28">
        <v>0.0</v>
      </c>
      <c r="N51" s="28">
        <v>0.0</v>
      </c>
      <c r="O51" s="28">
        <v>0.0</v>
      </c>
      <c r="P51" s="33"/>
    </row>
    <row r="52" ht="11.25" customHeight="1">
      <c r="A52" s="12">
        <f t="shared" si="1"/>
        <v>50</v>
      </c>
      <c r="B52" s="15" t="s">
        <v>24</v>
      </c>
      <c r="C52" s="17" t="s">
        <v>122</v>
      </c>
      <c r="D52" s="17" t="s">
        <v>981</v>
      </c>
      <c r="E52" s="78" t="s">
        <v>191</v>
      </c>
      <c r="F52" s="78" t="s">
        <v>1429</v>
      </c>
      <c r="G52" s="78" t="s">
        <v>36</v>
      </c>
      <c r="H52" s="95">
        <v>46126.0</v>
      </c>
      <c r="I52" s="194">
        <v>0.0</v>
      </c>
      <c r="J52" s="78" t="s">
        <v>38</v>
      </c>
      <c r="K52" s="101">
        <v>0.0</v>
      </c>
      <c r="L52" s="101">
        <v>100000.0</v>
      </c>
      <c r="M52" s="101">
        <v>0.0</v>
      </c>
      <c r="N52" s="101">
        <v>0.0</v>
      </c>
      <c r="O52" s="101">
        <v>0.0</v>
      </c>
      <c r="P52" s="33"/>
    </row>
    <row r="53" ht="11.25" customHeight="1">
      <c r="A53" s="12">
        <f t="shared" si="1"/>
        <v>51</v>
      </c>
      <c r="B53" s="15" t="s">
        <v>24</v>
      </c>
      <c r="C53" s="17" t="s">
        <v>122</v>
      </c>
      <c r="D53" s="17" t="s">
        <v>982</v>
      </c>
      <c r="E53" s="78" t="s">
        <v>487</v>
      </c>
      <c r="F53" s="78" t="s">
        <v>1429</v>
      </c>
      <c r="G53" s="25" t="s">
        <v>37</v>
      </c>
      <c r="H53" s="95">
        <v>46126.0</v>
      </c>
      <c r="I53" s="194">
        <v>1.0</v>
      </c>
      <c r="J53" s="78" t="s">
        <v>38</v>
      </c>
      <c r="K53" s="101">
        <v>0.0</v>
      </c>
      <c r="L53" s="101">
        <v>50000.0</v>
      </c>
      <c r="M53" s="101">
        <v>0.0</v>
      </c>
      <c r="N53" s="101">
        <v>0.0</v>
      </c>
      <c r="O53" s="101">
        <v>0.0</v>
      </c>
      <c r="P53" s="33"/>
    </row>
    <row r="54" ht="11.25" customHeight="1">
      <c r="A54" s="12">
        <f t="shared" si="1"/>
        <v>52</v>
      </c>
      <c r="B54" s="15" t="s">
        <v>24</v>
      </c>
      <c r="C54" s="17" t="s">
        <v>122</v>
      </c>
      <c r="D54" s="17" t="s">
        <v>984</v>
      </c>
      <c r="E54" s="23" t="s">
        <v>142</v>
      </c>
      <c r="F54" s="23" t="s">
        <v>985</v>
      </c>
      <c r="G54" s="25" t="s">
        <v>36</v>
      </c>
      <c r="H54" s="95">
        <v>46126.0</v>
      </c>
      <c r="I54" s="17">
        <v>1.0</v>
      </c>
      <c r="J54" s="25" t="s">
        <v>38</v>
      </c>
      <c r="K54" s="28">
        <v>5000.0</v>
      </c>
      <c r="L54" s="28">
        <v>0.0</v>
      </c>
      <c r="M54" s="28">
        <v>0.0</v>
      </c>
      <c r="N54" s="28">
        <v>0.0</v>
      </c>
      <c r="O54" s="28">
        <v>0.0</v>
      </c>
      <c r="P54" s="33"/>
    </row>
    <row r="55" ht="11.25" customHeight="1">
      <c r="A55" s="12">
        <f t="shared" si="1"/>
        <v>53</v>
      </c>
      <c r="B55" s="15" t="s">
        <v>24</v>
      </c>
      <c r="C55" s="17" t="s">
        <v>122</v>
      </c>
      <c r="D55" s="17" t="s">
        <v>987</v>
      </c>
      <c r="E55" s="23" t="s">
        <v>142</v>
      </c>
      <c r="F55" s="23" t="s">
        <v>988</v>
      </c>
      <c r="G55" s="25" t="s">
        <v>36</v>
      </c>
      <c r="H55" s="95">
        <v>46126.0</v>
      </c>
      <c r="I55" s="17">
        <v>1.0</v>
      </c>
      <c r="J55" s="25" t="s">
        <v>38</v>
      </c>
      <c r="K55" s="28">
        <v>2000.0</v>
      </c>
      <c r="L55" s="28">
        <v>0.0</v>
      </c>
      <c r="M55" s="28">
        <v>0.0</v>
      </c>
      <c r="N55" s="28">
        <v>0.0</v>
      </c>
      <c r="O55" s="28">
        <v>0.0</v>
      </c>
      <c r="P55" s="33"/>
    </row>
    <row r="56" ht="11.25" customHeight="1">
      <c r="A56" s="261">
        <f t="shared" si="1"/>
        <v>54</v>
      </c>
      <c r="B56" s="15" t="s">
        <v>24</v>
      </c>
      <c r="C56" s="17" t="s">
        <v>122</v>
      </c>
      <c r="D56" s="17" t="s">
        <v>990</v>
      </c>
      <c r="E56" s="25" t="s">
        <v>92</v>
      </c>
      <c r="F56" s="25" t="s">
        <v>700</v>
      </c>
      <c r="G56" s="25" t="s">
        <v>36</v>
      </c>
      <c r="H56" s="95">
        <v>46126.0</v>
      </c>
      <c r="I56" s="15">
        <v>0.0</v>
      </c>
      <c r="J56" s="25" t="s">
        <v>38</v>
      </c>
      <c r="K56" s="28">
        <v>0.0</v>
      </c>
      <c r="L56" s="28">
        <v>10000.0</v>
      </c>
      <c r="M56" s="28">
        <v>0.0</v>
      </c>
      <c r="N56" s="28">
        <v>0.0</v>
      </c>
      <c r="O56" s="28">
        <v>0.0</v>
      </c>
      <c r="P56" s="33"/>
      <c r="Q56" s="167"/>
      <c r="R56" s="167"/>
      <c r="S56" s="167"/>
      <c r="T56" s="167"/>
      <c r="U56" s="167"/>
      <c r="V56" s="167"/>
      <c r="W56" s="167"/>
      <c r="X56" s="167"/>
      <c r="Y56" s="167"/>
      <c r="Z56" s="167"/>
    </row>
    <row r="57" ht="11.25" customHeight="1">
      <c r="A57" s="12">
        <f t="shared" si="1"/>
        <v>55</v>
      </c>
      <c r="B57" s="15" t="s">
        <v>24</v>
      </c>
      <c r="C57" s="17" t="s">
        <v>122</v>
      </c>
      <c r="D57" s="17" t="s">
        <v>991</v>
      </c>
      <c r="E57" s="25" t="s">
        <v>377</v>
      </c>
      <c r="F57" s="25" t="s">
        <v>582</v>
      </c>
      <c r="G57" s="25" t="s">
        <v>36</v>
      </c>
      <c r="H57" s="95">
        <v>46126.0</v>
      </c>
      <c r="I57" s="15">
        <v>0.0</v>
      </c>
      <c r="J57" s="25" t="s">
        <v>38</v>
      </c>
      <c r="K57" s="28">
        <v>250000.0</v>
      </c>
      <c r="L57" s="28">
        <v>0.0</v>
      </c>
      <c r="M57" s="76">
        <v>0.0</v>
      </c>
      <c r="N57" s="28">
        <v>0.0</v>
      </c>
      <c r="O57" s="77">
        <v>0.0</v>
      </c>
      <c r="P57" s="33"/>
    </row>
    <row r="58" ht="11.25" customHeight="1">
      <c r="A58" s="12">
        <f t="shared" si="1"/>
        <v>56</v>
      </c>
      <c r="B58" s="15" t="s">
        <v>24</v>
      </c>
      <c r="C58" s="17" t="s">
        <v>122</v>
      </c>
      <c r="D58" s="17" t="s">
        <v>992</v>
      </c>
      <c r="E58" s="23" t="s">
        <v>977</v>
      </c>
      <c r="F58" s="23" t="s">
        <v>979</v>
      </c>
      <c r="G58" s="25" t="s">
        <v>36</v>
      </c>
      <c r="H58" s="73">
        <v>46127.0</v>
      </c>
      <c r="I58" s="17">
        <v>0.0</v>
      </c>
      <c r="J58" s="25" t="s">
        <v>38</v>
      </c>
      <c r="K58" s="28">
        <v>0.0</v>
      </c>
      <c r="L58" s="28">
        <v>0.0</v>
      </c>
      <c r="M58" s="28">
        <v>0.0</v>
      </c>
      <c r="N58" s="28">
        <v>100000.0</v>
      </c>
      <c r="O58" s="28">
        <v>0.0</v>
      </c>
      <c r="P58" s="73">
        <v>46149.0</v>
      </c>
    </row>
    <row r="59" ht="11.25" customHeight="1">
      <c r="A59" s="12">
        <f t="shared" si="1"/>
        <v>57</v>
      </c>
      <c r="B59" s="15" t="s">
        <v>24</v>
      </c>
      <c r="C59" s="17" t="s">
        <v>122</v>
      </c>
      <c r="D59" s="17" t="s">
        <v>993</v>
      </c>
      <c r="E59" s="23" t="s">
        <v>977</v>
      </c>
      <c r="F59" s="23" t="s">
        <v>979</v>
      </c>
      <c r="G59" s="25" t="s">
        <v>36</v>
      </c>
      <c r="H59" s="73">
        <v>46127.0</v>
      </c>
      <c r="I59" s="17">
        <v>0.0</v>
      </c>
      <c r="J59" s="25" t="s">
        <v>38</v>
      </c>
      <c r="K59" s="28">
        <v>0.0</v>
      </c>
      <c r="L59" s="28">
        <v>0.0</v>
      </c>
      <c r="M59" s="28">
        <v>0.0</v>
      </c>
      <c r="N59" s="28">
        <v>80000.0</v>
      </c>
      <c r="O59" s="28">
        <v>0.0</v>
      </c>
      <c r="P59" s="73">
        <v>46134.0</v>
      </c>
    </row>
    <row r="60" ht="11.25" customHeight="1">
      <c r="A60" s="12">
        <f t="shared" si="1"/>
        <v>58</v>
      </c>
      <c r="B60" s="15" t="s">
        <v>24</v>
      </c>
      <c r="C60" s="17" t="s">
        <v>122</v>
      </c>
      <c r="D60" s="17" t="s">
        <v>994</v>
      </c>
      <c r="E60" s="23" t="s">
        <v>977</v>
      </c>
      <c r="F60" s="23" t="s">
        <v>979</v>
      </c>
      <c r="G60" s="25" t="s">
        <v>36</v>
      </c>
      <c r="H60" s="73">
        <v>46127.0</v>
      </c>
      <c r="I60" s="17">
        <v>0.0</v>
      </c>
      <c r="J60" s="25" t="s">
        <v>38</v>
      </c>
      <c r="K60" s="28">
        <v>0.0</v>
      </c>
      <c r="L60" s="28">
        <v>0.0</v>
      </c>
      <c r="M60" s="28">
        <v>0.0</v>
      </c>
      <c r="N60" s="28">
        <v>300000.0</v>
      </c>
      <c r="O60" s="28">
        <v>0.0</v>
      </c>
      <c r="P60" s="73">
        <v>46193.0</v>
      </c>
    </row>
    <row r="61" ht="11.25" customHeight="1">
      <c r="A61" s="12">
        <f t="shared" si="1"/>
        <v>59</v>
      </c>
      <c r="B61" s="15" t="s">
        <v>24</v>
      </c>
      <c r="C61" s="258"/>
      <c r="D61" s="211" t="s">
        <v>308</v>
      </c>
      <c r="E61" s="25"/>
      <c r="F61" s="25" t="s">
        <v>32</v>
      </c>
      <c r="G61" s="25" t="s">
        <v>34</v>
      </c>
      <c r="H61" s="26">
        <v>46127.0</v>
      </c>
      <c r="I61" s="15">
        <v>0.0</v>
      </c>
      <c r="J61" s="25" t="s">
        <v>57</v>
      </c>
      <c r="K61" s="28">
        <v>0.0</v>
      </c>
      <c r="L61" s="28">
        <v>50000.0</v>
      </c>
      <c r="M61" s="28">
        <v>0.0</v>
      </c>
      <c r="N61" s="28">
        <v>0.0</v>
      </c>
      <c r="O61" s="28">
        <v>0.0</v>
      </c>
      <c r="P61" s="193"/>
    </row>
    <row r="62" ht="11.25" customHeight="1">
      <c r="A62" s="12">
        <f t="shared" si="1"/>
        <v>60</v>
      </c>
      <c r="B62" s="15" t="s">
        <v>24</v>
      </c>
      <c r="C62" s="17" t="s">
        <v>122</v>
      </c>
      <c r="D62" s="17" t="s">
        <v>996</v>
      </c>
      <c r="E62" s="25" t="s">
        <v>184</v>
      </c>
      <c r="F62" s="25" t="s">
        <v>449</v>
      </c>
      <c r="G62" s="25" t="s">
        <v>37</v>
      </c>
      <c r="H62" s="95">
        <v>46128.0</v>
      </c>
      <c r="I62" s="15">
        <v>0.0</v>
      </c>
      <c r="J62" s="25" t="s">
        <v>57</v>
      </c>
      <c r="K62" s="28">
        <v>5000.0</v>
      </c>
      <c r="L62" s="100">
        <v>0.0</v>
      </c>
      <c r="M62" s="100">
        <v>0.0</v>
      </c>
      <c r="N62" s="100">
        <v>0.0</v>
      </c>
      <c r="O62" s="100">
        <v>0.0</v>
      </c>
      <c r="P62" s="33"/>
    </row>
    <row r="63" ht="11.25" customHeight="1">
      <c r="A63" s="12">
        <f t="shared" si="1"/>
        <v>61</v>
      </c>
      <c r="B63" s="15" t="s">
        <v>24</v>
      </c>
      <c r="C63" s="17" t="s">
        <v>122</v>
      </c>
      <c r="D63" s="17" t="s">
        <v>999</v>
      </c>
      <c r="E63" s="23" t="s">
        <v>142</v>
      </c>
      <c r="F63" s="23" t="s">
        <v>1000</v>
      </c>
      <c r="G63" s="25" t="s">
        <v>36</v>
      </c>
      <c r="H63" s="73">
        <v>46128.0</v>
      </c>
      <c r="I63" s="15">
        <v>0.0</v>
      </c>
      <c r="J63" s="25" t="s">
        <v>57</v>
      </c>
      <c r="K63" s="28">
        <v>12000.0</v>
      </c>
      <c r="L63" s="100">
        <v>0.0</v>
      </c>
      <c r="M63" s="100">
        <v>0.0</v>
      </c>
      <c r="N63" s="100">
        <v>0.0</v>
      </c>
      <c r="O63" s="100">
        <v>0.0</v>
      </c>
      <c r="P63" s="33"/>
    </row>
    <row r="64" ht="11.25" customHeight="1">
      <c r="A64" s="12">
        <f t="shared" si="1"/>
        <v>62</v>
      </c>
      <c r="B64" s="15" t="s">
        <v>24</v>
      </c>
      <c r="C64" s="17" t="s">
        <v>122</v>
      </c>
      <c r="D64" s="17" t="s">
        <v>1002</v>
      </c>
      <c r="E64" s="25" t="s">
        <v>191</v>
      </c>
      <c r="F64" s="25" t="s">
        <v>316</v>
      </c>
      <c r="G64" s="25" t="s">
        <v>36</v>
      </c>
      <c r="H64" s="95">
        <v>46128.0</v>
      </c>
      <c r="I64" s="15">
        <v>0.0</v>
      </c>
      <c r="J64" s="153" t="s">
        <v>57</v>
      </c>
      <c r="K64" s="28">
        <v>10000.0</v>
      </c>
      <c r="L64" s="100">
        <v>0.0</v>
      </c>
      <c r="M64" s="100">
        <v>0.0</v>
      </c>
      <c r="N64" s="100">
        <v>0.0</v>
      </c>
      <c r="O64" s="100">
        <v>0.0</v>
      </c>
      <c r="P64" s="33"/>
    </row>
    <row r="65" ht="11.25" customHeight="1">
      <c r="A65" s="12">
        <f t="shared" si="1"/>
        <v>63</v>
      </c>
      <c r="B65" s="15" t="s">
        <v>24</v>
      </c>
      <c r="C65" s="211" t="s">
        <v>122</v>
      </c>
      <c r="D65" s="211" t="s">
        <v>296</v>
      </c>
      <c r="E65" s="72" t="s">
        <v>116</v>
      </c>
      <c r="F65" s="72" t="s">
        <v>286</v>
      </c>
      <c r="G65" s="25" t="s">
        <v>34</v>
      </c>
      <c r="H65" s="26">
        <v>46128.0</v>
      </c>
      <c r="I65" s="211">
        <v>0.0</v>
      </c>
      <c r="J65" s="25" t="s">
        <v>38</v>
      </c>
      <c r="K65" s="215">
        <v>0.0</v>
      </c>
      <c r="L65" s="28">
        <v>500000.0</v>
      </c>
      <c r="M65" s="28">
        <v>0.0</v>
      </c>
      <c r="N65" s="215">
        <v>0.0</v>
      </c>
      <c r="O65" s="215">
        <v>0.0</v>
      </c>
      <c r="P65" s="30">
        <v>46126.0</v>
      </c>
    </row>
    <row r="66" ht="11.25" customHeight="1">
      <c r="A66" s="12">
        <f t="shared" si="1"/>
        <v>64</v>
      </c>
      <c r="B66" s="15" t="s">
        <v>24</v>
      </c>
      <c r="C66" s="17"/>
      <c r="D66" s="17" t="s">
        <v>1004</v>
      </c>
      <c r="E66" s="25" t="s">
        <v>27</v>
      </c>
      <c r="F66" s="25" t="s">
        <v>780</v>
      </c>
      <c r="G66" s="25" t="s">
        <v>36</v>
      </c>
      <c r="H66" s="95">
        <v>46130.0</v>
      </c>
      <c r="I66" s="15">
        <v>0.0</v>
      </c>
      <c r="J66" s="25" t="s">
        <v>57</v>
      </c>
      <c r="K66" s="28">
        <v>10000.0</v>
      </c>
      <c r="L66" s="28">
        <v>0.0</v>
      </c>
      <c r="M66" s="28">
        <v>0.0</v>
      </c>
      <c r="N66" s="76">
        <v>0.0</v>
      </c>
      <c r="O66" s="77">
        <v>0.0</v>
      </c>
      <c r="P66" s="73"/>
    </row>
    <row r="67" ht="11.25" customHeight="1">
      <c r="A67" s="12">
        <f t="shared" si="1"/>
        <v>65</v>
      </c>
      <c r="B67" s="15" t="s">
        <v>24</v>
      </c>
      <c r="C67" s="17" t="s">
        <v>122</v>
      </c>
      <c r="D67" s="17" t="s">
        <v>997</v>
      </c>
      <c r="E67" s="23" t="s">
        <v>142</v>
      </c>
      <c r="F67" s="23" t="s">
        <v>1471</v>
      </c>
      <c r="G67" s="25" t="s">
        <v>36</v>
      </c>
      <c r="H67" s="95">
        <v>46132.0</v>
      </c>
      <c r="I67" s="17">
        <v>1.0</v>
      </c>
      <c r="J67" s="25" t="s">
        <v>38</v>
      </c>
      <c r="K67" s="28">
        <v>0.0</v>
      </c>
      <c r="L67" s="199">
        <v>0.0</v>
      </c>
      <c r="M67" s="199">
        <v>50000.0</v>
      </c>
      <c r="N67" s="199">
        <v>0.0</v>
      </c>
      <c r="O67" s="100">
        <v>0.0</v>
      </c>
      <c r="P67" s="73">
        <v>46128.0</v>
      </c>
    </row>
    <row r="68" ht="11.25" customHeight="1">
      <c r="A68" s="12">
        <f t="shared" si="1"/>
        <v>66</v>
      </c>
      <c r="B68" s="15" t="s">
        <v>24</v>
      </c>
      <c r="C68" s="17" t="s">
        <v>1010</v>
      </c>
      <c r="D68" s="17" t="s">
        <v>1011</v>
      </c>
      <c r="E68" s="23" t="s">
        <v>1012</v>
      </c>
      <c r="F68" s="23" t="s">
        <v>1013</v>
      </c>
      <c r="G68" s="25" t="s">
        <v>36</v>
      </c>
      <c r="H68" s="95">
        <v>46132.0</v>
      </c>
      <c r="I68" s="17">
        <v>1.0</v>
      </c>
      <c r="J68" s="25" t="s">
        <v>38</v>
      </c>
      <c r="K68" s="28">
        <v>190000.0</v>
      </c>
      <c r="L68" s="28">
        <v>0.0</v>
      </c>
      <c r="M68" s="28">
        <v>0.0</v>
      </c>
      <c r="N68" s="76">
        <v>0.0</v>
      </c>
      <c r="O68" s="77">
        <v>0.0</v>
      </c>
      <c r="P68" s="193"/>
    </row>
    <row r="69" ht="11.25" customHeight="1">
      <c r="A69" s="12">
        <f t="shared" si="1"/>
        <v>67</v>
      </c>
      <c r="B69" s="15" t="s">
        <v>24</v>
      </c>
      <c r="C69" s="17"/>
      <c r="D69" s="17" t="s">
        <v>1018</v>
      </c>
      <c r="E69" s="23" t="s">
        <v>1019</v>
      </c>
      <c r="F69" s="23" t="s">
        <v>1021</v>
      </c>
      <c r="G69" s="25" t="s">
        <v>36</v>
      </c>
      <c r="H69" s="95">
        <v>46132.0</v>
      </c>
      <c r="I69" s="17">
        <v>1.0</v>
      </c>
      <c r="J69" s="25" t="s">
        <v>38</v>
      </c>
      <c r="K69" s="28">
        <v>50000.0</v>
      </c>
      <c r="L69" s="28">
        <v>0.0</v>
      </c>
      <c r="M69" s="28">
        <v>0.0</v>
      </c>
      <c r="N69" s="76">
        <v>0.0</v>
      </c>
      <c r="O69" s="77">
        <v>0.0</v>
      </c>
      <c r="P69" s="193"/>
    </row>
    <row r="70" ht="11.25" customHeight="1">
      <c r="A70" s="12">
        <f t="shared" si="1"/>
        <v>68</v>
      </c>
      <c r="B70" s="15" t="s">
        <v>24</v>
      </c>
      <c r="C70" s="17"/>
      <c r="D70" s="17" t="s">
        <v>1015</v>
      </c>
      <c r="E70" s="23" t="s">
        <v>1016</v>
      </c>
      <c r="F70" s="23" t="s">
        <v>1017</v>
      </c>
      <c r="G70" s="25" t="s">
        <v>37</v>
      </c>
      <c r="H70" s="73">
        <v>46133.0</v>
      </c>
      <c r="I70" s="17">
        <v>0.0</v>
      </c>
      <c r="J70" s="25" t="s">
        <v>38</v>
      </c>
      <c r="K70" s="28">
        <v>30000.0</v>
      </c>
      <c r="L70" s="100">
        <v>0.0</v>
      </c>
      <c r="M70" s="100">
        <v>0.0</v>
      </c>
      <c r="N70" s="100">
        <v>0.0</v>
      </c>
      <c r="O70" s="100">
        <v>0.0</v>
      </c>
      <c r="P70" s="193"/>
    </row>
    <row r="71" ht="11.25" customHeight="1">
      <c r="A71" s="12">
        <f t="shared" si="1"/>
        <v>69</v>
      </c>
      <c r="B71" s="15" t="s">
        <v>24</v>
      </c>
      <c r="C71" s="17" t="s">
        <v>122</v>
      </c>
      <c r="D71" s="17" t="s">
        <v>1026</v>
      </c>
      <c r="E71" s="23" t="s">
        <v>142</v>
      </c>
      <c r="F71" s="25" t="s">
        <v>802</v>
      </c>
      <c r="G71" s="25" t="s">
        <v>36</v>
      </c>
      <c r="H71" s="272">
        <v>46134.0</v>
      </c>
      <c r="I71" s="17">
        <v>0.0</v>
      </c>
      <c r="J71" s="25" t="s">
        <v>38</v>
      </c>
      <c r="K71" s="28">
        <v>50000.0</v>
      </c>
      <c r="L71" s="28">
        <v>0.0</v>
      </c>
      <c r="M71" s="28">
        <v>0.0</v>
      </c>
      <c r="N71" s="28">
        <v>0.0</v>
      </c>
      <c r="O71" s="28">
        <v>0.0</v>
      </c>
      <c r="P71" s="193"/>
    </row>
    <row r="72" ht="11.25" customHeight="1">
      <c r="A72" s="12">
        <f t="shared" si="1"/>
        <v>70</v>
      </c>
      <c r="B72" s="15" t="s">
        <v>24</v>
      </c>
      <c r="C72" s="17"/>
      <c r="D72" s="17" t="s">
        <v>1028</v>
      </c>
      <c r="E72" s="25" t="s">
        <v>84</v>
      </c>
      <c r="F72" s="25" t="s">
        <v>270</v>
      </c>
      <c r="G72" s="25" t="s">
        <v>36</v>
      </c>
      <c r="H72" s="272">
        <v>46135.0</v>
      </c>
      <c r="I72" s="15">
        <v>0.0</v>
      </c>
      <c r="J72" s="25" t="s">
        <v>38</v>
      </c>
      <c r="K72" s="28">
        <v>25000.0</v>
      </c>
      <c r="L72" s="28">
        <v>0.0</v>
      </c>
      <c r="M72" s="28">
        <v>0.0</v>
      </c>
      <c r="N72" s="28">
        <v>0.0</v>
      </c>
      <c r="O72" s="28">
        <v>0.0</v>
      </c>
      <c r="P72" s="33"/>
    </row>
    <row r="73" ht="11.25" customHeight="1">
      <c r="A73" s="12">
        <f t="shared" si="1"/>
        <v>71</v>
      </c>
      <c r="B73" s="15" t="s">
        <v>24</v>
      </c>
      <c r="C73" s="17"/>
      <c r="D73" s="17" t="s">
        <v>1030</v>
      </c>
      <c r="E73" s="25" t="s">
        <v>84</v>
      </c>
      <c r="F73" s="25" t="s">
        <v>254</v>
      </c>
      <c r="G73" s="25" t="s">
        <v>36</v>
      </c>
      <c r="H73" s="272">
        <v>46135.0</v>
      </c>
      <c r="I73" s="15">
        <v>0.0</v>
      </c>
      <c r="J73" s="25" t="s">
        <v>38</v>
      </c>
      <c r="K73" s="28">
        <v>25000.0</v>
      </c>
      <c r="L73" s="28">
        <v>0.0</v>
      </c>
      <c r="M73" s="28">
        <v>0.0</v>
      </c>
      <c r="N73" s="28">
        <v>0.0</v>
      </c>
      <c r="O73" s="28">
        <v>0.0</v>
      </c>
      <c r="P73" s="33"/>
    </row>
    <row r="74" ht="11.25" customHeight="1">
      <c r="A74" s="12">
        <f t="shared" si="1"/>
        <v>72</v>
      </c>
      <c r="B74" s="15" t="s">
        <v>24</v>
      </c>
      <c r="C74" s="17"/>
      <c r="D74" s="17" t="s">
        <v>1031</v>
      </c>
      <c r="E74" s="25" t="s">
        <v>44</v>
      </c>
      <c r="F74" s="25" t="s">
        <v>45</v>
      </c>
      <c r="G74" s="25" t="s">
        <v>36</v>
      </c>
      <c r="H74" s="272">
        <v>46135.0</v>
      </c>
      <c r="I74" s="17">
        <v>0.0</v>
      </c>
      <c r="J74" s="23" t="s">
        <v>38</v>
      </c>
      <c r="K74" s="28">
        <v>15000.0</v>
      </c>
      <c r="L74" s="28">
        <v>0.0</v>
      </c>
      <c r="M74" s="28">
        <v>0.0</v>
      </c>
      <c r="N74" s="28">
        <v>0.0</v>
      </c>
      <c r="O74" s="28">
        <v>0.0</v>
      </c>
      <c r="P74" s="33"/>
    </row>
    <row r="75" ht="11.25" customHeight="1">
      <c r="A75" s="12">
        <f t="shared" si="1"/>
        <v>73</v>
      </c>
      <c r="B75" s="15" t="s">
        <v>24</v>
      </c>
      <c r="C75" s="17"/>
      <c r="D75" s="17" t="s">
        <v>1033</v>
      </c>
      <c r="E75" s="25"/>
      <c r="F75" s="25" t="s">
        <v>259</v>
      </c>
      <c r="G75" s="25" t="s">
        <v>36</v>
      </c>
      <c r="H75" s="272">
        <v>46135.0</v>
      </c>
      <c r="I75" s="15">
        <v>0.0</v>
      </c>
      <c r="J75" s="25" t="s">
        <v>57</v>
      </c>
      <c r="K75" s="28">
        <v>10000.0</v>
      </c>
      <c r="L75" s="100">
        <v>0.0</v>
      </c>
      <c r="M75" s="100">
        <v>0.0</v>
      </c>
      <c r="N75" s="100">
        <v>0.0</v>
      </c>
      <c r="O75" s="100">
        <v>0.0</v>
      </c>
      <c r="P75" s="33"/>
    </row>
    <row r="76" ht="11.25" customHeight="1">
      <c r="A76" s="12">
        <f t="shared" si="1"/>
        <v>74</v>
      </c>
      <c r="B76" s="15" t="s">
        <v>24</v>
      </c>
      <c r="C76" s="275"/>
      <c r="D76" s="244" t="s">
        <v>1036</v>
      </c>
      <c r="E76" s="219" t="s">
        <v>49</v>
      </c>
      <c r="F76" s="219" t="s">
        <v>967</v>
      </c>
      <c r="G76" s="219" t="s">
        <v>55</v>
      </c>
      <c r="H76" s="243">
        <v>46139.0</v>
      </c>
      <c r="I76" s="244">
        <v>0.0</v>
      </c>
      <c r="J76" s="219" t="s">
        <v>38</v>
      </c>
      <c r="K76" s="233">
        <v>100000.0</v>
      </c>
      <c r="L76" s="233">
        <v>0.0</v>
      </c>
      <c r="M76" s="233">
        <v>0.0</v>
      </c>
      <c r="N76" s="233">
        <v>0.0</v>
      </c>
      <c r="O76" s="233">
        <v>0.0</v>
      </c>
      <c r="P76" s="33"/>
    </row>
    <row r="77" ht="11.25" customHeight="1">
      <c r="A77" s="12">
        <f t="shared" si="1"/>
        <v>75</v>
      </c>
      <c r="B77" s="15" t="s">
        <v>24</v>
      </c>
      <c r="C77" s="275"/>
      <c r="D77" s="244" t="s">
        <v>1039</v>
      </c>
      <c r="E77" s="219" t="s">
        <v>84</v>
      </c>
      <c r="F77" s="219" t="s">
        <v>324</v>
      </c>
      <c r="G77" s="219" t="s">
        <v>36</v>
      </c>
      <c r="H77" s="243">
        <v>46139.0</v>
      </c>
      <c r="I77" s="244">
        <v>0.0</v>
      </c>
      <c r="J77" s="219" t="s">
        <v>38</v>
      </c>
      <c r="K77" s="233">
        <v>50000.0</v>
      </c>
      <c r="L77" s="233">
        <v>0.0</v>
      </c>
      <c r="M77" s="233">
        <v>0.0</v>
      </c>
      <c r="N77" s="233">
        <v>0.0</v>
      </c>
      <c r="O77" s="233">
        <v>0.0</v>
      </c>
      <c r="P77" s="33"/>
    </row>
    <row r="78" ht="11.25" customHeight="1">
      <c r="A78" s="12">
        <f t="shared" si="1"/>
        <v>76</v>
      </c>
      <c r="B78" s="15" t="s">
        <v>24</v>
      </c>
      <c r="C78" s="275"/>
      <c r="D78" s="244" t="s">
        <v>1041</v>
      </c>
      <c r="E78" s="219" t="s">
        <v>169</v>
      </c>
      <c r="F78" s="219" t="s">
        <v>484</v>
      </c>
      <c r="G78" s="219" t="s">
        <v>36</v>
      </c>
      <c r="H78" s="243">
        <v>46139.0</v>
      </c>
      <c r="I78" s="244">
        <v>0.0</v>
      </c>
      <c r="J78" s="219" t="s">
        <v>38</v>
      </c>
      <c r="K78" s="233">
        <v>5000.0</v>
      </c>
      <c r="L78" s="233">
        <v>0.0</v>
      </c>
      <c r="M78" s="233">
        <v>0.0</v>
      </c>
      <c r="N78" s="233">
        <v>0.0</v>
      </c>
      <c r="O78" s="233">
        <v>0.0</v>
      </c>
      <c r="P78" s="33"/>
    </row>
    <row r="79" ht="11.25" customHeight="1">
      <c r="A79" s="12">
        <f t="shared" si="1"/>
        <v>77</v>
      </c>
      <c r="B79" s="15" t="s">
        <v>24</v>
      </c>
      <c r="C79" s="275"/>
      <c r="D79" s="277" t="s">
        <v>1043</v>
      </c>
      <c r="E79" s="219" t="s">
        <v>977</v>
      </c>
      <c r="F79" s="219" t="s">
        <v>1044</v>
      </c>
      <c r="G79" s="219" t="s">
        <v>37</v>
      </c>
      <c r="H79" s="243">
        <v>46139.0</v>
      </c>
      <c r="I79" s="244">
        <v>1.0</v>
      </c>
      <c r="J79" s="219" t="s">
        <v>38</v>
      </c>
      <c r="K79" s="233">
        <v>5000.0</v>
      </c>
      <c r="L79" s="233">
        <v>0.0</v>
      </c>
      <c r="M79" s="233">
        <v>0.0</v>
      </c>
      <c r="N79" s="233">
        <v>0.0</v>
      </c>
      <c r="O79" s="233">
        <v>0.0</v>
      </c>
      <c r="P79" s="33"/>
    </row>
    <row r="80" ht="11.25" customHeight="1">
      <c r="A80" s="12">
        <f t="shared" si="1"/>
        <v>78</v>
      </c>
      <c r="B80" s="15" t="s">
        <v>24</v>
      </c>
      <c r="C80" s="275"/>
      <c r="D80" s="244" t="s">
        <v>1046</v>
      </c>
      <c r="E80" s="219" t="s">
        <v>977</v>
      </c>
      <c r="F80" s="219" t="s">
        <v>1047</v>
      </c>
      <c r="G80" s="219" t="s">
        <v>36</v>
      </c>
      <c r="H80" s="243">
        <v>46139.0</v>
      </c>
      <c r="I80" s="244">
        <v>1.0</v>
      </c>
      <c r="J80" s="219" t="s">
        <v>38</v>
      </c>
      <c r="K80" s="233">
        <v>5000.0</v>
      </c>
      <c r="L80" s="233">
        <v>0.0</v>
      </c>
      <c r="M80" s="233">
        <v>0.0</v>
      </c>
      <c r="N80" s="233">
        <v>0.0</v>
      </c>
      <c r="O80" s="233">
        <v>0.0</v>
      </c>
      <c r="P80" s="33"/>
    </row>
    <row r="81" ht="11.25" customHeight="1">
      <c r="A81" s="12">
        <f t="shared" si="1"/>
        <v>79</v>
      </c>
      <c r="B81" s="15" t="s">
        <v>24</v>
      </c>
      <c r="C81" s="275"/>
      <c r="D81" s="244" t="s">
        <v>1052</v>
      </c>
      <c r="E81" s="219" t="s">
        <v>92</v>
      </c>
      <c r="F81" s="219" t="s">
        <v>700</v>
      </c>
      <c r="G81" s="219" t="s">
        <v>36</v>
      </c>
      <c r="H81" s="243">
        <v>46139.0</v>
      </c>
      <c r="I81" s="244">
        <v>0.0</v>
      </c>
      <c r="J81" s="219" t="s">
        <v>38</v>
      </c>
      <c r="K81" s="233">
        <v>0.0</v>
      </c>
      <c r="L81" s="233">
        <v>40000.0</v>
      </c>
      <c r="M81" s="233">
        <v>0.0</v>
      </c>
      <c r="N81" s="233">
        <v>0.0</v>
      </c>
      <c r="O81" s="233">
        <v>0.0</v>
      </c>
      <c r="P81" s="33"/>
    </row>
    <row r="82" ht="11.25" customHeight="1">
      <c r="A82" s="12">
        <f t="shared" si="1"/>
        <v>80</v>
      </c>
      <c r="B82" s="15" t="s">
        <v>24</v>
      </c>
      <c r="C82" s="275"/>
      <c r="D82" s="244" t="s">
        <v>1054</v>
      </c>
      <c r="E82" s="219" t="s">
        <v>208</v>
      </c>
      <c r="F82" s="219" t="s">
        <v>208</v>
      </c>
      <c r="G82" s="219" t="s">
        <v>36</v>
      </c>
      <c r="H82" s="243">
        <v>46139.0</v>
      </c>
      <c r="I82" s="244">
        <v>0.0</v>
      </c>
      <c r="J82" s="219" t="s">
        <v>57</v>
      </c>
      <c r="K82" s="233">
        <v>5000.0</v>
      </c>
      <c r="L82" s="233">
        <v>0.0</v>
      </c>
      <c r="M82" s="233">
        <v>0.0</v>
      </c>
      <c r="N82" s="233">
        <v>0.0</v>
      </c>
      <c r="O82" s="233">
        <v>0.0</v>
      </c>
      <c r="P82" s="33"/>
    </row>
    <row r="83" ht="11.25" customHeight="1">
      <c r="A83" s="12">
        <f t="shared" si="1"/>
        <v>81</v>
      </c>
      <c r="B83" s="15" t="s">
        <v>24</v>
      </c>
      <c r="C83" s="211" t="s">
        <v>122</v>
      </c>
      <c r="D83" s="211" t="s">
        <v>305</v>
      </c>
      <c r="E83" s="72" t="s">
        <v>116</v>
      </c>
      <c r="F83" s="72" t="s">
        <v>286</v>
      </c>
      <c r="G83" s="25" t="s">
        <v>34</v>
      </c>
      <c r="H83" s="243">
        <v>46139.0</v>
      </c>
      <c r="I83" s="211">
        <v>0.0</v>
      </c>
      <c r="J83" s="25" t="s">
        <v>38</v>
      </c>
      <c r="K83" s="215">
        <v>0.0</v>
      </c>
      <c r="L83" s="215">
        <v>900000.0</v>
      </c>
      <c r="M83" s="28">
        <v>0.0</v>
      </c>
      <c r="N83" s="215">
        <v>0.0</v>
      </c>
      <c r="O83" s="215">
        <v>0.0</v>
      </c>
      <c r="P83" s="30">
        <v>46126.0</v>
      </c>
    </row>
    <row r="84" ht="11.25" customHeight="1">
      <c r="A84" s="12">
        <f t="shared" si="1"/>
        <v>82</v>
      </c>
      <c r="B84" s="15" t="s">
        <v>24</v>
      </c>
      <c r="C84" s="275"/>
      <c r="D84" s="17" t="s">
        <v>1058</v>
      </c>
      <c r="E84" s="78" t="s">
        <v>191</v>
      </c>
      <c r="F84" s="78" t="s">
        <v>1429</v>
      </c>
      <c r="G84" s="78" t="s">
        <v>36</v>
      </c>
      <c r="H84" s="272">
        <v>46140.0</v>
      </c>
      <c r="I84" s="194">
        <v>0.0</v>
      </c>
      <c r="J84" s="78" t="s">
        <v>38</v>
      </c>
      <c r="K84" s="101">
        <v>0.0</v>
      </c>
      <c r="L84" s="101">
        <v>180000.0</v>
      </c>
      <c r="M84" s="101">
        <v>0.0</v>
      </c>
      <c r="N84" s="101">
        <v>0.0</v>
      </c>
      <c r="O84" s="101">
        <v>0.0</v>
      </c>
      <c r="P84" s="33"/>
    </row>
    <row r="85" ht="11.25" customHeight="1">
      <c r="A85" s="12">
        <f t="shared" si="1"/>
        <v>83</v>
      </c>
      <c r="B85" s="15" t="s">
        <v>24</v>
      </c>
      <c r="C85" s="275"/>
      <c r="D85" s="17" t="s">
        <v>1061</v>
      </c>
      <c r="E85" s="25"/>
      <c r="F85" s="25" t="s">
        <v>181</v>
      </c>
      <c r="G85" s="25" t="s">
        <v>36</v>
      </c>
      <c r="H85" s="272">
        <v>46140.0</v>
      </c>
      <c r="I85" s="15">
        <v>0.0</v>
      </c>
      <c r="J85" s="25" t="s">
        <v>57</v>
      </c>
      <c r="K85" s="28">
        <v>0.0</v>
      </c>
      <c r="L85" s="28">
        <v>7000.0</v>
      </c>
      <c r="M85" s="28">
        <v>0.0</v>
      </c>
      <c r="N85" s="28">
        <v>0.0</v>
      </c>
      <c r="O85" s="28">
        <v>0.0</v>
      </c>
      <c r="P85" s="33"/>
    </row>
    <row r="86" ht="11.25" customHeight="1">
      <c r="A86" s="12">
        <f t="shared" si="1"/>
        <v>84</v>
      </c>
      <c r="B86" s="15" t="s">
        <v>24</v>
      </c>
      <c r="C86" s="275"/>
      <c r="D86" s="278" t="s">
        <v>923</v>
      </c>
      <c r="E86" s="23" t="s">
        <v>49</v>
      </c>
      <c r="F86" s="23" t="s">
        <v>54</v>
      </c>
      <c r="G86" s="279" t="s">
        <v>55</v>
      </c>
      <c r="H86" s="280">
        <v>46142.0</v>
      </c>
      <c r="I86" s="17">
        <v>0.0</v>
      </c>
      <c r="J86" s="23" t="s">
        <v>38</v>
      </c>
      <c r="K86" s="210">
        <v>65000.0</v>
      </c>
      <c r="L86" s="210">
        <v>0.0</v>
      </c>
      <c r="M86" s="210">
        <v>0.0</v>
      </c>
      <c r="N86" s="28">
        <v>0.0</v>
      </c>
      <c r="O86" s="28">
        <v>0.0</v>
      </c>
      <c r="P86" s="158">
        <v>46117.0</v>
      </c>
    </row>
    <row r="87" ht="11.25" customHeight="1">
      <c r="A87" s="12">
        <f t="shared" si="1"/>
        <v>85</v>
      </c>
      <c r="B87" s="15" t="s">
        <v>24</v>
      </c>
      <c r="C87" s="275"/>
      <c r="D87" s="17" t="s">
        <v>943</v>
      </c>
      <c r="E87" s="25" t="s">
        <v>488</v>
      </c>
      <c r="F87" s="25" t="s">
        <v>697</v>
      </c>
      <c r="G87" s="25" t="s">
        <v>36</v>
      </c>
      <c r="H87" s="26">
        <v>46142.0</v>
      </c>
      <c r="I87" s="15">
        <v>0.0</v>
      </c>
      <c r="J87" s="25" t="s">
        <v>38</v>
      </c>
      <c r="K87" s="28">
        <v>80000.0</v>
      </c>
      <c r="L87" s="28">
        <v>0.0</v>
      </c>
      <c r="M87" s="28">
        <v>0.0</v>
      </c>
      <c r="N87" s="28">
        <v>0.0</v>
      </c>
      <c r="O87" s="28">
        <v>0.0</v>
      </c>
      <c r="P87" s="30">
        <v>46121.0</v>
      </c>
    </row>
    <row r="88" ht="11.25" customHeight="1">
      <c r="A88" s="12">
        <f t="shared" si="1"/>
        <v>86</v>
      </c>
      <c r="B88" s="15" t="s">
        <v>24</v>
      </c>
      <c r="C88" s="275"/>
      <c r="D88" s="278" t="s">
        <v>1063</v>
      </c>
      <c r="E88" s="25"/>
      <c r="F88" s="25" t="s">
        <v>428</v>
      </c>
      <c r="G88" s="106" t="s">
        <v>36</v>
      </c>
      <c r="H88" s="95">
        <v>46142.0</v>
      </c>
      <c r="I88" s="15">
        <v>0.0</v>
      </c>
      <c r="J88" s="25" t="s">
        <v>57</v>
      </c>
      <c r="K88" s="210">
        <v>7000.0</v>
      </c>
      <c r="L88" s="281">
        <v>0.0</v>
      </c>
      <c r="M88" s="281">
        <v>0.0</v>
      </c>
      <c r="N88" s="100">
        <v>0.0</v>
      </c>
      <c r="O88" s="100">
        <v>0.0</v>
      </c>
      <c r="P88" s="33"/>
    </row>
    <row r="89" ht="11.25" customHeight="1">
      <c r="A89" s="12">
        <f t="shared" si="1"/>
        <v>87</v>
      </c>
      <c r="B89" s="15" t="s">
        <v>24</v>
      </c>
      <c r="C89" s="275"/>
      <c r="D89" s="278" t="s">
        <v>1064</v>
      </c>
      <c r="E89" s="25" t="s">
        <v>84</v>
      </c>
      <c r="F89" s="25" t="s">
        <v>461</v>
      </c>
      <c r="G89" s="106" t="s">
        <v>36</v>
      </c>
      <c r="H89" s="95">
        <v>46142.0</v>
      </c>
      <c r="I89" s="15">
        <v>0.0</v>
      </c>
      <c r="J89" s="25" t="s">
        <v>57</v>
      </c>
      <c r="K89" s="210">
        <v>0.0</v>
      </c>
      <c r="L89" s="210">
        <v>8300.0</v>
      </c>
      <c r="M89" s="210">
        <v>0.0</v>
      </c>
      <c r="N89" s="28">
        <v>0.0</v>
      </c>
      <c r="O89" s="28">
        <v>0.0</v>
      </c>
      <c r="P89" s="33"/>
    </row>
    <row r="90" ht="11.25" customHeight="1">
      <c r="A90" s="12">
        <f t="shared" si="1"/>
        <v>88</v>
      </c>
      <c r="B90" s="15" t="s">
        <v>24</v>
      </c>
      <c r="C90" s="275"/>
      <c r="D90" s="278" t="s">
        <v>1066</v>
      </c>
      <c r="E90" s="25" t="s">
        <v>92</v>
      </c>
      <c r="F90" s="25" t="s">
        <v>742</v>
      </c>
      <c r="G90" s="106" t="s">
        <v>37</v>
      </c>
      <c r="H90" s="95">
        <v>46142.0</v>
      </c>
      <c r="I90" s="15">
        <v>0.0</v>
      </c>
      <c r="J90" s="25" t="s">
        <v>57</v>
      </c>
      <c r="K90" s="210">
        <v>9000.0</v>
      </c>
      <c r="L90" s="210">
        <v>0.0</v>
      </c>
      <c r="M90" s="210">
        <v>0.0</v>
      </c>
      <c r="N90" s="28">
        <v>0.0</v>
      </c>
      <c r="O90" s="28">
        <v>0.0</v>
      </c>
      <c r="P90" s="33"/>
    </row>
    <row r="91" ht="11.25" customHeight="1">
      <c r="A91" s="12">
        <f t="shared" si="1"/>
        <v>89</v>
      </c>
      <c r="B91" s="15" t="s">
        <v>24</v>
      </c>
      <c r="C91" s="275"/>
      <c r="D91" s="278" t="s">
        <v>1067</v>
      </c>
      <c r="E91" s="23" t="s">
        <v>1012</v>
      </c>
      <c r="F91" s="23" t="s">
        <v>1069</v>
      </c>
      <c r="G91" s="106" t="s">
        <v>36</v>
      </c>
      <c r="H91" s="95">
        <v>46142.0</v>
      </c>
      <c r="I91" s="17">
        <v>2.0</v>
      </c>
      <c r="J91" s="23" t="s">
        <v>38</v>
      </c>
      <c r="K91" s="210">
        <v>10000.0</v>
      </c>
      <c r="L91" s="210">
        <v>0.0</v>
      </c>
      <c r="M91" s="210">
        <v>0.0</v>
      </c>
      <c r="N91" s="28">
        <v>0.0</v>
      </c>
      <c r="O91" s="28">
        <v>0.0</v>
      </c>
      <c r="P91" s="33"/>
    </row>
    <row r="92" ht="11.25" customHeight="1">
      <c r="A92" s="12">
        <f t="shared" si="1"/>
        <v>90</v>
      </c>
      <c r="B92" s="15" t="s">
        <v>24</v>
      </c>
      <c r="C92" s="275"/>
      <c r="D92" s="278" t="s">
        <v>1072</v>
      </c>
      <c r="E92" s="25" t="s">
        <v>356</v>
      </c>
      <c r="F92" s="25" t="s">
        <v>388</v>
      </c>
      <c r="G92" s="106" t="s">
        <v>36</v>
      </c>
      <c r="H92" s="95">
        <v>46142.0</v>
      </c>
      <c r="I92" s="15">
        <v>0.0</v>
      </c>
      <c r="J92" s="25" t="s">
        <v>57</v>
      </c>
      <c r="K92" s="210">
        <v>7500.0</v>
      </c>
      <c r="L92" s="210">
        <v>0.0</v>
      </c>
      <c r="M92" s="210">
        <v>0.0</v>
      </c>
      <c r="N92" s="28">
        <v>0.0</v>
      </c>
      <c r="O92" s="100">
        <v>0.0</v>
      </c>
      <c r="P92" s="33"/>
    </row>
    <row r="93" ht="11.25" customHeight="1">
      <c r="A93" s="12">
        <f t="shared" si="1"/>
        <v>91</v>
      </c>
      <c r="B93" s="15" t="s">
        <v>24</v>
      </c>
      <c r="C93" s="275"/>
      <c r="D93" s="278" t="s">
        <v>1074</v>
      </c>
      <c r="E93" s="23" t="s">
        <v>1016</v>
      </c>
      <c r="F93" s="23" t="s">
        <v>1017</v>
      </c>
      <c r="G93" s="106" t="s">
        <v>37</v>
      </c>
      <c r="H93" s="95">
        <v>46142.0</v>
      </c>
      <c r="I93" s="17">
        <v>0.0</v>
      </c>
      <c r="J93" s="25" t="s">
        <v>38</v>
      </c>
      <c r="K93" s="210">
        <v>20000.0</v>
      </c>
      <c r="L93" s="281">
        <v>0.0</v>
      </c>
      <c r="M93" s="281">
        <v>0.0</v>
      </c>
      <c r="N93" s="100">
        <v>0.0</v>
      </c>
      <c r="O93" s="100">
        <v>0.0</v>
      </c>
      <c r="P93" s="33"/>
    </row>
    <row r="94" ht="11.25" customHeight="1">
      <c r="A94" s="12">
        <f t="shared" si="1"/>
        <v>92</v>
      </c>
      <c r="B94" s="15" t="s">
        <v>24</v>
      </c>
      <c r="C94" s="12"/>
      <c r="D94" s="17" t="s">
        <v>1075</v>
      </c>
      <c r="E94" s="23" t="s">
        <v>1012</v>
      </c>
      <c r="F94" s="23" t="s">
        <v>1069</v>
      </c>
      <c r="G94" s="25" t="s">
        <v>36</v>
      </c>
      <c r="H94" s="26">
        <v>46142.0</v>
      </c>
      <c r="I94" s="17">
        <v>3.0</v>
      </c>
      <c r="J94" s="23" t="s">
        <v>38</v>
      </c>
      <c r="K94" s="28">
        <v>0.0</v>
      </c>
      <c r="L94" s="28">
        <v>0.0</v>
      </c>
      <c r="M94" s="28">
        <v>0.0</v>
      </c>
      <c r="N94" s="28">
        <v>300000.0</v>
      </c>
      <c r="O94" s="28">
        <v>0.0</v>
      </c>
      <c r="P94" s="200">
        <v>46162.0</v>
      </c>
    </row>
    <row r="95" ht="11.25" customHeight="1">
      <c r="A95" s="12">
        <f t="shared" si="1"/>
        <v>93</v>
      </c>
      <c r="B95" s="15" t="s">
        <v>24</v>
      </c>
      <c r="C95" s="12"/>
      <c r="D95" s="17" t="s">
        <v>1076</v>
      </c>
      <c r="E95" s="23" t="s">
        <v>977</v>
      </c>
      <c r="F95" s="23" t="s">
        <v>1077</v>
      </c>
      <c r="G95" s="106" t="s">
        <v>36</v>
      </c>
      <c r="H95" s="95">
        <v>46142.0</v>
      </c>
      <c r="I95" s="17">
        <v>1.0</v>
      </c>
      <c r="J95" s="23" t="s">
        <v>38</v>
      </c>
      <c r="K95" s="210">
        <v>1000.0</v>
      </c>
      <c r="L95" s="210">
        <v>0.0</v>
      </c>
      <c r="M95" s="210">
        <v>0.0</v>
      </c>
      <c r="N95" s="28">
        <v>0.0</v>
      </c>
      <c r="O95" s="28">
        <v>0.0</v>
      </c>
      <c r="P95" s="33"/>
    </row>
    <row r="96" ht="11.25" customHeight="1">
      <c r="A96" s="12">
        <f t="shared" si="1"/>
        <v>94</v>
      </c>
      <c r="B96" s="15" t="s">
        <v>24</v>
      </c>
      <c r="C96" s="12"/>
      <c r="D96" s="17" t="s">
        <v>1078</v>
      </c>
      <c r="E96" s="23" t="s">
        <v>977</v>
      </c>
      <c r="F96" s="23" t="s">
        <v>1080</v>
      </c>
      <c r="G96" s="106" t="s">
        <v>36</v>
      </c>
      <c r="H96" s="95">
        <v>46142.0</v>
      </c>
      <c r="I96" s="17">
        <v>1.0</v>
      </c>
      <c r="J96" s="23" t="s">
        <v>38</v>
      </c>
      <c r="K96" s="210">
        <v>1000.0</v>
      </c>
      <c r="L96" s="210">
        <v>0.0</v>
      </c>
      <c r="M96" s="210">
        <v>0.0</v>
      </c>
      <c r="N96" s="28">
        <v>0.0</v>
      </c>
      <c r="O96" s="28">
        <v>0.0</v>
      </c>
      <c r="P96" s="33"/>
    </row>
    <row r="97" ht="11.25" customHeight="1">
      <c r="A97" s="12">
        <f t="shared" si="1"/>
        <v>95</v>
      </c>
      <c r="B97" s="15" t="s">
        <v>24</v>
      </c>
      <c r="C97" s="12"/>
      <c r="D97" s="17" t="s">
        <v>1081</v>
      </c>
      <c r="E97" s="23" t="s">
        <v>977</v>
      </c>
      <c r="F97" s="23" t="s">
        <v>1077</v>
      </c>
      <c r="G97" s="279" t="s">
        <v>55</v>
      </c>
      <c r="H97" s="95">
        <v>46142.0</v>
      </c>
      <c r="I97" s="17">
        <v>2.0</v>
      </c>
      <c r="J97" s="23" t="s">
        <v>38</v>
      </c>
      <c r="K97" s="210">
        <v>2000.0</v>
      </c>
      <c r="L97" s="210">
        <v>0.0</v>
      </c>
      <c r="M97" s="210">
        <v>0.0</v>
      </c>
      <c r="N97" s="28">
        <v>0.0</v>
      </c>
      <c r="O97" s="28">
        <v>0.0</v>
      </c>
      <c r="P97" s="33"/>
    </row>
    <row r="98" ht="11.25" customHeight="1">
      <c r="A98" s="12">
        <f t="shared" si="1"/>
        <v>96</v>
      </c>
      <c r="B98" s="15" t="s">
        <v>24</v>
      </c>
      <c r="C98" s="12"/>
      <c r="D98" s="17" t="s">
        <v>1083</v>
      </c>
      <c r="E98" s="23" t="s">
        <v>977</v>
      </c>
      <c r="F98" s="23" t="s">
        <v>1080</v>
      </c>
      <c r="G98" s="279" t="s">
        <v>55</v>
      </c>
      <c r="H98" s="95">
        <v>46142.0</v>
      </c>
      <c r="I98" s="17">
        <v>1.0</v>
      </c>
      <c r="J98" s="23" t="s">
        <v>38</v>
      </c>
      <c r="K98" s="210">
        <v>1000.0</v>
      </c>
      <c r="L98" s="210">
        <v>0.0</v>
      </c>
      <c r="M98" s="210">
        <v>0.0</v>
      </c>
      <c r="N98" s="28">
        <v>0.0</v>
      </c>
      <c r="O98" s="28">
        <v>0.0</v>
      </c>
      <c r="P98" s="33"/>
    </row>
    <row r="99" ht="11.25" customHeight="1">
      <c r="A99" s="12">
        <f t="shared" si="1"/>
        <v>97</v>
      </c>
      <c r="B99" s="15" t="s">
        <v>24</v>
      </c>
      <c r="C99" s="12"/>
      <c r="D99" s="17" t="s">
        <v>1085</v>
      </c>
      <c r="E99" s="25" t="s">
        <v>71</v>
      </c>
      <c r="F99" s="23" t="s">
        <v>915</v>
      </c>
      <c r="G99" s="25" t="s">
        <v>37</v>
      </c>
      <c r="H99" s="95">
        <v>46142.0</v>
      </c>
      <c r="I99" s="17">
        <v>0.0</v>
      </c>
      <c r="J99" s="25" t="s">
        <v>38</v>
      </c>
      <c r="K99" s="28">
        <v>10000.0</v>
      </c>
      <c r="L99" s="28">
        <v>0.0</v>
      </c>
      <c r="M99" s="28">
        <v>0.0</v>
      </c>
      <c r="N99" s="28">
        <v>0.0</v>
      </c>
      <c r="O99" s="28">
        <v>0.0</v>
      </c>
      <c r="P99" s="33"/>
    </row>
    <row r="100" ht="11.25" customHeight="1">
      <c r="A100" s="12">
        <f t="shared" si="1"/>
        <v>98</v>
      </c>
      <c r="B100" s="15" t="s">
        <v>24</v>
      </c>
      <c r="C100" s="12"/>
      <c r="D100" s="284" t="s">
        <v>309</v>
      </c>
      <c r="E100" s="25" t="s">
        <v>184</v>
      </c>
      <c r="F100" s="25" t="s">
        <v>186</v>
      </c>
      <c r="G100" s="106" t="s">
        <v>34</v>
      </c>
      <c r="H100" s="95">
        <v>46142.0</v>
      </c>
      <c r="I100" s="15">
        <v>0.0</v>
      </c>
      <c r="J100" s="25" t="s">
        <v>57</v>
      </c>
      <c r="K100" s="210">
        <v>55000.0</v>
      </c>
      <c r="L100" s="210">
        <v>0.0</v>
      </c>
      <c r="M100" s="210">
        <v>0.0</v>
      </c>
      <c r="N100" s="28">
        <v>0.0</v>
      </c>
      <c r="O100" s="28">
        <v>0.0</v>
      </c>
      <c r="P100" s="33"/>
    </row>
    <row r="101" ht="11.25" customHeight="1">
      <c r="A101" s="12" t="str">
        <f t="shared" si="1"/>
        <v/>
      </c>
      <c r="B101" s="15"/>
      <c r="C101" s="12"/>
      <c r="D101" s="15"/>
      <c r="E101" s="25"/>
      <c r="F101" s="25"/>
      <c r="G101" s="106"/>
      <c r="H101" s="32"/>
      <c r="I101" s="15"/>
      <c r="J101" s="25"/>
      <c r="K101" s="210"/>
      <c r="L101" s="210"/>
      <c r="M101" s="210"/>
      <c r="N101" s="28"/>
      <c r="O101" s="28"/>
      <c r="P101" s="33"/>
    </row>
    <row r="102" ht="11.25" customHeight="1">
      <c r="A102" s="12" t="str">
        <f t="shared" si="1"/>
        <v/>
      </c>
      <c r="B102" s="12"/>
      <c r="C102" s="12"/>
      <c r="D102" s="12"/>
      <c r="E102" s="106"/>
      <c r="F102" s="106"/>
      <c r="G102" s="106"/>
      <c r="H102" s="118"/>
      <c r="I102" s="119" t="s">
        <v>21</v>
      </c>
      <c r="J102" s="120"/>
      <c r="K102" s="121"/>
      <c r="L102" s="121"/>
      <c r="M102" s="121"/>
      <c r="N102" s="121"/>
      <c r="O102" s="122"/>
      <c r="P102" s="123"/>
    </row>
    <row r="103" ht="11.25" customHeight="1">
      <c r="A103" s="12" t="str">
        <f t="shared" si="1"/>
        <v/>
      </c>
      <c r="B103" s="12"/>
      <c r="C103" s="12"/>
      <c r="D103" s="12"/>
      <c r="E103" s="106"/>
      <c r="F103" s="106"/>
      <c r="G103" s="106"/>
      <c r="H103" s="118"/>
      <c r="I103" s="124" t="s">
        <v>462</v>
      </c>
      <c r="J103" s="120"/>
      <c r="K103" s="125" t="s">
        <v>13</v>
      </c>
      <c r="L103" s="125" t="s">
        <v>14</v>
      </c>
      <c r="M103" s="125" t="s">
        <v>15</v>
      </c>
      <c r="N103" s="2" t="s">
        <v>465</v>
      </c>
      <c r="O103" s="119" t="s">
        <v>18</v>
      </c>
      <c r="P103" s="120"/>
    </row>
    <row r="104" ht="11.25" customHeight="1">
      <c r="A104" s="287" t="s">
        <v>789</v>
      </c>
      <c r="B104" s="120"/>
      <c r="C104" s="127"/>
      <c r="D104" s="128"/>
      <c r="E104" s="127"/>
      <c r="F104" s="127"/>
      <c r="G104" s="127"/>
      <c r="H104" s="129"/>
      <c r="I104" s="130">
        <f>SUM(I3:I103)</f>
        <v>37</v>
      </c>
      <c r="J104" s="120"/>
      <c r="K104" s="131">
        <f t="shared" ref="K104:O104" si="2">SUM(K3:K103)</f>
        <v>1917100</v>
      </c>
      <c r="L104" s="131">
        <f t="shared" si="2"/>
        <v>2840300</v>
      </c>
      <c r="M104" s="131">
        <f t="shared" si="2"/>
        <v>340000</v>
      </c>
      <c r="N104" s="131">
        <f t="shared" si="2"/>
        <v>925000</v>
      </c>
      <c r="O104" s="131">
        <f t="shared" si="2"/>
        <v>0</v>
      </c>
      <c r="P104" s="133" t="s">
        <v>481</v>
      </c>
    </row>
    <row r="105" ht="11.25" customHeight="1">
      <c r="A105" s="134"/>
      <c r="B105" s="135"/>
      <c r="C105" s="135"/>
      <c r="D105" s="134"/>
      <c r="E105" s="135"/>
      <c r="F105" s="135"/>
      <c r="G105" s="135"/>
      <c r="H105" s="136"/>
      <c r="I105" s="137"/>
      <c r="J105" s="138"/>
      <c r="K105" s="139" t="s">
        <v>491</v>
      </c>
      <c r="L105" s="120"/>
      <c r="M105" s="282">
        <f>SUM(K104:M104)</f>
        <v>5097400</v>
      </c>
      <c r="N105" s="141"/>
      <c r="O105" s="141"/>
      <c r="P105" s="142"/>
    </row>
    <row r="106" ht="11.25" customHeight="1">
      <c r="A106" s="134"/>
      <c r="B106" s="135"/>
      <c r="C106" s="135"/>
      <c r="D106" s="134"/>
      <c r="E106" s="135"/>
      <c r="F106" s="135"/>
      <c r="G106" s="135"/>
      <c r="H106" s="136"/>
      <c r="I106" s="143"/>
      <c r="J106" s="144"/>
      <c r="K106" s="145" t="s">
        <v>506</v>
      </c>
      <c r="L106" s="120"/>
      <c r="M106" s="283">
        <f>SUM(M105-K3-K4-K5-K11-K15-L16-K20-K21-K22-K24-K25-K26-K28-M30-K37-K38-K39-L40-K41-K48-L61-K62-K63-K64-K66-K75-K82-L85)</f>
        <v>4638300</v>
      </c>
      <c r="N106" s="147"/>
      <c r="O106" s="147"/>
      <c r="P106" s="148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  <row r="1016" ht="15.75" customHeight="1">
      <c r="A1016" s="149"/>
      <c r="D1016" s="149"/>
      <c r="H1016" s="150"/>
      <c r="P1016" s="150"/>
    </row>
    <row r="1017" ht="15.75" customHeight="1">
      <c r="A1017" s="149"/>
      <c r="D1017" s="149"/>
      <c r="H1017" s="150"/>
      <c r="P1017" s="150"/>
    </row>
    <row r="1018" ht="15.75" customHeight="1">
      <c r="A1018" s="149"/>
      <c r="D1018" s="149"/>
      <c r="H1018" s="150"/>
      <c r="P1018" s="150"/>
    </row>
    <row r="1019" ht="15.75" customHeight="1">
      <c r="A1019" s="149"/>
      <c r="D1019" s="149"/>
      <c r="H1019" s="150"/>
      <c r="P1019" s="150"/>
    </row>
    <row r="1020" ht="15.75" customHeight="1">
      <c r="A1020" s="149"/>
      <c r="D1020" s="149"/>
      <c r="H1020" s="150"/>
      <c r="P1020" s="150"/>
    </row>
    <row r="1021" ht="15.75" customHeight="1">
      <c r="A1021" s="149"/>
      <c r="D1021" s="149"/>
      <c r="H1021" s="150"/>
      <c r="P1021" s="150"/>
    </row>
    <row r="1022" ht="15.75" customHeight="1">
      <c r="A1022" s="149"/>
      <c r="D1022" s="149"/>
      <c r="H1022" s="150"/>
      <c r="P1022" s="150"/>
    </row>
    <row r="1023" ht="15.75" customHeight="1">
      <c r="A1023" s="149"/>
      <c r="D1023" s="149"/>
      <c r="H1023" s="150"/>
      <c r="P1023" s="150"/>
    </row>
    <row r="1024" ht="15.75" customHeight="1">
      <c r="A1024" s="149"/>
      <c r="D1024" s="149"/>
      <c r="H1024" s="150"/>
      <c r="P1024" s="150"/>
    </row>
    <row r="1025" ht="15.75" customHeight="1">
      <c r="A1025" s="149"/>
      <c r="D1025" s="149"/>
      <c r="H1025" s="150"/>
      <c r="P1025" s="150"/>
    </row>
    <row r="1026" ht="15.75" customHeight="1">
      <c r="A1026" s="149"/>
      <c r="D1026" s="149"/>
      <c r="H1026" s="150"/>
      <c r="P1026" s="150"/>
    </row>
    <row r="1027" ht="15.75" customHeight="1">
      <c r="A1027" s="149"/>
      <c r="D1027" s="149"/>
      <c r="H1027" s="150"/>
      <c r="P1027" s="150"/>
    </row>
    <row r="1028" ht="15.75" customHeight="1">
      <c r="A1028" s="149"/>
      <c r="D1028" s="149"/>
      <c r="H1028" s="150"/>
      <c r="P1028" s="150"/>
    </row>
    <row r="1029" ht="15.75" customHeight="1">
      <c r="A1029" s="149"/>
      <c r="D1029" s="149"/>
      <c r="H1029" s="150"/>
      <c r="P1029" s="150"/>
    </row>
    <row r="1030" ht="15.75" customHeight="1">
      <c r="A1030" s="149"/>
      <c r="D1030" s="149"/>
      <c r="H1030" s="150"/>
      <c r="P1030" s="150"/>
    </row>
    <row r="1031" ht="15.75" customHeight="1">
      <c r="A1031" s="149"/>
      <c r="D1031" s="149"/>
      <c r="H1031" s="150"/>
      <c r="P1031" s="150"/>
    </row>
    <row r="1032" ht="15.75" customHeight="1">
      <c r="A1032" s="149"/>
      <c r="D1032" s="149"/>
      <c r="H1032" s="150"/>
      <c r="P1032" s="150"/>
    </row>
    <row r="1033" ht="15.75" customHeight="1">
      <c r="A1033" s="149"/>
      <c r="D1033" s="149"/>
      <c r="H1033" s="150"/>
      <c r="P1033" s="150"/>
    </row>
  </sheetData>
  <autoFilter ref="$A$2:$P$100"/>
  <mergeCells count="8">
    <mergeCell ref="A1:P1"/>
    <mergeCell ref="I102:J102"/>
    <mergeCell ref="I103:J103"/>
    <mergeCell ref="O103:P103"/>
    <mergeCell ref="A104:B104"/>
    <mergeCell ref="I104:J104"/>
    <mergeCell ref="K105:L105"/>
    <mergeCell ref="K106:L106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43"/>
    <col customWidth="1" min="8" max="8" width="9.57"/>
    <col customWidth="1" min="9" max="9" width="3.29"/>
    <col customWidth="1" min="10" max="10" width="6.43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9.14"/>
    <col customWidth="1" min="17" max="26" width="8.71"/>
  </cols>
  <sheetData>
    <row r="1" ht="19.5" customHeight="1">
      <c r="A1" s="276" t="s">
        <v>1472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2" t="s">
        <v>1216</v>
      </c>
      <c r="D2" s="2" t="s">
        <v>5</v>
      </c>
      <c r="E2" s="2" t="s">
        <v>6</v>
      </c>
      <c r="F2" s="2" t="s">
        <v>17</v>
      </c>
      <c r="G2" s="2" t="s">
        <v>8</v>
      </c>
      <c r="H2" s="209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hidden="1" customHeight="1">
      <c r="A3" s="12">
        <f t="shared" ref="A3:A85" si="1">IF(D3="","",SUBTOTAL(3,$D$3:D3))</f>
        <v>0</v>
      </c>
      <c r="B3" s="15" t="s">
        <v>24</v>
      </c>
      <c r="C3" s="12" t="s">
        <v>122</v>
      </c>
      <c r="D3" s="19" t="s">
        <v>803</v>
      </c>
      <c r="E3" s="25" t="s">
        <v>180</v>
      </c>
      <c r="F3" s="25" t="s">
        <v>288</v>
      </c>
      <c r="G3" s="106" t="s">
        <v>36</v>
      </c>
      <c r="H3" s="118">
        <v>46083.0</v>
      </c>
      <c r="I3" s="15">
        <v>0.0</v>
      </c>
      <c r="J3" s="106" t="s">
        <v>57</v>
      </c>
      <c r="K3" s="28">
        <v>9000.0</v>
      </c>
      <c r="L3" s="210">
        <v>0.0</v>
      </c>
      <c r="M3" s="210">
        <v>0.0</v>
      </c>
      <c r="N3" s="210">
        <v>0.0</v>
      </c>
      <c r="O3" s="210">
        <v>0.0</v>
      </c>
      <c r="P3" s="33"/>
    </row>
    <row r="4" ht="11.25" hidden="1" customHeight="1">
      <c r="A4" s="12">
        <f t="shared" si="1"/>
        <v>0</v>
      </c>
      <c r="B4" s="15" t="s">
        <v>24</v>
      </c>
      <c r="C4" s="12" t="s">
        <v>211</v>
      </c>
      <c r="D4" s="19" t="s">
        <v>804</v>
      </c>
      <c r="E4" s="25" t="s">
        <v>169</v>
      </c>
      <c r="F4" s="25" t="s">
        <v>484</v>
      </c>
      <c r="G4" s="106" t="s">
        <v>36</v>
      </c>
      <c r="H4" s="118">
        <v>46083.0</v>
      </c>
      <c r="I4" s="15">
        <v>0.0</v>
      </c>
      <c r="J4" s="106" t="s">
        <v>38</v>
      </c>
      <c r="K4" s="28">
        <v>0.0</v>
      </c>
      <c r="L4" s="28">
        <v>5000.0</v>
      </c>
      <c r="M4" s="28">
        <v>0.0</v>
      </c>
      <c r="N4" s="76">
        <v>0.0</v>
      </c>
      <c r="O4" s="77">
        <v>0.0</v>
      </c>
      <c r="P4" s="118"/>
    </row>
    <row r="5" ht="11.25" hidden="1" customHeight="1">
      <c r="A5" s="12">
        <f t="shared" si="1"/>
        <v>0</v>
      </c>
      <c r="B5" s="15" t="s">
        <v>24</v>
      </c>
      <c r="C5" s="12" t="s">
        <v>211</v>
      </c>
      <c r="D5" s="19" t="s">
        <v>805</v>
      </c>
      <c r="E5" s="25" t="s">
        <v>293</v>
      </c>
      <c r="F5" s="25" t="s">
        <v>294</v>
      </c>
      <c r="G5" s="25" t="s">
        <v>37</v>
      </c>
      <c r="H5" s="118">
        <v>46083.0</v>
      </c>
      <c r="I5" s="15">
        <v>1.0</v>
      </c>
      <c r="J5" s="106" t="s">
        <v>38</v>
      </c>
      <c r="K5" s="28">
        <v>4000.0</v>
      </c>
      <c r="L5" s="210">
        <v>0.0</v>
      </c>
      <c r="M5" s="210">
        <v>0.0</v>
      </c>
      <c r="N5" s="210">
        <v>0.0</v>
      </c>
      <c r="O5" s="210">
        <v>0.0</v>
      </c>
      <c r="P5" s="118"/>
    </row>
    <row r="6" ht="11.25" hidden="1" customHeight="1">
      <c r="A6" s="12">
        <f t="shared" si="1"/>
        <v>0</v>
      </c>
      <c r="B6" s="15" t="s">
        <v>24</v>
      </c>
      <c r="C6" s="12" t="s">
        <v>122</v>
      </c>
      <c r="D6" s="19" t="s">
        <v>806</v>
      </c>
      <c r="E6" s="25" t="s">
        <v>27</v>
      </c>
      <c r="F6" s="25" t="s">
        <v>717</v>
      </c>
      <c r="G6" s="106" t="s">
        <v>36</v>
      </c>
      <c r="H6" s="32">
        <v>46085.0</v>
      </c>
      <c r="I6" s="15">
        <v>0.0</v>
      </c>
      <c r="J6" s="25" t="s">
        <v>38</v>
      </c>
      <c r="K6" s="28">
        <f>20000</f>
        <v>20000</v>
      </c>
      <c r="L6" s="210">
        <v>0.0</v>
      </c>
      <c r="M6" s="210">
        <v>0.0</v>
      </c>
      <c r="N6" s="210">
        <v>0.0</v>
      </c>
      <c r="O6" s="210">
        <v>0.0</v>
      </c>
      <c r="P6" s="118"/>
    </row>
    <row r="7" ht="11.25" hidden="1" customHeight="1">
      <c r="A7" s="12">
        <f t="shared" si="1"/>
        <v>0</v>
      </c>
      <c r="B7" s="15" t="s">
        <v>24</v>
      </c>
      <c r="C7" s="12" t="s">
        <v>122</v>
      </c>
      <c r="D7" s="19" t="s">
        <v>1473</v>
      </c>
      <c r="E7" s="25" t="s">
        <v>27</v>
      </c>
      <c r="F7" s="25" t="s">
        <v>717</v>
      </c>
      <c r="G7" s="25" t="s">
        <v>37</v>
      </c>
      <c r="H7" s="32">
        <v>46085.0</v>
      </c>
      <c r="I7" s="15">
        <v>0.0</v>
      </c>
      <c r="J7" s="25" t="s">
        <v>38</v>
      </c>
      <c r="K7" s="28">
        <f>15000</f>
        <v>15000</v>
      </c>
      <c r="L7" s="210">
        <v>0.0</v>
      </c>
      <c r="M7" s="210">
        <v>0.0</v>
      </c>
      <c r="N7" s="210">
        <v>0.0</v>
      </c>
      <c r="O7" s="210">
        <v>0.0</v>
      </c>
      <c r="P7" s="118"/>
    </row>
    <row r="8" ht="11.25" hidden="1" customHeight="1">
      <c r="A8" s="12">
        <f t="shared" si="1"/>
        <v>0</v>
      </c>
      <c r="B8" s="15" t="s">
        <v>24</v>
      </c>
      <c r="C8" s="12" t="s">
        <v>122</v>
      </c>
      <c r="D8" s="19" t="s">
        <v>810</v>
      </c>
      <c r="E8" s="25" t="s">
        <v>377</v>
      </c>
      <c r="F8" s="25" t="s">
        <v>582</v>
      </c>
      <c r="G8" s="106" t="s">
        <v>36</v>
      </c>
      <c r="H8" s="32">
        <v>46085.0</v>
      </c>
      <c r="I8" s="15">
        <v>0.0</v>
      </c>
      <c r="J8" s="106" t="s">
        <v>38</v>
      </c>
      <c r="K8" s="28">
        <v>100000.0</v>
      </c>
      <c r="L8" s="28">
        <v>0.0</v>
      </c>
      <c r="M8" s="76">
        <v>0.0</v>
      </c>
      <c r="N8" s="28">
        <v>0.0</v>
      </c>
      <c r="O8" s="77">
        <v>0.0</v>
      </c>
      <c r="P8" s="33"/>
    </row>
    <row r="9" ht="11.25" hidden="1" customHeight="1">
      <c r="A9" s="12">
        <f t="shared" si="1"/>
        <v>0</v>
      </c>
      <c r="B9" s="15" t="s">
        <v>24</v>
      </c>
      <c r="C9" s="15" t="s">
        <v>122</v>
      </c>
      <c r="D9" s="19" t="s">
        <v>811</v>
      </c>
      <c r="E9" s="25" t="s">
        <v>44</v>
      </c>
      <c r="F9" s="25" t="s">
        <v>478</v>
      </c>
      <c r="G9" s="25" t="s">
        <v>36</v>
      </c>
      <c r="H9" s="32">
        <v>46088.0</v>
      </c>
      <c r="I9" s="15">
        <v>0.0</v>
      </c>
      <c r="J9" s="25" t="s">
        <v>57</v>
      </c>
      <c r="K9" s="28">
        <v>11000.0</v>
      </c>
      <c r="L9" s="28">
        <v>0.0</v>
      </c>
      <c r="M9" s="28">
        <v>0.0</v>
      </c>
      <c r="N9" s="76">
        <v>0.0</v>
      </c>
      <c r="O9" s="77">
        <v>0.0</v>
      </c>
      <c r="P9" s="218"/>
    </row>
    <row r="10" ht="11.25" hidden="1" customHeight="1">
      <c r="A10" s="12">
        <f t="shared" si="1"/>
        <v>0</v>
      </c>
      <c r="B10" s="15" t="s">
        <v>24</v>
      </c>
      <c r="C10" s="15" t="s">
        <v>122</v>
      </c>
      <c r="D10" s="19" t="s">
        <v>812</v>
      </c>
      <c r="E10" s="25" t="s">
        <v>44</v>
      </c>
      <c r="F10" s="25" t="s">
        <v>478</v>
      </c>
      <c r="G10" s="25" t="s">
        <v>37</v>
      </c>
      <c r="H10" s="32">
        <v>46088.0</v>
      </c>
      <c r="I10" s="15">
        <v>0.0</v>
      </c>
      <c r="J10" s="25" t="s">
        <v>57</v>
      </c>
      <c r="K10" s="28">
        <v>5500.0</v>
      </c>
      <c r="L10" s="28">
        <v>0.0</v>
      </c>
      <c r="M10" s="28">
        <v>0.0</v>
      </c>
      <c r="N10" s="28">
        <v>0.0</v>
      </c>
      <c r="O10" s="28">
        <v>0.0</v>
      </c>
      <c r="P10" s="118"/>
    </row>
    <row r="11" ht="11.25" hidden="1" customHeight="1">
      <c r="A11" s="12">
        <f t="shared" si="1"/>
        <v>0</v>
      </c>
      <c r="B11" s="15" t="s">
        <v>24</v>
      </c>
      <c r="C11" s="15" t="s">
        <v>122</v>
      </c>
      <c r="D11" s="19" t="s">
        <v>813</v>
      </c>
      <c r="E11" s="25" t="s">
        <v>44</v>
      </c>
      <c r="F11" s="25" t="s">
        <v>493</v>
      </c>
      <c r="G11" s="25" t="s">
        <v>37</v>
      </c>
      <c r="H11" s="32">
        <v>46088.0</v>
      </c>
      <c r="I11" s="15">
        <v>0.0</v>
      </c>
      <c r="J11" s="25" t="s">
        <v>57</v>
      </c>
      <c r="K11" s="28">
        <v>5500.0</v>
      </c>
      <c r="L11" s="28">
        <v>0.0</v>
      </c>
      <c r="M11" s="28">
        <v>0.0</v>
      </c>
      <c r="N11" s="28">
        <v>0.0</v>
      </c>
      <c r="O11" s="28">
        <v>0.0</v>
      </c>
      <c r="P11" s="118"/>
    </row>
    <row r="12" ht="11.25" hidden="1" customHeight="1">
      <c r="A12" s="12">
        <f t="shared" si="1"/>
        <v>0</v>
      </c>
      <c r="B12" s="15" t="s">
        <v>24</v>
      </c>
      <c r="C12" s="15" t="s">
        <v>211</v>
      </c>
      <c r="D12" s="19" t="s">
        <v>814</v>
      </c>
      <c r="E12" s="25" t="s">
        <v>169</v>
      </c>
      <c r="F12" s="25" t="s">
        <v>170</v>
      </c>
      <c r="G12" s="25" t="s">
        <v>36</v>
      </c>
      <c r="H12" s="32">
        <v>46090.0</v>
      </c>
      <c r="I12" s="15">
        <v>0.0</v>
      </c>
      <c r="J12" s="25" t="s">
        <v>57</v>
      </c>
      <c r="K12" s="28">
        <v>17000.0</v>
      </c>
      <c r="L12" s="28">
        <v>0.0</v>
      </c>
      <c r="M12" s="28">
        <v>0.0</v>
      </c>
      <c r="N12" s="28">
        <v>0.0</v>
      </c>
      <c r="O12" s="28">
        <v>0.0</v>
      </c>
      <c r="P12" s="33"/>
    </row>
    <row r="13" ht="11.25" customHeight="1">
      <c r="A13" s="12">
        <f t="shared" si="1"/>
        <v>1</v>
      </c>
      <c r="B13" s="15" t="s">
        <v>24</v>
      </c>
      <c r="C13" s="15" t="s">
        <v>122</v>
      </c>
      <c r="D13" s="19" t="s">
        <v>815</v>
      </c>
      <c r="E13" s="25" t="s">
        <v>191</v>
      </c>
      <c r="F13" s="25" t="s">
        <v>252</v>
      </c>
      <c r="G13" s="25" t="s">
        <v>36</v>
      </c>
      <c r="H13" s="32">
        <v>46090.0</v>
      </c>
      <c r="I13" s="15">
        <v>0.0</v>
      </c>
      <c r="J13" s="25" t="s">
        <v>57</v>
      </c>
      <c r="K13" s="28">
        <v>0.0</v>
      </c>
      <c r="L13" s="28">
        <v>29700.0</v>
      </c>
      <c r="M13" s="28">
        <v>0.0</v>
      </c>
      <c r="N13" s="28">
        <v>0.0</v>
      </c>
      <c r="O13" s="28">
        <v>0.0</v>
      </c>
      <c r="P13" s="33"/>
    </row>
    <row r="14" ht="11.25" hidden="1" customHeight="1">
      <c r="A14" s="12">
        <f t="shared" si="1"/>
        <v>1</v>
      </c>
      <c r="B14" s="15" t="s">
        <v>24</v>
      </c>
      <c r="C14" s="15" t="s">
        <v>122</v>
      </c>
      <c r="D14" s="19" t="s">
        <v>816</v>
      </c>
      <c r="E14" s="25" t="s">
        <v>184</v>
      </c>
      <c r="F14" s="25" t="s">
        <v>449</v>
      </c>
      <c r="G14" s="25" t="s">
        <v>37</v>
      </c>
      <c r="H14" s="32">
        <v>46090.0</v>
      </c>
      <c r="I14" s="15">
        <v>0.0</v>
      </c>
      <c r="J14" s="25" t="s">
        <v>57</v>
      </c>
      <c r="K14" s="28">
        <v>5000.0</v>
      </c>
      <c r="L14" s="100">
        <v>0.0</v>
      </c>
      <c r="M14" s="100">
        <v>0.0</v>
      </c>
      <c r="N14" s="100">
        <v>0.0</v>
      </c>
      <c r="O14" s="100">
        <v>0.0</v>
      </c>
      <c r="P14" s="33"/>
    </row>
    <row r="15" ht="11.25" hidden="1" customHeight="1">
      <c r="A15" s="12">
        <f t="shared" si="1"/>
        <v>1</v>
      </c>
      <c r="B15" s="15" t="s">
        <v>24</v>
      </c>
      <c r="C15" s="15"/>
      <c r="D15" s="19" t="s">
        <v>817</v>
      </c>
      <c r="E15" s="25"/>
      <c r="F15" s="25" t="s">
        <v>449</v>
      </c>
      <c r="G15" s="25" t="s">
        <v>36</v>
      </c>
      <c r="H15" s="32">
        <v>46090.0</v>
      </c>
      <c r="I15" s="15">
        <v>0.0</v>
      </c>
      <c r="J15" s="25" t="s">
        <v>57</v>
      </c>
      <c r="K15" s="28">
        <v>15000.0</v>
      </c>
      <c r="L15" s="100">
        <v>0.0</v>
      </c>
      <c r="M15" s="100">
        <v>0.0</v>
      </c>
      <c r="N15" s="100">
        <v>0.0</v>
      </c>
      <c r="O15" s="100">
        <v>0.0</v>
      </c>
      <c r="P15" s="118"/>
    </row>
    <row r="16" ht="11.25" hidden="1" customHeight="1">
      <c r="A16" s="12">
        <f t="shared" si="1"/>
        <v>1</v>
      </c>
      <c r="B16" s="15" t="s">
        <v>24</v>
      </c>
      <c r="C16" s="15" t="s">
        <v>122</v>
      </c>
      <c r="D16" s="19" t="s">
        <v>818</v>
      </c>
      <c r="E16" s="25" t="s">
        <v>27</v>
      </c>
      <c r="F16" s="25" t="s">
        <v>69</v>
      </c>
      <c r="G16" s="25" t="s">
        <v>36</v>
      </c>
      <c r="H16" s="32">
        <v>46090.0</v>
      </c>
      <c r="I16" s="15">
        <v>0.0</v>
      </c>
      <c r="J16" s="25" t="s">
        <v>57</v>
      </c>
      <c r="K16" s="28">
        <v>0.0</v>
      </c>
      <c r="L16" s="28">
        <v>17000.0</v>
      </c>
      <c r="M16" s="28">
        <v>0.0</v>
      </c>
      <c r="N16" s="28">
        <v>0.0</v>
      </c>
      <c r="O16" s="28">
        <v>0.0</v>
      </c>
      <c r="P16" s="33"/>
    </row>
    <row r="17" ht="11.25" hidden="1" customHeight="1">
      <c r="A17" s="12">
        <f t="shared" si="1"/>
        <v>1</v>
      </c>
      <c r="B17" s="15" t="s">
        <v>24</v>
      </c>
      <c r="C17" s="15" t="s">
        <v>122</v>
      </c>
      <c r="D17" s="19" t="s">
        <v>819</v>
      </c>
      <c r="E17" s="25" t="s">
        <v>820</v>
      </c>
      <c r="F17" s="25" t="s">
        <v>821</v>
      </c>
      <c r="G17" s="25" t="s">
        <v>36</v>
      </c>
      <c r="H17" s="32">
        <v>46090.0</v>
      </c>
      <c r="I17" s="15">
        <v>1.0</v>
      </c>
      <c r="J17" s="25" t="s">
        <v>38</v>
      </c>
      <c r="K17" s="28">
        <v>10000.0</v>
      </c>
      <c r="L17" s="100">
        <v>0.0</v>
      </c>
      <c r="M17" s="100">
        <v>0.0</v>
      </c>
      <c r="N17" s="100">
        <v>0.0</v>
      </c>
      <c r="O17" s="100">
        <v>0.0</v>
      </c>
      <c r="P17" s="33"/>
    </row>
    <row r="18" ht="11.25" hidden="1" customHeight="1">
      <c r="A18" s="12">
        <f t="shared" si="1"/>
        <v>1</v>
      </c>
      <c r="B18" s="15" t="s">
        <v>24</v>
      </c>
      <c r="C18" s="15" t="s">
        <v>122</v>
      </c>
      <c r="D18" s="19" t="s">
        <v>822</v>
      </c>
      <c r="E18" s="25" t="s">
        <v>514</v>
      </c>
      <c r="F18" s="25" t="s">
        <v>64</v>
      </c>
      <c r="G18" s="25" t="s">
        <v>36</v>
      </c>
      <c r="H18" s="32">
        <v>46090.0</v>
      </c>
      <c r="I18" s="15">
        <v>0.0</v>
      </c>
      <c r="J18" s="25" t="s">
        <v>57</v>
      </c>
      <c r="K18" s="28">
        <v>7500.0</v>
      </c>
      <c r="L18" s="28">
        <v>0.0</v>
      </c>
      <c r="M18" s="100">
        <v>0.0</v>
      </c>
      <c r="N18" s="100">
        <v>0.0</v>
      </c>
      <c r="O18" s="100">
        <v>0.0</v>
      </c>
      <c r="P18" s="33"/>
    </row>
    <row r="19" ht="11.25" hidden="1" customHeight="1">
      <c r="A19" s="12">
        <f t="shared" si="1"/>
        <v>1</v>
      </c>
      <c r="B19" s="15" t="s">
        <v>24</v>
      </c>
      <c r="C19" s="12" t="s">
        <v>122</v>
      </c>
      <c r="D19" s="19" t="s">
        <v>823</v>
      </c>
      <c r="E19" s="25" t="s">
        <v>272</v>
      </c>
      <c r="F19" s="25" t="s">
        <v>824</v>
      </c>
      <c r="G19" s="106" t="s">
        <v>36</v>
      </c>
      <c r="H19" s="118">
        <v>46090.0</v>
      </c>
      <c r="I19" s="15">
        <v>1.0</v>
      </c>
      <c r="J19" s="25" t="s">
        <v>38</v>
      </c>
      <c r="K19" s="28">
        <v>5000.0</v>
      </c>
      <c r="L19" s="281">
        <v>0.0</v>
      </c>
      <c r="M19" s="281">
        <v>0.0</v>
      </c>
      <c r="N19" s="281">
        <v>0.0</v>
      </c>
      <c r="O19" s="281">
        <v>0.0</v>
      </c>
      <c r="P19" s="33"/>
    </row>
    <row r="20" ht="11.25" hidden="1" customHeight="1">
      <c r="A20" s="12">
        <f t="shared" si="1"/>
        <v>1</v>
      </c>
      <c r="B20" s="15" t="s">
        <v>24</v>
      </c>
      <c r="C20" s="12"/>
      <c r="D20" s="19" t="s">
        <v>825</v>
      </c>
      <c r="E20" s="25"/>
      <c r="F20" s="25" t="s">
        <v>428</v>
      </c>
      <c r="G20" s="106" t="s">
        <v>36</v>
      </c>
      <c r="H20" s="118">
        <v>46091.0</v>
      </c>
      <c r="I20" s="15">
        <v>0.0</v>
      </c>
      <c r="J20" s="106" t="s">
        <v>57</v>
      </c>
      <c r="K20" s="28">
        <v>7000.0</v>
      </c>
      <c r="L20" s="281">
        <v>0.0</v>
      </c>
      <c r="M20" s="281">
        <v>0.0</v>
      </c>
      <c r="N20" s="281">
        <v>0.0</v>
      </c>
      <c r="O20" s="281">
        <v>0.0</v>
      </c>
      <c r="P20" s="33"/>
    </row>
    <row r="21" ht="11.25" hidden="1" customHeight="1">
      <c r="A21" s="12">
        <f t="shared" si="1"/>
        <v>1</v>
      </c>
      <c r="B21" s="15" t="s">
        <v>24</v>
      </c>
      <c r="C21" s="12" t="s">
        <v>211</v>
      </c>
      <c r="D21" s="19" t="s">
        <v>826</v>
      </c>
      <c r="E21" s="25" t="s">
        <v>208</v>
      </c>
      <c r="F21" s="25" t="s">
        <v>653</v>
      </c>
      <c r="G21" s="25" t="s">
        <v>37</v>
      </c>
      <c r="H21" s="118">
        <v>46091.0</v>
      </c>
      <c r="I21" s="15">
        <v>0.0</v>
      </c>
      <c r="J21" s="106" t="s">
        <v>57</v>
      </c>
      <c r="K21" s="28">
        <v>6000.0</v>
      </c>
      <c r="L21" s="210">
        <v>0.0</v>
      </c>
      <c r="M21" s="210">
        <v>0.0</v>
      </c>
      <c r="N21" s="210">
        <v>0.0</v>
      </c>
      <c r="O21" s="210">
        <v>0.0</v>
      </c>
      <c r="P21" s="33"/>
    </row>
    <row r="22" ht="11.25" hidden="1" customHeight="1">
      <c r="A22" s="12">
        <f t="shared" si="1"/>
        <v>1</v>
      </c>
      <c r="B22" s="15" t="s">
        <v>24</v>
      </c>
      <c r="C22" s="12" t="s">
        <v>122</v>
      </c>
      <c r="D22" s="19" t="s">
        <v>827</v>
      </c>
      <c r="E22" s="25" t="s">
        <v>27</v>
      </c>
      <c r="F22" s="25" t="s">
        <v>780</v>
      </c>
      <c r="G22" s="25" t="s">
        <v>36</v>
      </c>
      <c r="H22" s="118">
        <v>46091.0</v>
      </c>
      <c r="I22" s="15">
        <v>0.0</v>
      </c>
      <c r="J22" s="106" t="s">
        <v>57</v>
      </c>
      <c r="K22" s="28">
        <v>0.0</v>
      </c>
      <c r="L22" s="28">
        <v>10000.0</v>
      </c>
      <c r="M22" s="28">
        <v>0.0</v>
      </c>
      <c r="N22" s="76">
        <v>0.0</v>
      </c>
      <c r="O22" s="77">
        <v>0.0</v>
      </c>
      <c r="P22" s="33"/>
    </row>
    <row r="23" ht="11.25" hidden="1" customHeight="1">
      <c r="A23" s="12">
        <f t="shared" si="1"/>
        <v>1</v>
      </c>
      <c r="B23" s="15" t="s">
        <v>24</v>
      </c>
      <c r="C23" s="12" t="s">
        <v>122</v>
      </c>
      <c r="D23" s="19" t="s">
        <v>828</v>
      </c>
      <c r="E23" s="25" t="s">
        <v>44</v>
      </c>
      <c r="F23" s="25" t="s">
        <v>45</v>
      </c>
      <c r="G23" s="25" t="s">
        <v>36</v>
      </c>
      <c r="H23" s="118">
        <v>46091.0</v>
      </c>
      <c r="I23" s="15">
        <v>0.0</v>
      </c>
      <c r="J23" s="106" t="s">
        <v>57</v>
      </c>
      <c r="K23" s="28">
        <v>8000.0</v>
      </c>
      <c r="L23" s="210">
        <v>0.0</v>
      </c>
      <c r="M23" s="210">
        <v>0.0</v>
      </c>
      <c r="N23" s="210">
        <v>0.0</v>
      </c>
      <c r="O23" s="210">
        <v>0.0</v>
      </c>
      <c r="P23" s="33"/>
    </row>
    <row r="24" ht="11.25" hidden="1" customHeight="1">
      <c r="A24" s="12">
        <f t="shared" si="1"/>
        <v>1</v>
      </c>
      <c r="B24" s="15" t="s">
        <v>24</v>
      </c>
      <c r="C24" s="285" t="s">
        <v>211</v>
      </c>
      <c r="D24" s="19" t="s">
        <v>829</v>
      </c>
      <c r="E24" s="168" t="s">
        <v>647</v>
      </c>
      <c r="F24" s="168" t="s">
        <v>688</v>
      </c>
      <c r="G24" s="168" t="s">
        <v>36</v>
      </c>
      <c r="H24" s="170">
        <v>46091.0</v>
      </c>
      <c r="I24" s="171">
        <v>1.0</v>
      </c>
      <c r="J24" s="172" t="s">
        <v>38</v>
      </c>
      <c r="K24" s="173">
        <v>0.0</v>
      </c>
      <c r="L24" s="173">
        <v>150000.0</v>
      </c>
      <c r="M24" s="173">
        <v>0.0</v>
      </c>
      <c r="N24" s="173">
        <v>0.0</v>
      </c>
      <c r="O24" s="174">
        <v>0.0</v>
      </c>
      <c r="P24" s="23"/>
    </row>
    <row r="25" ht="11.25" hidden="1" customHeight="1">
      <c r="A25" s="12">
        <f t="shared" si="1"/>
        <v>1</v>
      </c>
      <c r="B25" s="15" t="s">
        <v>24</v>
      </c>
      <c r="C25" s="242" t="s">
        <v>211</v>
      </c>
      <c r="D25" s="19" t="s">
        <v>830</v>
      </c>
      <c r="E25" s="23" t="s">
        <v>208</v>
      </c>
      <c r="F25" s="23" t="s">
        <v>661</v>
      </c>
      <c r="G25" s="23" t="s">
        <v>36</v>
      </c>
      <c r="H25" s="286">
        <v>46092.0</v>
      </c>
      <c r="I25" s="17">
        <v>0.0</v>
      </c>
      <c r="J25" s="28" t="s">
        <v>57</v>
      </c>
      <c r="K25" s="28">
        <v>12500.0</v>
      </c>
      <c r="L25" s="28">
        <v>0.0</v>
      </c>
      <c r="M25" s="173">
        <v>0.0</v>
      </c>
      <c r="N25" s="28">
        <v>0.0</v>
      </c>
      <c r="O25" s="174">
        <v>0.0</v>
      </c>
      <c r="P25" s="288">
        <v>46047.0</v>
      </c>
    </row>
    <row r="26" ht="11.25" hidden="1" customHeight="1">
      <c r="A26" s="12">
        <f t="shared" si="1"/>
        <v>1</v>
      </c>
      <c r="B26" s="15" t="s">
        <v>24</v>
      </c>
      <c r="C26" s="242" t="s">
        <v>211</v>
      </c>
      <c r="D26" s="19" t="s">
        <v>831</v>
      </c>
      <c r="E26" s="23" t="s">
        <v>208</v>
      </c>
      <c r="F26" s="23" t="s">
        <v>661</v>
      </c>
      <c r="G26" s="23" t="s">
        <v>36</v>
      </c>
      <c r="H26" s="286">
        <v>46092.0</v>
      </c>
      <c r="I26" s="17">
        <v>0.0</v>
      </c>
      <c r="J26" s="28" t="s">
        <v>57</v>
      </c>
      <c r="K26" s="28">
        <v>0.0</v>
      </c>
      <c r="L26" s="28">
        <v>0.0</v>
      </c>
      <c r="M26" s="173">
        <v>0.0</v>
      </c>
      <c r="N26" s="28">
        <v>12500.0</v>
      </c>
      <c r="O26" s="174">
        <v>0.0</v>
      </c>
      <c r="P26" s="288">
        <v>46047.0</v>
      </c>
    </row>
    <row r="27" ht="11.25" hidden="1" customHeight="1">
      <c r="A27" s="12">
        <f t="shared" si="1"/>
        <v>1</v>
      </c>
      <c r="B27" s="15" t="s">
        <v>24</v>
      </c>
      <c r="C27" s="242" t="s">
        <v>211</v>
      </c>
      <c r="D27" s="19" t="s">
        <v>832</v>
      </c>
      <c r="E27" s="23" t="s">
        <v>208</v>
      </c>
      <c r="F27" s="23" t="s">
        <v>661</v>
      </c>
      <c r="G27" s="23" t="s">
        <v>36</v>
      </c>
      <c r="H27" s="286">
        <v>46092.0</v>
      </c>
      <c r="I27" s="17">
        <v>0.0</v>
      </c>
      <c r="J27" s="28" t="s">
        <v>57</v>
      </c>
      <c r="K27" s="28">
        <v>0.0</v>
      </c>
      <c r="L27" s="28">
        <v>0.0</v>
      </c>
      <c r="M27" s="173">
        <v>0.0</v>
      </c>
      <c r="N27" s="28">
        <v>12500.0</v>
      </c>
      <c r="O27" s="174">
        <v>0.0</v>
      </c>
      <c r="P27" s="288">
        <v>46047.0</v>
      </c>
    </row>
    <row r="28" ht="11.25" hidden="1" customHeight="1">
      <c r="A28" s="12">
        <f t="shared" si="1"/>
        <v>1</v>
      </c>
      <c r="B28" s="15" t="s">
        <v>24</v>
      </c>
      <c r="C28" s="242" t="s">
        <v>211</v>
      </c>
      <c r="D28" s="19" t="s">
        <v>833</v>
      </c>
      <c r="E28" s="23" t="s">
        <v>208</v>
      </c>
      <c r="F28" s="23" t="s">
        <v>661</v>
      </c>
      <c r="G28" s="23" t="s">
        <v>36</v>
      </c>
      <c r="H28" s="286">
        <v>46092.0</v>
      </c>
      <c r="I28" s="17">
        <v>0.0</v>
      </c>
      <c r="J28" s="28" t="s">
        <v>57</v>
      </c>
      <c r="K28" s="28">
        <v>0.0</v>
      </c>
      <c r="L28" s="28">
        <v>0.0</v>
      </c>
      <c r="M28" s="173">
        <v>0.0</v>
      </c>
      <c r="N28" s="28">
        <v>12500.0</v>
      </c>
      <c r="O28" s="174">
        <v>0.0</v>
      </c>
      <c r="P28" s="288">
        <v>46047.0</v>
      </c>
    </row>
    <row r="29" ht="11.25" hidden="1" customHeight="1">
      <c r="A29" s="12">
        <f t="shared" si="1"/>
        <v>1</v>
      </c>
      <c r="B29" s="15" t="s">
        <v>24</v>
      </c>
      <c r="C29" s="242" t="s">
        <v>211</v>
      </c>
      <c r="D29" s="19" t="s">
        <v>834</v>
      </c>
      <c r="E29" s="23" t="s">
        <v>208</v>
      </c>
      <c r="F29" s="23" t="s">
        <v>661</v>
      </c>
      <c r="G29" s="23" t="s">
        <v>36</v>
      </c>
      <c r="H29" s="286">
        <v>46092.0</v>
      </c>
      <c r="I29" s="17">
        <v>0.0</v>
      </c>
      <c r="J29" s="28" t="s">
        <v>57</v>
      </c>
      <c r="K29" s="28">
        <v>0.0</v>
      </c>
      <c r="L29" s="28">
        <v>0.0</v>
      </c>
      <c r="M29" s="173">
        <v>0.0</v>
      </c>
      <c r="N29" s="28">
        <v>12500.0</v>
      </c>
      <c r="O29" s="174">
        <v>0.0</v>
      </c>
      <c r="P29" s="288">
        <v>46047.0</v>
      </c>
    </row>
    <row r="30" ht="11.25" customHeight="1">
      <c r="A30" s="12">
        <f t="shared" si="1"/>
        <v>2</v>
      </c>
      <c r="B30" s="15" t="s">
        <v>24</v>
      </c>
      <c r="C30" s="17" t="s">
        <v>122</v>
      </c>
      <c r="D30" s="19" t="s">
        <v>835</v>
      </c>
      <c r="E30" s="25" t="s">
        <v>191</v>
      </c>
      <c r="F30" s="25" t="s">
        <v>316</v>
      </c>
      <c r="G30" s="25" t="s">
        <v>36</v>
      </c>
      <c r="H30" s="286">
        <v>46092.0</v>
      </c>
      <c r="I30" s="15">
        <v>0.0</v>
      </c>
      <c r="J30" s="15" t="s">
        <v>57</v>
      </c>
      <c r="K30" s="28">
        <v>10000.0</v>
      </c>
      <c r="L30" s="100">
        <v>0.0</v>
      </c>
      <c r="M30" s="100">
        <v>0.0</v>
      </c>
      <c r="N30" s="100">
        <v>0.0</v>
      </c>
      <c r="O30" s="100">
        <v>0.0</v>
      </c>
      <c r="P30" s="33"/>
    </row>
    <row r="31" ht="11.25" hidden="1" customHeight="1">
      <c r="A31" s="12">
        <f t="shared" si="1"/>
        <v>2</v>
      </c>
      <c r="B31" s="15" t="s">
        <v>24</v>
      </c>
      <c r="C31" s="12"/>
      <c r="D31" s="289" t="s">
        <v>260</v>
      </c>
      <c r="E31" s="106"/>
      <c r="F31" s="106" t="s">
        <v>79</v>
      </c>
      <c r="G31" s="106" t="s">
        <v>34</v>
      </c>
      <c r="H31" s="118">
        <v>46093.0</v>
      </c>
      <c r="I31" s="12">
        <v>0.0</v>
      </c>
      <c r="J31" s="106" t="s">
        <v>57</v>
      </c>
      <c r="K31" s="210">
        <v>0.0</v>
      </c>
      <c r="L31" s="210">
        <v>50000.0</v>
      </c>
      <c r="M31" s="210">
        <v>0.0</v>
      </c>
      <c r="N31" s="210">
        <v>0.0</v>
      </c>
      <c r="O31" s="28"/>
      <c r="P31" s="33"/>
    </row>
    <row r="32" ht="11.25" hidden="1" customHeight="1">
      <c r="A32" s="12">
        <f t="shared" si="1"/>
        <v>2</v>
      </c>
      <c r="B32" s="15" t="s">
        <v>24</v>
      </c>
      <c r="C32" s="17" t="s">
        <v>211</v>
      </c>
      <c r="D32" s="19" t="s">
        <v>836</v>
      </c>
      <c r="E32" s="23" t="s">
        <v>647</v>
      </c>
      <c r="F32" s="23" t="s">
        <v>688</v>
      </c>
      <c r="G32" s="168" t="s">
        <v>36</v>
      </c>
      <c r="H32" s="290">
        <v>46093.0</v>
      </c>
      <c r="I32" s="178">
        <v>0.0</v>
      </c>
      <c r="J32" s="172" t="s">
        <v>38</v>
      </c>
      <c r="K32" s="173">
        <v>0.0</v>
      </c>
      <c r="L32" s="173">
        <v>150000.0</v>
      </c>
      <c r="M32" s="173">
        <v>0.0</v>
      </c>
      <c r="N32" s="173">
        <v>0.0</v>
      </c>
      <c r="O32" s="174">
        <v>0.0</v>
      </c>
      <c r="P32" s="33"/>
    </row>
    <row r="33" ht="11.25" customHeight="1">
      <c r="A33" s="12">
        <f t="shared" si="1"/>
        <v>3</v>
      </c>
      <c r="B33" s="15" t="s">
        <v>24</v>
      </c>
      <c r="C33" s="17" t="s">
        <v>122</v>
      </c>
      <c r="D33" s="19" t="s">
        <v>837</v>
      </c>
      <c r="E33" s="25" t="s">
        <v>191</v>
      </c>
      <c r="F33" s="25" t="s">
        <v>252</v>
      </c>
      <c r="G33" s="25" t="s">
        <v>36</v>
      </c>
      <c r="H33" s="290">
        <v>46093.0</v>
      </c>
      <c r="I33" s="17">
        <v>0.0</v>
      </c>
      <c r="J33" s="25" t="s">
        <v>38</v>
      </c>
      <c r="K33" s="28">
        <v>100000.0</v>
      </c>
      <c r="L33" s="28">
        <v>0.0</v>
      </c>
      <c r="M33" s="28">
        <v>0.0</v>
      </c>
      <c r="N33" s="28">
        <v>0.0</v>
      </c>
      <c r="O33" s="28">
        <v>0.0</v>
      </c>
      <c r="P33" s="33"/>
    </row>
    <row r="34" ht="11.25" hidden="1" customHeight="1">
      <c r="A34" s="12">
        <f t="shared" si="1"/>
        <v>3</v>
      </c>
      <c r="B34" s="15" t="s">
        <v>24</v>
      </c>
      <c r="C34" s="17" t="s">
        <v>122</v>
      </c>
      <c r="D34" s="19" t="s">
        <v>838</v>
      </c>
      <c r="E34" s="25" t="s">
        <v>92</v>
      </c>
      <c r="F34" s="25" t="s">
        <v>700</v>
      </c>
      <c r="G34" s="25" t="s">
        <v>36</v>
      </c>
      <c r="H34" s="73">
        <v>46093.0</v>
      </c>
      <c r="I34" s="15">
        <v>0.0</v>
      </c>
      <c r="J34" s="25" t="s">
        <v>38</v>
      </c>
      <c r="K34" s="28">
        <v>10000.0</v>
      </c>
      <c r="L34" s="28">
        <v>0.0</v>
      </c>
      <c r="M34" s="28">
        <v>0.0</v>
      </c>
      <c r="N34" s="28">
        <v>0.0</v>
      </c>
      <c r="O34" s="28">
        <v>0.0</v>
      </c>
      <c r="P34" s="33"/>
    </row>
    <row r="35" ht="11.25" hidden="1" customHeight="1">
      <c r="A35" s="12">
        <f t="shared" si="1"/>
        <v>3</v>
      </c>
      <c r="B35" s="15" t="s">
        <v>24</v>
      </c>
      <c r="C35" s="17" t="s">
        <v>211</v>
      </c>
      <c r="D35" s="19" t="s">
        <v>839</v>
      </c>
      <c r="E35" s="25" t="s">
        <v>169</v>
      </c>
      <c r="F35" s="23" t="s">
        <v>840</v>
      </c>
      <c r="G35" s="25" t="s">
        <v>36</v>
      </c>
      <c r="H35" s="73">
        <v>46093.0</v>
      </c>
      <c r="I35" s="17">
        <v>1.0</v>
      </c>
      <c r="J35" s="25" t="s">
        <v>38</v>
      </c>
      <c r="K35" s="28">
        <v>5000.0</v>
      </c>
      <c r="L35" s="28">
        <v>0.0</v>
      </c>
      <c r="M35" s="28">
        <v>0.0</v>
      </c>
      <c r="N35" s="28">
        <v>0.0</v>
      </c>
      <c r="O35" s="28">
        <v>0.0</v>
      </c>
      <c r="P35" s="33"/>
    </row>
    <row r="36" ht="11.25" hidden="1" customHeight="1">
      <c r="A36" s="12">
        <f t="shared" si="1"/>
        <v>3</v>
      </c>
      <c r="B36" s="15" t="s">
        <v>24</v>
      </c>
      <c r="C36" s="15"/>
      <c r="D36" s="19" t="s">
        <v>844</v>
      </c>
      <c r="E36" s="25"/>
      <c r="F36" s="25" t="s">
        <v>336</v>
      </c>
      <c r="G36" s="25" t="s">
        <v>36</v>
      </c>
      <c r="H36" s="73">
        <v>46093.0</v>
      </c>
      <c r="I36" s="15">
        <v>0.0</v>
      </c>
      <c r="J36" s="25" t="s">
        <v>57</v>
      </c>
      <c r="K36" s="28">
        <v>0.0</v>
      </c>
      <c r="L36" s="28">
        <v>16000.0</v>
      </c>
      <c r="M36" s="28">
        <v>0.0</v>
      </c>
      <c r="N36" s="28">
        <v>0.0</v>
      </c>
      <c r="O36" s="28">
        <v>0.0</v>
      </c>
      <c r="P36" s="33"/>
    </row>
    <row r="37" ht="11.25" hidden="1" customHeight="1">
      <c r="A37" s="12">
        <f t="shared" si="1"/>
        <v>3</v>
      </c>
      <c r="B37" s="15" t="s">
        <v>24</v>
      </c>
      <c r="C37" s="17" t="s">
        <v>211</v>
      </c>
      <c r="D37" s="19" t="s">
        <v>845</v>
      </c>
      <c r="E37" s="71" t="s">
        <v>84</v>
      </c>
      <c r="F37" s="71" t="s">
        <v>420</v>
      </c>
      <c r="G37" s="72" t="s">
        <v>37</v>
      </c>
      <c r="H37" s="73">
        <v>46093.0</v>
      </c>
      <c r="I37" s="17">
        <v>1.0</v>
      </c>
      <c r="J37" s="25" t="s">
        <v>38</v>
      </c>
      <c r="K37" s="28">
        <v>10000.0</v>
      </c>
      <c r="L37" s="28">
        <v>0.0</v>
      </c>
      <c r="M37" s="28">
        <v>0.0</v>
      </c>
      <c r="N37" s="28">
        <v>0.0</v>
      </c>
      <c r="O37" s="28">
        <v>0.0</v>
      </c>
      <c r="P37" s="33"/>
    </row>
    <row r="38" ht="11.25" hidden="1" customHeight="1">
      <c r="A38" s="12">
        <f t="shared" si="1"/>
        <v>3</v>
      </c>
      <c r="B38" s="15" t="s">
        <v>24</v>
      </c>
      <c r="C38" s="17" t="s">
        <v>211</v>
      </c>
      <c r="D38" s="19" t="s">
        <v>846</v>
      </c>
      <c r="E38" s="23" t="s">
        <v>847</v>
      </c>
      <c r="F38" s="23" t="s">
        <v>848</v>
      </c>
      <c r="G38" s="72" t="s">
        <v>37</v>
      </c>
      <c r="H38" s="73">
        <v>46093.0</v>
      </c>
      <c r="I38" s="17">
        <v>2.0</v>
      </c>
      <c r="J38" s="25" t="s">
        <v>38</v>
      </c>
      <c r="K38" s="28">
        <v>100000.0</v>
      </c>
      <c r="L38" s="28">
        <v>0.0</v>
      </c>
      <c r="M38" s="28">
        <v>0.0</v>
      </c>
      <c r="N38" s="28">
        <v>0.0</v>
      </c>
      <c r="O38" s="28">
        <v>0.0</v>
      </c>
      <c r="P38" s="33"/>
    </row>
    <row r="39" ht="11.25" hidden="1" customHeight="1">
      <c r="A39" s="12">
        <f t="shared" si="1"/>
        <v>3</v>
      </c>
      <c r="B39" s="15" t="s">
        <v>24</v>
      </c>
      <c r="C39" s="17" t="s">
        <v>122</v>
      </c>
      <c r="D39" s="19" t="s">
        <v>849</v>
      </c>
      <c r="E39" s="25" t="s">
        <v>27</v>
      </c>
      <c r="F39" s="23" t="s">
        <v>850</v>
      </c>
      <c r="G39" s="72" t="s">
        <v>37</v>
      </c>
      <c r="H39" s="73">
        <v>46093.0</v>
      </c>
      <c r="I39" s="17">
        <v>1.0</v>
      </c>
      <c r="J39" s="23" t="s">
        <v>38</v>
      </c>
      <c r="K39" s="28">
        <v>100000.0</v>
      </c>
      <c r="L39" s="28">
        <v>0.0</v>
      </c>
      <c r="M39" s="28">
        <v>0.0</v>
      </c>
      <c r="N39" s="28">
        <v>0.0</v>
      </c>
      <c r="O39" s="28">
        <v>0.0</v>
      </c>
      <c r="P39" s="33"/>
    </row>
    <row r="40" ht="11.25" hidden="1" customHeight="1">
      <c r="A40" s="12">
        <f t="shared" si="1"/>
        <v>3</v>
      </c>
      <c r="B40" s="15" t="s">
        <v>24</v>
      </c>
      <c r="C40" s="17" t="s">
        <v>122</v>
      </c>
      <c r="D40" s="19" t="s">
        <v>851</v>
      </c>
      <c r="E40" s="25" t="s">
        <v>184</v>
      </c>
      <c r="F40" s="25" t="s">
        <v>449</v>
      </c>
      <c r="G40" s="25" t="s">
        <v>36</v>
      </c>
      <c r="H40" s="73">
        <v>46093.0</v>
      </c>
      <c r="I40" s="15">
        <v>0.0</v>
      </c>
      <c r="J40" s="25" t="s">
        <v>57</v>
      </c>
      <c r="K40" s="28">
        <v>100000.0</v>
      </c>
      <c r="L40" s="100">
        <v>0.0</v>
      </c>
      <c r="M40" s="100">
        <v>0.0</v>
      </c>
      <c r="N40" s="100">
        <v>0.0</v>
      </c>
      <c r="O40" s="100">
        <v>0.0</v>
      </c>
      <c r="P40" s="183" t="s">
        <v>852</v>
      </c>
    </row>
    <row r="41" ht="11.25" hidden="1" customHeight="1">
      <c r="A41" s="12">
        <f t="shared" si="1"/>
        <v>3</v>
      </c>
      <c r="B41" s="15" t="s">
        <v>24</v>
      </c>
      <c r="C41" s="242" t="s">
        <v>211</v>
      </c>
      <c r="D41" s="19" t="s">
        <v>853</v>
      </c>
      <c r="E41" s="25" t="s">
        <v>631</v>
      </c>
      <c r="F41" s="25" t="s">
        <v>632</v>
      </c>
      <c r="G41" s="25" t="s">
        <v>36</v>
      </c>
      <c r="H41" s="73">
        <v>46093.0</v>
      </c>
      <c r="I41" s="17">
        <v>0.0</v>
      </c>
      <c r="J41" s="25" t="s">
        <v>38</v>
      </c>
      <c r="K41" s="28">
        <v>10000.0</v>
      </c>
      <c r="L41" s="28">
        <v>0.0</v>
      </c>
      <c r="M41" s="28">
        <v>0.0</v>
      </c>
      <c r="N41" s="28">
        <v>0.0</v>
      </c>
      <c r="O41" s="28">
        <v>0.0</v>
      </c>
      <c r="P41" s="33"/>
    </row>
    <row r="42" ht="11.25" customHeight="1">
      <c r="A42" s="12">
        <f t="shared" si="1"/>
        <v>4</v>
      </c>
      <c r="B42" s="15" t="s">
        <v>24</v>
      </c>
      <c r="C42" s="242" t="s">
        <v>122</v>
      </c>
      <c r="D42" s="19" t="s">
        <v>854</v>
      </c>
      <c r="E42" s="25" t="s">
        <v>191</v>
      </c>
      <c r="F42" s="106" t="s">
        <v>193</v>
      </c>
      <c r="G42" s="25" t="s">
        <v>37</v>
      </c>
      <c r="H42" s="73">
        <v>46095.0</v>
      </c>
      <c r="I42" s="17">
        <v>0.0</v>
      </c>
      <c r="J42" s="25" t="s">
        <v>38</v>
      </c>
      <c r="K42" s="28">
        <v>0.0</v>
      </c>
      <c r="L42" s="28">
        <v>200000.0</v>
      </c>
      <c r="M42" s="28">
        <v>0.0</v>
      </c>
      <c r="N42" s="28">
        <v>0.0</v>
      </c>
      <c r="O42" s="28">
        <v>0.0</v>
      </c>
      <c r="P42" s="33"/>
    </row>
    <row r="43" ht="11.25" hidden="1" customHeight="1">
      <c r="A43" s="12">
        <f t="shared" si="1"/>
        <v>4</v>
      </c>
      <c r="B43" s="15" t="s">
        <v>24</v>
      </c>
      <c r="C43" s="12"/>
      <c r="D43" s="19" t="s">
        <v>855</v>
      </c>
      <c r="E43" s="106"/>
      <c r="F43" s="106" t="s">
        <v>143</v>
      </c>
      <c r="G43" s="106" t="s">
        <v>36</v>
      </c>
      <c r="H43" s="241">
        <v>46095.0</v>
      </c>
      <c r="I43" s="12">
        <v>0.0</v>
      </c>
      <c r="J43" s="106" t="s">
        <v>57</v>
      </c>
      <c r="K43" s="210">
        <v>5800.0</v>
      </c>
      <c r="L43" s="210">
        <v>0.0</v>
      </c>
      <c r="M43" s="210">
        <v>0.0</v>
      </c>
      <c r="N43" s="210">
        <v>0.0</v>
      </c>
      <c r="O43" s="210">
        <v>0.0</v>
      </c>
      <c r="P43" s="33"/>
    </row>
    <row r="44" ht="11.25" hidden="1" customHeight="1">
      <c r="A44" s="12">
        <f t="shared" si="1"/>
        <v>4</v>
      </c>
      <c r="B44" s="15" t="s">
        <v>24</v>
      </c>
      <c r="C44" s="17" t="s">
        <v>211</v>
      </c>
      <c r="D44" s="19" t="s">
        <v>841</v>
      </c>
      <c r="E44" s="25" t="s">
        <v>293</v>
      </c>
      <c r="F44" s="25" t="s">
        <v>294</v>
      </c>
      <c r="G44" s="25" t="s">
        <v>37</v>
      </c>
      <c r="H44" s="73">
        <v>46096.0</v>
      </c>
      <c r="I44" s="17">
        <v>0.0</v>
      </c>
      <c r="J44" s="25" t="s">
        <v>38</v>
      </c>
      <c r="K44" s="28">
        <v>0.0</v>
      </c>
      <c r="L44" s="28">
        <v>0.0</v>
      </c>
      <c r="M44" s="28">
        <v>96000.0</v>
      </c>
      <c r="N44" s="28">
        <v>0.0</v>
      </c>
      <c r="O44" s="28">
        <v>0.0</v>
      </c>
      <c r="P44" s="180">
        <v>46093.0</v>
      </c>
    </row>
    <row r="45" ht="11.25" hidden="1" customHeight="1">
      <c r="A45" s="12">
        <f t="shared" si="1"/>
        <v>4</v>
      </c>
      <c r="B45" s="15" t="s">
        <v>24</v>
      </c>
      <c r="C45" s="211" t="s">
        <v>122</v>
      </c>
      <c r="D45" s="211" t="s">
        <v>276</v>
      </c>
      <c r="E45" s="71"/>
      <c r="F45" s="25" t="s">
        <v>32</v>
      </c>
      <c r="G45" s="25" t="s">
        <v>34</v>
      </c>
      <c r="H45" s="241">
        <v>46096.0</v>
      </c>
      <c r="I45" s="15">
        <v>0.0</v>
      </c>
      <c r="J45" s="25" t="s">
        <v>57</v>
      </c>
      <c r="K45" s="28">
        <v>0.0</v>
      </c>
      <c r="L45" s="28">
        <v>50000.0</v>
      </c>
      <c r="M45" s="28">
        <v>0.0</v>
      </c>
      <c r="N45" s="28">
        <v>0.0</v>
      </c>
      <c r="O45" s="28">
        <v>0.0</v>
      </c>
      <c r="P45" s="218"/>
    </row>
    <row r="46" ht="11.25" hidden="1" customHeight="1">
      <c r="A46" s="12">
        <f t="shared" si="1"/>
        <v>4</v>
      </c>
      <c r="B46" s="15" t="s">
        <v>24</v>
      </c>
      <c r="C46" s="12" t="s">
        <v>122</v>
      </c>
      <c r="D46" s="15" t="s">
        <v>856</v>
      </c>
      <c r="E46" s="25" t="s">
        <v>44</v>
      </c>
      <c r="F46" s="25" t="s">
        <v>45</v>
      </c>
      <c r="G46" s="25" t="s">
        <v>36</v>
      </c>
      <c r="H46" s="241">
        <v>46096.0</v>
      </c>
      <c r="I46" s="17">
        <v>0.0</v>
      </c>
      <c r="J46" s="23" t="s">
        <v>38</v>
      </c>
      <c r="K46" s="28">
        <v>100000.0</v>
      </c>
      <c r="L46" s="28">
        <v>0.0</v>
      </c>
      <c r="M46" s="28">
        <v>0.0</v>
      </c>
      <c r="N46" s="28">
        <v>0.0</v>
      </c>
      <c r="O46" s="28">
        <v>0.0</v>
      </c>
      <c r="P46" s="118"/>
    </row>
    <row r="47" ht="11.25" hidden="1" customHeight="1">
      <c r="A47" s="12">
        <f t="shared" si="1"/>
        <v>4</v>
      </c>
      <c r="B47" s="15" t="s">
        <v>24</v>
      </c>
      <c r="C47" s="242" t="s">
        <v>211</v>
      </c>
      <c r="D47" s="19" t="s">
        <v>857</v>
      </c>
      <c r="E47" s="25" t="s">
        <v>647</v>
      </c>
      <c r="F47" s="25" t="s">
        <v>809</v>
      </c>
      <c r="G47" s="25" t="s">
        <v>36</v>
      </c>
      <c r="H47" s="241">
        <v>46096.0</v>
      </c>
      <c r="I47" s="17">
        <v>0.0</v>
      </c>
      <c r="J47" s="172" t="s">
        <v>38</v>
      </c>
      <c r="K47" s="28">
        <v>0.0</v>
      </c>
      <c r="L47" s="28">
        <v>50000.0</v>
      </c>
      <c r="M47" s="28">
        <v>0.0</v>
      </c>
      <c r="N47" s="28">
        <v>0.0</v>
      </c>
      <c r="O47" s="28">
        <v>0.0</v>
      </c>
      <c r="P47" s="33"/>
    </row>
    <row r="48" ht="11.25" hidden="1" customHeight="1">
      <c r="A48" s="12">
        <f t="shared" si="1"/>
        <v>4</v>
      </c>
      <c r="B48" s="15" t="s">
        <v>24</v>
      </c>
      <c r="C48" s="242" t="s">
        <v>122</v>
      </c>
      <c r="D48" s="19" t="s">
        <v>860</v>
      </c>
      <c r="E48" s="23" t="s">
        <v>861</v>
      </c>
      <c r="F48" s="23" t="s">
        <v>648</v>
      </c>
      <c r="G48" s="25" t="s">
        <v>36</v>
      </c>
      <c r="H48" s="241">
        <v>46096.0</v>
      </c>
      <c r="I48" s="17">
        <v>1.0</v>
      </c>
      <c r="J48" s="23" t="s">
        <v>38</v>
      </c>
      <c r="K48" s="28">
        <v>10000.0</v>
      </c>
      <c r="L48" s="28">
        <v>0.0</v>
      </c>
      <c r="M48" s="28">
        <v>0.0</v>
      </c>
      <c r="N48" s="28">
        <v>0.0</v>
      </c>
      <c r="O48" s="28">
        <v>0.0</v>
      </c>
      <c r="P48" s="33"/>
    </row>
    <row r="49" ht="11.25" hidden="1" customHeight="1">
      <c r="A49" s="12">
        <f t="shared" si="1"/>
        <v>4</v>
      </c>
      <c r="B49" s="15" t="s">
        <v>24</v>
      </c>
      <c r="C49" s="242" t="s">
        <v>122</v>
      </c>
      <c r="D49" s="19" t="s">
        <v>862</v>
      </c>
      <c r="E49" s="23" t="s">
        <v>861</v>
      </c>
      <c r="F49" s="23" t="s">
        <v>863</v>
      </c>
      <c r="G49" s="25" t="s">
        <v>36</v>
      </c>
      <c r="H49" s="241">
        <v>46096.0</v>
      </c>
      <c r="I49" s="17">
        <v>1.0</v>
      </c>
      <c r="J49" s="23" t="s">
        <v>38</v>
      </c>
      <c r="K49" s="28">
        <v>10000.0</v>
      </c>
      <c r="L49" s="28">
        <v>0.0</v>
      </c>
      <c r="M49" s="28">
        <v>0.0</v>
      </c>
      <c r="N49" s="28">
        <v>0.0</v>
      </c>
      <c r="O49" s="28">
        <v>0.0</v>
      </c>
      <c r="P49" s="33"/>
    </row>
    <row r="50" ht="11.25" hidden="1" customHeight="1">
      <c r="A50" s="12">
        <f t="shared" si="1"/>
        <v>4</v>
      </c>
      <c r="B50" s="15" t="s">
        <v>24</v>
      </c>
      <c r="C50" s="242" t="s">
        <v>122</v>
      </c>
      <c r="D50" s="19" t="s">
        <v>864</v>
      </c>
      <c r="E50" s="291" t="s">
        <v>487</v>
      </c>
      <c r="F50" s="25" t="s">
        <v>554</v>
      </c>
      <c r="G50" s="25" t="s">
        <v>36</v>
      </c>
      <c r="H50" s="241">
        <v>46096.0</v>
      </c>
      <c r="I50" s="15">
        <v>0.0</v>
      </c>
      <c r="J50" s="25" t="s">
        <v>57</v>
      </c>
      <c r="K50" s="28">
        <v>50000.0</v>
      </c>
      <c r="L50" s="28">
        <v>0.0</v>
      </c>
      <c r="M50" s="28">
        <v>0.0</v>
      </c>
      <c r="N50" s="76">
        <v>0.0</v>
      </c>
      <c r="O50" s="190">
        <v>0.0</v>
      </c>
      <c r="P50" s="33"/>
    </row>
    <row r="51" ht="11.25" hidden="1" customHeight="1">
      <c r="A51" s="12">
        <f t="shared" si="1"/>
        <v>4</v>
      </c>
      <c r="B51" s="15" t="s">
        <v>24</v>
      </c>
      <c r="C51" s="242"/>
      <c r="D51" s="35" t="s">
        <v>865</v>
      </c>
      <c r="E51" s="25" t="s">
        <v>820</v>
      </c>
      <c r="F51" s="25" t="s">
        <v>821</v>
      </c>
      <c r="G51" s="106" t="s">
        <v>36</v>
      </c>
      <c r="H51" s="241">
        <v>46096.0</v>
      </c>
      <c r="I51" s="17">
        <v>0.0</v>
      </c>
      <c r="J51" s="25" t="s">
        <v>38</v>
      </c>
      <c r="K51" s="28">
        <v>10000.0</v>
      </c>
      <c r="L51" s="281">
        <v>0.0</v>
      </c>
      <c r="M51" s="281">
        <v>0.0</v>
      </c>
      <c r="N51" s="281">
        <v>0.0</v>
      </c>
      <c r="O51" s="281">
        <v>0.0</v>
      </c>
      <c r="P51" s="33"/>
    </row>
    <row r="52" ht="11.25" hidden="1" customHeight="1">
      <c r="A52" s="12">
        <f t="shared" si="1"/>
        <v>4</v>
      </c>
      <c r="B52" s="15" t="s">
        <v>24</v>
      </c>
      <c r="C52" s="12" t="s">
        <v>211</v>
      </c>
      <c r="D52" s="289" t="s">
        <v>257</v>
      </c>
      <c r="E52" s="106" t="s">
        <v>84</v>
      </c>
      <c r="F52" s="106" t="s">
        <v>254</v>
      </c>
      <c r="G52" s="106" t="s">
        <v>34</v>
      </c>
      <c r="H52" s="30">
        <v>46097.0</v>
      </c>
      <c r="I52" s="12">
        <v>0.0</v>
      </c>
      <c r="J52" s="106" t="s">
        <v>38</v>
      </c>
      <c r="K52" s="210">
        <v>200000.0</v>
      </c>
      <c r="L52" s="210">
        <v>0.0</v>
      </c>
      <c r="M52" s="210">
        <v>0.0</v>
      </c>
      <c r="N52" s="210">
        <v>0.0</v>
      </c>
      <c r="O52" s="292">
        <v>0.0</v>
      </c>
      <c r="P52" s="218"/>
    </row>
    <row r="53" ht="11.25" customHeight="1">
      <c r="A53" s="12">
        <f t="shared" si="1"/>
        <v>5</v>
      </c>
      <c r="B53" s="15" t="s">
        <v>24</v>
      </c>
      <c r="C53" s="15" t="s">
        <v>122</v>
      </c>
      <c r="D53" s="19" t="s">
        <v>258</v>
      </c>
      <c r="E53" s="25" t="s">
        <v>191</v>
      </c>
      <c r="F53" s="25" t="s">
        <v>252</v>
      </c>
      <c r="G53" s="25" t="s">
        <v>36</v>
      </c>
      <c r="H53" s="32">
        <v>46096.0</v>
      </c>
      <c r="I53" s="15">
        <v>0.0</v>
      </c>
      <c r="J53" s="25" t="s">
        <v>38</v>
      </c>
      <c r="K53" s="28">
        <v>0.0</v>
      </c>
      <c r="L53" s="28">
        <v>0.0</v>
      </c>
      <c r="M53" s="28">
        <v>300000.0</v>
      </c>
      <c r="N53" s="28">
        <v>0.0</v>
      </c>
      <c r="O53" s="28">
        <v>0.0</v>
      </c>
      <c r="P53" s="32">
        <v>45930.0</v>
      </c>
    </row>
    <row r="54" ht="11.25" hidden="1" customHeight="1">
      <c r="A54" s="12">
        <f t="shared" si="1"/>
        <v>5</v>
      </c>
      <c r="B54" s="15" t="s">
        <v>24</v>
      </c>
      <c r="C54" s="17" t="s">
        <v>211</v>
      </c>
      <c r="D54" s="17" t="s">
        <v>866</v>
      </c>
      <c r="E54" s="23" t="s">
        <v>84</v>
      </c>
      <c r="F54" s="23" t="s">
        <v>149</v>
      </c>
      <c r="G54" s="25" t="s">
        <v>36</v>
      </c>
      <c r="H54" s="30">
        <v>46097.0</v>
      </c>
      <c r="I54" s="17">
        <v>0.0</v>
      </c>
      <c r="J54" s="25" t="s">
        <v>57</v>
      </c>
      <c r="K54" s="28">
        <v>110000.0</v>
      </c>
      <c r="L54" s="100">
        <v>0.0</v>
      </c>
      <c r="M54" s="100">
        <v>0.0</v>
      </c>
      <c r="N54" s="100">
        <v>0.0</v>
      </c>
      <c r="O54" s="100">
        <v>0.0</v>
      </c>
      <c r="P54" s="33"/>
    </row>
    <row r="55" ht="11.25" hidden="1" customHeight="1">
      <c r="A55" s="12">
        <f t="shared" si="1"/>
        <v>5</v>
      </c>
      <c r="B55" s="15" t="s">
        <v>24</v>
      </c>
      <c r="C55" s="17" t="s">
        <v>122</v>
      </c>
      <c r="D55" s="17" t="s">
        <v>868</v>
      </c>
      <c r="E55" s="25" t="s">
        <v>60</v>
      </c>
      <c r="F55" s="25" t="s">
        <v>161</v>
      </c>
      <c r="G55" s="25" t="s">
        <v>36</v>
      </c>
      <c r="H55" s="30">
        <v>46098.0</v>
      </c>
      <c r="I55" s="15">
        <v>0.0</v>
      </c>
      <c r="J55" s="25" t="s">
        <v>57</v>
      </c>
      <c r="K55" s="28">
        <v>7300.0</v>
      </c>
      <c r="L55" s="28">
        <v>0.0</v>
      </c>
      <c r="M55" s="28">
        <v>0.0</v>
      </c>
      <c r="N55" s="28">
        <v>0.0</v>
      </c>
      <c r="O55" s="28">
        <v>0.0</v>
      </c>
      <c r="P55" s="33"/>
    </row>
    <row r="56" ht="11.25" hidden="1" customHeight="1">
      <c r="A56" s="12">
        <f t="shared" si="1"/>
        <v>5</v>
      </c>
      <c r="B56" s="15" t="s">
        <v>24</v>
      </c>
      <c r="C56" s="17" t="s">
        <v>211</v>
      </c>
      <c r="D56" s="17" t="s">
        <v>870</v>
      </c>
      <c r="E56" s="23" t="s">
        <v>142</v>
      </c>
      <c r="F56" s="25" t="s">
        <v>802</v>
      </c>
      <c r="G56" s="25" t="s">
        <v>36</v>
      </c>
      <c r="H56" s="30">
        <v>46098.0</v>
      </c>
      <c r="I56" s="17">
        <v>0.0</v>
      </c>
      <c r="J56" s="25" t="s">
        <v>38</v>
      </c>
      <c r="K56" s="28">
        <v>100000.0</v>
      </c>
      <c r="L56" s="28">
        <v>0.0</v>
      </c>
      <c r="M56" s="28">
        <v>0.0</v>
      </c>
      <c r="N56" s="28">
        <v>0.0</v>
      </c>
      <c r="O56" s="28">
        <v>0.0</v>
      </c>
      <c r="P56" s="33"/>
    </row>
    <row r="57" ht="11.25" hidden="1" customHeight="1">
      <c r="A57" s="12">
        <f t="shared" si="1"/>
        <v>5</v>
      </c>
      <c r="B57" s="15" t="s">
        <v>24</v>
      </c>
      <c r="C57" s="17" t="s">
        <v>211</v>
      </c>
      <c r="D57" s="17" t="s">
        <v>871</v>
      </c>
      <c r="E57" s="23" t="s">
        <v>208</v>
      </c>
      <c r="F57" s="23" t="s">
        <v>208</v>
      </c>
      <c r="G57" s="25" t="s">
        <v>36</v>
      </c>
      <c r="H57" s="30">
        <v>46098.0</v>
      </c>
      <c r="I57" s="15">
        <v>0.0</v>
      </c>
      <c r="J57" s="25" t="s">
        <v>38</v>
      </c>
      <c r="K57" s="28">
        <v>5000.0</v>
      </c>
      <c r="L57" s="28">
        <v>0.0</v>
      </c>
      <c r="M57" s="28">
        <v>0.0</v>
      </c>
      <c r="N57" s="76">
        <v>0.0</v>
      </c>
      <c r="O57" s="77">
        <v>0.0</v>
      </c>
      <c r="P57" s="33"/>
    </row>
    <row r="58" ht="11.25" hidden="1" customHeight="1">
      <c r="A58" s="12">
        <f t="shared" si="1"/>
        <v>5</v>
      </c>
      <c r="B58" s="15" t="s">
        <v>24</v>
      </c>
      <c r="C58" s="17" t="s">
        <v>211</v>
      </c>
      <c r="D58" s="17" t="s">
        <v>872</v>
      </c>
      <c r="E58" s="25" t="s">
        <v>722</v>
      </c>
      <c r="F58" s="25" t="s">
        <v>723</v>
      </c>
      <c r="G58" s="25" t="s">
        <v>37</v>
      </c>
      <c r="H58" s="64">
        <v>46098.0</v>
      </c>
      <c r="I58" s="15">
        <v>0.0</v>
      </c>
      <c r="J58" s="25" t="s">
        <v>38</v>
      </c>
      <c r="K58" s="28">
        <v>5000.0</v>
      </c>
      <c r="L58" s="28">
        <v>0.0</v>
      </c>
      <c r="M58" s="28">
        <v>0.0</v>
      </c>
      <c r="N58" s="28">
        <v>0.0</v>
      </c>
      <c r="O58" s="28">
        <v>0.0</v>
      </c>
      <c r="P58" s="218"/>
    </row>
    <row r="59" ht="11.25" hidden="1" customHeight="1">
      <c r="A59" s="12">
        <f t="shared" si="1"/>
        <v>5</v>
      </c>
      <c r="B59" s="15" t="s">
        <v>24</v>
      </c>
      <c r="C59" s="17" t="s">
        <v>211</v>
      </c>
      <c r="D59" s="17" t="s">
        <v>873</v>
      </c>
      <c r="E59" s="25" t="s">
        <v>40</v>
      </c>
      <c r="F59" s="23" t="s">
        <v>558</v>
      </c>
      <c r="G59" s="25" t="s">
        <v>36</v>
      </c>
      <c r="H59" s="64">
        <v>46098.0</v>
      </c>
      <c r="I59" s="17">
        <v>2.0</v>
      </c>
      <c r="J59" s="25" t="s">
        <v>38</v>
      </c>
      <c r="K59" s="28">
        <v>100000.0</v>
      </c>
      <c r="L59" s="28">
        <v>0.0</v>
      </c>
      <c r="M59" s="28">
        <v>0.0</v>
      </c>
      <c r="N59" s="28">
        <v>0.0</v>
      </c>
      <c r="O59" s="28">
        <v>0.0</v>
      </c>
      <c r="P59" s="218"/>
    </row>
    <row r="60" ht="11.25" hidden="1" customHeight="1">
      <c r="A60" s="12">
        <f t="shared" si="1"/>
        <v>5</v>
      </c>
      <c r="B60" s="15" t="s">
        <v>24</v>
      </c>
      <c r="C60" s="17" t="s">
        <v>211</v>
      </c>
      <c r="D60" s="17" t="s">
        <v>874</v>
      </c>
      <c r="E60" s="25" t="s">
        <v>169</v>
      </c>
      <c r="F60" s="23" t="s">
        <v>875</v>
      </c>
      <c r="G60" s="25" t="s">
        <v>36</v>
      </c>
      <c r="H60" s="64">
        <v>46098.0</v>
      </c>
      <c r="I60" s="17">
        <v>1.0</v>
      </c>
      <c r="J60" s="25" t="s">
        <v>38</v>
      </c>
      <c r="K60" s="28">
        <v>0.0</v>
      </c>
      <c r="L60" s="28">
        <v>400000.0</v>
      </c>
      <c r="M60" s="28">
        <v>0.0</v>
      </c>
      <c r="N60" s="28">
        <v>0.0</v>
      </c>
      <c r="O60" s="28">
        <v>0.0</v>
      </c>
      <c r="P60" s="33"/>
    </row>
    <row r="61" ht="11.25" customHeight="1">
      <c r="A61" s="12">
        <f t="shared" si="1"/>
        <v>6</v>
      </c>
      <c r="B61" s="15" t="s">
        <v>24</v>
      </c>
      <c r="C61" s="17" t="s">
        <v>122</v>
      </c>
      <c r="D61" s="17" t="s">
        <v>877</v>
      </c>
      <c r="E61" s="23" t="s">
        <v>191</v>
      </c>
      <c r="F61" s="23" t="s">
        <v>193</v>
      </c>
      <c r="G61" s="23" t="s">
        <v>37</v>
      </c>
      <c r="H61" s="64">
        <v>46098.0</v>
      </c>
      <c r="I61" s="17">
        <v>2.0</v>
      </c>
      <c r="J61" s="23" t="s">
        <v>38</v>
      </c>
      <c r="K61" s="28">
        <v>20000.0</v>
      </c>
      <c r="L61" s="28">
        <v>0.0</v>
      </c>
      <c r="M61" s="28">
        <v>0.0</v>
      </c>
      <c r="N61" s="28">
        <v>0.0</v>
      </c>
      <c r="O61" s="28">
        <v>0.0</v>
      </c>
      <c r="P61" s="33"/>
    </row>
    <row r="62" ht="11.25" hidden="1" customHeight="1">
      <c r="A62" s="12">
        <f t="shared" si="1"/>
        <v>6</v>
      </c>
      <c r="B62" s="15" t="s">
        <v>24</v>
      </c>
      <c r="C62" s="12" t="s">
        <v>122</v>
      </c>
      <c r="D62" s="19" t="s">
        <v>702</v>
      </c>
      <c r="E62" s="25" t="s">
        <v>116</v>
      </c>
      <c r="F62" s="25" t="s">
        <v>117</v>
      </c>
      <c r="G62" s="25" t="s">
        <v>36</v>
      </c>
      <c r="H62" s="64">
        <v>46098.0</v>
      </c>
      <c r="I62" s="15">
        <v>0.0</v>
      </c>
      <c r="J62" s="25" t="s">
        <v>38</v>
      </c>
      <c r="K62" s="28">
        <v>150000.0</v>
      </c>
      <c r="L62" s="28">
        <v>0.0</v>
      </c>
      <c r="M62" s="28">
        <v>0.0</v>
      </c>
      <c r="N62" s="28">
        <v>0.0</v>
      </c>
      <c r="O62" s="28">
        <v>0.0</v>
      </c>
      <c r="P62" s="30">
        <v>46055.0</v>
      </c>
    </row>
    <row r="63" ht="11.25" hidden="1" customHeight="1">
      <c r="A63" s="12">
        <f t="shared" si="1"/>
        <v>6</v>
      </c>
      <c r="B63" s="15" t="s">
        <v>24</v>
      </c>
      <c r="C63" s="17" t="s">
        <v>211</v>
      </c>
      <c r="D63" s="17" t="s">
        <v>876</v>
      </c>
      <c r="E63" s="25" t="s">
        <v>169</v>
      </c>
      <c r="F63" s="23" t="s">
        <v>875</v>
      </c>
      <c r="G63" s="25" t="s">
        <v>36</v>
      </c>
      <c r="H63" s="64">
        <v>46099.0</v>
      </c>
      <c r="I63" s="17">
        <v>0.0</v>
      </c>
      <c r="J63" s="25" t="s">
        <v>38</v>
      </c>
      <c r="K63" s="28">
        <v>0.0</v>
      </c>
      <c r="L63" s="28">
        <v>40000.0</v>
      </c>
      <c r="M63" s="28">
        <v>0.0</v>
      </c>
      <c r="N63" s="28">
        <v>0.0</v>
      </c>
      <c r="O63" s="28">
        <v>0.0</v>
      </c>
      <c r="P63" s="33"/>
    </row>
    <row r="64" ht="11.25" hidden="1" customHeight="1">
      <c r="A64" s="12">
        <f t="shared" si="1"/>
        <v>6</v>
      </c>
      <c r="B64" s="15" t="s">
        <v>24</v>
      </c>
      <c r="C64" s="17" t="s">
        <v>211</v>
      </c>
      <c r="D64" s="17" t="s">
        <v>878</v>
      </c>
      <c r="E64" s="23" t="s">
        <v>1474</v>
      </c>
      <c r="F64" s="23" t="s">
        <v>879</v>
      </c>
      <c r="G64" s="15" t="s">
        <v>36</v>
      </c>
      <c r="H64" s="179">
        <v>46099.0</v>
      </c>
      <c r="I64" s="17">
        <v>1.0</v>
      </c>
      <c r="J64" s="17" t="s">
        <v>38</v>
      </c>
      <c r="K64" s="28">
        <v>10000.0</v>
      </c>
      <c r="L64" s="28">
        <v>0.0</v>
      </c>
      <c r="M64" s="28">
        <v>0.0</v>
      </c>
      <c r="N64" s="28">
        <v>0.0</v>
      </c>
      <c r="O64" s="28">
        <v>0.0</v>
      </c>
      <c r="P64" s="33"/>
    </row>
    <row r="65" ht="11.25" hidden="1" customHeight="1">
      <c r="A65" s="261">
        <f t="shared" si="1"/>
        <v>6</v>
      </c>
      <c r="B65" s="15" t="s">
        <v>24</v>
      </c>
      <c r="C65" s="242" t="s">
        <v>211</v>
      </c>
      <c r="D65" s="19" t="s">
        <v>858</v>
      </c>
      <c r="E65" s="153" t="s">
        <v>731</v>
      </c>
      <c r="F65" s="234" t="s">
        <v>859</v>
      </c>
      <c r="G65" s="15" t="s">
        <v>37</v>
      </c>
      <c r="H65" s="179">
        <v>46100.0</v>
      </c>
      <c r="I65" s="17">
        <v>1.0</v>
      </c>
      <c r="J65" s="15" t="s">
        <v>38</v>
      </c>
      <c r="K65" s="28">
        <v>200000.0</v>
      </c>
      <c r="L65" s="210">
        <v>0.0</v>
      </c>
      <c r="M65" s="210">
        <v>0.0</v>
      </c>
      <c r="N65" s="210">
        <v>0.0</v>
      </c>
      <c r="O65" s="210">
        <v>0.0</v>
      </c>
      <c r="P65" s="293"/>
      <c r="Q65" s="167"/>
      <c r="R65" s="167"/>
      <c r="S65" s="167"/>
      <c r="T65" s="167"/>
      <c r="U65" s="167"/>
      <c r="V65" s="167"/>
      <c r="W65" s="167"/>
      <c r="X65" s="167"/>
      <c r="Y65" s="167"/>
      <c r="Z65" s="167"/>
    </row>
    <row r="66" ht="11.25" hidden="1" customHeight="1">
      <c r="A66" s="12">
        <f t="shared" si="1"/>
        <v>6</v>
      </c>
      <c r="B66" s="15" t="s">
        <v>24</v>
      </c>
      <c r="C66" s="242" t="s">
        <v>122</v>
      </c>
      <c r="D66" s="17" t="s">
        <v>880</v>
      </c>
      <c r="E66" s="23" t="s">
        <v>27</v>
      </c>
      <c r="F66" s="23" t="s">
        <v>881</v>
      </c>
      <c r="G66" s="25" t="s">
        <v>36</v>
      </c>
      <c r="H66" s="64">
        <v>46099.0</v>
      </c>
      <c r="I66" s="17">
        <v>1.0</v>
      </c>
      <c r="J66" s="23" t="s">
        <v>38</v>
      </c>
      <c r="K66" s="28">
        <v>150000.0</v>
      </c>
      <c r="L66" s="28">
        <v>0.0</v>
      </c>
      <c r="M66" s="28">
        <v>0.0</v>
      </c>
      <c r="N66" s="28">
        <v>0.0</v>
      </c>
      <c r="O66" s="28">
        <v>0.0</v>
      </c>
      <c r="P66" s="33"/>
    </row>
    <row r="67" ht="11.25" hidden="1" customHeight="1">
      <c r="A67" s="12">
        <f t="shared" si="1"/>
        <v>6</v>
      </c>
      <c r="B67" s="15" t="s">
        <v>24</v>
      </c>
      <c r="C67" s="242" t="s">
        <v>211</v>
      </c>
      <c r="D67" s="17" t="s">
        <v>882</v>
      </c>
      <c r="E67" s="25" t="s">
        <v>731</v>
      </c>
      <c r="F67" s="25" t="s">
        <v>762</v>
      </c>
      <c r="G67" s="25" t="s">
        <v>37</v>
      </c>
      <c r="H67" s="64">
        <v>46100.0</v>
      </c>
      <c r="I67" s="15">
        <v>0.0</v>
      </c>
      <c r="J67" s="25" t="s">
        <v>38</v>
      </c>
      <c r="K67" s="28">
        <v>200000.0</v>
      </c>
      <c r="L67" s="210">
        <v>0.0</v>
      </c>
      <c r="M67" s="210">
        <v>0.0</v>
      </c>
      <c r="N67" s="210">
        <v>0.0</v>
      </c>
      <c r="O67" s="210">
        <v>0.0</v>
      </c>
      <c r="P67" s="33"/>
    </row>
    <row r="68" ht="11.25" hidden="1" customHeight="1">
      <c r="A68" s="12">
        <f t="shared" si="1"/>
        <v>6</v>
      </c>
      <c r="B68" s="15" t="s">
        <v>24</v>
      </c>
      <c r="C68" s="242" t="s">
        <v>211</v>
      </c>
      <c r="D68" s="17" t="s">
        <v>883</v>
      </c>
      <c r="E68" s="25" t="s">
        <v>731</v>
      </c>
      <c r="F68" s="23" t="s">
        <v>884</v>
      </c>
      <c r="G68" s="25" t="s">
        <v>36</v>
      </c>
      <c r="H68" s="64">
        <v>46100.0</v>
      </c>
      <c r="I68" s="17">
        <v>1.0</v>
      </c>
      <c r="J68" s="23" t="s">
        <v>38</v>
      </c>
      <c r="K68" s="28">
        <v>100000.0</v>
      </c>
      <c r="L68" s="28">
        <v>0.0</v>
      </c>
      <c r="M68" s="28">
        <v>0.0</v>
      </c>
      <c r="N68" s="28">
        <v>0.0</v>
      </c>
      <c r="O68" s="28">
        <v>0.0</v>
      </c>
      <c r="P68" s="33"/>
    </row>
    <row r="69" ht="11.25" hidden="1" customHeight="1">
      <c r="A69" s="12">
        <f t="shared" si="1"/>
        <v>6</v>
      </c>
      <c r="B69" s="15" t="s">
        <v>24</v>
      </c>
      <c r="C69" s="17" t="s">
        <v>211</v>
      </c>
      <c r="D69" s="17" t="s">
        <v>885</v>
      </c>
      <c r="E69" s="25" t="s">
        <v>169</v>
      </c>
      <c r="F69" s="25" t="s">
        <v>484</v>
      </c>
      <c r="G69" s="25" t="s">
        <v>36</v>
      </c>
      <c r="H69" s="73">
        <v>46109.0</v>
      </c>
      <c r="I69" s="15">
        <v>0.0</v>
      </c>
      <c r="J69" s="25" t="s">
        <v>38</v>
      </c>
      <c r="K69" s="28">
        <v>0.0</v>
      </c>
      <c r="L69" s="28">
        <v>5000.0</v>
      </c>
      <c r="M69" s="28">
        <v>0.0</v>
      </c>
      <c r="N69" s="76">
        <v>0.0</v>
      </c>
      <c r="O69" s="77">
        <v>0.0</v>
      </c>
      <c r="P69" s="33"/>
    </row>
    <row r="70" ht="11.25" hidden="1" customHeight="1">
      <c r="A70" s="12">
        <f t="shared" si="1"/>
        <v>6</v>
      </c>
      <c r="B70" s="15" t="s">
        <v>24</v>
      </c>
      <c r="C70" s="17" t="s">
        <v>122</v>
      </c>
      <c r="D70" s="17" t="s">
        <v>886</v>
      </c>
      <c r="E70" s="25" t="s">
        <v>27</v>
      </c>
      <c r="F70" s="25" t="s">
        <v>548</v>
      </c>
      <c r="G70" s="25" t="s">
        <v>36</v>
      </c>
      <c r="H70" s="73">
        <v>46109.0</v>
      </c>
      <c r="I70" s="17">
        <v>0.0</v>
      </c>
      <c r="J70" s="25" t="s">
        <v>38</v>
      </c>
      <c r="K70" s="28">
        <v>10000.0</v>
      </c>
      <c r="L70" s="28">
        <v>0.0</v>
      </c>
      <c r="M70" s="28">
        <v>0.0</v>
      </c>
      <c r="N70" s="76">
        <v>0.0</v>
      </c>
      <c r="O70" s="77">
        <v>0.0</v>
      </c>
      <c r="P70" s="33"/>
    </row>
    <row r="71" ht="11.25" hidden="1" customHeight="1">
      <c r="A71" s="12">
        <f t="shared" si="1"/>
        <v>6</v>
      </c>
      <c r="B71" s="15" t="s">
        <v>24</v>
      </c>
      <c r="C71" s="242" t="s">
        <v>122</v>
      </c>
      <c r="D71" s="17" t="s">
        <v>887</v>
      </c>
      <c r="E71" s="153" t="s">
        <v>272</v>
      </c>
      <c r="F71" s="23" t="s">
        <v>643</v>
      </c>
      <c r="G71" s="23" t="s">
        <v>37</v>
      </c>
      <c r="H71" s="86">
        <v>46109.0</v>
      </c>
      <c r="I71" s="15">
        <v>0.0</v>
      </c>
      <c r="J71" s="25" t="s">
        <v>57</v>
      </c>
      <c r="K71" s="28">
        <v>0.0</v>
      </c>
      <c r="L71" s="28">
        <v>2500.0</v>
      </c>
      <c r="M71" s="28">
        <v>0.0</v>
      </c>
      <c r="N71" s="76">
        <v>0.0</v>
      </c>
      <c r="O71" s="77">
        <v>0.0</v>
      </c>
      <c r="P71" s="33"/>
    </row>
    <row r="72" ht="11.25" hidden="1" customHeight="1">
      <c r="A72" s="12">
        <f t="shared" si="1"/>
        <v>6</v>
      </c>
      <c r="B72" s="15" t="s">
        <v>24</v>
      </c>
      <c r="C72" s="17" t="s">
        <v>122</v>
      </c>
      <c r="D72" s="17" t="s">
        <v>888</v>
      </c>
      <c r="E72" s="23" t="s">
        <v>488</v>
      </c>
      <c r="F72" s="23" t="s">
        <v>889</v>
      </c>
      <c r="G72" s="23" t="s">
        <v>37</v>
      </c>
      <c r="H72" s="73">
        <v>46110.0</v>
      </c>
      <c r="I72" s="17">
        <v>1.0</v>
      </c>
      <c r="J72" s="25" t="s">
        <v>38</v>
      </c>
      <c r="K72" s="28">
        <v>150000.0</v>
      </c>
      <c r="L72" s="28">
        <v>0.0</v>
      </c>
      <c r="M72" s="28">
        <v>0.0</v>
      </c>
      <c r="N72" s="28">
        <v>0.0</v>
      </c>
      <c r="O72" s="28">
        <v>0.0</v>
      </c>
      <c r="P72" s="32">
        <v>46109.0</v>
      </c>
    </row>
    <row r="73" ht="11.25" hidden="1" customHeight="1">
      <c r="A73" s="12">
        <f t="shared" si="1"/>
        <v>6</v>
      </c>
      <c r="B73" s="15" t="s">
        <v>24</v>
      </c>
      <c r="C73" s="17" t="s">
        <v>122</v>
      </c>
      <c r="D73" s="17" t="s">
        <v>890</v>
      </c>
      <c r="E73" s="23" t="s">
        <v>488</v>
      </c>
      <c r="F73" s="23" t="s">
        <v>891</v>
      </c>
      <c r="G73" s="23" t="s">
        <v>37</v>
      </c>
      <c r="H73" s="73">
        <v>46110.0</v>
      </c>
      <c r="I73" s="17">
        <v>1.0</v>
      </c>
      <c r="J73" s="25" t="s">
        <v>38</v>
      </c>
      <c r="K73" s="28">
        <v>150000.0</v>
      </c>
      <c r="L73" s="28">
        <v>0.0</v>
      </c>
      <c r="M73" s="28">
        <v>0.0</v>
      </c>
      <c r="N73" s="28">
        <v>0.0</v>
      </c>
      <c r="O73" s="28">
        <v>0.0</v>
      </c>
      <c r="P73" s="32">
        <v>46109.0</v>
      </c>
    </row>
    <row r="74" ht="11.25" hidden="1" customHeight="1">
      <c r="A74" s="12">
        <f t="shared" si="1"/>
        <v>6</v>
      </c>
      <c r="B74" s="15" t="s">
        <v>24</v>
      </c>
      <c r="C74" s="17" t="s">
        <v>122</v>
      </c>
      <c r="D74" s="17" t="s">
        <v>892</v>
      </c>
      <c r="E74" s="25" t="s">
        <v>221</v>
      </c>
      <c r="F74" s="25" t="s">
        <v>181</v>
      </c>
      <c r="G74" s="25" t="s">
        <v>36</v>
      </c>
      <c r="H74" s="73">
        <v>46110.0</v>
      </c>
      <c r="I74" s="15">
        <v>0.0</v>
      </c>
      <c r="J74" s="25" t="s">
        <v>57</v>
      </c>
      <c r="K74" s="28">
        <v>0.0</v>
      </c>
      <c r="L74" s="28">
        <v>7000.0</v>
      </c>
      <c r="M74" s="28">
        <v>0.0</v>
      </c>
      <c r="N74" s="28">
        <v>0.0</v>
      </c>
      <c r="O74" s="28">
        <v>0.0</v>
      </c>
      <c r="P74" s="33"/>
    </row>
    <row r="75" ht="11.25" hidden="1" customHeight="1">
      <c r="A75" s="12">
        <f t="shared" si="1"/>
        <v>6</v>
      </c>
      <c r="B75" s="15" t="s">
        <v>24</v>
      </c>
      <c r="C75" s="17" t="s">
        <v>211</v>
      </c>
      <c r="D75" s="17" t="s">
        <v>867</v>
      </c>
      <c r="E75" s="23" t="s">
        <v>49</v>
      </c>
      <c r="F75" s="23" t="s">
        <v>54</v>
      </c>
      <c r="G75" s="23" t="s">
        <v>55</v>
      </c>
      <c r="H75" s="64">
        <v>46111.0</v>
      </c>
      <c r="I75" s="17">
        <v>1.0</v>
      </c>
      <c r="J75" s="23" t="s">
        <v>38</v>
      </c>
      <c r="K75" s="28">
        <v>10000.0</v>
      </c>
      <c r="L75" s="28">
        <v>0.0</v>
      </c>
      <c r="M75" s="28">
        <v>0.0</v>
      </c>
      <c r="N75" s="28">
        <v>0.0</v>
      </c>
      <c r="O75" s="28">
        <v>0.0</v>
      </c>
      <c r="P75" s="180">
        <v>46098.0</v>
      </c>
    </row>
    <row r="76" ht="11.25" hidden="1" customHeight="1">
      <c r="A76" s="12">
        <f t="shared" si="1"/>
        <v>6</v>
      </c>
      <c r="B76" s="15" t="s">
        <v>24</v>
      </c>
      <c r="C76" s="17"/>
      <c r="D76" s="17" t="s">
        <v>893</v>
      </c>
      <c r="E76" s="25"/>
      <c r="F76" s="25" t="s">
        <v>428</v>
      </c>
      <c r="G76" s="25" t="s">
        <v>36</v>
      </c>
      <c r="H76" s="73">
        <v>46111.0</v>
      </c>
      <c r="I76" s="15">
        <v>0.0</v>
      </c>
      <c r="J76" s="25" t="s">
        <v>57</v>
      </c>
      <c r="K76" s="28">
        <v>7000.0</v>
      </c>
      <c r="L76" s="100">
        <v>0.0</v>
      </c>
      <c r="M76" s="100">
        <v>0.0</v>
      </c>
      <c r="N76" s="100">
        <v>0.0</v>
      </c>
      <c r="O76" s="100">
        <v>0.0</v>
      </c>
      <c r="P76" s="33"/>
    </row>
    <row r="77" ht="11.25" hidden="1" customHeight="1">
      <c r="A77" s="12">
        <f t="shared" si="1"/>
        <v>6</v>
      </c>
      <c r="B77" s="15" t="s">
        <v>24</v>
      </c>
      <c r="C77" s="17" t="s">
        <v>122</v>
      </c>
      <c r="D77" s="17" t="s">
        <v>894</v>
      </c>
      <c r="E77" s="25" t="s">
        <v>27</v>
      </c>
      <c r="F77" s="23" t="s">
        <v>1476</v>
      </c>
      <c r="G77" s="25" t="s">
        <v>36</v>
      </c>
      <c r="H77" s="73">
        <v>46111.0</v>
      </c>
      <c r="I77" s="15">
        <v>0.0</v>
      </c>
      <c r="J77" s="25" t="s">
        <v>57</v>
      </c>
      <c r="K77" s="28">
        <v>0.0</v>
      </c>
      <c r="L77" s="28">
        <v>100000.0</v>
      </c>
      <c r="M77" s="28">
        <v>0.0</v>
      </c>
      <c r="N77" s="28">
        <v>0.0</v>
      </c>
      <c r="O77" s="28">
        <v>0.0</v>
      </c>
      <c r="P77" s="33"/>
    </row>
    <row r="78" ht="11.25" hidden="1" customHeight="1">
      <c r="A78" s="12">
        <f t="shared" si="1"/>
        <v>6</v>
      </c>
      <c r="B78" s="15" t="s">
        <v>24</v>
      </c>
      <c r="C78" s="17" t="s">
        <v>122</v>
      </c>
      <c r="D78" s="17" t="s">
        <v>895</v>
      </c>
      <c r="E78" s="25" t="s">
        <v>303</v>
      </c>
      <c r="F78" s="25" t="s">
        <v>533</v>
      </c>
      <c r="G78" s="106" t="s">
        <v>36</v>
      </c>
      <c r="H78" s="73">
        <v>46112.0</v>
      </c>
      <c r="I78" s="15">
        <v>0.0</v>
      </c>
      <c r="J78" s="106" t="s">
        <v>57</v>
      </c>
      <c r="K78" s="28">
        <v>0.0</v>
      </c>
      <c r="L78" s="28">
        <v>6500.0</v>
      </c>
      <c r="M78" s="210">
        <v>0.0</v>
      </c>
      <c r="N78" s="210">
        <v>0.0</v>
      </c>
      <c r="O78" s="210">
        <v>0.0</v>
      </c>
      <c r="P78" s="33"/>
    </row>
    <row r="79" ht="11.25" hidden="1" customHeight="1">
      <c r="A79" s="12">
        <f t="shared" si="1"/>
        <v>6</v>
      </c>
      <c r="B79" s="15" t="s">
        <v>24</v>
      </c>
      <c r="C79" s="17" t="s">
        <v>122</v>
      </c>
      <c r="D79" s="17" t="s">
        <v>896</v>
      </c>
      <c r="E79" s="25" t="s">
        <v>303</v>
      </c>
      <c r="F79" s="25" t="s">
        <v>526</v>
      </c>
      <c r="G79" s="106" t="s">
        <v>36</v>
      </c>
      <c r="H79" s="73">
        <v>46112.0</v>
      </c>
      <c r="I79" s="15">
        <v>0.0</v>
      </c>
      <c r="J79" s="106" t="s">
        <v>57</v>
      </c>
      <c r="K79" s="28">
        <v>0.0</v>
      </c>
      <c r="L79" s="28">
        <v>6500.0</v>
      </c>
      <c r="M79" s="210">
        <v>0.0</v>
      </c>
      <c r="N79" s="210">
        <v>0.0</v>
      </c>
      <c r="O79" s="210">
        <v>0.0</v>
      </c>
      <c r="P79" s="33"/>
    </row>
    <row r="80" ht="11.25" hidden="1" customHeight="1">
      <c r="A80" s="12">
        <f t="shared" si="1"/>
        <v>6</v>
      </c>
      <c r="B80" s="15" t="s">
        <v>24</v>
      </c>
      <c r="C80" s="17" t="s">
        <v>122</v>
      </c>
      <c r="D80" s="17" t="s">
        <v>897</v>
      </c>
      <c r="E80" s="23" t="s">
        <v>142</v>
      </c>
      <c r="F80" s="25" t="s">
        <v>802</v>
      </c>
      <c r="G80" s="25" t="s">
        <v>36</v>
      </c>
      <c r="H80" s="73">
        <v>46112.0</v>
      </c>
      <c r="I80" s="17">
        <v>0.0</v>
      </c>
      <c r="J80" s="25" t="s">
        <v>38</v>
      </c>
      <c r="K80" s="28">
        <v>50000.0</v>
      </c>
      <c r="L80" s="28">
        <v>0.0</v>
      </c>
      <c r="M80" s="28">
        <v>0.0</v>
      </c>
      <c r="N80" s="28">
        <v>0.0</v>
      </c>
      <c r="O80" s="28">
        <v>0.0</v>
      </c>
      <c r="P80" s="33"/>
    </row>
    <row r="81" ht="11.25" hidden="1" customHeight="1">
      <c r="A81" s="12">
        <f t="shared" si="1"/>
        <v>6</v>
      </c>
      <c r="B81" s="15" t="s">
        <v>24</v>
      </c>
      <c r="C81" s="17" t="s">
        <v>122</v>
      </c>
      <c r="D81" s="17" t="s">
        <v>898</v>
      </c>
      <c r="E81" s="25" t="s">
        <v>377</v>
      </c>
      <c r="F81" s="25" t="s">
        <v>582</v>
      </c>
      <c r="G81" s="25" t="s">
        <v>36</v>
      </c>
      <c r="H81" s="73">
        <v>46112.0</v>
      </c>
      <c r="I81" s="15">
        <v>0.0</v>
      </c>
      <c r="J81" s="25" t="s">
        <v>38</v>
      </c>
      <c r="K81" s="28">
        <v>100000.0</v>
      </c>
      <c r="L81" s="28">
        <v>0.0</v>
      </c>
      <c r="M81" s="76">
        <v>0.0</v>
      </c>
      <c r="N81" s="28">
        <v>0.0</v>
      </c>
      <c r="O81" s="77">
        <v>0.0</v>
      </c>
      <c r="P81" s="33"/>
    </row>
    <row r="82" ht="11.25" customHeight="1">
      <c r="A82" s="12" t="str">
        <f t="shared" si="1"/>
        <v/>
      </c>
      <c r="B82" s="15"/>
      <c r="C82" s="12"/>
      <c r="D82" s="15"/>
      <c r="E82" s="25"/>
      <c r="F82" s="25"/>
      <c r="G82" s="106"/>
      <c r="H82" s="32"/>
      <c r="I82" s="15"/>
      <c r="J82" s="25"/>
      <c r="K82" s="210"/>
      <c r="L82" s="210"/>
      <c r="M82" s="210"/>
      <c r="N82" s="28"/>
      <c r="O82" s="28"/>
      <c r="P82" s="33"/>
    </row>
    <row r="83" ht="11.25" customHeight="1">
      <c r="A83" s="12" t="str">
        <f t="shared" si="1"/>
        <v/>
      </c>
      <c r="B83" s="15"/>
      <c r="C83" s="12"/>
      <c r="D83" s="15"/>
      <c r="E83" s="25"/>
      <c r="F83" s="25"/>
      <c r="G83" s="106"/>
      <c r="H83" s="32"/>
      <c r="I83" s="15"/>
      <c r="J83" s="25"/>
      <c r="K83" s="210"/>
      <c r="L83" s="210"/>
      <c r="M83" s="210"/>
      <c r="N83" s="28"/>
      <c r="O83" s="28"/>
      <c r="P83" s="33"/>
    </row>
    <row r="84" ht="11.25" customHeight="1">
      <c r="A84" s="12" t="str">
        <f t="shared" si="1"/>
        <v/>
      </c>
      <c r="B84" s="12"/>
      <c r="C84" s="12"/>
      <c r="D84" s="12"/>
      <c r="E84" s="106"/>
      <c r="F84" s="106"/>
      <c r="G84" s="106"/>
      <c r="H84" s="118"/>
      <c r="I84" s="119" t="s">
        <v>21</v>
      </c>
      <c r="J84" s="120"/>
      <c r="K84" s="121"/>
      <c r="L84" s="121"/>
      <c r="M84" s="121"/>
      <c r="N84" s="121"/>
      <c r="O84" s="122"/>
      <c r="P84" s="123"/>
    </row>
    <row r="85" ht="11.25" customHeight="1">
      <c r="A85" s="12" t="str">
        <f t="shared" si="1"/>
        <v/>
      </c>
      <c r="B85" s="12"/>
      <c r="C85" s="12"/>
      <c r="D85" s="12"/>
      <c r="E85" s="106"/>
      <c r="F85" s="106"/>
      <c r="G85" s="106"/>
      <c r="H85" s="118"/>
      <c r="I85" s="124" t="s">
        <v>462</v>
      </c>
      <c r="J85" s="120"/>
      <c r="K85" s="125" t="s">
        <v>13</v>
      </c>
      <c r="L85" s="125" t="s">
        <v>14</v>
      </c>
      <c r="M85" s="125" t="s">
        <v>15</v>
      </c>
      <c r="N85" s="2" t="s">
        <v>465</v>
      </c>
      <c r="O85" s="119" t="s">
        <v>18</v>
      </c>
      <c r="P85" s="120"/>
    </row>
    <row r="86" ht="11.25" customHeight="1">
      <c r="A86" s="287" t="s">
        <v>789</v>
      </c>
      <c r="B86" s="120"/>
      <c r="C86" s="127"/>
      <c r="D86" s="128"/>
      <c r="E86" s="127"/>
      <c r="F86" s="127"/>
      <c r="G86" s="127"/>
      <c r="H86" s="129"/>
      <c r="I86" s="130">
        <f>SUM(I3:I85)</f>
        <v>23</v>
      </c>
      <c r="J86" s="120"/>
      <c r="K86" s="131">
        <f t="shared" ref="K86:O86" si="2">SUM(K3:K85)</f>
        <v>2728100</v>
      </c>
      <c r="L86" s="131">
        <f t="shared" si="2"/>
        <v>1295200</v>
      </c>
      <c r="M86" s="131">
        <f t="shared" si="2"/>
        <v>396000</v>
      </c>
      <c r="N86" s="131">
        <f t="shared" si="2"/>
        <v>50000</v>
      </c>
      <c r="O86" s="131">
        <f t="shared" si="2"/>
        <v>0</v>
      </c>
      <c r="P86" s="133" t="s">
        <v>481</v>
      </c>
    </row>
    <row r="87" ht="11.25" customHeight="1">
      <c r="A87" s="134"/>
      <c r="B87" s="135"/>
      <c r="C87" s="135"/>
      <c r="D87" s="134"/>
      <c r="E87" s="135"/>
      <c r="F87" s="135"/>
      <c r="G87" s="135"/>
      <c r="H87" s="136"/>
      <c r="I87" s="137"/>
      <c r="J87" s="138"/>
      <c r="K87" s="139" t="s">
        <v>491</v>
      </c>
      <c r="L87" s="120"/>
      <c r="M87" s="282">
        <f>SUM(K86:M86)</f>
        <v>4419300</v>
      </c>
      <c r="N87" s="141"/>
      <c r="O87" s="141"/>
      <c r="P87" s="142"/>
    </row>
    <row r="88" ht="11.25" customHeight="1">
      <c r="A88" s="134"/>
      <c r="B88" s="135"/>
      <c r="C88" s="135"/>
      <c r="D88" s="134"/>
      <c r="E88" s="135"/>
      <c r="F88" s="135"/>
      <c r="G88" s="135"/>
      <c r="H88" s="136"/>
      <c r="I88" s="143"/>
      <c r="J88" s="144"/>
      <c r="K88" s="145" t="s">
        <v>506</v>
      </c>
      <c r="L88" s="120"/>
      <c r="M88" s="283">
        <f>SUM(M87-K3-K9-K10-K11-K12-L13-K14-K15-L16-K18-K20-K21-L22-K23-K30-L31-L36-K40-K43-L45-K50-K54-K55-L71-L74-L77-L78-L79)</f>
        <v>3744500</v>
      </c>
      <c r="N88" s="147"/>
      <c r="O88" s="147"/>
      <c r="P88" s="148"/>
    </row>
    <row r="89" ht="15.75" customHeight="1">
      <c r="A89" s="149"/>
      <c r="D89" s="149"/>
      <c r="H89" s="150"/>
      <c r="P89" s="150"/>
    </row>
    <row r="90" ht="15.75" customHeight="1">
      <c r="A90" s="149"/>
      <c r="D90" s="149"/>
      <c r="H90" s="150"/>
      <c r="P90" s="150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  <row r="1001" ht="15.75" customHeight="1">
      <c r="A1001" s="149"/>
      <c r="D1001" s="149"/>
      <c r="H1001" s="150"/>
      <c r="P1001" s="150"/>
    </row>
    <row r="1002" ht="15.75" customHeight="1">
      <c r="A1002" s="149"/>
      <c r="D1002" s="149"/>
      <c r="H1002" s="150"/>
      <c r="P1002" s="150"/>
    </row>
    <row r="1003" ht="15.75" customHeight="1">
      <c r="A1003" s="149"/>
      <c r="D1003" s="149"/>
      <c r="H1003" s="150"/>
      <c r="P1003" s="150"/>
    </row>
    <row r="1004" ht="15.75" customHeight="1">
      <c r="A1004" s="149"/>
      <c r="D1004" s="149"/>
      <c r="H1004" s="150"/>
      <c r="P1004" s="150"/>
    </row>
    <row r="1005" ht="15.75" customHeight="1">
      <c r="A1005" s="149"/>
      <c r="D1005" s="149"/>
      <c r="H1005" s="150"/>
      <c r="P1005" s="150"/>
    </row>
    <row r="1006" ht="15.75" customHeight="1">
      <c r="A1006" s="149"/>
      <c r="D1006" s="149"/>
      <c r="H1006" s="150"/>
      <c r="P1006" s="150"/>
    </row>
    <row r="1007" ht="15.75" customHeight="1">
      <c r="A1007" s="149"/>
      <c r="D1007" s="149"/>
      <c r="H1007" s="150"/>
      <c r="P1007" s="150"/>
    </row>
    <row r="1008" ht="15.75" customHeight="1">
      <c r="A1008" s="149"/>
      <c r="D1008" s="149"/>
      <c r="H1008" s="150"/>
      <c r="P1008" s="150"/>
    </row>
    <row r="1009" ht="15.75" customHeight="1">
      <c r="A1009" s="149"/>
      <c r="D1009" s="149"/>
      <c r="H1009" s="150"/>
      <c r="P1009" s="150"/>
    </row>
    <row r="1010" ht="15.75" customHeight="1">
      <c r="A1010" s="149"/>
      <c r="D1010" s="149"/>
      <c r="H1010" s="150"/>
      <c r="P1010" s="150"/>
    </row>
    <row r="1011" ht="15.75" customHeight="1">
      <c r="A1011" s="149"/>
      <c r="D1011" s="149"/>
      <c r="H1011" s="150"/>
      <c r="P1011" s="150"/>
    </row>
    <row r="1012" ht="15.75" customHeight="1">
      <c r="A1012" s="149"/>
      <c r="D1012" s="149"/>
      <c r="H1012" s="150"/>
      <c r="P1012" s="150"/>
    </row>
    <row r="1013" ht="15.75" customHeight="1">
      <c r="A1013" s="149"/>
      <c r="D1013" s="149"/>
      <c r="H1013" s="150"/>
      <c r="P1013" s="150"/>
    </row>
    <row r="1014" ht="15.75" customHeight="1">
      <c r="A1014" s="149"/>
      <c r="D1014" s="149"/>
      <c r="H1014" s="150"/>
      <c r="P1014" s="150"/>
    </row>
    <row r="1015" ht="15.75" customHeight="1">
      <c r="A1015" s="149"/>
      <c r="D1015" s="149"/>
      <c r="H1015" s="150"/>
      <c r="P1015" s="150"/>
    </row>
  </sheetData>
  <autoFilter ref="$A$2:$Z$81">
    <filterColumn colId="4">
      <filters>
        <filter val="Sharowar Hossain"/>
      </filters>
    </filterColumn>
  </autoFilter>
  <mergeCells count="8">
    <mergeCell ref="A1:P1"/>
    <mergeCell ref="I84:J84"/>
    <mergeCell ref="I85:J85"/>
    <mergeCell ref="O85:P85"/>
    <mergeCell ref="A86:B86"/>
    <mergeCell ref="I86:J86"/>
    <mergeCell ref="K87:L87"/>
    <mergeCell ref="K88:L88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43"/>
    <col customWidth="1" min="8" max="8" width="9.57"/>
    <col customWidth="1" min="9" max="9" width="3.29"/>
    <col customWidth="1" min="10" max="10" width="6.43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9.14"/>
    <col customWidth="1" min="17" max="26" width="8.71"/>
  </cols>
  <sheetData>
    <row r="1" ht="19.5" customHeight="1">
      <c r="A1" s="276" t="s">
        <v>1475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8" t="s">
        <v>0</v>
      </c>
      <c r="B2" s="2" t="s">
        <v>2</v>
      </c>
      <c r="C2" s="2" t="s">
        <v>1216</v>
      </c>
      <c r="D2" s="2" t="s">
        <v>5</v>
      </c>
      <c r="E2" s="2" t="s">
        <v>6</v>
      </c>
      <c r="F2" s="2" t="s">
        <v>17</v>
      </c>
      <c r="G2" s="2" t="s">
        <v>8</v>
      </c>
      <c r="H2" s="2" t="s">
        <v>20</v>
      </c>
      <c r="I2" s="2" t="s">
        <v>21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18</v>
      </c>
      <c r="P2" s="2" t="s">
        <v>22</v>
      </c>
    </row>
    <row r="3" ht="11.25" customHeight="1">
      <c r="A3" s="12">
        <f t="shared" ref="A3:A70" si="1">IF(D3="","",SUBTOTAL(3,$D$3:D3))</f>
        <v>1</v>
      </c>
      <c r="B3" s="15" t="s">
        <v>24</v>
      </c>
      <c r="C3" s="15" t="s">
        <v>122</v>
      </c>
      <c r="D3" s="19" t="s">
        <v>607</v>
      </c>
      <c r="E3" s="25" t="s">
        <v>44</v>
      </c>
      <c r="F3" s="25" t="s">
        <v>593</v>
      </c>
      <c r="G3" s="106" t="s">
        <v>36</v>
      </c>
      <c r="H3" s="118">
        <v>46040.0</v>
      </c>
      <c r="I3" s="15">
        <v>0.0</v>
      </c>
      <c r="J3" s="106" t="s">
        <v>38</v>
      </c>
      <c r="K3" s="28">
        <v>390000.0</v>
      </c>
      <c r="L3" s="281">
        <v>0.0</v>
      </c>
      <c r="M3" s="28">
        <v>0.0</v>
      </c>
      <c r="N3" s="28">
        <v>0.0</v>
      </c>
      <c r="O3" s="281">
        <v>0.0</v>
      </c>
      <c r="P3" s="33">
        <v>46054.0</v>
      </c>
    </row>
    <row r="4" ht="11.25" customHeight="1">
      <c r="A4" s="12">
        <f t="shared" si="1"/>
        <v>2</v>
      </c>
      <c r="B4" s="15" t="s">
        <v>24</v>
      </c>
      <c r="C4" s="15" t="s">
        <v>122</v>
      </c>
      <c r="D4" s="19" t="s">
        <v>706</v>
      </c>
      <c r="E4" s="25" t="s">
        <v>44</v>
      </c>
      <c r="F4" s="25" t="s">
        <v>478</v>
      </c>
      <c r="G4" s="25" t="s">
        <v>36</v>
      </c>
      <c r="H4" s="118">
        <v>46054.0</v>
      </c>
      <c r="I4" s="15">
        <v>0.0</v>
      </c>
      <c r="J4" s="25" t="s">
        <v>38</v>
      </c>
      <c r="K4" s="28">
        <v>0.0</v>
      </c>
      <c r="L4" s="28">
        <v>100000.0</v>
      </c>
      <c r="M4" s="28">
        <v>0.0</v>
      </c>
      <c r="N4" s="76">
        <v>0.0</v>
      </c>
      <c r="O4" s="77">
        <v>0.0</v>
      </c>
      <c r="P4" s="118"/>
    </row>
    <row r="5" ht="11.25" customHeight="1">
      <c r="A5" s="12">
        <f t="shared" si="1"/>
        <v>3</v>
      </c>
      <c r="B5" s="15" t="s">
        <v>24</v>
      </c>
      <c r="C5" s="12" t="s">
        <v>122</v>
      </c>
      <c r="D5" s="19" t="s">
        <v>708</v>
      </c>
      <c r="E5" s="106" t="s">
        <v>44</v>
      </c>
      <c r="F5" s="106" t="s">
        <v>478</v>
      </c>
      <c r="G5" s="106" t="s">
        <v>37</v>
      </c>
      <c r="H5" s="118">
        <v>46054.0</v>
      </c>
      <c r="I5" s="12">
        <v>0.0</v>
      </c>
      <c r="J5" s="106" t="s">
        <v>38</v>
      </c>
      <c r="K5" s="210">
        <v>0.0</v>
      </c>
      <c r="L5" s="210">
        <v>25000.0</v>
      </c>
      <c r="M5" s="210">
        <v>0.0</v>
      </c>
      <c r="N5" s="210">
        <v>0.0</v>
      </c>
      <c r="O5" s="210">
        <v>0.0</v>
      </c>
      <c r="P5" s="118"/>
    </row>
    <row r="6" ht="11.25" customHeight="1">
      <c r="A6" s="12">
        <f t="shared" si="1"/>
        <v>4</v>
      </c>
      <c r="B6" s="15" t="s">
        <v>24</v>
      </c>
      <c r="C6" s="15" t="s">
        <v>122</v>
      </c>
      <c r="D6" s="19" t="s">
        <v>709</v>
      </c>
      <c r="E6" s="25" t="s">
        <v>44</v>
      </c>
      <c r="F6" s="25" t="s">
        <v>493</v>
      </c>
      <c r="G6" s="25" t="s">
        <v>37</v>
      </c>
      <c r="H6" s="118">
        <v>46054.0</v>
      </c>
      <c r="I6" s="15">
        <v>0.0</v>
      </c>
      <c r="J6" s="25" t="s">
        <v>38</v>
      </c>
      <c r="K6" s="28">
        <v>0.0</v>
      </c>
      <c r="L6" s="28">
        <v>25000.0</v>
      </c>
      <c r="M6" s="76">
        <v>0.0</v>
      </c>
      <c r="N6" s="76">
        <v>0.0</v>
      </c>
      <c r="O6" s="77">
        <v>0.0</v>
      </c>
      <c r="P6" s="118"/>
    </row>
    <row r="7" ht="11.25" customHeight="1">
      <c r="A7" s="12">
        <f t="shared" si="1"/>
        <v>5</v>
      </c>
      <c r="B7" s="15" t="s">
        <v>24</v>
      </c>
      <c r="C7" s="12" t="s">
        <v>122</v>
      </c>
      <c r="D7" s="19" t="s">
        <v>711</v>
      </c>
      <c r="E7" s="127" t="s">
        <v>27</v>
      </c>
      <c r="F7" s="106" t="s">
        <v>283</v>
      </c>
      <c r="G7" s="106" t="s">
        <v>36</v>
      </c>
      <c r="H7" s="118">
        <v>46054.0</v>
      </c>
      <c r="I7" s="12">
        <v>0.0</v>
      </c>
      <c r="J7" s="106" t="s">
        <v>38</v>
      </c>
      <c r="K7" s="210">
        <v>0.0</v>
      </c>
      <c r="L7" s="210">
        <v>100000.0</v>
      </c>
      <c r="M7" s="210">
        <v>0.0</v>
      </c>
      <c r="N7" s="210">
        <v>0.0</v>
      </c>
      <c r="O7" s="210">
        <v>0.0</v>
      </c>
      <c r="P7" s="118">
        <v>46051.0</v>
      </c>
    </row>
    <row r="8" ht="11.25" customHeight="1">
      <c r="A8" s="12">
        <f t="shared" si="1"/>
        <v>6</v>
      </c>
      <c r="B8" s="15" t="s">
        <v>24</v>
      </c>
      <c r="C8" s="15" t="s">
        <v>122</v>
      </c>
      <c r="D8" s="19" t="s">
        <v>702</v>
      </c>
      <c r="E8" s="25" t="s">
        <v>116</v>
      </c>
      <c r="F8" s="25" t="s">
        <v>117</v>
      </c>
      <c r="G8" s="25" t="s">
        <v>36</v>
      </c>
      <c r="H8" s="118">
        <v>46055.0</v>
      </c>
      <c r="I8" s="15">
        <v>0.0</v>
      </c>
      <c r="J8" s="106" t="s">
        <v>38</v>
      </c>
      <c r="K8" s="28">
        <v>0.0</v>
      </c>
      <c r="L8" s="210">
        <v>0.0</v>
      </c>
      <c r="M8" s="210">
        <v>0.0</v>
      </c>
      <c r="N8" s="210">
        <v>150000.0</v>
      </c>
      <c r="O8" s="210">
        <v>0.0</v>
      </c>
      <c r="P8" s="33">
        <v>46091.0</v>
      </c>
    </row>
    <row r="9" ht="11.25" customHeight="1">
      <c r="A9" s="12">
        <f t="shared" si="1"/>
        <v>7</v>
      </c>
      <c r="B9" s="15" t="s">
        <v>24</v>
      </c>
      <c r="C9" s="12" t="s">
        <v>122</v>
      </c>
      <c r="D9" s="19" t="s">
        <v>704</v>
      </c>
      <c r="E9" s="25" t="s">
        <v>116</v>
      </c>
      <c r="F9" s="25" t="s">
        <v>117</v>
      </c>
      <c r="G9" s="25" t="s">
        <v>36</v>
      </c>
      <c r="H9" s="30">
        <v>46055.0</v>
      </c>
      <c r="I9" s="15">
        <v>0.0</v>
      </c>
      <c r="J9" s="25" t="s">
        <v>38</v>
      </c>
      <c r="K9" s="28">
        <v>45000.0</v>
      </c>
      <c r="L9" s="28">
        <v>0.0</v>
      </c>
      <c r="M9" s="28">
        <v>0.0</v>
      </c>
      <c r="N9" s="76">
        <v>0.0</v>
      </c>
      <c r="O9" s="77">
        <v>0.0</v>
      </c>
      <c r="P9" s="218"/>
    </row>
    <row r="10" ht="11.25" customHeight="1">
      <c r="A10" s="12">
        <f t="shared" si="1"/>
        <v>8</v>
      </c>
      <c r="B10" s="15" t="s">
        <v>24</v>
      </c>
      <c r="C10" s="12" t="s">
        <v>122</v>
      </c>
      <c r="D10" s="19" t="s">
        <v>696</v>
      </c>
      <c r="E10" s="106" t="s">
        <v>488</v>
      </c>
      <c r="F10" s="25" t="s">
        <v>697</v>
      </c>
      <c r="G10" s="106" t="s">
        <v>36</v>
      </c>
      <c r="H10" s="30">
        <v>46056.0</v>
      </c>
      <c r="I10" s="15">
        <v>0.0</v>
      </c>
      <c r="J10" s="106" t="s">
        <v>38</v>
      </c>
      <c r="K10" s="28">
        <v>20000.0</v>
      </c>
      <c r="L10" s="28">
        <v>0.0</v>
      </c>
      <c r="M10" s="210">
        <v>0.0</v>
      </c>
      <c r="N10" s="210">
        <v>0.0</v>
      </c>
      <c r="O10" s="210">
        <v>0.0</v>
      </c>
      <c r="P10" s="118"/>
    </row>
    <row r="11" ht="11.25" customHeight="1">
      <c r="A11" s="12">
        <f t="shared" si="1"/>
        <v>9</v>
      </c>
      <c r="B11" s="15" t="s">
        <v>24</v>
      </c>
      <c r="C11" s="12" t="s">
        <v>122</v>
      </c>
      <c r="D11" s="19" t="s">
        <v>714</v>
      </c>
      <c r="E11" s="25" t="s">
        <v>487</v>
      </c>
      <c r="F11" s="25" t="s">
        <v>488</v>
      </c>
      <c r="G11" s="106" t="s">
        <v>36</v>
      </c>
      <c r="H11" s="30">
        <v>46056.0</v>
      </c>
      <c r="I11" s="15">
        <v>0.0</v>
      </c>
      <c r="J11" s="106" t="s">
        <v>57</v>
      </c>
      <c r="K11" s="210">
        <v>10000.0</v>
      </c>
      <c r="L11" s="210">
        <v>0.0</v>
      </c>
      <c r="M11" s="210">
        <v>0.0</v>
      </c>
      <c r="N11" s="210">
        <v>0.0</v>
      </c>
      <c r="O11" s="210">
        <v>0.0</v>
      </c>
      <c r="P11" s="118"/>
    </row>
    <row r="12" ht="11.25" customHeight="1">
      <c r="A12" s="12">
        <f t="shared" si="1"/>
        <v>10</v>
      </c>
      <c r="B12" s="15" t="s">
        <v>24</v>
      </c>
      <c r="C12" s="12"/>
      <c r="D12" s="289" t="s">
        <v>217</v>
      </c>
      <c r="E12" s="106"/>
      <c r="F12" s="106" t="s">
        <v>219</v>
      </c>
      <c r="G12" s="106" t="s">
        <v>34</v>
      </c>
      <c r="H12" s="294">
        <v>46056.0</v>
      </c>
      <c r="I12" s="12">
        <v>0.0</v>
      </c>
      <c r="J12" s="106" t="s">
        <v>57</v>
      </c>
      <c r="K12" s="210">
        <v>100000.0</v>
      </c>
      <c r="L12" s="210">
        <v>0.0</v>
      </c>
      <c r="M12" s="210">
        <v>0.0</v>
      </c>
      <c r="N12" s="210">
        <v>0.0</v>
      </c>
      <c r="O12" s="210">
        <v>0.0</v>
      </c>
      <c r="P12" s="33"/>
    </row>
    <row r="13" ht="11.25" customHeight="1">
      <c r="A13" s="12">
        <f t="shared" si="1"/>
        <v>11</v>
      </c>
      <c r="B13" s="15" t="s">
        <v>24</v>
      </c>
      <c r="C13" s="12" t="s">
        <v>122</v>
      </c>
      <c r="D13" s="289" t="s">
        <v>226</v>
      </c>
      <c r="E13" s="106" t="s">
        <v>184</v>
      </c>
      <c r="F13" s="106" t="s">
        <v>186</v>
      </c>
      <c r="G13" s="106" t="s">
        <v>34</v>
      </c>
      <c r="H13" s="294">
        <v>46056.0</v>
      </c>
      <c r="I13" s="12">
        <v>0.0</v>
      </c>
      <c r="J13" s="106" t="s">
        <v>38</v>
      </c>
      <c r="K13" s="210">
        <v>100000.0</v>
      </c>
      <c r="L13" s="210">
        <v>0.0</v>
      </c>
      <c r="M13" s="210">
        <v>0.0</v>
      </c>
      <c r="N13" s="210">
        <v>0.0</v>
      </c>
      <c r="O13" s="210">
        <v>0.0</v>
      </c>
      <c r="P13" s="33"/>
    </row>
    <row r="14" ht="11.25" customHeight="1">
      <c r="A14" s="12">
        <f t="shared" si="1"/>
        <v>12</v>
      </c>
      <c r="B14" s="15" t="s">
        <v>24</v>
      </c>
      <c r="C14" s="12"/>
      <c r="D14" s="289" t="s">
        <v>228</v>
      </c>
      <c r="E14" s="106" t="s">
        <v>184</v>
      </c>
      <c r="F14" s="106" t="s">
        <v>186</v>
      </c>
      <c r="G14" s="106" t="s">
        <v>34</v>
      </c>
      <c r="H14" s="294">
        <v>46056.0</v>
      </c>
      <c r="I14" s="12">
        <v>0.0</v>
      </c>
      <c r="J14" s="106" t="s">
        <v>57</v>
      </c>
      <c r="K14" s="210">
        <v>55000.0</v>
      </c>
      <c r="L14" s="210">
        <v>0.0</v>
      </c>
      <c r="M14" s="210">
        <v>0.0</v>
      </c>
      <c r="N14" s="210">
        <v>0.0</v>
      </c>
      <c r="O14" s="210">
        <v>0.0</v>
      </c>
      <c r="P14" s="33"/>
    </row>
    <row r="15" ht="11.25" customHeight="1">
      <c r="A15" s="12">
        <f t="shared" si="1"/>
        <v>13</v>
      </c>
      <c r="B15" s="15" t="s">
        <v>24</v>
      </c>
      <c r="C15" s="12" t="s">
        <v>122</v>
      </c>
      <c r="D15" s="19" t="s">
        <v>716</v>
      </c>
      <c r="E15" s="25" t="s">
        <v>27</v>
      </c>
      <c r="F15" s="25" t="s">
        <v>717</v>
      </c>
      <c r="G15" s="106" t="s">
        <v>36</v>
      </c>
      <c r="H15" s="30">
        <v>46058.0</v>
      </c>
      <c r="I15" s="15">
        <v>0.0</v>
      </c>
      <c r="J15" s="25" t="s">
        <v>38</v>
      </c>
      <c r="K15" s="28">
        <v>25000.0</v>
      </c>
      <c r="L15" s="210">
        <v>0.0</v>
      </c>
      <c r="M15" s="210">
        <v>0.0</v>
      </c>
      <c r="N15" s="210">
        <v>0.0</v>
      </c>
      <c r="O15" s="210">
        <v>0.0</v>
      </c>
      <c r="P15" s="118"/>
    </row>
    <row r="16" ht="11.25" customHeight="1">
      <c r="A16" s="12">
        <f t="shared" si="1"/>
        <v>14</v>
      </c>
      <c r="B16" s="15" t="s">
        <v>24</v>
      </c>
      <c r="C16" s="12" t="s">
        <v>122</v>
      </c>
      <c r="D16" s="19" t="s">
        <v>719</v>
      </c>
      <c r="E16" s="25" t="s">
        <v>27</v>
      </c>
      <c r="F16" s="25" t="s">
        <v>717</v>
      </c>
      <c r="G16" s="25" t="s">
        <v>37</v>
      </c>
      <c r="H16" s="30">
        <v>46058.0</v>
      </c>
      <c r="I16" s="15">
        <v>0.0</v>
      </c>
      <c r="J16" s="25" t="s">
        <v>38</v>
      </c>
      <c r="K16" s="28">
        <v>25000.0</v>
      </c>
      <c r="L16" s="28">
        <v>0.0</v>
      </c>
      <c r="M16" s="28">
        <v>0.0</v>
      </c>
      <c r="N16" s="28">
        <v>0.0</v>
      </c>
      <c r="O16" s="28">
        <v>0.0</v>
      </c>
      <c r="P16" s="33"/>
    </row>
    <row r="17" ht="11.25" customHeight="1">
      <c r="A17" s="12">
        <f t="shared" si="1"/>
        <v>15</v>
      </c>
      <c r="B17" s="15" t="s">
        <v>24</v>
      </c>
      <c r="C17" s="12" t="s">
        <v>211</v>
      </c>
      <c r="D17" s="19" t="s">
        <v>720</v>
      </c>
      <c r="E17" s="25" t="s">
        <v>722</v>
      </c>
      <c r="F17" s="25" t="s">
        <v>723</v>
      </c>
      <c r="G17" s="25" t="s">
        <v>37</v>
      </c>
      <c r="H17" s="30">
        <v>46058.0</v>
      </c>
      <c r="I17" s="15">
        <v>1.0</v>
      </c>
      <c r="J17" s="25" t="s">
        <v>38</v>
      </c>
      <c r="K17" s="28">
        <v>2000.0</v>
      </c>
      <c r="L17" s="28">
        <v>0.0</v>
      </c>
      <c r="M17" s="28">
        <v>0.0</v>
      </c>
      <c r="N17" s="28">
        <v>0.0</v>
      </c>
      <c r="O17" s="28">
        <v>0.0</v>
      </c>
      <c r="P17" s="33"/>
    </row>
    <row r="18" ht="11.25" customHeight="1">
      <c r="A18" s="12">
        <f t="shared" si="1"/>
        <v>16</v>
      </c>
      <c r="B18" s="15" t="s">
        <v>24</v>
      </c>
      <c r="C18" s="12" t="s">
        <v>122</v>
      </c>
      <c r="D18" s="19" t="s">
        <v>725</v>
      </c>
      <c r="E18" s="25" t="s">
        <v>726</v>
      </c>
      <c r="F18" s="25" t="s">
        <v>727</v>
      </c>
      <c r="G18" s="106" t="s">
        <v>36</v>
      </c>
      <c r="H18" s="30">
        <v>46058.0</v>
      </c>
      <c r="I18" s="15">
        <v>2.0</v>
      </c>
      <c r="J18" s="25" t="s">
        <v>38</v>
      </c>
      <c r="K18" s="28">
        <v>1000.0</v>
      </c>
      <c r="L18" s="28">
        <v>0.0</v>
      </c>
      <c r="M18" s="28">
        <v>0.0</v>
      </c>
      <c r="N18" s="28">
        <v>0.0</v>
      </c>
      <c r="O18" s="28">
        <v>0.0</v>
      </c>
      <c r="P18" s="33"/>
    </row>
    <row r="19" ht="11.25" customHeight="1">
      <c r="A19" s="12">
        <f t="shared" si="1"/>
        <v>17</v>
      </c>
      <c r="B19" s="15" t="s">
        <v>24</v>
      </c>
      <c r="C19" s="12" t="s">
        <v>211</v>
      </c>
      <c r="D19" s="19" t="s">
        <v>730</v>
      </c>
      <c r="E19" s="25" t="s">
        <v>731</v>
      </c>
      <c r="F19" s="25" t="s">
        <v>733</v>
      </c>
      <c r="G19" s="25" t="s">
        <v>37</v>
      </c>
      <c r="H19" s="30">
        <v>46058.0</v>
      </c>
      <c r="I19" s="15">
        <v>2.0</v>
      </c>
      <c r="J19" s="25" t="s">
        <v>38</v>
      </c>
      <c r="K19" s="28">
        <v>0.0</v>
      </c>
      <c r="L19" s="28">
        <v>100000.0</v>
      </c>
      <c r="M19" s="28">
        <v>0.0</v>
      </c>
      <c r="N19" s="28">
        <v>0.0</v>
      </c>
      <c r="O19" s="28">
        <v>0.0</v>
      </c>
      <c r="P19" s="33"/>
    </row>
    <row r="20" ht="11.25" customHeight="1">
      <c r="A20" s="12">
        <f t="shared" si="1"/>
        <v>18</v>
      </c>
      <c r="B20" s="15" t="s">
        <v>24</v>
      </c>
      <c r="C20" s="12" t="s">
        <v>122</v>
      </c>
      <c r="D20" s="19" t="s">
        <v>728</v>
      </c>
      <c r="E20" s="106" t="s">
        <v>60</v>
      </c>
      <c r="F20" s="106" t="s">
        <v>161</v>
      </c>
      <c r="G20" s="106" t="s">
        <v>36</v>
      </c>
      <c r="H20" s="30">
        <v>46060.0</v>
      </c>
      <c r="I20" s="12">
        <v>0.0</v>
      </c>
      <c r="J20" s="106" t="s">
        <v>57</v>
      </c>
      <c r="K20" s="210">
        <v>7300.0</v>
      </c>
      <c r="L20" s="210">
        <v>0.0</v>
      </c>
      <c r="M20" s="210">
        <v>0.0</v>
      </c>
      <c r="N20" s="210">
        <v>0.0</v>
      </c>
      <c r="O20" s="210">
        <v>0.0</v>
      </c>
      <c r="P20" s="33"/>
    </row>
    <row r="21" ht="11.25" customHeight="1">
      <c r="A21" s="12">
        <f t="shared" si="1"/>
        <v>19</v>
      </c>
      <c r="B21" s="15" t="s">
        <v>24</v>
      </c>
      <c r="C21" s="12" t="s">
        <v>122</v>
      </c>
      <c r="D21" s="19" t="s">
        <v>737</v>
      </c>
      <c r="E21" s="25" t="s">
        <v>44</v>
      </c>
      <c r="F21" s="25" t="s">
        <v>45</v>
      </c>
      <c r="G21" s="25" t="s">
        <v>36</v>
      </c>
      <c r="H21" s="30">
        <v>46061.0</v>
      </c>
      <c r="I21" s="15">
        <v>0.0</v>
      </c>
      <c r="J21" s="106" t="s">
        <v>57</v>
      </c>
      <c r="K21" s="28">
        <v>8000.0</v>
      </c>
      <c r="L21" s="210">
        <v>0.0</v>
      </c>
      <c r="M21" s="210">
        <v>0.0</v>
      </c>
      <c r="N21" s="210">
        <v>0.0</v>
      </c>
      <c r="O21" s="210">
        <v>0.0</v>
      </c>
      <c r="P21" s="33"/>
    </row>
    <row r="22" ht="11.25" customHeight="1">
      <c r="A22" s="12">
        <f t="shared" si="1"/>
        <v>20</v>
      </c>
      <c r="B22" s="15" t="s">
        <v>24</v>
      </c>
      <c r="C22" s="12" t="s">
        <v>122</v>
      </c>
      <c r="D22" s="19" t="s">
        <v>741</v>
      </c>
      <c r="E22" s="25" t="s">
        <v>92</v>
      </c>
      <c r="F22" s="25" t="s">
        <v>742</v>
      </c>
      <c r="G22" s="25" t="s">
        <v>37</v>
      </c>
      <c r="H22" s="30">
        <v>46061.0</v>
      </c>
      <c r="I22" s="15">
        <v>2.0</v>
      </c>
      <c r="J22" s="106" t="s">
        <v>38</v>
      </c>
      <c r="K22" s="28">
        <v>5000.0</v>
      </c>
      <c r="L22" s="210">
        <v>0.0</v>
      </c>
      <c r="M22" s="210">
        <v>0.0</v>
      </c>
      <c r="N22" s="210">
        <v>0.0</v>
      </c>
      <c r="O22" s="210">
        <v>0.0</v>
      </c>
      <c r="P22" s="33"/>
    </row>
    <row r="23" ht="11.25" customHeight="1">
      <c r="A23" s="12">
        <f t="shared" si="1"/>
        <v>21</v>
      </c>
      <c r="B23" s="15" t="s">
        <v>24</v>
      </c>
      <c r="C23" s="12" t="s">
        <v>211</v>
      </c>
      <c r="D23" s="19" t="s">
        <v>739</v>
      </c>
      <c r="E23" s="25" t="s">
        <v>40</v>
      </c>
      <c r="F23" s="25" t="s">
        <v>41</v>
      </c>
      <c r="G23" s="25" t="s">
        <v>36</v>
      </c>
      <c r="H23" s="30">
        <v>46062.0</v>
      </c>
      <c r="I23" s="15">
        <v>0.0</v>
      </c>
      <c r="J23" s="25" t="s">
        <v>38</v>
      </c>
      <c r="K23" s="28">
        <v>20000.0</v>
      </c>
      <c r="L23" s="210">
        <v>0.0</v>
      </c>
      <c r="M23" s="210">
        <v>0.0</v>
      </c>
      <c r="N23" s="210">
        <v>0.0</v>
      </c>
      <c r="O23" s="210">
        <v>0.0</v>
      </c>
      <c r="P23" s="33"/>
    </row>
    <row r="24" ht="11.25" customHeight="1">
      <c r="A24" s="12">
        <f t="shared" si="1"/>
        <v>22</v>
      </c>
      <c r="B24" s="15" t="s">
        <v>24</v>
      </c>
      <c r="C24" s="12" t="s">
        <v>211</v>
      </c>
      <c r="D24" s="19" t="s">
        <v>744</v>
      </c>
      <c r="E24" s="25" t="s">
        <v>208</v>
      </c>
      <c r="F24" s="25" t="s">
        <v>653</v>
      </c>
      <c r="G24" s="25" t="s">
        <v>37</v>
      </c>
      <c r="H24" s="30">
        <v>46063.0</v>
      </c>
      <c r="I24" s="15">
        <v>0.0</v>
      </c>
      <c r="J24" s="106" t="s">
        <v>38</v>
      </c>
      <c r="K24" s="28">
        <v>16000.0</v>
      </c>
      <c r="L24" s="210">
        <v>0.0</v>
      </c>
      <c r="M24" s="210">
        <v>0.0</v>
      </c>
      <c r="N24" s="210">
        <v>0.0</v>
      </c>
      <c r="O24" s="210">
        <v>0.0</v>
      </c>
      <c r="P24" s="33"/>
    </row>
    <row r="25" ht="11.25" customHeight="1">
      <c r="A25" s="12">
        <f t="shared" si="1"/>
        <v>23</v>
      </c>
      <c r="B25" s="15" t="s">
        <v>24</v>
      </c>
      <c r="C25" s="12" t="s">
        <v>211</v>
      </c>
      <c r="D25" s="19" t="s">
        <v>746</v>
      </c>
      <c r="E25" s="25" t="s">
        <v>208</v>
      </c>
      <c r="F25" s="25" t="s">
        <v>653</v>
      </c>
      <c r="G25" s="25" t="s">
        <v>37</v>
      </c>
      <c r="H25" s="30">
        <v>46063.0</v>
      </c>
      <c r="I25" s="15">
        <v>0.0</v>
      </c>
      <c r="J25" s="106" t="s">
        <v>38</v>
      </c>
      <c r="K25" s="28">
        <v>500.0</v>
      </c>
      <c r="L25" s="210">
        <v>0.0</v>
      </c>
      <c r="M25" s="210">
        <v>0.0</v>
      </c>
      <c r="N25" s="210">
        <v>0.0</v>
      </c>
      <c r="O25" s="210">
        <v>0.0</v>
      </c>
      <c r="P25" s="33"/>
    </row>
    <row r="26" ht="11.25" customHeight="1">
      <c r="A26" s="12">
        <f t="shared" si="1"/>
        <v>24</v>
      </c>
      <c r="B26" s="15" t="s">
        <v>24</v>
      </c>
      <c r="C26" s="12" t="s">
        <v>122</v>
      </c>
      <c r="D26" s="19" t="s">
        <v>748</v>
      </c>
      <c r="E26" s="25" t="s">
        <v>44</v>
      </c>
      <c r="F26" s="25" t="s">
        <v>45</v>
      </c>
      <c r="G26" s="25" t="s">
        <v>36</v>
      </c>
      <c r="H26" s="30">
        <v>46067.0</v>
      </c>
      <c r="I26" s="15">
        <v>1.0</v>
      </c>
      <c r="J26" s="106" t="s">
        <v>38</v>
      </c>
      <c r="K26" s="28">
        <v>5000.0</v>
      </c>
      <c r="L26" s="210">
        <v>0.0</v>
      </c>
      <c r="M26" s="210">
        <v>0.0</v>
      </c>
      <c r="N26" s="210">
        <v>0.0</v>
      </c>
      <c r="O26" s="210">
        <v>0.0</v>
      </c>
      <c r="P26" s="33"/>
    </row>
    <row r="27" ht="11.25" customHeight="1">
      <c r="A27" s="12">
        <f t="shared" si="1"/>
        <v>25</v>
      </c>
      <c r="B27" s="15" t="s">
        <v>24</v>
      </c>
      <c r="C27" s="12" t="s">
        <v>211</v>
      </c>
      <c r="D27" s="19" t="s">
        <v>750</v>
      </c>
      <c r="E27" s="25" t="s">
        <v>731</v>
      </c>
      <c r="F27" s="25" t="s">
        <v>733</v>
      </c>
      <c r="G27" s="25" t="s">
        <v>37</v>
      </c>
      <c r="H27" s="30">
        <v>46068.0</v>
      </c>
      <c r="I27" s="15">
        <v>0.0</v>
      </c>
      <c r="J27" s="25" t="s">
        <v>38</v>
      </c>
      <c r="K27" s="28">
        <v>100000.0</v>
      </c>
      <c r="L27" s="28">
        <v>0.0</v>
      </c>
      <c r="M27" s="28">
        <v>0.0</v>
      </c>
      <c r="N27" s="28">
        <v>0.0</v>
      </c>
      <c r="O27" s="28">
        <v>0.0</v>
      </c>
      <c r="P27" s="118"/>
    </row>
    <row r="28" ht="11.25" customHeight="1">
      <c r="A28" s="12">
        <f t="shared" si="1"/>
        <v>26</v>
      </c>
      <c r="B28" s="15" t="s">
        <v>24</v>
      </c>
      <c r="C28" s="12" t="s">
        <v>122</v>
      </c>
      <c r="D28" s="19" t="s">
        <v>751</v>
      </c>
      <c r="E28" s="25" t="s">
        <v>92</v>
      </c>
      <c r="F28" s="25" t="s">
        <v>742</v>
      </c>
      <c r="G28" s="25" t="s">
        <v>37</v>
      </c>
      <c r="H28" s="30">
        <v>46068.0</v>
      </c>
      <c r="I28" s="15">
        <v>0.0</v>
      </c>
      <c r="J28" s="106" t="s">
        <v>38</v>
      </c>
      <c r="K28" s="28">
        <v>45000.0</v>
      </c>
      <c r="L28" s="210">
        <v>0.0</v>
      </c>
      <c r="M28" s="210">
        <v>0.0</v>
      </c>
      <c r="N28" s="210">
        <v>0.0</v>
      </c>
      <c r="O28" s="210">
        <v>0.0</v>
      </c>
      <c r="P28" s="118"/>
    </row>
    <row r="29" ht="11.25" customHeight="1">
      <c r="A29" s="12">
        <f t="shared" si="1"/>
        <v>27</v>
      </c>
      <c r="B29" s="15" t="s">
        <v>24</v>
      </c>
      <c r="C29" s="12"/>
      <c r="D29" s="289" t="s">
        <v>234</v>
      </c>
      <c r="E29" s="106"/>
      <c r="F29" s="106" t="s">
        <v>79</v>
      </c>
      <c r="G29" s="106" t="s">
        <v>34</v>
      </c>
      <c r="H29" s="294">
        <v>46068.0</v>
      </c>
      <c r="I29" s="12">
        <v>0.0</v>
      </c>
      <c r="J29" s="106" t="s">
        <v>57</v>
      </c>
      <c r="K29" s="210">
        <v>0.0</v>
      </c>
      <c r="L29" s="210">
        <v>50000.0</v>
      </c>
      <c r="M29" s="210">
        <v>0.0</v>
      </c>
      <c r="N29" s="210">
        <v>0.0</v>
      </c>
      <c r="O29" s="210">
        <v>0.0</v>
      </c>
      <c r="P29" s="33"/>
    </row>
    <row r="30" ht="11.25" customHeight="1">
      <c r="A30" s="12">
        <f t="shared" si="1"/>
        <v>28</v>
      </c>
      <c r="B30" s="15" t="s">
        <v>24</v>
      </c>
      <c r="C30" s="12"/>
      <c r="D30" s="289" t="s">
        <v>237</v>
      </c>
      <c r="E30" s="106"/>
      <c r="F30" s="106" t="s">
        <v>32</v>
      </c>
      <c r="G30" s="106" t="s">
        <v>34</v>
      </c>
      <c r="H30" s="294">
        <v>46068.0</v>
      </c>
      <c r="I30" s="12">
        <v>0.0</v>
      </c>
      <c r="J30" s="106" t="s">
        <v>57</v>
      </c>
      <c r="K30" s="210">
        <v>0.0</v>
      </c>
      <c r="L30" s="210">
        <v>50000.0</v>
      </c>
      <c r="M30" s="210">
        <v>0.0</v>
      </c>
      <c r="N30" s="210">
        <v>0.0</v>
      </c>
      <c r="O30" s="210">
        <v>0.0</v>
      </c>
      <c r="P30" s="33"/>
    </row>
    <row r="31" ht="11.25" customHeight="1">
      <c r="A31" s="12">
        <f t="shared" si="1"/>
        <v>29</v>
      </c>
      <c r="B31" s="15" t="s">
        <v>24</v>
      </c>
      <c r="C31" s="12" t="s">
        <v>122</v>
      </c>
      <c r="D31" s="19" t="s">
        <v>699</v>
      </c>
      <c r="E31" s="25" t="s">
        <v>92</v>
      </c>
      <c r="F31" s="25" t="s">
        <v>700</v>
      </c>
      <c r="G31" s="106" t="s">
        <v>36</v>
      </c>
      <c r="H31" s="32">
        <v>46053.0</v>
      </c>
      <c r="I31" s="15">
        <v>1.0</v>
      </c>
      <c r="J31" s="25" t="s">
        <v>38</v>
      </c>
      <c r="K31" s="210">
        <v>0.0</v>
      </c>
      <c r="L31" s="210">
        <v>0.0</v>
      </c>
      <c r="M31" s="210">
        <v>0.0</v>
      </c>
      <c r="N31" s="28">
        <v>0.0</v>
      </c>
      <c r="O31" s="28">
        <v>100000.0</v>
      </c>
      <c r="P31" s="33">
        <v>46068.0</v>
      </c>
    </row>
    <row r="32" ht="11.25" customHeight="1">
      <c r="A32" s="12">
        <f t="shared" si="1"/>
        <v>30</v>
      </c>
      <c r="B32" s="15" t="s">
        <v>24</v>
      </c>
      <c r="C32" s="12" t="s">
        <v>211</v>
      </c>
      <c r="D32" s="19" t="s">
        <v>753</v>
      </c>
      <c r="E32" s="25" t="s">
        <v>722</v>
      </c>
      <c r="F32" s="25" t="s">
        <v>723</v>
      </c>
      <c r="G32" s="25" t="s">
        <v>37</v>
      </c>
      <c r="H32" s="30">
        <v>46069.0</v>
      </c>
      <c r="I32" s="15">
        <v>0.0</v>
      </c>
      <c r="J32" s="25" t="s">
        <v>38</v>
      </c>
      <c r="K32" s="28">
        <v>5000.0</v>
      </c>
      <c r="L32" s="28">
        <v>0.0</v>
      </c>
      <c r="M32" s="28">
        <v>0.0</v>
      </c>
      <c r="N32" s="28">
        <v>0.0</v>
      </c>
      <c r="O32" s="28">
        <v>0.0</v>
      </c>
      <c r="P32" s="33"/>
    </row>
    <row r="33" ht="11.25" customHeight="1">
      <c r="A33" s="12">
        <f t="shared" si="1"/>
        <v>31</v>
      </c>
      <c r="B33" s="15" t="s">
        <v>24</v>
      </c>
      <c r="C33" s="12" t="s">
        <v>122</v>
      </c>
      <c r="D33" s="19" t="s">
        <v>757</v>
      </c>
      <c r="E33" s="106" t="s">
        <v>27</v>
      </c>
      <c r="F33" s="25" t="s">
        <v>69</v>
      </c>
      <c r="G33" s="106" t="s">
        <v>36</v>
      </c>
      <c r="H33" s="30">
        <v>46069.0</v>
      </c>
      <c r="I33" s="15">
        <v>0.0</v>
      </c>
      <c r="J33" s="106" t="s">
        <v>57</v>
      </c>
      <c r="K33" s="28">
        <v>0.0</v>
      </c>
      <c r="L33" s="28">
        <v>17000.0</v>
      </c>
      <c r="M33" s="210">
        <v>0.0</v>
      </c>
      <c r="N33" s="210">
        <v>0.0</v>
      </c>
      <c r="O33" s="210">
        <v>0.0</v>
      </c>
      <c r="P33" s="118"/>
    </row>
    <row r="34" ht="11.25" customHeight="1">
      <c r="A34" s="12">
        <f t="shared" si="1"/>
        <v>32</v>
      </c>
      <c r="B34" s="15" t="s">
        <v>24</v>
      </c>
      <c r="C34" s="12" t="s">
        <v>122</v>
      </c>
      <c r="D34" s="19" t="s">
        <v>759</v>
      </c>
      <c r="E34" s="25" t="s">
        <v>180</v>
      </c>
      <c r="F34" s="25" t="s">
        <v>288</v>
      </c>
      <c r="G34" s="106" t="s">
        <v>36</v>
      </c>
      <c r="H34" s="30">
        <v>46069.0</v>
      </c>
      <c r="I34" s="15">
        <v>0.0</v>
      </c>
      <c r="J34" s="106" t="s">
        <v>57</v>
      </c>
      <c r="K34" s="28">
        <v>9000.0</v>
      </c>
      <c r="L34" s="210">
        <v>0.0</v>
      </c>
      <c r="M34" s="210">
        <v>0.0</v>
      </c>
      <c r="N34" s="210">
        <v>0.0</v>
      </c>
      <c r="O34" s="210">
        <v>0.0</v>
      </c>
      <c r="P34" s="118"/>
    </row>
    <row r="35" ht="11.25" customHeight="1">
      <c r="A35" s="12">
        <f t="shared" si="1"/>
        <v>33</v>
      </c>
      <c r="B35" s="15" t="s">
        <v>24</v>
      </c>
      <c r="C35" s="12" t="s">
        <v>211</v>
      </c>
      <c r="D35" s="19" t="s">
        <v>761</v>
      </c>
      <c r="E35" s="25" t="s">
        <v>731</v>
      </c>
      <c r="F35" s="25" t="s">
        <v>762</v>
      </c>
      <c r="G35" s="25" t="s">
        <v>37</v>
      </c>
      <c r="H35" s="30">
        <v>46069.0</v>
      </c>
      <c r="I35" s="15">
        <v>5.0</v>
      </c>
      <c r="J35" s="25" t="s">
        <v>38</v>
      </c>
      <c r="K35" s="28">
        <v>250000.0</v>
      </c>
      <c r="L35" s="210">
        <v>0.0</v>
      </c>
      <c r="M35" s="210">
        <v>0.0</v>
      </c>
      <c r="N35" s="210">
        <v>0.0</v>
      </c>
      <c r="O35" s="210">
        <v>0.0</v>
      </c>
      <c r="P35" s="33"/>
    </row>
    <row r="36" ht="11.25" customHeight="1">
      <c r="A36" s="12">
        <f t="shared" si="1"/>
        <v>34</v>
      </c>
      <c r="B36" s="15" t="s">
        <v>24</v>
      </c>
      <c r="C36" s="12" t="s">
        <v>122</v>
      </c>
      <c r="D36" s="19" t="s">
        <v>763</v>
      </c>
      <c r="E36" s="25" t="s">
        <v>184</v>
      </c>
      <c r="F36" s="25" t="s">
        <v>449</v>
      </c>
      <c r="G36" s="25" t="s">
        <v>37</v>
      </c>
      <c r="H36" s="30">
        <v>46070.0</v>
      </c>
      <c r="I36" s="15">
        <v>1.0</v>
      </c>
      <c r="J36" s="25" t="s">
        <v>38</v>
      </c>
      <c r="K36" s="28">
        <v>20000.0</v>
      </c>
      <c r="L36" s="281">
        <v>0.0</v>
      </c>
      <c r="M36" s="281">
        <v>0.0</v>
      </c>
      <c r="N36" s="281">
        <v>0.0</v>
      </c>
      <c r="O36" s="281">
        <v>0.0</v>
      </c>
      <c r="P36" s="33"/>
    </row>
    <row r="37" ht="11.25" customHeight="1">
      <c r="A37" s="12">
        <f t="shared" si="1"/>
        <v>35</v>
      </c>
      <c r="B37" s="15" t="s">
        <v>24</v>
      </c>
      <c r="C37" s="12" t="s">
        <v>122</v>
      </c>
      <c r="D37" s="19" t="s">
        <v>764</v>
      </c>
      <c r="E37" s="25" t="s">
        <v>51</v>
      </c>
      <c r="F37" s="25" t="s">
        <v>449</v>
      </c>
      <c r="G37" s="106" t="s">
        <v>36</v>
      </c>
      <c r="H37" s="30">
        <v>46070.0</v>
      </c>
      <c r="I37" s="15">
        <v>0.0</v>
      </c>
      <c r="J37" s="106" t="s">
        <v>57</v>
      </c>
      <c r="K37" s="28">
        <v>15000.0</v>
      </c>
      <c r="L37" s="281">
        <v>0.0</v>
      </c>
      <c r="M37" s="281">
        <v>0.0</v>
      </c>
      <c r="N37" s="281">
        <v>0.0</v>
      </c>
      <c r="O37" s="281">
        <v>0.0</v>
      </c>
      <c r="P37" s="33"/>
    </row>
    <row r="38" ht="11.25" customHeight="1">
      <c r="A38" s="12">
        <f t="shared" si="1"/>
        <v>36</v>
      </c>
      <c r="B38" s="15" t="s">
        <v>24</v>
      </c>
      <c r="C38" s="12" t="s">
        <v>211</v>
      </c>
      <c r="D38" s="19" t="s">
        <v>770</v>
      </c>
      <c r="E38" s="25" t="s">
        <v>142</v>
      </c>
      <c r="F38" s="25" t="s">
        <v>1477</v>
      </c>
      <c r="G38" s="106" t="s">
        <v>36</v>
      </c>
      <c r="H38" s="30">
        <v>46071.0</v>
      </c>
      <c r="I38" s="15">
        <v>0.0</v>
      </c>
      <c r="J38" s="106" t="s">
        <v>57</v>
      </c>
      <c r="K38" s="28">
        <v>50000.0</v>
      </c>
      <c r="L38" s="210">
        <v>0.0</v>
      </c>
      <c r="M38" s="210">
        <v>0.0</v>
      </c>
      <c r="N38" s="210">
        <v>0.0</v>
      </c>
      <c r="O38" s="210">
        <v>0.0</v>
      </c>
      <c r="P38" s="33"/>
    </row>
    <row r="39" ht="11.25" customHeight="1">
      <c r="A39" s="12">
        <f t="shared" si="1"/>
        <v>37</v>
      </c>
      <c r="B39" s="15" t="s">
        <v>24</v>
      </c>
      <c r="C39" s="12" t="s">
        <v>122</v>
      </c>
      <c r="D39" s="19" t="s">
        <v>771</v>
      </c>
      <c r="E39" s="25" t="s">
        <v>488</v>
      </c>
      <c r="F39" s="25" t="s">
        <v>772</v>
      </c>
      <c r="G39" s="106" t="s">
        <v>36</v>
      </c>
      <c r="H39" s="30">
        <v>46071.0</v>
      </c>
      <c r="I39" s="15">
        <v>1.0</v>
      </c>
      <c r="J39" s="25" t="s">
        <v>38</v>
      </c>
      <c r="K39" s="28">
        <v>368000.0</v>
      </c>
      <c r="L39" s="210">
        <v>0.0</v>
      </c>
      <c r="M39" s="210">
        <v>0.0</v>
      </c>
      <c r="N39" s="210">
        <v>0.0</v>
      </c>
      <c r="O39" s="210">
        <v>0.0</v>
      </c>
      <c r="P39" s="118"/>
    </row>
    <row r="40" ht="11.25" customHeight="1">
      <c r="A40" s="12">
        <f t="shared" si="1"/>
        <v>38</v>
      </c>
      <c r="B40" s="15" t="s">
        <v>24</v>
      </c>
      <c r="C40" s="12" t="s">
        <v>211</v>
      </c>
      <c r="D40" s="19" t="s">
        <v>773</v>
      </c>
      <c r="E40" s="25" t="s">
        <v>731</v>
      </c>
      <c r="F40" s="25" t="s">
        <v>762</v>
      </c>
      <c r="G40" s="25" t="s">
        <v>37</v>
      </c>
      <c r="H40" s="30">
        <v>46071.0</v>
      </c>
      <c r="I40" s="15">
        <v>0.0</v>
      </c>
      <c r="J40" s="25" t="s">
        <v>38</v>
      </c>
      <c r="K40" s="28">
        <v>50000.0</v>
      </c>
      <c r="L40" s="210">
        <v>0.0</v>
      </c>
      <c r="M40" s="210">
        <v>0.0</v>
      </c>
      <c r="N40" s="210">
        <v>0.0</v>
      </c>
      <c r="O40" s="210">
        <v>0.0</v>
      </c>
      <c r="P40" s="33"/>
    </row>
    <row r="41" ht="11.25" customHeight="1">
      <c r="A41" s="12">
        <f t="shared" si="1"/>
        <v>39</v>
      </c>
      <c r="B41" s="15" t="s">
        <v>24</v>
      </c>
      <c r="C41" s="12" t="s">
        <v>211</v>
      </c>
      <c r="D41" s="19" t="s">
        <v>774</v>
      </c>
      <c r="E41" s="25" t="s">
        <v>208</v>
      </c>
      <c r="F41" s="25" t="s">
        <v>394</v>
      </c>
      <c r="G41" s="25" t="s">
        <v>36</v>
      </c>
      <c r="H41" s="30">
        <v>46071.0</v>
      </c>
      <c r="I41" s="15">
        <v>0.0</v>
      </c>
      <c r="J41" s="25" t="s">
        <v>38</v>
      </c>
      <c r="K41" s="28">
        <v>5000.0</v>
      </c>
      <c r="L41" s="28">
        <v>0.0</v>
      </c>
      <c r="M41" s="28">
        <v>0.0</v>
      </c>
      <c r="N41" s="76">
        <v>0.0</v>
      </c>
      <c r="O41" s="77">
        <v>0.0</v>
      </c>
      <c r="P41" s="33"/>
    </row>
    <row r="42" ht="11.25" customHeight="1">
      <c r="A42" s="12">
        <f t="shared" si="1"/>
        <v>40</v>
      </c>
      <c r="B42" s="15" t="s">
        <v>24</v>
      </c>
      <c r="C42" s="12" t="s">
        <v>122</v>
      </c>
      <c r="D42" s="19" t="s">
        <v>775</v>
      </c>
      <c r="E42" s="25" t="s">
        <v>184</v>
      </c>
      <c r="F42" s="25" t="s">
        <v>449</v>
      </c>
      <c r="G42" s="25" t="s">
        <v>37</v>
      </c>
      <c r="H42" s="30">
        <v>46072.0</v>
      </c>
      <c r="I42" s="15">
        <v>0.0</v>
      </c>
      <c r="J42" s="25" t="s">
        <v>38</v>
      </c>
      <c r="K42" s="28">
        <v>180000.0</v>
      </c>
      <c r="L42" s="281">
        <v>0.0</v>
      </c>
      <c r="M42" s="281">
        <v>0.0</v>
      </c>
      <c r="N42" s="281">
        <v>0.0</v>
      </c>
      <c r="O42" s="281">
        <v>0.0</v>
      </c>
      <c r="P42" s="33"/>
    </row>
    <row r="43" ht="11.25" customHeight="1">
      <c r="A43" s="12">
        <f t="shared" si="1"/>
        <v>41</v>
      </c>
      <c r="B43" s="15" t="s">
        <v>24</v>
      </c>
      <c r="C43" s="12"/>
      <c r="D43" s="19" t="s">
        <v>776</v>
      </c>
      <c r="E43" s="25"/>
      <c r="F43" s="106" t="s">
        <v>336</v>
      </c>
      <c r="G43" s="106" t="s">
        <v>36</v>
      </c>
      <c r="H43" s="30">
        <v>46072.0</v>
      </c>
      <c r="I43" s="12">
        <v>0.0</v>
      </c>
      <c r="J43" s="106" t="s">
        <v>38</v>
      </c>
      <c r="K43" s="210">
        <v>0.0</v>
      </c>
      <c r="L43" s="210">
        <v>16000.0</v>
      </c>
      <c r="M43" s="210">
        <v>0.0</v>
      </c>
      <c r="N43" s="210">
        <v>0.0</v>
      </c>
      <c r="O43" s="210">
        <v>0.0</v>
      </c>
      <c r="P43" s="33"/>
    </row>
    <row r="44" ht="11.25" customHeight="1">
      <c r="A44" s="12">
        <f t="shared" si="1"/>
        <v>42</v>
      </c>
      <c r="B44" s="15" t="s">
        <v>24</v>
      </c>
      <c r="C44" s="12" t="s">
        <v>122</v>
      </c>
      <c r="D44" s="19" t="s">
        <v>777</v>
      </c>
      <c r="E44" s="25" t="s">
        <v>487</v>
      </c>
      <c r="F44" s="25" t="s">
        <v>554</v>
      </c>
      <c r="G44" s="106" t="s">
        <v>36</v>
      </c>
      <c r="H44" s="118">
        <v>46074.0</v>
      </c>
      <c r="I44" s="15">
        <v>0.0</v>
      </c>
      <c r="J44" s="106" t="s">
        <v>57</v>
      </c>
      <c r="K44" s="28">
        <v>12000.0</v>
      </c>
      <c r="L44" s="28">
        <v>0.0</v>
      </c>
      <c r="M44" s="28">
        <v>0.0</v>
      </c>
      <c r="N44" s="76">
        <v>0.0</v>
      </c>
      <c r="O44" s="77">
        <v>0.0</v>
      </c>
      <c r="P44" s="33"/>
    </row>
    <row r="45" ht="11.25" customHeight="1">
      <c r="A45" s="12">
        <f t="shared" si="1"/>
        <v>43</v>
      </c>
      <c r="B45" s="15" t="s">
        <v>24</v>
      </c>
      <c r="C45" s="12" t="s">
        <v>122</v>
      </c>
      <c r="D45" s="19" t="s">
        <v>778</v>
      </c>
      <c r="E45" s="25" t="s">
        <v>488</v>
      </c>
      <c r="F45" s="25" t="s">
        <v>772</v>
      </c>
      <c r="G45" s="25" t="s">
        <v>36</v>
      </c>
      <c r="H45" s="118">
        <v>46075.0</v>
      </c>
      <c r="I45" s="15">
        <v>0.0</v>
      </c>
      <c r="J45" s="106" t="s">
        <v>38</v>
      </c>
      <c r="K45" s="28">
        <v>132000.0</v>
      </c>
      <c r="L45" s="28">
        <v>0.0</v>
      </c>
      <c r="M45" s="28">
        <v>0.0</v>
      </c>
      <c r="N45" s="76">
        <v>0.0</v>
      </c>
      <c r="O45" s="77">
        <v>0.0</v>
      </c>
      <c r="P45" s="33"/>
    </row>
    <row r="46" ht="11.25" customHeight="1">
      <c r="A46" s="12">
        <f t="shared" si="1"/>
        <v>44</v>
      </c>
      <c r="B46" s="15" t="s">
        <v>24</v>
      </c>
      <c r="C46" s="15" t="s">
        <v>122</v>
      </c>
      <c r="D46" s="19" t="s">
        <v>588</v>
      </c>
      <c r="E46" s="25" t="s">
        <v>377</v>
      </c>
      <c r="F46" s="25" t="s">
        <v>586</v>
      </c>
      <c r="G46" s="106" t="s">
        <v>36</v>
      </c>
      <c r="H46" s="118">
        <v>46037.0</v>
      </c>
      <c r="I46" s="15">
        <v>0.0</v>
      </c>
      <c r="J46" s="106" t="s">
        <v>38</v>
      </c>
      <c r="K46" s="28">
        <v>0.0</v>
      </c>
      <c r="L46" s="28">
        <v>0.0</v>
      </c>
      <c r="M46" s="28">
        <v>450000.0</v>
      </c>
      <c r="N46" s="28">
        <v>0.0</v>
      </c>
      <c r="O46" s="77">
        <v>0.0</v>
      </c>
      <c r="P46" s="33">
        <v>46073.0</v>
      </c>
    </row>
    <row r="47" ht="11.25" customHeight="1">
      <c r="A47" s="12">
        <f t="shared" si="1"/>
        <v>45</v>
      </c>
      <c r="B47" s="15" t="s">
        <v>24</v>
      </c>
      <c r="C47" s="12" t="s">
        <v>122</v>
      </c>
      <c r="D47" s="289" t="s">
        <v>240</v>
      </c>
      <c r="E47" s="106" t="s">
        <v>241</v>
      </c>
      <c r="F47" s="106" t="s">
        <v>243</v>
      </c>
      <c r="G47" s="106" t="s">
        <v>245</v>
      </c>
      <c r="H47" s="294">
        <v>46076.0</v>
      </c>
      <c r="I47" s="12">
        <v>3.0</v>
      </c>
      <c r="J47" s="106" t="s">
        <v>38</v>
      </c>
      <c r="K47" s="210">
        <v>190000.0</v>
      </c>
      <c r="L47" s="210">
        <v>0.0</v>
      </c>
      <c r="M47" s="210">
        <v>0.0</v>
      </c>
      <c r="N47" s="210">
        <v>0.0</v>
      </c>
      <c r="O47" s="210">
        <v>0.0</v>
      </c>
      <c r="P47" s="218"/>
    </row>
    <row r="48" ht="11.25" customHeight="1">
      <c r="A48" s="12">
        <f t="shared" si="1"/>
        <v>46</v>
      </c>
      <c r="B48" s="15" t="s">
        <v>24</v>
      </c>
      <c r="C48" s="12" t="s">
        <v>122</v>
      </c>
      <c r="D48" s="289" t="s">
        <v>247</v>
      </c>
      <c r="E48" s="106" t="s">
        <v>241</v>
      </c>
      <c r="F48" s="106" t="s">
        <v>243</v>
      </c>
      <c r="G48" s="106" t="s">
        <v>245</v>
      </c>
      <c r="H48" s="294">
        <v>46076.0</v>
      </c>
      <c r="I48" s="12">
        <v>0.0</v>
      </c>
      <c r="J48" s="106" t="s">
        <v>38</v>
      </c>
      <c r="K48" s="210">
        <v>0.0</v>
      </c>
      <c r="L48" s="210">
        <v>0.0</v>
      </c>
      <c r="M48" s="210">
        <v>0.0</v>
      </c>
      <c r="N48" s="210">
        <v>300000.0</v>
      </c>
      <c r="O48" s="210">
        <v>0.0</v>
      </c>
      <c r="P48" s="118">
        <v>45756.0</v>
      </c>
    </row>
    <row r="49" ht="11.25" customHeight="1">
      <c r="A49" s="12">
        <f t="shared" si="1"/>
        <v>47</v>
      </c>
      <c r="B49" s="15" t="s">
        <v>24</v>
      </c>
      <c r="C49" s="12" t="s">
        <v>122</v>
      </c>
      <c r="D49" s="19" t="s">
        <v>779</v>
      </c>
      <c r="E49" s="25" t="s">
        <v>27</v>
      </c>
      <c r="F49" s="25" t="s">
        <v>780</v>
      </c>
      <c r="G49" s="25" t="s">
        <v>36</v>
      </c>
      <c r="H49" s="118">
        <v>46076.0</v>
      </c>
      <c r="I49" s="15">
        <v>1.0</v>
      </c>
      <c r="J49" s="106" t="s">
        <v>38</v>
      </c>
      <c r="K49" s="28">
        <v>100000.0</v>
      </c>
      <c r="L49" s="28">
        <v>0.0</v>
      </c>
      <c r="M49" s="28">
        <v>0.0</v>
      </c>
      <c r="N49" s="76">
        <v>0.0</v>
      </c>
      <c r="O49" s="77">
        <v>0.0</v>
      </c>
      <c r="P49" s="33"/>
    </row>
    <row r="50" ht="11.25" customHeight="1">
      <c r="A50" s="12">
        <f t="shared" si="1"/>
        <v>48</v>
      </c>
      <c r="B50" s="15" t="s">
        <v>24</v>
      </c>
      <c r="C50" s="12" t="s">
        <v>122</v>
      </c>
      <c r="D50" s="19" t="s">
        <v>781</v>
      </c>
      <c r="E50" s="25" t="s">
        <v>92</v>
      </c>
      <c r="F50" s="25" t="s">
        <v>742</v>
      </c>
      <c r="G50" s="25" t="s">
        <v>37</v>
      </c>
      <c r="H50" s="118">
        <v>46076.0</v>
      </c>
      <c r="I50" s="15">
        <v>0.0</v>
      </c>
      <c r="J50" s="106" t="s">
        <v>38</v>
      </c>
      <c r="K50" s="28">
        <v>5000.0</v>
      </c>
      <c r="L50" s="210">
        <v>0.0</v>
      </c>
      <c r="M50" s="210">
        <v>0.0</v>
      </c>
      <c r="N50" s="210">
        <v>0.0</v>
      </c>
      <c r="O50" s="210">
        <v>0.0</v>
      </c>
      <c r="P50" s="33"/>
    </row>
    <row r="51" ht="11.25" customHeight="1">
      <c r="A51" s="12">
        <f t="shared" si="1"/>
        <v>49</v>
      </c>
      <c r="B51" s="15" t="s">
        <v>24</v>
      </c>
      <c r="C51" s="12" t="s">
        <v>122</v>
      </c>
      <c r="D51" s="19" t="s">
        <v>782</v>
      </c>
      <c r="E51" s="25" t="s">
        <v>92</v>
      </c>
      <c r="F51" s="25" t="s">
        <v>700</v>
      </c>
      <c r="G51" s="106" t="s">
        <v>36</v>
      </c>
      <c r="H51" s="118">
        <v>46076.0</v>
      </c>
      <c r="I51" s="15">
        <v>0.0</v>
      </c>
      <c r="J51" s="25" t="s">
        <v>38</v>
      </c>
      <c r="K51" s="210">
        <v>10000.0</v>
      </c>
      <c r="L51" s="210">
        <v>0.0</v>
      </c>
      <c r="M51" s="210">
        <v>0.0</v>
      </c>
      <c r="N51" s="28">
        <v>0.0</v>
      </c>
      <c r="O51" s="28">
        <v>0.0</v>
      </c>
      <c r="P51" s="33"/>
    </row>
    <row r="52" ht="11.25" customHeight="1">
      <c r="A52" s="12">
        <f t="shared" si="1"/>
        <v>50</v>
      </c>
      <c r="B52" s="15" t="s">
        <v>24</v>
      </c>
      <c r="C52" s="12" t="s">
        <v>122</v>
      </c>
      <c r="D52" s="19" t="s">
        <v>783</v>
      </c>
      <c r="E52" s="25" t="s">
        <v>92</v>
      </c>
      <c r="F52" s="25" t="s">
        <v>700</v>
      </c>
      <c r="G52" s="106" t="s">
        <v>36</v>
      </c>
      <c r="H52" s="118">
        <v>46076.0</v>
      </c>
      <c r="I52" s="15">
        <v>0.0</v>
      </c>
      <c r="J52" s="25" t="s">
        <v>38</v>
      </c>
      <c r="K52" s="210">
        <v>0.0</v>
      </c>
      <c r="L52" s="210">
        <v>10000.0</v>
      </c>
      <c r="M52" s="210">
        <v>0.0</v>
      </c>
      <c r="N52" s="28">
        <v>0.0</v>
      </c>
      <c r="O52" s="28">
        <v>0.0</v>
      </c>
      <c r="P52" s="33"/>
    </row>
    <row r="53" ht="11.25" customHeight="1">
      <c r="A53" s="12">
        <f t="shared" si="1"/>
        <v>51</v>
      </c>
      <c r="B53" s="15" t="s">
        <v>24</v>
      </c>
      <c r="C53" s="12" t="s">
        <v>122</v>
      </c>
      <c r="D53" s="19" t="s">
        <v>784</v>
      </c>
      <c r="E53" s="25" t="s">
        <v>272</v>
      </c>
      <c r="F53" s="25" t="s">
        <v>785</v>
      </c>
      <c r="G53" s="25" t="s">
        <v>37</v>
      </c>
      <c r="H53" s="118">
        <v>46076.0</v>
      </c>
      <c r="I53" s="15">
        <v>1.0</v>
      </c>
      <c r="J53" s="25" t="s">
        <v>38</v>
      </c>
      <c r="K53" s="28">
        <v>150000.0</v>
      </c>
      <c r="L53" s="28">
        <v>0.0</v>
      </c>
      <c r="M53" s="28">
        <v>0.0</v>
      </c>
      <c r="N53" s="28">
        <v>0.0</v>
      </c>
      <c r="O53" s="28">
        <v>0.0</v>
      </c>
      <c r="P53" s="33">
        <v>46078.0</v>
      </c>
    </row>
    <row r="54" ht="11.25" customHeight="1">
      <c r="A54" s="12">
        <f t="shared" si="1"/>
        <v>52</v>
      </c>
      <c r="B54" s="15" t="s">
        <v>24</v>
      </c>
      <c r="C54" s="12" t="s">
        <v>122</v>
      </c>
      <c r="D54" s="19" t="s">
        <v>786</v>
      </c>
      <c r="E54" s="25" t="s">
        <v>272</v>
      </c>
      <c r="F54" s="25" t="s">
        <v>787</v>
      </c>
      <c r="G54" s="25" t="s">
        <v>37</v>
      </c>
      <c r="H54" s="118">
        <v>46076.0</v>
      </c>
      <c r="I54" s="15">
        <v>1.0</v>
      </c>
      <c r="J54" s="25" t="s">
        <v>38</v>
      </c>
      <c r="K54" s="28">
        <v>150000.0</v>
      </c>
      <c r="L54" s="28">
        <v>0.0</v>
      </c>
      <c r="M54" s="28">
        <v>0.0</v>
      </c>
      <c r="N54" s="28">
        <v>0.0</v>
      </c>
      <c r="O54" s="28">
        <v>0.0</v>
      </c>
      <c r="P54" s="33">
        <v>46078.0</v>
      </c>
    </row>
    <row r="55" ht="11.25" customHeight="1">
      <c r="A55" s="12">
        <f t="shared" si="1"/>
        <v>53</v>
      </c>
      <c r="B55" s="15" t="s">
        <v>24</v>
      </c>
      <c r="C55" s="12" t="s">
        <v>122</v>
      </c>
      <c r="D55" s="19" t="s">
        <v>788</v>
      </c>
      <c r="E55" s="106" t="s">
        <v>191</v>
      </c>
      <c r="F55" s="106" t="s">
        <v>193</v>
      </c>
      <c r="G55" s="25" t="s">
        <v>37</v>
      </c>
      <c r="H55" s="118">
        <v>46076.0</v>
      </c>
      <c r="I55" s="12">
        <v>2.0</v>
      </c>
      <c r="J55" s="106" t="s">
        <v>38</v>
      </c>
      <c r="K55" s="210">
        <v>0.0</v>
      </c>
      <c r="L55" s="210">
        <v>50000.0</v>
      </c>
      <c r="M55" s="210">
        <v>0.0</v>
      </c>
      <c r="N55" s="210">
        <v>0.0</v>
      </c>
      <c r="O55" s="210">
        <v>0.0</v>
      </c>
      <c r="P55" s="33"/>
    </row>
    <row r="56" ht="11.25" customHeight="1">
      <c r="A56" s="12">
        <f t="shared" si="1"/>
        <v>54</v>
      </c>
      <c r="B56" s="15" t="s">
        <v>24</v>
      </c>
      <c r="C56" s="12" t="s">
        <v>122</v>
      </c>
      <c r="D56" s="19" t="s">
        <v>790</v>
      </c>
      <c r="E56" s="25" t="s">
        <v>303</v>
      </c>
      <c r="F56" s="25" t="s">
        <v>526</v>
      </c>
      <c r="G56" s="106" t="s">
        <v>36</v>
      </c>
      <c r="H56" s="118">
        <v>46078.0</v>
      </c>
      <c r="I56" s="15">
        <v>0.0</v>
      </c>
      <c r="J56" s="106" t="s">
        <v>57</v>
      </c>
      <c r="K56" s="28">
        <v>0.0</v>
      </c>
      <c r="L56" s="28">
        <v>6500.0</v>
      </c>
      <c r="M56" s="210">
        <v>0.0</v>
      </c>
      <c r="N56" s="210">
        <v>0.0</v>
      </c>
      <c r="O56" s="210">
        <v>0.0</v>
      </c>
      <c r="P56" s="33"/>
    </row>
    <row r="57" ht="11.25" customHeight="1">
      <c r="A57" s="12">
        <f t="shared" si="1"/>
        <v>55</v>
      </c>
      <c r="B57" s="15" t="s">
        <v>24</v>
      </c>
      <c r="C57" s="12" t="s">
        <v>122</v>
      </c>
      <c r="D57" s="19" t="s">
        <v>791</v>
      </c>
      <c r="E57" s="25" t="s">
        <v>303</v>
      </c>
      <c r="F57" s="25" t="s">
        <v>533</v>
      </c>
      <c r="G57" s="106" t="s">
        <v>36</v>
      </c>
      <c r="H57" s="118">
        <v>46078.0</v>
      </c>
      <c r="I57" s="15">
        <v>0.0</v>
      </c>
      <c r="J57" s="106" t="s">
        <v>57</v>
      </c>
      <c r="K57" s="28">
        <v>0.0</v>
      </c>
      <c r="L57" s="28">
        <v>6500.0</v>
      </c>
      <c r="M57" s="210">
        <v>0.0</v>
      </c>
      <c r="N57" s="210">
        <v>0.0</v>
      </c>
      <c r="O57" s="210">
        <v>0.0</v>
      </c>
      <c r="P57" s="33"/>
    </row>
    <row r="58" ht="11.25" customHeight="1">
      <c r="A58" s="12">
        <f t="shared" si="1"/>
        <v>56</v>
      </c>
      <c r="B58" s="15" t="s">
        <v>24</v>
      </c>
      <c r="C58" s="12" t="s">
        <v>122</v>
      </c>
      <c r="D58" s="19" t="s">
        <v>792</v>
      </c>
      <c r="E58" s="25" t="s">
        <v>487</v>
      </c>
      <c r="F58" s="25" t="s">
        <v>488</v>
      </c>
      <c r="G58" s="106" t="s">
        <v>36</v>
      </c>
      <c r="H58" s="118">
        <v>46078.0</v>
      </c>
      <c r="I58" s="15">
        <v>0.0</v>
      </c>
      <c r="J58" s="106" t="s">
        <v>57</v>
      </c>
      <c r="K58" s="28">
        <v>10000.0</v>
      </c>
      <c r="L58" s="210">
        <v>0.0</v>
      </c>
      <c r="M58" s="210">
        <v>0.0</v>
      </c>
      <c r="N58" s="28">
        <v>0.0</v>
      </c>
      <c r="O58" s="28">
        <v>0.0</v>
      </c>
      <c r="P58" s="33"/>
    </row>
    <row r="59" ht="11.25" customHeight="1">
      <c r="A59" s="12">
        <f t="shared" si="1"/>
        <v>57</v>
      </c>
      <c r="B59" s="15" t="s">
        <v>24</v>
      </c>
      <c r="C59" s="12" t="s">
        <v>122</v>
      </c>
      <c r="D59" s="19" t="s">
        <v>793</v>
      </c>
      <c r="E59" s="25" t="s">
        <v>27</v>
      </c>
      <c r="F59" s="25" t="s">
        <v>794</v>
      </c>
      <c r="G59" s="106" t="s">
        <v>36</v>
      </c>
      <c r="H59" s="118">
        <v>46078.0</v>
      </c>
      <c r="I59" s="15">
        <v>0.0</v>
      </c>
      <c r="J59" s="106" t="s">
        <v>57</v>
      </c>
      <c r="K59" s="28">
        <v>10000.0</v>
      </c>
      <c r="L59" s="210">
        <v>0.0</v>
      </c>
      <c r="M59" s="210">
        <v>0.0</v>
      </c>
      <c r="N59" s="28">
        <v>0.0</v>
      </c>
      <c r="O59" s="28">
        <v>0.0</v>
      </c>
      <c r="P59" s="33"/>
    </row>
    <row r="60" ht="11.25" customHeight="1">
      <c r="A60" s="12">
        <f t="shared" si="1"/>
        <v>58</v>
      </c>
      <c r="B60" s="15" t="s">
        <v>24</v>
      </c>
      <c r="C60" s="12" t="s">
        <v>211</v>
      </c>
      <c r="D60" s="289" t="s">
        <v>253</v>
      </c>
      <c r="E60" s="106" t="s">
        <v>84</v>
      </c>
      <c r="F60" s="106" t="s">
        <v>254</v>
      </c>
      <c r="G60" s="106" t="s">
        <v>34</v>
      </c>
      <c r="H60" s="294">
        <v>46079.0</v>
      </c>
      <c r="I60" s="12">
        <v>5.0</v>
      </c>
      <c r="J60" s="106" t="s">
        <v>38</v>
      </c>
      <c r="K60" s="210">
        <v>300000.0</v>
      </c>
      <c r="L60" s="210">
        <v>0.0</v>
      </c>
      <c r="M60" s="210">
        <v>0.0</v>
      </c>
      <c r="N60" s="295">
        <v>0.0</v>
      </c>
      <c r="O60" s="292">
        <v>0.0</v>
      </c>
      <c r="P60" s="218"/>
    </row>
    <row r="61" ht="11.25" customHeight="1">
      <c r="A61" s="12">
        <f t="shared" si="1"/>
        <v>59</v>
      </c>
      <c r="B61" s="15" t="s">
        <v>24</v>
      </c>
      <c r="C61" s="12" t="s">
        <v>211</v>
      </c>
      <c r="D61" s="289" t="s">
        <v>257</v>
      </c>
      <c r="E61" s="106" t="s">
        <v>84</v>
      </c>
      <c r="F61" s="106" t="s">
        <v>254</v>
      </c>
      <c r="G61" s="106" t="s">
        <v>34</v>
      </c>
      <c r="H61" s="294">
        <v>46079.0</v>
      </c>
      <c r="I61" s="12">
        <v>0.0</v>
      </c>
      <c r="J61" s="106" t="s">
        <v>38</v>
      </c>
      <c r="K61" s="210">
        <v>0.0</v>
      </c>
      <c r="L61" s="210">
        <v>0.0</v>
      </c>
      <c r="M61" s="210">
        <v>0.0</v>
      </c>
      <c r="N61" s="210">
        <v>200000.0</v>
      </c>
      <c r="O61" s="292">
        <v>0.0</v>
      </c>
      <c r="P61" s="30">
        <v>46097.0</v>
      </c>
    </row>
    <row r="62" ht="11.25" customHeight="1">
      <c r="A62" s="12">
        <f t="shared" si="1"/>
        <v>60</v>
      </c>
      <c r="B62" s="15" t="s">
        <v>24</v>
      </c>
      <c r="C62" s="12" t="s">
        <v>122</v>
      </c>
      <c r="D62" s="19" t="s">
        <v>795</v>
      </c>
      <c r="E62" s="25" t="s">
        <v>221</v>
      </c>
      <c r="F62" s="25" t="s">
        <v>181</v>
      </c>
      <c r="G62" s="25" t="s">
        <v>36</v>
      </c>
      <c r="H62" s="118">
        <v>46079.0</v>
      </c>
      <c r="I62" s="15">
        <v>0.0</v>
      </c>
      <c r="J62" s="25" t="s">
        <v>57</v>
      </c>
      <c r="K62" s="28">
        <v>0.0</v>
      </c>
      <c r="L62" s="28">
        <v>7000.0</v>
      </c>
      <c r="M62" s="28">
        <v>0.0</v>
      </c>
      <c r="N62" s="28">
        <v>0.0</v>
      </c>
      <c r="O62" s="28">
        <v>0.0</v>
      </c>
      <c r="P62" s="33"/>
    </row>
    <row r="63" ht="11.25" customHeight="1">
      <c r="A63" s="12">
        <f t="shared" si="1"/>
        <v>61</v>
      </c>
      <c r="B63" s="15" t="s">
        <v>24</v>
      </c>
      <c r="C63" s="12"/>
      <c r="D63" s="19" t="s">
        <v>797</v>
      </c>
      <c r="E63" s="25"/>
      <c r="F63" s="25" t="s">
        <v>259</v>
      </c>
      <c r="G63" s="106" t="s">
        <v>36</v>
      </c>
      <c r="H63" s="118">
        <v>46079.0</v>
      </c>
      <c r="I63" s="15">
        <v>0.0</v>
      </c>
      <c r="J63" s="25" t="s">
        <v>57</v>
      </c>
      <c r="K63" s="28">
        <v>5000.0</v>
      </c>
      <c r="L63" s="281">
        <v>0.0</v>
      </c>
      <c r="M63" s="281">
        <v>0.0</v>
      </c>
      <c r="N63" s="281">
        <v>0.0</v>
      </c>
      <c r="O63" s="281">
        <v>0.0</v>
      </c>
      <c r="P63" s="33"/>
    </row>
    <row r="64" ht="11.25" customHeight="1">
      <c r="A64" s="12">
        <f t="shared" si="1"/>
        <v>62</v>
      </c>
      <c r="B64" s="15" t="s">
        <v>24</v>
      </c>
      <c r="C64" s="12" t="s">
        <v>122</v>
      </c>
      <c r="D64" s="19" t="s">
        <v>799</v>
      </c>
      <c r="E64" s="106" t="s">
        <v>221</v>
      </c>
      <c r="F64" s="106" t="s">
        <v>189</v>
      </c>
      <c r="G64" s="106" t="s">
        <v>36</v>
      </c>
      <c r="H64" s="118">
        <v>46079.0</v>
      </c>
      <c r="I64" s="12">
        <v>0.0</v>
      </c>
      <c r="J64" s="106" t="s">
        <v>57</v>
      </c>
      <c r="K64" s="210">
        <v>7000.0</v>
      </c>
      <c r="L64" s="210">
        <v>0.0</v>
      </c>
      <c r="M64" s="210">
        <v>0.0</v>
      </c>
      <c r="N64" s="210">
        <v>0.0</v>
      </c>
      <c r="O64" s="210">
        <v>0.0</v>
      </c>
      <c r="P64" s="33"/>
    </row>
    <row r="65" ht="11.25" customHeight="1">
      <c r="A65" s="12">
        <f t="shared" si="1"/>
        <v>63</v>
      </c>
      <c r="B65" s="15" t="s">
        <v>24</v>
      </c>
      <c r="C65" s="12" t="s">
        <v>211</v>
      </c>
      <c r="D65" s="19" t="s">
        <v>403</v>
      </c>
      <c r="E65" s="106" t="s">
        <v>208</v>
      </c>
      <c r="F65" s="106" t="s">
        <v>394</v>
      </c>
      <c r="G65" s="106" t="s">
        <v>36</v>
      </c>
      <c r="H65" s="118">
        <v>46081.0</v>
      </c>
      <c r="I65" s="12">
        <v>0.0</v>
      </c>
      <c r="J65" s="106" t="s">
        <v>38</v>
      </c>
      <c r="K65" s="210">
        <v>50000.0</v>
      </c>
      <c r="L65" s="210">
        <v>0.0</v>
      </c>
      <c r="M65" s="210">
        <v>0.0</v>
      </c>
      <c r="N65" s="210">
        <v>0.0</v>
      </c>
      <c r="O65" s="210">
        <v>0.0</v>
      </c>
      <c r="P65" s="33"/>
    </row>
    <row r="66" ht="11.25" customHeight="1">
      <c r="A66" s="12">
        <f t="shared" si="1"/>
        <v>64</v>
      </c>
      <c r="B66" s="15" t="s">
        <v>24</v>
      </c>
      <c r="C66" s="12" t="s">
        <v>122</v>
      </c>
      <c r="D66" s="19" t="s">
        <v>800</v>
      </c>
      <c r="E66" s="25" t="s">
        <v>191</v>
      </c>
      <c r="F66" s="25" t="s">
        <v>316</v>
      </c>
      <c r="G66" s="106" t="s">
        <v>36</v>
      </c>
      <c r="H66" s="118">
        <v>46081.0</v>
      </c>
      <c r="I66" s="15">
        <v>0.0</v>
      </c>
      <c r="J66" s="106" t="s">
        <v>57</v>
      </c>
      <c r="K66" s="28">
        <v>10000.0</v>
      </c>
      <c r="L66" s="281">
        <v>0.0</v>
      </c>
      <c r="M66" s="281">
        <v>0.0</v>
      </c>
      <c r="N66" s="281">
        <v>0.0</v>
      </c>
      <c r="O66" s="281">
        <v>0.0</v>
      </c>
      <c r="P66" s="33"/>
    </row>
    <row r="67" ht="11.25" customHeight="1">
      <c r="A67" s="12">
        <f t="shared" si="1"/>
        <v>65</v>
      </c>
      <c r="B67" s="15" t="s">
        <v>24</v>
      </c>
      <c r="C67" s="12" t="s">
        <v>211</v>
      </c>
      <c r="D67" s="19" t="s">
        <v>801</v>
      </c>
      <c r="E67" s="25" t="s">
        <v>191</v>
      </c>
      <c r="F67" s="25" t="s">
        <v>802</v>
      </c>
      <c r="G67" s="106" t="s">
        <v>36</v>
      </c>
      <c r="H67" s="118">
        <v>46081.0</v>
      </c>
      <c r="I67" s="15">
        <v>1.0</v>
      </c>
      <c r="J67" s="106" t="s">
        <v>38</v>
      </c>
      <c r="K67" s="28">
        <v>50000.0</v>
      </c>
      <c r="L67" s="281">
        <v>0.0</v>
      </c>
      <c r="M67" s="281">
        <v>0.0</v>
      </c>
      <c r="N67" s="281">
        <v>0.0</v>
      </c>
      <c r="O67" s="281">
        <v>0.0</v>
      </c>
      <c r="P67" s="33"/>
    </row>
    <row r="68" ht="11.25" customHeight="1">
      <c r="A68" s="12" t="str">
        <f t="shared" si="1"/>
        <v/>
      </c>
      <c r="B68" s="15"/>
      <c r="C68" s="12"/>
      <c r="D68" s="15"/>
      <c r="E68" s="25"/>
      <c r="F68" s="25"/>
      <c r="G68" s="106"/>
      <c r="H68" s="32"/>
      <c r="I68" s="15"/>
      <c r="J68" s="25"/>
      <c r="K68" s="210"/>
      <c r="L68" s="210"/>
      <c r="M68" s="210"/>
      <c r="N68" s="28"/>
      <c r="O68" s="28"/>
      <c r="P68" s="33"/>
    </row>
    <row r="69" ht="11.25" customHeight="1">
      <c r="A69" s="12" t="str">
        <f t="shared" si="1"/>
        <v/>
      </c>
      <c r="B69" s="12"/>
      <c r="C69" s="12"/>
      <c r="D69" s="12"/>
      <c r="E69" s="106"/>
      <c r="F69" s="106"/>
      <c r="G69" s="106"/>
      <c r="H69" s="118"/>
      <c r="I69" s="119" t="s">
        <v>21</v>
      </c>
      <c r="J69" s="120"/>
      <c r="K69" s="121"/>
      <c r="L69" s="121"/>
      <c r="M69" s="121"/>
      <c r="N69" s="121"/>
      <c r="O69" s="122"/>
      <c r="P69" s="123"/>
    </row>
    <row r="70" ht="11.25" customHeight="1">
      <c r="A70" s="12" t="str">
        <f t="shared" si="1"/>
        <v/>
      </c>
      <c r="B70" s="12"/>
      <c r="C70" s="12"/>
      <c r="D70" s="12"/>
      <c r="E70" s="106"/>
      <c r="F70" s="106"/>
      <c r="G70" s="106"/>
      <c r="H70" s="118"/>
      <c r="I70" s="124" t="s">
        <v>462</v>
      </c>
      <c r="J70" s="120"/>
      <c r="K70" s="125" t="s">
        <v>13</v>
      </c>
      <c r="L70" s="125" t="s">
        <v>14</v>
      </c>
      <c r="M70" s="125" t="s">
        <v>15</v>
      </c>
      <c r="N70" s="2" t="s">
        <v>465</v>
      </c>
      <c r="O70" s="119" t="s">
        <v>18</v>
      </c>
      <c r="P70" s="120"/>
    </row>
    <row r="71" ht="11.25" customHeight="1">
      <c r="A71" s="287" t="s">
        <v>789</v>
      </c>
      <c r="B71" s="120"/>
      <c r="C71" s="127"/>
      <c r="D71" s="128"/>
      <c r="E71" s="127"/>
      <c r="F71" s="127"/>
      <c r="G71" s="127"/>
      <c r="H71" s="129"/>
      <c r="I71" s="130">
        <f>SUM(I3:I70)</f>
        <v>30</v>
      </c>
      <c r="J71" s="120"/>
      <c r="K71" s="131">
        <f t="shared" ref="K71:O71" si="2">SUM(K3:K70)</f>
        <v>3122800</v>
      </c>
      <c r="L71" s="131">
        <f t="shared" si="2"/>
        <v>563000</v>
      </c>
      <c r="M71" s="131">
        <f t="shared" si="2"/>
        <v>450000</v>
      </c>
      <c r="N71" s="131">
        <f t="shared" si="2"/>
        <v>650000</v>
      </c>
      <c r="O71" s="131">
        <f t="shared" si="2"/>
        <v>100000</v>
      </c>
      <c r="P71" s="133" t="s">
        <v>481</v>
      </c>
    </row>
    <row r="72" ht="11.25" customHeight="1">
      <c r="A72" s="134"/>
      <c r="B72" s="135"/>
      <c r="C72" s="135"/>
      <c r="D72" s="134"/>
      <c r="E72" s="135"/>
      <c r="F72" s="135"/>
      <c r="G72" s="135"/>
      <c r="H72" s="136"/>
      <c r="I72" s="137"/>
      <c r="J72" s="138"/>
      <c r="K72" s="139" t="s">
        <v>491</v>
      </c>
      <c r="L72" s="120"/>
      <c r="M72" s="282">
        <f>SUM(K71:M71)</f>
        <v>4135800</v>
      </c>
      <c r="N72" s="141"/>
      <c r="O72" s="141"/>
      <c r="P72" s="142"/>
    </row>
    <row r="73" ht="11.25" customHeight="1">
      <c r="A73" s="134"/>
      <c r="B73" s="135"/>
      <c r="C73" s="135"/>
      <c r="D73" s="134"/>
      <c r="E73" s="135"/>
      <c r="F73" s="135"/>
      <c r="G73" s="135"/>
      <c r="H73" s="136"/>
      <c r="I73" s="143"/>
      <c r="J73" s="144"/>
      <c r="K73" s="145" t="s">
        <v>506</v>
      </c>
      <c r="L73" s="120"/>
      <c r="M73" s="283">
        <f>SUM(M72-K11-K12-K14-K20-K21-L29-L30-L33-K34-K37-K38-L43)</f>
        <v>3748500</v>
      </c>
      <c r="N73" s="147"/>
      <c r="O73" s="147"/>
      <c r="P73" s="148"/>
    </row>
    <row r="74" ht="15.75" customHeight="1">
      <c r="A74" s="149"/>
      <c r="D74" s="149"/>
      <c r="H74" s="150"/>
      <c r="P74" s="150"/>
    </row>
    <row r="75" ht="15.75" customHeight="1">
      <c r="A75" s="149"/>
      <c r="D75" s="149"/>
      <c r="H75" s="150"/>
      <c r="P75" s="150"/>
    </row>
    <row r="76" ht="15.75" customHeight="1">
      <c r="A76" s="149"/>
      <c r="D76" s="149"/>
      <c r="H76" s="150"/>
      <c r="P76" s="150"/>
    </row>
    <row r="77" ht="15.75" customHeight="1">
      <c r="A77" s="149"/>
      <c r="D77" s="149"/>
      <c r="H77" s="150"/>
      <c r="P77" s="150"/>
    </row>
    <row r="78" ht="15.75" customHeight="1">
      <c r="A78" s="149"/>
      <c r="D78" s="149"/>
      <c r="H78" s="150"/>
      <c r="P78" s="150"/>
    </row>
    <row r="79" ht="15.75" customHeight="1">
      <c r="A79" s="149"/>
      <c r="D79" s="149"/>
      <c r="H79" s="150"/>
      <c r="P79" s="150"/>
    </row>
    <row r="80" ht="15.75" customHeight="1">
      <c r="A80" s="149"/>
      <c r="D80" s="149"/>
      <c r="H80" s="150"/>
      <c r="P80" s="150"/>
    </row>
    <row r="81" ht="15.75" customHeight="1">
      <c r="A81" s="149"/>
      <c r="D81" s="149"/>
      <c r="H81" s="150"/>
      <c r="P81" s="150"/>
    </row>
    <row r="82" ht="15.75" customHeight="1">
      <c r="A82" s="149"/>
      <c r="D82" s="149"/>
      <c r="H82" s="150"/>
      <c r="P82" s="150"/>
    </row>
    <row r="83" ht="15.75" customHeight="1">
      <c r="A83" s="149"/>
      <c r="D83" s="149"/>
      <c r="H83" s="150"/>
      <c r="P83" s="150"/>
    </row>
    <row r="84" ht="15.75" customHeight="1">
      <c r="A84" s="149"/>
      <c r="D84" s="149"/>
      <c r="H84" s="150"/>
      <c r="P84" s="150"/>
    </row>
    <row r="85" ht="15.75" customHeight="1">
      <c r="A85" s="149"/>
      <c r="D85" s="149"/>
      <c r="H85" s="150"/>
      <c r="P85" s="150"/>
    </row>
    <row r="86" ht="15.75" customHeight="1">
      <c r="A86" s="149"/>
      <c r="D86" s="149"/>
      <c r="H86" s="150"/>
      <c r="P86" s="150"/>
    </row>
    <row r="87" ht="15.75" customHeight="1">
      <c r="A87" s="149"/>
      <c r="D87" s="149"/>
      <c r="H87" s="150"/>
      <c r="P87" s="150"/>
    </row>
    <row r="88" ht="15.75" customHeight="1">
      <c r="A88" s="149"/>
      <c r="D88" s="149"/>
      <c r="H88" s="150"/>
      <c r="P88" s="150"/>
    </row>
    <row r="89" ht="15.75" customHeight="1">
      <c r="A89" s="149"/>
      <c r="D89" s="149"/>
      <c r="H89" s="150"/>
      <c r="P89" s="150"/>
    </row>
    <row r="90" ht="15.75" customHeight="1">
      <c r="A90" s="149"/>
      <c r="D90" s="149"/>
      <c r="H90" s="150"/>
      <c r="P90" s="150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</sheetData>
  <autoFilter ref="$A$2:$P$73">
    <sortState ref="A2:P73">
      <sortCondition ref="D2:D73"/>
    </sortState>
  </autoFilter>
  <mergeCells count="8">
    <mergeCell ref="A1:P1"/>
    <mergeCell ref="I69:J69"/>
    <mergeCell ref="I70:J70"/>
    <mergeCell ref="O70:P70"/>
    <mergeCell ref="A71:B71"/>
    <mergeCell ref="I71:J71"/>
    <mergeCell ref="K72:L72"/>
    <mergeCell ref="K73:L73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43"/>
    <col customWidth="1" min="8" max="8" width="9.57"/>
    <col customWidth="1" min="9" max="9" width="3.29"/>
    <col customWidth="1" min="10" max="10" width="6.43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9.14"/>
    <col customWidth="1" min="17" max="26" width="8.71"/>
  </cols>
  <sheetData>
    <row r="1">
      <c r="A1" s="8" t="s">
        <v>0</v>
      </c>
      <c r="B1" s="2" t="s">
        <v>2</v>
      </c>
      <c r="C1" s="2" t="s">
        <v>1216</v>
      </c>
      <c r="D1" s="2" t="s">
        <v>5</v>
      </c>
      <c r="E1" s="2" t="s">
        <v>6</v>
      </c>
      <c r="F1" s="2" t="s">
        <v>17</v>
      </c>
      <c r="G1" s="2" t="s">
        <v>8</v>
      </c>
      <c r="H1" s="2" t="s">
        <v>20</v>
      </c>
      <c r="I1" s="2" t="s">
        <v>21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18</v>
      </c>
      <c r="P1" s="2" t="s">
        <v>22</v>
      </c>
    </row>
    <row r="2" ht="11.25" customHeight="1">
      <c r="A2" s="12">
        <f t="shared" ref="A2:A65" si="1">IF(D2="","",SUBTOTAL(3,$D$2:D2))</f>
        <v>1</v>
      </c>
      <c r="B2" s="15" t="s">
        <v>24</v>
      </c>
      <c r="C2" s="15" t="s">
        <v>122</v>
      </c>
      <c r="D2" s="19" t="s">
        <v>553</v>
      </c>
      <c r="E2" s="106" t="s">
        <v>487</v>
      </c>
      <c r="F2" s="106" t="s">
        <v>554</v>
      </c>
      <c r="G2" s="106" t="s">
        <v>36</v>
      </c>
      <c r="H2" s="118">
        <v>46025.0</v>
      </c>
      <c r="I2" s="12">
        <v>0.0</v>
      </c>
      <c r="J2" s="106" t="s">
        <v>38</v>
      </c>
      <c r="K2" s="210">
        <v>100000.0</v>
      </c>
      <c r="L2" s="210">
        <v>0.0</v>
      </c>
      <c r="M2" s="210">
        <v>0.0</v>
      </c>
      <c r="N2" s="210">
        <v>0.0</v>
      </c>
      <c r="O2" s="210">
        <v>0.0</v>
      </c>
      <c r="P2" s="118"/>
    </row>
    <row r="3" ht="11.25" customHeight="1">
      <c r="A3" s="12">
        <f t="shared" si="1"/>
        <v>2</v>
      </c>
      <c r="B3" s="15" t="s">
        <v>24</v>
      </c>
      <c r="C3" s="15" t="s">
        <v>122</v>
      </c>
      <c r="D3" s="19" t="s">
        <v>550</v>
      </c>
      <c r="E3" s="25" t="s">
        <v>60</v>
      </c>
      <c r="F3" s="25" t="s">
        <v>551</v>
      </c>
      <c r="G3" s="25" t="s">
        <v>36</v>
      </c>
      <c r="H3" s="118">
        <v>46027.0</v>
      </c>
      <c r="I3" s="15">
        <v>5.0</v>
      </c>
      <c r="J3" s="25" t="s">
        <v>38</v>
      </c>
      <c r="K3" s="28">
        <v>0.0</v>
      </c>
      <c r="L3" s="28">
        <v>400000.0</v>
      </c>
      <c r="M3" s="28">
        <v>0.0</v>
      </c>
      <c r="N3" s="76">
        <v>0.0</v>
      </c>
      <c r="O3" s="77">
        <v>0.0</v>
      </c>
      <c r="P3" s="118"/>
    </row>
    <row r="4" ht="11.25" customHeight="1">
      <c r="A4" s="12">
        <f t="shared" si="1"/>
        <v>3</v>
      </c>
      <c r="B4" s="15" t="s">
        <v>24</v>
      </c>
      <c r="C4" s="12" t="s">
        <v>211</v>
      </c>
      <c r="D4" s="19" t="s">
        <v>556</v>
      </c>
      <c r="E4" s="106" t="s">
        <v>84</v>
      </c>
      <c r="F4" s="106" t="s">
        <v>329</v>
      </c>
      <c r="G4" s="106" t="s">
        <v>37</v>
      </c>
      <c r="H4" s="118">
        <v>46028.0</v>
      </c>
      <c r="I4" s="12">
        <v>0.0</v>
      </c>
      <c r="J4" s="106" t="s">
        <v>38</v>
      </c>
      <c r="K4" s="210">
        <v>0.0</v>
      </c>
      <c r="L4" s="210">
        <v>30000.0</v>
      </c>
      <c r="M4" s="210">
        <v>0.0</v>
      </c>
      <c r="N4" s="210">
        <v>0.0</v>
      </c>
      <c r="O4" s="210">
        <v>0.0</v>
      </c>
      <c r="P4" s="118"/>
    </row>
    <row r="5" ht="11.25" customHeight="1">
      <c r="A5" s="12">
        <f t="shared" si="1"/>
        <v>4</v>
      </c>
      <c r="B5" s="15" t="s">
        <v>24</v>
      </c>
      <c r="C5" s="15" t="s">
        <v>122</v>
      </c>
      <c r="D5" s="19" t="s">
        <v>1478</v>
      </c>
      <c r="E5" s="25" t="s">
        <v>60</v>
      </c>
      <c r="F5" s="25" t="s">
        <v>551</v>
      </c>
      <c r="G5" s="25" t="s">
        <v>36</v>
      </c>
      <c r="H5" s="118">
        <v>46028.0</v>
      </c>
      <c r="I5" s="15">
        <v>0.0</v>
      </c>
      <c r="J5" s="25" t="s">
        <v>38</v>
      </c>
      <c r="K5" s="28">
        <v>0.0</v>
      </c>
      <c r="L5" s="28">
        <v>0.0</v>
      </c>
      <c r="M5" s="76">
        <v>1600000.0</v>
      </c>
      <c r="N5" s="76">
        <v>0.0</v>
      </c>
      <c r="O5" s="77">
        <v>0.0</v>
      </c>
      <c r="P5" s="118">
        <v>46033.0</v>
      </c>
    </row>
    <row r="6" ht="11.25" customHeight="1">
      <c r="A6" s="12">
        <f t="shared" si="1"/>
        <v>5</v>
      </c>
      <c r="B6" s="15" t="s">
        <v>24</v>
      </c>
      <c r="C6" s="12" t="s">
        <v>211</v>
      </c>
      <c r="D6" s="19" t="s">
        <v>560</v>
      </c>
      <c r="E6" s="127" t="s">
        <v>84</v>
      </c>
      <c r="F6" s="106" t="s">
        <v>408</v>
      </c>
      <c r="G6" s="106" t="s">
        <v>36</v>
      </c>
      <c r="H6" s="118">
        <v>46028.0</v>
      </c>
      <c r="I6" s="12">
        <v>0.0</v>
      </c>
      <c r="J6" s="106" t="s">
        <v>38</v>
      </c>
      <c r="K6" s="210">
        <v>50000.0</v>
      </c>
      <c r="L6" s="210">
        <v>0.0</v>
      </c>
      <c r="M6" s="210">
        <v>0.0</v>
      </c>
      <c r="N6" s="210">
        <v>0.0</v>
      </c>
      <c r="O6" s="210">
        <v>0.0</v>
      </c>
      <c r="P6" s="118"/>
    </row>
    <row r="7" ht="11.25" customHeight="1">
      <c r="A7" s="12">
        <f t="shared" si="1"/>
        <v>6</v>
      </c>
      <c r="B7" s="15" t="s">
        <v>24</v>
      </c>
      <c r="C7" s="15" t="s">
        <v>122</v>
      </c>
      <c r="D7" s="19" t="s">
        <v>561</v>
      </c>
      <c r="E7" s="25" t="s">
        <v>44</v>
      </c>
      <c r="F7" s="25" t="s">
        <v>45</v>
      </c>
      <c r="G7" s="25" t="s">
        <v>36</v>
      </c>
      <c r="H7" s="118">
        <v>46032.0</v>
      </c>
      <c r="I7" s="15">
        <v>0.0</v>
      </c>
      <c r="J7" s="106" t="s">
        <v>57</v>
      </c>
      <c r="K7" s="28">
        <v>8000.0</v>
      </c>
      <c r="L7" s="210">
        <v>0.0</v>
      </c>
      <c r="M7" s="210">
        <v>0.0</v>
      </c>
      <c r="N7" s="210">
        <v>0.0</v>
      </c>
      <c r="O7" s="210">
        <v>0.0</v>
      </c>
      <c r="P7" s="33"/>
    </row>
    <row r="8" ht="11.25" customHeight="1">
      <c r="A8" s="12">
        <f t="shared" si="1"/>
        <v>7</v>
      </c>
      <c r="B8" s="15" t="s">
        <v>24</v>
      </c>
      <c r="C8" s="12" t="s">
        <v>211</v>
      </c>
      <c r="D8" s="19" t="s">
        <v>565</v>
      </c>
      <c r="E8" s="25" t="s">
        <v>208</v>
      </c>
      <c r="F8" s="25" t="s">
        <v>394</v>
      </c>
      <c r="G8" s="25" t="s">
        <v>36</v>
      </c>
      <c r="H8" s="30">
        <v>46033.0</v>
      </c>
      <c r="I8" s="15">
        <v>0.0</v>
      </c>
      <c r="J8" s="25" t="s">
        <v>38</v>
      </c>
      <c r="K8" s="28">
        <v>5000.0</v>
      </c>
      <c r="L8" s="28">
        <v>0.0</v>
      </c>
      <c r="M8" s="28">
        <v>0.0</v>
      </c>
      <c r="N8" s="76">
        <v>0.0</v>
      </c>
      <c r="O8" s="77">
        <v>0.0</v>
      </c>
      <c r="P8" s="218"/>
    </row>
    <row r="9" ht="11.25" customHeight="1">
      <c r="A9" s="12">
        <f t="shared" si="1"/>
        <v>8</v>
      </c>
      <c r="B9" s="15" t="s">
        <v>24</v>
      </c>
      <c r="C9" s="12" t="s">
        <v>211</v>
      </c>
      <c r="D9" s="19" t="s">
        <v>566</v>
      </c>
      <c r="E9" s="106" t="s">
        <v>27</v>
      </c>
      <c r="F9" s="25" t="s">
        <v>69</v>
      </c>
      <c r="G9" s="106" t="s">
        <v>36</v>
      </c>
      <c r="H9" s="30">
        <v>46034.0</v>
      </c>
      <c r="I9" s="15">
        <v>0.0</v>
      </c>
      <c r="J9" s="106" t="s">
        <v>57</v>
      </c>
      <c r="K9" s="28">
        <v>0.0</v>
      </c>
      <c r="L9" s="28">
        <v>17000.0</v>
      </c>
      <c r="M9" s="210">
        <v>0.0</v>
      </c>
      <c r="N9" s="210">
        <v>0.0</v>
      </c>
      <c r="O9" s="210">
        <v>0.0</v>
      </c>
      <c r="P9" s="118"/>
    </row>
    <row r="10" ht="11.25" customHeight="1">
      <c r="A10" s="12">
        <f t="shared" si="1"/>
        <v>9</v>
      </c>
      <c r="B10" s="15" t="s">
        <v>24</v>
      </c>
      <c r="C10" s="12"/>
      <c r="D10" s="289" t="s">
        <v>203</v>
      </c>
      <c r="E10" s="106"/>
      <c r="F10" s="106" t="s">
        <v>79</v>
      </c>
      <c r="G10" s="106" t="s">
        <v>34</v>
      </c>
      <c r="H10" s="118">
        <v>46034.0</v>
      </c>
      <c r="I10" s="12">
        <v>0.0</v>
      </c>
      <c r="J10" s="106" t="s">
        <v>57</v>
      </c>
      <c r="K10" s="210">
        <v>0.0</v>
      </c>
      <c r="L10" s="210">
        <v>50000.0</v>
      </c>
      <c r="M10" s="210">
        <v>0.0</v>
      </c>
      <c r="N10" s="210">
        <v>0.0</v>
      </c>
      <c r="O10" s="210">
        <v>0.0</v>
      </c>
      <c r="P10" s="118"/>
    </row>
    <row r="11" ht="11.25" customHeight="1">
      <c r="A11" s="12">
        <f t="shared" si="1"/>
        <v>10</v>
      </c>
      <c r="B11" s="15" t="s">
        <v>24</v>
      </c>
      <c r="C11" s="12" t="s">
        <v>211</v>
      </c>
      <c r="D11" s="19" t="s">
        <v>568</v>
      </c>
      <c r="E11" s="106" t="s">
        <v>221</v>
      </c>
      <c r="F11" s="106" t="s">
        <v>181</v>
      </c>
      <c r="G11" s="106" t="s">
        <v>36</v>
      </c>
      <c r="H11" s="118">
        <v>46036.0</v>
      </c>
      <c r="I11" s="12">
        <v>0.0</v>
      </c>
      <c r="J11" s="106" t="s">
        <v>57</v>
      </c>
      <c r="K11" s="210">
        <v>0.0</v>
      </c>
      <c r="L11" s="210">
        <v>7000.0</v>
      </c>
      <c r="M11" s="210">
        <v>0.0</v>
      </c>
      <c r="N11" s="210">
        <v>0.0</v>
      </c>
      <c r="O11" s="210">
        <v>0.0</v>
      </c>
      <c r="P11" s="33"/>
    </row>
    <row r="12" ht="11.25" customHeight="1">
      <c r="A12" s="12">
        <f t="shared" si="1"/>
        <v>11</v>
      </c>
      <c r="B12" s="15" t="s">
        <v>24</v>
      </c>
      <c r="C12" s="12" t="s">
        <v>211</v>
      </c>
      <c r="D12" s="19" t="s">
        <v>569</v>
      </c>
      <c r="E12" s="25" t="s">
        <v>51</v>
      </c>
      <c r="F12" s="25" t="s">
        <v>428</v>
      </c>
      <c r="G12" s="106" t="s">
        <v>36</v>
      </c>
      <c r="H12" s="118">
        <v>46036.0</v>
      </c>
      <c r="I12" s="15">
        <v>0.0</v>
      </c>
      <c r="J12" s="106" t="s">
        <v>38</v>
      </c>
      <c r="K12" s="28">
        <v>90000.0</v>
      </c>
      <c r="L12" s="281">
        <v>0.0</v>
      </c>
      <c r="M12" s="281">
        <v>0.0</v>
      </c>
      <c r="N12" s="281">
        <v>0.0</v>
      </c>
      <c r="O12" s="281">
        <v>0.0</v>
      </c>
      <c r="P12" s="33"/>
    </row>
    <row r="13" ht="11.25" customHeight="1">
      <c r="A13" s="12">
        <f t="shared" si="1"/>
        <v>12</v>
      </c>
      <c r="B13" s="15" t="s">
        <v>24</v>
      </c>
      <c r="C13" s="12"/>
      <c r="D13" s="19" t="s">
        <v>570</v>
      </c>
      <c r="E13" s="106"/>
      <c r="F13" s="106" t="s">
        <v>336</v>
      </c>
      <c r="G13" s="106" t="s">
        <v>36</v>
      </c>
      <c r="H13" s="118">
        <v>46036.0</v>
      </c>
      <c r="I13" s="12">
        <v>0.0</v>
      </c>
      <c r="J13" s="106" t="s">
        <v>57</v>
      </c>
      <c r="K13" s="210">
        <v>0.0</v>
      </c>
      <c r="L13" s="210">
        <v>16000.0</v>
      </c>
      <c r="M13" s="210">
        <v>0.0</v>
      </c>
      <c r="N13" s="210">
        <v>0.0</v>
      </c>
      <c r="O13" s="210">
        <v>0.0</v>
      </c>
      <c r="P13" s="33"/>
    </row>
    <row r="14" ht="11.25" customHeight="1">
      <c r="A14" s="12">
        <f t="shared" si="1"/>
        <v>13</v>
      </c>
      <c r="B14" s="15" t="s">
        <v>24</v>
      </c>
      <c r="C14" s="15"/>
      <c r="D14" s="289" t="s">
        <v>205</v>
      </c>
      <c r="E14" s="106"/>
      <c r="F14" s="106" t="s">
        <v>32</v>
      </c>
      <c r="G14" s="106" t="s">
        <v>34</v>
      </c>
      <c r="H14" s="118">
        <v>46037.0</v>
      </c>
      <c r="I14" s="12">
        <v>0.0</v>
      </c>
      <c r="J14" s="106" t="s">
        <v>57</v>
      </c>
      <c r="K14" s="210">
        <v>0.0</v>
      </c>
      <c r="L14" s="210">
        <v>50000.0</v>
      </c>
      <c r="M14" s="210">
        <v>0.0</v>
      </c>
      <c r="N14" s="210">
        <v>0.0</v>
      </c>
      <c r="O14" s="210">
        <v>0.0</v>
      </c>
      <c r="P14" s="118"/>
    </row>
    <row r="15" ht="11.25" customHeight="1">
      <c r="A15" s="12">
        <f t="shared" si="1"/>
        <v>14</v>
      </c>
      <c r="B15" s="15" t="s">
        <v>24</v>
      </c>
      <c r="C15" s="15" t="s">
        <v>122</v>
      </c>
      <c r="D15" s="19" t="s">
        <v>574</v>
      </c>
      <c r="E15" s="106" t="s">
        <v>191</v>
      </c>
      <c r="F15" s="106" t="s">
        <v>193</v>
      </c>
      <c r="G15" s="106" t="s">
        <v>36</v>
      </c>
      <c r="H15" s="118">
        <v>46037.0</v>
      </c>
      <c r="I15" s="12">
        <v>0.0</v>
      </c>
      <c r="J15" s="106" t="s">
        <v>38</v>
      </c>
      <c r="K15" s="210">
        <v>0.0</v>
      </c>
      <c r="L15" s="210">
        <v>700000.0</v>
      </c>
      <c r="M15" s="210">
        <v>0.0</v>
      </c>
      <c r="N15" s="210">
        <v>0.0</v>
      </c>
      <c r="O15" s="210">
        <v>0.0</v>
      </c>
      <c r="P15" s="33"/>
    </row>
    <row r="16" ht="11.25" customHeight="1">
      <c r="A16" s="12">
        <f t="shared" si="1"/>
        <v>15</v>
      </c>
      <c r="B16" s="15" t="s">
        <v>24</v>
      </c>
      <c r="C16" s="12" t="s">
        <v>211</v>
      </c>
      <c r="D16" s="19" t="s">
        <v>576</v>
      </c>
      <c r="E16" s="25" t="s">
        <v>27</v>
      </c>
      <c r="F16" s="25" t="s">
        <v>577</v>
      </c>
      <c r="G16" s="106" t="s">
        <v>36</v>
      </c>
      <c r="H16" s="118">
        <v>46037.0</v>
      </c>
      <c r="I16" s="15">
        <v>2.0</v>
      </c>
      <c r="J16" s="106" t="s">
        <v>38</v>
      </c>
      <c r="K16" s="28">
        <v>10000.0</v>
      </c>
      <c r="L16" s="281">
        <v>0.0</v>
      </c>
      <c r="M16" s="281">
        <v>0.0</v>
      </c>
      <c r="N16" s="281">
        <v>0.0</v>
      </c>
      <c r="O16" s="281">
        <v>0.0</v>
      </c>
      <c r="P16" s="33"/>
    </row>
    <row r="17" ht="11.25" customHeight="1">
      <c r="A17" s="12">
        <f t="shared" si="1"/>
        <v>16</v>
      </c>
      <c r="B17" s="15" t="s">
        <v>24</v>
      </c>
      <c r="C17" s="12" t="s">
        <v>211</v>
      </c>
      <c r="D17" s="19" t="s">
        <v>578</v>
      </c>
      <c r="E17" s="25" t="s">
        <v>51</v>
      </c>
      <c r="F17" s="25" t="s">
        <v>449</v>
      </c>
      <c r="G17" s="106" t="s">
        <v>36</v>
      </c>
      <c r="H17" s="118">
        <v>46037.0</v>
      </c>
      <c r="I17" s="15">
        <v>1.0</v>
      </c>
      <c r="J17" s="106" t="s">
        <v>38</v>
      </c>
      <c r="K17" s="28">
        <v>50000.0</v>
      </c>
      <c r="L17" s="281">
        <v>0.0</v>
      </c>
      <c r="M17" s="281">
        <v>0.0</v>
      </c>
      <c r="N17" s="281">
        <v>0.0</v>
      </c>
      <c r="O17" s="281">
        <v>0.0</v>
      </c>
      <c r="P17" s="33"/>
    </row>
    <row r="18" ht="11.25" customHeight="1">
      <c r="A18" s="12">
        <f t="shared" si="1"/>
        <v>17</v>
      </c>
      <c r="B18" s="15" t="s">
        <v>24</v>
      </c>
      <c r="C18" s="12" t="s">
        <v>211</v>
      </c>
      <c r="D18" s="19" t="s">
        <v>580</v>
      </c>
      <c r="E18" s="25" t="s">
        <v>27</v>
      </c>
      <c r="F18" s="25" t="s">
        <v>577</v>
      </c>
      <c r="G18" s="106" t="s">
        <v>37</v>
      </c>
      <c r="H18" s="118">
        <v>46037.0</v>
      </c>
      <c r="I18" s="15">
        <v>2.0</v>
      </c>
      <c r="J18" s="106" t="s">
        <v>38</v>
      </c>
      <c r="K18" s="28">
        <v>5000.0</v>
      </c>
      <c r="L18" s="281">
        <v>0.0</v>
      </c>
      <c r="M18" s="281">
        <v>0.0</v>
      </c>
      <c r="N18" s="281">
        <v>0.0</v>
      </c>
      <c r="O18" s="281">
        <v>0.0</v>
      </c>
      <c r="P18" s="33"/>
    </row>
    <row r="19" ht="11.25" customHeight="1">
      <c r="A19" s="12">
        <f t="shared" si="1"/>
        <v>18</v>
      </c>
      <c r="B19" s="15" t="s">
        <v>24</v>
      </c>
      <c r="C19" s="15" t="s">
        <v>122</v>
      </c>
      <c r="D19" s="19" t="s">
        <v>581</v>
      </c>
      <c r="E19" s="25" t="s">
        <v>377</v>
      </c>
      <c r="F19" s="25" t="s">
        <v>582</v>
      </c>
      <c r="G19" s="106" t="s">
        <v>36</v>
      </c>
      <c r="H19" s="118">
        <v>46037.0</v>
      </c>
      <c r="I19" s="15">
        <v>1.0</v>
      </c>
      <c r="J19" s="106" t="s">
        <v>38</v>
      </c>
      <c r="K19" s="28">
        <v>0.0</v>
      </c>
      <c r="L19" s="28">
        <v>0.0</v>
      </c>
      <c r="M19" s="28">
        <v>50000.0</v>
      </c>
      <c r="N19" s="76">
        <v>0.0</v>
      </c>
      <c r="O19" s="77">
        <v>0.0</v>
      </c>
      <c r="P19" s="33">
        <v>46037.0</v>
      </c>
    </row>
    <row r="20" ht="11.25" customHeight="1">
      <c r="A20" s="12">
        <f t="shared" si="1"/>
        <v>19</v>
      </c>
      <c r="B20" s="15" t="s">
        <v>24</v>
      </c>
      <c r="C20" s="15" t="s">
        <v>122</v>
      </c>
      <c r="D20" s="19" t="s">
        <v>585</v>
      </c>
      <c r="E20" s="25" t="s">
        <v>377</v>
      </c>
      <c r="F20" s="25" t="s">
        <v>586</v>
      </c>
      <c r="G20" s="106" t="s">
        <v>36</v>
      </c>
      <c r="H20" s="118">
        <v>46037.0</v>
      </c>
      <c r="I20" s="15">
        <v>1.0</v>
      </c>
      <c r="J20" s="106" t="s">
        <v>38</v>
      </c>
      <c r="K20" s="28">
        <v>0.0</v>
      </c>
      <c r="L20" s="28">
        <v>0.0</v>
      </c>
      <c r="M20" s="28">
        <v>50000.0</v>
      </c>
      <c r="N20" s="76">
        <v>0.0</v>
      </c>
      <c r="O20" s="77">
        <v>0.0</v>
      </c>
      <c r="P20" s="33">
        <v>46037.0</v>
      </c>
    </row>
    <row r="21" ht="11.25" customHeight="1">
      <c r="A21" s="12">
        <f t="shared" si="1"/>
        <v>20</v>
      </c>
      <c r="B21" s="15" t="s">
        <v>24</v>
      </c>
      <c r="C21" s="15" t="s">
        <v>122</v>
      </c>
      <c r="D21" s="19" t="s">
        <v>588</v>
      </c>
      <c r="E21" s="25" t="s">
        <v>377</v>
      </c>
      <c r="F21" s="25" t="s">
        <v>586</v>
      </c>
      <c r="G21" s="106" t="s">
        <v>36</v>
      </c>
      <c r="H21" s="118">
        <v>46037.0</v>
      </c>
      <c r="I21" s="15">
        <v>0.0</v>
      </c>
      <c r="J21" s="106" t="s">
        <v>38</v>
      </c>
      <c r="K21" s="28">
        <v>0.0</v>
      </c>
      <c r="L21" s="28">
        <v>0.0</v>
      </c>
      <c r="M21" s="28">
        <v>0.0</v>
      </c>
      <c r="N21" s="28">
        <v>450000.0</v>
      </c>
      <c r="O21" s="77">
        <v>0.0</v>
      </c>
      <c r="P21" s="33">
        <v>46073.0</v>
      </c>
    </row>
    <row r="22" ht="11.25" customHeight="1">
      <c r="A22" s="12">
        <f t="shared" si="1"/>
        <v>21</v>
      </c>
      <c r="B22" s="15" t="s">
        <v>24</v>
      </c>
      <c r="C22" s="15" t="s">
        <v>122</v>
      </c>
      <c r="D22" s="19" t="s">
        <v>590</v>
      </c>
      <c r="E22" s="25" t="s">
        <v>377</v>
      </c>
      <c r="F22" s="25" t="s">
        <v>582</v>
      </c>
      <c r="G22" s="106" t="s">
        <v>36</v>
      </c>
      <c r="H22" s="118">
        <v>46037.0</v>
      </c>
      <c r="I22" s="15">
        <v>0.0</v>
      </c>
      <c r="J22" s="106" t="s">
        <v>38</v>
      </c>
      <c r="K22" s="28">
        <v>0.0</v>
      </c>
      <c r="L22" s="28">
        <v>0.0</v>
      </c>
      <c r="M22" s="28">
        <v>0.0</v>
      </c>
      <c r="N22" s="28">
        <v>450000.0</v>
      </c>
      <c r="O22" s="77">
        <v>0.0</v>
      </c>
      <c r="P22" s="33">
        <v>46081.0</v>
      </c>
    </row>
    <row r="23" ht="11.25" customHeight="1">
      <c r="A23" s="12">
        <f t="shared" si="1"/>
        <v>22</v>
      </c>
      <c r="B23" s="15" t="s">
        <v>24</v>
      </c>
      <c r="C23" s="15" t="s">
        <v>122</v>
      </c>
      <c r="D23" s="19" t="s">
        <v>592</v>
      </c>
      <c r="E23" s="25" t="s">
        <v>44</v>
      </c>
      <c r="F23" s="25" t="s">
        <v>593</v>
      </c>
      <c r="G23" s="106" t="s">
        <v>36</v>
      </c>
      <c r="H23" s="118">
        <v>46037.0</v>
      </c>
      <c r="I23" s="15">
        <v>1.0</v>
      </c>
      <c r="J23" s="106" t="s">
        <v>38</v>
      </c>
      <c r="K23" s="28">
        <v>10000.0</v>
      </c>
      <c r="L23" s="281">
        <v>0.0</v>
      </c>
      <c r="M23" s="281">
        <v>0.0</v>
      </c>
      <c r="N23" s="281">
        <v>0.0</v>
      </c>
      <c r="O23" s="281">
        <v>0.0</v>
      </c>
      <c r="P23" s="33"/>
    </row>
    <row r="24" ht="11.25" customHeight="1">
      <c r="A24" s="12">
        <f t="shared" si="1"/>
        <v>23</v>
      </c>
      <c r="B24" s="15" t="s">
        <v>24</v>
      </c>
      <c r="C24" s="15" t="s">
        <v>122</v>
      </c>
      <c r="D24" s="19" t="s">
        <v>597</v>
      </c>
      <c r="E24" s="25" t="s">
        <v>44</v>
      </c>
      <c r="F24" s="25" t="s">
        <v>598</v>
      </c>
      <c r="G24" s="106" t="s">
        <v>36</v>
      </c>
      <c r="H24" s="118">
        <v>46037.0</v>
      </c>
      <c r="I24" s="15">
        <v>1.0</v>
      </c>
      <c r="J24" s="106" t="s">
        <v>38</v>
      </c>
      <c r="K24" s="28">
        <v>10000.0</v>
      </c>
      <c r="L24" s="281">
        <v>0.0</v>
      </c>
      <c r="M24" s="281">
        <v>0.0</v>
      </c>
      <c r="N24" s="281">
        <v>0.0</v>
      </c>
      <c r="O24" s="281">
        <v>0.0</v>
      </c>
      <c r="P24" s="33"/>
    </row>
    <row r="25" ht="11.25" customHeight="1">
      <c r="A25" s="12">
        <f t="shared" si="1"/>
        <v>24</v>
      </c>
      <c r="B25" s="15" t="s">
        <v>24</v>
      </c>
      <c r="C25" s="15" t="s">
        <v>122</v>
      </c>
      <c r="D25" s="19" t="s">
        <v>600</v>
      </c>
      <c r="E25" s="25" t="s">
        <v>191</v>
      </c>
      <c r="F25" s="25" t="s">
        <v>316</v>
      </c>
      <c r="G25" s="106" t="s">
        <v>36</v>
      </c>
      <c r="H25" s="118">
        <v>46037.0</v>
      </c>
      <c r="I25" s="15">
        <v>1.0</v>
      </c>
      <c r="J25" s="106" t="s">
        <v>38</v>
      </c>
      <c r="K25" s="28">
        <v>10000.0</v>
      </c>
      <c r="L25" s="281">
        <v>0.0</v>
      </c>
      <c r="M25" s="281">
        <v>0.0</v>
      </c>
      <c r="N25" s="281">
        <v>0.0</v>
      </c>
      <c r="O25" s="281">
        <v>0.0</v>
      </c>
      <c r="P25" s="33"/>
    </row>
    <row r="26" ht="11.25" customHeight="1">
      <c r="A26" s="12">
        <f t="shared" si="1"/>
        <v>25</v>
      </c>
      <c r="B26" s="15" t="s">
        <v>24</v>
      </c>
      <c r="C26" s="12" t="s">
        <v>211</v>
      </c>
      <c r="D26" s="19" t="s">
        <v>601</v>
      </c>
      <c r="E26" s="25" t="s">
        <v>51</v>
      </c>
      <c r="F26" s="25" t="s">
        <v>259</v>
      </c>
      <c r="G26" s="106" t="s">
        <v>36</v>
      </c>
      <c r="H26" s="118">
        <v>46039.0</v>
      </c>
      <c r="I26" s="15">
        <v>1.0</v>
      </c>
      <c r="J26" s="106" t="s">
        <v>38</v>
      </c>
      <c r="K26" s="28">
        <v>50000.0</v>
      </c>
      <c r="L26" s="281">
        <v>0.0</v>
      </c>
      <c r="M26" s="281">
        <v>0.0</v>
      </c>
      <c r="N26" s="281">
        <v>0.0</v>
      </c>
      <c r="O26" s="281">
        <v>0.0</v>
      </c>
      <c r="P26" s="118"/>
    </row>
    <row r="27" ht="11.25" customHeight="1">
      <c r="A27" s="12">
        <f t="shared" si="1"/>
        <v>26</v>
      </c>
      <c r="B27" s="15" t="s">
        <v>24</v>
      </c>
      <c r="C27" s="15" t="s">
        <v>122</v>
      </c>
      <c r="D27" s="19" t="s">
        <v>603</v>
      </c>
      <c r="E27" s="25" t="s">
        <v>44</v>
      </c>
      <c r="F27" s="25" t="s">
        <v>598</v>
      </c>
      <c r="G27" s="106" t="s">
        <v>36</v>
      </c>
      <c r="H27" s="118">
        <v>46040.0</v>
      </c>
      <c r="I27" s="15">
        <v>0.0</v>
      </c>
      <c r="J27" s="106" t="s">
        <v>38</v>
      </c>
      <c r="K27" s="28">
        <v>0.0</v>
      </c>
      <c r="L27" s="281">
        <v>0.0</v>
      </c>
      <c r="M27" s="28">
        <v>390000.0</v>
      </c>
      <c r="N27" s="281">
        <v>0.0</v>
      </c>
      <c r="O27" s="281">
        <v>0.0</v>
      </c>
      <c r="P27" s="118">
        <v>46040.0</v>
      </c>
    </row>
    <row r="28" ht="11.25" customHeight="1">
      <c r="A28" s="12">
        <f t="shared" si="1"/>
        <v>27</v>
      </c>
      <c r="B28" s="15" t="s">
        <v>24</v>
      </c>
      <c r="C28" s="15" t="s">
        <v>122</v>
      </c>
      <c r="D28" s="19" t="s">
        <v>607</v>
      </c>
      <c r="E28" s="25" t="s">
        <v>44</v>
      </c>
      <c r="F28" s="25" t="s">
        <v>593</v>
      </c>
      <c r="G28" s="106" t="s">
        <v>36</v>
      </c>
      <c r="H28" s="118">
        <v>46040.0</v>
      </c>
      <c r="I28" s="15">
        <v>0.0</v>
      </c>
      <c r="J28" s="106" t="s">
        <v>38</v>
      </c>
      <c r="K28" s="28">
        <v>0.0</v>
      </c>
      <c r="L28" s="281">
        <v>0.0</v>
      </c>
      <c r="M28" s="28">
        <v>0.0</v>
      </c>
      <c r="N28" s="28">
        <v>390000.0</v>
      </c>
      <c r="O28" s="281">
        <v>0.0</v>
      </c>
      <c r="P28" s="33">
        <v>46051.0</v>
      </c>
    </row>
    <row r="29" ht="11.25" customHeight="1">
      <c r="A29" s="12">
        <f t="shared" si="1"/>
        <v>28</v>
      </c>
      <c r="B29" s="15" t="s">
        <v>24</v>
      </c>
      <c r="C29" s="12" t="s">
        <v>122</v>
      </c>
      <c r="D29" s="19" t="s">
        <v>610</v>
      </c>
      <c r="E29" s="25" t="s">
        <v>303</v>
      </c>
      <c r="F29" s="25" t="s">
        <v>526</v>
      </c>
      <c r="G29" s="106" t="s">
        <v>36</v>
      </c>
      <c r="H29" s="118">
        <v>46042.0</v>
      </c>
      <c r="I29" s="15">
        <v>0.0</v>
      </c>
      <c r="J29" s="106" t="s">
        <v>38</v>
      </c>
      <c r="K29" s="28">
        <v>100000.0</v>
      </c>
      <c r="L29" s="28">
        <v>0.0</v>
      </c>
      <c r="M29" s="28">
        <v>0.0</v>
      </c>
      <c r="N29" s="28">
        <v>0.0</v>
      </c>
      <c r="O29" s="28">
        <v>0.0</v>
      </c>
      <c r="P29" s="33"/>
    </row>
    <row r="30" ht="11.25" customHeight="1">
      <c r="A30" s="12">
        <f t="shared" si="1"/>
        <v>29</v>
      </c>
      <c r="B30" s="15" t="s">
        <v>24</v>
      </c>
      <c r="C30" s="12" t="s">
        <v>122</v>
      </c>
      <c r="D30" s="19" t="s">
        <v>612</v>
      </c>
      <c r="E30" s="25" t="s">
        <v>303</v>
      </c>
      <c r="F30" s="25" t="s">
        <v>533</v>
      </c>
      <c r="G30" s="106" t="s">
        <v>36</v>
      </c>
      <c r="H30" s="118">
        <v>46042.0</v>
      </c>
      <c r="I30" s="15">
        <v>0.0</v>
      </c>
      <c r="J30" s="106" t="s">
        <v>38</v>
      </c>
      <c r="K30" s="28">
        <v>100000.0</v>
      </c>
      <c r="L30" s="28">
        <v>0.0</v>
      </c>
      <c r="M30" s="28">
        <v>0.0</v>
      </c>
      <c r="N30" s="28">
        <v>0.0</v>
      </c>
      <c r="O30" s="28">
        <v>0.0</v>
      </c>
      <c r="P30" s="33"/>
    </row>
    <row r="31" ht="11.25" customHeight="1">
      <c r="A31" s="12">
        <f t="shared" si="1"/>
        <v>30</v>
      </c>
      <c r="B31" s="15" t="s">
        <v>24</v>
      </c>
      <c r="C31" s="12" t="s">
        <v>211</v>
      </c>
      <c r="D31" s="19" t="s">
        <v>620</v>
      </c>
      <c r="E31" s="25" t="s">
        <v>51</v>
      </c>
      <c r="F31" s="25" t="s">
        <v>449</v>
      </c>
      <c r="G31" s="106" t="s">
        <v>36</v>
      </c>
      <c r="H31" s="118">
        <v>46043.0</v>
      </c>
      <c r="I31" s="15">
        <v>0.0</v>
      </c>
      <c r="J31" s="106" t="s">
        <v>38</v>
      </c>
      <c r="K31" s="28">
        <v>150000.0</v>
      </c>
      <c r="L31" s="281">
        <v>0.0</v>
      </c>
      <c r="M31" s="281">
        <v>0.0</v>
      </c>
      <c r="N31" s="281">
        <v>0.0</v>
      </c>
      <c r="O31" s="281">
        <v>0.0</v>
      </c>
      <c r="P31" s="118"/>
    </row>
    <row r="32" ht="11.25" customHeight="1">
      <c r="A32" s="12">
        <f t="shared" si="1"/>
        <v>31</v>
      </c>
      <c r="B32" s="15" t="s">
        <v>24</v>
      </c>
      <c r="C32" s="12" t="s">
        <v>122</v>
      </c>
      <c r="D32" s="19" t="s">
        <v>621</v>
      </c>
      <c r="E32" s="106" t="s">
        <v>60</v>
      </c>
      <c r="F32" s="106" t="s">
        <v>161</v>
      </c>
      <c r="G32" s="106" t="s">
        <v>36</v>
      </c>
      <c r="H32" s="118">
        <v>46043.0</v>
      </c>
      <c r="I32" s="12">
        <v>0.0</v>
      </c>
      <c r="J32" s="106" t="s">
        <v>57</v>
      </c>
      <c r="K32" s="210">
        <v>7300.0</v>
      </c>
      <c r="L32" s="210">
        <v>0.0</v>
      </c>
      <c r="M32" s="210">
        <v>0.0</v>
      </c>
      <c r="N32" s="210">
        <v>0.0</v>
      </c>
      <c r="O32" s="210">
        <v>0.0</v>
      </c>
      <c r="P32" s="118"/>
    </row>
    <row r="33" ht="11.25" customHeight="1">
      <c r="A33" s="12">
        <f t="shared" si="1"/>
        <v>32</v>
      </c>
      <c r="B33" s="15" t="s">
        <v>24</v>
      </c>
      <c r="C33" s="12" t="s">
        <v>211</v>
      </c>
      <c r="D33" s="19" t="s">
        <v>1479</v>
      </c>
      <c r="E33" s="25" t="s">
        <v>40</v>
      </c>
      <c r="F33" s="25" t="s">
        <v>627</v>
      </c>
      <c r="G33" s="106" t="s">
        <v>36</v>
      </c>
      <c r="H33" s="118">
        <v>46043.0</v>
      </c>
      <c r="I33" s="15">
        <v>5.0</v>
      </c>
      <c r="J33" s="106" t="s">
        <v>38</v>
      </c>
      <c r="K33" s="28">
        <v>5000.0</v>
      </c>
      <c r="L33" s="210">
        <v>0.0</v>
      </c>
      <c r="M33" s="210">
        <v>0.0</v>
      </c>
      <c r="N33" s="210">
        <v>0.0</v>
      </c>
      <c r="O33" s="210">
        <v>0.0</v>
      </c>
      <c r="P33" s="33"/>
    </row>
    <row r="34" ht="11.25" customHeight="1">
      <c r="A34" s="12">
        <f t="shared" si="1"/>
        <v>33</v>
      </c>
      <c r="B34" s="15" t="s">
        <v>24</v>
      </c>
      <c r="C34" s="12" t="s">
        <v>122</v>
      </c>
      <c r="D34" s="19" t="s">
        <v>623</v>
      </c>
      <c r="E34" s="25" t="s">
        <v>180</v>
      </c>
      <c r="F34" s="25" t="s">
        <v>288</v>
      </c>
      <c r="G34" s="106" t="s">
        <v>36</v>
      </c>
      <c r="H34" s="118">
        <v>46044.0</v>
      </c>
      <c r="I34" s="15">
        <v>1.0</v>
      </c>
      <c r="J34" s="25" t="s">
        <v>38</v>
      </c>
      <c r="K34" s="28">
        <v>2000.0</v>
      </c>
      <c r="L34" s="210">
        <v>0.0</v>
      </c>
      <c r="M34" s="210">
        <v>0.0</v>
      </c>
      <c r="N34" s="210">
        <v>0.0</v>
      </c>
      <c r="O34" s="210">
        <v>0.0</v>
      </c>
      <c r="P34" s="33"/>
    </row>
    <row r="35" ht="11.25" customHeight="1">
      <c r="A35" s="12">
        <f t="shared" si="1"/>
        <v>34</v>
      </c>
      <c r="B35" s="15" t="s">
        <v>24</v>
      </c>
      <c r="C35" s="12" t="s">
        <v>211</v>
      </c>
      <c r="D35" s="19" t="s">
        <v>626</v>
      </c>
      <c r="E35" s="25" t="s">
        <v>40</v>
      </c>
      <c r="F35" s="25" t="s">
        <v>627</v>
      </c>
      <c r="G35" s="106" t="s">
        <v>36</v>
      </c>
      <c r="H35" s="118">
        <v>46044.0</v>
      </c>
      <c r="I35" s="15">
        <v>0.0</v>
      </c>
      <c r="J35" s="106" t="s">
        <v>38</v>
      </c>
      <c r="K35" s="28">
        <v>0.0</v>
      </c>
      <c r="L35" s="210">
        <v>100000.0</v>
      </c>
      <c r="M35" s="210">
        <v>0.0</v>
      </c>
      <c r="N35" s="210">
        <v>0.0</v>
      </c>
      <c r="O35" s="210">
        <v>0.0</v>
      </c>
      <c r="P35" s="33"/>
    </row>
    <row r="36" ht="11.25" customHeight="1">
      <c r="A36" s="12">
        <f t="shared" si="1"/>
        <v>35</v>
      </c>
      <c r="B36" s="15" t="s">
        <v>24</v>
      </c>
      <c r="C36" s="12" t="s">
        <v>211</v>
      </c>
      <c r="D36" s="19" t="s">
        <v>628</v>
      </c>
      <c r="E36" s="25" t="s">
        <v>40</v>
      </c>
      <c r="F36" s="25" t="s">
        <v>627</v>
      </c>
      <c r="G36" s="106" t="s">
        <v>36</v>
      </c>
      <c r="H36" s="118">
        <v>46044.0</v>
      </c>
      <c r="I36" s="15">
        <v>0.0</v>
      </c>
      <c r="J36" s="106" t="s">
        <v>38</v>
      </c>
      <c r="K36" s="28">
        <v>45000.0</v>
      </c>
      <c r="L36" s="210">
        <v>0.0</v>
      </c>
      <c r="M36" s="210">
        <v>0.0</v>
      </c>
      <c r="N36" s="210">
        <v>0.0</v>
      </c>
      <c r="O36" s="210">
        <v>0.0</v>
      </c>
      <c r="P36" s="33"/>
    </row>
    <row r="37" ht="11.25" customHeight="1">
      <c r="A37" s="12">
        <f t="shared" si="1"/>
        <v>36</v>
      </c>
      <c r="B37" s="15" t="s">
        <v>24</v>
      </c>
      <c r="C37" s="12" t="s">
        <v>211</v>
      </c>
      <c r="D37" s="19" t="s">
        <v>630</v>
      </c>
      <c r="E37" s="25" t="s">
        <v>631</v>
      </c>
      <c r="F37" s="25" t="s">
        <v>632</v>
      </c>
      <c r="G37" s="106" t="s">
        <v>36</v>
      </c>
      <c r="H37" s="118">
        <v>46044.0</v>
      </c>
      <c r="I37" s="15">
        <v>1.0</v>
      </c>
      <c r="J37" s="106" t="s">
        <v>38</v>
      </c>
      <c r="K37" s="28">
        <v>10000.0</v>
      </c>
      <c r="L37" s="210">
        <v>0.0</v>
      </c>
      <c r="M37" s="210">
        <v>0.0</v>
      </c>
      <c r="N37" s="210">
        <v>0.0</v>
      </c>
      <c r="O37" s="210">
        <v>0.0</v>
      </c>
      <c r="P37" s="118"/>
    </row>
    <row r="38" ht="11.25" customHeight="1">
      <c r="A38" s="12">
        <f t="shared" si="1"/>
        <v>37</v>
      </c>
      <c r="B38" s="15" t="s">
        <v>24</v>
      </c>
      <c r="C38" s="12" t="s">
        <v>211</v>
      </c>
      <c r="D38" s="19" t="s">
        <v>635</v>
      </c>
      <c r="E38" s="25" t="s">
        <v>169</v>
      </c>
      <c r="F38" s="25" t="s">
        <v>170</v>
      </c>
      <c r="G38" s="106" t="s">
        <v>36</v>
      </c>
      <c r="H38" s="118">
        <v>46044.0</v>
      </c>
      <c r="I38" s="15">
        <v>1.0</v>
      </c>
      <c r="J38" s="106" t="s">
        <v>38</v>
      </c>
      <c r="K38" s="28">
        <v>0.0</v>
      </c>
      <c r="L38" s="28">
        <v>0.0</v>
      </c>
      <c r="M38" s="28">
        <v>200500.0</v>
      </c>
      <c r="N38" s="28">
        <v>0.0</v>
      </c>
      <c r="O38" s="28">
        <v>0.0</v>
      </c>
      <c r="P38" s="33">
        <v>46047.0</v>
      </c>
    </row>
    <row r="39" ht="11.25" customHeight="1">
      <c r="A39" s="12">
        <f t="shared" si="1"/>
        <v>38</v>
      </c>
      <c r="B39" s="15" t="s">
        <v>24</v>
      </c>
      <c r="C39" s="12" t="s">
        <v>211</v>
      </c>
      <c r="D39" s="19" t="s">
        <v>637</v>
      </c>
      <c r="E39" s="25" t="s">
        <v>84</v>
      </c>
      <c r="F39" s="106" t="s">
        <v>270</v>
      </c>
      <c r="G39" s="106" t="s">
        <v>36</v>
      </c>
      <c r="H39" s="118">
        <v>46044.0</v>
      </c>
      <c r="I39" s="12">
        <v>0.0</v>
      </c>
      <c r="J39" s="106" t="s">
        <v>38</v>
      </c>
      <c r="K39" s="210">
        <v>12500.0</v>
      </c>
      <c r="L39" s="210">
        <v>0.0</v>
      </c>
      <c r="M39" s="210">
        <v>0.0</v>
      </c>
      <c r="N39" s="210">
        <v>0.0</v>
      </c>
      <c r="O39" s="210">
        <v>0.0</v>
      </c>
      <c r="P39" s="33"/>
    </row>
    <row r="40" ht="11.25" customHeight="1">
      <c r="A40" s="12">
        <f t="shared" si="1"/>
        <v>39</v>
      </c>
      <c r="B40" s="15" t="s">
        <v>24</v>
      </c>
      <c r="C40" s="12" t="s">
        <v>211</v>
      </c>
      <c r="D40" s="19" t="s">
        <v>640</v>
      </c>
      <c r="E40" s="25" t="s">
        <v>84</v>
      </c>
      <c r="F40" s="106" t="s">
        <v>254</v>
      </c>
      <c r="G40" s="106" t="s">
        <v>36</v>
      </c>
      <c r="H40" s="118">
        <v>46044.0</v>
      </c>
      <c r="I40" s="12">
        <v>0.0</v>
      </c>
      <c r="J40" s="106" t="s">
        <v>38</v>
      </c>
      <c r="K40" s="210">
        <v>12500.0</v>
      </c>
      <c r="L40" s="210">
        <v>0.0</v>
      </c>
      <c r="M40" s="210">
        <v>0.0</v>
      </c>
      <c r="N40" s="210">
        <v>0.0</v>
      </c>
      <c r="O40" s="210">
        <v>0.0</v>
      </c>
      <c r="P40" s="33"/>
    </row>
    <row r="41" ht="11.25" customHeight="1">
      <c r="A41" s="12">
        <f t="shared" si="1"/>
        <v>40</v>
      </c>
      <c r="B41" s="15" t="s">
        <v>24</v>
      </c>
      <c r="C41" s="12" t="s">
        <v>211</v>
      </c>
      <c r="D41" s="19" t="s">
        <v>1480</v>
      </c>
      <c r="E41" s="25" t="s">
        <v>208</v>
      </c>
      <c r="F41" s="25" t="s">
        <v>653</v>
      </c>
      <c r="G41" s="25" t="s">
        <v>37</v>
      </c>
      <c r="H41" s="118">
        <v>46038.0</v>
      </c>
      <c r="I41" s="15">
        <v>0.0</v>
      </c>
      <c r="J41" s="106" t="s">
        <v>38</v>
      </c>
      <c r="K41" s="28">
        <v>500.0</v>
      </c>
      <c r="L41" s="210">
        <v>0.0</v>
      </c>
      <c r="M41" s="210">
        <v>0.0</v>
      </c>
      <c r="N41" s="210">
        <v>0.0</v>
      </c>
      <c r="O41" s="210">
        <v>0.0</v>
      </c>
      <c r="P41" s="33"/>
    </row>
    <row r="42" ht="11.25" customHeight="1">
      <c r="A42" s="12">
        <f t="shared" si="1"/>
        <v>41</v>
      </c>
      <c r="B42" s="15" t="s">
        <v>24</v>
      </c>
      <c r="C42" s="12" t="s">
        <v>211</v>
      </c>
      <c r="D42" s="19" t="s">
        <v>651</v>
      </c>
      <c r="E42" s="25" t="s">
        <v>208</v>
      </c>
      <c r="F42" s="25" t="s">
        <v>653</v>
      </c>
      <c r="G42" s="25" t="s">
        <v>37</v>
      </c>
      <c r="H42" s="118">
        <v>46044.0</v>
      </c>
      <c r="I42" s="15">
        <v>1.0</v>
      </c>
      <c r="J42" s="106" t="s">
        <v>38</v>
      </c>
      <c r="K42" s="28">
        <v>6000.0</v>
      </c>
      <c r="L42" s="210">
        <v>0.0</v>
      </c>
      <c r="M42" s="210">
        <v>0.0</v>
      </c>
      <c r="N42" s="210">
        <v>0.0</v>
      </c>
      <c r="O42" s="210">
        <v>0.0</v>
      </c>
      <c r="P42" s="33"/>
    </row>
    <row r="43" ht="11.25" customHeight="1">
      <c r="A43" s="12">
        <f t="shared" si="1"/>
        <v>42</v>
      </c>
      <c r="B43" s="15" t="s">
        <v>24</v>
      </c>
      <c r="C43" s="12" t="s">
        <v>211</v>
      </c>
      <c r="D43" s="19" t="s">
        <v>654</v>
      </c>
      <c r="E43" s="106" t="s">
        <v>356</v>
      </c>
      <c r="F43" s="106" t="s">
        <v>388</v>
      </c>
      <c r="G43" s="106" t="s">
        <v>36</v>
      </c>
      <c r="H43" s="118">
        <v>46046.0</v>
      </c>
      <c r="I43" s="12">
        <v>0.0</v>
      </c>
      <c r="J43" s="106" t="s">
        <v>57</v>
      </c>
      <c r="K43" s="210">
        <v>7500.0</v>
      </c>
      <c r="L43" s="210">
        <v>0.0</v>
      </c>
      <c r="M43" s="210">
        <v>0.0</v>
      </c>
      <c r="N43" s="210">
        <v>0.0</v>
      </c>
      <c r="O43" s="281">
        <v>0.0</v>
      </c>
      <c r="P43" s="33"/>
    </row>
    <row r="44" ht="11.25" customHeight="1">
      <c r="A44" s="12">
        <f t="shared" si="1"/>
        <v>43</v>
      </c>
      <c r="B44" s="15" t="s">
        <v>24</v>
      </c>
      <c r="C44" s="12" t="s">
        <v>122</v>
      </c>
      <c r="D44" s="19" t="s">
        <v>656</v>
      </c>
      <c r="E44" s="25" t="s">
        <v>191</v>
      </c>
      <c r="F44" s="25" t="s">
        <v>316</v>
      </c>
      <c r="G44" s="106" t="s">
        <v>36</v>
      </c>
      <c r="H44" s="118">
        <v>46047.0</v>
      </c>
      <c r="I44" s="15">
        <v>0.0</v>
      </c>
      <c r="J44" s="106" t="s">
        <v>38</v>
      </c>
      <c r="K44" s="28">
        <v>40000.0</v>
      </c>
      <c r="L44" s="281">
        <v>0.0</v>
      </c>
      <c r="M44" s="281">
        <v>0.0</v>
      </c>
      <c r="N44" s="281">
        <v>0.0</v>
      </c>
      <c r="O44" s="281">
        <v>0.0</v>
      </c>
      <c r="P44" s="281"/>
    </row>
    <row r="45" ht="11.25" customHeight="1">
      <c r="A45" s="12">
        <f t="shared" si="1"/>
        <v>44</v>
      </c>
      <c r="B45" s="15" t="s">
        <v>24</v>
      </c>
      <c r="C45" s="12" t="s">
        <v>211</v>
      </c>
      <c r="D45" s="19" t="s">
        <v>660</v>
      </c>
      <c r="E45" s="25" t="s">
        <v>208</v>
      </c>
      <c r="F45" s="25" t="s">
        <v>661</v>
      </c>
      <c r="G45" s="106" t="s">
        <v>36</v>
      </c>
      <c r="H45" s="118">
        <v>46047.0</v>
      </c>
      <c r="I45" s="12">
        <v>0.0</v>
      </c>
      <c r="J45" s="106" t="s">
        <v>57</v>
      </c>
      <c r="K45" s="28">
        <v>0.0</v>
      </c>
      <c r="L45" s="28">
        <v>0.0</v>
      </c>
      <c r="M45" s="76">
        <v>12500.0</v>
      </c>
      <c r="N45" s="76">
        <v>0.0</v>
      </c>
      <c r="O45" s="77">
        <v>0.0</v>
      </c>
      <c r="P45" s="118">
        <v>46047.0</v>
      </c>
    </row>
    <row r="46" ht="11.25" customHeight="1">
      <c r="A46" s="12">
        <f t="shared" si="1"/>
        <v>45</v>
      </c>
      <c r="B46" s="15" t="s">
        <v>24</v>
      </c>
      <c r="C46" s="12" t="s">
        <v>211</v>
      </c>
      <c r="D46" s="19" t="s">
        <v>662</v>
      </c>
      <c r="E46" s="25" t="s">
        <v>208</v>
      </c>
      <c r="F46" s="25" t="s">
        <v>661</v>
      </c>
      <c r="G46" s="106" t="s">
        <v>36</v>
      </c>
      <c r="H46" s="118">
        <v>46047.0</v>
      </c>
      <c r="I46" s="15">
        <v>0.0</v>
      </c>
      <c r="J46" s="106" t="s">
        <v>57</v>
      </c>
      <c r="K46" s="28">
        <v>0.0</v>
      </c>
      <c r="L46" s="28">
        <v>0.0</v>
      </c>
      <c r="M46" s="76">
        <v>0.0</v>
      </c>
      <c r="N46" s="76">
        <v>12500.0</v>
      </c>
      <c r="O46" s="77">
        <v>0.0</v>
      </c>
      <c r="P46" s="118">
        <v>46073.0</v>
      </c>
    </row>
    <row r="47" ht="11.25" customHeight="1">
      <c r="A47" s="12">
        <f t="shared" si="1"/>
        <v>46</v>
      </c>
      <c r="B47" s="15" t="s">
        <v>24</v>
      </c>
      <c r="C47" s="12" t="s">
        <v>122</v>
      </c>
      <c r="D47" s="19" t="s">
        <v>664</v>
      </c>
      <c r="E47" s="25" t="s">
        <v>180</v>
      </c>
      <c r="F47" s="25" t="s">
        <v>288</v>
      </c>
      <c r="G47" s="106" t="s">
        <v>36</v>
      </c>
      <c r="H47" s="118">
        <v>46047.0</v>
      </c>
      <c r="I47" s="15">
        <v>0.0</v>
      </c>
      <c r="J47" s="25" t="s">
        <v>38</v>
      </c>
      <c r="K47" s="28">
        <v>148000.0</v>
      </c>
      <c r="L47" s="210">
        <v>0.0</v>
      </c>
      <c r="M47" s="210">
        <v>0.0</v>
      </c>
      <c r="N47" s="210">
        <v>0.0</v>
      </c>
      <c r="O47" s="210">
        <v>0.0</v>
      </c>
      <c r="P47" s="33"/>
    </row>
    <row r="48" ht="11.25" customHeight="1">
      <c r="A48" s="12">
        <f t="shared" si="1"/>
        <v>47</v>
      </c>
      <c r="B48" s="15" t="s">
        <v>24</v>
      </c>
      <c r="C48" s="12" t="s">
        <v>122</v>
      </c>
      <c r="D48" s="19" t="s">
        <v>666</v>
      </c>
      <c r="E48" s="25" t="s">
        <v>27</v>
      </c>
      <c r="F48" s="25" t="s">
        <v>508</v>
      </c>
      <c r="G48" s="106" t="s">
        <v>36</v>
      </c>
      <c r="H48" s="118">
        <v>46047.0</v>
      </c>
      <c r="I48" s="15">
        <v>0.0</v>
      </c>
      <c r="J48" s="106" t="s">
        <v>38</v>
      </c>
      <c r="K48" s="28">
        <v>30000.0</v>
      </c>
      <c r="L48" s="28">
        <v>0.0</v>
      </c>
      <c r="M48" s="210">
        <v>0.0</v>
      </c>
      <c r="N48" s="210">
        <v>0.0</v>
      </c>
      <c r="O48" s="210">
        <v>0.0</v>
      </c>
      <c r="P48" s="33"/>
    </row>
    <row r="49" ht="11.25" customHeight="1">
      <c r="A49" s="12">
        <f t="shared" si="1"/>
        <v>48</v>
      </c>
      <c r="B49" s="15" t="s">
        <v>24</v>
      </c>
      <c r="C49" s="12" t="s">
        <v>211</v>
      </c>
      <c r="D49" s="289" t="s">
        <v>398</v>
      </c>
      <c r="E49" s="106" t="s">
        <v>208</v>
      </c>
      <c r="F49" s="106" t="s">
        <v>394</v>
      </c>
      <c r="G49" s="106" t="s">
        <v>36</v>
      </c>
      <c r="H49" s="299">
        <v>45981.0</v>
      </c>
      <c r="I49" s="12">
        <v>0.0</v>
      </c>
      <c r="J49" s="106" t="s">
        <v>38</v>
      </c>
      <c r="K49" s="210">
        <v>20000.0</v>
      </c>
      <c r="L49" s="210">
        <v>0.0</v>
      </c>
      <c r="M49" s="210">
        <v>0.0</v>
      </c>
      <c r="N49" s="210">
        <v>0.0</v>
      </c>
      <c r="O49" s="210">
        <v>0.0</v>
      </c>
      <c r="P49" s="118">
        <v>46049.0</v>
      </c>
    </row>
    <row r="50" ht="11.25" customHeight="1">
      <c r="A50" s="12">
        <f t="shared" si="1"/>
        <v>49</v>
      </c>
      <c r="B50" s="15" t="s">
        <v>24</v>
      </c>
      <c r="C50" s="12" t="s">
        <v>122</v>
      </c>
      <c r="D50" s="19" t="s">
        <v>667</v>
      </c>
      <c r="E50" s="25" t="s">
        <v>84</v>
      </c>
      <c r="F50" s="25" t="s">
        <v>668</v>
      </c>
      <c r="G50" s="106" t="s">
        <v>36</v>
      </c>
      <c r="H50" s="118">
        <v>46050.0</v>
      </c>
      <c r="I50" s="15">
        <v>2.0</v>
      </c>
      <c r="J50" s="106" t="s">
        <v>38</v>
      </c>
      <c r="K50" s="28">
        <v>100000.0</v>
      </c>
      <c r="L50" s="28">
        <v>0.0</v>
      </c>
      <c r="M50" s="210">
        <v>0.0</v>
      </c>
      <c r="N50" s="210">
        <v>0.0</v>
      </c>
      <c r="O50" s="210">
        <v>0.0</v>
      </c>
      <c r="P50" s="33"/>
    </row>
    <row r="51" ht="11.25" customHeight="1">
      <c r="A51" s="12">
        <f t="shared" si="1"/>
        <v>50</v>
      </c>
      <c r="B51" s="15" t="s">
        <v>24</v>
      </c>
      <c r="C51" s="12" t="s">
        <v>122</v>
      </c>
      <c r="D51" s="19" t="s">
        <v>670</v>
      </c>
      <c r="E51" s="25" t="s">
        <v>84</v>
      </c>
      <c r="F51" s="25" t="s">
        <v>668</v>
      </c>
      <c r="G51" s="106" t="s">
        <v>36</v>
      </c>
      <c r="H51" s="118">
        <v>46050.0</v>
      </c>
      <c r="I51" s="15">
        <v>0.0</v>
      </c>
      <c r="J51" s="106" t="s">
        <v>38</v>
      </c>
      <c r="K51" s="28">
        <v>0.0</v>
      </c>
      <c r="L51" s="28">
        <v>0.0</v>
      </c>
      <c r="M51" s="28">
        <v>0.0</v>
      </c>
      <c r="N51" s="28">
        <v>50000.0</v>
      </c>
      <c r="O51" s="28">
        <v>0.0</v>
      </c>
      <c r="P51" s="33"/>
    </row>
    <row r="52" ht="11.25" customHeight="1">
      <c r="A52" s="12">
        <f t="shared" si="1"/>
        <v>51</v>
      </c>
      <c r="B52" s="15" t="s">
        <v>24</v>
      </c>
      <c r="C52" s="12" t="s">
        <v>122</v>
      </c>
      <c r="D52" s="19" t="s">
        <v>1481</v>
      </c>
      <c r="E52" s="25" t="s">
        <v>92</v>
      </c>
      <c r="F52" s="25" t="s">
        <v>700</v>
      </c>
      <c r="G52" s="106" t="s">
        <v>36</v>
      </c>
      <c r="H52" s="118">
        <v>46050.0</v>
      </c>
      <c r="I52" s="15">
        <v>1.0</v>
      </c>
      <c r="J52" s="25" t="s">
        <v>38</v>
      </c>
      <c r="K52" s="210">
        <v>5000.0</v>
      </c>
      <c r="L52" s="210">
        <v>0.0</v>
      </c>
      <c r="M52" s="210">
        <v>0.0</v>
      </c>
      <c r="N52" s="28">
        <v>0.0</v>
      </c>
      <c r="O52" s="28">
        <v>0.0</v>
      </c>
      <c r="P52" s="33"/>
    </row>
    <row r="53" ht="11.25" customHeight="1">
      <c r="A53" s="12">
        <f t="shared" si="1"/>
        <v>52</v>
      </c>
      <c r="B53" s="15" t="s">
        <v>24</v>
      </c>
      <c r="C53" s="12" t="s">
        <v>211</v>
      </c>
      <c r="D53" s="19" t="s">
        <v>672</v>
      </c>
      <c r="E53" s="25" t="s">
        <v>169</v>
      </c>
      <c r="F53" s="25" t="s">
        <v>484</v>
      </c>
      <c r="G53" s="106" t="s">
        <v>36</v>
      </c>
      <c r="H53" s="118">
        <v>46051.0</v>
      </c>
      <c r="I53" s="15">
        <v>0.0</v>
      </c>
      <c r="J53" s="106" t="s">
        <v>38</v>
      </c>
      <c r="K53" s="28">
        <v>0.0</v>
      </c>
      <c r="L53" s="28">
        <v>7000.0</v>
      </c>
      <c r="M53" s="210">
        <v>0.0</v>
      </c>
      <c r="N53" s="210">
        <v>0.0</v>
      </c>
      <c r="O53" s="210">
        <v>0.0</v>
      </c>
      <c r="P53" s="33"/>
    </row>
    <row r="54" ht="11.25" customHeight="1">
      <c r="A54" s="12">
        <f t="shared" si="1"/>
        <v>53</v>
      </c>
      <c r="B54" s="15" t="s">
        <v>24</v>
      </c>
      <c r="C54" s="12" t="s">
        <v>211</v>
      </c>
      <c r="D54" s="289" t="s">
        <v>213</v>
      </c>
      <c r="E54" s="106" t="s">
        <v>49</v>
      </c>
      <c r="F54" s="106" t="s">
        <v>214</v>
      </c>
      <c r="G54" s="106" t="s">
        <v>34</v>
      </c>
      <c r="H54" s="118">
        <v>46051.0</v>
      </c>
      <c r="I54" s="12">
        <v>3.0</v>
      </c>
      <c r="J54" s="106" t="s">
        <v>38</v>
      </c>
      <c r="K54" s="210">
        <v>0.0</v>
      </c>
      <c r="L54" s="210">
        <v>10000.0</v>
      </c>
      <c r="M54" s="210">
        <v>0.0</v>
      </c>
      <c r="N54" s="210">
        <v>0.0</v>
      </c>
      <c r="O54" s="210">
        <v>0.0</v>
      </c>
      <c r="P54" s="33"/>
    </row>
    <row r="55" ht="11.25" customHeight="1">
      <c r="A55" s="12">
        <f t="shared" si="1"/>
        <v>54</v>
      </c>
      <c r="B55" s="15" t="s">
        <v>24</v>
      </c>
      <c r="C55" s="12" t="s">
        <v>211</v>
      </c>
      <c r="D55" s="19" t="s">
        <v>674</v>
      </c>
      <c r="E55" s="25" t="s">
        <v>40</v>
      </c>
      <c r="F55" s="25" t="s">
        <v>627</v>
      </c>
      <c r="G55" s="106" t="s">
        <v>36</v>
      </c>
      <c r="H55" s="118">
        <v>46051.0</v>
      </c>
      <c r="I55" s="15">
        <v>0.0</v>
      </c>
      <c r="J55" s="106" t="s">
        <v>38</v>
      </c>
      <c r="K55" s="210">
        <v>50000.0</v>
      </c>
      <c r="L55" s="210">
        <v>0.0</v>
      </c>
      <c r="M55" s="210">
        <v>0.0</v>
      </c>
      <c r="N55" s="210">
        <v>0.0</v>
      </c>
      <c r="O55" s="210">
        <v>0.0</v>
      </c>
      <c r="P55" s="33"/>
    </row>
    <row r="56" ht="11.25" customHeight="1">
      <c r="A56" s="12">
        <f t="shared" si="1"/>
        <v>55</v>
      </c>
      <c r="B56" s="15" t="s">
        <v>24</v>
      </c>
      <c r="C56" s="12" t="s">
        <v>122</v>
      </c>
      <c r="D56" s="19" t="s">
        <v>675</v>
      </c>
      <c r="E56" s="25" t="s">
        <v>116</v>
      </c>
      <c r="F56" s="25" t="s">
        <v>117</v>
      </c>
      <c r="G56" s="106" t="s">
        <v>36</v>
      </c>
      <c r="H56" s="118">
        <v>46051.0</v>
      </c>
      <c r="I56" s="15">
        <v>1.0</v>
      </c>
      <c r="J56" s="106" t="s">
        <v>38</v>
      </c>
      <c r="K56" s="210">
        <v>5000.0</v>
      </c>
      <c r="L56" s="210">
        <v>0.0</v>
      </c>
      <c r="M56" s="210">
        <v>0.0</v>
      </c>
      <c r="N56" s="210">
        <v>0.0</v>
      </c>
      <c r="O56" s="210">
        <v>0.0</v>
      </c>
      <c r="P56" s="33"/>
    </row>
    <row r="57" ht="11.25" customHeight="1">
      <c r="A57" s="12">
        <f t="shared" si="1"/>
        <v>56</v>
      </c>
      <c r="B57" s="15" t="s">
        <v>24</v>
      </c>
      <c r="C57" s="12" t="s">
        <v>122</v>
      </c>
      <c r="D57" s="19" t="s">
        <v>677</v>
      </c>
      <c r="E57" s="25" t="s">
        <v>184</v>
      </c>
      <c r="F57" s="25" t="s">
        <v>679</v>
      </c>
      <c r="G57" s="106" t="s">
        <v>36</v>
      </c>
      <c r="H57" s="118">
        <v>46051.0</v>
      </c>
      <c r="I57" s="15">
        <v>2.0</v>
      </c>
      <c r="J57" s="106" t="s">
        <v>38</v>
      </c>
      <c r="K57" s="28">
        <v>1000.0</v>
      </c>
      <c r="L57" s="210">
        <v>0.0</v>
      </c>
      <c r="M57" s="210">
        <v>0.0</v>
      </c>
      <c r="N57" s="210">
        <v>0.0</v>
      </c>
      <c r="O57" s="210">
        <v>0.0</v>
      </c>
      <c r="P57" s="33"/>
    </row>
    <row r="58" ht="11.25" customHeight="1">
      <c r="A58" s="12">
        <f t="shared" si="1"/>
        <v>57</v>
      </c>
      <c r="B58" s="15" t="s">
        <v>24</v>
      </c>
      <c r="C58" s="12" t="s">
        <v>122</v>
      </c>
      <c r="D58" s="19" t="s">
        <v>680</v>
      </c>
      <c r="E58" s="25" t="s">
        <v>44</v>
      </c>
      <c r="F58" s="25" t="s">
        <v>478</v>
      </c>
      <c r="G58" s="25" t="s">
        <v>37</v>
      </c>
      <c r="H58" s="118">
        <v>46051.0</v>
      </c>
      <c r="I58" s="15">
        <v>1.0</v>
      </c>
      <c r="J58" s="106" t="s">
        <v>38</v>
      </c>
      <c r="K58" s="28">
        <v>1000.0</v>
      </c>
      <c r="L58" s="210">
        <v>0.0</v>
      </c>
      <c r="M58" s="210">
        <v>0.0</v>
      </c>
      <c r="N58" s="210">
        <v>0.0</v>
      </c>
      <c r="O58" s="210">
        <v>0.0</v>
      </c>
      <c r="P58" s="33"/>
    </row>
    <row r="59" ht="11.25" customHeight="1">
      <c r="A59" s="12">
        <f t="shared" si="1"/>
        <v>58</v>
      </c>
      <c r="B59" s="15" t="s">
        <v>24</v>
      </c>
      <c r="C59" s="12" t="s">
        <v>122</v>
      </c>
      <c r="D59" s="19" t="s">
        <v>682</v>
      </c>
      <c r="E59" s="25" t="s">
        <v>44</v>
      </c>
      <c r="F59" s="25" t="s">
        <v>478</v>
      </c>
      <c r="G59" s="106" t="s">
        <v>36</v>
      </c>
      <c r="H59" s="118">
        <v>46051.0</v>
      </c>
      <c r="I59" s="15">
        <v>1.0</v>
      </c>
      <c r="J59" s="106" t="s">
        <v>38</v>
      </c>
      <c r="K59" s="28">
        <v>1000.0</v>
      </c>
      <c r="L59" s="210">
        <v>0.0</v>
      </c>
      <c r="M59" s="210">
        <v>0.0</v>
      </c>
      <c r="N59" s="210">
        <v>0.0</v>
      </c>
      <c r="O59" s="210">
        <v>0.0</v>
      </c>
      <c r="P59" s="33"/>
    </row>
    <row r="60" ht="11.25" customHeight="1">
      <c r="A60" s="12">
        <f t="shared" si="1"/>
        <v>59</v>
      </c>
      <c r="B60" s="15" t="s">
        <v>24</v>
      </c>
      <c r="C60" s="12" t="s">
        <v>122</v>
      </c>
      <c r="D60" s="19" t="s">
        <v>685</v>
      </c>
      <c r="E60" s="25" t="s">
        <v>44</v>
      </c>
      <c r="F60" s="25" t="s">
        <v>493</v>
      </c>
      <c r="G60" s="25" t="s">
        <v>37</v>
      </c>
      <c r="H60" s="118">
        <v>46051.0</v>
      </c>
      <c r="I60" s="15">
        <v>1.0</v>
      </c>
      <c r="J60" s="106" t="s">
        <v>38</v>
      </c>
      <c r="K60" s="28">
        <v>1000.0</v>
      </c>
      <c r="L60" s="210">
        <v>0.0</v>
      </c>
      <c r="M60" s="210">
        <v>0.0</v>
      </c>
      <c r="N60" s="210">
        <v>0.0</v>
      </c>
      <c r="O60" s="210">
        <v>0.0</v>
      </c>
      <c r="P60" s="33"/>
    </row>
    <row r="61" ht="11.25" customHeight="1">
      <c r="A61" s="12">
        <f t="shared" si="1"/>
        <v>60</v>
      </c>
      <c r="B61" s="15" t="s">
        <v>24</v>
      </c>
      <c r="C61" s="12" t="s">
        <v>211</v>
      </c>
      <c r="D61" s="19" t="s">
        <v>692</v>
      </c>
      <c r="E61" s="106" t="s">
        <v>514</v>
      </c>
      <c r="F61" s="106" t="s">
        <v>64</v>
      </c>
      <c r="G61" s="106" t="s">
        <v>36</v>
      </c>
      <c r="H61" s="32">
        <v>46053.0</v>
      </c>
      <c r="I61" s="12">
        <v>0.0</v>
      </c>
      <c r="J61" s="106" t="s">
        <v>57</v>
      </c>
      <c r="K61" s="281">
        <v>0.0</v>
      </c>
      <c r="L61" s="28">
        <v>7500.0</v>
      </c>
      <c r="M61" s="281">
        <v>0.0</v>
      </c>
      <c r="N61" s="281">
        <v>0.0</v>
      </c>
      <c r="O61" s="281">
        <v>0.0</v>
      </c>
      <c r="P61" s="33"/>
    </row>
    <row r="62" ht="11.25" customHeight="1">
      <c r="A62" s="12">
        <f t="shared" si="1"/>
        <v>61</v>
      </c>
      <c r="B62" s="15" t="s">
        <v>24</v>
      </c>
      <c r="C62" s="12" t="s">
        <v>122</v>
      </c>
      <c r="D62" s="19" t="s">
        <v>694</v>
      </c>
      <c r="E62" s="106" t="s">
        <v>221</v>
      </c>
      <c r="F62" s="106" t="s">
        <v>189</v>
      </c>
      <c r="G62" s="106" t="s">
        <v>36</v>
      </c>
      <c r="H62" s="32">
        <v>46053.0</v>
      </c>
      <c r="I62" s="12">
        <v>0.0</v>
      </c>
      <c r="J62" s="106" t="s">
        <v>57</v>
      </c>
      <c r="K62" s="210">
        <v>7000.0</v>
      </c>
      <c r="L62" s="210">
        <v>0.0</v>
      </c>
      <c r="M62" s="210">
        <v>0.0</v>
      </c>
      <c r="N62" s="210">
        <v>0.0</v>
      </c>
      <c r="O62" s="210">
        <v>0.0</v>
      </c>
      <c r="P62" s="33"/>
    </row>
    <row r="63" ht="11.25" customHeight="1">
      <c r="A63" s="12">
        <f t="shared" si="1"/>
        <v>62</v>
      </c>
      <c r="B63" s="15" t="s">
        <v>24</v>
      </c>
      <c r="C63" s="12" t="s">
        <v>122</v>
      </c>
      <c r="D63" s="19" t="s">
        <v>699</v>
      </c>
      <c r="E63" s="25" t="s">
        <v>92</v>
      </c>
      <c r="F63" s="25" t="s">
        <v>700</v>
      </c>
      <c r="G63" s="106" t="s">
        <v>36</v>
      </c>
      <c r="H63" s="32">
        <v>46053.0</v>
      </c>
      <c r="I63" s="15">
        <v>0.0</v>
      </c>
      <c r="J63" s="25" t="s">
        <v>38</v>
      </c>
      <c r="K63" s="210">
        <v>0.0</v>
      </c>
      <c r="L63" s="210">
        <v>0.0</v>
      </c>
      <c r="M63" s="210">
        <v>0.0</v>
      </c>
      <c r="N63" s="28">
        <v>100000.0</v>
      </c>
      <c r="O63" s="28">
        <v>0.0</v>
      </c>
      <c r="P63" s="33">
        <v>46068.0</v>
      </c>
    </row>
    <row r="64" ht="11.25" customHeight="1">
      <c r="A64" s="12" t="str">
        <f t="shared" si="1"/>
        <v/>
      </c>
      <c r="B64" s="12"/>
      <c r="C64" s="12"/>
      <c r="D64" s="12"/>
      <c r="E64" s="106"/>
      <c r="F64" s="106"/>
      <c r="G64" s="106"/>
      <c r="H64" s="118"/>
      <c r="I64" s="12"/>
      <c r="J64" s="106"/>
      <c r="K64" s="210"/>
      <c r="L64" s="210"/>
      <c r="M64" s="210"/>
      <c r="N64" s="210"/>
      <c r="O64" s="281"/>
      <c r="P64" s="118"/>
    </row>
    <row r="65" ht="11.25" customHeight="1">
      <c r="A65" s="12" t="str">
        <f t="shared" si="1"/>
        <v/>
      </c>
      <c r="B65" s="12"/>
      <c r="C65" s="12"/>
      <c r="D65" s="12"/>
      <c r="E65" s="106"/>
      <c r="F65" s="106"/>
      <c r="G65" s="106"/>
      <c r="H65" s="118"/>
      <c r="I65" s="124" t="s">
        <v>462</v>
      </c>
      <c r="J65" s="120"/>
      <c r="K65" s="125" t="s">
        <v>13</v>
      </c>
      <c r="L65" s="125" t="s">
        <v>14</v>
      </c>
      <c r="M65" s="125" t="s">
        <v>15</v>
      </c>
      <c r="N65" s="2" t="s">
        <v>465</v>
      </c>
      <c r="O65" s="281"/>
      <c r="P65" s="118"/>
    </row>
    <row r="66" ht="11.25" customHeight="1">
      <c r="A66" s="287" t="s">
        <v>789</v>
      </c>
      <c r="B66" s="120"/>
      <c r="C66" s="127"/>
      <c r="D66" s="128"/>
      <c r="E66" s="127"/>
      <c r="F66" s="127"/>
      <c r="G66" s="127"/>
      <c r="H66" s="129"/>
      <c r="I66" s="130">
        <f>SUM(I2:I65)</f>
        <v>37</v>
      </c>
      <c r="J66" s="120"/>
      <c r="K66" s="131">
        <f t="shared" ref="K66:O66" si="2">SUM(K2:K65)</f>
        <v>1265300</v>
      </c>
      <c r="L66" s="131">
        <f t="shared" si="2"/>
        <v>1394500</v>
      </c>
      <c r="M66" s="131">
        <f t="shared" si="2"/>
        <v>2303000</v>
      </c>
      <c r="N66" s="131">
        <f t="shared" si="2"/>
        <v>1452500</v>
      </c>
      <c r="O66" s="131">
        <f t="shared" si="2"/>
        <v>0</v>
      </c>
      <c r="P66" s="133" t="s">
        <v>481</v>
      </c>
    </row>
    <row r="67" ht="11.25" customHeight="1">
      <c r="A67" s="134"/>
      <c r="B67" s="135"/>
      <c r="C67" s="135"/>
      <c r="D67" s="134"/>
      <c r="E67" s="135"/>
      <c r="F67" s="135"/>
      <c r="G67" s="135"/>
      <c r="H67" s="136"/>
      <c r="I67" s="135"/>
      <c r="J67" s="135"/>
      <c r="K67" s="139" t="s">
        <v>491</v>
      </c>
      <c r="L67" s="120"/>
      <c r="M67" s="282">
        <f>SUM(K66:M66)</f>
        <v>4962800</v>
      </c>
      <c r="N67" s="301"/>
      <c r="O67" s="301"/>
      <c r="P67" s="136"/>
    </row>
    <row r="68" ht="11.25" customHeight="1">
      <c r="A68" s="134"/>
      <c r="B68" s="135"/>
      <c r="C68" s="135"/>
      <c r="D68" s="134"/>
      <c r="E68" s="135"/>
      <c r="F68" s="135"/>
      <c r="G68" s="135"/>
      <c r="H68" s="136"/>
      <c r="I68" s="135"/>
      <c r="J68" s="135"/>
      <c r="K68" s="145" t="s">
        <v>506</v>
      </c>
      <c r="L68" s="120"/>
      <c r="M68" s="283">
        <f>SUM(M67-L9-L10-L11-L13-L14-K32-K43-M45-N46-L61-K62)</f>
        <v>4768500</v>
      </c>
      <c r="N68" s="301"/>
      <c r="O68" s="301"/>
      <c r="P68" s="136"/>
    </row>
    <row r="69" ht="15.75" customHeight="1">
      <c r="A69" s="149"/>
      <c r="D69" s="149"/>
      <c r="H69" s="150"/>
      <c r="P69" s="150"/>
    </row>
    <row r="70" ht="15.75" customHeight="1">
      <c r="A70" s="149"/>
      <c r="D70" s="149"/>
      <c r="H70" s="150"/>
      <c r="P70" s="150"/>
    </row>
    <row r="71" ht="15.75" customHeight="1">
      <c r="A71" s="149"/>
      <c r="D71" s="149"/>
      <c r="H71" s="150"/>
      <c r="P71" s="150"/>
    </row>
    <row r="72" ht="15.75" customHeight="1">
      <c r="A72" s="149"/>
      <c r="D72" s="149"/>
      <c r="H72" s="150"/>
      <c r="P72" s="150"/>
    </row>
    <row r="73" ht="15.75" customHeight="1">
      <c r="A73" s="149"/>
      <c r="D73" s="149"/>
      <c r="H73" s="150"/>
      <c r="P73" s="150"/>
    </row>
    <row r="74" ht="15.75" customHeight="1">
      <c r="A74" s="149"/>
      <c r="D74" s="149"/>
      <c r="H74" s="150"/>
      <c r="P74" s="150"/>
    </row>
    <row r="75" ht="15.75" customHeight="1">
      <c r="A75" s="149"/>
      <c r="D75" s="149"/>
      <c r="H75" s="150"/>
      <c r="P75" s="150"/>
    </row>
    <row r="76" ht="15.75" customHeight="1">
      <c r="A76" s="149"/>
      <c r="D76" s="149"/>
      <c r="H76" s="150"/>
      <c r="P76" s="150"/>
    </row>
    <row r="77" ht="15.75" customHeight="1">
      <c r="A77" s="149"/>
      <c r="D77" s="149"/>
      <c r="H77" s="150"/>
      <c r="P77" s="150"/>
    </row>
    <row r="78" ht="15.75" customHeight="1">
      <c r="A78" s="149"/>
      <c r="D78" s="149"/>
      <c r="H78" s="150"/>
      <c r="P78" s="150"/>
    </row>
    <row r="79" ht="15.75" customHeight="1">
      <c r="A79" s="149"/>
      <c r="D79" s="149"/>
      <c r="H79" s="150"/>
      <c r="P79" s="150"/>
    </row>
    <row r="80" ht="15.75" customHeight="1">
      <c r="A80" s="149"/>
      <c r="D80" s="149"/>
      <c r="H80" s="150"/>
      <c r="P80" s="150"/>
    </row>
    <row r="81" ht="15.75" customHeight="1">
      <c r="A81" s="149"/>
      <c r="D81" s="149"/>
      <c r="H81" s="150"/>
      <c r="P81" s="150"/>
    </row>
    <row r="82" ht="15.75" customHeight="1">
      <c r="A82" s="149"/>
      <c r="D82" s="149"/>
      <c r="H82" s="150"/>
      <c r="P82" s="150"/>
    </row>
    <row r="83" ht="15.75" customHeight="1">
      <c r="A83" s="149"/>
      <c r="D83" s="149"/>
      <c r="H83" s="150"/>
      <c r="P83" s="150"/>
    </row>
    <row r="84" ht="15.75" customHeight="1">
      <c r="A84" s="149"/>
      <c r="D84" s="149"/>
      <c r="H84" s="150"/>
      <c r="P84" s="150"/>
    </row>
    <row r="85" ht="15.75" customHeight="1">
      <c r="A85" s="149"/>
      <c r="D85" s="149"/>
      <c r="H85" s="150"/>
      <c r="P85" s="150"/>
    </row>
    <row r="86" ht="15.75" customHeight="1">
      <c r="A86" s="149"/>
      <c r="D86" s="149"/>
      <c r="H86" s="150"/>
      <c r="P86" s="150"/>
    </row>
    <row r="87" ht="15.75" customHeight="1">
      <c r="A87" s="149"/>
      <c r="D87" s="149"/>
      <c r="H87" s="150"/>
      <c r="P87" s="150"/>
    </row>
    <row r="88" ht="15.75" customHeight="1">
      <c r="A88" s="149"/>
      <c r="D88" s="149"/>
      <c r="H88" s="150"/>
      <c r="P88" s="150"/>
    </row>
    <row r="89" ht="15.75" customHeight="1">
      <c r="A89" s="149"/>
      <c r="D89" s="149"/>
      <c r="H89" s="150"/>
      <c r="P89" s="150"/>
    </row>
    <row r="90" ht="15.75" customHeight="1">
      <c r="A90" s="149"/>
      <c r="D90" s="149"/>
      <c r="H90" s="150"/>
      <c r="P90" s="150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</sheetData>
  <autoFilter ref="$A$1:$P$68">
    <sortState ref="A1:P68">
      <sortCondition ref="D1:D68"/>
    </sortState>
  </autoFilter>
  <mergeCells count="5">
    <mergeCell ref="I65:J65"/>
    <mergeCell ref="A66:B66"/>
    <mergeCell ref="I66:J66"/>
    <mergeCell ref="K67:L67"/>
    <mergeCell ref="K68:L68"/>
  </mergeCells>
  <printOptions/>
  <pageMargins bottom="0.0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43"/>
    <col customWidth="1" min="8" max="8" width="9.57"/>
    <col customWidth="1" min="9" max="9" width="3.29"/>
    <col customWidth="1" min="10" max="10" width="6.43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9.14"/>
    <col customWidth="1" min="17" max="26" width="8.71"/>
  </cols>
  <sheetData>
    <row r="1">
      <c r="A1" s="8" t="s">
        <v>0</v>
      </c>
      <c r="B1" s="2" t="s">
        <v>2</v>
      </c>
      <c r="C1" s="2" t="s">
        <v>1216</v>
      </c>
      <c r="D1" s="2" t="s">
        <v>5</v>
      </c>
      <c r="E1" s="2" t="s">
        <v>6</v>
      </c>
      <c r="F1" s="2" t="s">
        <v>17</v>
      </c>
      <c r="G1" s="2" t="s">
        <v>8</v>
      </c>
      <c r="H1" s="2" t="s">
        <v>20</v>
      </c>
      <c r="I1" s="2" t="s">
        <v>21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18</v>
      </c>
      <c r="P1" s="2" t="s">
        <v>22</v>
      </c>
    </row>
    <row r="2" ht="11.25" customHeight="1">
      <c r="A2" s="12">
        <f t="shared" ref="A2:A47" si="1">IF(D2="","",SUBTOTAL(3,$D$2:D2))</f>
        <v>1</v>
      </c>
      <c r="B2" s="12" t="s">
        <v>24</v>
      </c>
      <c r="C2" s="296" t="s">
        <v>211</v>
      </c>
      <c r="D2" s="289" t="s">
        <v>460</v>
      </c>
      <c r="E2" s="127" t="s">
        <v>84</v>
      </c>
      <c r="F2" s="106" t="s">
        <v>461</v>
      </c>
      <c r="G2" s="106" t="s">
        <v>36</v>
      </c>
      <c r="H2" s="118">
        <v>45992.0</v>
      </c>
      <c r="I2" s="12">
        <v>0.0</v>
      </c>
      <c r="J2" s="106" t="s">
        <v>57</v>
      </c>
      <c r="K2" s="210">
        <v>0.0</v>
      </c>
      <c r="L2" s="210">
        <v>8000.0</v>
      </c>
      <c r="M2" s="210">
        <v>0.0</v>
      </c>
      <c r="N2" s="210">
        <v>0.0</v>
      </c>
      <c r="O2" s="210">
        <v>0.0</v>
      </c>
      <c r="P2" s="297"/>
    </row>
    <row r="3" ht="11.25" customHeight="1">
      <c r="A3" s="12">
        <f t="shared" si="1"/>
        <v>2</v>
      </c>
      <c r="B3" s="12" t="s">
        <v>24</v>
      </c>
      <c r="C3" s="15" t="s">
        <v>122</v>
      </c>
      <c r="D3" s="19" t="s">
        <v>458</v>
      </c>
      <c r="E3" s="25" t="s">
        <v>116</v>
      </c>
      <c r="F3" s="25" t="s">
        <v>385</v>
      </c>
      <c r="G3" s="25" t="s">
        <v>36</v>
      </c>
      <c r="H3" s="32">
        <v>45993.0</v>
      </c>
      <c r="I3" s="15">
        <v>0.0</v>
      </c>
      <c r="J3" s="25" t="s">
        <v>38</v>
      </c>
      <c r="K3" s="28">
        <v>200000.0</v>
      </c>
      <c r="L3" s="28">
        <v>0.0</v>
      </c>
      <c r="M3" s="28">
        <v>0.0</v>
      </c>
      <c r="N3" s="28">
        <v>0.0</v>
      </c>
      <c r="O3" s="28">
        <v>0.0</v>
      </c>
      <c r="P3" s="281"/>
    </row>
    <row r="4" ht="11.25" customHeight="1">
      <c r="A4" s="12">
        <f t="shared" si="1"/>
        <v>3</v>
      </c>
      <c r="B4" s="12" t="s">
        <v>24</v>
      </c>
      <c r="C4" s="15" t="s">
        <v>122</v>
      </c>
      <c r="D4" s="19" t="s">
        <v>464</v>
      </c>
      <c r="E4" s="25" t="s">
        <v>44</v>
      </c>
      <c r="F4" s="25" t="s">
        <v>45</v>
      </c>
      <c r="G4" s="25" t="s">
        <v>36</v>
      </c>
      <c r="H4" s="32">
        <v>45993.0</v>
      </c>
      <c r="I4" s="15">
        <v>1.0</v>
      </c>
      <c r="J4" s="25" t="s">
        <v>38</v>
      </c>
      <c r="K4" s="28">
        <v>48000.0</v>
      </c>
      <c r="L4" s="28">
        <v>0.0</v>
      </c>
      <c r="M4" s="28">
        <v>0.0</v>
      </c>
      <c r="N4" s="28">
        <v>0.0</v>
      </c>
      <c r="O4" s="28">
        <v>0.0</v>
      </c>
      <c r="P4" s="281"/>
    </row>
    <row r="5" ht="11.25" customHeight="1">
      <c r="A5" s="12">
        <f t="shared" si="1"/>
        <v>4</v>
      </c>
      <c r="B5" s="12" t="s">
        <v>24</v>
      </c>
      <c r="C5" s="12" t="s">
        <v>211</v>
      </c>
      <c r="D5" s="19" t="s">
        <v>466</v>
      </c>
      <c r="E5" s="106" t="s">
        <v>345</v>
      </c>
      <c r="F5" s="106" t="s">
        <v>114</v>
      </c>
      <c r="G5" s="106" t="s">
        <v>36</v>
      </c>
      <c r="H5" s="32">
        <v>45995.0</v>
      </c>
      <c r="I5" s="12">
        <v>1.0</v>
      </c>
      <c r="J5" s="25" t="s">
        <v>38</v>
      </c>
      <c r="K5" s="210">
        <v>100000.0</v>
      </c>
      <c r="L5" s="210">
        <v>0.0</v>
      </c>
      <c r="M5" s="210">
        <v>0.0</v>
      </c>
      <c r="N5" s="210">
        <v>0.0</v>
      </c>
      <c r="O5" s="210">
        <v>0.0</v>
      </c>
      <c r="P5" s="297"/>
    </row>
    <row r="6" ht="11.25" customHeight="1">
      <c r="A6" s="12">
        <f t="shared" si="1"/>
        <v>5</v>
      </c>
      <c r="B6" s="12" t="s">
        <v>24</v>
      </c>
      <c r="C6" s="12" t="s">
        <v>211</v>
      </c>
      <c r="D6" s="19" t="s">
        <v>468</v>
      </c>
      <c r="E6" s="106" t="s">
        <v>345</v>
      </c>
      <c r="F6" s="106" t="s">
        <v>114</v>
      </c>
      <c r="G6" s="106" t="s">
        <v>36</v>
      </c>
      <c r="H6" s="32">
        <v>45995.0</v>
      </c>
      <c r="I6" s="12">
        <v>0.0</v>
      </c>
      <c r="J6" s="106" t="s">
        <v>57</v>
      </c>
      <c r="K6" s="210">
        <v>4000.0</v>
      </c>
      <c r="L6" s="210">
        <v>0.0</v>
      </c>
      <c r="M6" s="210">
        <v>0.0</v>
      </c>
      <c r="N6" s="210">
        <v>0.0</v>
      </c>
      <c r="O6" s="210">
        <v>0.0</v>
      </c>
      <c r="P6" s="297"/>
    </row>
    <row r="7" ht="11.25" customHeight="1">
      <c r="A7" s="12">
        <f t="shared" si="1"/>
        <v>6</v>
      </c>
      <c r="B7" s="12" t="s">
        <v>24</v>
      </c>
      <c r="C7" s="12" t="s">
        <v>211</v>
      </c>
      <c r="D7" s="19" t="s">
        <v>470</v>
      </c>
      <c r="E7" s="106" t="s">
        <v>345</v>
      </c>
      <c r="F7" s="106" t="s">
        <v>114</v>
      </c>
      <c r="G7" s="106" t="s">
        <v>37</v>
      </c>
      <c r="H7" s="32">
        <v>45995.0</v>
      </c>
      <c r="I7" s="12">
        <v>2.0</v>
      </c>
      <c r="J7" s="25" t="s">
        <v>38</v>
      </c>
      <c r="K7" s="210">
        <v>10000.0</v>
      </c>
      <c r="L7" s="210">
        <v>0.0</v>
      </c>
      <c r="M7" s="210">
        <v>0.0</v>
      </c>
      <c r="N7" s="210">
        <v>0.0</v>
      </c>
      <c r="O7" s="210">
        <v>0.0</v>
      </c>
      <c r="P7" s="281"/>
    </row>
    <row r="8" ht="11.25" customHeight="1">
      <c r="A8" s="12">
        <f t="shared" si="1"/>
        <v>7</v>
      </c>
      <c r="B8" s="12" t="s">
        <v>24</v>
      </c>
      <c r="C8" s="15" t="s">
        <v>122</v>
      </c>
      <c r="D8" s="19" t="s">
        <v>471</v>
      </c>
      <c r="E8" s="25" t="s">
        <v>44</v>
      </c>
      <c r="F8" s="25" t="s">
        <v>472</v>
      </c>
      <c r="G8" s="25" t="s">
        <v>36</v>
      </c>
      <c r="H8" s="32">
        <v>45997.0</v>
      </c>
      <c r="I8" s="15">
        <v>1.0</v>
      </c>
      <c r="J8" s="25" t="s">
        <v>38</v>
      </c>
      <c r="K8" s="28">
        <v>350000.0</v>
      </c>
      <c r="L8" s="28">
        <v>0.0</v>
      </c>
      <c r="M8" s="28">
        <v>0.0</v>
      </c>
      <c r="N8" s="28">
        <v>0.0</v>
      </c>
      <c r="O8" s="28">
        <v>0.0</v>
      </c>
      <c r="P8" s="298"/>
    </row>
    <row r="9" ht="11.25" customHeight="1">
      <c r="A9" s="12">
        <f t="shared" si="1"/>
        <v>8</v>
      </c>
      <c r="B9" s="12" t="s">
        <v>24</v>
      </c>
      <c r="C9" s="15" t="s">
        <v>211</v>
      </c>
      <c r="D9" s="19" t="s">
        <v>475</v>
      </c>
      <c r="E9" s="25" t="s">
        <v>180</v>
      </c>
      <c r="F9" s="25" t="s">
        <v>341</v>
      </c>
      <c r="G9" s="25" t="s">
        <v>37</v>
      </c>
      <c r="H9" s="32">
        <v>45997.0</v>
      </c>
      <c r="I9" s="15">
        <v>2.0</v>
      </c>
      <c r="J9" s="25" t="s">
        <v>38</v>
      </c>
      <c r="K9" s="28">
        <v>30000.0</v>
      </c>
      <c r="L9" s="28">
        <v>0.0</v>
      </c>
      <c r="M9" s="28">
        <v>0.0</v>
      </c>
      <c r="N9" s="28">
        <v>0.0</v>
      </c>
      <c r="O9" s="28">
        <v>0.0</v>
      </c>
      <c r="P9" s="281"/>
    </row>
    <row r="10" ht="11.25" customHeight="1">
      <c r="A10" s="12">
        <f t="shared" si="1"/>
        <v>9</v>
      </c>
      <c r="B10" s="12" t="s">
        <v>24</v>
      </c>
      <c r="C10" s="12" t="s">
        <v>211</v>
      </c>
      <c r="D10" s="19" t="s">
        <v>479</v>
      </c>
      <c r="E10" s="25" t="s">
        <v>208</v>
      </c>
      <c r="F10" s="25" t="s">
        <v>480</v>
      </c>
      <c r="G10" s="106" t="s">
        <v>36</v>
      </c>
      <c r="H10" s="118">
        <v>45997.0</v>
      </c>
      <c r="I10" s="15">
        <v>2.0</v>
      </c>
      <c r="J10" s="106" t="s">
        <v>38</v>
      </c>
      <c r="K10" s="28">
        <v>0.0</v>
      </c>
      <c r="L10" s="28">
        <v>10000.0</v>
      </c>
      <c r="M10" s="210">
        <v>0.0</v>
      </c>
      <c r="N10" s="210">
        <v>0.0</v>
      </c>
      <c r="O10" s="210">
        <v>0.0</v>
      </c>
      <c r="P10" s="118"/>
    </row>
    <row r="11" ht="11.25" customHeight="1">
      <c r="A11" s="12">
        <f t="shared" si="1"/>
        <v>10</v>
      </c>
      <c r="B11" s="12" t="s">
        <v>24</v>
      </c>
      <c r="C11" s="12" t="s">
        <v>211</v>
      </c>
      <c r="D11" s="19" t="s">
        <v>483</v>
      </c>
      <c r="E11" s="106" t="s">
        <v>169</v>
      </c>
      <c r="F11" s="25" t="s">
        <v>484</v>
      </c>
      <c r="G11" s="106" t="s">
        <v>36</v>
      </c>
      <c r="H11" s="118">
        <v>45998.0</v>
      </c>
      <c r="I11" s="15">
        <v>1.0</v>
      </c>
      <c r="J11" s="106" t="s">
        <v>38</v>
      </c>
      <c r="K11" s="28">
        <v>0.0</v>
      </c>
      <c r="L11" s="28">
        <v>5000.0</v>
      </c>
      <c r="M11" s="210">
        <v>0.0</v>
      </c>
      <c r="N11" s="210">
        <v>0.0</v>
      </c>
      <c r="O11" s="210">
        <v>0.0</v>
      </c>
      <c r="P11" s="218"/>
    </row>
    <row r="12" ht="11.25" customHeight="1">
      <c r="A12" s="12">
        <f t="shared" si="1"/>
        <v>11</v>
      </c>
      <c r="B12" s="12" t="s">
        <v>24</v>
      </c>
      <c r="C12" s="15" t="s">
        <v>122</v>
      </c>
      <c r="D12" s="19" t="s">
        <v>486</v>
      </c>
      <c r="E12" s="25" t="s">
        <v>487</v>
      </c>
      <c r="F12" s="25" t="s">
        <v>488</v>
      </c>
      <c r="G12" s="106" t="s">
        <v>36</v>
      </c>
      <c r="H12" s="118">
        <v>45998.0</v>
      </c>
      <c r="I12" s="15">
        <v>2.0</v>
      </c>
      <c r="J12" s="106" t="s">
        <v>38</v>
      </c>
      <c r="K12" s="210">
        <v>5000.0</v>
      </c>
      <c r="L12" s="210">
        <v>0.0</v>
      </c>
      <c r="M12" s="210">
        <v>0.0</v>
      </c>
      <c r="N12" s="210">
        <v>0.0</v>
      </c>
      <c r="O12" s="210">
        <v>0.0</v>
      </c>
      <c r="P12" s="218"/>
    </row>
    <row r="13" ht="11.25" customHeight="1">
      <c r="A13" s="12">
        <f t="shared" si="1"/>
        <v>12</v>
      </c>
      <c r="B13" s="12" t="s">
        <v>24</v>
      </c>
      <c r="C13" s="12" t="s">
        <v>211</v>
      </c>
      <c r="D13" s="19" t="s">
        <v>492</v>
      </c>
      <c r="E13" s="106" t="s">
        <v>27</v>
      </c>
      <c r="F13" s="25" t="s">
        <v>69</v>
      </c>
      <c r="G13" s="106" t="s">
        <v>36</v>
      </c>
      <c r="H13" s="118">
        <v>45999.0</v>
      </c>
      <c r="I13" s="15">
        <v>0.0</v>
      </c>
      <c r="J13" s="106" t="s">
        <v>57</v>
      </c>
      <c r="K13" s="28">
        <v>0.0</v>
      </c>
      <c r="L13" s="28">
        <v>17000.0</v>
      </c>
      <c r="M13" s="210">
        <v>0.0</v>
      </c>
      <c r="N13" s="210">
        <v>0.0</v>
      </c>
      <c r="O13" s="210">
        <v>0.0</v>
      </c>
      <c r="P13" s="281"/>
    </row>
    <row r="14" ht="11.25" customHeight="1">
      <c r="A14" s="12">
        <f t="shared" si="1"/>
        <v>13</v>
      </c>
      <c r="B14" s="12" t="s">
        <v>24</v>
      </c>
      <c r="C14" s="15" t="s">
        <v>122</v>
      </c>
      <c r="D14" s="19" t="s">
        <v>494</v>
      </c>
      <c r="E14" s="25" t="s">
        <v>191</v>
      </c>
      <c r="F14" s="25" t="s">
        <v>252</v>
      </c>
      <c r="G14" s="106" t="s">
        <v>36</v>
      </c>
      <c r="H14" s="118">
        <v>45999.0</v>
      </c>
      <c r="I14" s="15">
        <v>0.0</v>
      </c>
      <c r="J14" s="106" t="s">
        <v>57</v>
      </c>
      <c r="K14" s="28">
        <v>0.0</v>
      </c>
      <c r="L14" s="28">
        <v>29700.0</v>
      </c>
      <c r="M14" s="210">
        <v>0.0</v>
      </c>
      <c r="N14" s="210">
        <v>0.0</v>
      </c>
      <c r="O14" s="210">
        <v>0.0</v>
      </c>
      <c r="P14" s="281"/>
    </row>
    <row r="15" ht="11.25" customHeight="1">
      <c r="A15" s="12">
        <f t="shared" si="1"/>
        <v>14</v>
      </c>
      <c r="B15" s="12" t="s">
        <v>24</v>
      </c>
      <c r="C15" s="12" t="s">
        <v>122</v>
      </c>
      <c r="D15" s="289" t="s">
        <v>188</v>
      </c>
      <c r="E15" s="106" t="s">
        <v>184</v>
      </c>
      <c r="F15" s="106" t="s">
        <v>186</v>
      </c>
      <c r="G15" s="106" t="s">
        <v>34</v>
      </c>
      <c r="H15" s="118">
        <v>45999.0</v>
      </c>
      <c r="I15" s="12">
        <v>5.0</v>
      </c>
      <c r="J15" s="106" t="s">
        <v>38</v>
      </c>
      <c r="K15" s="210">
        <v>50000.0</v>
      </c>
      <c r="L15" s="210">
        <v>0.0</v>
      </c>
      <c r="M15" s="210">
        <v>0.0</v>
      </c>
      <c r="N15" s="210">
        <v>0.0</v>
      </c>
      <c r="O15" s="210">
        <v>0.0</v>
      </c>
      <c r="P15" s="281"/>
    </row>
    <row r="16" ht="11.25" customHeight="1">
      <c r="A16" s="12">
        <f t="shared" si="1"/>
        <v>15</v>
      </c>
      <c r="B16" s="12" t="s">
        <v>24</v>
      </c>
      <c r="C16" s="12" t="s">
        <v>122</v>
      </c>
      <c r="D16" s="289" t="s">
        <v>183</v>
      </c>
      <c r="E16" s="106" t="s">
        <v>184</v>
      </c>
      <c r="F16" s="106" t="s">
        <v>186</v>
      </c>
      <c r="G16" s="106" t="s">
        <v>34</v>
      </c>
      <c r="H16" s="118">
        <v>46000.0</v>
      </c>
      <c r="I16" s="12">
        <v>0.0</v>
      </c>
      <c r="J16" s="106" t="s">
        <v>38</v>
      </c>
      <c r="K16" s="210">
        <v>50000.0</v>
      </c>
      <c r="L16" s="210">
        <v>0.0</v>
      </c>
      <c r="M16" s="210">
        <v>0.0</v>
      </c>
      <c r="N16" s="210">
        <v>0.0</v>
      </c>
      <c r="O16" s="210">
        <v>0.0</v>
      </c>
      <c r="P16" s="281"/>
    </row>
    <row r="17" ht="11.25" customHeight="1">
      <c r="A17" s="12">
        <f t="shared" si="1"/>
        <v>16</v>
      </c>
      <c r="B17" s="12" t="s">
        <v>24</v>
      </c>
      <c r="C17" s="12" t="s">
        <v>211</v>
      </c>
      <c r="D17" s="19" t="s">
        <v>497</v>
      </c>
      <c r="E17" s="106" t="s">
        <v>345</v>
      </c>
      <c r="F17" s="106" t="s">
        <v>114</v>
      </c>
      <c r="G17" s="106" t="s">
        <v>37</v>
      </c>
      <c r="H17" s="32">
        <v>46000.0</v>
      </c>
      <c r="I17" s="12">
        <v>0.0</v>
      </c>
      <c r="J17" s="25" t="s">
        <v>38</v>
      </c>
      <c r="K17" s="210">
        <v>10000.0</v>
      </c>
      <c r="L17" s="210">
        <v>0.0</v>
      </c>
      <c r="M17" s="210">
        <v>0.0</v>
      </c>
      <c r="N17" s="210">
        <v>0.0</v>
      </c>
      <c r="O17" s="210">
        <v>0.0</v>
      </c>
      <c r="P17" s="281"/>
    </row>
    <row r="18" ht="11.25" customHeight="1">
      <c r="A18" s="12">
        <f t="shared" si="1"/>
        <v>17</v>
      </c>
      <c r="B18" s="12" t="s">
        <v>24</v>
      </c>
      <c r="C18" s="12" t="s">
        <v>211</v>
      </c>
      <c r="D18" s="19" t="s">
        <v>499</v>
      </c>
      <c r="E18" s="106" t="s">
        <v>208</v>
      </c>
      <c r="F18" s="106" t="s">
        <v>394</v>
      </c>
      <c r="G18" s="106" t="s">
        <v>36</v>
      </c>
      <c r="H18" s="32">
        <v>46000.0</v>
      </c>
      <c r="I18" s="12">
        <v>0.0</v>
      </c>
      <c r="J18" s="106" t="s">
        <v>38</v>
      </c>
      <c r="K18" s="210">
        <v>5000.0</v>
      </c>
      <c r="L18" s="210">
        <v>0.0</v>
      </c>
      <c r="M18" s="210">
        <v>0.0</v>
      </c>
      <c r="N18" s="210">
        <v>0.0</v>
      </c>
      <c r="O18" s="210">
        <v>0.0</v>
      </c>
      <c r="P18" s="297"/>
    </row>
    <row r="19" ht="11.25" customHeight="1">
      <c r="A19" s="12">
        <f t="shared" si="1"/>
        <v>18</v>
      </c>
      <c r="B19" s="12" t="s">
        <v>24</v>
      </c>
      <c r="C19" s="12" t="s">
        <v>211</v>
      </c>
      <c r="D19" s="19" t="s">
        <v>510</v>
      </c>
      <c r="E19" s="106" t="s">
        <v>208</v>
      </c>
      <c r="F19" s="25" t="s">
        <v>505</v>
      </c>
      <c r="G19" s="106" t="s">
        <v>36</v>
      </c>
      <c r="H19" s="32">
        <v>46001.0</v>
      </c>
      <c r="I19" s="12">
        <v>4.0</v>
      </c>
      <c r="J19" s="106" t="s">
        <v>38</v>
      </c>
      <c r="K19" s="28">
        <v>0.0</v>
      </c>
      <c r="L19" s="28">
        <v>100000.0</v>
      </c>
      <c r="M19" s="210">
        <v>0.0</v>
      </c>
      <c r="N19" s="210">
        <v>0.0</v>
      </c>
      <c r="O19" s="210">
        <v>0.0</v>
      </c>
      <c r="P19" s="281"/>
    </row>
    <row r="20" ht="11.25" customHeight="1">
      <c r="A20" s="12">
        <f t="shared" si="1"/>
        <v>19</v>
      </c>
      <c r="B20" s="12" t="s">
        <v>24</v>
      </c>
      <c r="C20" s="12" t="s">
        <v>211</v>
      </c>
      <c r="D20" s="19" t="s">
        <v>513</v>
      </c>
      <c r="E20" s="106" t="s">
        <v>27</v>
      </c>
      <c r="F20" s="106" t="s">
        <v>64</v>
      </c>
      <c r="G20" s="106" t="s">
        <v>36</v>
      </c>
      <c r="H20" s="32">
        <v>46001.0</v>
      </c>
      <c r="I20" s="12">
        <v>0.0</v>
      </c>
      <c r="J20" s="106" t="s">
        <v>57</v>
      </c>
      <c r="K20" s="281">
        <v>0.0</v>
      </c>
      <c r="L20" s="28">
        <v>7500.0</v>
      </c>
      <c r="M20" s="281">
        <v>0.0</v>
      </c>
      <c r="N20" s="281">
        <v>0.0</v>
      </c>
      <c r="O20" s="281">
        <v>0.0</v>
      </c>
      <c r="P20" s="281"/>
    </row>
    <row r="21" ht="11.25" customHeight="1">
      <c r="A21" s="12">
        <f t="shared" si="1"/>
        <v>20</v>
      </c>
      <c r="B21" s="12" t="s">
        <v>24</v>
      </c>
      <c r="C21" s="12"/>
      <c r="D21" s="289" t="s">
        <v>192</v>
      </c>
      <c r="E21" s="106"/>
      <c r="F21" s="106" t="s">
        <v>79</v>
      </c>
      <c r="G21" s="106" t="s">
        <v>34</v>
      </c>
      <c r="H21" s="118">
        <v>46001.0</v>
      </c>
      <c r="I21" s="12">
        <v>0.0</v>
      </c>
      <c r="J21" s="106" t="s">
        <v>57</v>
      </c>
      <c r="K21" s="210">
        <v>0.0</v>
      </c>
      <c r="L21" s="210">
        <v>50000.0</v>
      </c>
      <c r="M21" s="210">
        <v>0.0</v>
      </c>
      <c r="N21" s="210">
        <v>0.0</v>
      </c>
      <c r="O21" s="210">
        <v>0.0</v>
      </c>
      <c r="P21" s="281"/>
    </row>
    <row r="22" ht="11.25" customHeight="1">
      <c r="A22" s="12">
        <f t="shared" si="1"/>
        <v>21</v>
      </c>
      <c r="B22" s="12" t="s">
        <v>24</v>
      </c>
      <c r="C22" s="15" t="s">
        <v>122</v>
      </c>
      <c r="D22" s="19" t="s">
        <v>515</v>
      </c>
      <c r="E22" s="25" t="s">
        <v>51</v>
      </c>
      <c r="F22" s="25" t="s">
        <v>428</v>
      </c>
      <c r="G22" s="106" t="s">
        <v>36</v>
      </c>
      <c r="H22" s="32">
        <v>46002.0</v>
      </c>
      <c r="I22" s="15">
        <v>0.0</v>
      </c>
      <c r="J22" s="106" t="s">
        <v>38</v>
      </c>
      <c r="K22" s="28">
        <v>55000.0</v>
      </c>
      <c r="L22" s="281">
        <v>0.0</v>
      </c>
      <c r="M22" s="281">
        <v>0.0</v>
      </c>
      <c r="N22" s="281">
        <v>0.0</v>
      </c>
      <c r="O22" s="281">
        <v>0.0</v>
      </c>
      <c r="P22" s="281"/>
    </row>
    <row r="23" ht="11.25" customHeight="1">
      <c r="A23" s="12">
        <f t="shared" si="1"/>
        <v>22</v>
      </c>
      <c r="B23" s="12" t="s">
        <v>24</v>
      </c>
      <c r="C23" s="12" t="s">
        <v>211</v>
      </c>
      <c r="D23" s="19" t="s">
        <v>518</v>
      </c>
      <c r="E23" s="106" t="s">
        <v>180</v>
      </c>
      <c r="F23" s="106" t="s">
        <v>341</v>
      </c>
      <c r="G23" s="106" t="s">
        <v>37</v>
      </c>
      <c r="H23" s="32">
        <v>46004.0</v>
      </c>
      <c r="I23" s="12">
        <v>0.0</v>
      </c>
      <c r="J23" s="106" t="s">
        <v>38</v>
      </c>
      <c r="K23" s="210">
        <v>165000.0</v>
      </c>
      <c r="L23" s="210">
        <v>0.0</v>
      </c>
      <c r="M23" s="210">
        <v>0.0</v>
      </c>
      <c r="N23" s="210">
        <v>0.0</v>
      </c>
      <c r="O23" s="210">
        <v>0.0</v>
      </c>
      <c r="P23" s="281"/>
    </row>
    <row r="24" ht="11.25" customHeight="1">
      <c r="A24" s="12">
        <f t="shared" si="1"/>
        <v>23</v>
      </c>
      <c r="B24" s="12" t="s">
        <v>24</v>
      </c>
      <c r="C24" s="12" t="s">
        <v>211</v>
      </c>
      <c r="D24" s="19" t="s">
        <v>504</v>
      </c>
      <c r="E24" s="106" t="s">
        <v>84</v>
      </c>
      <c r="F24" s="25" t="s">
        <v>505</v>
      </c>
      <c r="G24" s="106" t="s">
        <v>36</v>
      </c>
      <c r="H24" s="32">
        <v>46005.0</v>
      </c>
      <c r="I24" s="12">
        <v>1.0</v>
      </c>
      <c r="J24" s="106" t="s">
        <v>38</v>
      </c>
      <c r="K24" s="28">
        <v>20000.0</v>
      </c>
      <c r="L24" s="28">
        <v>0.0</v>
      </c>
      <c r="M24" s="210">
        <v>0.0</v>
      </c>
      <c r="N24" s="210">
        <v>0.0</v>
      </c>
      <c r="O24" s="210">
        <v>0.0</v>
      </c>
      <c r="P24" s="281"/>
    </row>
    <row r="25" ht="11.25" customHeight="1">
      <c r="A25" s="12">
        <f t="shared" si="1"/>
        <v>24</v>
      </c>
      <c r="B25" s="12" t="s">
        <v>24</v>
      </c>
      <c r="C25" s="12" t="s">
        <v>122</v>
      </c>
      <c r="D25" s="289" t="s">
        <v>453</v>
      </c>
      <c r="E25" s="106" t="s">
        <v>116</v>
      </c>
      <c r="F25" s="106" t="s">
        <v>371</v>
      </c>
      <c r="G25" s="106" t="s">
        <v>36</v>
      </c>
      <c r="H25" s="32">
        <v>46006.0</v>
      </c>
      <c r="I25" s="12">
        <v>0.0</v>
      </c>
      <c r="J25" s="106" t="s">
        <v>38</v>
      </c>
      <c r="K25" s="210">
        <v>0.0</v>
      </c>
      <c r="L25" s="210">
        <v>0.0</v>
      </c>
      <c r="M25" s="210">
        <v>350000.0</v>
      </c>
      <c r="N25" s="210">
        <v>0.0</v>
      </c>
      <c r="O25" s="210">
        <v>0.0</v>
      </c>
      <c r="P25" s="281"/>
    </row>
    <row r="26" ht="11.25" customHeight="1">
      <c r="A26" s="12">
        <f t="shared" si="1"/>
        <v>25</v>
      </c>
      <c r="B26" s="12" t="s">
        <v>24</v>
      </c>
      <c r="C26" s="12"/>
      <c r="D26" s="289" t="s">
        <v>195</v>
      </c>
      <c r="E26" s="106"/>
      <c r="F26" s="106" t="s">
        <v>32</v>
      </c>
      <c r="G26" s="106" t="s">
        <v>34</v>
      </c>
      <c r="H26" s="118">
        <v>46006.0</v>
      </c>
      <c r="I26" s="12">
        <v>0.0</v>
      </c>
      <c r="J26" s="106" t="s">
        <v>57</v>
      </c>
      <c r="K26" s="210">
        <v>0.0</v>
      </c>
      <c r="L26" s="210">
        <v>50000.0</v>
      </c>
      <c r="M26" s="210">
        <v>0.0</v>
      </c>
      <c r="N26" s="210">
        <v>0.0</v>
      </c>
      <c r="O26" s="210">
        <v>0.0</v>
      </c>
      <c r="P26" s="281"/>
    </row>
    <row r="27" ht="11.25" customHeight="1">
      <c r="A27" s="12">
        <f t="shared" si="1"/>
        <v>26</v>
      </c>
      <c r="B27" s="12" t="s">
        <v>24</v>
      </c>
      <c r="C27" s="12" t="s">
        <v>211</v>
      </c>
      <c r="D27" s="19" t="s">
        <v>507</v>
      </c>
      <c r="E27" s="25" t="s">
        <v>27</v>
      </c>
      <c r="F27" s="25" t="s">
        <v>508</v>
      </c>
      <c r="G27" s="106" t="s">
        <v>36</v>
      </c>
      <c r="H27" s="32">
        <v>46007.0</v>
      </c>
      <c r="I27" s="15">
        <v>1.0</v>
      </c>
      <c r="J27" s="106" t="s">
        <v>38</v>
      </c>
      <c r="K27" s="28">
        <v>50000.0</v>
      </c>
      <c r="L27" s="28">
        <v>0.0</v>
      </c>
      <c r="M27" s="210">
        <v>0.0</v>
      </c>
      <c r="N27" s="210">
        <v>0.0</v>
      </c>
      <c r="O27" s="210">
        <v>0.0</v>
      </c>
      <c r="P27" s="281"/>
    </row>
    <row r="28" ht="11.25" customHeight="1">
      <c r="A28" s="12">
        <f t="shared" si="1"/>
        <v>27</v>
      </c>
      <c r="B28" s="12" t="s">
        <v>24</v>
      </c>
      <c r="C28" s="12" t="s">
        <v>211</v>
      </c>
      <c r="D28" s="19" t="s">
        <v>519</v>
      </c>
      <c r="E28" s="25" t="s">
        <v>169</v>
      </c>
      <c r="F28" s="25" t="s">
        <v>521</v>
      </c>
      <c r="G28" s="106" t="s">
        <v>36</v>
      </c>
      <c r="H28" s="32">
        <v>46009.0</v>
      </c>
      <c r="I28" s="15">
        <v>1.0</v>
      </c>
      <c r="J28" s="106" t="s">
        <v>38</v>
      </c>
      <c r="K28" s="28">
        <v>10000.0</v>
      </c>
      <c r="L28" s="210">
        <v>0.0</v>
      </c>
      <c r="M28" s="210">
        <v>0.0</v>
      </c>
      <c r="N28" s="210">
        <v>0.0</v>
      </c>
      <c r="O28" s="210">
        <v>0.0</v>
      </c>
      <c r="P28" s="118"/>
    </row>
    <row r="29" ht="11.25" customHeight="1">
      <c r="A29" s="12">
        <f t="shared" si="1"/>
        <v>28</v>
      </c>
      <c r="B29" s="12" t="s">
        <v>24</v>
      </c>
      <c r="C29" s="15" t="s">
        <v>122</v>
      </c>
      <c r="D29" s="19" t="s">
        <v>522</v>
      </c>
      <c r="E29" s="25" t="s">
        <v>241</v>
      </c>
      <c r="F29" s="25" t="s">
        <v>523</v>
      </c>
      <c r="G29" s="106" t="s">
        <v>36</v>
      </c>
      <c r="H29" s="32">
        <v>46009.0</v>
      </c>
      <c r="I29" s="15">
        <v>1.0</v>
      </c>
      <c r="J29" s="106" t="s">
        <v>38</v>
      </c>
      <c r="K29" s="28">
        <v>10000.0</v>
      </c>
      <c r="L29" s="210">
        <v>0.0</v>
      </c>
      <c r="M29" s="210">
        <v>0.0</v>
      </c>
      <c r="N29" s="210">
        <v>0.0</v>
      </c>
      <c r="O29" s="210">
        <v>0.0</v>
      </c>
      <c r="P29" s="118"/>
    </row>
    <row r="30" ht="11.25" customHeight="1">
      <c r="A30" s="12">
        <f t="shared" si="1"/>
        <v>29</v>
      </c>
      <c r="B30" s="12" t="s">
        <v>24</v>
      </c>
      <c r="C30" s="12" t="s">
        <v>211</v>
      </c>
      <c r="D30" s="289" t="s">
        <v>436</v>
      </c>
      <c r="E30" s="106" t="s">
        <v>356</v>
      </c>
      <c r="F30" s="106" t="s">
        <v>388</v>
      </c>
      <c r="G30" s="106" t="s">
        <v>36</v>
      </c>
      <c r="H30" s="118">
        <v>45990.0</v>
      </c>
      <c r="I30" s="12">
        <v>0.0</v>
      </c>
      <c r="J30" s="106" t="s">
        <v>38</v>
      </c>
      <c r="K30" s="210">
        <v>0.0</v>
      </c>
      <c r="L30" s="210">
        <v>0.0</v>
      </c>
      <c r="M30" s="210">
        <v>65000.0</v>
      </c>
      <c r="N30" s="210">
        <v>0.0</v>
      </c>
      <c r="O30" s="281">
        <v>0.0</v>
      </c>
      <c r="P30" s="32">
        <v>46009.0</v>
      </c>
    </row>
    <row r="31" ht="11.25" customHeight="1">
      <c r="A31" s="12">
        <f t="shared" si="1"/>
        <v>30</v>
      </c>
      <c r="B31" s="12" t="s">
        <v>24</v>
      </c>
      <c r="C31" s="15" t="s">
        <v>122</v>
      </c>
      <c r="D31" s="289" t="s">
        <v>1482</v>
      </c>
      <c r="E31" s="106" t="s">
        <v>487</v>
      </c>
      <c r="F31" s="106" t="s">
        <v>554</v>
      </c>
      <c r="G31" s="106" t="s">
        <v>36</v>
      </c>
      <c r="H31" s="118">
        <v>46013.0</v>
      </c>
      <c r="I31" s="12">
        <v>2.0</v>
      </c>
      <c r="J31" s="106" t="s">
        <v>38</v>
      </c>
      <c r="K31" s="210">
        <v>20000.0</v>
      </c>
      <c r="L31" s="210">
        <v>0.0</v>
      </c>
      <c r="M31" s="210">
        <v>0.0</v>
      </c>
      <c r="N31" s="210">
        <v>0.0</v>
      </c>
      <c r="O31" s="210">
        <v>0.0</v>
      </c>
      <c r="P31" s="118"/>
    </row>
    <row r="32" ht="11.25" customHeight="1">
      <c r="A32" s="12">
        <f t="shared" si="1"/>
        <v>31</v>
      </c>
      <c r="B32" s="12" t="s">
        <v>24</v>
      </c>
      <c r="C32" s="12" t="s">
        <v>211</v>
      </c>
      <c r="D32" s="19" t="s">
        <v>529</v>
      </c>
      <c r="E32" s="127" t="s">
        <v>84</v>
      </c>
      <c r="F32" s="106" t="s">
        <v>408</v>
      </c>
      <c r="G32" s="106" t="s">
        <v>36</v>
      </c>
      <c r="H32" s="118">
        <v>46015.0</v>
      </c>
      <c r="I32" s="12">
        <v>0.0</v>
      </c>
      <c r="J32" s="106" t="s">
        <v>38</v>
      </c>
      <c r="K32" s="210">
        <v>45000.0</v>
      </c>
      <c r="L32" s="210">
        <v>0.0</v>
      </c>
      <c r="M32" s="210">
        <v>0.0</v>
      </c>
      <c r="N32" s="210">
        <v>0.0</v>
      </c>
      <c r="O32" s="210">
        <v>0.0</v>
      </c>
      <c r="P32" s="118"/>
    </row>
    <row r="33" ht="11.25" customHeight="1">
      <c r="A33" s="12">
        <f t="shared" si="1"/>
        <v>32</v>
      </c>
      <c r="B33" s="12" t="s">
        <v>24</v>
      </c>
      <c r="C33" s="12" t="s">
        <v>211</v>
      </c>
      <c r="D33" s="19" t="s">
        <v>528</v>
      </c>
      <c r="E33" s="25" t="s">
        <v>303</v>
      </c>
      <c r="F33" s="25" t="s">
        <v>526</v>
      </c>
      <c r="G33" s="106" t="s">
        <v>36</v>
      </c>
      <c r="H33" s="118">
        <v>46018.0</v>
      </c>
      <c r="I33" s="15">
        <v>1.0</v>
      </c>
      <c r="J33" s="106" t="s">
        <v>38</v>
      </c>
      <c r="K33" s="28">
        <v>0.0</v>
      </c>
      <c r="L33" s="28">
        <v>0.0</v>
      </c>
      <c r="M33" s="28">
        <v>25000.0</v>
      </c>
      <c r="N33" s="76">
        <v>0.0</v>
      </c>
      <c r="O33" s="77">
        <v>0.0</v>
      </c>
      <c r="P33" s="33">
        <v>46019.0</v>
      </c>
    </row>
    <row r="34" ht="11.25" customHeight="1">
      <c r="A34" s="12">
        <f t="shared" si="1"/>
        <v>33</v>
      </c>
      <c r="B34" s="12" t="s">
        <v>24</v>
      </c>
      <c r="C34" s="12" t="s">
        <v>211</v>
      </c>
      <c r="D34" s="19" t="s">
        <v>532</v>
      </c>
      <c r="E34" s="25" t="s">
        <v>303</v>
      </c>
      <c r="F34" s="25" t="s">
        <v>533</v>
      </c>
      <c r="G34" s="106" t="s">
        <v>36</v>
      </c>
      <c r="H34" s="118">
        <v>46018.0</v>
      </c>
      <c r="I34" s="15">
        <v>1.0</v>
      </c>
      <c r="J34" s="106" t="s">
        <v>38</v>
      </c>
      <c r="K34" s="28">
        <v>0.0</v>
      </c>
      <c r="L34" s="28">
        <v>0.0</v>
      </c>
      <c r="M34" s="28">
        <v>25000.0</v>
      </c>
      <c r="N34" s="76">
        <v>0.0</v>
      </c>
      <c r="O34" s="77">
        <v>0.0</v>
      </c>
      <c r="P34" s="33">
        <v>46019.0</v>
      </c>
    </row>
    <row r="35" ht="11.25" customHeight="1">
      <c r="A35" s="12">
        <f t="shared" si="1"/>
        <v>34</v>
      </c>
      <c r="B35" s="12" t="s">
        <v>24</v>
      </c>
      <c r="C35" s="12" t="s">
        <v>211</v>
      </c>
      <c r="D35" s="19" t="s">
        <v>525</v>
      </c>
      <c r="E35" s="25" t="s">
        <v>303</v>
      </c>
      <c r="F35" s="25" t="s">
        <v>526</v>
      </c>
      <c r="G35" s="106" t="s">
        <v>36</v>
      </c>
      <c r="H35" s="118">
        <v>46018.0</v>
      </c>
      <c r="I35" s="15">
        <v>0.0</v>
      </c>
      <c r="J35" s="106" t="s">
        <v>38</v>
      </c>
      <c r="K35" s="28">
        <v>0.0</v>
      </c>
      <c r="L35" s="28">
        <v>0.0</v>
      </c>
      <c r="M35" s="28">
        <v>0.0</v>
      </c>
      <c r="N35" s="76">
        <v>100000.0</v>
      </c>
      <c r="O35" s="77">
        <v>0.0</v>
      </c>
      <c r="P35" s="33">
        <v>46042.0</v>
      </c>
    </row>
    <row r="36" ht="11.25" customHeight="1">
      <c r="A36" s="12">
        <f t="shared" si="1"/>
        <v>35</v>
      </c>
      <c r="B36" s="12" t="s">
        <v>24</v>
      </c>
      <c r="C36" s="12" t="s">
        <v>211</v>
      </c>
      <c r="D36" s="19" t="s">
        <v>534</v>
      </c>
      <c r="E36" s="25" t="s">
        <v>303</v>
      </c>
      <c r="F36" s="25" t="s">
        <v>533</v>
      </c>
      <c r="G36" s="106" t="s">
        <v>36</v>
      </c>
      <c r="H36" s="118">
        <v>46018.0</v>
      </c>
      <c r="I36" s="15">
        <v>0.0</v>
      </c>
      <c r="J36" s="106" t="s">
        <v>38</v>
      </c>
      <c r="K36" s="28">
        <v>0.0</v>
      </c>
      <c r="L36" s="28">
        <v>0.0</v>
      </c>
      <c r="M36" s="28">
        <v>0.0</v>
      </c>
      <c r="N36" s="76">
        <v>100000.0</v>
      </c>
      <c r="O36" s="77">
        <v>0.0</v>
      </c>
      <c r="P36" s="33">
        <v>46042.0</v>
      </c>
    </row>
    <row r="37" ht="11.25" customHeight="1">
      <c r="A37" s="12">
        <f t="shared" si="1"/>
        <v>36</v>
      </c>
      <c r="B37" s="12" t="s">
        <v>24</v>
      </c>
      <c r="C37" s="15" t="s">
        <v>122</v>
      </c>
      <c r="D37" s="19" t="s">
        <v>537</v>
      </c>
      <c r="E37" s="106" t="s">
        <v>60</v>
      </c>
      <c r="F37" s="106" t="s">
        <v>161</v>
      </c>
      <c r="G37" s="106" t="s">
        <v>36</v>
      </c>
      <c r="H37" s="118">
        <v>46019.0</v>
      </c>
      <c r="I37" s="12">
        <v>0.0</v>
      </c>
      <c r="J37" s="106" t="s">
        <v>57</v>
      </c>
      <c r="K37" s="210">
        <v>7300.0</v>
      </c>
      <c r="L37" s="210">
        <v>0.0</v>
      </c>
      <c r="M37" s="210">
        <v>0.0</v>
      </c>
      <c r="N37" s="210">
        <v>0.0</v>
      </c>
      <c r="O37" s="210">
        <v>0.0</v>
      </c>
      <c r="P37" s="118"/>
    </row>
    <row r="38" ht="11.25" customHeight="1">
      <c r="A38" s="12">
        <f t="shared" si="1"/>
        <v>37</v>
      </c>
      <c r="B38" s="12" t="s">
        <v>24</v>
      </c>
      <c r="C38" s="15" t="s">
        <v>122</v>
      </c>
      <c r="D38" s="19" t="s">
        <v>538</v>
      </c>
      <c r="E38" s="25" t="s">
        <v>487</v>
      </c>
      <c r="F38" s="25" t="s">
        <v>488</v>
      </c>
      <c r="G38" s="106" t="s">
        <v>36</v>
      </c>
      <c r="H38" s="118">
        <v>46019.0</v>
      </c>
      <c r="I38" s="15">
        <v>0.0</v>
      </c>
      <c r="J38" s="106" t="s">
        <v>38</v>
      </c>
      <c r="K38" s="210">
        <v>0.0</v>
      </c>
      <c r="L38" s="210">
        <v>0.0</v>
      </c>
      <c r="M38" s="210">
        <v>200000.0</v>
      </c>
      <c r="N38" s="210">
        <v>0.0</v>
      </c>
      <c r="O38" s="210">
        <v>0.0</v>
      </c>
      <c r="P38" s="33">
        <v>46020.0</v>
      </c>
    </row>
    <row r="39" ht="11.25" customHeight="1">
      <c r="A39" s="12">
        <f t="shared" si="1"/>
        <v>38</v>
      </c>
      <c r="B39" s="12" t="s">
        <v>24</v>
      </c>
      <c r="C39" s="15" t="s">
        <v>122</v>
      </c>
      <c r="D39" s="19" t="s">
        <v>542</v>
      </c>
      <c r="E39" s="106" t="s">
        <v>184</v>
      </c>
      <c r="F39" s="25" t="s">
        <v>543</v>
      </c>
      <c r="G39" s="106" t="s">
        <v>36</v>
      </c>
      <c r="H39" s="118">
        <v>46020.0</v>
      </c>
      <c r="I39" s="15">
        <v>1.0</v>
      </c>
      <c r="J39" s="106" t="s">
        <v>38</v>
      </c>
      <c r="K39" s="28">
        <v>10000.0</v>
      </c>
      <c r="L39" s="28">
        <v>0.0</v>
      </c>
      <c r="M39" s="28">
        <v>0.0</v>
      </c>
      <c r="N39" s="76">
        <v>0.0</v>
      </c>
      <c r="O39" s="77">
        <v>0.0</v>
      </c>
      <c r="P39" s="118"/>
    </row>
    <row r="40" ht="11.25" customHeight="1">
      <c r="A40" s="12">
        <f t="shared" si="1"/>
        <v>39</v>
      </c>
      <c r="B40" s="12" t="s">
        <v>24</v>
      </c>
      <c r="C40" s="12" t="s">
        <v>122</v>
      </c>
      <c r="D40" s="289" t="s">
        <v>198</v>
      </c>
      <c r="E40" s="106" t="s">
        <v>184</v>
      </c>
      <c r="F40" s="106" t="s">
        <v>186</v>
      </c>
      <c r="G40" s="106" t="s">
        <v>34</v>
      </c>
      <c r="H40" s="118">
        <v>46018.0</v>
      </c>
      <c r="I40" s="12">
        <v>0.0</v>
      </c>
      <c r="J40" s="106" t="s">
        <v>38</v>
      </c>
      <c r="K40" s="210">
        <v>280000.0</v>
      </c>
      <c r="L40" s="210">
        <v>0.0</v>
      </c>
      <c r="M40" s="210">
        <v>0.0</v>
      </c>
      <c r="N40" s="210">
        <v>0.0</v>
      </c>
      <c r="O40" s="210">
        <v>0.0</v>
      </c>
      <c r="P40" s="118"/>
    </row>
    <row r="41" ht="11.25" customHeight="1">
      <c r="A41" s="12">
        <f t="shared" si="1"/>
        <v>40</v>
      </c>
      <c r="B41" s="12" t="s">
        <v>24</v>
      </c>
      <c r="C41" s="15" t="s">
        <v>211</v>
      </c>
      <c r="D41" s="19" t="s">
        <v>1483</v>
      </c>
      <c r="E41" s="25" t="s">
        <v>208</v>
      </c>
      <c r="F41" s="25" t="s">
        <v>661</v>
      </c>
      <c r="G41" s="106" t="s">
        <v>36</v>
      </c>
      <c r="H41" s="118">
        <v>46020.0</v>
      </c>
      <c r="I41" s="15">
        <v>2.0</v>
      </c>
      <c r="J41" s="106" t="s">
        <v>38</v>
      </c>
      <c r="K41" s="28">
        <v>0.0</v>
      </c>
      <c r="L41" s="28">
        <v>0.0</v>
      </c>
      <c r="M41" s="76">
        <v>400000.0</v>
      </c>
      <c r="N41" s="76">
        <v>0.0</v>
      </c>
      <c r="O41" s="77">
        <v>0.0</v>
      </c>
      <c r="P41" s="33">
        <v>46021.0</v>
      </c>
    </row>
    <row r="42" ht="11.25" customHeight="1">
      <c r="A42" s="12">
        <f t="shared" si="1"/>
        <v>41</v>
      </c>
      <c r="B42" s="12" t="s">
        <v>24</v>
      </c>
      <c r="C42" s="12" t="s">
        <v>211</v>
      </c>
      <c r="D42" s="289" t="s">
        <v>400</v>
      </c>
      <c r="E42" s="106" t="s">
        <v>208</v>
      </c>
      <c r="F42" s="106" t="s">
        <v>394</v>
      </c>
      <c r="G42" s="106" t="s">
        <v>36</v>
      </c>
      <c r="H42" s="118">
        <v>45981.0</v>
      </c>
      <c r="I42" s="12">
        <v>0.0</v>
      </c>
      <c r="J42" s="106" t="s">
        <v>38</v>
      </c>
      <c r="K42" s="210">
        <v>0.0</v>
      </c>
      <c r="L42" s="210">
        <v>0.0</v>
      </c>
      <c r="M42" s="210">
        <v>20000.0</v>
      </c>
      <c r="N42" s="210">
        <v>0.0</v>
      </c>
      <c r="O42" s="210">
        <v>0.0</v>
      </c>
      <c r="P42" s="118">
        <v>46020.0</v>
      </c>
    </row>
    <row r="43" ht="11.25" customHeight="1">
      <c r="A43" s="12">
        <f t="shared" si="1"/>
        <v>42</v>
      </c>
      <c r="B43" s="12" t="s">
        <v>24</v>
      </c>
      <c r="C43" s="12" t="s">
        <v>122</v>
      </c>
      <c r="D43" s="289" t="s">
        <v>200</v>
      </c>
      <c r="E43" s="106" t="s">
        <v>184</v>
      </c>
      <c r="F43" s="106" t="s">
        <v>186</v>
      </c>
      <c r="G43" s="106" t="s">
        <v>34</v>
      </c>
      <c r="H43" s="118">
        <v>46021.0</v>
      </c>
      <c r="I43" s="12">
        <v>0.0</v>
      </c>
      <c r="J43" s="106" t="s">
        <v>38</v>
      </c>
      <c r="K43" s="210">
        <v>500000.0</v>
      </c>
      <c r="L43" s="210">
        <v>0.0</v>
      </c>
      <c r="M43" s="210">
        <v>0.0</v>
      </c>
      <c r="N43" s="210">
        <v>0.0</v>
      </c>
      <c r="O43" s="210">
        <v>0.0</v>
      </c>
      <c r="P43" s="118"/>
    </row>
    <row r="44" ht="11.25" customHeight="1">
      <c r="A44" s="12">
        <f t="shared" si="1"/>
        <v>43</v>
      </c>
      <c r="B44" s="12" t="s">
        <v>24</v>
      </c>
      <c r="C44" s="12" t="s">
        <v>211</v>
      </c>
      <c r="D44" s="19" t="s">
        <v>546</v>
      </c>
      <c r="E44" s="25" t="s">
        <v>169</v>
      </c>
      <c r="F44" s="25" t="s">
        <v>484</v>
      </c>
      <c r="G44" s="106" t="s">
        <v>36</v>
      </c>
      <c r="H44" s="118">
        <v>46022.0</v>
      </c>
      <c r="I44" s="15">
        <v>0.0</v>
      </c>
      <c r="J44" s="106" t="s">
        <v>38</v>
      </c>
      <c r="K44" s="28">
        <v>0.0</v>
      </c>
      <c r="L44" s="28">
        <v>5000.0</v>
      </c>
      <c r="M44" s="28">
        <v>0.0</v>
      </c>
      <c r="N44" s="76">
        <v>0.0</v>
      </c>
      <c r="O44" s="77">
        <v>0.0</v>
      </c>
      <c r="P44" s="118"/>
    </row>
    <row r="45" ht="11.25" customHeight="1">
      <c r="A45" s="12">
        <f t="shared" si="1"/>
        <v>44</v>
      </c>
      <c r="B45" s="12" t="s">
        <v>24</v>
      </c>
      <c r="C45" s="12" t="s">
        <v>211</v>
      </c>
      <c r="D45" s="19" t="s">
        <v>547</v>
      </c>
      <c r="E45" s="25" t="s">
        <v>27</v>
      </c>
      <c r="F45" s="25" t="s">
        <v>548</v>
      </c>
      <c r="G45" s="25" t="s">
        <v>36</v>
      </c>
      <c r="H45" s="30">
        <v>46022.0</v>
      </c>
      <c r="I45" s="15">
        <v>1.0</v>
      </c>
      <c r="J45" s="25" t="s">
        <v>38</v>
      </c>
      <c r="K45" s="28">
        <v>10000.0</v>
      </c>
      <c r="L45" s="28">
        <v>0.0</v>
      </c>
      <c r="M45" s="28">
        <v>0.0</v>
      </c>
      <c r="N45" s="76">
        <v>0.0</v>
      </c>
      <c r="O45" s="77">
        <v>0.0</v>
      </c>
      <c r="P45" s="118"/>
    </row>
    <row r="46" ht="11.25" customHeight="1">
      <c r="A46" s="12" t="str">
        <f t="shared" si="1"/>
        <v/>
      </c>
      <c r="B46" s="12"/>
      <c r="C46" s="12"/>
      <c r="D46" s="12"/>
      <c r="E46" s="106"/>
      <c r="F46" s="106"/>
      <c r="G46" s="106"/>
      <c r="H46" s="118"/>
      <c r="I46" s="12"/>
      <c r="J46" s="106"/>
      <c r="K46" s="210"/>
      <c r="L46" s="210"/>
      <c r="M46" s="210"/>
      <c r="N46" s="210"/>
      <c r="O46" s="281"/>
      <c r="P46" s="281"/>
    </row>
    <row r="47" ht="11.25" customHeight="1">
      <c r="A47" s="12" t="str">
        <f t="shared" si="1"/>
        <v/>
      </c>
      <c r="B47" s="12"/>
      <c r="C47" s="12"/>
      <c r="D47" s="12"/>
      <c r="E47" s="106"/>
      <c r="F47" s="106"/>
      <c r="G47" s="106"/>
      <c r="H47" s="118"/>
      <c r="I47" s="124" t="s">
        <v>462</v>
      </c>
      <c r="J47" s="120"/>
      <c r="K47" s="125" t="s">
        <v>13</v>
      </c>
      <c r="L47" s="125" t="s">
        <v>14</v>
      </c>
      <c r="M47" s="125" t="s">
        <v>15</v>
      </c>
      <c r="N47" s="2" t="s">
        <v>465</v>
      </c>
      <c r="O47" s="281"/>
      <c r="P47" s="281"/>
    </row>
    <row r="48" ht="11.25" customHeight="1">
      <c r="A48" s="287" t="s">
        <v>789</v>
      </c>
      <c r="B48" s="120"/>
      <c r="C48" s="127"/>
      <c r="D48" s="128"/>
      <c r="E48" s="127"/>
      <c r="F48" s="127"/>
      <c r="G48" s="127"/>
      <c r="H48" s="129"/>
      <c r="I48" s="130">
        <f>SUM(I2:I47)</f>
        <v>33</v>
      </c>
      <c r="J48" s="120"/>
      <c r="K48" s="131">
        <f t="shared" ref="K48:O48" si="2">SUM(K2:K47)</f>
        <v>2044300</v>
      </c>
      <c r="L48" s="131">
        <f t="shared" si="2"/>
        <v>282200</v>
      </c>
      <c r="M48" s="131">
        <f t="shared" si="2"/>
        <v>1085000</v>
      </c>
      <c r="N48" s="131">
        <f t="shared" si="2"/>
        <v>200000</v>
      </c>
      <c r="O48" s="131">
        <f t="shared" si="2"/>
        <v>0</v>
      </c>
      <c r="P48" s="303" t="s">
        <v>481</v>
      </c>
    </row>
    <row r="49" ht="11.25" customHeight="1">
      <c r="A49" s="134"/>
      <c r="B49" s="135"/>
      <c r="C49" s="135"/>
      <c r="D49" s="134"/>
      <c r="E49" s="135"/>
      <c r="F49" s="135"/>
      <c r="G49" s="135"/>
      <c r="H49" s="136"/>
      <c r="I49" s="135"/>
      <c r="J49" s="135"/>
      <c r="K49" s="139" t="s">
        <v>491</v>
      </c>
      <c r="L49" s="120"/>
      <c r="M49" s="282">
        <f>SUM(K48:M48)</f>
        <v>3411500</v>
      </c>
      <c r="N49" s="301"/>
      <c r="O49" s="301"/>
      <c r="P49" s="136"/>
    </row>
    <row r="50" ht="11.25" customHeight="1">
      <c r="A50" s="134"/>
      <c r="B50" s="135"/>
      <c r="C50" s="135"/>
      <c r="D50" s="134"/>
      <c r="E50" s="135"/>
      <c r="F50" s="135"/>
      <c r="G50" s="135"/>
      <c r="H50" s="136"/>
      <c r="I50" s="135"/>
      <c r="J50" s="135"/>
      <c r="K50" s="145" t="s">
        <v>506</v>
      </c>
      <c r="L50" s="120"/>
      <c r="M50" s="283">
        <f>SUM(M49-L2-K6-L13-L14-L20-L21-L26-K37)</f>
        <v>3238000</v>
      </c>
      <c r="N50" s="301"/>
      <c r="O50" s="301"/>
      <c r="P50" s="136"/>
    </row>
    <row r="51" ht="15.75" customHeight="1">
      <c r="A51" s="149"/>
      <c r="D51" s="149"/>
      <c r="H51" s="150"/>
      <c r="P51" s="150"/>
    </row>
    <row r="52" ht="15.75" customHeight="1">
      <c r="A52" s="149"/>
      <c r="D52" s="149"/>
      <c r="H52" s="150"/>
      <c r="P52" s="150"/>
    </row>
    <row r="53" ht="15.75" customHeight="1">
      <c r="A53" s="149"/>
      <c r="D53" s="149"/>
      <c r="H53" s="150"/>
      <c r="P53" s="150"/>
    </row>
    <row r="54" ht="15.75" customHeight="1">
      <c r="A54" s="149"/>
      <c r="D54" s="149"/>
      <c r="H54" s="150"/>
      <c r="P54" s="150"/>
    </row>
    <row r="55" ht="15.75" customHeight="1">
      <c r="A55" s="149"/>
      <c r="D55" s="149"/>
      <c r="H55" s="150"/>
      <c r="P55" s="150"/>
    </row>
    <row r="56" ht="15.75" customHeight="1">
      <c r="A56" s="149"/>
      <c r="D56" s="149"/>
      <c r="H56" s="150"/>
      <c r="P56" s="150"/>
    </row>
    <row r="57" ht="15.75" customHeight="1">
      <c r="A57" s="149"/>
      <c r="D57" s="149"/>
      <c r="H57" s="150"/>
      <c r="P57" s="150"/>
    </row>
    <row r="58" ht="15.75" customHeight="1">
      <c r="A58" s="149"/>
      <c r="D58" s="149"/>
      <c r="H58" s="150"/>
      <c r="P58" s="150"/>
    </row>
    <row r="59" ht="15.75" customHeight="1">
      <c r="A59" s="149"/>
      <c r="D59" s="149"/>
      <c r="H59" s="150"/>
      <c r="P59" s="150"/>
    </row>
    <row r="60" ht="15.75" customHeight="1">
      <c r="A60" s="149"/>
      <c r="D60" s="149"/>
      <c r="H60" s="150"/>
      <c r="P60" s="150"/>
    </row>
    <row r="61" ht="15.75" customHeight="1">
      <c r="A61" s="149"/>
      <c r="D61" s="149"/>
      <c r="H61" s="150"/>
      <c r="P61" s="150"/>
    </row>
    <row r="62" ht="15.75" customHeight="1">
      <c r="A62" s="149"/>
      <c r="D62" s="149"/>
      <c r="H62" s="150"/>
      <c r="P62" s="150"/>
    </row>
    <row r="63" ht="15.75" customHeight="1">
      <c r="A63" s="149"/>
      <c r="D63" s="149"/>
      <c r="H63" s="150"/>
      <c r="P63" s="150"/>
    </row>
    <row r="64" ht="15.75" customHeight="1">
      <c r="A64" s="149"/>
      <c r="D64" s="149"/>
      <c r="H64" s="150"/>
      <c r="P64" s="150"/>
    </row>
    <row r="65" ht="15.75" customHeight="1">
      <c r="A65" s="149"/>
      <c r="D65" s="149"/>
      <c r="H65" s="150"/>
      <c r="P65" s="150"/>
    </row>
    <row r="66" ht="15.75" customHeight="1">
      <c r="A66" s="149"/>
      <c r="D66" s="149"/>
      <c r="H66" s="150"/>
      <c r="P66" s="150"/>
    </row>
    <row r="67" ht="15.75" customHeight="1">
      <c r="A67" s="149"/>
      <c r="D67" s="149"/>
      <c r="H67" s="150"/>
      <c r="P67" s="150"/>
    </row>
    <row r="68" ht="15.75" customHeight="1">
      <c r="A68" s="149"/>
      <c r="D68" s="149"/>
      <c r="H68" s="150"/>
      <c r="P68" s="150"/>
    </row>
    <row r="69" ht="15.75" customHeight="1">
      <c r="A69" s="149"/>
      <c r="D69" s="149"/>
      <c r="H69" s="150"/>
      <c r="P69" s="150"/>
    </row>
    <row r="70" ht="15.75" customHeight="1">
      <c r="A70" s="149"/>
      <c r="D70" s="149"/>
      <c r="H70" s="150"/>
      <c r="P70" s="150"/>
    </row>
    <row r="71" ht="15.75" customHeight="1">
      <c r="A71" s="149"/>
      <c r="D71" s="149"/>
      <c r="H71" s="150"/>
      <c r="P71" s="150"/>
    </row>
    <row r="72" ht="15.75" customHeight="1">
      <c r="A72" s="149"/>
      <c r="D72" s="149"/>
      <c r="H72" s="150"/>
      <c r="P72" s="150"/>
    </row>
    <row r="73" ht="15.75" customHeight="1">
      <c r="A73" s="149"/>
      <c r="D73" s="149"/>
      <c r="H73" s="150"/>
      <c r="P73" s="150"/>
    </row>
    <row r="74" ht="15.75" customHeight="1">
      <c r="A74" s="149"/>
      <c r="D74" s="149"/>
      <c r="H74" s="150"/>
      <c r="P74" s="150"/>
    </row>
    <row r="75" ht="15.75" customHeight="1">
      <c r="A75" s="149"/>
      <c r="D75" s="149"/>
      <c r="H75" s="150"/>
      <c r="P75" s="150"/>
    </row>
    <row r="76" ht="15.75" customHeight="1">
      <c r="A76" s="149"/>
      <c r="D76" s="149"/>
      <c r="H76" s="150"/>
      <c r="P76" s="150"/>
    </row>
    <row r="77" ht="15.75" customHeight="1">
      <c r="A77" s="149"/>
      <c r="D77" s="149"/>
      <c r="H77" s="150"/>
      <c r="P77" s="150"/>
    </row>
    <row r="78" ht="15.75" customHeight="1">
      <c r="A78" s="149"/>
      <c r="D78" s="149"/>
      <c r="H78" s="150"/>
      <c r="P78" s="150"/>
    </row>
    <row r="79" ht="15.75" customHeight="1">
      <c r="A79" s="149"/>
      <c r="D79" s="149"/>
      <c r="H79" s="150"/>
      <c r="P79" s="150"/>
    </row>
    <row r="80" ht="15.75" customHeight="1">
      <c r="A80" s="149"/>
      <c r="D80" s="149"/>
      <c r="H80" s="150"/>
      <c r="P80" s="150"/>
    </row>
    <row r="81" ht="15.75" customHeight="1">
      <c r="A81" s="149"/>
      <c r="D81" s="149"/>
      <c r="H81" s="150"/>
      <c r="P81" s="150"/>
    </row>
    <row r="82" ht="15.75" customHeight="1">
      <c r="A82" s="149"/>
      <c r="D82" s="149"/>
      <c r="H82" s="150"/>
      <c r="P82" s="150"/>
    </row>
    <row r="83" ht="15.75" customHeight="1">
      <c r="A83" s="149"/>
      <c r="D83" s="149"/>
      <c r="H83" s="150"/>
      <c r="P83" s="150"/>
    </row>
    <row r="84" ht="15.75" customHeight="1">
      <c r="A84" s="149"/>
      <c r="D84" s="149"/>
      <c r="H84" s="150"/>
      <c r="P84" s="150"/>
    </row>
    <row r="85" ht="15.75" customHeight="1">
      <c r="A85" s="149"/>
      <c r="D85" s="149"/>
      <c r="H85" s="150"/>
      <c r="P85" s="150"/>
    </row>
    <row r="86" ht="15.75" customHeight="1">
      <c r="A86" s="149"/>
      <c r="D86" s="149"/>
      <c r="H86" s="150"/>
      <c r="P86" s="150"/>
    </row>
    <row r="87" ht="15.75" customHeight="1">
      <c r="A87" s="149"/>
      <c r="D87" s="149"/>
      <c r="H87" s="150"/>
      <c r="P87" s="150"/>
    </row>
    <row r="88" ht="15.75" customHeight="1">
      <c r="A88" s="149"/>
      <c r="D88" s="149"/>
      <c r="H88" s="150"/>
      <c r="P88" s="150"/>
    </row>
    <row r="89" ht="15.75" customHeight="1">
      <c r="A89" s="149"/>
      <c r="D89" s="149"/>
      <c r="H89" s="150"/>
      <c r="P89" s="150"/>
    </row>
    <row r="90" ht="15.75" customHeight="1">
      <c r="A90" s="149"/>
      <c r="D90" s="149"/>
      <c r="H90" s="150"/>
      <c r="P90" s="150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</sheetData>
  <autoFilter ref="$A$1:$P$50">
    <sortState ref="A1:P50">
      <sortCondition ref="D1:D50"/>
    </sortState>
  </autoFilter>
  <mergeCells count="5">
    <mergeCell ref="I47:J47"/>
    <mergeCell ref="A48:B48"/>
    <mergeCell ref="I48:J48"/>
    <mergeCell ref="K49:L49"/>
    <mergeCell ref="K50:L50"/>
  </mergeCells>
  <printOptions/>
  <pageMargins bottom="0.1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0"/>
    <col customWidth="1" min="8" max="8" width="9.57"/>
    <col customWidth="1" min="9" max="9" width="3.29"/>
    <col customWidth="1" min="10" max="10" width="6.43"/>
    <col customWidth="1" min="11" max="11" width="9.71"/>
    <col customWidth="1" min="12" max="12" width="10.57"/>
    <col customWidth="1" min="13" max="13" width="11.43"/>
    <col customWidth="1" min="14" max="14" width="9.71"/>
    <col customWidth="1" min="15" max="15" width="7.57"/>
    <col customWidth="1" min="16" max="16" width="9.14"/>
    <col customWidth="1" min="17" max="26" width="8.71"/>
  </cols>
  <sheetData>
    <row r="1">
      <c r="A1" s="8" t="s">
        <v>0</v>
      </c>
      <c r="B1" s="2" t="s">
        <v>2</v>
      </c>
      <c r="C1" s="2" t="s">
        <v>1216</v>
      </c>
      <c r="D1" s="2" t="s">
        <v>5</v>
      </c>
      <c r="E1" s="2" t="s">
        <v>6</v>
      </c>
      <c r="F1" s="2" t="s">
        <v>17</v>
      </c>
      <c r="G1" s="2" t="s">
        <v>8</v>
      </c>
      <c r="H1" s="2" t="s">
        <v>20</v>
      </c>
      <c r="I1" s="2" t="s">
        <v>21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18</v>
      </c>
      <c r="P1" s="2" t="s">
        <v>22</v>
      </c>
    </row>
    <row r="2" ht="11.25" customHeight="1">
      <c r="A2" s="12">
        <f t="shared" ref="A2:A46" si="1">IF(D2="","",SUBTOTAL(3,$D$2:D2))</f>
        <v>1</v>
      </c>
      <c r="B2" s="12" t="s">
        <v>24</v>
      </c>
      <c r="C2" s="12" t="s">
        <v>301</v>
      </c>
      <c r="D2" s="289" t="s">
        <v>333</v>
      </c>
      <c r="E2" s="106" t="s">
        <v>334</v>
      </c>
      <c r="F2" s="106" t="s">
        <v>336</v>
      </c>
      <c r="G2" s="106" t="s">
        <v>36</v>
      </c>
      <c r="H2" s="118">
        <v>45962.0</v>
      </c>
      <c r="I2" s="12">
        <v>2.0</v>
      </c>
      <c r="J2" s="106" t="s">
        <v>38</v>
      </c>
      <c r="K2" s="210">
        <v>0.0</v>
      </c>
      <c r="L2" s="210">
        <v>0.0</v>
      </c>
      <c r="M2" s="210">
        <v>200000.0</v>
      </c>
      <c r="N2" s="210">
        <v>0.0</v>
      </c>
      <c r="O2" s="281">
        <v>0.0</v>
      </c>
      <c r="P2" s="297">
        <v>45964.0</v>
      </c>
    </row>
    <row r="3" ht="11.25" customHeight="1">
      <c r="A3" s="12">
        <f t="shared" si="1"/>
        <v>2</v>
      </c>
      <c r="B3" s="12" t="s">
        <v>24</v>
      </c>
      <c r="C3" s="12" t="s">
        <v>211</v>
      </c>
      <c r="D3" s="289" t="s">
        <v>340</v>
      </c>
      <c r="E3" s="106" t="s">
        <v>221</v>
      </c>
      <c r="F3" s="106" t="s">
        <v>341</v>
      </c>
      <c r="G3" s="106" t="s">
        <v>37</v>
      </c>
      <c r="H3" s="118">
        <v>45962.0</v>
      </c>
      <c r="I3" s="12">
        <v>1.0</v>
      </c>
      <c r="J3" s="106" t="s">
        <v>38</v>
      </c>
      <c r="K3" s="210">
        <v>5000.0</v>
      </c>
      <c r="L3" s="210">
        <v>0.0</v>
      </c>
      <c r="M3" s="210">
        <v>0.0</v>
      </c>
      <c r="N3" s="210">
        <v>0.0</v>
      </c>
      <c r="O3" s="281">
        <v>0.0</v>
      </c>
      <c r="P3" s="281"/>
    </row>
    <row r="4" ht="11.25" customHeight="1">
      <c r="A4" s="12">
        <f t="shared" si="1"/>
        <v>3</v>
      </c>
      <c r="B4" s="12" t="s">
        <v>24</v>
      </c>
      <c r="C4" s="12" t="s">
        <v>211</v>
      </c>
      <c r="D4" s="12">
        <v>70928.0</v>
      </c>
      <c r="E4" s="106" t="s">
        <v>356</v>
      </c>
      <c r="F4" s="106" t="s">
        <v>388</v>
      </c>
      <c r="G4" s="106" t="s">
        <v>36</v>
      </c>
      <c r="H4" s="118">
        <v>45962.0</v>
      </c>
      <c r="I4" s="12">
        <v>1.0</v>
      </c>
      <c r="J4" s="106" t="s">
        <v>38</v>
      </c>
      <c r="K4" s="210">
        <v>5000.0</v>
      </c>
      <c r="L4" s="210">
        <v>0.0</v>
      </c>
      <c r="M4" s="210">
        <v>0.0</v>
      </c>
      <c r="N4" s="210">
        <v>0.0</v>
      </c>
      <c r="O4" s="281">
        <v>0.0</v>
      </c>
      <c r="P4" s="281"/>
    </row>
    <row r="5" ht="11.25" customHeight="1">
      <c r="A5" s="12">
        <f t="shared" si="1"/>
        <v>4</v>
      </c>
      <c r="B5" s="12" t="s">
        <v>24</v>
      </c>
      <c r="C5" s="12" t="s">
        <v>211</v>
      </c>
      <c r="D5" s="289" t="s">
        <v>343</v>
      </c>
      <c r="E5" s="106" t="s">
        <v>345</v>
      </c>
      <c r="F5" s="106" t="s">
        <v>114</v>
      </c>
      <c r="G5" s="106" t="s">
        <v>36</v>
      </c>
      <c r="H5" s="118">
        <v>45964.0</v>
      </c>
      <c r="I5" s="12">
        <v>0.0</v>
      </c>
      <c r="J5" s="106" t="s">
        <v>57</v>
      </c>
      <c r="K5" s="210">
        <v>4000.0</v>
      </c>
      <c r="L5" s="210">
        <v>0.0</v>
      </c>
      <c r="M5" s="210">
        <v>0.0</v>
      </c>
      <c r="N5" s="210">
        <v>0.0</v>
      </c>
      <c r="O5" s="281">
        <v>0.0</v>
      </c>
      <c r="P5" s="297"/>
    </row>
    <row r="6" ht="11.25" customHeight="1">
      <c r="A6" s="12">
        <f t="shared" si="1"/>
        <v>5</v>
      </c>
      <c r="B6" s="12" t="s">
        <v>24</v>
      </c>
      <c r="C6" s="12" t="s">
        <v>301</v>
      </c>
      <c r="D6" s="12">
        <v>66785.0</v>
      </c>
      <c r="E6" s="106" t="s">
        <v>169</v>
      </c>
      <c r="F6" s="106" t="s">
        <v>1484</v>
      </c>
      <c r="G6" s="106" t="s">
        <v>36</v>
      </c>
      <c r="H6" s="118">
        <v>45965.0</v>
      </c>
      <c r="I6" s="12">
        <v>1.0</v>
      </c>
      <c r="J6" s="106" t="s">
        <v>38</v>
      </c>
      <c r="K6" s="210">
        <v>10000.0</v>
      </c>
      <c r="L6" s="210">
        <v>0.0</v>
      </c>
      <c r="M6" s="210">
        <v>0.0</v>
      </c>
      <c r="N6" s="210">
        <v>0.0</v>
      </c>
      <c r="O6" s="281">
        <v>0.0</v>
      </c>
      <c r="P6" s="297"/>
    </row>
    <row r="7" ht="11.25" customHeight="1">
      <c r="A7" s="12">
        <f t="shared" si="1"/>
        <v>6</v>
      </c>
      <c r="B7" s="12" t="s">
        <v>24</v>
      </c>
      <c r="C7" s="12" t="s">
        <v>211</v>
      </c>
      <c r="D7" s="289" t="s">
        <v>348</v>
      </c>
      <c r="E7" s="106" t="s">
        <v>141</v>
      </c>
      <c r="F7" s="106" t="s">
        <v>143</v>
      </c>
      <c r="G7" s="106" t="s">
        <v>36</v>
      </c>
      <c r="H7" s="118">
        <v>45965.0</v>
      </c>
      <c r="I7" s="12">
        <v>0.0</v>
      </c>
      <c r="J7" s="106" t="s">
        <v>57</v>
      </c>
      <c r="K7" s="210">
        <v>5800.0</v>
      </c>
      <c r="L7" s="210">
        <v>0.0</v>
      </c>
      <c r="M7" s="210">
        <v>0.0</v>
      </c>
      <c r="N7" s="210">
        <v>0.0</v>
      </c>
      <c r="O7" s="281">
        <v>0.0</v>
      </c>
      <c r="P7" s="281"/>
    </row>
    <row r="8" ht="11.25" customHeight="1">
      <c r="A8" s="12">
        <f t="shared" si="1"/>
        <v>7</v>
      </c>
      <c r="B8" s="12" t="s">
        <v>24</v>
      </c>
      <c r="C8" s="12"/>
      <c r="D8" s="289" t="s">
        <v>138</v>
      </c>
      <c r="E8" s="106"/>
      <c r="F8" s="106" t="s">
        <v>79</v>
      </c>
      <c r="G8" s="106" t="s">
        <v>34</v>
      </c>
      <c r="H8" s="294">
        <v>45966.0</v>
      </c>
      <c r="I8" s="12">
        <v>0.0</v>
      </c>
      <c r="J8" s="106" t="s">
        <v>57</v>
      </c>
      <c r="K8" s="210">
        <v>0.0</v>
      </c>
      <c r="L8" s="210">
        <v>50000.0</v>
      </c>
      <c r="M8" s="210">
        <v>0.0</v>
      </c>
      <c r="N8" s="210">
        <v>0.0</v>
      </c>
      <c r="O8" s="281">
        <v>0.0</v>
      </c>
      <c r="P8" s="298"/>
    </row>
    <row r="9" ht="11.25" customHeight="1">
      <c r="A9" s="12">
        <f t="shared" si="1"/>
        <v>8</v>
      </c>
      <c r="B9" s="12" t="s">
        <v>24</v>
      </c>
      <c r="C9" s="12" t="s">
        <v>211</v>
      </c>
      <c r="D9" s="289" t="s">
        <v>355</v>
      </c>
      <c r="E9" s="106" t="s">
        <v>356</v>
      </c>
      <c r="F9" s="106" t="s">
        <v>358</v>
      </c>
      <c r="G9" s="106" t="s">
        <v>36</v>
      </c>
      <c r="H9" s="118">
        <v>45967.0</v>
      </c>
      <c r="I9" s="12">
        <v>1.0</v>
      </c>
      <c r="J9" s="106" t="s">
        <v>38</v>
      </c>
      <c r="K9" s="210">
        <v>5000.0</v>
      </c>
      <c r="L9" s="210">
        <v>0.0</v>
      </c>
      <c r="M9" s="210">
        <v>0.0</v>
      </c>
      <c r="N9" s="210">
        <v>0.0</v>
      </c>
      <c r="O9" s="281">
        <v>0.0</v>
      </c>
      <c r="P9" s="281"/>
    </row>
    <row r="10" ht="11.25" customHeight="1">
      <c r="A10" s="12">
        <f t="shared" si="1"/>
        <v>9</v>
      </c>
      <c r="B10" s="12" t="s">
        <v>24</v>
      </c>
      <c r="C10" s="12" t="s">
        <v>122</v>
      </c>
      <c r="D10" s="289" t="s">
        <v>145</v>
      </c>
      <c r="E10" s="106" t="s">
        <v>71</v>
      </c>
      <c r="F10" s="106" t="s">
        <v>124</v>
      </c>
      <c r="G10" s="106" t="s">
        <v>34</v>
      </c>
      <c r="H10" s="294">
        <v>45967.0</v>
      </c>
      <c r="I10" s="12">
        <v>1.0</v>
      </c>
      <c r="J10" s="106" t="s">
        <v>38</v>
      </c>
      <c r="K10" s="210">
        <v>0.0</v>
      </c>
      <c r="L10" s="210">
        <v>0.0</v>
      </c>
      <c r="M10" s="210">
        <v>0.0</v>
      </c>
      <c r="N10" s="300" t="s">
        <v>1485</v>
      </c>
      <c r="O10" s="281">
        <v>0.0</v>
      </c>
      <c r="P10" s="118">
        <v>45972.0</v>
      </c>
    </row>
    <row r="11" ht="11.25" customHeight="1">
      <c r="A11" s="12">
        <f t="shared" si="1"/>
        <v>10</v>
      </c>
      <c r="B11" s="12" t="s">
        <v>24</v>
      </c>
      <c r="C11" s="12" t="s">
        <v>122</v>
      </c>
      <c r="D11" s="289" t="s">
        <v>148</v>
      </c>
      <c r="E11" s="106" t="s">
        <v>44</v>
      </c>
      <c r="F11" s="106" t="s">
        <v>124</v>
      </c>
      <c r="G11" s="106" t="s">
        <v>34</v>
      </c>
      <c r="H11" s="294">
        <v>45967.0</v>
      </c>
      <c r="I11" s="12">
        <v>1.0</v>
      </c>
      <c r="J11" s="106" t="s">
        <v>38</v>
      </c>
      <c r="K11" s="210">
        <v>0.0</v>
      </c>
      <c r="L11" s="210">
        <v>0.0</v>
      </c>
      <c r="M11" s="210">
        <v>0.0</v>
      </c>
      <c r="N11" s="295">
        <v>1.95E7</v>
      </c>
      <c r="O11" s="281">
        <v>0.0</v>
      </c>
      <c r="P11" s="218">
        <v>46027.0</v>
      </c>
    </row>
    <row r="12" ht="11.25" customHeight="1">
      <c r="A12" s="12">
        <f t="shared" si="1"/>
        <v>11</v>
      </c>
      <c r="B12" s="12" t="s">
        <v>24</v>
      </c>
      <c r="C12" s="12" t="s">
        <v>122</v>
      </c>
      <c r="D12" s="289" t="s">
        <v>153</v>
      </c>
      <c r="E12" s="106" t="s">
        <v>71</v>
      </c>
      <c r="F12" s="106" t="s">
        <v>124</v>
      </c>
      <c r="G12" s="106" t="s">
        <v>34</v>
      </c>
      <c r="H12" s="294">
        <v>45967.0</v>
      </c>
      <c r="I12" s="12">
        <v>0.0</v>
      </c>
      <c r="J12" s="106" t="s">
        <v>38</v>
      </c>
      <c r="K12" s="210">
        <v>0.0</v>
      </c>
      <c r="L12" s="210">
        <v>0.0</v>
      </c>
      <c r="M12" s="210">
        <v>0.0</v>
      </c>
      <c r="N12" s="295">
        <v>500000.0</v>
      </c>
      <c r="O12" s="281">
        <v>0.0</v>
      </c>
      <c r="P12" s="218">
        <v>46027.0</v>
      </c>
    </row>
    <row r="13" ht="11.25" customHeight="1">
      <c r="A13" s="12">
        <f t="shared" si="1"/>
        <v>12</v>
      </c>
      <c r="B13" s="12" t="s">
        <v>24</v>
      </c>
      <c r="C13" s="12" t="s">
        <v>122</v>
      </c>
      <c r="D13" s="289" t="s">
        <v>155</v>
      </c>
      <c r="E13" s="106" t="s">
        <v>71</v>
      </c>
      <c r="F13" s="106" t="s">
        <v>124</v>
      </c>
      <c r="G13" s="106" t="s">
        <v>34</v>
      </c>
      <c r="H13" s="294">
        <v>45967.0</v>
      </c>
      <c r="I13" s="12">
        <v>0.0</v>
      </c>
      <c r="J13" s="106" t="s">
        <v>38</v>
      </c>
      <c r="K13" s="302" t="s">
        <v>82</v>
      </c>
      <c r="L13" s="210">
        <v>0.0</v>
      </c>
      <c r="M13" s="210">
        <v>0.0</v>
      </c>
      <c r="N13" s="210">
        <v>0.0</v>
      </c>
      <c r="O13" s="210">
        <v>0.0</v>
      </c>
      <c r="P13" s="281"/>
    </row>
    <row r="14" ht="11.25" customHeight="1">
      <c r="A14" s="12">
        <f t="shared" si="1"/>
        <v>13</v>
      </c>
      <c r="B14" s="12" t="s">
        <v>24</v>
      </c>
      <c r="C14" s="12" t="s">
        <v>122</v>
      </c>
      <c r="D14" s="289" t="s">
        <v>162</v>
      </c>
      <c r="E14" s="106" t="s">
        <v>44</v>
      </c>
      <c r="F14" s="106" t="s">
        <v>124</v>
      </c>
      <c r="G14" s="106" t="s">
        <v>34</v>
      </c>
      <c r="H14" s="294">
        <v>45968.0</v>
      </c>
      <c r="I14" s="12">
        <v>0.0</v>
      </c>
      <c r="J14" s="106" t="s">
        <v>38</v>
      </c>
      <c r="K14" s="210">
        <v>800000.0</v>
      </c>
      <c r="L14" s="210">
        <v>0.0</v>
      </c>
      <c r="M14" s="210">
        <v>0.0</v>
      </c>
      <c r="N14" s="210">
        <v>0.0</v>
      </c>
      <c r="O14" s="210">
        <v>0.0</v>
      </c>
      <c r="P14" s="281"/>
    </row>
    <row r="15" ht="11.25" customHeight="1">
      <c r="A15" s="12">
        <f t="shared" si="1"/>
        <v>14</v>
      </c>
      <c r="B15" s="12" t="s">
        <v>24</v>
      </c>
      <c r="C15" s="12" t="s">
        <v>122</v>
      </c>
      <c r="D15" s="289" t="s">
        <v>165</v>
      </c>
      <c r="E15" s="106" t="s">
        <v>71</v>
      </c>
      <c r="F15" s="106" t="s">
        <v>124</v>
      </c>
      <c r="G15" s="106" t="s">
        <v>34</v>
      </c>
      <c r="H15" s="294">
        <v>45970.0</v>
      </c>
      <c r="I15" s="12">
        <v>0.0</v>
      </c>
      <c r="J15" s="106" t="s">
        <v>38</v>
      </c>
      <c r="K15" s="210">
        <v>0.0</v>
      </c>
      <c r="L15" s="210">
        <v>3900000.0</v>
      </c>
      <c r="M15" s="210">
        <v>0.0</v>
      </c>
      <c r="N15" s="210">
        <v>0.0</v>
      </c>
      <c r="O15" s="210">
        <v>0.0</v>
      </c>
      <c r="P15" s="281"/>
    </row>
    <row r="16" ht="11.25" customHeight="1">
      <c r="A16" s="12">
        <f t="shared" si="1"/>
        <v>15</v>
      </c>
      <c r="B16" s="12" t="s">
        <v>24</v>
      </c>
      <c r="C16" s="12" t="s">
        <v>122</v>
      </c>
      <c r="D16" s="289" t="s">
        <v>168</v>
      </c>
      <c r="E16" s="106" t="s">
        <v>71</v>
      </c>
      <c r="F16" s="106" t="s">
        <v>124</v>
      </c>
      <c r="G16" s="106" t="s">
        <v>34</v>
      </c>
      <c r="H16" s="294">
        <v>45970.0</v>
      </c>
      <c r="I16" s="12">
        <v>0.0</v>
      </c>
      <c r="J16" s="106" t="s">
        <v>38</v>
      </c>
      <c r="K16" s="210">
        <v>0.0</v>
      </c>
      <c r="L16" s="210">
        <v>3000000.0</v>
      </c>
      <c r="M16" s="210">
        <v>0.0</v>
      </c>
      <c r="N16" s="210">
        <v>0.0</v>
      </c>
      <c r="O16" s="210">
        <v>0.0</v>
      </c>
      <c r="P16" s="281"/>
    </row>
    <row r="17" ht="11.25" customHeight="1">
      <c r="A17" s="12">
        <f t="shared" si="1"/>
        <v>16</v>
      </c>
      <c r="B17" s="12" t="s">
        <v>24</v>
      </c>
      <c r="C17" s="12" t="s">
        <v>122</v>
      </c>
      <c r="D17" s="289" t="s">
        <v>172</v>
      </c>
      <c r="E17" s="106" t="s">
        <v>71</v>
      </c>
      <c r="F17" s="106" t="s">
        <v>124</v>
      </c>
      <c r="G17" s="106" t="s">
        <v>34</v>
      </c>
      <c r="H17" s="294">
        <v>45971.0</v>
      </c>
      <c r="I17" s="12">
        <v>0.0</v>
      </c>
      <c r="J17" s="106" t="s">
        <v>38</v>
      </c>
      <c r="K17" s="210">
        <v>0.0</v>
      </c>
      <c r="L17" s="210">
        <v>6000000.0</v>
      </c>
      <c r="M17" s="210">
        <v>0.0</v>
      </c>
      <c r="N17" s="210">
        <v>0.0</v>
      </c>
      <c r="O17" s="210">
        <v>0.0</v>
      </c>
      <c r="P17" s="281"/>
    </row>
    <row r="18" ht="11.25" customHeight="1">
      <c r="A18" s="12">
        <f t="shared" si="1"/>
        <v>17</v>
      </c>
      <c r="B18" s="12" t="s">
        <v>24</v>
      </c>
      <c r="C18" s="12" t="s">
        <v>122</v>
      </c>
      <c r="D18" s="289" t="s">
        <v>174</v>
      </c>
      <c r="E18" s="106" t="s">
        <v>44</v>
      </c>
      <c r="F18" s="106" t="s">
        <v>124</v>
      </c>
      <c r="G18" s="106" t="s">
        <v>34</v>
      </c>
      <c r="H18" s="294">
        <v>45971.0</v>
      </c>
      <c r="I18" s="12">
        <v>0.0</v>
      </c>
      <c r="J18" s="106" t="s">
        <v>38</v>
      </c>
      <c r="K18" s="210">
        <v>0.0</v>
      </c>
      <c r="L18" s="210">
        <v>5000000.0</v>
      </c>
      <c r="M18" s="210">
        <v>0.0</v>
      </c>
      <c r="N18" s="210">
        <v>0.0</v>
      </c>
      <c r="O18" s="210">
        <v>0.0</v>
      </c>
      <c r="P18" s="297"/>
    </row>
    <row r="19" ht="11.25" customHeight="1">
      <c r="A19" s="12">
        <f t="shared" si="1"/>
        <v>18</v>
      </c>
      <c r="B19" s="12" t="s">
        <v>24</v>
      </c>
      <c r="C19" s="12" t="s">
        <v>122</v>
      </c>
      <c r="D19" s="289" t="s">
        <v>176</v>
      </c>
      <c r="E19" s="106" t="s">
        <v>71</v>
      </c>
      <c r="F19" s="106" t="s">
        <v>124</v>
      </c>
      <c r="G19" s="106" t="s">
        <v>34</v>
      </c>
      <c r="H19" s="294">
        <v>45967.0</v>
      </c>
      <c r="I19" s="12">
        <v>0.0</v>
      </c>
      <c r="J19" s="106" t="s">
        <v>38</v>
      </c>
      <c r="K19" s="210">
        <v>300000.0</v>
      </c>
      <c r="L19" s="210">
        <v>0.0</v>
      </c>
      <c r="M19" s="210">
        <v>0.0</v>
      </c>
      <c r="N19" s="210">
        <v>0.0</v>
      </c>
      <c r="O19" s="210">
        <v>0.0</v>
      </c>
      <c r="P19" s="281"/>
    </row>
    <row r="20" ht="11.25" customHeight="1">
      <c r="A20" s="12">
        <f t="shared" si="1"/>
        <v>19</v>
      </c>
      <c r="B20" s="12" t="s">
        <v>24</v>
      </c>
      <c r="C20" s="12" t="s">
        <v>122</v>
      </c>
      <c r="D20" s="289" t="s">
        <v>361</v>
      </c>
      <c r="E20" s="106" t="s">
        <v>362</v>
      </c>
      <c r="F20" s="106" t="s">
        <v>363</v>
      </c>
      <c r="G20" s="106" t="s">
        <v>36</v>
      </c>
      <c r="H20" s="294">
        <v>45971.0</v>
      </c>
      <c r="I20" s="12">
        <v>1.0</v>
      </c>
      <c r="J20" s="106" t="s">
        <v>38</v>
      </c>
      <c r="K20" s="210">
        <v>30000.0</v>
      </c>
      <c r="L20" s="210">
        <v>0.0</v>
      </c>
      <c r="M20" s="210">
        <v>0.0</v>
      </c>
      <c r="N20" s="210">
        <v>0.0</v>
      </c>
      <c r="O20" s="210">
        <v>0.0</v>
      </c>
      <c r="P20" s="281"/>
    </row>
    <row r="21" ht="11.25" customHeight="1">
      <c r="A21" s="12">
        <f t="shared" si="1"/>
        <v>20</v>
      </c>
      <c r="B21" s="12" t="s">
        <v>24</v>
      </c>
      <c r="C21" s="12" t="s">
        <v>211</v>
      </c>
      <c r="D21" s="289" t="s">
        <v>365</v>
      </c>
      <c r="E21" s="106" t="s">
        <v>514</v>
      </c>
      <c r="F21" s="106" t="s">
        <v>69</v>
      </c>
      <c r="G21" s="106" t="s">
        <v>36</v>
      </c>
      <c r="H21" s="118">
        <v>45972.0</v>
      </c>
      <c r="I21" s="12">
        <v>0.0</v>
      </c>
      <c r="J21" s="106" t="s">
        <v>57</v>
      </c>
      <c r="K21" s="210">
        <v>0.0</v>
      </c>
      <c r="L21" s="210">
        <v>17000.0</v>
      </c>
      <c r="M21" s="210">
        <v>0.0</v>
      </c>
      <c r="N21" s="210">
        <v>0.0</v>
      </c>
      <c r="O21" s="210">
        <v>0.0</v>
      </c>
      <c r="P21" s="281"/>
    </row>
    <row r="22" ht="11.25" customHeight="1">
      <c r="A22" s="12">
        <f t="shared" si="1"/>
        <v>21</v>
      </c>
      <c r="B22" s="12" t="s">
        <v>24</v>
      </c>
      <c r="C22" s="12" t="s">
        <v>122</v>
      </c>
      <c r="D22" s="289" t="s">
        <v>368</v>
      </c>
      <c r="E22" s="106" t="s">
        <v>60</v>
      </c>
      <c r="F22" s="106" t="s">
        <v>161</v>
      </c>
      <c r="G22" s="106" t="s">
        <v>36</v>
      </c>
      <c r="H22" s="118">
        <v>45974.0</v>
      </c>
      <c r="I22" s="12">
        <v>0.0</v>
      </c>
      <c r="J22" s="106" t="s">
        <v>57</v>
      </c>
      <c r="K22" s="210">
        <v>7300.0</v>
      </c>
      <c r="L22" s="210">
        <v>0.0</v>
      </c>
      <c r="M22" s="210">
        <v>0.0</v>
      </c>
      <c r="N22" s="210">
        <v>0.0</v>
      </c>
      <c r="O22" s="210">
        <v>0.0</v>
      </c>
      <c r="P22" s="281"/>
    </row>
    <row r="23" ht="11.25" customHeight="1">
      <c r="A23" s="12">
        <f t="shared" si="1"/>
        <v>22</v>
      </c>
      <c r="B23" s="12" t="s">
        <v>24</v>
      </c>
      <c r="C23" s="12" t="s">
        <v>211</v>
      </c>
      <c r="D23" s="289" t="s">
        <v>387</v>
      </c>
      <c r="E23" s="106" t="s">
        <v>356</v>
      </c>
      <c r="F23" s="106" t="s">
        <v>388</v>
      </c>
      <c r="G23" s="106" t="s">
        <v>36</v>
      </c>
      <c r="H23" s="118">
        <v>45976.0</v>
      </c>
      <c r="I23" s="12">
        <v>0.0</v>
      </c>
      <c r="J23" s="106" t="s">
        <v>38</v>
      </c>
      <c r="K23" s="210">
        <v>50000.0</v>
      </c>
      <c r="L23" s="210">
        <v>0.0</v>
      </c>
      <c r="M23" s="210">
        <v>0.0</v>
      </c>
      <c r="N23" s="210">
        <v>0.0</v>
      </c>
      <c r="O23" s="281">
        <v>0.0</v>
      </c>
      <c r="P23" s="281"/>
    </row>
    <row r="24" ht="11.25" customHeight="1">
      <c r="A24" s="12">
        <f t="shared" si="1"/>
        <v>23</v>
      </c>
      <c r="B24" s="12" t="s">
        <v>24</v>
      </c>
      <c r="C24" s="12"/>
      <c r="D24" s="289" t="s">
        <v>178</v>
      </c>
      <c r="E24" s="106"/>
      <c r="F24" s="106" t="s">
        <v>32</v>
      </c>
      <c r="G24" s="106" t="s">
        <v>34</v>
      </c>
      <c r="H24" s="118">
        <v>45977.0</v>
      </c>
      <c r="I24" s="12">
        <v>0.0</v>
      </c>
      <c r="J24" s="106" t="s">
        <v>57</v>
      </c>
      <c r="K24" s="210">
        <v>0.0</v>
      </c>
      <c r="L24" s="210">
        <v>50000.0</v>
      </c>
      <c r="M24" s="210">
        <v>0.0</v>
      </c>
      <c r="N24" s="210">
        <v>0.0</v>
      </c>
      <c r="O24" s="210">
        <v>0.0</v>
      </c>
      <c r="P24" s="281"/>
    </row>
    <row r="25" ht="11.25" customHeight="1">
      <c r="A25" s="12">
        <f t="shared" si="1"/>
        <v>24</v>
      </c>
      <c r="B25" s="12" t="s">
        <v>24</v>
      </c>
      <c r="C25" s="12" t="s">
        <v>122</v>
      </c>
      <c r="D25" s="289" t="s">
        <v>370</v>
      </c>
      <c r="E25" s="106" t="s">
        <v>116</v>
      </c>
      <c r="F25" s="106" t="s">
        <v>371</v>
      </c>
      <c r="G25" s="106" t="s">
        <v>36</v>
      </c>
      <c r="H25" s="118">
        <v>45977.0</v>
      </c>
      <c r="I25" s="12">
        <v>1.0</v>
      </c>
      <c r="J25" s="106" t="s">
        <v>38</v>
      </c>
      <c r="K25" s="210">
        <v>0.0</v>
      </c>
      <c r="L25" s="210">
        <v>0.0</v>
      </c>
      <c r="M25" s="210">
        <v>100000.0</v>
      </c>
      <c r="N25" s="210">
        <v>0.0</v>
      </c>
      <c r="O25" s="210">
        <v>0.0</v>
      </c>
      <c r="P25" s="118">
        <v>45981.0</v>
      </c>
    </row>
    <row r="26" ht="11.25" customHeight="1">
      <c r="A26" s="12">
        <f t="shared" si="1"/>
        <v>25</v>
      </c>
      <c r="B26" s="12" t="s">
        <v>24</v>
      </c>
      <c r="C26" s="12" t="s">
        <v>122</v>
      </c>
      <c r="D26" s="289" t="s">
        <v>374</v>
      </c>
      <c r="E26" s="106" t="s">
        <v>116</v>
      </c>
      <c r="F26" s="106" t="s">
        <v>375</v>
      </c>
      <c r="G26" s="106" t="s">
        <v>36</v>
      </c>
      <c r="H26" s="118">
        <v>45977.0</v>
      </c>
      <c r="I26" s="12">
        <v>1.0</v>
      </c>
      <c r="J26" s="106" t="s">
        <v>38</v>
      </c>
      <c r="K26" s="210">
        <v>100000.0</v>
      </c>
      <c r="L26" s="210">
        <v>0.0</v>
      </c>
      <c r="M26" s="210">
        <v>0.0</v>
      </c>
      <c r="N26" s="210">
        <v>0.0</v>
      </c>
      <c r="O26" s="210">
        <v>0.0</v>
      </c>
      <c r="P26" s="118"/>
    </row>
    <row r="27" ht="11.25" customHeight="1">
      <c r="A27" s="12">
        <f t="shared" si="1"/>
        <v>26</v>
      </c>
      <c r="B27" s="12" t="s">
        <v>24</v>
      </c>
      <c r="C27" s="12" t="s">
        <v>122</v>
      </c>
      <c r="D27" s="289" t="s">
        <v>379</v>
      </c>
      <c r="E27" s="106" t="s">
        <v>116</v>
      </c>
      <c r="F27" s="106" t="s">
        <v>380</v>
      </c>
      <c r="G27" s="106" t="s">
        <v>36</v>
      </c>
      <c r="H27" s="118">
        <v>45977.0</v>
      </c>
      <c r="I27" s="12">
        <v>1.0</v>
      </c>
      <c r="J27" s="106" t="s">
        <v>38</v>
      </c>
      <c r="K27" s="210">
        <v>100000.0</v>
      </c>
      <c r="L27" s="210">
        <v>0.0</v>
      </c>
      <c r="M27" s="210">
        <v>0.0</v>
      </c>
      <c r="N27" s="210">
        <v>0.0</v>
      </c>
      <c r="O27" s="210">
        <v>0.0</v>
      </c>
      <c r="P27" s="118"/>
    </row>
    <row r="28" ht="11.25" customHeight="1">
      <c r="A28" s="12">
        <f t="shared" si="1"/>
        <v>27</v>
      </c>
      <c r="B28" s="12" t="s">
        <v>24</v>
      </c>
      <c r="C28" s="12" t="s">
        <v>122</v>
      </c>
      <c r="D28" s="289" t="s">
        <v>384</v>
      </c>
      <c r="E28" s="106" t="s">
        <v>116</v>
      </c>
      <c r="F28" s="106" t="s">
        <v>385</v>
      </c>
      <c r="G28" s="106" t="s">
        <v>36</v>
      </c>
      <c r="H28" s="118">
        <v>45977.0</v>
      </c>
      <c r="I28" s="12">
        <v>1.0</v>
      </c>
      <c r="J28" s="106" t="s">
        <v>38</v>
      </c>
      <c r="K28" s="210">
        <v>100000.0</v>
      </c>
      <c r="L28" s="210">
        <v>0.0</v>
      </c>
      <c r="M28" s="210">
        <v>0.0</v>
      </c>
      <c r="N28" s="210">
        <v>0.0</v>
      </c>
      <c r="O28" s="210">
        <v>0.0</v>
      </c>
      <c r="P28" s="118"/>
    </row>
    <row r="29" ht="11.25" customHeight="1">
      <c r="A29" s="12">
        <f t="shared" si="1"/>
        <v>28</v>
      </c>
      <c r="B29" s="12" t="s">
        <v>24</v>
      </c>
      <c r="C29" s="12" t="s">
        <v>211</v>
      </c>
      <c r="D29" s="289" t="s">
        <v>393</v>
      </c>
      <c r="E29" s="106" t="s">
        <v>208</v>
      </c>
      <c r="F29" s="106" t="s">
        <v>394</v>
      </c>
      <c r="G29" s="106" t="s">
        <v>36</v>
      </c>
      <c r="H29" s="118">
        <v>45981.0</v>
      </c>
      <c r="I29" s="12">
        <v>1.0</v>
      </c>
      <c r="J29" s="106" t="s">
        <v>38</v>
      </c>
      <c r="K29" s="210">
        <v>10000.0</v>
      </c>
      <c r="L29" s="210">
        <v>0.0</v>
      </c>
      <c r="M29" s="210">
        <v>0.0</v>
      </c>
      <c r="N29" s="210">
        <v>0.0</v>
      </c>
      <c r="O29" s="281">
        <v>0.0</v>
      </c>
      <c r="P29" s="118"/>
    </row>
    <row r="30" ht="11.25" customHeight="1">
      <c r="A30" s="12">
        <f t="shared" si="1"/>
        <v>29</v>
      </c>
      <c r="B30" s="12" t="s">
        <v>24</v>
      </c>
      <c r="C30" s="12" t="s">
        <v>211</v>
      </c>
      <c r="D30" s="289" t="s">
        <v>398</v>
      </c>
      <c r="E30" s="106" t="s">
        <v>208</v>
      </c>
      <c r="F30" s="106" t="s">
        <v>394</v>
      </c>
      <c r="G30" s="106" t="s">
        <v>36</v>
      </c>
      <c r="H30" s="118">
        <v>45981.0</v>
      </c>
      <c r="I30" s="12">
        <v>0.0</v>
      </c>
      <c r="J30" s="106" t="s">
        <v>38</v>
      </c>
      <c r="K30" s="210">
        <v>0.0</v>
      </c>
      <c r="L30" s="210">
        <v>0.0</v>
      </c>
      <c r="M30" s="210">
        <v>0.0</v>
      </c>
      <c r="N30" s="210">
        <v>20000.0</v>
      </c>
      <c r="O30" s="210">
        <v>0.0</v>
      </c>
      <c r="P30" s="118">
        <v>46050.0</v>
      </c>
    </row>
    <row r="31" ht="11.25" customHeight="1">
      <c r="A31" s="12">
        <f t="shared" si="1"/>
        <v>30</v>
      </c>
      <c r="B31" s="12" t="s">
        <v>24</v>
      </c>
      <c r="C31" s="12" t="s">
        <v>211</v>
      </c>
      <c r="D31" s="289" t="s">
        <v>400</v>
      </c>
      <c r="E31" s="106" t="s">
        <v>208</v>
      </c>
      <c r="F31" s="106" t="s">
        <v>394</v>
      </c>
      <c r="G31" s="106" t="s">
        <v>36</v>
      </c>
      <c r="H31" s="118">
        <v>45981.0</v>
      </c>
      <c r="I31" s="12">
        <v>0.0</v>
      </c>
      <c r="J31" s="106" t="s">
        <v>38</v>
      </c>
      <c r="K31" s="210">
        <v>0.0</v>
      </c>
      <c r="L31" s="210">
        <v>0.0</v>
      </c>
      <c r="M31" s="210">
        <v>0.0</v>
      </c>
      <c r="N31" s="210">
        <v>20000.0</v>
      </c>
      <c r="O31" s="210">
        <v>0.0</v>
      </c>
      <c r="P31" s="118">
        <v>46019.0</v>
      </c>
    </row>
    <row r="32" ht="11.25" customHeight="1">
      <c r="A32" s="12">
        <f t="shared" si="1"/>
        <v>31</v>
      </c>
      <c r="B32" s="12" t="s">
        <v>24</v>
      </c>
      <c r="C32" s="12" t="s">
        <v>211</v>
      </c>
      <c r="D32" s="289" t="s">
        <v>403</v>
      </c>
      <c r="E32" s="106" t="s">
        <v>208</v>
      </c>
      <c r="F32" s="106" t="s">
        <v>394</v>
      </c>
      <c r="G32" s="106" t="s">
        <v>36</v>
      </c>
      <c r="H32" s="118">
        <v>45981.0</v>
      </c>
      <c r="I32" s="12">
        <v>0.0</v>
      </c>
      <c r="J32" s="106" t="s">
        <v>38</v>
      </c>
      <c r="K32" s="210">
        <v>0.0</v>
      </c>
      <c r="L32" s="210">
        <v>0.0</v>
      </c>
      <c r="M32" s="210">
        <v>0.0</v>
      </c>
      <c r="N32" s="210">
        <v>50000.0</v>
      </c>
      <c r="O32" s="210">
        <v>0.0</v>
      </c>
      <c r="P32" s="118">
        <v>46081.0</v>
      </c>
    </row>
    <row r="33" ht="11.25" customHeight="1">
      <c r="A33" s="12">
        <f t="shared" si="1"/>
        <v>32</v>
      </c>
      <c r="B33" s="12" t="s">
        <v>24</v>
      </c>
      <c r="C33" s="12" t="s">
        <v>211</v>
      </c>
      <c r="D33" s="289" t="s">
        <v>412</v>
      </c>
      <c r="E33" s="106" t="s">
        <v>221</v>
      </c>
      <c r="F33" s="106" t="s">
        <v>320</v>
      </c>
      <c r="G33" s="106" t="s">
        <v>36</v>
      </c>
      <c r="H33" s="118">
        <v>45983.0</v>
      </c>
      <c r="I33" s="12">
        <v>0.0</v>
      </c>
      <c r="J33" s="106" t="s">
        <v>38</v>
      </c>
      <c r="K33" s="210">
        <v>40000.0</v>
      </c>
      <c r="L33" s="210">
        <v>0.0</v>
      </c>
      <c r="M33" s="210">
        <v>0.0</v>
      </c>
      <c r="N33" s="210">
        <v>0.0</v>
      </c>
      <c r="O33" s="210">
        <v>0.0</v>
      </c>
      <c r="P33" s="118"/>
    </row>
    <row r="34" ht="11.25" customHeight="1">
      <c r="A34" s="12">
        <f t="shared" si="1"/>
        <v>33</v>
      </c>
      <c r="B34" s="12" t="s">
        <v>24</v>
      </c>
      <c r="C34" s="12" t="s">
        <v>211</v>
      </c>
      <c r="D34" s="289" t="s">
        <v>415</v>
      </c>
      <c r="E34" s="106" t="s">
        <v>208</v>
      </c>
      <c r="F34" s="106" t="s">
        <v>394</v>
      </c>
      <c r="G34" s="106" t="s">
        <v>36</v>
      </c>
      <c r="H34" s="118">
        <v>45984.0</v>
      </c>
      <c r="I34" s="12">
        <v>0.0</v>
      </c>
      <c r="J34" s="106" t="s">
        <v>38</v>
      </c>
      <c r="K34" s="210">
        <v>10000.0</v>
      </c>
      <c r="L34" s="210">
        <v>0.0</v>
      </c>
      <c r="M34" s="210">
        <v>0.0</v>
      </c>
      <c r="N34" s="210">
        <v>0.0</v>
      </c>
      <c r="O34" s="210">
        <v>0.0</v>
      </c>
      <c r="P34" s="118"/>
    </row>
    <row r="35" ht="11.25" customHeight="1">
      <c r="A35" s="12">
        <f t="shared" si="1"/>
        <v>34</v>
      </c>
      <c r="B35" s="12" t="s">
        <v>24</v>
      </c>
      <c r="C35" s="12" t="s">
        <v>211</v>
      </c>
      <c r="D35" s="289" t="s">
        <v>407</v>
      </c>
      <c r="E35" s="127" t="s">
        <v>84</v>
      </c>
      <c r="F35" s="106" t="s">
        <v>408</v>
      </c>
      <c r="G35" s="106" t="s">
        <v>36</v>
      </c>
      <c r="H35" s="118">
        <v>45984.0</v>
      </c>
      <c r="I35" s="12">
        <v>1.0</v>
      </c>
      <c r="J35" s="106" t="s">
        <v>38</v>
      </c>
      <c r="K35" s="210">
        <v>5000.0</v>
      </c>
      <c r="L35" s="210">
        <v>0.0</v>
      </c>
      <c r="M35" s="210">
        <v>0.0</v>
      </c>
      <c r="N35" s="210">
        <v>0.0</v>
      </c>
      <c r="O35" s="210">
        <v>0.0</v>
      </c>
      <c r="P35" s="118"/>
    </row>
    <row r="36" ht="11.25" customHeight="1">
      <c r="A36" s="12">
        <f t="shared" si="1"/>
        <v>35</v>
      </c>
      <c r="B36" s="12" t="s">
        <v>24</v>
      </c>
      <c r="C36" s="12" t="s">
        <v>211</v>
      </c>
      <c r="D36" s="289" t="s">
        <v>418</v>
      </c>
      <c r="E36" s="127" t="s">
        <v>84</v>
      </c>
      <c r="F36" s="106" t="s">
        <v>420</v>
      </c>
      <c r="G36" s="106" t="s">
        <v>36</v>
      </c>
      <c r="H36" s="118">
        <v>45984.0</v>
      </c>
      <c r="I36" s="12">
        <v>1.0</v>
      </c>
      <c r="J36" s="106" t="s">
        <v>38</v>
      </c>
      <c r="K36" s="210">
        <v>0.0</v>
      </c>
      <c r="L36" s="210">
        <v>5000.0</v>
      </c>
      <c r="M36" s="210">
        <v>0.0</v>
      </c>
      <c r="N36" s="210">
        <v>0.0</v>
      </c>
      <c r="O36" s="210">
        <v>0.0</v>
      </c>
      <c r="P36" s="118"/>
    </row>
    <row r="37" ht="11.25" customHeight="1">
      <c r="A37" s="12">
        <f t="shared" si="1"/>
        <v>36</v>
      </c>
      <c r="B37" s="12" t="s">
        <v>24</v>
      </c>
      <c r="C37" s="12" t="s">
        <v>211</v>
      </c>
      <c r="D37" s="289" t="s">
        <v>421</v>
      </c>
      <c r="E37" s="127" t="s">
        <v>84</v>
      </c>
      <c r="F37" s="106" t="s">
        <v>420</v>
      </c>
      <c r="G37" s="106" t="s">
        <v>36</v>
      </c>
      <c r="H37" s="118">
        <v>45985.0</v>
      </c>
      <c r="I37" s="12">
        <v>0.0</v>
      </c>
      <c r="J37" s="106" t="s">
        <v>38</v>
      </c>
      <c r="K37" s="210">
        <v>0.0</v>
      </c>
      <c r="L37" s="210">
        <v>395000.0</v>
      </c>
      <c r="M37" s="210">
        <v>0.0</v>
      </c>
      <c r="N37" s="210">
        <v>0.0</v>
      </c>
      <c r="O37" s="210">
        <v>0.0</v>
      </c>
      <c r="P37" s="118"/>
    </row>
    <row r="38" ht="11.25" customHeight="1">
      <c r="A38" s="12">
        <f t="shared" si="1"/>
        <v>37</v>
      </c>
      <c r="B38" s="12" t="s">
        <v>24</v>
      </c>
      <c r="C38" s="12" t="s">
        <v>211</v>
      </c>
      <c r="D38" s="289" t="s">
        <v>425</v>
      </c>
      <c r="E38" s="106" t="s">
        <v>514</v>
      </c>
      <c r="F38" s="106" t="s">
        <v>283</v>
      </c>
      <c r="G38" s="106" t="s">
        <v>36</v>
      </c>
      <c r="H38" s="118">
        <v>45986.0</v>
      </c>
      <c r="I38" s="12">
        <v>0.0</v>
      </c>
      <c r="J38" s="106" t="s">
        <v>38</v>
      </c>
      <c r="K38" s="210">
        <v>0.0</v>
      </c>
      <c r="L38" s="210">
        <v>100000.0</v>
      </c>
      <c r="M38" s="210">
        <v>0.0</v>
      </c>
      <c r="N38" s="210">
        <v>0.0</v>
      </c>
      <c r="O38" s="210">
        <v>0.0</v>
      </c>
      <c r="P38" s="118"/>
    </row>
    <row r="39" ht="11.25" customHeight="1">
      <c r="A39" s="12">
        <f t="shared" si="1"/>
        <v>38</v>
      </c>
      <c r="B39" s="12" t="s">
        <v>24</v>
      </c>
      <c r="C39" s="12" t="s">
        <v>122</v>
      </c>
      <c r="D39" s="289" t="s">
        <v>427</v>
      </c>
      <c r="E39" s="106" t="s">
        <v>51</v>
      </c>
      <c r="F39" s="106" t="s">
        <v>428</v>
      </c>
      <c r="G39" s="106" t="s">
        <v>36</v>
      </c>
      <c r="H39" s="118">
        <v>45987.0</v>
      </c>
      <c r="I39" s="12">
        <v>1.0</v>
      </c>
      <c r="J39" s="106" t="s">
        <v>38</v>
      </c>
      <c r="K39" s="210">
        <v>5000.0</v>
      </c>
      <c r="L39" s="210">
        <v>0.0</v>
      </c>
      <c r="M39" s="210">
        <v>0.0</v>
      </c>
      <c r="N39" s="210">
        <v>0.0</v>
      </c>
      <c r="O39" s="210">
        <v>0.0</v>
      </c>
      <c r="P39" s="118"/>
    </row>
    <row r="40" ht="11.25" customHeight="1">
      <c r="A40" s="12">
        <f t="shared" si="1"/>
        <v>39</v>
      </c>
      <c r="B40" s="12" t="s">
        <v>24</v>
      </c>
      <c r="C40" s="12" t="s">
        <v>211</v>
      </c>
      <c r="D40" s="289" t="s">
        <v>430</v>
      </c>
      <c r="E40" s="106" t="s">
        <v>345</v>
      </c>
      <c r="F40" s="106" t="s">
        <v>114</v>
      </c>
      <c r="G40" s="106" t="s">
        <v>36</v>
      </c>
      <c r="H40" s="118">
        <v>45987.0</v>
      </c>
      <c r="I40" s="12">
        <v>0.0</v>
      </c>
      <c r="J40" s="106" t="s">
        <v>57</v>
      </c>
      <c r="K40" s="210">
        <v>4000.0</v>
      </c>
      <c r="L40" s="210">
        <v>0.0</v>
      </c>
      <c r="M40" s="210">
        <v>0.0</v>
      </c>
      <c r="N40" s="210">
        <v>0.0</v>
      </c>
      <c r="O40" s="210">
        <v>0.0</v>
      </c>
      <c r="P40" s="118"/>
    </row>
    <row r="41" ht="11.25" customHeight="1">
      <c r="A41" s="12">
        <f t="shared" si="1"/>
        <v>40</v>
      </c>
      <c r="B41" s="12" t="s">
        <v>24</v>
      </c>
      <c r="C41" s="12" t="s">
        <v>211</v>
      </c>
      <c r="D41" s="289" t="s">
        <v>432</v>
      </c>
      <c r="E41" s="127" t="s">
        <v>84</v>
      </c>
      <c r="F41" s="106" t="s">
        <v>149</v>
      </c>
      <c r="G41" s="106" t="s">
        <v>36</v>
      </c>
      <c r="H41" s="118">
        <v>45988.0</v>
      </c>
      <c r="I41" s="12">
        <v>0.0</v>
      </c>
      <c r="J41" s="106" t="s">
        <v>57</v>
      </c>
      <c r="K41" s="210">
        <v>0.0</v>
      </c>
      <c r="L41" s="210">
        <v>50000.0</v>
      </c>
      <c r="M41" s="210">
        <v>0.0</v>
      </c>
      <c r="N41" s="210">
        <v>0.0</v>
      </c>
      <c r="O41" s="210">
        <v>0.0</v>
      </c>
      <c r="P41" s="118"/>
    </row>
    <row r="42" ht="11.25" customHeight="1">
      <c r="A42" s="12">
        <f t="shared" si="1"/>
        <v>41</v>
      </c>
      <c r="B42" s="12" t="s">
        <v>24</v>
      </c>
      <c r="C42" s="12" t="s">
        <v>211</v>
      </c>
      <c r="D42" s="289" t="s">
        <v>436</v>
      </c>
      <c r="E42" s="106" t="s">
        <v>356</v>
      </c>
      <c r="F42" s="106" t="s">
        <v>388</v>
      </c>
      <c r="G42" s="106" t="s">
        <v>36</v>
      </c>
      <c r="H42" s="118">
        <v>45990.0</v>
      </c>
      <c r="I42" s="12">
        <v>0.0</v>
      </c>
      <c r="J42" s="106" t="s">
        <v>38</v>
      </c>
      <c r="K42" s="210">
        <v>0.0</v>
      </c>
      <c r="L42" s="210">
        <v>0.0</v>
      </c>
      <c r="M42" s="210">
        <v>0.0</v>
      </c>
      <c r="N42" s="210">
        <v>65000.0</v>
      </c>
      <c r="O42" s="281">
        <v>0.0</v>
      </c>
      <c r="P42" s="118">
        <v>46356.0</v>
      </c>
    </row>
    <row r="43" ht="11.25" customHeight="1">
      <c r="A43" s="12">
        <f t="shared" si="1"/>
        <v>42</v>
      </c>
      <c r="B43" s="12" t="s">
        <v>24</v>
      </c>
      <c r="C43" s="12" t="s">
        <v>122</v>
      </c>
      <c r="D43" s="289" t="s">
        <v>439</v>
      </c>
      <c r="E43" s="106" t="s">
        <v>116</v>
      </c>
      <c r="F43" s="106" t="s">
        <v>380</v>
      </c>
      <c r="G43" s="106" t="s">
        <v>36</v>
      </c>
      <c r="H43" s="118">
        <v>45991.0</v>
      </c>
      <c r="I43" s="12">
        <v>0.0</v>
      </c>
      <c r="J43" s="106" t="s">
        <v>38</v>
      </c>
      <c r="K43" s="210">
        <v>450000.0</v>
      </c>
      <c r="L43" s="210">
        <v>0.0</v>
      </c>
      <c r="M43" s="210">
        <v>0.0</v>
      </c>
      <c r="N43" s="210">
        <v>0.0</v>
      </c>
      <c r="O43" s="210">
        <v>0.0</v>
      </c>
      <c r="P43" s="118"/>
    </row>
    <row r="44" ht="11.25" customHeight="1">
      <c r="A44" s="12">
        <f t="shared" si="1"/>
        <v>43</v>
      </c>
      <c r="B44" s="12" t="s">
        <v>24</v>
      </c>
      <c r="C44" s="12" t="s">
        <v>122</v>
      </c>
      <c r="D44" s="289" t="s">
        <v>443</v>
      </c>
      <c r="E44" s="106" t="s">
        <v>116</v>
      </c>
      <c r="F44" s="106" t="s">
        <v>375</v>
      </c>
      <c r="G44" s="106" t="s">
        <v>36</v>
      </c>
      <c r="H44" s="118">
        <v>45991.0</v>
      </c>
      <c r="I44" s="12">
        <v>0.0</v>
      </c>
      <c r="J44" s="106" t="s">
        <v>38</v>
      </c>
      <c r="K44" s="210">
        <v>450000.0</v>
      </c>
      <c r="L44" s="210">
        <v>0.0</v>
      </c>
      <c r="M44" s="210">
        <v>0.0</v>
      </c>
      <c r="N44" s="210">
        <v>0.0</v>
      </c>
      <c r="O44" s="210">
        <v>0.0</v>
      </c>
      <c r="P44" s="118"/>
    </row>
    <row r="45" ht="11.25" customHeight="1">
      <c r="A45" s="12">
        <f t="shared" si="1"/>
        <v>44</v>
      </c>
      <c r="B45" s="12" t="s">
        <v>24</v>
      </c>
      <c r="C45" s="12" t="s">
        <v>122</v>
      </c>
      <c r="D45" s="289" t="s">
        <v>453</v>
      </c>
      <c r="E45" s="106" t="s">
        <v>116</v>
      </c>
      <c r="F45" s="106" t="s">
        <v>371</v>
      </c>
      <c r="G45" s="106" t="s">
        <v>36</v>
      </c>
      <c r="H45" s="118">
        <v>45991.0</v>
      </c>
      <c r="I45" s="12">
        <v>0.0</v>
      </c>
      <c r="J45" s="106" t="s">
        <v>38</v>
      </c>
      <c r="K45" s="210">
        <v>0.0</v>
      </c>
      <c r="L45" s="210">
        <v>0.0</v>
      </c>
      <c r="M45" s="210">
        <v>0.0</v>
      </c>
      <c r="N45" s="210">
        <v>350000.0</v>
      </c>
      <c r="O45" s="210">
        <v>0.0</v>
      </c>
      <c r="P45" s="118">
        <v>45995.0</v>
      </c>
    </row>
    <row r="46" ht="11.25" customHeight="1">
      <c r="A46" s="12">
        <f t="shared" si="1"/>
        <v>45</v>
      </c>
      <c r="B46" s="12" t="s">
        <v>24</v>
      </c>
      <c r="C46" s="12" t="s">
        <v>122</v>
      </c>
      <c r="D46" s="289" t="s">
        <v>457</v>
      </c>
      <c r="E46" s="106" t="s">
        <v>116</v>
      </c>
      <c r="F46" s="106" t="s">
        <v>371</v>
      </c>
      <c r="G46" s="106" t="s">
        <v>36</v>
      </c>
      <c r="H46" s="118">
        <v>45991.0</v>
      </c>
      <c r="I46" s="12">
        <v>0.0</v>
      </c>
      <c r="J46" s="106" t="s">
        <v>38</v>
      </c>
      <c r="K46" s="210">
        <v>100000.0</v>
      </c>
      <c r="L46" s="210">
        <v>0.0</v>
      </c>
      <c r="M46" s="210">
        <v>0.0</v>
      </c>
      <c r="N46" s="210">
        <v>0.0</v>
      </c>
      <c r="O46" s="210">
        <v>0.0</v>
      </c>
      <c r="P46" s="218"/>
    </row>
    <row r="47" ht="11.25" customHeight="1">
      <c r="A47" s="12"/>
      <c r="B47" s="12"/>
      <c r="C47" s="12"/>
      <c r="D47" s="12"/>
      <c r="E47" s="106"/>
      <c r="F47" s="106"/>
      <c r="G47" s="106"/>
      <c r="H47" s="118"/>
      <c r="I47" s="12"/>
      <c r="J47" s="106"/>
      <c r="K47" s="210"/>
      <c r="L47" s="210"/>
      <c r="M47" s="210"/>
      <c r="N47" s="210"/>
      <c r="O47" s="210"/>
      <c r="P47" s="218"/>
    </row>
    <row r="48" ht="11.25" customHeight="1">
      <c r="A48" s="12" t="str">
        <f t="shared" ref="A48:A49" si="2">IF(D48="","",SUBTOTAL(3,$D$2:D48))</f>
        <v/>
      </c>
      <c r="B48" s="12"/>
      <c r="C48" s="12"/>
      <c r="D48" s="12"/>
      <c r="E48" s="106"/>
      <c r="F48" s="106"/>
      <c r="G48" s="106"/>
      <c r="H48" s="118"/>
      <c r="I48" s="12"/>
      <c r="J48" s="106"/>
      <c r="K48" s="210"/>
      <c r="L48" s="210"/>
      <c r="M48" s="210"/>
      <c r="N48" s="210"/>
      <c r="O48" s="281"/>
      <c r="P48" s="281"/>
    </row>
    <row r="49" ht="11.25" customHeight="1">
      <c r="A49" s="12" t="str">
        <f t="shared" si="2"/>
        <v/>
      </c>
      <c r="B49" s="12"/>
      <c r="C49" s="12"/>
      <c r="D49" s="12"/>
      <c r="E49" s="106"/>
      <c r="F49" s="106"/>
      <c r="G49" s="106"/>
      <c r="H49" s="118"/>
      <c r="I49" s="12"/>
      <c r="J49" s="106"/>
      <c r="K49" s="125" t="s">
        <v>13</v>
      </c>
      <c r="L49" s="125" t="s">
        <v>14</v>
      </c>
      <c r="M49" s="125" t="s">
        <v>15</v>
      </c>
      <c r="N49" s="2" t="s">
        <v>465</v>
      </c>
      <c r="O49" s="281"/>
      <c r="P49" s="281"/>
    </row>
    <row r="50" ht="11.25" customHeight="1">
      <c r="A50" s="287" t="s">
        <v>789</v>
      </c>
      <c r="B50" s="120"/>
      <c r="C50" s="127"/>
      <c r="D50" s="128"/>
      <c r="E50" s="127"/>
      <c r="F50" s="127"/>
      <c r="G50" s="127"/>
      <c r="H50" s="129"/>
      <c r="I50" s="304">
        <f>SUM(I2:I49)</f>
        <v>17</v>
      </c>
      <c r="J50" s="304"/>
      <c r="K50" s="131">
        <f t="shared" ref="K50:O50" si="3">SUM(K2:K49)</f>
        <v>2596100</v>
      </c>
      <c r="L50" s="131">
        <f t="shared" si="3"/>
        <v>18567000</v>
      </c>
      <c r="M50" s="131">
        <f t="shared" si="3"/>
        <v>300000</v>
      </c>
      <c r="N50" s="131">
        <f t="shared" si="3"/>
        <v>20505000</v>
      </c>
      <c r="O50" s="131">
        <f t="shared" si="3"/>
        <v>0</v>
      </c>
      <c r="P50" s="303" t="s">
        <v>481</v>
      </c>
    </row>
    <row r="51" ht="11.25" customHeight="1">
      <c r="A51" s="134"/>
      <c r="B51" s="135"/>
      <c r="C51" s="135"/>
      <c r="D51" s="134"/>
      <c r="E51" s="135"/>
      <c r="F51" s="135"/>
      <c r="G51" s="135"/>
      <c r="H51" s="136"/>
      <c r="I51" s="135"/>
      <c r="J51" s="135"/>
      <c r="K51" s="139" t="s">
        <v>491</v>
      </c>
      <c r="L51" s="120"/>
      <c r="M51" s="282">
        <f>SUM(K50:M50)</f>
        <v>21463100</v>
      </c>
      <c r="N51" s="301"/>
      <c r="O51" s="301"/>
      <c r="P51" s="136"/>
    </row>
    <row r="52" ht="11.25" customHeight="1">
      <c r="A52" s="134"/>
      <c r="B52" s="135"/>
      <c r="C52" s="135"/>
      <c r="D52" s="134"/>
      <c r="E52" s="135"/>
      <c r="F52" s="135"/>
      <c r="G52" s="135"/>
      <c r="H52" s="136"/>
      <c r="I52" s="135"/>
      <c r="J52" s="135"/>
      <c r="K52" s="145" t="s">
        <v>506</v>
      </c>
      <c r="L52" s="120"/>
      <c r="M52" s="283">
        <f>SUM(M51-K5-K7-L8-L21-K22-L24-K40-L41)</f>
        <v>21275000</v>
      </c>
      <c r="N52" s="301"/>
      <c r="O52" s="301"/>
      <c r="P52" s="136"/>
    </row>
    <row r="53" ht="15.75" customHeight="1">
      <c r="A53" s="149"/>
      <c r="D53" s="149"/>
      <c r="H53" s="150"/>
      <c r="P53" s="150"/>
    </row>
    <row r="54" ht="15.75" customHeight="1">
      <c r="A54" s="149"/>
      <c r="D54" s="149"/>
      <c r="H54" s="150"/>
      <c r="P54" s="150"/>
    </row>
    <row r="55" ht="15.75" customHeight="1">
      <c r="A55" s="149"/>
      <c r="D55" s="149"/>
      <c r="H55" s="150"/>
      <c r="P55" s="150"/>
    </row>
    <row r="56" ht="15.75" customHeight="1">
      <c r="A56" s="149"/>
      <c r="D56" s="149"/>
      <c r="H56" s="150"/>
      <c r="P56" s="150"/>
    </row>
    <row r="57" ht="15.75" customHeight="1">
      <c r="A57" s="149"/>
      <c r="D57" s="149"/>
      <c r="H57" s="150"/>
      <c r="P57" s="150"/>
    </row>
    <row r="58" ht="15.75" customHeight="1">
      <c r="A58" s="149"/>
      <c r="D58" s="149"/>
      <c r="H58" s="150"/>
      <c r="P58" s="150"/>
    </row>
    <row r="59" ht="15.75" customHeight="1">
      <c r="A59" s="149"/>
      <c r="D59" s="149"/>
      <c r="H59" s="150"/>
      <c r="P59" s="150"/>
    </row>
    <row r="60" ht="15.75" customHeight="1">
      <c r="A60" s="149"/>
      <c r="D60" s="149"/>
      <c r="H60" s="150"/>
      <c r="P60" s="150"/>
    </row>
    <row r="61" ht="15.75" customHeight="1">
      <c r="A61" s="149"/>
      <c r="D61" s="149"/>
      <c r="H61" s="150"/>
      <c r="P61" s="150"/>
    </row>
    <row r="62" ht="15.75" customHeight="1">
      <c r="A62" s="149"/>
      <c r="D62" s="149"/>
      <c r="H62" s="150"/>
      <c r="P62" s="150"/>
    </row>
    <row r="63" ht="15.75" customHeight="1">
      <c r="A63" s="149"/>
      <c r="D63" s="149"/>
      <c r="H63" s="150"/>
      <c r="P63" s="150"/>
    </row>
    <row r="64" ht="15.75" customHeight="1">
      <c r="A64" s="149"/>
      <c r="D64" s="149"/>
      <c r="H64" s="150"/>
      <c r="P64" s="150"/>
    </row>
    <row r="65" ht="15.75" customHeight="1">
      <c r="A65" s="149"/>
      <c r="D65" s="149"/>
      <c r="H65" s="150"/>
      <c r="P65" s="150"/>
    </row>
    <row r="66" ht="15.75" customHeight="1">
      <c r="A66" s="149"/>
      <c r="D66" s="149"/>
      <c r="H66" s="150"/>
      <c r="P66" s="150"/>
    </row>
    <row r="67" ht="15.75" customHeight="1">
      <c r="A67" s="149"/>
      <c r="D67" s="149"/>
      <c r="H67" s="150"/>
      <c r="P67" s="150"/>
    </row>
    <row r="68" ht="15.75" customHeight="1">
      <c r="A68" s="149"/>
      <c r="D68" s="149"/>
      <c r="H68" s="150"/>
      <c r="P68" s="150"/>
    </row>
    <row r="69" ht="15.75" customHeight="1">
      <c r="A69" s="149"/>
      <c r="D69" s="149"/>
      <c r="H69" s="150"/>
      <c r="P69" s="150"/>
    </row>
    <row r="70" ht="15.75" customHeight="1">
      <c r="A70" s="149"/>
      <c r="D70" s="149"/>
      <c r="H70" s="150"/>
      <c r="P70" s="150"/>
    </row>
    <row r="71" ht="15.75" customHeight="1">
      <c r="A71" s="149"/>
      <c r="D71" s="149"/>
      <c r="H71" s="150"/>
      <c r="P71" s="150"/>
    </row>
    <row r="72" ht="15.75" customHeight="1">
      <c r="A72" s="149"/>
      <c r="D72" s="149"/>
      <c r="H72" s="150"/>
      <c r="P72" s="150"/>
    </row>
    <row r="73" ht="15.75" customHeight="1">
      <c r="A73" s="149"/>
      <c r="D73" s="149"/>
      <c r="H73" s="150"/>
      <c r="P73" s="150"/>
    </row>
    <row r="74" ht="15.75" customHeight="1">
      <c r="A74" s="149"/>
      <c r="D74" s="149"/>
      <c r="H74" s="150"/>
      <c r="P74" s="150"/>
    </row>
    <row r="75" ht="15.75" customHeight="1">
      <c r="A75" s="149"/>
      <c r="D75" s="149"/>
      <c r="H75" s="150"/>
      <c r="P75" s="150"/>
    </row>
    <row r="76" ht="15.75" customHeight="1">
      <c r="A76" s="149"/>
      <c r="D76" s="149"/>
      <c r="H76" s="150"/>
      <c r="P76" s="150"/>
    </row>
    <row r="77" ht="15.75" customHeight="1">
      <c r="A77" s="149"/>
      <c r="D77" s="149"/>
      <c r="H77" s="150"/>
      <c r="P77" s="150"/>
    </row>
    <row r="78" ht="15.75" customHeight="1">
      <c r="A78" s="149"/>
      <c r="D78" s="149"/>
      <c r="H78" s="150"/>
      <c r="P78" s="150"/>
    </row>
    <row r="79" ht="15.75" customHeight="1">
      <c r="A79" s="149"/>
      <c r="D79" s="149"/>
      <c r="H79" s="150"/>
      <c r="P79" s="150"/>
    </row>
    <row r="80" ht="15.75" customHeight="1">
      <c r="A80" s="149"/>
      <c r="D80" s="149"/>
      <c r="H80" s="150"/>
      <c r="P80" s="150"/>
    </row>
    <row r="81" ht="15.75" customHeight="1">
      <c r="A81" s="149"/>
      <c r="D81" s="149"/>
      <c r="H81" s="150"/>
      <c r="P81" s="150"/>
    </row>
    <row r="82" ht="15.75" customHeight="1">
      <c r="A82" s="149"/>
      <c r="D82" s="149"/>
      <c r="H82" s="150"/>
      <c r="P82" s="150"/>
    </row>
    <row r="83" ht="15.75" customHeight="1">
      <c r="A83" s="149"/>
      <c r="D83" s="149"/>
      <c r="H83" s="150"/>
      <c r="P83" s="150"/>
    </row>
    <row r="84" ht="15.75" customHeight="1">
      <c r="A84" s="149"/>
      <c r="D84" s="149"/>
      <c r="H84" s="150"/>
      <c r="P84" s="150"/>
    </row>
    <row r="85" ht="15.75" customHeight="1">
      <c r="A85" s="149"/>
      <c r="D85" s="149"/>
      <c r="H85" s="150"/>
      <c r="P85" s="150"/>
    </row>
    <row r="86" ht="15.75" customHeight="1">
      <c r="A86" s="149"/>
      <c r="D86" s="149"/>
      <c r="H86" s="150"/>
      <c r="P86" s="150"/>
    </row>
    <row r="87" ht="15.75" customHeight="1">
      <c r="A87" s="149"/>
      <c r="D87" s="149"/>
      <c r="H87" s="150"/>
      <c r="P87" s="150"/>
    </row>
    <row r="88" ht="15.75" customHeight="1">
      <c r="A88" s="149"/>
      <c r="D88" s="149"/>
      <c r="H88" s="150"/>
      <c r="P88" s="150"/>
    </row>
    <row r="89" ht="15.75" customHeight="1">
      <c r="A89" s="149"/>
      <c r="D89" s="149"/>
      <c r="H89" s="150"/>
      <c r="P89" s="150"/>
    </row>
    <row r="90" ht="15.75" customHeight="1">
      <c r="A90" s="149"/>
      <c r="D90" s="149"/>
      <c r="H90" s="150"/>
      <c r="P90" s="150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</sheetData>
  <autoFilter ref="$A$1:$P$50">
    <sortState ref="A1:P50">
      <sortCondition ref="D1:D50"/>
    </sortState>
  </autoFilter>
  <mergeCells count="3">
    <mergeCell ref="A50:B50"/>
    <mergeCell ref="K51:L51"/>
    <mergeCell ref="K52:L52"/>
  </mergeCells>
  <printOptions/>
  <pageMargins bottom="0.1" footer="0.0" header="0.0" left="0.25" right="0.1" top="0.1"/>
  <pageSetup paperSize="9" orientation="landscape"/>
  <headerFooter>
    <oddFooter>&amp;LPRINTED ON :  &amp;RPage &amp;P Of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14"/>
    <col customWidth="1" min="2" max="2" width="9.43"/>
    <col customWidth="1" min="3" max="3" width="4.29"/>
    <col customWidth="1" min="4" max="4" width="6.57"/>
    <col customWidth="1" min="5" max="5" width="14.57"/>
    <col customWidth="1" min="6" max="6" width="18.71"/>
    <col customWidth="1" min="7" max="7" width="8.0"/>
    <col customWidth="1" min="8" max="8" width="9.57"/>
    <col customWidth="1" min="9" max="9" width="3.29"/>
    <col customWidth="1" min="10" max="10" width="6.43"/>
    <col customWidth="1" min="11" max="11" width="10.0"/>
    <col customWidth="1" min="12" max="12" width="10.43"/>
    <col customWidth="1" min="13" max="13" width="11.0"/>
    <col customWidth="1" min="14" max="14" width="9.57"/>
    <col customWidth="1" min="15" max="15" width="7.57"/>
    <col customWidth="1" min="16" max="16" width="10.57"/>
    <col customWidth="1" min="17" max="26" width="8.71"/>
  </cols>
  <sheetData>
    <row r="1">
      <c r="A1" s="8" t="s">
        <v>0</v>
      </c>
      <c r="B1" s="2" t="s">
        <v>2</v>
      </c>
      <c r="C1" s="2" t="s">
        <v>1216</v>
      </c>
      <c r="D1" s="2" t="s">
        <v>5</v>
      </c>
      <c r="E1" s="2" t="s">
        <v>6</v>
      </c>
      <c r="F1" s="2" t="s">
        <v>17</v>
      </c>
      <c r="G1" s="2" t="s">
        <v>8</v>
      </c>
      <c r="H1" s="2" t="s">
        <v>20</v>
      </c>
      <c r="I1" s="2" t="s">
        <v>21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18</v>
      </c>
      <c r="P1" s="2" t="s">
        <v>19</v>
      </c>
    </row>
    <row r="2">
      <c r="A2" s="12">
        <f t="shared" ref="A2:A33" si="1">IF(D2="","",SUBTOTAL(3,$D$2:D2))</f>
        <v>1</v>
      </c>
      <c r="B2" s="12" t="s">
        <v>24</v>
      </c>
      <c r="C2" s="12" t="s">
        <v>211</v>
      </c>
      <c r="D2" s="12">
        <v>62850.0</v>
      </c>
      <c r="E2" s="106" t="s">
        <v>221</v>
      </c>
      <c r="F2" s="106" t="s">
        <v>181</v>
      </c>
      <c r="G2" s="106" t="s">
        <v>36</v>
      </c>
      <c r="H2" s="118">
        <v>45931.0</v>
      </c>
      <c r="I2" s="12">
        <v>0.0</v>
      </c>
      <c r="J2" s="106" t="s">
        <v>266</v>
      </c>
      <c r="K2" s="281">
        <v>20000.0</v>
      </c>
      <c r="L2" s="281">
        <v>0.0</v>
      </c>
      <c r="M2" s="281">
        <v>0.0</v>
      </c>
      <c r="N2" s="281">
        <v>0.0</v>
      </c>
      <c r="O2" s="281">
        <v>0.0</v>
      </c>
      <c r="P2" s="281" t="s">
        <v>267</v>
      </c>
    </row>
    <row r="3">
      <c r="A3" s="12">
        <f t="shared" si="1"/>
        <v>2</v>
      </c>
      <c r="B3" s="12" t="s">
        <v>24</v>
      </c>
      <c r="C3" s="12" t="s">
        <v>211</v>
      </c>
      <c r="D3" s="12">
        <v>71851.0</v>
      </c>
      <c r="E3" s="106" t="s">
        <v>84</v>
      </c>
      <c r="F3" s="106" t="s">
        <v>270</v>
      </c>
      <c r="G3" s="106" t="s">
        <v>36</v>
      </c>
      <c r="H3" s="118">
        <v>45931.0</v>
      </c>
      <c r="I3" s="12">
        <v>1.0</v>
      </c>
      <c r="J3" s="106" t="s">
        <v>38</v>
      </c>
      <c r="K3" s="281">
        <v>50000.0</v>
      </c>
      <c r="L3" s="281">
        <v>0.0</v>
      </c>
      <c r="M3" s="281">
        <v>0.0</v>
      </c>
      <c r="N3" s="281">
        <v>0.0</v>
      </c>
      <c r="O3" s="281">
        <v>0.0</v>
      </c>
      <c r="P3" s="281" t="s">
        <v>267</v>
      </c>
    </row>
    <row r="4">
      <c r="A4" s="12">
        <f t="shared" si="1"/>
        <v>3</v>
      </c>
      <c r="B4" s="12" t="s">
        <v>24</v>
      </c>
      <c r="C4" s="12" t="s">
        <v>211</v>
      </c>
      <c r="D4" s="12">
        <v>71852.0</v>
      </c>
      <c r="E4" s="106" t="s">
        <v>84</v>
      </c>
      <c r="F4" s="106" t="s">
        <v>254</v>
      </c>
      <c r="G4" s="106" t="s">
        <v>36</v>
      </c>
      <c r="H4" s="118">
        <v>45931.0</v>
      </c>
      <c r="I4" s="12">
        <v>1.0</v>
      </c>
      <c r="J4" s="106" t="s">
        <v>38</v>
      </c>
      <c r="K4" s="281">
        <v>50000.0</v>
      </c>
      <c r="L4" s="281">
        <v>0.0</v>
      </c>
      <c r="M4" s="281">
        <v>0.0</v>
      </c>
      <c r="N4" s="281">
        <v>0.0</v>
      </c>
      <c r="O4" s="281">
        <v>0.0</v>
      </c>
      <c r="P4" s="281" t="s">
        <v>267</v>
      </c>
    </row>
    <row r="5">
      <c r="A5" s="12">
        <f t="shared" si="1"/>
        <v>4</v>
      </c>
      <c r="B5" s="12" t="s">
        <v>24</v>
      </c>
      <c r="C5" s="12" t="s">
        <v>211</v>
      </c>
      <c r="D5" s="12">
        <v>71853.0</v>
      </c>
      <c r="E5" s="106" t="s">
        <v>221</v>
      </c>
      <c r="F5" s="106" t="s">
        <v>189</v>
      </c>
      <c r="G5" s="106" t="s">
        <v>36</v>
      </c>
      <c r="H5" s="118">
        <v>45931.0</v>
      </c>
      <c r="I5" s="12">
        <v>0.0</v>
      </c>
      <c r="J5" s="106" t="s">
        <v>266</v>
      </c>
      <c r="K5" s="281">
        <v>5000.0</v>
      </c>
      <c r="L5" s="281"/>
      <c r="M5" s="281"/>
      <c r="N5" s="281"/>
      <c r="O5" s="281"/>
      <c r="P5" s="297"/>
    </row>
    <row r="6">
      <c r="A6" s="12">
        <f t="shared" si="1"/>
        <v>5</v>
      </c>
      <c r="B6" s="12" t="s">
        <v>24</v>
      </c>
      <c r="C6" s="12" t="s">
        <v>122</v>
      </c>
      <c r="D6" s="12">
        <v>62846.0</v>
      </c>
      <c r="E6" s="106" t="s">
        <v>191</v>
      </c>
      <c r="F6" s="106" t="s">
        <v>252</v>
      </c>
      <c r="G6" s="106" t="s">
        <v>36</v>
      </c>
      <c r="H6" s="118">
        <v>45935.0</v>
      </c>
      <c r="I6" s="12">
        <v>4.0</v>
      </c>
      <c r="J6" s="106" t="s">
        <v>266</v>
      </c>
      <c r="K6" s="281"/>
      <c r="L6" s="281"/>
      <c r="M6" s="281">
        <v>20000.0</v>
      </c>
      <c r="N6" s="281"/>
      <c r="O6" s="281"/>
      <c r="P6" s="297">
        <v>45935.0</v>
      </c>
    </row>
    <row r="7">
      <c r="A7" s="12">
        <f t="shared" si="1"/>
        <v>6</v>
      </c>
      <c r="B7" s="12" t="s">
        <v>24</v>
      </c>
      <c r="C7" s="12" t="s">
        <v>211</v>
      </c>
      <c r="D7" s="12">
        <v>71854.0</v>
      </c>
      <c r="E7" s="106" t="s">
        <v>514</v>
      </c>
      <c r="F7" s="106" t="s">
        <v>283</v>
      </c>
      <c r="G7" s="106" t="s">
        <v>36</v>
      </c>
      <c r="H7" s="118">
        <v>45938.0</v>
      </c>
      <c r="I7" s="12">
        <v>0.0</v>
      </c>
      <c r="J7" s="106" t="s">
        <v>38</v>
      </c>
      <c r="K7" s="281">
        <v>100000.0</v>
      </c>
      <c r="L7" s="281">
        <v>0.0</v>
      </c>
      <c r="M7" s="281">
        <v>0.0</v>
      </c>
      <c r="N7" s="281">
        <v>0.0</v>
      </c>
      <c r="O7" s="281">
        <v>0.0</v>
      </c>
      <c r="P7" s="281" t="s">
        <v>267</v>
      </c>
    </row>
    <row r="8">
      <c r="A8" s="12">
        <f t="shared" si="1"/>
        <v>7</v>
      </c>
      <c r="B8" s="12" t="s">
        <v>24</v>
      </c>
      <c r="C8" s="12" t="s">
        <v>211</v>
      </c>
      <c r="D8" s="12">
        <v>71855.0</v>
      </c>
      <c r="E8" s="106" t="s">
        <v>84</v>
      </c>
      <c r="F8" s="106" t="s">
        <v>254</v>
      </c>
      <c r="G8" s="106" t="s">
        <v>37</v>
      </c>
      <c r="H8" s="118">
        <v>45941.0</v>
      </c>
      <c r="I8" s="12">
        <v>1.0</v>
      </c>
      <c r="J8" s="106" t="s">
        <v>266</v>
      </c>
      <c r="K8" s="281">
        <v>5000.0</v>
      </c>
      <c r="L8" s="281">
        <v>0.0</v>
      </c>
      <c r="M8" s="281">
        <v>0.0</v>
      </c>
      <c r="N8" s="281">
        <v>0.0</v>
      </c>
      <c r="O8" s="281">
        <v>0.0</v>
      </c>
      <c r="P8" s="281" t="s">
        <v>267</v>
      </c>
    </row>
    <row r="9">
      <c r="A9" s="12">
        <f t="shared" si="1"/>
        <v>8</v>
      </c>
      <c r="B9" s="12" t="s">
        <v>24</v>
      </c>
      <c r="C9" s="12" t="s">
        <v>211</v>
      </c>
      <c r="D9" s="12">
        <v>71856.0</v>
      </c>
      <c r="E9" s="106" t="s">
        <v>84</v>
      </c>
      <c r="F9" s="106" t="s">
        <v>270</v>
      </c>
      <c r="G9" s="106" t="s">
        <v>37</v>
      </c>
      <c r="H9" s="118">
        <v>45941.0</v>
      </c>
      <c r="I9" s="12">
        <v>1.0</v>
      </c>
      <c r="J9" s="106" t="s">
        <v>266</v>
      </c>
      <c r="K9" s="281">
        <v>5000.0</v>
      </c>
      <c r="L9" s="281">
        <v>0.0</v>
      </c>
      <c r="M9" s="281">
        <v>0.0</v>
      </c>
      <c r="N9" s="281">
        <v>0.0</v>
      </c>
      <c r="O9" s="281">
        <v>0.0</v>
      </c>
      <c r="P9" s="281" t="s">
        <v>267</v>
      </c>
    </row>
    <row r="10">
      <c r="A10" s="12">
        <f t="shared" si="1"/>
        <v>9</v>
      </c>
      <c r="B10" s="12" t="s">
        <v>24</v>
      </c>
      <c r="C10" s="12" t="s">
        <v>122</v>
      </c>
      <c r="D10" s="289" t="s">
        <v>123</v>
      </c>
      <c r="E10" s="106" t="s">
        <v>71</v>
      </c>
      <c r="F10" s="106" t="s">
        <v>1486</v>
      </c>
      <c r="G10" s="106" t="s">
        <v>34</v>
      </c>
      <c r="H10" s="118">
        <v>45941.0</v>
      </c>
      <c r="I10" s="12">
        <v>10.0</v>
      </c>
      <c r="J10" s="106" t="s">
        <v>266</v>
      </c>
      <c r="K10" s="281">
        <v>0.0</v>
      </c>
      <c r="L10" s="281"/>
      <c r="M10" s="281">
        <v>500000.0</v>
      </c>
      <c r="N10" s="281"/>
      <c r="O10" s="281"/>
      <c r="P10" s="297">
        <v>45944.0</v>
      </c>
    </row>
    <row r="11">
      <c r="A11" s="12">
        <f t="shared" si="1"/>
        <v>10</v>
      </c>
      <c r="B11" s="12" t="s">
        <v>24</v>
      </c>
      <c r="C11" s="12" t="s">
        <v>122</v>
      </c>
      <c r="D11" s="289" t="s">
        <v>130</v>
      </c>
      <c r="E11" s="106" t="s">
        <v>44</v>
      </c>
      <c r="F11" s="106" t="s">
        <v>1486</v>
      </c>
      <c r="G11" s="106" t="s">
        <v>34</v>
      </c>
      <c r="H11" s="118">
        <v>45941.0</v>
      </c>
      <c r="I11" s="12">
        <v>20.0</v>
      </c>
      <c r="J11" s="106" t="s">
        <v>266</v>
      </c>
      <c r="K11" s="281">
        <v>0.0</v>
      </c>
      <c r="L11" s="281"/>
      <c r="M11" s="281">
        <v>500000.0</v>
      </c>
      <c r="N11" s="281"/>
      <c r="O11" s="281"/>
      <c r="P11" s="297">
        <v>45944.0</v>
      </c>
    </row>
    <row r="12">
      <c r="A12" s="12">
        <f t="shared" si="1"/>
        <v>11</v>
      </c>
      <c r="B12" s="12" t="s">
        <v>24</v>
      </c>
      <c r="C12" s="12" t="s">
        <v>211</v>
      </c>
      <c r="D12" s="12">
        <v>71857.0</v>
      </c>
      <c r="E12" s="106" t="s">
        <v>514</v>
      </c>
      <c r="F12" s="106" t="s">
        <v>64</v>
      </c>
      <c r="G12" s="106" t="s">
        <v>36</v>
      </c>
      <c r="H12" s="118">
        <v>45943.0</v>
      </c>
      <c r="I12" s="12">
        <v>0.0</v>
      </c>
      <c r="J12" s="106" t="s">
        <v>57</v>
      </c>
      <c r="K12" s="281">
        <v>0.0</v>
      </c>
      <c r="L12" s="281">
        <v>7500.0</v>
      </c>
      <c r="M12" s="281">
        <v>0.0</v>
      </c>
      <c r="N12" s="281">
        <v>0.0</v>
      </c>
      <c r="O12" s="281">
        <v>0.0</v>
      </c>
      <c r="P12" s="281" t="s">
        <v>267</v>
      </c>
    </row>
    <row r="13">
      <c r="A13" s="12">
        <f t="shared" si="1"/>
        <v>12</v>
      </c>
      <c r="B13" s="12" t="s">
        <v>24</v>
      </c>
      <c r="C13" s="12" t="s">
        <v>122</v>
      </c>
      <c r="D13" s="12">
        <v>62847.0</v>
      </c>
      <c r="E13" s="106" t="s">
        <v>191</v>
      </c>
      <c r="F13" s="106" t="s">
        <v>252</v>
      </c>
      <c r="G13" s="106" t="s">
        <v>36</v>
      </c>
      <c r="H13" s="118">
        <v>45945.0</v>
      </c>
      <c r="I13" s="12">
        <v>0.0</v>
      </c>
      <c r="J13" s="106" t="s">
        <v>266</v>
      </c>
      <c r="K13" s="281">
        <v>0.0</v>
      </c>
      <c r="L13" s="281"/>
      <c r="M13" s="281">
        <v>300000.0</v>
      </c>
      <c r="N13" s="281"/>
      <c r="O13" s="281"/>
      <c r="P13" s="297">
        <v>45945.0</v>
      </c>
    </row>
    <row r="14">
      <c r="A14" s="12">
        <f t="shared" si="1"/>
        <v>13</v>
      </c>
      <c r="B14" s="12" t="s">
        <v>24</v>
      </c>
      <c r="C14" s="12" t="s">
        <v>211</v>
      </c>
      <c r="D14" s="12">
        <v>71858.0</v>
      </c>
      <c r="E14" s="106" t="s">
        <v>514</v>
      </c>
      <c r="F14" s="106" t="s">
        <v>69</v>
      </c>
      <c r="G14" s="106" t="s">
        <v>36</v>
      </c>
      <c r="H14" s="118">
        <v>45945.0</v>
      </c>
      <c r="I14" s="12">
        <v>0.0</v>
      </c>
      <c r="J14" s="106" t="s">
        <v>57</v>
      </c>
      <c r="K14" s="281">
        <v>0.0</v>
      </c>
      <c r="L14" s="281">
        <v>17000.0</v>
      </c>
      <c r="M14" s="281">
        <v>0.0</v>
      </c>
      <c r="N14" s="281">
        <v>0.0</v>
      </c>
      <c r="O14" s="281">
        <v>0.0</v>
      </c>
      <c r="P14" s="281" t="s">
        <v>267</v>
      </c>
    </row>
    <row r="15">
      <c r="A15" s="12">
        <f t="shared" si="1"/>
        <v>14</v>
      </c>
      <c r="B15" s="12" t="s">
        <v>24</v>
      </c>
      <c r="C15" s="12"/>
      <c r="D15" s="289" t="s">
        <v>131</v>
      </c>
      <c r="E15" s="106"/>
      <c r="F15" s="106" t="s">
        <v>32</v>
      </c>
      <c r="G15" s="106" t="s">
        <v>34</v>
      </c>
      <c r="H15" s="118">
        <v>45945.0</v>
      </c>
      <c r="I15" s="12">
        <v>0.0</v>
      </c>
      <c r="J15" s="106" t="s">
        <v>57</v>
      </c>
      <c r="K15" s="281">
        <v>0.0</v>
      </c>
      <c r="L15" s="281">
        <v>50000.0</v>
      </c>
      <c r="M15" s="281"/>
      <c r="N15" s="281"/>
      <c r="O15" s="281"/>
      <c r="P15" s="281"/>
    </row>
    <row r="16">
      <c r="A16" s="12">
        <f t="shared" si="1"/>
        <v>15</v>
      </c>
      <c r="B16" s="12" t="s">
        <v>24</v>
      </c>
      <c r="C16" s="12" t="s">
        <v>211</v>
      </c>
      <c r="D16" s="12">
        <v>71859.0</v>
      </c>
      <c r="E16" s="106" t="s">
        <v>230</v>
      </c>
      <c r="F16" s="106" t="s">
        <v>231</v>
      </c>
      <c r="G16" s="106" t="s">
        <v>36</v>
      </c>
      <c r="H16" s="118">
        <v>45946.0</v>
      </c>
      <c r="I16" s="12">
        <v>1.0</v>
      </c>
      <c r="J16" s="106" t="s">
        <v>266</v>
      </c>
      <c r="K16" s="281">
        <v>5000.0</v>
      </c>
      <c r="L16" s="281">
        <v>0.0</v>
      </c>
      <c r="M16" s="281">
        <v>0.0</v>
      </c>
      <c r="N16" s="281">
        <v>0.0</v>
      </c>
      <c r="O16" s="281">
        <v>0.0</v>
      </c>
      <c r="P16" s="281" t="s">
        <v>267</v>
      </c>
    </row>
    <row r="17">
      <c r="A17" s="12">
        <f t="shared" si="1"/>
        <v>16</v>
      </c>
      <c r="B17" s="12" t="s">
        <v>24</v>
      </c>
      <c r="C17" s="12" t="s">
        <v>301</v>
      </c>
      <c r="D17" s="12">
        <v>71860.0</v>
      </c>
      <c r="E17" s="106" t="s">
        <v>303</v>
      </c>
      <c r="F17" s="106" t="s">
        <v>304</v>
      </c>
      <c r="G17" s="106" t="s">
        <v>36</v>
      </c>
      <c r="H17" s="118">
        <v>45949.0</v>
      </c>
      <c r="I17" s="12">
        <v>2.0</v>
      </c>
      <c r="J17" s="106" t="s">
        <v>266</v>
      </c>
      <c r="K17" s="281">
        <v>10000.0</v>
      </c>
      <c r="L17" s="281">
        <v>0.0</v>
      </c>
      <c r="M17" s="281">
        <v>0.0</v>
      </c>
      <c r="N17" s="281">
        <v>0.0</v>
      </c>
      <c r="O17" s="281">
        <v>0.0</v>
      </c>
      <c r="P17" s="281" t="s">
        <v>267</v>
      </c>
    </row>
    <row r="18">
      <c r="A18" s="12">
        <f t="shared" si="1"/>
        <v>17</v>
      </c>
      <c r="B18" s="12" t="s">
        <v>24</v>
      </c>
      <c r="C18" s="12" t="s">
        <v>301</v>
      </c>
      <c r="D18" s="289" t="s">
        <v>306</v>
      </c>
      <c r="E18" s="106" t="s">
        <v>303</v>
      </c>
      <c r="F18" s="106" t="s">
        <v>304</v>
      </c>
      <c r="G18" s="106" t="s">
        <v>36</v>
      </c>
      <c r="H18" s="118">
        <v>45951.0</v>
      </c>
      <c r="I18" s="12">
        <v>0.0</v>
      </c>
      <c r="J18" s="106" t="s">
        <v>38</v>
      </c>
      <c r="K18" s="281">
        <v>0.0</v>
      </c>
      <c r="L18" s="281"/>
      <c r="M18" s="281"/>
      <c r="N18" s="281">
        <v>200000.0</v>
      </c>
      <c r="O18" s="281"/>
      <c r="P18" s="297">
        <v>45971.0</v>
      </c>
    </row>
    <row r="19">
      <c r="A19" s="12">
        <f t="shared" si="1"/>
        <v>18</v>
      </c>
      <c r="B19" s="12" t="s">
        <v>24</v>
      </c>
      <c r="C19" s="12" t="s">
        <v>122</v>
      </c>
      <c r="D19" s="289" t="s">
        <v>311</v>
      </c>
      <c r="E19" s="106" t="s">
        <v>60</v>
      </c>
      <c r="F19" s="106" t="s">
        <v>161</v>
      </c>
      <c r="G19" s="106" t="s">
        <v>36</v>
      </c>
      <c r="H19" s="118">
        <v>45952.0</v>
      </c>
      <c r="I19" s="12">
        <v>0.0</v>
      </c>
      <c r="J19" s="106" t="s">
        <v>57</v>
      </c>
      <c r="K19" s="281">
        <v>7300.0</v>
      </c>
      <c r="L19" s="281">
        <v>0.0</v>
      </c>
      <c r="M19" s="281">
        <v>0.0</v>
      </c>
      <c r="N19" s="281">
        <v>0.0</v>
      </c>
      <c r="O19" s="281">
        <v>0.0</v>
      </c>
      <c r="P19" s="281"/>
    </row>
    <row r="20">
      <c r="A20" s="12">
        <f t="shared" si="1"/>
        <v>19</v>
      </c>
      <c r="B20" s="12" t="s">
        <v>24</v>
      </c>
      <c r="C20" s="12" t="s">
        <v>211</v>
      </c>
      <c r="D20" s="289" t="s">
        <v>312</v>
      </c>
      <c r="E20" s="106" t="s">
        <v>221</v>
      </c>
      <c r="F20" s="106" t="s">
        <v>189</v>
      </c>
      <c r="G20" s="106" t="s">
        <v>36</v>
      </c>
      <c r="H20" s="118">
        <v>45953.0</v>
      </c>
      <c r="I20" s="12">
        <v>0.0</v>
      </c>
      <c r="J20" s="106" t="s">
        <v>38</v>
      </c>
      <c r="K20" s="281">
        <v>45000.0</v>
      </c>
      <c r="L20" s="281">
        <v>0.0</v>
      </c>
      <c r="M20" s="281">
        <v>0.0</v>
      </c>
      <c r="N20" s="281">
        <v>0.0</v>
      </c>
      <c r="O20" s="281">
        <v>0.0</v>
      </c>
      <c r="P20" s="281"/>
    </row>
    <row r="21" ht="15.75" customHeight="1">
      <c r="A21" s="12">
        <f t="shared" si="1"/>
        <v>20</v>
      </c>
      <c r="B21" s="12" t="s">
        <v>24</v>
      </c>
      <c r="C21" s="12" t="s">
        <v>211</v>
      </c>
      <c r="D21" s="289" t="s">
        <v>315</v>
      </c>
      <c r="E21" s="106" t="s">
        <v>221</v>
      </c>
      <c r="F21" s="106" t="s">
        <v>181</v>
      </c>
      <c r="G21" s="106" t="s">
        <v>36</v>
      </c>
      <c r="H21" s="118">
        <v>45953.0</v>
      </c>
      <c r="I21" s="12">
        <v>0.0</v>
      </c>
      <c r="J21" s="106" t="s">
        <v>38</v>
      </c>
      <c r="K21" s="281">
        <v>25000.0</v>
      </c>
      <c r="L21" s="281">
        <v>0.0</v>
      </c>
      <c r="M21" s="281">
        <v>0.0</v>
      </c>
      <c r="N21" s="281">
        <v>0.0</v>
      </c>
      <c r="O21" s="281">
        <v>0.0</v>
      </c>
      <c r="P21" s="281"/>
    </row>
    <row r="22" ht="15.75" customHeight="1">
      <c r="A22" s="12">
        <f t="shared" si="1"/>
        <v>21</v>
      </c>
      <c r="B22" s="12" t="s">
        <v>24</v>
      </c>
      <c r="C22" s="12" t="s">
        <v>211</v>
      </c>
      <c r="D22" s="289" t="s">
        <v>319</v>
      </c>
      <c r="E22" s="106" t="s">
        <v>221</v>
      </c>
      <c r="F22" s="106" t="s">
        <v>320</v>
      </c>
      <c r="G22" s="106" t="s">
        <v>36</v>
      </c>
      <c r="H22" s="118">
        <v>45953.0</v>
      </c>
      <c r="I22" s="12">
        <v>1.0</v>
      </c>
      <c r="J22" s="106" t="s">
        <v>266</v>
      </c>
      <c r="K22" s="281">
        <v>10000.0</v>
      </c>
      <c r="L22" s="281">
        <v>0.0</v>
      </c>
      <c r="M22" s="281">
        <v>0.0</v>
      </c>
      <c r="N22" s="281">
        <v>0.0</v>
      </c>
      <c r="O22" s="281">
        <v>0.0</v>
      </c>
      <c r="P22" s="281"/>
    </row>
    <row r="23" ht="15.75" customHeight="1">
      <c r="A23" s="12">
        <f t="shared" si="1"/>
        <v>22</v>
      </c>
      <c r="B23" s="12" t="s">
        <v>24</v>
      </c>
      <c r="C23" s="12" t="s">
        <v>122</v>
      </c>
      <c r="D23" s="289" t="s">
        <v>323</v>
      </c>
      <c r="E23" s="106" t="s">
        <v>191</v>
      </c>
      <c r="F23" s="106" t="s">
        <v>193</v>
      </c>
      <c r="G23" s="106" t="s">
        <v>36</v>
      </c>
      <c r="H23" s="118">
        <v>45955.0</v>
      </c>
      <c r="I23" s="12">
        <v>0.0</v>
      </c>
      <c r="J23" s="106" t="s">
        <v>57</v>
      </c>
      <c r="K23" s="281">
        <v>0.0</v>
      </c>
      <c r="L23" s="281">
        <v>100000.0</v>
      </c>
      <c r="M23" s="281">
        <v>0.0</v>
      </c>
      <c r="N23" s="281">
        <v>0.0</v>
      </c>
      <c r="O23" s="281">
        <v>0.0</v>
      </c>
      <c r="P23" s="281"/>
    </row>
    <row r="24" ht="15.75" customHeight="1">
      <c r="A24" s="12">
        <f t="shared" si="1"/>
        <v>23</v>
      </c>
      <c r="B24" s="12" t="s">
        <v>24</v>
      </c>
      <c r="C24" s="12" t="s">
        <v>211</v>
      </c>
      <c r="D24" s="289" t="s">
        <v>326</v>
      </c>
      <c r="E24" s="106" t="s">
        <v>221</v>
      </c>
      <c r="F24" s="106" t="s">
        <v>320</v>
      </c>
      <c r="G24" s="106" t="s">
        <v>36</v>
      </c>
      <c r="H24" s="118">
        <v>45959.0</v>
      </c>
      <c r="I24" s="12">
        <v>1.0</v>
      </c>
      <c r="J24" s="106" t="s">
        <v>38</v>
      </c>
      <c r="K24" s="281">
        <v>50000.0</v>
      </c>
      <c r="L24" s="281">
        <v>0.0</v>
      </c>
      <c r="M24" s="281">
        <v>0.0</v>
      </c>
      <c r="N24" s="281">
        <v>0.0</v>
      </c>
      <c r="O24" s="281">
        <v>0.0</v>
      </c>
      <c r="P24" s="281"/>
    </row>
    <row r="25" ht="15.75" customHeight="1">
      <c r="A25" s="12">
        <f t="shared" si="1"/>
        <v>24</v>
      </c>
      <c r="B25" s="12" t="s">
        <v>24</v>
      </c>
      <c r="C25" s="12" t="s">
        <v>211</v>
      </c>
      <c r="D25" s="289" t="s">
        <v>327</v>
      </c>
      <c r="E25" s="106" t="s">
        <v>84</v>
      </c>
      <c r="F25" s="106" t="s">
        <v>329</v>
      </c>
      <c r="G25" s="106" t="s">
        <v>37</v>
      </c>
      <c r="H25" s="118">
        <v>45960.0</v>
      </c>
      <c r="I25" s="12">
        <v>1.0</v>
      </c>
      <c r="J25" s="106" t="s">
        <v>38</v>
      </c>
      <c r="K25" s="281">
        <v>0.0</v>
      </c>
      <c r="L25" s="281">
        <v>30000.0</v>
      </c>
      <c r="M25" s="281">
        <v>0.0</v>
      </c>
      <c r="N25" s="281">
        <v>0.0</v>
      </c>
      <c r="O25" s="281">
        <v>0.0</v>
      </c>
      <c r="P25" s="281"/>
    </row>
    <row r="26" ht="15.75" customHeight="1">
      <c r="A26" s="12">
        <f t="shared" si="1"/>
        <v>25</v>
      </c>
      <c r="B26" s="12" t="s">
        <v>24</v>
      </c>
      <c r="C26" s="12" t="s">
        <v>211</v>
      </c>
      <c r="D26" s="289" t="s">
        <v>330</v>
      </c>
      <c r="E26" s="106" t="s">
        <v>84</v>
      </c>
      <c r="F26" s="106" t="s">
        <v>329</v>
      </c>
      <c r="G26" s="106" t="s">
        <v>36</v>
      </c>
      <c r="H26" s="118">
        <v>45960.0</v>
      </c>
      <c r="I26" s="12">
        <v>0.0</v>
      </c>
      <c r="J26" s="106" t="s">
        <v>57</v>
      </c>
      <c r="K26" s="281">
        <v>0.0</v>
      </c>
      <c r="L26" s="281">
        <v>8300.0</v>
      </c>
      <c r="M26" s="281">
        <v>0.0</v>
      </c>
      <c r="N26" s="281">
        <v>0.0</v>
      </c>
      <c r="O26" s="281">
        <v>0.0</v>
      </c>
      <c r="P26" s="281"/>
    </row>
    <row r="27" ht="15.75" customHeight="1">
      <c r="A27" s="12" t="str">
        <f t="shared" si="1"/>
        <v/>
      </c>
      <c r="B27" s="12"/>
      <c r="C27" s="12"/>
      <c r="D27" s="12"/>
      <c r="E27" s="106"/>
      <c r="F27" s="106"/>
      <c r="G27" s="106"/>
      <c r="H27" s="118"/>
      <c r="I27" s="12"/>
      <c r="J27" s="106"/>
      <c r="K27" s="281"/>
      <c r="L27" s="281"/>
      <c r="M27" s="281"/>
      <c r="N27" s="281"/>
      <c r="O27" s="281"/>
      <c r="P27" s="297"/>
    </row>
    <row r="28" ht="15.75" customHeight="1">
      <c r="A28" s="12" t="str">
        <f t="shared" si="1"/>
        <v/>
      </c>
      <c r="B28" s="12"/>
      <c r="C28" s="12"/>
      <c r="D28" s="12"/>
      <c r="E28" s="106"/>
      <c r="F28" s="106"/>
      <c r="G28" s="106"/>
      <c r="H28" s="118"/>
      <c r="I28" s="12"/>
      <c r="J28" s="106"/>
      <c r="K28" s="281"/>
      <c r="L28" s="281"/>
      <c r="M28" s="281"/>
      <c r="N28" s="281"/>
      <c r="O28" s="281"/>
      <c r="P28" s="281"/>
    </row>
    <row r="29" ht="15.75" customHeight="1">
      <c r="A29" s="12" t="str">
        <f t="shared" si="1"/>
        <v/>
      </c>
      <c r="B29" s="12"/>
      <c r="C29" s="12"/>
      <c r="D29" s="12"/>
      <c r="E29" s="106"/>
      <c r="F29" s="106"/>
      <c r="G29" s="106"/>
      <c r="H29" s="118"/>
      <c r="I29" s="12"/>
      <c r="J29" s="106"/>
      <c r="K29" s="281"/>
      <c r="L29" s="281"/>
      <c r="M29" s="281"/>
      <c r="N29" s="281"/>
      <c r="O29" s="281"/>
      <c r="P29" s="281"/>
    </row>
    <row r="30" ht="15.75" customHeight="1">
      <c r="A30" s="12" t="str">
        <f t="shared" si="1"/>
        <v/>
      </c>
      <c r="B30" s="12"/>
      <c r="C30" s="12"/>
      <c r="D30" s="12"/>
      <c r="E30" s="106"/>
      <c r="F30" s="106"/>
      <c r="G30" s="106"/>
      <c r="H30" s="118"/>
      <c r="I30" s="12"/>
      <c r="J30" s="106"/>
      <c r="K30" s="281"/>
      <c r="L30" s="281"/>
      <c r="M30" s="281"/>
      <c r="N30" s="281"/>
      <c r="O30" s="281"/>
      <c r="P30" s="281"/>
    </row>
    <row r="31" ht="15.75" customHeight="1">
      <c r="A31" s="12" t="str">
        <f t="shared" si="1"/>
        <v/>
      </c>
      <c r="B31" s="12"/>
      <c r="C31" s="12"/>
      <c r="D31" s="12"/>
      <c r="E31" s="106"/>
      <c r="F31" s="106"/>
      <c r="G31" s="106"/>
      <c r="H31" s="118"/>
      <c r="I31" s="12"/>
      <c r="J31" s="106"/>
      <c r="K31" s="281"/>
      <c r="L31" s="281"/>
      <c r="M31" s="281"/>
      <c r="N31" s="281"/>
      <c r="O31" s="281"/>
      <c r="P31" s="281"/>
    </row>
    <row r="32" ht="15.75" customHeight="1">
      <c r="A32" s="12" t="str">
        <f t="shared" si="1"/>
        <v/>
      </c>
      <c r="B32" s="12"/>
      <c r="C32" s="12"/>
      <c r="D32" s="12"/>
      <c r="E32" s="106"/>
      <c r="F32" s="106"/>
      <c r="G32" s="106"/>
      <c r="H32" s="118"/>
      <c r="I32" s="12"/>
      <c r="J32" s="106"/>
      <c r="K32" s="281"/>
      <c r="L32" s="281"/>
      <c r="M32" s="281"/>
      <c r="N32" s="281"/>
      <c r="O32" s="281"/>
      <c r="P32" s="281"/>
    </row>
    <row r="33" ht="15.75" customHeight="1">
      <c r="A33" s="12" t="str">
        <f t="shared" si="1"/>
        <v/>
      </c>
      <c r="B33" s="12"/>
      <c r="C33" s="12"/>
      <c r="D33" s="12"/>
      <c r="E33" s="106"/>
      <c r="F33" s="106"/>
      <c r="G33" s="106"/>
      <c r="H33" s="118"/>
      <c r="I33" s="12"/>
      <c r="J33" s="106"/>
      <c r="K33" s="281"/>
      <c r="L33" s="281"/>
      <c r="M33" s="281"/>
      <c r="N33" s="281"/>
      <c r="O33" s="281"/>
      <c r="P33" s="281"/>
    </row>
    <row r="34" ht="15.75" customHeight="1">
      <c r="A34" s="287" t="s">
        <v>789</v>
      </c>
      <c r="B34" s="120"/>
      <c r="C34" s="127"/>
      <c r="D34" s="128"/>
      <c r="E34" s="127"/>
      <c r="F34" s="127"/>
      <c r="G34" s="127"/>
      <c r="H34" s="129"/>
      <c r="I34" s="304">
        <f>SUBTOTAL(9,I1:I33)</f>
        <v>44</v>
      </c>
      <c r="J34" s="305" t="s">
        <v>481</v>
      </c>
      <c r="K34" s="306">
        <f t="shared" ref="K34:O34" si="2">SUBTOTAL(9,K1:K33)</f>
        <v>387300</v>
      </c>
      <c r="L34" s="306">
        <f t="shared" si="2"/>
        <v>212800</v>
      </c>
      <c r="M34" s="306">
        <f t="shared" si="2"/>
        <v>1320000</v>
      </c>
      <c r="N34" s="306">
        <f t="shared" si="2"/>
        <v>200000</v>
      </c>
      <c r="O34" s="306">
        <f t="shared" si="2"/>
        <v>0</v>
      </c>
      <c r="P34" s="303" t="s">
        <v>481</v>
      </c>
    </row>
    <row r="35" ht="15.75" customHeight="1">
      <c r="A35" s="134"/>
      <c r="B35" s="135"/>
      <c r="C35" s="135"/>
      <c r="D35" s="134"/>
      <c r="E35" s="135"/>
      <c r="F35" s="135"/>
      <c r="G35" s="135"/>
      <c r="H35" s="136"/>
      <c r="I35" s="135"/>
      <c r="J35" s="135"/>
      <c r="K35" s="307" t="s">
        <v>491</v>
      </c>
      <c r="L35" s="120"/>
      <c r="M35" s="308">
        <f>SUM(K34:M34)</f>
        <v>1920100</v>
      </c>
      <c r="N35" s="135"/>
      <c r="O35" s="135"/>
      <c r="P35" s="136"/>
    </row>
    <row r="36" ht="15.75" customHeight="1">
      <c r="A36" s="134"/>
      <c r="B36" s="135"/>
      <c r="C36" s="135"/>
      <c r="D36" s="134"/>
      <c r="E36" s="135"/>
      <c r="F36" s="135"/>
      <c r="G36" s="135"/>
      <c r="H36" s="136"/>
      <c r="I36" s="135"/>
      <c r="J36" s="135"/>
      <c r="K36" s="309" t="s">
        <v>506</v>
      </c>
      <c r="L36" s="120"/>
      <c r="M36" s="310">
        <f>SUM(M35-L12-L14-L15-K19-L23-L26)</f>
        <v>1730000</v>
      </c>
      <c r="N36" s="135"/>
      <c r="O36" s="135"/>
      <c r="P36" s="136"/>
    </row>
    <row r="37" ht="15.75" customHeight="1">
      <c r="A37" s="149"/>
      <c r="D37" s="149"/>
      <c r="H37" s="150"/>
      <c r="P37" s="150"/>
    </row>
    <row r="38" ht="15.75" customHeight="1">
      <c r="A38" s="149"/>
      <c r="D38" s="149"/>
      <c r="H38" s="150"/>
      <c r="P38" s="150"/>
    </row>
    <row r="39" ht="15.75" customHeight="1">
      <c r="A39" s="149"/>
      <c r="D39" s="149"/>
      <c r="H39" s="150"/>
      <c r="P39" s="150"/>
    </row>
    <row r="40" ht="15.75" customHeight="1">
      <c r="A40" s="149"/>
      <c r="D40" s="149"/>
      <c r="H40" s="150"/>
      <c r="P40" s="150"/>
    </row>
    <row r="41" ht="15.75" customHeight="1">
      <c r="A41" s="149"/>
      <c r="D41" s="149"/>
      <c r="H41" s="150"/>
      <c r="P41" s="150"/>
    </row>
    <row r="42" ht="15.75" customHeight="1">
      <c r="A42" s="149"/>
      <c r="D42" s="149"/>
      <c r="H42" s="150"/>
      <c r="P42" s="150"/>
    </row>
    <row r="43" ht="15.75" customHeight="1">
      <c r="A43" s="149"/>
      <c r="D43" s="149"/>
      <c r="H43" s="150"/>
      <c r="P43" s="150"/>
    </row>
    <row r="44" ht="15.75" customHeight="1">
      <c r="A44" s="149"/>
      <c r="D44" s="149"/>
      <c r="H44" s="150"/>
      <c r="P44" s="150"/>
    </row>
    <row r="45" ht="15.75" customHeight="1">
      <c r="A45" s="149"/>
      <c r="D45" s="149"/>
      <c r="H45" s="150"/>
      <c r="P45" s="150"/>
    </row>
    <row r="46" ht="15.75" customHeight="1">
      <c r="A46" s="149"/>
      <c r="D46" s="149"/>
      <c r="H46" s="150"/>
      <c r="P46" s="150"/>
    </row>
    <row r="47" ht="15.75" customHeight="1">
      <c r="A47" s="149"/>
      <c r="D47" s="149"/>
      <c r="H47" s="150"/>
      <c r="P47" s="150"/>
    </row>
    <row r="48" ht="15.75" customHeight="1">
      <c r="A48" s="149"/>
      <c r="D48" s="149"/>
      <c r="H48" s="150"/>
      <c r="P48" s="150"/>
    </row>
    <row r="49" ht="15.75" customHeight="1">
      <c r="A49" s="149"/>
      <c r="D49" s="149"/>
      <c r="H49" s="150"/>
      <c r="P49" s="150"/>
    </row>
    <row r="50" ht="15.75" customHeight="1">
      <c r="A50" s="149"/>
      <c r="D50" s="149"/>
      <c r="H50" s="150"/>
      <c r="P50" s="150"/>
    </row>
    <row r="51" ht="15.75" customHeight="1">
      <c r="A51" s="149"/>
      <c r="D51" s="149"/>
      <c r="H51" s="150"/>
      <c r="P51" s="150"/>
    </row>
    <row r="52" ht="15.75" customHeight="1">
      <c r="A52" s="149"/>
      <c r="D52" s="149"/>
      <c r="H52" s="150"/>
      <c r="P52" s="150"/>
    </row>
    <row r="53" ht="15.75" customHeight="1">
      <c r="A53" s="149"/>
      <c r="D53" s="149"/>
      <c r="H53" s="150"/>
      <c r="P53" s="150"/>
    </row>
    <row r="54" ht="15.75" customHeight="1">
      <c r="A54" s="149"/>
      <c r="D54" s="149"/>
      <c r="H54" s="150"/>
      <c r="P54" s="150"/>
    </row>
    <row r="55" ht="15.75" customHeight="1">
      <c r="A55" s="149"/>
      <c r="D55" s="149"/>
      <c r="H55" s="150"/>
      <c r="P55" s="150"/>
    </row>
    <row r="56" ht="15.75" customHeight="1">
      <c r="A56" s="149"/>
      <c r="D56" s="149"/>
      <c r="H56" s="150"/>
      <c r="P56" s="150"/>
    </row>
    <row r="57" ht="15.75" customHeight="1">
      <c r="A57" s="149"/>
      <c r="D57" s="149"/>
      <c r="H57" s="150"/>
      <c r="P57" s="150"/>
    </row>
    <row r="58" ht="15.75" customHeight="1">
      <c r="A58" s="149"/>
      <c r="D58" s="149"/>
      <c r="H58" s="150"/>
      <c r="P58" s="150"/>
    </row>
    <row r="59" ht="15.75" customHeight="1">
      <c r="A59" s="149"/>
      <c r="D59" s="149"/>
      <c r="H59" s="150"/>
      <c r="P59" s="150"/>
    </row>
    <row r="60" ht="15.75" customHeight="1">
      <c r="A60" s="149"/>
      <c r="D60" s="149"/>
      <c r="H60" s="150"/>
      <c r="P60" s="150"/>
    </row>
    <row r="61" ht="15.75" customHeight="1">
      <c r="A61" s="149"/>
      <c r="D61" s="149"/>
      <c r="H61" s="150"/>
      <c r="P61" s="150"/>
    </row>
    <row r="62" ht="15.75" customHeight="1">
      <c r="A62" s="149"/>
      <c r="D62" s="149"/>
      <c r="H62" s="150"/>
      <c r="P62" s="150"/>
    </row>
    <row r="63" ht="15.75" customHeight="1">
      <c r="A63" s="149"/>
      <c r="D63" s="149"/>
      <c r="H63" s="150"/>
      <c r="P63" s="150"/>
    </row>
    <row r="64" ht="15.75" customHeight="1">
      <c r="A64" s="149"/>
      <c r="D64" s="149"/>
      <c r="H64" s="150"/>
      <c r="P64" s="150"/>
    </row>
    <row r="65" ht="15.75" customHeight="1">
      <c r="A65" s="149"/>
      <c r="D65" s="149"/>
      <c r="H65" s="150"/>
      <c r="P65" s="150"/>
    </row>
    <row r="66" ht="15.75" customHeight="1">
      <c r="A66" s="149"/>
      <c r="D66" s="149"/>
      <c r="H66" s="150"/>
      <c r="P66" s="150"/>
    </row>
    <row r="67" ht="15.75" customHeight="1">
      <c r="A67" s="149"/>
      <c r="D67" s="149"/>
      <c r="H67" s="150"/>
      <c r="P67" s="150"/>
    </row>
    <row r="68" ht="15.75" customHeight="1">
      <c r="A68" s="149"/>
      <c r="D68" s="149"/>
      <c r="H68" s="150"/>
      <c r="P68" s="150"/>
    </row>
    <row r="69" ht="15.75" customHeight="1">
      <c r="A69" s="149"/>
      <c r="D69" s="149"/>
      <c r="H69" s="150"/>
      <c r="P69" s="150"/>
    </row>
    <row r="70" ht="15.75" customHeight="1">
      <c r="A70" s="149"/>
      <c r="D70" s="149"/>
      <c r="H70" s="150"/>
      <c r="P70" s="150"/>
    </row>
    <row r="71" ht="15.75" customHeight="1">
      <c r="A71" s="149"/>
      <c r="D71" s="149"/>
      <c r="H71" s="150"/>
      <c r="P71" s="150"/>
    </row>
    <row r="72" ht="15.75" customHeight="1">
      <c r="A72" s="149"/>
      <c r="D72" s="149"/>
      <c r="H72" s="150"/>
      <c r="P72" s="150"/>
    </row>
    <row r="73" ht="15.75" customHeight="1">
      <c r="A73" s="149"/>
      <c r="D73" s="149"/>
      <c r="H73" s="150"/>
      <c r="P73" s="150"/>
    </row>
    <row r="74" ht="15.75" customHeight="1">
      <c r="A74" s="149"/>
      <c r="D74" s="149"/>
      <c r="H74" s="150"/>
      <c r="P74" s="150"/>
    </row>
    <row r="75" ht="15.75" customHeight="1">
      <c r="A75" s="149"/>
      <c r="D75" s="149"/>
      <c r="H75" s="150"/>
      <c r="P75" s="150"/>
    </row>
    <row r="76" ht="15.75" customHeight="1">
      <c r="A76" s="149"/>
      <c r="D76" s="149"/>
      <c r="H76" s="150"/>
      <c r="P76" s="150"/>
    </row>
    <row r="77" ht="15.75" customHeight="1">
      <c r="A77" s="149"/>
      <c r="D77" s="149"/>
      <c r="H77" s="150"/>
      <c r="P77" s="150"/>
    </row>
    <row r="78" ht="15.75" customHeight="1">
      <c r="A78" s="149"/>
      <c r="D78" s="149"/>
      <c r="H78" s="150"/>
      <c r="P78" s="150"/>
    </row>
    <row r="79" ht="15.75" customHeight="1">
      <c r="A79" s="149"/>
      <c r="D79" s="149"/>
      <c r="H79" s="150"/>
      <c r="P79" s="150"/>
    </row>
    <row r="80" ht="15.75" customHeight="1">
      <c r="A80" s="149"/>
      <c r="D80" s="149"/>
      <c r="H80" s="150"/>
      <c r="P80" s="150"/>
    </row>
    <row r="81" ht="15.75" customHeight="1">
      <c r="A81" s="149"/>
      <c r="D81" s="149"/>
      <c r="H81" s="150"/>
      <c r="P81" s="150"/>
    </row>
    <row r="82" ht="15.75" customHeight="1">
      <c r="A82" s="149"/>
      <c r="D82" s="149"/>
      <c r="H82" s="150"/>
      <c r="P82" s="150"/>
    </row>
    <row r="83" ht="15.75" customHeight="1">
      <c r="A83" s="149"/>
      <c r="D83" s="149"/>
      <c r="H83" s="150"/>
      <c r="P83" s="150"/>
    </row>
    <row r="84" ht="15.75" customHeight="1">
      <c r="A84" s="149"/>
      <c r="D84" s="149"/>
      <c r="H84" s="150"/>
      <c r="P84" s="150"/>
    </row>
    <row r="85" ht="15.75" customHeight="1">
      <c r="A85" s="149"/>
      <c r="D85" s="149"/>
      <c r="H85" s="150"/>
      <c r="P85" s="150"/>
    </row>
    <row r="86" ht="15.75" customHeight="1">
      <c r="A86" s="149"/>
      <c r="D86" s="149"/>
      <c r="H86" s="150"/>
      <c r="P86" s="150"/>
    </row>
    <row r="87" ht="15.75" customHeight="1">
      <c r="A87" s="149"/>
      <c r="D87" s="149"/>
      <c r="H87" s="150"/>
      <c r="P87" s="150"/>
    </row>
    <row r="88" ht="15.75" customHeight="1">
      <c r="A88" s="149"/>
      <c r="D88" s="149"/>
      <c r="H88" s="150"/>
      <c r="P88" s="150"/>
    </row>
    <row r="89" ht="15.75" customHeight="1">
      <c r="A89" s="149"/>
      <c r="D89" s="149"/>
      <c r="H89" s="150"/>
      <c r="P89" s="150"/>
    </row>
    <row r="90" ht="15.75" customHeight="1">
      <c r="A90" s="149"/>
      <c r="D90" s="149"/>
      <c r="H90" s="150"/>
      <c r="P90" s="150"/>
    </row>
    <row r="91" ht="15.75" customHeight="1">
      <c r="A91" s="149"/>
      <c r="D91" s="149"/>
      <c r="H91" s="150"/>
      <c r="P91" s="150"/>
    </row>
    <row r="92" ht="15.75" customHeight="1">
      <c r="A92" s="149"/>
      <c r="D92" s="149"/>
      <c r="H92" s="150"/>
      <c r="P92" s="150"/>
    </row>
    <row r="93" ht="15.75" customHeight="1">
      <c r="A93" s="149"/>
      <c r="D93" s="149"/>
      <c r="H93" s="150"/>
      <c r="P93" s="150"/>
    </row>
    <row r="94" ht="15.75" customHeight="1">
      <c r="A94" s="149"/>
      <c r="D94" s="149"/>
      <c r="H94" s="150"/>
      <c r="P94" s="150"/>
    </row>
    <row r="95" ht="15.75" customHeight="1">
      <c r="A95" s="149"/>
      <c r="D95" s="149"/>
      <c r="H95" s="150"/>
      <c r="P95" s="150"/>
    </row>
    <row r="96" ht="15.75" customHeight="1">
      <c r="A96" s="149"/>
      <c r="D96" s="149"/>
      <c r="H96" s="150"/>
      <c r="P96" s="150"/>
    </row>
    <row r="97" ht="15.75" customHeight="1">
      <c r="A97" s="149"/>
      <c r="D97" s="149"/>
      <c r="H97" s="150"/>
      <c r="P97" s="150"/>
    </row>
    <row r="98" ht="15.75" customHeight="1">
      <c r="A98" s="149"/>
      <c r="D98" s="149"/>
      <c r="H98" s="150"/>
      <c r="P98" s="150"/>
    </row>
    <row r="99" ht="15.75" customHeight="1">
      <c r="A99" s="149"/>
      <c r="D99" s="149"/>
      <c r="H99" s="150"/>
      <c r="P99" s="150"/>
    </row>
    <row r="100" ht="15.75" customHeight="1">
      <c r="A100" s="149"/>
      <c r="D100" s="149"/>
      <c r="H100" s="150"/>
      <c r="P100" s="150"/>
    </row>
    <row r="101" ht="15.75" customHeight="1">
      <c r="A101" s="149"/>
      <c r="D101" s="149"/>
      <c r="H101" s="150"/>
      <c r="P101" s="150"/>
    </row>
    <row r="102" ht="15.75" customHeight="1">
      <c r="A102" s="149"/>
      <c r="D102" s="149"/>
      <c r="H102" s="150"/>
      <c r="P102" s="150"/>
    </row>
    <row r="103" ht="15.75" customHeight="1">
      <c r="A103" s="149"/>
      <c r="D103" s="149"/>
      <c r="H103" s="150"/>
      <c r="P103" s="150"/>
    </row>
    <row r="104" ht="15.75" customHeight="1">
      <c r="A104" s="149"/>
      <c r="D104" s="149"/>
      <c r="H104" s="150"/>
      <c r="P104" s="150"/>
    </row>
    <row r="105" ht="15.75" customHeight="1">
      <c r="A105" s="149"/>
      <c r="D105" s="149"/>
      <c r="H105" s="150"/>
      <c r="P105" s="150"/>
    </row>
    <row r="106" ht="15.75" customHeight="1">
      <c r="A106" s="149"/>
      <c r="D106" s="149"/>
      <c r="H106" s="150"/>
      <c r="P106" s="150"/>
    </row>
    <row r="107" ht="15.75" customHeight="1">
      <c r="A107" s="149"/>
      <c r="D107" s="149"/>
      <c r="H107" s="150"/>
      <c r="P107" s="150"/>
    </row>
    <row r="108" ht="15.75" customHeight="1">
      <c r="A108" s="149"/>
      <c r="D108" s="149"/>
      <c r="H108" s="150"/>
      <c r="P108" s="150"/>
    </row>
    <row r="109" ht="15.75" customHeight="1">
      <c r="A109" s="149"/>
      <c r="D109" s="149"/>
      <c r="H109" s="150"/>
      <c r="P109" s="150"/>
    </row>
    <row r="110" ht="15.75" customHeight="1">
      <c r="A110" s="149"/>
      <c r="D110" s="149"/>
      <c r="H110" s="150"/>
      <c r="P110" s="150"/>
    </row>
    <row r="111" ht="15.75" customHeight="1">
      <c r="A111" s="149"/>
      <c r="D111" s="149"/>
      <c r="H111" s="150"/>
      <c r="P111" s="150"/>
    </row>
    <row r="112" ht="15.75" customHeight="1">
      <c r="A112" s="149"/>
      <c r="D112" s="149"/>
      <c r="H112" s="150"/>
      <c r="P112" s="150"/>
    </row>
    <row r="113" ht="15.75" customHeight="1">
      <c r="A113" s="149"/>
      <c r="D113" s="149"/>
      <c r="H113" s="150"/>
      <c r="P113" s="150"/>
    </row>
    <row r="114" ht="15.75" customHeight="1">
      <c r="A114" s="149"/>
      <c r="D114" s="149"/>
      <c r="H114" s="150"/>
      <c r="P114" s="150"/>
    </row>
    <row r="115" ht="15.75" customHeight="1">
      <c r="A115" s="149"/>
      <c r="D115" s="149"/>
      <c r="H115" s="150"/>
      <c r="P115" s="150"/>
    </row>
    <row r="116" ht="15.75" customHeight="1">
      <c r="A116" s="149"/>
      <c r="D116" s="149"/>
      <c r="H116" s="150"/>
      <c r="P116" s="150"/>
    </row>
    <row r="117" ht="15.75" customHeight="1">
      <c r="A117" s="149"/>
      <c r="D117" s="149"/>
      <c r="H117" s="150"/>
      <c r="P117" s="150"/>
    </row>
    <row r="118" ht="15.75" customHeight="1">
      <c r="A118" s="149"/>
      <c r="D118" s="149"/>
      <c r="H118" s="150"/>
      <c r="P118" s="150"/>
    </row>
    <row r="119" ht="15.75" customHeight="1">
      <c r="A119" s="149"/>
      <c r="D119" s="149"/>
      <c r="H119" s="150"/>
      <c r="P119" s="150"/>
    </row>
    <row r="120" ht="15.75" customHeight="1">
      <c r="A120" s="149"/>
      <c r="D120" s="149"/>
      <c r="H120" s="150"/>
      <c r="P120" s="150"/>
    </row>
    <row r="121" ht="15.75" customHeight="1">
      <c r="A121" s="149"/>
      <c r="D121" s="149"/>
      <c r="H121" s="150"/>
      <c r="P121" s="150"/>
    </row>
    <row r="122" ht="15.75" customHeight="1">
      <c r="A122" s="149"/>
      <c r="D122" s="149"/>
      <c r="H122" s="150"/>
      <c r="P122" s="150"/>
    </row>
    <row r="123" ht="15.75" customHeight="1">
      <c r="A123" s="149"/>
      <c r="D123" s="149"/>
      <c r="H123" s="150"/>
      <c r="P123" s="150"/>
    </row>
    <row r="124" ht="15.75" customHeight="1">
      <c r="A124" s="149"/>
      <c r="D124" s="149"/>
      <c r="H124" s="150"/>
      <c r="P124" s="150"/>
    </row>
    <row r="125" ht="15.75" customHeight="1">
      <c r="A125" s="149"/>
      <c r="D125" s="149"/>
      <c r="H125" s="150"/>
      <c r="P125" s="150"/>
    </row>
    <row r="126" ht="15.75" customHeight="1">
      <c r="A126" s="149"/>
      <c r="D126" s="149"/>
      <c r="H126" s="150"/>
      <c r="P126" s="150"/>
    </row>
    <row r="127" ht="15.75" customHeight="1">
      <c r="A127" s="149"/>
      <c r="D127" s="149"/>
      <c r="H127" s="150"/>
      <c r="P127" s="150"/>
    </row>
    <row r="128" ht="15.75" customHeight="1">
      <c r="A128" s="149"/>
      <c r="D128" s="149"/>
      <c r="H128" s="150"/>
      <c r="P128" s="150"/>
    </row>
    <row r="129" ht="15.75" customHeight="1">
      <c r="A129" s="149"/>
      <c r="D129" s="149"/>
      <c r="H129" s="150"/>
      <c r="P129" s="150"/>
    </row>
    <row r="130" ht="15.75" customHeight="1">
      <c r="A130" s="149"/>
      <c r="D130" s="149"/>
      <c r="H130" s="150"/>
      <c r="P130" s="150"/>
    </row>
    <row r="131" ht="15.75" customHeight="1">
      <c r="A131" s="149"/>
      <c r="D131" s="149"/>
      <c r="H131" s="150"/>
      <c r="P131" s="150"/>
    </row>
    <row r="132" ht="15.75" customHeight="1">
      <c r="A132" s="149"/>
      <c r="D132" s="149"/>
      <c r="H132" s="150"/>
      <c r="P132" s="150"/>
    </row>
    <row r="133" ht="15.75" customHeight="1">
      <c r="A133" s="149"/>
      <c r="D133" s="149"/>
      <c r="H133" s="150"/>
      <c r="P133" s="150"/>
    </row>
    <row r="134" ht="15.75" customHeight="1">
      <c r="A134" s="149"/>
      <c r="D134" s="149"/>
      <c r="H134" s="150"/>
      <c r="P134" s="150"/>
    </row>
    <row r="135" ht="15.75" customHeight="1">
      <c r="A135" s="149"/>
      <c r="D135" s="149"/>
      <c r="H135" s="150"/>
      <c r="P135" s="150"/>
    </row>
    <row r="136" ht="15.75" customHeight="1">
      <c r="A136" s="149"/>
      <c r="D136" s="149"/>
      <c r="H136" s="150"/>
      <c r="P136" s="150"/>
    </row>
    <row r="137" ht="15.75" customHeight="1">
      <c r="A137" s="149"/>
      <c r="D137" s="149"/>
      <c r="H137" s="150"/>
      <c r="P137" s="150"/>
    </row>
    <row r="138" ht="15.75" customHeight="1">
      <c r="A138" s="149"/>
      <c r="D138" s="149"/>
      <c r="H138" s="150"/>
      <c r="P138" s="150"/>
    </row>
    <row r="139" ht="15.75" customHeight="1">
      <c r="A139" s="149"/>
      <c r="D139" s="149"/>
      <c r="H139" s="150"/>
      <c r="P139" s="150"/>
    </row>
    <row r="140" ht="15.75" customHeight="1">
      <c r="A140" s="149"/>
      <c r="D140" s="149"/>
      <c r="H140" s="150"/>
      <c r="P140" s="150"/>
    </row>
    <row r="141" ht="15.75" customHeight="1">
      <c r="A141" s="149"/>
      <c r="D141" s="149"/>
      <c r="H141" s="150"/>
      <c r="P141" s="150"/>
    </row>
    <row r="142" ht="15.75" customHeight="1">
      <c r="A142" s="149"/>
      <c r="D142" s="149"/>
      <c r="H142" s="150"/>
      <c r="P142" s="150"/>
    </row>
    <row r="143" ht="15.75" customHeight="1">
      <c r="A143" s="149"/>
      <c r="D143" s="149"/>
      <c r="H143" s="150"/>
      <c r="P143" s="150"/>
    </row>
    <row r="144" ht="15.75" customHeight="1">
      <c r="A144" s="149"/>
      <c r="D144" s="149"/>
      <c r="H144" s="150"/>
      <c r="P144" s="150"/>
    </row>
    <row r="145" ht="15.75" customHeight="1">
      <c r="A145" s="149"/>
      <c r="D145" s="149"/>
      <c r="H145" s="150"/>
      <c r="P145" s="150"/>
    </row>
    <row r="146" ht="15.75" customHeight="1">
      <c r="A146" s="149"/>
      <c r="D146" s="149"/>
      <c r="H146" s="150"/>
      <c r="P146" s="150"/>
    </row>
    <row r="147" ht="15.75" customHeight="1">
      <c r="A147" s="149"/>
      <c r="D147" s="149"/>
      <c r="H147" s="150"/>
      <c r="P147" s="150"/>
    </row>
    <row r="148" ht="15.75" customHeight="1">
      <c r="A148" s="149"/>
      <c r="D148" s="149"/>
      <c r="H148" s="150"/>
      <c r="P148" s="150"/>
    </row>
    <row r="149" ht="15.75" customHeight="1">
      <c r="A149" s="149"/>
      <c r="D149" s="149"/>
      <c r="H149" s="150"/>
      <c r="P149" s="150"/>
    </row>
    <row r="150" ht="15.75" customHeight="1">
      <c r="A150" s="149"/>
      <c r="D150" s="149"/>
      <c r="H150" s="150"/>
      <c r="P150" s="150"/>
    </row>
    <row r="151" ht="15.75" customHeight="1">
      <c r="A151" s="149"/>
      <c r="D151" s="149"/>
      <c r="H151" s="150"/>
      <c r="P151" s="150"/>
    </row>
    <row r="152" ht="15.75" customHeight="1">
      <c r="A152" s="149"/>
      <c r="D152" s="149"/>
      <c r="H152" s="150"/>
      <c r="P152" s="150"/>
    </row>
    <row r="153" ht="15.75" customHeight="1">
      <c r="A153" s="149"/>
      <c r="D153" s="149"/>
      <c r="H153" s="150"/>
      <c r="P153" s="150"/>
    </row>
    <row r="154" ht="15.75" customHeight="1">
      <c r="A154" s="149"/>
      <c r="D154" s="149"/>
      <c r="H154" s="150"/>
      <c r="P154" s="150"/>
    </row>
    <row r="155" ht="15.75" customHeight="1">
      <c r="A155" s="149"/>
      <c r="D155" s="149"/>
      <c r="H155" s="150"/>
      <c r="P155" s="150"/>
    </row>
    <row r="156" ht="15.75" customHeight="1">
      <c r="A156" s="149"/>
      <c r="D156" s="149"/>
      <c r="H156" s="150"/>
      <c r="P156" s="150"/>
    </row>
    <row r="157" ht="15.75" customHeight="1">
      <c r="A157" s="149"/>
      <c r="D157" s="149"/>
      <c r="H157" s="150"/>
      <c r="P157" s="150"/>
    </row>
    <row r="158" ht="15.75" customHeight="1">
      <c r="A158" s="149"/>
      <c r="D158" s="149"/>
      <c r="H158" s="150"/>
      <c r="P158" s="150"/>
    </row>
    <row r="159" ht="15.75" customHeight="1">
      <c r="A159" s="149"/>
      <c r="D159" s="149"/>
      <c r="H159" s="150"/>
      <c r="P159" s="150"/>
    </row>
    <row r="160" ht="15.75" customHeight="1">
      <c r="A160" s="149"/>
      <c r="D160" s="149"/>
      <c r="H160" s="150"/>
      <c r="P160" s="150"/>
    </row>
    <row r="161" ht="15.75" customHeight="1">
      <c r="A161" s="149"/>
      <c r="D161" s="149"/>
      <c r="H161" s="150"/>
      <c r="P161" s="150"/>
    </row>
    <row r="162" ht="15.75" customHeight="1">
      <c r="A162" s="149"/>
      <c r="D162" s="149"/>
      <c r="H162" s="150"/>
      <c r="P162" s="150"/>
    </row>
    <row r="163" ht="15.75" customHeight="1">
      <c r="A163" s="149"/>
      <c r="D163" s="149"/>
      <c r="H163" s="150"/>
      <c r="P163" s="150"/>
    </row>
    <row r="164" ht="15.75" customHeight="1">
      <c r="A164" s="149"/>
      <c r="D164" s="149"/>
      <c r="H164" s="150"/>
      <c r="P164" s="150"/>
    </row>
    <row r="165" ht="15.75" customHeight="1">
      <c r="A165" s="149"/>
      <c r="D165" s="149"/>
      <c r="H165" s="150"/>
      <c r="P165" s="150"/>
    </row>
    <row r="166" ht="15.75" customHeight="1">
      <c r="A166" s="149"/>
      <c r="D166" s="149"/>
      <c r="H166" s="150"/>
      <c r="P166" s="150"/>
    </row>
    <row r="167" ht="15.75" customHeight="1">
      <c r="A167" s="149"/>
      <c r="D167" s="149"/>
      <c r="H167" s="150"/>
      <c r="P167" s="150"/>
    </row>
    <row r="168" ht="15.75" customHeight="1">
      <c r="A168" s="149"/>
      <c r="D168" s="149"/>
      <c r="H168" s="150"/>
      <c r="P168" s="150"/>
    </row>
    <row r="169" ht="15.75" customHeight="1">
      <c r="A169" s="149"/>
      <c r="D169" s="149"/>
      <c r="H169" s="150"/>
      <c r="P169" s="150"/>
    </row>
    <row r="170" ht="15.75" customHeight="1">
      <c r="A170" s="149"/>
      <c r="D170" s="149"/>
      <c r="H170" s="150"/>
      <c r="P170" s="150"/>
    </row>
    <row r="171" ht="15.75" customHeight="1">
      <c r="A171" s="149"/>
      <c r="D171" s="149"/>
      <c r="H171" s="150"/>
      <c r="P171" s="150"/>
    </row>
    <row r="172" ht="15.75" customHeight="1">
      <c r="A172" s="149"/>
      <c r="D172" s="149"/>
      <c r="H172" s="150"/>
      <c r="P172" s="150"/>
    </row>
    <row r="173" ht="15.75" customHeight="1">
      <c r="A173" s="149"/>
      <c r="D173" s="149"/>
      <c r="H173" s="150"/>
      <c r="P173" s="150"/>
    </row>
    <row r="174" ht="15.75" customHeight="1">
      <c r="A174" s="149"/>
      <c r="D174" s="149"/>
      <c r="H174" s="150"/>
      <c r="P174" s="150"/>
    </row>
    <row r="175" ht="15.75" customHeight="1">
      <c r="A175" s="149"/>
      <c r="D175" s="149"/>
      <c r="H175" s="150"/>
      <c r="P175" s="150"/>
    </row>
    <row r="176" ht="15.75" customHeight="1">
      <c r="A176" s="149"/>
      <c r="D176" s="149"/>
      <c r="H176" s="150"/>
      <c r="P176" s="150"/>
    </row>
    <row r="177" ht="15.75" customHeight="1">
      <c r="A177" s="149"/>
      <c r="D177" s="149"/>
      <c r="H177" s="150"/>
      <c r="P177" s="150"/>
    </row>
    <row r="178" ht="15.75" customHeight="1">
      <c r="A178" s="149"/>
      <c r="D178" s="149"/>
      <c r="H178" s="150"/>
      <c r="P178" s="150"/>
    </row>
    <row r="179" ht="15.75" customHeight="1">
      <c r="A179" s="149"/>
      <c r="D179" s="149"/>
      <c r="H179" s="150"/>
      <c r="P179" s="150"/>
    </row>
    <row r="180" ht="15.75" customHeight="1">
      <c r="A180" s="149"/>
      <c r="D180" s="149"/>
      <c r="H180" s="150"/>
      <c r="P180" s="150"/>
    </row>
    <row r="181" ht="15.75" customHeight="1">
      <c r="A181" s="149"/>
      <c r="D181" s="149"/>
      <c r="H181" s="150"/>
      <c r="P181" s="150"/>
    </row>
    <row r="182" ht="15.75" customHeight="1">
      <c r="A182" s="149"/>
      <c r="D182" s="149"/>
      <c r="H182" s="150"/>
      <c r="P182" s="150"/>
    </row>
    <row r="183" ht="15.75" customHeight="1">
      <c r="A183" s="149"/>
      <c r="D183" s="149"/>
      <c r="H183" s="150"/>
      <c r="P183" s="150"/>
    </row>
    <row r="184" ht="15.75" customHeight="1">
      <c r="A184" s="149"/>
      <c r="D184" s="149"/>
      <c r="H184" s="150"/>
      <c r="P184" s="150"/>
    </row>
    <row r="185" ht="15.75" customHeight="1">
      <c r="A185" s="149"/>
      <c r="D185" s="149"/>
      <c r="H185" s="150"/>
      <c r="P185" s="150"/>
    </row>
    <row r="186" ht="15.75" customHeight="1">
      <c r="A186" s="149"/>
      <c r="D186" s="149"/>
      <c r="H186" s="150"/>
      <c r="P186" s="150"/>
    </row>
    <row r="187" ht="15.75" customHeight="1">
      <c r="A187" s="149"/>
      <c r="D187" s="149"/>
      <c r="H187" s="150"/>
      <c r="P187" s="150"/>
    </row>
    <row r="188" ht="15.75" customHeight="1">
      <c r="A188" s="149"/>
      <c r="D188" s="149"/>
      <c r="H188" s="150"/>
      <c r="P188" s="150"/>
    </row>
    <row r="189" ht="15.75" customHeight="1">
      <c r="A189" s="149"/>
      <c r="D189" s="149"/>
      <c r="H189" s="150"/>
      <c r="P189" s="150"/>
    </row>
    <row r="190" ht="15.75" customHeight="1">
      <c r="A190" s="149"/>
      <c r="D190" s="149"/>
      <c r="H190" s="150"/>
      <c r="P190" s="150"/>
    </row>
    <row r="191" ht="15.75" customHeight="1">
      <c r="A191" s="149"/>
      <c r="D191" s="149"/>
      <c r="H191" s="150"/>
      <c r="P191" s="150"/>
    </row>
    <row r="192" ht="15.75" customHeight="1">
      <c r="A192" s="149"/>
      <c r="D192" s="149"/>
      <c r="H192" s="150"/>
      <c r="P192" s="150"/>
    </row>
    <row r="193" ht="15.75" customHeight="1">
      <c r="A193" s="149"/>
      <c r="D193" s="149"/>
      <c r="H193" s="150"/>
      <c r="P193" s="150"/>
    </row>
    <row r="194" ht="15.75" customHeight="1">
      <c r="A194" s="149"/>
      <c r="D194" s="149"/>
      <c r="H194" s="150"/>
      <c r="P194" s="150"/>
    </row>
    <row r="195" ht="15.75" customHeight="1">
      <c r="A195" s="149"/>
      <c r="D195" s="149"/>
      <c r="H195" s="150"/>
      <c r="P195" s="150"/>
    </row>
    <row r="196" ht="15.75" customHeight="1">
      <c r="A196" s="149"/>
      <c r="D196" s="149"/>
      <c r="H196" s="150"/>
      <c r="P196" s="150"/>
    </row>
    <row r="197" ht="15.75" customHeight="1">
      <c r="A197" s="149"/>
      <c r="D197" s="149"/>
      <c r="H197" s="150"/>
      <c r="P197" s="150"/>
    </row>
    <row r="198" ht="15.75" customHeight="1">
      <c r="A198" s="149"/>
      <c r="D198" s="149"/>
      <c r="H198" s="150"/>
      <c r="P198" s="150"/>
    </row>
    <row r="199" ht="15.75" customHeight="1">
      <c r="A199" s="149"/>
      <c r="D199" s="149"/>
      <c r="H199" s="150"/>
      <c r="P199" s="150"/>
    </row>
    <row r="200" ht="15.75" customHeight="1">
      <c r="A200" s="149"/>
      <c r="D200" s="149"/>
      <c r="H200" s="150"/>
      <c r="P200" s="150"/>
    </row>
    <row r="201" ht="15.75" customHeight="1">
      <c r="A201" s="149"/>
      <c r="D201" s="149"/>
      <c r="H201" s="150"/>
      <c r="P201" s="150"/>
    </row>
    <row r="202" ht="15.75" customHeight="1">
      <c r="A202" s="149"/>
      <c r="D202" s="149"/>
      <c r="H202" s="150"/>
      <c r="P202" s="150"/>
    </row>
    <row r="203" ht="15.75" customHeight="1">
      <c r="A203" s="149"/>
      <c r="D203" s="149"/>
      <c r="H203" s="150"/>
      <c r="P203" s="150"/>
    </row>
    <row r="204" ht="15.75" customHeight="1">
      <c r="A204" s="149"/>
      <c r="D204" s="149"/>
      <c r="H204" s="150"/>
      <c r="P204" s="150"/>
    </row>
    <row r="205" ht="15.75" customHeight="1">
      <c r="A205" s="149"/>
      <c r="D205" s="149"/>
      <c r="H205" s="150"/>
      <c r="P205" s="150"/>
    </row>
    <row r="206" ht="15.75" customHeight="1">
      <c r="A206" s="149"/>
      <c r="D206" s="149"/>
      <c r="H206" s="150"/>
      <c r="P206" s="150"/>
    </row>
    <row r="207" ht="15.75" customHeight="1">
      <c r="A207" s="149"/>
      <c r="D207" s="149"/>
      <c r="H207" s="150"/>
      <c r="P207" s="150"/>
    </row>
    <row r="208" ht="15.75" customHeight="1">
      <c r="A208" s="149"/>
      <c r="D208" s="149"/>
      <c r="H208" s="150"/>
      <c r="P208" s="150"/>
    </row>
    <row r="209" ht="15.75" customHeight="1">
      <c r="A209" s="149"/>
      <c r="D209" s="149"/>
      <c r="H209" s="150"/>
      <c r="P209" s="150"/>
    </row>
    <row r="210" ht="15.75" customHeight="1">
      <c r="A210" s="149"/>
      <c r="D210" s="149"/>
      <c r="H210" s="150"/>
      <c r="P210" s="150"/>
    </row>
    <row r="211" ht="15.75" customHeight="1">
      <c r="A211" s="149"/>
      <c r="D211" s="149"/>
      <c r="H211" s="150"/>
      <c r="P211" s="150"/>
    </row>
    <row r="212" ht="15.75" customHeight="1">
      <c r="A212" s="149"/>
      <c r="D212" s="149"/>
      <c r="H212" s="150"/>
      <c r="P212" s="150"/>
    </row>
    <row r="213" ht="15.75" customHeight="1">
      <c r="A213" s="149"/>
      <c r="D213" s="149"/>
      <c r="H213" s="150"/>
      <c r="P213" s="150"/>
    </row>
    <row r="214" ht="15.75" customHeight="1">
      <c r="A214" s="149"/>
      <c r="D214" s="149"/>
      <c r="H214" s="150"/>
      <c r="P214" s="150"/>
    </row>
    <row r="215" ht="15.75" customHeight="1">
      <c r="A215" s="149"/>
      <c r="D215" s="149"/>
      <c r="H215" s="150"/>
      <c r="P215" s="150"/>
    </row>
    <row r="216" ht="15.75" customHeight="1">
      <c r="A216" s="149"/>
      <c r="D216" s="149"/>
      <c r="H216" s="150"/>
      <c r="P216" s="150"/>
    </row>
    <row r="217" ht="15.75" customHeight="1">
      <c r="A217" s="149"/>
      <c r="D217" s="149"/>
      <c r="H217" s="150"/>
      <c r="P217" s="150"/>
    </row>
    <row r="218" ht="15.75" customHeight="1">
      <c r="A218" s="149"/>
      <c r="D218" s="149"/>
      <c r="H218" s="150"/>
      <c r="P218" s="150"/>
    </row>
    <row r="219" ht="15.75" customHeight="1">
      <c r="A219" s="149"/>
      <c r="D219" s="149"/>
      <c r="H219" s="150"/>
      <c r="P219" s="150"/>
    </row>
    <row r="220" ht="15.75" customHeight="1">
      <c r="A220" s="149"/>
      <c r="D220" s="149"/>
      <c r="H220" s="150"/>
      <c r="P220" s="150"/>
    </row>
    <row r="221" ht="15.75" customHeight="1">
      <c r="A221" s="149"/>
      <c r="D221" s="149"/>
      <c r="H221" s="150"/>
      <c r="P221" s="150"/>
    </row>
    <row r="222" ht="15.75" customHeight="1">
      <c r="A222" s="149"/>
      <c r="D222" s="149"/>
      <c r="H222" s="150"/>
      <c r="P222" s="150"/>
    </row>
    <row r="223" ht="15.75" customHeight="1">
      <c r="A223" s="149"/>
      <c r="D223" s="149"/>
      <c r="H223" s="150"/>
      <c r="P223" s="150"/>
    </row>
    <row r="224" ht="15.75" customHeight="1">
      <c r="A224" s="149"/>
      <c r="D224" s="149"/>
      <c r="H224" s="150"/>
      <c r="P224" s="150"/>
    </row>
    <row r="225" ht="15.75" customHeight="1">
      <c r="A225" s="149"/>
      <c r="D225" s="149"/>
      <c r="H225" s="150"/>
      <c r="P225" s="150"/>
    </row>
    <row r="226" ht="15.75" customHeight="1">
      <c r="A226" s="149"/>
      <c r="D226" s="149"/>
      <c r="H226" s="150"/>
      <c r="P226" s="150"/>
    </row>
    <row r="227" ht="15.75" customHeight="1">
      <c r="A227" s="149"/>
      <c r="D227" s="149"/>
      <c r="H227" s="150"/>
      <c r="P227" s="150"/>
    </row>
    <row r="228" ht="15.75" customHeight="1">
      <c r="A228" s="149"/>
      <c r="D228" s="149"/>
      <c r="H228" s="150"/>
      <c r="P228" s="150"/>
    </row>
    <row r="229" ht="15.75" customHeight="1">
      <c r="A229" s="149"/>
      <c r="D229" s="149"/>
      <c r="H229" s="150"/>
      <c r="P229" s="150"/>
    </row>
    <row r="230" ht="15.75" customHeight="1">
      <c r="A230" s="149"/>
      <c r="D230" s="149"/>
      <c r="H230" s="150"/>
      <c r="P230" s="150"/>
    </row>
    <row r="231" ht="15.75" customHeight="1">
      <c r="A231" s="149"/>
      <c r="D231" s="149"/>
      <c r="H231" s="150"/>
      <c r="P231" s="150"/>
    </row>
    <row r="232" ht="15.75" customHeight="1">
      <c r="A232" s="149"/>
      <c r="D232" s="149"/>
      <c r="H232" s="150"/>
      <c r="P232" s="150"/>
    </row>
    <row r="233" ht="15.75" customHeight="1">
      <c r="A233" s="149"/>
      <c r="D233" s="149"/>
      <c r="H233" s="150"/>
      <c r="P233" s="150"/>
    </row>
    <row r="234" ht="15.75" customHeight="1">
      <c r="A234" s="149"/>
      <c r="D234" s="149"/>
      <c r="H234" s="150"/>
      <c r="P234" s="150"/>
    </row>
    <row r="235" ht="15.75" customHeight="1">
      <c r="A235" s="149"/>
      <c r="D235" s="149"/>
      <c r="H235" s="150"/>
      <c r="P235" s="150"/>
    </row>
    <row r="236" ht="15.75" customHeight="1">
      <c r="A236" s="149"/>
      <c r="D236" s="149"/>
      <c r="H236" s="150"/>
      <c r="P236" s="150"/>
    </row>
    <row r="237" ht="15.75" customHeight="1">
      <c r="A237" s="149"/>
      <c r="D237" s="149"/>
      <c r="H237" s="150"/>
      <c r="P237" s="150"/>
    </row>
    <row r="238" ht="15.75" customHeight="1">
      <c r="A238" s="149"/>
      <c r="D238" s="149"/>
      <c r="H238" s="150"/>
      <c r="P238" s="150"/>
    </row>
    <row r="239" ht="15.75" customHeight="1">
      <c r="A239" s="149"/>
      <c r="D239" s="149"/>
      <c r="H239" s="150"/>
      <c r="P239" s="150"/>
    </row>
    <row r="240" ht="15.75" customHeight="1">
      <c r="A240" s="149"/>
      <c r="D240" s="149"/>
      <c r="H240" s="150"/>
      <c r="P240" s="150"/>
    </row>
    <row r="241" ht="15.75" customHeight="1">
      <c r="A241" s="149"/>
      <c r="D241" s="149"/>
      <c r="H241" s="150"/>
      <c r="P241" s="150"/>
    </row>
    <row r="242" ht="15.75" customHeight="1">
      <c r="A242" s="149"/>
      <c r="D242" s="149"/>
      <c r="H242" s="150"/>
      <c r="P242" s="150"/>
    </row>
    <row r="243" ht="15.75" customHeight="1">
      <c r="A243" s="149"/>
      <c r="D243" s="149"/>
      <c r="H243" s="150"/>
      <c r="P243" s="150"/>
    </row>
    <row r="244" ht="15.75" customHeight="1">
      <c r="A244" s="149"/>
      <c r="D244" s="149"/>
      <c r="H244" s="150"/>
      <c r="P244" s="150"/>
    </row>
    <row r="245" ht="15.75" customHeight="1">
      <c r="A245" s="149"/>
      <c r="D245" s="149"/>
      <c r="H245" s="150"/>
      <c r="P245" s="150"/>
    </row>
    <row r="246" ht="15.75" customHeight="1">
      <c r="A246" s="149"/>
      <c r="D246" s="149"/>
      <c r="H246" s="150"/>
      <c r="P246" s="150"/>
    </row>
    <row r="247" ht="15.75" customHeight="1">
      <c r="A247" s="149"/>
      <c r="D247" s="149"/>
      <c r="H247" s="150"/>
      <c r="P247" s="150"/>
    </row>
    <row r="248" ht="15.75" customHeight="1">
      <c r="A248" s="149"/>
      <c r="D248" s="149"/>
      <c r="H248" s="150"/>
      <c r="P248" s="150"/>
    </row>
    <row r="249" ht="15.75" customHeight="1">
      <c r="A249" s="149"/>
      <c r="D249" s="149"/>
      <c r="H249" s="150"/>
      <c r="P249" s="150"/>
    </row>
    <row r="250" ht="15.75" customHeight="1">
      <c r="A250" s="149"/>
      <c r="D250" s="149"/>
      <c r="H250" s="150"/>
      <c r="P250" s="150"/>
    </row>
    <row r="251" ht="15.75" customHeight="1">
      <c r="A251" s="149"/>
      <c r="D251" s="149"/>
      <c r="H251" s="150"/>
      <c r="P251" s="150"/>
    </row>
    <row r="252" ht="15.75" customHeight="1">
      <c r="A252" s="149"/>
      <c r="D252" s="149"/>
      <c r="H252" s="150"/>
      <c r="P252" s="150"/>
    </row>
    <row r="253" ht="15.75" customHeight="1">
      <c r="A253" s="149"/>
      <c r="D253" s="149"/>
      <c r="H253" s="150"/>
      <c r="P253" s="150"/>
    </row>
    <row r="254" ht="15.75" customHeight="1">
      <c r="A254" s="149"/>
      <c r="D254" s="149"/>
      <c r="H254" s="150"/>
      <c r="P254" s="150"/>
    </row>
    <row r="255" ht="15.75" customHeight="1">
      <c r="A255" s="149"/>
      <c r="D255" s="149"/>
      <c r="H255" s="150"/>
      <c r="P255" s="150"/>
    </row>
    <row r="256" ht="15.75" customHeight="1">
      <c r="A256" s="149"/>
      <c r="D256" s="149"/>
      <c r="H256" s="150"/>
      <c r="P256" s="150"/>
    </row>
    <row r="257" ht="15.75" customHeight="1">
      <c r="A257" s="149"/>
      <c r="D257" s="149"/>
      <c r="H257" s="150"/>
      <c r="P257" s="150"/>
    </row>
    <row r="258" ht="15.75" customHeight="1">
      <c r="A258" s="149"/>
      <c r="D258" s="149"/>
      <c r="H258" s="150"/>
      <c r="P258" s="150"/>
    </row>
    <row r="259" ht="15.75" customHeight="1">
      <c r="A259" s="149"/>
      <c r="D259" s="149"/>
      <c r="H259" s="150"/>
      <c r="P259" s="150"/>
    </row>
    <row r="260" ht="15.75" customHeight="1">
      <c r="A260" s="149"/>
      <c r="D260" s="149"/>
      <c r="H260" s="150"/>
      <c r="P260" s="150"/>
    </row>
    <row r="261" ht="15.75" customHeight="1">
      <c r="A261" s="149"/>
      <c r="D261" s="149"/>
      <c r="H261" s="150"/>
      <c r="P261" s="150"/>
    </row>
    <row r="262" ht="15.75" customHeight="1">
      <c r="A262" s="149"/>
      <c r="D262" s="149"/>
      <c r="H262" s="150"/>
      <c r="P262" s="150"/>
    </row>
    <row r="263" ht="15.75" customHeight="1">
      <c r="A263" s="149"/>
      <c r="D263" s="149"/>
      <c r="H263" s="150"/>
      <c r="P263" s="150"/>
    </row>
    <row r="264" ht="15.75" customHeight="1">
      <c r="A264" s="149"/>
      <c r="D264" s="149"/>
      <c r="H264" s="150"/>
      <c r="P264" s="150"/>
    </row>
    <row r="265" ht="15.75" customHeight="1">
      <c r="A265" s="149"/>
      <c r="D265" s="149"/>
      <c r="H265" s="150"/>
      <c r="P265" s="150"/>
    </row>
    <row r="266" ht="15.75" customHeight="1">
      <c r="A266" s="149"/>
      <c r="D266" s="149"/>
      <c r="H266" s="150"/>
      <c r="P266" s="150"/>
    </row>
    <row r="267" ht="15.75" customHeight="1">
      <c r="A267" s="149"/>
      <c r="D267" s="149"/>
      <c r="H267" s="150"/>
      <c r="P267" s="150"/>
    </row>
    <row r="268" ht="15.75" customHeight="1">
      <c r="A268" s="149"/>
      <c r="D268" s="149"/>
      <c r="H268" s="150"/>
      <c r="P268" s="150"/>
    </row>
    <row r="269" ht="15.75" customHeight="1">
      <c r="A269" s="149"/>
      <c r="D269" s="149"/>
      <c r="H269" s="150"/>
      <c r="P269" s="150"/>
    </row>
    <row r="270" ht="15.75" customHeight="1">
      <c r="A270" s="149"/>
      <c r="D270" s="149"/>
      <c r="H270" s="150"/>
      <c r="P270" s="150"/>
    </row>
    <row r="271" ht="15.75" customHeight="1">
      <c r="A271" s="149"/>
      <c r="D271" s="149"/>
      <c r="H271" s="150"/>
      <c r="P271" s="150"/>
    </row>
    <row r="272" ht="15.75" customHeight="1">
      <c r="A272" s="149"/>
      <c r="D272" s="149"/>
      <c r="H272" s="150"/>
      <c r="P272" s="150"/>
    </row>
    <row r="273" ht="15.75" customHeight="1">
      <c r="A273" s="149"/>
      <c r="D273" s="149"/>
      <c r="H273" s="150"/>
      <c r="P273" s="150"/>
    </row>
    <row r="274" ht="15.75" customHeight="1">
      <c r="A274" s="149"/>
      <c r="D274" s="149"/>
      <c r="H274" s="150"/>
      <c r="P274" s="150"/>
    </row>
    <row r="275" ht="15.75" customHeight="1">
      <c r="A275" s="149"/>
      <c r="D275" s="149"/>
      <c r="H275" s="150"/>
      <c r="P275" s="150"/>
    </row>
    <row r="276" ht="15.75" customHeight="1">
      <c r="A276" s="149"/>
      <c r="D276" s="149"/>
      <c r="H276" s="150"/>
      <c r="P276" s="150"/>
    </row>
    <row r="277" ht="15.75" customHeight="1">
      <c r="A277" s="149"/>
      <c r="D277" s="149"/>
      <c r="H277" s="150"/>
      <c r="P277" s="150"/>
    </row>
    <row r="278" ht="15.75" customHeight="1">
      <c r="A278" s="149"/>
      <c r="D278" s="149"/>
      <c r="H278" s="150"/>
      <c r="P278" s="150"/>
    </row>
    <row r="279" ht="15.75" customHeight="1">
      <c r="A279" s="149"/>
      <c r="D279" s="149"/>
      <c r="H279" s="150"/>
      <c r="P279" s="150"/>
    </row>
    <row r="280" ht="15.75" customHeight="1">
      <c r="A280" s="149"/>
      <c r="D280" s="149"/>
      <c r="H280" s="150"/>
      <c r="P280" s="150"/>
    </row>
    <row r="281" ht="15.75" customHeight="1">
      <c r="A281" s="149"/>
      <c r="D281" s="149"/>
      <c r="H281" s="150"/>
      <c r="P281" s="150"/>
    </row>
    <row r="282" ht="15.75" customHeight="1">
      <c r="A282" s="149"/>
      <c r="D282" s="149"/>
      <c r="H282" s="150"/>
      <c r="P282" s="150"/>
    </row>
    <row r="283" ht="15.75" customHeight="1">
      <c r="A283" s="149"/>
      <c r="D283" s="149"/>
      <c r="H283" s="150"/>
      <c r="P283" s="150"/>
    </row>
    <row r="284" ht="15.75" customHeight="1">
      <c r="A284" s="149"/>
      <c r="D284" s="149"/>
      <c r="H284" s="150"/>
      <c r="P284" s="150"/>
    </row>
    <row r="285" ht="15.75" customHeight="1">
      <c r="A285" s="149"/>
      <c r="D285" s="149"/>
      <c r="H285" s="150"/>
      <c r="P285" s="150"/>
    </row>
    <row r="286" ht="15.75" customHeight="1">
      <c r="A286" s="149"/>
      <c r="D286" s="149"/>
      <c r="H286" s="150"/>
      <c r="P286" s="150"/>
    </row>
    <row r="287" ht="15.75" customHeight="1">
      <c r="A287" s="149"/>
      <c r="D287" s="149"/>
      <c r="H287" s="150"/>
      <c r="P287" s="150"/>
    </row>
    <row r="288" ht="15.75" customHeight="1">
      <c r="A288" s="149"/>
      <c r="D288" s="149"/>
      <c r="H288" s="150"/>
      <c r="P288" s="150"/>
    </row>
    <row r="289" ht="15.75" customHeight="1">
      <c r="A289" s="149"/>
      <c r="D289" s="149"/>
      <c r="H289" s="150"/>
      <c r="P289" s="150"/>
    </row>
    <row r="290" ht="15.75" customHeight="1">
      <c r="A290" s="149"/>
      <c r="D290" s="149"/>
      <c r="H290" s="150"/>
      <c r="P290" s="150"/>
    </row>
    <row r="291" ht="15.75" customHeight="1">
      <c r="A291" s="149"/>
      <c r="D291" s="149"/>
      <c r="H291" s="150"/>
      <c r="P291" s="150"/>
    </row>
    <row r="292" ht="15.75" customHeight="1">
      <c r="A292" s="149"/>
      <c r="D292" s="149"/>
      <c r="H292" s="150"/>
      <c r="P292" s="150"/>
    </row>
    <row r="293" ht="15.75" customHeight="1">
      <c r="A293" s="149"/>
      <c r="D293" s="149"/>
      <c r="H293" s="150"/>
      <c r="P293" s="150"/>
    </row>
    <row r="294" ht="15.75" customHeight="1">
      <c r="A294" s="149"/>
      <c r="D294" s="149"/>
      <c r="H294" s="150"/>
      <c r="P294" s="150"/>
    </row>
    <row r="295" ht="15.75" customHeight="1">
      <c r="A295" s="149"/>
      <c r="D295" s="149"/>
      <c r="H295" s="150"/>
      <c r="P295" s="150"/>
    </row>
    <row r="296" ht="15.75" customHeight="1">
      <c r="A296" s="149"/>
      <c r="D296" s="149"/>
      <c r="H296" s="150"/>
      <c r="P296" s="150"/>
    </row>
    <row r="297" ht="15.75" customHeight="1">
      <c r="A297" s="149"/>
      <c r="D297" s="149"/>
      <c r="H297" s="150"/>
      <c r="P297" s="150"/>
    </row>
    <row r="298" ht="15.75" customHeight="1">
      <c r="A298" s="149"/>
      <c r="D298" s="149"/>
      <c r="H298" s="150"/>
      <c r="P298" s="150"/>
    </row>
    <row r="299" ht="15.75" customHeight="1">
      <c r="A299" s="149"/>
      <c r="D299" s="149"/>
      <c r="H299" s="150"/>
      <c r="P299" s="150"/>
    </row>
    <row r="300" ht="15.75" customHeight="1">
      <c r="A300" s="149"/>
      <c r="D300" s="149"/>
      <c r="H300" s="150"/>
      <c r="P300" s="150"/>
    </row>
    <row r="301" ht="15.75" customHeight="1">
      <c r="A301" s="149"/>
      <c r="D301" s="149"/>
      <c r="H301" s="150"/>
      <c r="P301" s="150"/>
    </row>
    <row r="302" ht="15.75" customHeight="1">
      <c r="A302" s="149"/>
      <c r="D302" s="149"/>
      <c r="H302" s="150"/>
      <c r="P302" s="150"/>
    </row>
    <row r="303" ht="15.75" customHeight="1">
      <c r="A303" s="149"/>
      <c r="D303" s="149"/>
      <c r="H303" s="150"/>
      <c r="P303" s="150"/>
    </row>
    <row r="304" ht="15.75" customHeight="1">
      <c r="A304" s="149"/>
      <c r="D304" s="149"/>
      <c r="H304" s="150"/>
      <c r="P304" s="150"/>
    </row>
    <row r="305" ht="15.75" customHeight="1">
      <c r="A305" s="149"/>
      <c r="D305" s="149"/>
      <c r="H305" s="150"/>
      <c r="P305" s="150"/>
    </row>
    <row r="306" ht="15.75" customHeight="1">
      <c r="A306" s="149"/>
      <c r="D306" s="149"/>
      <c r="H306" s="150"/>
      <c r="P306" s="150"/>
    </row>
    <row r="307" ht="15.75" customHeight="1">
      <c r="A307" s="149"/>
      <c r="D307" s="149"/>
      <c r="H307" s="150"/>
      <c r="P307" s="150"/>
    </row>
    <row r="308" ht="15.75" customHeight="1">
      <c r="A308" s="149"/>
      <c r="D308" s="149"/>
      <c r="H308" s="150"/>
      <c r="P308" s="150"/>
    </row>
    <row r="309" ht="15.75" customHeight="1">
      <c r="A309" s="149"/>
      <c r="D309" s="149"/>
      <c r="H309" s="150"/>
      <c r="P309" s="150"/>
    </row>
    <row r="310" ht="15.75" customHeight="1">
      <c r="A310" s="149"/>
      <c r="D310" s="149"/>
      <c r="H310" s="150"/>
      <c r="P310" s="150"/>
    </row>
    <row r="311" ht="15.75" customHeight="1">
      <c r="A311" s="149"/>
      <c r="D311" s="149"/>
      <c r="H311" s="150"/>
      <c r="P311" s="150"/>
    </row>
    <row r="312" ht="15.75" customHeight="1">
      <c r="A312" s="149"/>
      <c r="D312" s="149"/>
      <c r="H312" s="150"/>
      <c r="P312" s="150"/>
    </row>
    <row r="313" ht="15.75" customHeight="1">
      <c r="A313" s="149"/>
      <c r="D313" s="149"/>
      <c r="H313" s="150"/>
      <c r="P313" s="150"/>
    </row>
    <row r="314" ht="15.75" customHeight="1">
      <c r="A314" s="149"/>
      <c r="D314" s="149"/>
      <c r="H314" s="150"/>
      <c r="P314" s="150"/>
    </row>
    <row r="315" ht="15.75" customHeight="1">
      <c r="A315" s="149"/>
      <c r="D315" s="149"/>
      <c r="H315" s="150"/>
      <c r="P315" s="150"/>
    </row>
    <row r="316" ht="15.75" customHeight="1">
      <c r="A316" s="149"/>
      <c r="D316" s="149"/>
      <c r="H316" s="150"/>
      <c r="P316" s="150"/>
    </row>
    <row r="317" ht="15.75" customHeight="1">
      <c r="A317" s="149"/>
      <c r="D317" s="149"/>
      <c r="H317" s="150"/>
      <c r="P317" s="150"/>
    </row>
    <row r="318" ht="15.75" customHeight="1">
      <c r="A318" s="149"/>
      <c r="D318" s="149"/>
      <c r="H318" s="150"/>
      <c r="P318" s="150"/>
    </row>
    <row r="319" ht="15.75" customHeight="1">
      <c r="A319" s="149"/>
      <c r="D319" s="149"/>
      <c r="H319" s="150"/>
      <c r="P319" s="150"/>
    </row>
    <row r="320" ht="15.75" customHeight="1">
      <c r="A320" s="149"/>
      <c r="D320" s="149"/>
      <c r="H320" s="150"/>
      <c r="P320" s="150"/>
    </row>
    <row r="321" ht="15.75" customHeight="1">
      <c r="A321" s="149"/>
      <c r="D321" s="149"/>
      <c r="H321" s="150"/>
      <c r="P321" s="150"/>
    </row>
    <row r="322" ht="15.75" customHeight="1">
      <c r="A322" s="149"/>
      <c r="D322" s="149"/>
      <c r="H322" s="150"/>
      <c r="P322" s="150"/>
    </row>
    <row r="323" ht="15.75" customHeight="1">
      <c r="A323" s="149"/>
      <c r="D323" s="149"/>
      <c r="H323" s="150"/>
      <c r="P323" s="150"/>
    </row>
    <row r="324" ht="15.75" customHeight="1">
      <c r="A324" s="149"/>
      <c r="D324" s="149"/>
      <c r="H324" s="150"/>
      <c r="P324" s="150"/>
    </row>
    <row r="325" ht="15.75" customHeight="1">
      <c r="A325" s="149"/>
      <c r="D325" s="149"/>
      <c r="H325" s="150"/>
      <c r="P325" s="150"/>
    </row>
    <row r="326" ht="15.75" customHeight="1">
      <c r="A326" s="149"/>
      <c r="D326" s="149"/>
      <c r="H326" s="150"/>
      <c r="P326" s="150"/>
    </row>
    <row r="327" ht="15.75" customHeight="1">
      <c r="A327" s="149"/>
      <c r="D327" s="149"/>
      <c r="H327" s="150"/>
      <c r="P327" s="150"/>
    </row>
    <row r="328" ht="15.75" customHeight="1">
      <c r="A328" s="149"/>
      <c r="D328" s="149"/>
      <c r="H328" s="150"/>
      <c r="P328" s="150"/>
    </row>
    <row r="329" ht="15.75" customHeight="1">
      <c r="A329" s="149"/>
      <c r="D329" s="149"/>
      <c r="H329" s="150"/>
      <c r="P329" s="150"/>
    </row>
    <row r="330" ht="15.75" customHeight="1">
      <c r="A330" s="149"/>
      <c r="D330" s="149"/>
      <c r="H330" s="150"/>
      <c r="P330" s="150"/>
    </row>
    <row r="331" ht="15.75" customHeight="1">
      <c r="A331" s="149"/>
      <c r="D331" s="149"/>
      <c r="H331" s="150"/>
      <c r="P331" s="150"/>
    </row>
    <row r="332" ht="15.75" customHeight="1">
      <c r="A332" s="149"/>
      <c r="D332" s="149"/>
      <c r="H332" s="150"/>
      <c r="P332" s="150"/>
    </row>
    <row r="333" ht="15.75" customHeight="1">
      <c r="A333" s="149"/>
      <c r="D333" s="149"/>
      <c r="H333" s="150"/>
      <c r="P333" s="150"/>
    </row>
    <row r="334" ht="15.75" customHeight="1">
      <c r="A334" s="149"/>
      <c r="D334" s="149"/>
      <c r="H334" s="150"/>
      <c r="P334" s="150"/>
    </row>
    <row r="335" ht="15.75" customHeight="1">
      <c r="A335" s="149"/>
      <c r="D335" s="149"/>
      <c r="H335" s="150"/>
      <c r="P335" s="150"/>
    </row>
    <row r="336" ht="15.75" customHeight="1">
      <c r="A336" s="149"/>
      <c r="D336" s="149"/>
      <c r="H336" s="150"/>
      <c r="P336" s="150"/>
    </row>
    <row r="337" ht="15.75" customHeight="1">
      <c r="A337" s="149"/>
      <c r="D337" s="149"/>
      <c r="H337" s="150"/>
      <c r="P337" s="150"/>
    </row>
    <row r="338" ht="15.75" customHeight="1">
      <c r="A338" s="149"/>
      <c r="D338" s="149"/>
      <c r="H338" s="150"/>
      <c r="P338" s="150"/>
    </row>
    <row r="339" ht="15.75" customHeight="1">
      <c r="A339" s="149"/>
      <c r="D339" s="149"/>
      <c r="H339" s="150"/>
      <c r="P339" s="150"/>
    </row>
    <row r="340" ht="15.75" customHeight="1">
      <c r="A340" s="149"/>
      <c r="D340" s="149"/>
      <c r="H340" s="150"/>
      <c r="P340" s="150"/>
    </row>
    <row r="341" ht="15.75" customHeight="1">
      <c r="A341" s="149"/>
      <c r="D341" s="149"/>
      <c r="H341" s="150"/>
      <c r="P341" s="150"/>
    </row>
    <row r="342" ht="15.75" customHeight="1">
      <c r="A342" s="149"/>
      <c r="D342" s="149"/>
      <c r="H342" s="150"/>
      <c r="P342" s="150"/>
    </row>
    <row r="343" ht="15.75" customHeight="1">
      <c r="A343" s="149"/>
      <c r="D343" s="149"/>
      <c r="H343" s="150"/>
      <c r="P343" s="150"/>
    </row>
    <row r="344" ht="15.75" customHeight="1">
      <c r="A344" s="149"/>
      <c r="D344" s="149"/>
      <c r="H344" s="150"/>
      <c r="P344" s="150"/>
    </row>
    <row r="345" ht="15.75" customHeight="1">
      <c r="A345" s="149"/>
      <c r="D345" s="149"/>
      <c r="H345" s="150"/>
      <c r="P345" s="150"/>
    </row>
    <row r="346" ht="15.75" customHeight="1">
      <c r="A346" s="149"/>
      <c r="D346" s="149"/>
      <c r="H346" s="150"/>
      <c r="P346" s="150"/>
    </row>
    <row r="347" ht="15.75" customHeight="1">
      <c r="A347" s="149"/>
      <c r="D347" s="149"/>
      <c r="H347" s="150"/>
      <c r="P347" s="150"/>
    </row>
    <row r="348" ht="15.75" customHeight="1">
      <c r="A348" s="149"/>
      <c r="D348" s="149"/>
      <c r="H348" s="150"/>
      <c r="P348" s="150"/>
    </row>
    <row r="349" ht="15.75" customHeight="1">
      <c r="A349" s="149"/>
      <c r="D349" s="149"/>
      <c r="H349" s="150"/>
      <c r="P349" s="150"/>
    </row>
    <row r="350" ht="15.75" customHeight="1">
      <c r="A350" s="149"/>
      <c r="D350" s="149"/>
      <c r="H350" s="150"/>
      <c r="P350" s="150"/>
    </row>
    <row r="351" ht="15.75" customHeight="1">
      <c r="A351" s="149"/>
      <c r="D351" s="149"/>
      <c r="H351" s="150"/>
      <c r="P351" s="150"/>
    </row>
    <row r="352" ht="15.75" customHeight="1">
      <c r="A352" s="149"/>
      <c r="D352" s="149"/>
      <c r="H352" s="150"/>
      <c r="P352" s="150"/>
    </row>
    <row r="353" ht="15.75" customHeight="1">
      <c r="A353" s="149"/>
      <c r="D353" s="149"/>
      <c r="H353" s="150"/>
      <c r="P353" s="150"/>
    </row>
    <row r="354" ht="15.75" customHeight="1">
      <c r="A354" s="149"/>
      <c r="D354" s="149"/>
      <c r="H354" s="150"/>
      <c r="P354" s="150"/>
    </row>
    <row r="355" ht="15.75" customHeight="1">
      <c r="A355" s="149"/>
      <c r="D355" s="149"/>
      <c r="H355" s="150"/>
      <c r="P355" s="150"/>
    </row>
    <row r="356" ht="15.75" customHeight="1">
      <c r="A356" s="149"/>
      <c r="D356" s="149"/>
      <c r="H356" s="150"/>
      <c r="P356" s="150"/>
    </row>
    <row r="357" ht="15.75" customHeight="1">
      <c r="A357" s="149"/>
      <c r="D357" s="149"/>
      <c r="H357" s="150"/>
      <c r="P357" s="150"/>
    </row>
    <row r="358" ht="15.75" customHeight="1">
      <c r="A358" s="149"/>
      <c r="D358" s="149"/>
      <c r="H358" s="150"/>
      <c r="P358" s="150"/>
    </row>
    <row r="359" ht="15.75" customHeight="1">
      <c r="A359" s="149"/>
      <c r="D359" s="149"/>
      <c r="H359" s="150"/>
      <c r="P359" s="150"/>
    </row>
    <row r="360" ht="15.75" customHeight="1">
      <c r="A360" s="149"/>
      <c r="D360" s="149"/>
      <c r="H360" s="150"/>
      <c r="P360" s="150"/>
    </row>
    <row r="361" ht="15.75" customHeight="1">
      <c r="A361" s="149"/>
      <c r="D361" s="149"/>
      <c r="H361" s="150"/>
      <c r="P361" s="150"/>
    </row>
    <row r="362" ht="15.75" customHeight="1">
      <c r="A362" s="149"/>
      <c r="D362" s="149"/>
      <c r="H362" s="150"/>
      <c r="P362" s="150"/>
    </row>
    <row r="363" ht="15.75" customHeight="1">
      <c r="A363" s="149"/>
      <c r="D363" s="149"/>
      <c r="H363" s="150"/>
      <c r="P363" s="150"/>
    </row>
    <row r="364" ht="15.75" customHeight="1">
      <c r="A364" s="149"/>
      <c r="D364" s="149"/>
      <c r="H364" s="150"/>
      <c r="P364" s="150"/>
    </row>
    <row r="365" ht="15.75" customHeight="1">
      <c r="A365" s="149"/>
      <c r="D365" s="149"/>
      <c r="H365" s="150"/>
      <c r="P365" s="150"/>
    </row>
    <row r="366" ht="15.75" customHeight="1">
      <c r="A366" s="149"/>
      <c r="D366" s="149"/>
      <c r="H366" s="150"/>
      <c r="P366" s="150"/>
    </row>
    <row r="367" ht="15.75" customHeight="1">
      <c r="A367" s="149"/>
      <c r="D367" s="149"/>
      <c r="H367" s="150"/>
      <c r="P367" s="150"/>
    </row>
    <row r="368" ht="15.75" customHeight="1">
      <c r="A368" s="149"/>
      <c r="D368" s="149"/>
      <c r="H368" s="150"/>
      <c r="P368" s="150"/>
    </row>
    <row r="369" ht="15.75" customHeight="1">
      <c r="A369" s="149"/>
      <c r="D369" s="149"/>
      <c r="H369" s="150"/>
      <c r="P369" s="150"/>
    </row>
    <row r="370" ht="15.75" customHeight="1">
      <c r="A370" s="149"/>
      <c r="D370" s="149"/>
      <c r="H370" s="150"/>
      <c r="P370" s="150"/>
    </row>
    <row r="371" ht="15.75" customHeight="1">
      <c r="A371" s="149"/>
      <c r="D371" s="149"/>
      <c r="H371" s="150"/>
      <c r="P371" s="150"/>
    </row>
    <row r="372" ht="15.75" customHeight="1">
      <c r="A372" s="149"/>
      <c r="D372" s="149"/>
      <c r="H372" s="150"/>
      <c r="P372" s="150"/>
    </row>
    <row r="373" ht="15.75" customHeight="1">
      <c r="A373" s="149"/>
      <c r="D373" s="149"/>
      <c r="H373" s="150"/>
      <c r="P373" s="150"/>
    </row>
    <row r="374" ht="15.75" customHeight="1">
      <c r="A374" s="149"/>
      <c r="D374" s="149"/>
      <c r="H374" s="150"/>
      <c r="P374" s="150"/>
    </row>
    <row r="375" ht="15.75" customHeight="1">
      <c r="A375" s="149"/>
      <c r="D375" s="149"/>
      <c r="H375" s="150"/>
      <c r="P375" s="150"/>
    </row>
    <row r="376" ht="15.75" customHeight="1">
      <c r="A376" s="149"/>
      <c r="D376" s="149"/>
      <c r="H376" s="150"/>
      <c r="P376" s="150"/>
    </row>
    <row r="377" ht="15.75" customHeight="1">
      <c r="A377" s="149"/>
      <c r="D377" s="149"/>
      <c r="H377" s="150"/>
      <c r="P377" s="150"/>
    </row>
    <row r="378" ht="15.75" customHeight="1">
      <c r="A378" s="149"/>
      <c r="D378" s="149"/>
      <c r="H378" s="150"/>
      <c r="P378" s="150"/>
    </row>
    <row r="379" ht="15.75" customHeight="1">
      <c r="A379" s="149"/>
      <c r="D379" s="149"/>
      <c r="H379" s="150"/>
      <c r="P379" s="150"/>
    </row>
    <row r="380" ht="15.75" customHeight="1">
      <c r="A380" s="149"/>
      <c r="D380" s="149"/>
      <c r="H380" s="150"/>
      <c r="P380" s="150"/>
    </row>
    <row r="381" ht="15.75" customHeight="1">
      <c r="A381" s="149"/>
      <c r="D381" s="149"/>
      <c r="H381" s="150"/>
      <c r="P381" s="150"/>
    </row>
    <row r="382" ht="15.75" customHeight="1">
      <c r="A382" s="149"/>
      <c r="D382" s="149"/>
      <c r="H382" s="150"/>
      <c r="P382" s="150"/>
    </row>
    <row r="383" ht="15.75" customHeight="1">
      <c r="A383" s="149"/>
      <c r="D383" s="149"/>
      <c r="H383" s="150"/>
      <c r="P383" s="150"/>
    </row>
    <row r="384" ht="15.75" customHeight="1">
      <c r="A384" s="149"/>
      <c r="D384" s="149"/>
      <c r="H384" s="150"/>
      <c r="P384" s="150"/>
    </row>
    <row r="385" ht="15.75" customHeight="1">
      <c r="A385" s="149"/>
      <c r="D385" s="149"/>
      <c r="H385" s="150"/>
      <c r="P385" s="150"/>
    </row>
    <row r="386" ht="15.75" customHeight="1">
      <c r="A386" s="149"/>
      <c r="D386" s="149"/>
      <c r="H386" s="150"/>
      <c r="P386" s="150"/>
    </row>
    <row r="387" ht="15.75" customHeight="1">
      <c r="A387" s="149"/>
      <c r="D387" s="149"/>
      <c r="H387" s="150"/>
      <c r="P387" s="150"/>
    </row>
    <row r="388" ht="15.75" customHeight="1">
      <c r="A388" s="149"/>
      <c r="D388" s="149"/>
      <c r="H388" s="150"/>
      <c r="P388" s="150"/>
    </row>
    <row r="389" ht="15.75" customHeight="1">
      <c r="A389" s="149"/>
      <c r="D389" s="149"/>
      <c r="H389" s="150"/>
      <c r="P389" s="150"/>
    </row>
    <row r="390" ht="15.75" customHeight="1">
      <c r="A390" s="149"/>
      <c r="D390" s="149"/>
      <c r="H390" s="150"/>
      <c r="P390" s="150"/>
    </row>
    <row r="391" ht="15.75" customHeight="1">
      <c r="A391" s="149"/>
      <c r="D391" s="149"/>
      <c r="H391" s="150"/>
      <c r="P391" s="150"/>
    </row>
    <row r="392" ht="15.75" customHeight="1">
      <c r="A392" s="149"/>
      <c r="D392" s="149"/>
      <c r="H392" s="150"/>
      <c r="P392" s="150"/>
    </row>
    <row r="393" ht="15.75" customHeight="1">
      <c r="A393" s="149"/>
      <c r="D393" s="149"/>
      <c r="H393" s="150"/>
      <c r="P393" s="150"/>
    </row>
    <row r="394" ht="15.75" customHeight="1">
      <c r="A394" s="149"/>
      <c r="D394" s="149"/>
      <c r="H394" s="150"/>
      <c r="P394" s="150"/>
    </row>
    <row r="395" ht="15.75" customHeight="1">
      <c r="A395" s="149"/>
      <c r="D395" s="149"/>
      <c r="H395" s="150"/>
      <c r="P395" s="150"/>
    </row>
    <row r="396" ht="15.75" customHeight="1">
      <c r="A396" s="149"/>
      <c r="D396" s="149"/>
      <c r="H396" s="150"/>
      <c r="P396" s="150"/>
    </row>
    <row r="397" ht="15.75" customHeight="1">
      <c r="A397" s="149"/>
      <c r="D397" s="149"/>
      <c r="H397" s="150"/>
      <c r="P397" s="150"/>
    </row>
    <row r="398" ht="15.75" customHeight="1">
      <c r="A398" s="149"/>
      <c r="D398" s="149"/>
      <c r="H398" s="150"/>
      <c r="P398" s="150"/>
    </row>
    <row r="399" ht="15.75" customHeight="1">
      <c r="A399" s="149"/>
      <c r="D399" s="149"/>
      <c r="H399" s="150"/>
      <c r="P399" s="150"/>
    </row>
    <row r="400" ht="15.75" customHeight="1">
      <c r="A400" s="149"/>
      <c r="D400" s="149"/>
      <c r="H400" s="150"/>
      <c r="P400" s="150"/>
    </row>
    <row r="401" ht="15.75" customHeight="1">
      <c r="A401" s="149"/>
      <c r="D401" s="149"/>
      <c r="H401" s="150"/>
      <c r="P401" s="150"/>
    </row>
    <row r="402" ht="15.75" customHeight="1">
      <c r="A402" s="149"/>
      <c r="D402" s="149"/>
      <c r="H402" s="150"/>
      <c r="P402" s="150"/>
    </row>
    <row r="403" ht="15.75" customHeight="1">
      <c r="A403" s="149"/>
      <c r="D403" s="149"/>
      <c r="H403" s="150"/>
      <c r="P403" s="150"/>
    </row>
    <row r="404" ht="15.75" customHeight="1">
      <c r="A404" s="149"/>
      <c r="D404" s="149"/>
      <c r="H404" s="150"/>
      <c r="P404" s="150"/>
    </row>
    <row r="405" ht="15.75" customHeight="1">
      <c r="A405" s="149"/>
      <c r="D405" s="149"/>
      <c r="H405" s="150"/>
      <c r="P405" s="150"/>
    </row>
    <row r="406" ht="15.75" customHeight="1">
      <c r="A406" s="149"/>
      <c r="D406" s="149"/>
      <c r="H406" s="150"/>
      <c r="P406" s="150"/>
    </row>
    <row r="407" ht="15.75" customHeight="1">
      <c r="A407" s="149"/>
      <c r="D407" s="149"/>
      <c r="H407" s="150"/>
      <c r="P407" s="150"/>
    </row>
    <row r="408" ht="15.75" customHeight="1">
      <c r="A408" s="149"/>
      <c r="D408" s="149"/>
      <c r="H408" s="150"/>
      <c r="P408" s="150"/>
    </row>
    <row r="409" ht="15.75" customHeight="1">
      <c r="A409" s="149"/>
      <c r="D409" s="149"/>
      <c r="H409" s="150"/>
      <c r="P409" s="150"/>
    </row>
    <row r="410" ht="15.75" customHeight="1">
      <c r="A410" s="149"/>
      <c r="D410" s="149"/>
      <c r="H410" s="150"/>
      <c r="P410" s="150"/>
    </row>
    <row r="411" ht="15.75" customHeight="1">
      <c r="A411" s="149"/>
      <c r="D411" s="149"/>
      <c r="H411" s="150"/>
      <c r="P411" s="150"/>
    </row>
    <row r="412" ht="15.75" customHeight="1">
      <c r="A412" s="149"/>
      <c r="D412" s="149"/>
      <c r="H412" s="150"/>
      <c r="P412" s="150"/>
    </row>
    <row r="413" ht="15.75" customHeight="1">
      <c r="A413" s="149"/>
      <c r="D413" s="149"/>
      <c r="H413" s="150"/>
      <c r="P413" s="150"/>
    </row>
    <row r="414" ht="15.75" customHeight="1">
      <c r="A414" s="149"/>
      <c r="D414" s="149"/>
      <c r="H414" s="150"/>
      <c r="P414" s="150"/>
    </row>
    <row r="415" ht="15.75" customHeight="1">
      <c r="A415" s="149"/>
      <c r="D415" s="149"/>
      <c r="H415" s="150"/>
      <c r="P415" s="150"/>
    </row>
    <row r="416" ht="15.75" customHeight="1">
      <c r="A416" s="149"/>
      <c r="D416" s="149"/>
      <c r="H416" s="150"/>
      <c r="P416" s="150"/>
    </row>
    <row r="417" ht="15.75" customHeight="1">
      <c r="A417" s="149"/>
      <c r="D417" s="149"/>
      <c r="H417" s="150"/>
      <c r="P417" s="150"/>
    </row>
    <row r="418" ht="15.75" customHeight="1">
      <c r="A418" s="149"/>
      <c r="D418" s="149"/>
      <c r="H418" s="150"/>
      <c r="P418" s="150"/>
    </row>
    <row r="419" ht="15.75" customHeight="1">
      <c r="A419" s="149"/>
      <c r="D419" s="149"/>
      <c r="H419" s="150"/>
      <c r="P419" s="150"/>
    </row>
    <row r="420" ht="15.75" customHeight="1">
      <c r="A420" s="149"/>
      <c r="D420" s="149"/>
      <c r="H420" s="150"/>
      <c r="P420" s="150"/>
    </row>
    <row r="421" ht="15.75" customHeight="1">
      <c r="A421" s="149"/>
      <c r="D421" s="149"/>
      <c r="H421" s="150"/>
      <c r="P421" s="150"/>
    </row>
    <row r="422" ht="15.75" customHeight="1">
      <c r="A422" s="149"/>
      <c r="D422" s="149"/>
      <c r="H422" s="150"/>
      <c r="P422" s="150"/>
    </row>
    <row r="423" ht="15.75" customHeight="1">
      <c r="A423" s="149"/>
      <c r="D423" s="149"/>
      <c r="H423" s="150"/>
      <c r="P423" s="150"/>
    </row>
    <row r="424" ht="15.75" customHeight="1">
      <c r="A424" s="149"/>
      <c r="D424" s="149"/>
      <c r="H424" s="150"/>
      <c r="P424" s="150"/>
    </row>
    <row r="425" ht="15.75" customHeight="1">
      <c r="A425" s="149"/>
      <c r="D425" s="149"/>
      <c r="H425" s="150"/>
      <c r="P425" s="150"/>
    </row>
    <row r="426" ht="15.75" customHeight="1">
      <c r="A426" s="149"/>
      <c r="D426" s="149"/>
      <c r="H426" s="150"/>
      <c r="P426" s="150"/>
    </row>
    <row r="427" ht="15.75" customHeight="1">
      <c r="A427" s="149"/>
      <c r="D427" s="149"/>
      <c r="H427" s="150"/>
      <c r="P427" s="150"/>
    </row>
    <row r="428" ht="15.75" customHeight="1">
      <c r="A428" s="149"/>
      <c r="D428" s="149"/>
      <c r="H428" s="150"/>
      <c r="P428" s="150"/>
    </row>
    <row r="429" ht="15.75" customHeight="1">
      <c r="A429" s="149"/>
      <c r="D429" s="149"/>
      <c r="H429" s="150"/>
      <c r="P429" s="150"/>
    </row>
    <row r="430" ht="15.75" customHeight="1">
      <c r="A430" s="149"/>
      <c r="D430" s="149"/>
      <c r="H430" s="150"/>
      <c r="P430" s="150"/>
    </row>
    <row r="431" ht="15.75" customHeight="1">
      <c r="A431" s="149"/>
      <c r="D431" s="149"/>
      <c r="H431" s="150"/>
      <c r="P431" s="150"/>
    </row>
    <row r="432" ht="15.75" customHeight="1">
      <c r="A432" s="149"/>
      <c r="D432" s="149"/>
      <c r="H432" s="150"/>
      <c r="P432" s="150"/>
    </row>
    <row r="433" ht="15.75" customHeight="1">
      <c r="A433" s="149"/>
      <c r="D433" s="149"/>
      <c r="H433" s="150"/>
      <c r="P433" s="150"/>
    </row>
    <row r="434" ht="15.75" customHeight="1">
      <c r="A434" s="149"/>
      <c r="D434" s="149"/>
      <c r="H434" s="150"/>
      <c r="P434" s="150"/>
    </row>
    <row r="435" ht="15.75" customHeight="1">
      <c r="A435" s="149"/>
      <c r="D435" s="149"/>
      <c r="H435" s="150"/>
      <c r="P435" s="150"/>
    </row>
    <row r="436" ht="15.75" customHeight="1">
      <c r="A436" s="149"/>
      <c r="D436" s="149"/>
      <c r="H436" s="150"/>
      <c r="P436" s="150"/>
    </row>
    <row r="437" ht="15.75" customHeight="1">
      <c r="A437" s="149"/>
      <c r="D437" s="149"/>
      <c r="H437" s="150"/>
      <c r="P437" s="150"/>
    </row>
    <row r="438" ht="15.75" customHeight="1">
      <c r="A438" s="149"/>
      <c r="D438" s="149"/>
      <c r="H438" s="150"/>
      <c r="P438" s="150"/>
    </row>
    <row r="439" ht="15.75" customHeight="1">
      <c r="A439" s="149"/>
      <c r="D439" s="149"/>
      <c r="H439" s="150"/>
      <c r="P439" s="150"/>
    </row>
    <row r="440" ht="15.75" customHeight="1">
      <c r="A440" s="149"/>
      <c r="D440" s="149"/>
      <c r="H440" s="150"/>
      <c r="P440" s="150"/>
    </row>
    <row r="441" ht="15.75" customHeight="1">
      <c r="A441" s="149"/>
      <c r="D441" s="149"/>
      <c r="H441" s="150"/>
      <c r="P441" s="150"/>
    </row>
    <row r="442" ht="15.75" customHeight="1">
      <c r="A442" s="149"/>
      <c r="D442" s="149"/>
      <c r="H442" s="150"/>
      <c r="P442" s="150"/>
    </row>
    <row r="443" ht="15.75" customHeight="1">
      <c r="A443" s="149"/>
      <c r="D443" s="149"/>
      <c r="H443" s="150"/>
      <c r="P443" s="150"/>
    </row>
    <row r="444" ht="15.75" customHeight="1">
      <c r="A444" s="149"/>
      <c r="D444" s="149"/>
      <c r="H444" s="150"/>
      <c r="P444" s="150"/>
    </row>
    <row r="445" ht="15.75" customHeight="1">
      <c r="A445" s="149"/>
      <c r="D445" s="149"/>
      <c r="H445" s="150"/>
      <c r="P445" s="150"/>
    </row>
    <row r="446" ht="15.75" customHeight="1">
      <c r="A446" s="149"/>
      <c r="D446" s="149"/>
      <c r="H446" s="150"/>
      <c r="P446" s="150"/>
    </row>
    <row r="447" ht="15.75" customHeight="1">
      <c r="A447" s="149"/>
      <c r="D447" s="149"/>
      <c r="H447" s="150"/>
      <c r="P447" s="150"/>
    </row>
    <row r="448" ht="15.75" customHeight="1">
      <c r="A448" s="149"/>
      <c r="D448" s="149"/>
      <c r="H448" s="150"/>
      <c r="P448" s="150"/>
    </row>
    <row r="449" ht="15.75" customHeight="1">
      <c r="A449" s="149"/>
      <c r="D449" s="149"/>
      <c r="H449" s="150"/>
      <c r="P449" s="150"/>
    </row>
    <row r="450" ht="15.75" customHeight="1">
      <c r="A450" s="149"/>
      <c r="D450" s="149"/>
      <c r="H450" s="150"/>
      <c r="P450" s="150"/>
    </row>
    <row r="451" ht="15.75" customHeight="1">
      <c r="A451" s="149"/>
      <c r="D451" s="149"/>
      <c r="H451" s="150"/>
      <c r="P451" s="150"/>
    </row>
    <row r="452" ht="15.75" customHeight="1">
      <c r="A452" s="149"/>
      <c r="D452" s="149"/>
      <c r="H452" s="150"/>
      <c r="P452" s="150"/>
    </row>
    <row r="453" ht="15.75" customHeight="1">
      <c r="A453" s="149"/>
      <c r="D453" s="149"/>
      <c r="H453" s="150"/>
      <c r="P453" s="150"/>
    </row>
    <row r="454" ht="15.75" customHeight="1">
      <c r="A454" s="149"/>
      <c r="D454" s="149"/>
      <c r="H454" s="150"/>
      <c r="P454" s="150"/>
    </row>
    <row r="455" ht="15.75" customHeight="1">
      <c r="A455" s="149"/>
      <c r="D455" s="149"/>
      <c r="H455" s="150"/>
      <c r="P455" s="150"/>
    </row>
    <row r="456" ht="15.75" customHeight="1">
      <c r="A456" s="149"/>
      <c r="D456" s="149"/>
      <c r="H456" s="150"/>
      <c r="P456" s="150"/>
    </row>
    <row r="457" ht="15.75" customHeight="1">
      <c r="A457" s="149"/>
      <c r="D457" s="149"/>
      <c r="H457" s="150"/>
      <c r="P457" s="150"/>
    </row>
    <row r="458" ht="15.75" customHeight="1">
      <c r="A458" s="149"/>
      <c r="D458" s="149"/>
      <c r="H458" s="150"/>
      <c r="P458" s="150"/>
    </row>
    <row r="459" ht="15.75" customHeight="1">
      <c r="A459" s="149"/>
      <c r="D459" s="149"/>
      <c r="H459" s="150"/>
      <c r="P459" s="150"/>
    </row>
    <row r="460" ht="15.75" customHeight="1">
      <c r="A460" s="149"/>
      <c r="D460" s="149"/>
      <c r="H460" s="150"/>
      <c r="P460" s="150"/>
    </row>
    <row r="461" ht="15.75" customHeight="1">
      <c r="A461" s="149"/>
      <c r="D461" s="149"/>
      <c r="H461" s="150"/>
      <c r="P461" s="150"/>
    </row>
    <row r="462" ht="15.75" customHeight="1">
      <c r="A462" s="149"/>
      <c r="D462" s="149"/>
      <c r="H462" s="150"/>
      <c r="P462" s="150"/>
    </row>
    <row r="463" ht="15.75" customHeight="1">
      <c r="A463" s="149"/>
      <c r="D463" s="149"/>
      <c r="H463" s="150"/>
      <c r="P463" s="150"/>
    </row>
    <row r="464" ht="15.75" customHeight="1">
      <c r="A464" s="149"/>
      <c r="D464" s="149"/>
      <c r="H464" s="150"/>
      <c r="P464" s="150"/>
    </row>
    <row r="465" ht="15.75" customHeight="1">
      <c r="A465" s="149"/>
      <c r="D465" s="149"/>
      <c r="H465" s="150"/>
      <c r="P465" s="150"/>
    </row>
    <row r="466" ht="15.75" customHeight="1">
      <c r="A466" s="149"/>
      <c r="D466" s="149"/>
      <c r="H466" s="150"/>
      <c r="P466" s="150"/>
    </row>
    <row r="467" ht="15.75" customHeight="1">
      <c r="A467" s="149"/>
      <c r="D467" s="149"/>
      <c r="H467" s="150"/>
      <c r="P467" s="150"/>
    </row>
    <row r="468" ht="15.75" customHeight="1">
      <c r="A468" s="149"/>
      <c r="D468" s="149"/>
      <c r="H468" s="150"/>
      <c r="P468" s="150"/>
    </row>
    <row r="469" ht="15.75" customHeight="1">
      <c r="A469" s="149"/>
      <c r="D469" s="149"/>
      <c r="H469" s="150"/>
      <c r="P469" s="150"/>
    </row>
    <row r="470" ht="15.75" customHeight="1">
      <c r="A470" s="149"/>
      <c r="D470" s="149"/>
      <c r="H470" s="150"/>
      <c r="P470" s="150"/>
    </row>
    <row r="471" ht="15.75" customHeight="1">
      <c r="A471" s="149"/>
      <c r="D471" s="149"/>
      <c r="H471" s="150"/>
      <c r="P471" s="150"/>
    </row>
    <row r="472" ht="15.75" customHeight="1">
      <c r="A472" s="149"/>
      <c r="D472" s="149"/>
      <c r="H472" s="150"/>
      <c r="P472" s="150"/>
    </row>
    <row r="473" ht="15.75" customHeight="1">
      <c r="A473" s="149"/>
      <c r="D473" s="149"/>
      <c r="H473" s="150"/>
      <c r="P473" s="150"/>
    </row>
    <row r="474" ht="15.75" customHeight="1">
      <c r="A474" s="149"/>
      <c r="D474" s="149"/>
      <c r="H474" s="150"/>
      <c r="P474" s="150"/>
    </row>
    <row r="475" ht="15.75" customHeight="1">
      <c r="A475" s="149"/>
      <c r="D475" s="149"/>
      <c r="H475" s="150"/>
      <c r="P475" s="150"/>
    </row>
    <row r="476" ht="15.75" customHeight="1">
      <c r="A476" s="149"/>
      <c r="D476" s="149"/>
      <c r="H476" s="150"/>
      <c r="P476" s="150"/>
    </row>
    <row r="477" ht="15.75" customHeight="1">
      <c r="A477" s="149"/>
      <c r="D477" s="149"/>
      <c r="H477" s="150"/>
      <c r="P477" s="150"/>
    </row>
    <row r="478" ht="15.75" customHeight="1">
      <c r="A478" s="149"/>
      <c r="D478" s="149"/>
      <c r="H478" s="150"/>
      <c r="P478" s="150"/>
    </row>
    <row r="479" ht="15.75" customHeight="1">
      <c r="A479" s="149"/>
      <c r="D479" s="149"/>
      <c r="H479" s="150"/>
      <c r="P479" s="150"/>
    </row>
    <row r="480" ht="15.75" customHeight="1">
      <c r="A480" s="149"/>
      <c r="D480" s="149"/>
      <c r="H480" s="150"/>
      <c r="P480" s="150"/>
    </row>
    <row r="481" ht="15.75" customHeight="1">
      <c r="A481" s="149"/>
      <c r="D481" s="149"/>
      <c r="H481" s="150"/>
      <c r="P481" s="150"/>
    </row>
    <row r="482" ht="15.75" customHeight="1">
      <c r="A482" s="149"/>
      <c r="D482" s="149"/>
      <c r="H482" s="150"/>
      <c r="P482" s="150"/>
    </row>
    <row r="483" ht="15.75" customHeight="1">
      <c r="A483" s="149"/>
      <c r="D483" s="149"/>
      <c r="H483" s="150"/>
      <c r="P483" s="150"/>
    </row>
    <row r="484" ht="15.75" customHeight="1">
      <c r="A484" s="149"/>
      <c r="D484" s="149"/>
      <c r="H484" s="150"/>
      <c r="P484" s="150"/>
    </row>
    <row r="485" ht="15.75" customHeight="1">
      <c r="A485" s="149"/>
      <c r="D485" s="149"/>
      <c r="H485" s="150"/>
      <c r="P485" s="150"/>
    </row>
    <row r="486" ht="15.75" customHeight="1">
      <c r="A486" s="149"/>
      <c r="D486" s="149"/>
      <c r="H486" s="150"/>
      <c r="P486" s="150"/>
    </row>
    <row r="487" ht="15.75" customHeight="1">
      <c r="A487" s="149"/>
      <c r="D487" s="149"/>
      <c r="H487" s="150"/>
      <c r="P487" s="150"/>
    </row>
    <row r="488" ht="15.75" customHeight="1">
      <c r="A488" s="149"/>
      <c r="D488" s="149"/>
      <c r="H488" s="150"/>
      <c r="P488" s="150"/>
    </row>
    <row r="489" ht="15.75" customHeight="1">
      <c r="A489" s="149"/>
      <c r="D489" s="149"/>
      <c r="H489" s="150"/>
      <c r="P489" s="150"/>
    </row>
    <row r="490" ht="15.75" customHeight="1">
      <c r="A490" s="149"/>
      <c r="D490" s="149"/>
      <c r="H490" s="150"/>
      <c r="P490" s="150"/>
    </row>
    <row r="491" ht="15.75" customHeight="1">
      <c r="A491" s="149"/>
      <c r="D491" s="149"/>
      <c r="H491" s="150"/>
      <c r="P491" s="150"/>
    </row>
    <row r="492" ht="15.75" customHeight="1">
      <c r="A492" s="149"/>
      <c r="D492" s="149"/>
      <c r="H492" s="150"/>
      <c r="P492" s="150"/>
    </row>
    <row r="493" ht="15.75" customHeight="1">
      <c r="A493" s="149"/>
      <c r="D493" s="149"/>
      <c r="H493" s="150"/>
      <c r="P493" s="150"/>
    </row>
    <row r="494" ht="15.75" customHeight="1">
      <c r="A494" s="149"/>
      <c r="D494" s="149"/>
      <c r="H494" s="150"/>
      <c r="P494" s="150"/>
    </row>
    <row r="495" ht="15.75" customHeight="1">
      <c r="A495" s="149"/>
      <c r="D495" s="149"/>
      <c r="H495" s="150"/>
      <c r="P495" s="150"/>
    </row>
    <row r="496" ht="15.75" customHeight="1">
      <c r="A496" s="149"/>
      <c r="D496" s="149"/>
      <c r="H496" s="150"/>
      <c r="P496" s="150"/>
    </row>
    <row r="497" ht="15.75" customHeight="1">
      <c r="A497" s="149"/>
      <c r="D497" s="149"/>
      <c r="H497" s="150"/>
      <c r="P497" s="150"/>
    </row>
    <row r="498" ht="15.75" customHeight="1">
      <c r="A498" s="149"/>
      <c r="D498" s="149"/>
      <c r="H498" s="150"/>
      <c r="P498" s="150"/>
    </row>
    <row r="499" ht="15.75" customHeight="1">
      <c r="A499" s="149"/>
      <c r="D499" s="149"/>
      <c r="H499" s="150"/>
      <c r="P499" s="150"/>
    </row>
    <row r="500" ht="15.75" customHeight="1">
      <c r="A500" s="149"/>
      <c r="D500" s="149"/>
      <c r="H500" s="150"/>
      <c r="P500" s="150"/>
    </row>
    <row r="501" ht="15.75" customHeight="1">
      <c r="A501" s="149"/>
      <c r="D501" s="149"/>
      <c r="H501" s="150"/>
      <c r="P501" s="150"/>
    </row>
    <row r="502" ht="15.75" customHeight="1">
      <c r="A502" s="149"/>
      <c r="D502" s="149"/>
      <c r="H502" s="150"/>
      <c r="P502" s="150"/>
    </row>
    <row r="503" ht="15.75" customHeight="1">
      <c r="A503" s="149"/>
      <c r="D503" s="149"/>
      <c r="H503" s="150"/>
      <c r="P503" s="150"/>
    </row>
    <row r="504" ht="15.75" customHeight="1">
      <c r="A504" s="149"/>
      <c r="D504" s="149"/>
      <c r="H504" s="150"/>
      <c r="P504" s="150"/>
    </row>
    <row r="505" ht="15.75" customHeight="1">
      <c r="A505" s="149"/>
      <c r="D505" s="149"/>
      <c r="H505" s="150"/>
      <c r="P505" s="150"/>
    </row>
    <row r="506" ht="15.75" customHeight="1">
      <c r="A506" s="149"/>
      <c r="D506" s="149"/>
      <c r="H506" s="150"/>
      <c r="P506" s="150"/>
    </row>
    <row r="507" ht="15.75" customHeight="1">
      <c r="A507" s="149"/>
      <c r="D507" s="149"/>
      <c r="H507" s="150"/>
      <c r="P507" s="150"/>
    </row>
    <row r="508" ht="15.75" customHeight="1">
      <c r="A508" s="149"/>
      <c r="D508" s="149"/>
      <c r="H508" s="150"/>
      <c r="P508" s="150"/>
    </row>
    <row r="509" ht="15.75" customHeight="1">
      <c r="A509" s="149"/>
      <c r="D509" s="149"/>
      <c r="H509" s="150"/>
      <c r="P509" s="150"/>
    </row>
    <row r="510" ht="15.75" customHeight="1">
      <c r="A510" s="149"/>
      <c r="D510" s="149"/>
      <c r="H510" s="150"/>
      <c r="P510" s="150"/>
    </row>
    <row r="511" ht="15.75" customHeight="1">
      <c r="A511" s="149"/>
      <c r="D511" s="149"/>
      <c r="H511" s="150"/>
      <c r="P511" s="150"/>
    </row>
    <row r="512" ht="15.75" customHeight="1">
      <c r="A512" s="149"/>
      <c r="D512" s="149"/>
      <c r="H512" s="150"/>
      <c r="P512" s="150"/>
    </row>
    <row r="513" ht="15.75" customHeight="1">
      <c r="A513" s="149"/>
      <c r="D513" s="149"/>
      <c r="H513" s="150"/>
      <c r="P513" s="150"/>
    </row>
    <row r="514" ht="15.75" customHeight="1">
      <c r="A514" s="149"/>
      <c r="D514" s="149"/>
      <c r="H514" s="150"/>
      <c r="P514" s="150"/>
    </row>
    <row r="515" ht="15.75" customHeight="1">
      <c r="A515" s="149"/>
      <c r="D515" s="149"/>
      <c r="H515" s="150"/>
      <c r="P515" s="150"/>
    </row>
    <row r="516" ht="15.75" customHeight="1">
      <c r="A516" s="149"/>
      <c r="D516" s="149"/>
      <c r="H516" s="150"/>
      <c r="P516" s="150"/>
    </row>
    <row r="517" ht="15.75" customHeight="1">
      <c r="A517" s="149"/>
      <c r="D517" s="149"/>
      <c r="H517" s="150"/>
      <c r="P517" s="150"/>
    </row>
    <row r="518" ht="15.75" customHeight="1">
      <c r="A518" s="149"/>
      <c r="D518" s="149"/>
      <c r="H518" s="150"/>
      <c r="P518" s="150"/>
    </row>
    <row r="519" ht="15.75" customHeight="1">
      <c r="A519" s="149"/>
      <c r="D519" s="149"/>
      <c r="H519" s="150"/>
      <c r="P519" s="150"/>
    </row>
    <row r="520" ht="15.75" customHeight="1">
      <c r="A520" s="149"/>
      <c r="D520" s="149"/>
      <c r="H520" s="150"/>
      <c r="P520" s="150"/>
    </row>
    <row r="521" ht="15.75" customHeight="1">
      <c r="A521" s="149"/>
      <c r="D521" s="149"/>
      <c r="H521" s="150"/>
      <c r="P521" s="150"/>
    </row>
    <row r="522" ht="15.75" customHeight="1">
      <c r="A522" s="149"/>
      <c r="D522" s="149"/>
      <c r="H522" s="150"/>
      <c r="P522" s="150"/>
    </row>
    <row r="523" ht="15.75" customHeight="1">
      <c r="A523" s="149"/>
      <c r="D523" s="149"/>
      <c r="H523" s="150"/>
      <c r="P523" s="150"/>
    </row>
    <row r="524" ht="15.75" customHeight="1">
      <c r="A524" s="149"/>
      <c r="D524" s="149"/>
      <c r="H524" s="150"/>
      <c r="P524" s="150"/>
    </row>
    <row r="525" ht="15.75" customHeight="1">
      <c r="A525" s="149"/>
      <c r="D525" s="149"/>
      <c r="H525" s="150"/>
      <c r="P525" s="150"/>
    </row>
    <row r="526" ht="15.75" customHeight="1">
      <c r="A526" s="149"/>
      <c r="D526" s="149"/>
      <c r="H526" s="150"/>
      <c r="P526" s="150"/>
    </row>
    <row r="527" ht="15.75" customHeight="1">
      <c r="A527" s="149"/>
      <c r="D527" s="149"/>
      <c r="H527" s="150"/>
      <c r="P527" s="150"/>
    </row>
    <row r="528" ht="15.75" customHeight="1">
      <c r="A528" s="149"/>
      <c r="D528" s="149"/>
      <c r="H528" s="150"/>
      <c r="P528" s="150"/>
    </row>
    <row r="529" ht="15.75" customHeight="1">
      <c r="A529" s="149"/>
      <c r="D529" s="149"/>
      <c r="H529" s="150"/>
      <c r="P529" s="150"/>
    </row>
    <row r="530" ht="15.75" customHeight="1">
      <c r="A530" s="149"/>
      <c r="D530" s="149"/>
      <c r="H530" s="150"/>
      <c r="P530" s="150"/>
    </row>
    <row r="531" ht="15.75" customHeight="1">
      <c r="A531" s="149"/>
      <c r="D531" s="149"/>
      <c r="H531" s="150"/>
      <c r="P531" s="150"/>
    </row>
    <row r="532" ht="15.75" customHeight="1">
      <c r="A532" s="149"/>
      <c r="D532" s="149"/>
      <c r="H532" s="150"/>
      <c r="P532" s="150"/>
    </row>
    <row r="533" ht="15.75" customHeight="1">
      <c r="A533" s="149"/>
      <c r="D533" s="149"/>
      <c r="H533" s="150"/>
      <c r="P533" s="150"/>
    </row>
    <row r="534" ht="15.75" customHeight="1">
      <c r="A534" s="149"/>
      <c r="D534" s="149"/>
      <c r="H534" s="150"/>
      <c r="P534" s="150"/>
    </row>
    <row r="535" ht="15.75" customHeight="1">
      <c r="A535" s="149"/>
      <c r="D535" s="149"/>
      <c r="H535" s="150"/>
      <c r="P535" s="150"/>
    </row>
    <row r="536" ht="15.75" customHeight="1">
      <c r="A536" s="149"/>
      <c r="D536" s="149"/>
      <c r="H536" s="150"/>
      <c r="P536" s="150"/>
    </row>
    <row r="537" ht="15.75" customHeight="1">
      <c r="A537" s="149"/>
      <c r="D537" s="149"/>
      <c r="H537" s="150"/>
      <c r="P537" s="150"/>
    </row>
    <row r="538" ht="15.75" customHeight="1">
      <c r="A538" s="149"/>
      <c r="D538" s="149"/>
      <c r="H538" s="150"/>
      <c r="P538" s="150"/>
    </row>
    <row r="539" ht="15.75" customHeight="1">
      <c r="A539" s="149"/>
      <c r="D539" s="149"/>
      <c r="H539" s="150"/>
      <c r="P539" s="150"/>
    </row>
    <row r="540" ht="15.75" customHeight="1">
      <c r="A540" s="149"/>
      <c r="D540" s="149"/>
      <c r="H540" s="150"/>
      <c r="P540" s="150"/>
    </row>
    <row r="541" ht="15.75" customHeight="1">
      <c r="A541" s="149"/>
      <c r="D541" s="149"/>
      <c r="H541" s="150"/>
      <c r="P541" s="150"/>
    </row>
    <row r="542" ht="15.75" customHeight="1">
      <c r="A542" s="149"/>
      <c r="D542" s="149"/>
      <c r="H542" s="150"/>
      <c r="P542" s="150"/>
    </row>
    <row r="543" ht="15.75" customHeight="1">
      <c r="A543" s="149"/>
      <c r="D543" s="149"/>
      <c r="H543" s="150"/>
      <c r="P543" s="150"/>
    </row>
    <row r="544" ht="15.75" customHeight="1">
      <c r="A544" s="149"/>
      <c r="D544" s="149"/>
      <c r="H544" s="150"/>
      <c r="P544" s="150"/>
    </row>
    <row r="545" ht="15.75" customHeight="1">
      <c r="A545" s="149"/>
      <c r="D545" s="149"/>
      <c r="H545" s="150"/>
      <c r="P545" s="150"/>
    </row>
    <row r="546" ht="15.75" customHeight="1">
      <c r="A546" s="149"/>
      <c r="D546" s="149"/>
      <c r="H546" s="150"/>
      <c r="P546" s="150"/>
    </row>
    <row r="547" ht="15.75" customHeight="1">
      <c r="A547" s="149"/>
      <c r="D547" s="149"/>
      <c r="H547" s="150"/>
      <c r="P547" s="150"/>
    </row>
    <row r="548" ht="15.75" customHeight="1">
      <c r="A548" s="149"/>
      <c r="D548" s="149"/>
      <c r="H548" s="150"/>
      <c r="P548" s="150"/>
    </row>
    <row r="549" ht="15.75" customHeight="1">
      <c r="A549" s="149"/>
      <c r="D549" s="149"/>
      <c r="H549" s="150"/>
      <c r="P549" s="150"/>
    </row>
    <row r="550" ht="15.75" customHeight="1">
      <c r="A550" s="149"/>
      <c r="D550" s="149"/>
      <c r="H550" s="150"/>
      <c r="P550" s="150"/>
    </row>
    <row r="551" ht="15.75" customHeight="1">
      <c r="A551" s="149"/>
      <c r="D551" s="149"/>
      <c r="H551" s="150"/>
      <c r="P551" s="150"/>
    </row>
    <row r="552" ht="15.75" customHeight="1">
      <c r="A552" s="149"/>
      <c r="D552" s="149"/>
      <c r="H552" s="150"/>
      <c r="P552" s="150"/>
    </row>
    <row r="553" ht="15.75" customHeight="1">
      <c r="A553" s="149"/>
      <c r="D553" s="149"/>
      <c r="H553" s="150"/>
      <c r="P553" s="150"/>
    </row>
    <row r="554" ht="15.75" customHeight="1">
      <c r="A554" s="149"/>
      <c r="D554" s="149"/>
      <c r="H554" s="150"/>
      <c r="P554" s="150"/>
    </row>
    <row r="555" ht="15.75" customHeight="1">
      <c r="A555" s="149"/>
      <c r="D555" s="149"/>
      <c r="H555" s="150"/>
      <c r="P555" s="150"/>
    </row>
    <row r="556" ht="15.75" customHeight="1">
      <c r="A556" s="149"/>
      <c r="D556" s="149"/>
      <c r="H556" s="150"/>
      <c r="P556" s="150"/>
    </row>
    <row r="557" ht="15.75" customHeight="1">
      <c r="A557" s="149"/>
      <c r="D557" s="149"/>
      <c r="H557" s="150"/>
      <c r="P557" s="150"/>
    </row>
    <row r="558" ht="15.75" customHeight="1">
      <c r="A558" s="149"/>
      <c r="D558" s="149"/>
      <c r="H558" s="150"/>
      <c r="P558" s="150"/>
    </row>
    <row r="559" ht="15.75" customHeight="1">
      <c r="A559" s="149"/>
      <c r="D559" s="149"/>
      <c r="H559" s="150"/>
      <c r="P559" s="150"/>
    </row>
    <row r="560" ht="15.75" customHeight="1">
      <c r="A560" s="149"/>
      <c r="D560" s="149"/>
      <c r="H560" s="150"/>
      <c r="P560" s="150"/>
    </row>
    <row r="561" ht="15.75" customHeight="1">
      <c r="A561" s="149"/>
      <c r="D561" s="149"/>
      <c r="H561" s="150"/>
      <c r="P561" s="150"/>
    </row>
    <row r="562" ht="15.75" customHeight="1">
      <c r="A562" s="149"/>
      <c r="D562" s="149"/>
      <c r="H562" s="150"/>
      <c r="P562" s="150"/>
    </row>
    <row r="563" ht="15.75" customHeight="1">
      <c r="A563" s="149"/>
      <c r="D563" s="149"/>
      <c r="H563" s="150"/>
      <c r="P563" s="150"/>
    </row>
    <row r="564" ht="15.75" customHeight="1">
      <c r="A564" s="149"/>
      <c r="D564" s="149"/>
      <c r="H564" s="150"/>
      <c r="P564" s="150"/>
    </row>
    <row r="565" ht="15.75" customHeight="1">
      <c r="A565" s="149"/>
      <c r="D565" s="149"/>
      <c r="H565" s="150"/>
      <c r="P565" s="150"/>
    </row>
    <row r="566" ht="15.75" customHeight="1">
      <c r="A566" s="149"/>
      <c r="D566" s="149"/>
      <c r="H566" s="150"/>
      <c r="P566" s="150"/>
    </row>
    <row r="567" ht="15.75" customHeight="1">
      <c r="A567" s="149"/>
      <c r="D567" s="149"/>
      <c r="H567" s="150"/>
      <c r="P567" s="150"/>
    </row>
    <row r="568" ht="15.75" customHeight="1">
      <c r="A568" s="149"/>
      <c r="D568" s="149"/>
      <c r="H568" s="150"/>
      <c r="P568" s="150"/>
    </row>
    <row r="569" ht="15.75" customHeight="1">
      <c r="A569" s="149"/>
      <c r="D569" s="149"/>
      <c r="H569" s="150"/>
      <c r="P569" s="150"/>
    </row>
    <row r="570" ht="15.75" customHeight="1">
      <c r="A570" s="149"/>
      <c r="D570" s="149"/>
      <c r="H570" s="150"/>
      <c r="P570" s="150"/>
    </row>
    <row r="571" ht="15.75" customHeight="1">
      <c r="A571" s="149"/>
      <c r="D571" s="149"/>
      <c r="H571" s="150"/>
      <c r="P571" s="150"/>
    </row>
    <row r="572" ht="15.75" customHeight="1">
      <c r="A572" s="149"/>
      <c r="D572" s="149"/>
      <c r="H572" s="150"/>
      <c r="P572" s="150"/>
    </row>
    <row r="573" ht="15.75" customHeight="1">
      <c r="A573" s="149"/>
      <c r="D573" s="149"/>
      <c r="H573" s="150"/>
      <c r="P573" s="150"/>
    </row>
    <row r="574" ht="15.75" customHeight="1">
      <c r="A574" s="149"/>
      <c r="D574" s="149"/>
      <c r="H574" s="150"/>
      <c r="P574" s="150"/>
    </row>
    <row r="575" ht="15.75" customHeight="1">
      <c r="A575" s="149"/>
      <c r="D575" s="149"/>
      <c r="H575" s="150"/>
      <c r="P575" s="150"/>
    </row>
    <row r="576" ht="15.75" customHeight="1">
      <c r="A576" s="149"/>
      <c r="D576" s="149"/>
      <c r="H576" s="150"/>
      <c r="P576" s="150"/>
    </row>
    <row r="577" ht="15.75" customHeight="1">
      <c r="A577" s="149"/>
      <c r="D577" s="149"/>
      <c r="H577" s="150"/>
      <c r="P577" s="150"/>
    </row>
    <row r="578" ht="15.75" customHeight="1">
      <c r="A578" s="149"/>
      <c r="D578" s="149"/>
      <c r="H578" s="150"/>
      <c r="P578" s="150"/>
    </row>
    <row r="579" ht="15.75" customHeight="1">
      <c r="A579" s="149"/>
      <c r="D579" s="149"/>
      <c r="H579" s="150"/>
      <c r="P579" s="150"/>
    </row>
    <row r="580" ht="15.75" customHeight="1">
      <c r="A580" s="149"/>
      <c r="D580" s="149"/>
      <c r="H580" s="150"/>
      <c r="P580" s="150"/>
    </row>
    <row r="581" ht="15.75" customHeight="1">
      <c r="A581" s="149"/>
      <c r="D581" s="149"/>
      <c r="H581" s="150"/>
      <c r="P581" s="150"/>
    </row>
    <row r="582" ht="15.75" customHeight="1">
      <c r="A582" s="149"/>
      <c r="D582" s="149"/>
      <c r="H582" s="150"/>
      <c r="P582" s="150"/>
    </row>
    <row r="583" ht="15.75" customHeight="1">
      <c r="A583" s="149"/>
      <c r="D583" s="149"/>
      <c r="H583" s="150"/>
      <c r="P583" s="150"/>
    </row>
    <row r="584" ht="15.75" customHeight="1">
      <c r="A584" s="149"/>
      <c r="D584" s="149"/>
      <c r="H584" s="150"/>
      <c r="P584" s="150"/>
    </row>
    <row r="585" ht="15.75" customHeight="1">
      <c r="A585" s="149"/>
      <c r="D585" s="149"/>
      <c r="H585" s="150"/>
      <c r="P585" s="150"/>
    </row>
    <row r="586" ht="15.75" customHeight="1">
      <c r="A586" s="149"/>
      <c r="D586" s="149"/>
      <c r="H586" s="150"/>
      <c r="P586" s="150"/>
    </row>
    <row r="587" ht="15.75" customHeight="1">
      <c r="A587" s="149"/>
      <c r="D587" s="149"/>
      <c r="H587" s="150"/>
      <c r="P587" s="150"/>
    </row>
    <row r="588" ht="15.75" customHeight="1">
      <c r="A588" s="149"/>
      <c r="D588" s="149"/>
      <c r="H588" s="150"/>
      <c r="P588" s="150"/>
    </row>
    <row r="589" ht="15.75" customHeight="1">
      <c r="A589" s="149"/>
      <c r="D589" s="149"/>
      <c r="H589" s="150"/>
      <c r="P589" s="150"/>
    </row>
    <row r="590" ht="15.75" customHeight="1">
      <c r="A590" s="149"/>
      <c r="D590" s="149"/>
      <c r="H590" s="150"/>
      <c r="P590" s="150"/>
    </row>
    <row r="591" ht="15.75" customHeight="1">
      <c r="A591" s="149"/>
      <c r="D591" s="149"/>
      <c r="H591" s="150"/>
      <c r="P591" s="150"/>
    </row>
    <row r="592" ht="15.75" customHeight="1">
      <c r="A592" s="149"/>
      <c r="D592" s="149"/>
      <c r="H592" s="150"/>
      <c r="P592" s="150"/>
    </row>
    <row r="593" ht="15.75" customHeight="1">
      <c r="A593" s="149"/>
      <c r="D593" s="149"/>
      <c r="H593" s="150"/>
      <c r="P593" s="150"/>
    </row>
    <row r="594" ht="15.75" customHeight="1">
      <c r="A594" s="149"/>
      <c r="D594" s="149"/>
      <c r="H594" s="150"/>
      <c r="P594" s="150"/>
    </row>
    <row r="595" ht="15.75" customHeight="1">
      <c r="A595" s="149"/>
      <c r="D595" s="149"/>
      <c r="H595" s="150"/>
      <c r="P595" s="150"/>
    </row>
    <row r="596" ht="15.75" customHeight="1">
      <c r="A596" s="149"/>
      <c r="D596" s="149"/>
      <c r="H596" s="150"/>
      <c r="P596" s="150"/>
    </row>
    <row r="597" ht="15.75" customHeight="1">
      <c r="A597" s="149"/>
      <c r="D597" s="149"/>
      <c r="H597" s="150"/>
      <c r="P597" s="150"/>
    </row>
    <row r="598" ht="15.75" customHeight="1">
      <c r="A598" s="149"/>
      <c r="D598" s="149"/>
      <c r="H598" s="150"/>
      <c r="P598" s="150"/>
    </row>
    <row r="599" ht="15.75" customHeight="1">
      <c r="A599" s="149"/>
      <c r="D599" s="149"/>
      <c r="H599" s="150"/>
      <c r="P599" s="150"/>
    </row>
    <row r="600" ht="15.75" customHeight="1">
      <c r="A600" s="149"/>
      <c r="D600" s="149"/>
      <c r="H600" s="150"/>
      <c r="P600" s="150"/>
    </row>
    <row r="601" ht="15.75" customHeight="1">
      <c r="A601" s="149"/>
      <c r="D601" s="149"/>
      <c r="H601" s="150"/>
      <c r="P601" s="150"/>
    </row>
    <row r="602" ht="15.75" customHeight="1">
      <c r="A602" s="149"/>
      <c r="D602" s="149"/>
      <c r="H602" s="150"/>
      <c r="P602" s="150"/>
    </row>
    <row r="603" ht="15.75" customHeight="1">
      <c r="A603" s="149"/>
      <c r="D603" s="149"/>
      <c r="H603" s="150"/>
      <c r="P603" s="150"/>
    </row>
    <row r="604" ht="15.75" customHeight="1">
      <c r="A604" s="149"/>
      <c r="D604" s="149"/>
      <c r="H604" s="150"/>
      <c r="P604" s="150"/>
    </row>
    <row r="605" ht="15.75" customHeight="1">
      <c r="A605" s="149"/>
      <c r="D605" s="149"/>
      <c r="H605" s="150"/>
      <c r="P605" s="150"/>
    </row>
    <row r="606" ht="15.75" customHeight="1">
      <c r="A606" s="149"/>
      <c r="D606" s="149"/>
      <c r="H606" s="150"/>
      <c r="P606" s="150"/>
    </row>
    <row r="607" ht="15.75" customHeight="1">
      <c r="A607" s="149"/>
      <c r="D607" s="149"/>
      <c r="H607" s="150"/>
      <c r="P607" s="150"/>
    </row>
    <row r="608" ht="15.75" customHeight="1">
      <c r="A608" s="149"/>
      <c r="D608" s="149"/>
      <c r="H608" s="150"/>
      <c r="P608" s="150"/>
    </row>
    <row r="609" ht="15.75" customHeight="1">
      <c r="A609" s="149"/>
      <c r="D609" s="149"/>
      <c r="H609" s="150"/>
      <c r="P609" s="150"/>
    </row>
    <row r="610" ht="15.75" customHeight="1">
      <c r="A610" s="149"/>
      <c r="D610" s="149"/>
      <c r="H610" s="150"/>
      <c r="P610" s="150"/>
    </row>
    <row r="611" ht="15.75" customHeight="1">
      <c r="A611" s="149"/>
      <c r="D611" s="149"/>
      <c r="H611" s="150"/>
      <c r="P611" s="150"/>
    </row>
    <row r="612" ht="15.75" customHeight="1">
      <c r="A612" s="149"/>
      <c r="D612" s="149"/>
      <c r="H612" s="150"/>
      <c r="P612" s="150"/>
    </row>
    <row r="613" ht="15.75" customHeight="1">
      <c r="A613" s="149"/>
      <c r="D613" s="149"/>
      <c r="H613" s="150"/>
      <c r="P613" s="150"/>
    </row>
    <row r="614" ht="15.75" customHeight="1">
      <c r="A614" s="149"/>
      <c r="D614" s="149"/>
      <c r="H614" s="150"/>
      <c r="P614" s="150"/>
    </row>
    <row r="615" ht="15.75" customHeight="1">
      <c r="A615" s="149"/>
      <c r="D615" s="149"/>
      <c r="H615" s="150"/>
      <c r="P615" s="150"/>
    </row>
    <row r="616" ht="15.75" customHeight="1">
      <c r="A616" s="149"/>
      <c r="D616" s="149"/>
      <c r="H616" s="150"/>
      <c r="P616" s="150"/>
    </row>
    <row r="617" ht="15.75" customHeight="1">
      <c r="A617" s="149"/>
      <c r="D617" s="149"/>
      <c r="H617" s="150"/>
      <c r="P617" s="150"/>
    </row>
    <row r="618" ht="15.75" customHeight="1">
      <c r="A618" s="149"/>
      <c r="D618" s="149"/>
      <c r="H618" s="150"/>
      <c r="P618" s="150"/>
    </row>
    <row r="619" ht="15.75" customHeight="1">
      <c r="A619" s="149"/>
      <c r="D619" s="149"/>
      <c r="H619" s="150"/>
      <c r="P619" s="150"/>
    </row>
    <row r="620" ht="15.75" customHeight="1">
      <c r="A620" s="149"/>
      <c r="D620" s="149"/>
      <c r="H620" s="150"/>
      <c r="P620" s="150"/>
    </row>
    <row r="621" ht="15.75" customHeight="1">
      <c r="A621" s="149"/>
      <c r="D621" s="149"/>
      <c r="H621" s="150"/>
      <c r="P621" s="150"/>
    </row>
    <row r="622" ht="15.75" customHeight="1">
      <c r="A622" s="149"/>
      <c r="D622" s="149"/>
      <c r="H622" s="150"/>
      <c r="P622" s="150"/>
    </row>
    <row r="623" ht="15.75" customHeight="1">
      <c r="A623" s="149"/>
      <c r="D623" s="149"/>
      <c r="H623" s="150"/>
      <c r="P623" s="150"/>
    </row>
    <row r="624" ht="15.75" customHeight="1">
      <c r="A624" s="149"/>
      <c r="D624" s="149"/>
      <c r="H624" s="150"/>
      <c r="P624" s="150"/>
    </row>
    <row r="625" ht="15.75" customHeight="1">
      <c r="A625" s="149"/>
      <c r="D625" s="149"/>
      <c r="H625" s="150"/>
      <c r="P625" s="150"/>
    </row>
    <row r="626" ht="15.75" customHeight="1">
      <c r="A626" s="149"/>
      <c r="D626" s="149"/>
      <c r="H626" s="150"/>
      <c r="P626" s="150"/>
    </row>
    <row r="627" ht="15.75" customHeight="1">
      <c r="A627" s="149"/>
      <c r="D627" s="149"/>
      <c r="H627" s="150"/>
      <c r="P627" s="150"/>
    </row>
    <row r="628" ht="15.75" customHeight="1">
      <c r="A628" s="149"/>
      <c r="D628" s="149"/>
      <c r="H628" s="150"/>
      <c r="P628" s="150"/>
    </row>
    <row r="629" ht="15.75" customHeight="1">
      <c r="A629" s="149"/>
      <c r="D629" s="149"/>
      <c r="H629" s="150"/>
      <c r="P629" s="150"/>
    </row>
    <row r="630" ht="15.75" customHeight="1">
      <c r="A630" s="149"/>
      <c r="D630" s="149"/>
      <c r="H630" s="150"/>
      <c r="P630" s="150"/>
    </row>
    <row r="631" ht="15.75" customHeight="1">
      <c r="A631" s="149"/>
      <c r="D631" s="149"/>
      <c r="H631" s="150"/>
      <c r="P631" s="150"/>
    </row>
    <row r="632" ht="15.75" customHeight="1">
      <c r="A632" s="149"/>
      <c r="D632" s="149"/>
      <c r="H632" s="150"/>
      <c r="P632" s="150"/>
    </row>
    <row r="633" ht="15.75" customHeight="1">
      <c r="A633" s="149"/>
      <c r="D633" s="149"/>
      <c r="H633" s="150"/>
      <c r="P633" s="150"/>
    </row>
    <row r="634" ht="15.75" customHeight="1">
      <c r="A634" s="149"/>
      <c r="D634" s="149"/>
      <c r="H634" s="150"/>
      <c r="P634" s="150"/>
    </row>
    <row r="635" ht="15.75" customHeight="1">
      <c r="A635" s="149"/>
      <c r="D635" s="149"/>
      <c r="H635" s="150"/>
      <c r="P635" s="150"/>
    </row>
    <row r="636" ht="15.75" customHeight="1">
      <c r="A636" s="149"/>
      <c r="D636" s="149"/>
      <c r="H636" s="150"/>
      <c r="P636" s="150"/>
    </row>
    <row r="637" ht="15.75" customHeight="1">
      <c r="A637" s="149"/>
      <c r="D637" s="149"/>
      <c r="H637" s="150"/>
      <c r="P637" s="150"/>
    </row>
    <row r="638" ht="15.75" customHeight="1">
      <c r="A638" s="149"/>
      <c r="D638" s="149"/>
      <c r="H638" s="150"/>
      <c r="P638" s="150"/>
    </row>
    <row r="639" ht="15.75" customHeight="1">
      <c r="A639" s="149"/>
      <c r="D639" s="149"/>
      <c r="H639" s="150"/>
      <c r="P639" s="150"/>
    </row>
    <row r="640" ht="15.75" customHeight="1">
      <c r="A640" s="149"/>
      <c r="D640" s="149"/>
      <c r="H640" s="150"/>
      <c r="P640" s="150"/>
    </row>
    <row r="641" ht="15.75" customHeight="1">
      <c r="A641" s="149"/>
      <c r="D641" s="149"/>
      <c r="H641" s="150"/>
      <c r="P641" s="150"/>
    </row>
    <row r="642" ht="15.75" customHeight="1">
      <c r="A642" s="149"/>
      <c r="D642" s="149"/>
      <c r="H642" s="150"/>
      <c r="P642" s="150"/>
    </row>
    <row r="643" ht="15.75" customHeight="1">
      <c r="A643" s="149"/>
      <c r="D643" s="149"/>
      <c r="H643" s="150"/>
      <c r="P643" s="150"/>
    </row>
    <row r="644" ht="15.75" customHeight="1">
      <c r="A644" s="149"/>
      <c r="D644" s="149"/>
      <c r="H644" s="150"/>
      <c r="P644" s="150"/>
    </row>
    <row r="645" ht="15.75" customHeight="1">
      <c r="A645" s="149"/>
      <c r="D645" s="149"/>
      <c r="H645" s="150"/>
      <c r="P645" s="150"/>
    </row>
    <row r="646" ht="15.75" customHeight="1">
      <c r="A646" s="149"/>
      <c r="D646" s="149"/>
      <c r="H646" s="150"/>
      <c r="P646" s="150"/>
    </row>
    <row r="647" ht="15.75" customHeight="1">
      <c r="A647" s="149"/>
      <c r="D647" s="149"/>
      <c r="H647" s="150"/>
      <c r="P647" s="150"/>
    </row>
    <row r="648" ht="15.75" customHeight="1">
      <c r="A648" s="149"/>
      <c r="D648" s="149"/>
      <c r="H648" s="150"/>
      <c r="P648" s="150"/>
    </row>
    <row r="649" ht="15.75" customHeight="1">
      <c r="A649" s="149"/>
      <c r="D649" s="149"/>
      <c r="H649" s="150"/>
      <c r="P649" s="150"/>
    </row>
    <row r="650" ht="15.75" customHeight="1">
      <c r="A650" s="149"/>
      <c r="D650" s="149"/>
      <c r="H650" s="150"/>
      <c r="P650" s="150"/>
    </row>
    <row r="651" ht="15.75" customHeight="1">
      <c r="A651" s="149"/>
      <c r="D651" s="149"/>
      <c r="H651" s="150"/>
      <c r="P651" s="150"/>
    </row>
    <row r="652" ht="15.75" customHeight="1">
      <c r="A652" s="149"/>
      <c r="D652" s="149"/>
      <c r="H652" s="150"/>
      <c r="P652" s="150"/>
    </row>
    <row r="653" ht="15.75" customHeight="1">
      <c r="A653" s="149"/>
      <c r="D653" s="149"/>
      <c r="H653" s="150"/>
      <c r="P653" s="150"/>
    </row>
    <row r="654" ht="15.75" customHeight="1">
      <c r="A654" s="149"/>
      <c r="D654" s="149"/>
      <c r="H654" s="150"/>
      <c r="P654" s="150"/>
    </row>
    <row r="655" ht="15.75" customHeight="1">
      <c r="A655" s="149"/>
      <c r="D655" s="149"/>
      <c r="H655" s="150"/>
      <c r="P655" s="150"/>
    </row>
    <row r="656" ht="15.75" customHeight="1">
      <c r="A656" s="149"/>
      <c r="D656" s="149"/>
      <c r="H656" s="150"/>
      <c r="P656" s="150"/>
    </row>
    <row r="657" ht="15.75" customHeight="1">
      <c r="A657" s="149"/>
      <c r="D657" s="149"/>
      <c r="H657" s="150"/>
      <c r="P657" s="150"/>
    </row>
    <row r="658" ht="15.75" customHeight="1">
      <c r="A658" s="149"/>
      <c r="D658" s="149"/>
      <c r="H658" s="150"/>
      <c r="P658" s="150"/>
    </row>
    <row r="659" ht="15.75" customHeight="1">
      <c r="A659" s="149"/>
      <c r="D659" s="149"/>
      <c r="H659" s="150"/>
      <c r="P659" s="150"/>
    </row>
    <row r="660" ht="15.75" customHeight="1">
      <c r="A660" s="149"/>
      <c r="D660" s="149"/>
      <c r="H660" s="150"/>
      <c r="P660" s="150"/>
    </row>
    <row r="661" ht="15.75" customHeight="1">
      <c r="A661" s="149"/>
      <c r="D661" s="149"/>
      <c r="H661" s="150"/>
      <c r="P661" s="150"/>
    </row>
    <row r="662" ht="15.75" customHeight="1">
      <c r="A662" s="149"/>
      <c r="D662" s="149"/>
      <c r="H662" s="150"/>
      <c r="P662" s="150"/>
    </row>
    <row r="663" ht="15.75" customHeight="1">
      <c r="A663" s="149"/>
      <c r="D663" s="149"/>
      <c r="H663" s="150"/>
      <c r="P663" s="150"/>
    </row>
    <row r="664" ht="15.75" customHeight="1">
      <c r="A664" s="149"/>
      <c r="D664" s="149"/>
      <c r="H664" s="150"/>
      <c r="P664" s="150"/>
    </row>
    <row r="665" ht="15.75" customHeight="1">
      <c r="A665" s="149"/>
      <c r="D665" s="149"/>
      <c r="H665" s="150"/>
      <c r="P665" s="150"/>
    </row>
    <row r="666" ht="15.75" customHeight="1">
      <c r="A666" s="149"/>
      <c r="D666" s="149"/>
      <c r="H666" s="150"/>
      <c r="P666" s="150"/>
    </row>
    <row r="667" ht="15.75" customHeight="1">
      <c r="A667" s="149"/>
      <c r="D667" s="149"/>
      <c r="H667" s="150"/>
      <c r="P667" s="150"/>
    </row>
    <row r="668" ht="15.75" customHeight="1">
      <c r="A668" s="149"/>
      <c r="D668" s="149"/>
      <c r="H668" s="150"/>
      <c r="P668" s="150"/>
    </row>
    <row r="669" ht="15.75" customHeight="1">
      <c r="A669" s="149"/>
      <c r="D669" s="149"/>
      <c r="H669" s="150"/>
      <c r="P669" s="150"/>
    </row>
    <row r="670" ht="15.75" customHeight="1">
      <c r="A670" s="149"/>
      <c r="D670" s="149"/>
      <c r="H670" s="150"/>
      <c r="P670" s="150"/>
    </row>
    <row r="671" ht="15.75" customHeight="1">
      <c r="A671" s="149"/>
      <c r="D671" s="149"/>
      <c r="H671" s="150"/>
      <c r="P671" s="150"/>
    </row>
    <row r="672" ht="15.75" customHeight="1">
      <c r="A672" s="149"/>
      <c r="D672" s="149"/>
      <c r="H672" s="150"/>
      <c r="P672" s="150"/>
    </row>
    <row r="673" ht="15.75" customHeight="1">
      <c r="A673" s="149"/>
      <c r="D673" s="149"/>
      <c r="H673" s="150"/>
      <c r="P673" s="150"/>
    </row>
    <row r="674" ht="15.75" customHeight="1">
      <c r="A674" s="149"/>
      <c r="D674" s="149"/>
      <c r="H674" s="150"/>
      <c r="P674" s="150"/>
    </row>
    <row r="675" ht="15.75" customHeight="1">
      <c r="A675" s="149"/>
      <c r="D675" s="149"/>
      <c r="H675" s="150"/>
      <c r="P675" s="150"/>
    </row>
    <row r="676" ht="15.75" customHeight="1">
      <c r="A676" s="149"/>
      <c r="D676" s="149"/>
      <c r="H676" s="150"/>
      <c r="P676" s="150"/>
    </row>
    <row r="677" ht="15.75" customHeight="1">
      <c r="A677" s="149"/>
      <c r="D677" s="149"/>
      <c r="H677" s="150"/>
      <c r="P677" s="150"/>
    </row>
    <row r="678" ht="15.75" customHeight="1">
      <c r="A678" s="149"/>
      <c r="D678" s="149"/>
      <c r="H678" s="150"/>
      <c r="P678" s="150"/>
    </row>
    <row r="679" ht="15.75" customHeight="1">
      <c r="A679" s="149"/>
      <c r="D679" s="149"/>
      <c r="H679" s="150"/>
      <c r="P679" s="150"/>
    </row>
    <row r="680" ht="15.75" customHeight="1">
      <c r="A680" s="149"/>
      <c r="D680" s="149"/>
      <c r="H680" s="150"/>
      <c r="P680" s="150"/>
    </row>
    <row r="681" ht="15.75" customHeight="1">
      <c r="A681" s="149"/>
      <c r="D681" s="149"/>
      <c r="H681" s="150"/>
      <c r="P681" s="150"/>
    </row>
    <row r="682" ht="15.75" customHeight="1">
      <c r="A682" s="149"/>
      <c r="D682" s="149"/>
      <c r="H682" s="150"/>
      <c r="P682" s="150"/>
    </row>
    <row r="683" ht="15.75" customHeight="1">
      <c r="A683" s="149"/>
      <c r="D683" s="149"/>
      <c r="H683" s="150"/>
      <c r="P683" s="150"/>
    </row>
    <row r="684" ht="15.75" customHeight="1">
      <c r="A684" s="149"/>
      <c r="D684" s="149"/>
      <c r="H684" s="150"/>
      <c r="P684" s="150"/>
    </row>
    <row r="685" ht="15.75" customHeight="1">
      <c r="A685" s="149"/>
      <c r="D685" s="149"/>
      <c r="H685" s="150"/>
      <c r="P685" s="150"/>
    </row>
    <row r="686" ht="15.75" customHeight="1">
      <c r="A686" s="149"/>
      <c r="D686" s="149"/>
      <c r="H686" s="150"/>
      <c r="P686" s="150"/>
    </row>
    <row r="687" ht="15.75" customHeight="1">
      <c r="A687" s="149"/>
      <c r="D687" s="149"/>
      <c r="H687" s="150"/>
      <c r="P687" s="150"/>
    </row>
    <row r="688" ht="15.75" customHeight="1">
      <c r="A688" s="149"/>
      <c r="D688" s="149"/>
      <c r="H688" s="150"/>
      <c r="P688" s="150"/>
    </row>
    <row r="689" ht="15.75" customHeight="1">
      <c r="A689" s="149"/>
      <c r="D689" s="149"/>
      <c r="H689" s="150"/>
      <c r="P689" s="150"/>
    </row>
    <row r="690" ht="15.75" customHeight="1">
      <c r="A690" s="149"/>
      <c r="D690" s="149"/>
      <c r="H690" s="150"/>
      <c r="P690" s="150"/>
    </row>
    <row r="691" ht="15.75" customHeight="1">
      <c r="A691" s="149"/>
      <c r="D691" s="149"/>
      <c r="H691" s="150"/>
      <c r="P691" s="150"/>
    </row>
    <row r="692" ht="15.75" customHeight="1">
      <c r="A692" s="149"/>
      <c r="D692" s="149"/>
      <c r="H692" s="150"/>
      <c r="P692" s="150"/>
    </row>
    <row r="693" ht="15.75" customHeight="1">
      <c r="A693" s="149"/>
      <c r="D693" s="149"/>
      <c r="H693" s="150"/>
      <c r="P693" s="150"/>
    </row>
    <row r="694" ht="15.75" customHeight="1">
      <c r="A694" s="149"/>
      <c r="D694" s="149"/>
      <c r="H694" s="150"/>
      <c r="P694" s="150"/>
    </row>
    <row r="695" ht="15.75" customHeight="1">
      <c r="A695" s="149"/>
      <c r="D695" s="149"/>
      <c r="H695" s="150"/>
      <c r="P695" s="150"/>
    </row>
    <row r="696" ht="15.75" customHeight="1">
      <c r="A696" s="149"/>
      <c r="D696" s="149"/>
      <c r="H696" s="150"/>
      <c r="P696" s="150"/>
    </row>
    <row r="697" ht="15.75" customHeight="1">
      <c r="A697" s="149"/>
      <c r="D697" s="149"/>
      <c r="H697" s="150"/>
      <c r="P697" s="150"/>
    </row>
    <row r="698" ht="15.75" customHeight="1">
      <c r="A698" s="149"/>
      <c r="D698" s="149"/>
      <c r="H698" s="150"/>
      <c r="P698" s="150"/>
    </row>
    <row r="699" ht="15.75" customHeight="1">
      <c r="A699" s="149"/>
      <c r="D699" s="149"/>
      <c r="H699" s="150"/>
      <c r="P699" s="150"/>
    </row>
    <row r="700" ht="15.75" customHeight="1">
      <c r="A700" s="149"/>
      <c r="D700" s="149"/>
      <c r="H700" s="150"/>
      <c r="P700" s="150"/>
    </row>
    <row r="701" ht="15.75" customHeight="1">
      <c r="A701" s="149"/>
      <c r="D701" s="149"/>
      <c r="H701" s="150"/>
      <c r="P701" s="150"/>
    </row>
    <row r="702" ht="15.75" customHeight="1">
      <c r="A702" s="149"/>
      <c r="D702" s="149"/>
      <c r="H702" s="150"/>
      <c r="P702" s="150"/>
    </row>
    <row r="703" ht="15.75" customHeight="1">
      <c r="A703" s="149"/>
      <c r="D703" s="149"/>
      <c r="H703" s="150"/>
      <c r="P703" s="150"/>
    </row>
    <row r="704" ht="15.75" customHeight="1">
      <c r="A704" s="149"/>
      <c r="D704" s="149"/>
      <c r="H704" s="150"/>
      <c r="P704" s="150"/>
    </row>
    <row r="705" ht="15.75" customHeight="1">
      <c r="A705" s="149"/>
      <c r="D705" s="149"/>
      <c r="H705" s="150"/>
      <c r="P705" s="150"/>
    </row>
    <row r="706" ht="15.75" customHeight="1">
      <c r="A706" s="149"/>
      <c r="D706" s="149"/>
      <c r="H706" s="150"/>
      <c r="P706" s="150"/>
    </row>
    <row r="707" ht="15.75" customHeight="1">
      <c r="A707" s="149"/>
      <c r="D707" s="149"/>
      <c r="H707" s="150"/>
      <c r="P707" s="150"/>
    </row>
    <row r="708" ht="15.75" customHeight="1">
      <c r="A708" s="149"/>
      <c r="D708" s="149"/>
      <c r="H708" s="150"/>
      <c r="P708" s="150"/>
    </row>
    <row r="709" ht="15.75" customHeight="1">
      <c r="A709" s="149"/>
      <c r="D709" s="149"/>
      <c r="H709" s="150"/>
      <c r="P709" s="150"/>
    </row>
    <row r="710" ht="15.75" customHeight="1">
      <c r="A710" s="149"/>
      <c r="D710" s="149"/>
      <c r="H710" s="150"/>
      <c r="P710" s="150"/>
    </row>
    <row r="711" ht="15.75" customHeight="1">
      <c r="A711" s="149"/>
      <c r="D711" s="149"/>
      <c r="H711" s="150"/>
      <c r="P711" s="150"/>
    </row>
    <row r="712" ht="15.75" customHeight="1">
      <c r="A712" s="149"/>
      <c r="D712" s="149"/>
      <c r="H712" s="150"/>
      <c r="P712" s="150"/>
    </row>
    <row r="713" ht="15.75" customHeight="1">
      <c r="A713" s="149"/>
      <c r="D713" s="149"/>
      <c r="H713" s="150"/>
      <c r="P713" s="150"/>
    </row>
    <row r="714" ht="15.75" customHeight="1">
      <c r="A714" s="149"/>
      <c r="D714" s="149"/>
      <c r="H714" s="150"/>
      <c r="P714" s="150"/>
    </row>
    <row r="715" ht="15.75" customHeight="1">
      <c r="A715" s="149"/>
      <c r="D715" s="149"/>
      <c r="H715" s="150"/>
      <c r="P715" s="150"/>
    </row>
    <row r="716" ht="15.75" customHeight="1">
      <c r="A716" s="149"/>
      <c r="D716" s="149"/>
      <c r="H716" s="150"/>
      <c r="P716" s="150"/>
    </row>
    <row r="717" ht="15.75" customHeight="1">
      <c r="A717" s="149"/>
      <c r="D717" s="149"/>
      <c r="H717" s="150"/>
      <c r="P717" s="150"/>
    </row>
    <row r="718" ht="15.75" customHeight="1">
      <c r="A718" s="149"/>
      <c r="D718" s="149"/>
      <c r="H718" s="150"/>
      <c r="P718" s="150"/>
    </row>
    <row r="719" ht="15.75" customHeight="1">
      <c r="A719" s="149"/>
      <c r="D719" s="149"/>
      <c r="H719" s="150"/>
      <c r="P719" s="150"/>
    </row>
    <row r="720" ht="15.75" customHeight="1">
      <c r="A720" s="149"/>
      <c r="D720" s="149"/>
      <c r="H720" s="150"/>
      <c r="P720" s="150"/>
    </row>
    <row r="721" ht="15.75" customHeight="1">
      <c r="A721" s="149"/>
      <c r="D721" s="149"/>
      <c r="H721" s="150"/>
      <c r="P721" s="150"/>
    </row>
    <row r="722" ht="15.75" customHeight="1">
      <c r="A722" s="149"/>
      <c r="D722" s="149"/>
      <c r="H722" s="150"/>
      <c r="P722" s="150"/>
    </row>
    <row r="723" ht="15.75" customHeight="1">
      <c r="A723" s="149"/>
      <c r="D723" s="149"/>
      <c r="H723" s="150"/>
      <c r="P723" s="150"/>
    </row>
    <row r="724" ht="15.75" customHeight="1">
      <c r="A724" s="149"/>
      <c r="D724" s="149"/>
      <c r="H724" s="150"/>
      <c r="P724" s="150"/>
    </row>
    <row r="725" ht="15.75" customHeight="1">
      <c r="A725" s="149"/>
      <c r="D725" s="149"/>
      <c r="H725" s="150"/>
      <c r="P725" s="150"/>
    </row>
    <row r="726" ht="15.75" customHeight="1">
      <c r="A726" s="149"/>
      <c r="D726" s="149"/>
      <c r="H726" s="150"/>
      <c r="P726" s="150"/>
    </row>
    <row r="727" ht="15.75" customHeight="1">
      <c r="A727" s="149"/>
      <c r="D727" s="149"/>
      <c r="H727" s="150"/>
      <c r="P727" s="150"/>
    </row>
    <row r="728" ht="15.75" customHeight="1">
      <c r="A728" s="149"/>
      <c r="D728" s="149"/>
      <c r="H728" s="150"/>
      <c r="P728" s="150"/>
    </row>
    <row r="729" ht="15.75" customHeight="1">
      <c r="A729" s="149"/>
      <c r="D729" s="149"/>
      <c r="H729" s="150"/>
      <c r="P729" s="150"/>
    </row>
    <row r="730" ht="15.75" customHeight="1">
      <c r="A730" s="149"/>
      <c r="D730" s="149"/>
      <c r="H730" s="150"/>
      <c r="P730" s="150"/>
    </row>
    <row r="731" ht="15.75" customHeight="1">
      <c r="A731" s="149"/>
      <c r="D731" s="149"/>
      <c r="H731" s="150"/>
      <c r="P731" s="150"/>
    </row>
    <row r="732" ht="15.75" customHeight="1">
      <c r="A732" s="149"/>
      <c r="D732" s="149"/>
      <c r="H732" s="150"/>
      <c r="P732" s="150"/>
    </row>
    <row r="733" ht="15.75" customHeight="1">
      <c r="A733" s="149"/>
      <c r="D733" s="149"/>
      <c r="H733" s="150"/>
      <c r="P733" s="150"/>
    </row>
    <row r="734" ht="15.75" customHeight="1">
      <c r="A734" s="149"/>
      <c r="D734" s="149"/>
      <c r="H734" s="150"/>
      <c r="P734" s="150"/>
    </row>
    <row r="735" ht="15.75" customHeight="1">
      <c r="A735" s="149"/>
      <c r="D735" s="149"/>
      <c r="H735" s="150"/>
      <c r="P735" s="150"/>
    </row>
    <row r="736" ht="15.75" customHeight="1">
      <c r="A736" s="149"/>
      <c r="D736" s="149"/>
      <c r="H736" s="150"/>
      <c r="P736" s="150"/>
    </row>
    <row r="737" ht="15.75" customHeight="1">
      <c r="A737" s="149"/>
      <c r="D737" s="149"/>
      <c r="H737" s="150"/>
      <c r="P737" s="150"/>
    </row>
    <row r="738" ht="15.75" customHeight="1">
      <c r="A738" s="149"/>
      <c r="D738" s="149"/>
      <c r="H738" s="150"/>
      <c r="P738" s="150"/>
    </row>
    <row r="739" ht="15.75" customHeight="1">
      <c r="A739" s="149"/>
      <c r="D739" s="149"/>
      <c r="H739" s="150"/>
      <c r="P739" s="150"/>
    </row>
    <row r="740" ht="15.75" customHeight="1">
      <c r="A740" s="149"/>
      <c r="D740" s="149"/>
      <c r="H740" s="150"/>
      <c r="P740" s="150"/>
    </row>
    <row r="741" ht="15.75" customHeight="1">
      <c r="A741" s="149"/>
      <c r="D741" s="149"/>
      <c r="H741" s="150"/>
      <c r="P741" s="150"/>
    </row>
    <row r="742" ht="15.75" customHeight="1">
      <c r="A742" s="149"/>
      <c r="D742" s="149"/>
      <c r="H742" s="150"/>
      <c r="P742" s="150"/>
    </row>
    <row r="743" ht="15.75" customHeight="1">
      <c r="A743" s="149"/>
      <c r="D743" s="149"/>
      <c r="H743" s="150"/>
      <c r="P743" s="150"/>
    </row>
    <row r="744" ht="15.75" customHeight="1">
      <c r="A744" s="149"/>
      <c r="D744" s="149"/>
      <c r="H744" s="150"/>
      <c r="P744" s="150"/>
    </row>
    <row r="745" ht="15.75" customHeight="1">
      <c r="A745" s="149"/>
      <c r="D745" s="149"/>
      <c r="H745" s="150"/>
      <c r="P745" s="150"/>
    </row>
    <row r="746" ht="15.75" customHeight="1">
      <c r="A746" s="149"/>
      <c r="D746" s="149"/>
      <c r="H746" s="150"/>
      <c r="P746" s="150"/>
    </row>
    <row r="747" ht="15.75" customHeight="1">
      <c r="A747" s="149"/>
      <c r="D747" s="149"/>
      <c r="H747" s="150"/>
      <c r="P747" s="150"/>
    </row>
    <row r="748" ht="15.75" customHeight="1">
      <c r="A748" s="149"/>
      <c r="D748" s="149"/>
      <c r="H748" s="150"/>
      <c r="P748" s="150"/>
    </row>
    <row r="749" ht="15.75" customHeight="1">
      <c r="A749" s="149"/>
      <c r="D749" s="149"/>
      <c r="H749" s="150"/>
      <c r="P749" s="150"/>
    </row>
    <row r="750" ht="15.75" customHeight="1">
      <c r="A750" s="149"/>
      <c r="D750" s="149"/>
      <c r="H750" s="150"/>
      <c r="P750" s="150"/>
    </row>
    <row r="751" ht="15.75" customHeight="1">
      <c r="A751" s="149"/>
      <c r="D751" s="149"/>
      <c r="H751" s="150"/>
      <c r="P751" s="150"/>
    </row>
    <row r="752" ht="15.75" customHeight="1">
      <c r="A752" s="149"/>
      <c r="D752" s="149"/>
      <c r="H752" s="150"/>
      <c r="P752" s="150"/>
    </row>
    <row r="753" ht="15.75" customHeight="1">
      <c r="A753" s="149"/>
      <c r="D753" s="149"/>
      <c r="H753" s="150"/>
      <c r="P753" s="150"/>
    </row>
    <row r="754" ht="15.75" customHeight="1">
      <c r="A754" s="149"/>
      <c r="D754" s="149"/>
      <c r="H754" s="150"/>
      <c r="P754" s="150"/>
    </row>
    <row r="755" ht="15.75" customHeight="1">
      <c r="A755" s="149"/>
      <c r="D755" s="149"/>
      <c r="H755" s="150"/>
      <c r="P755" s="150"/>
    </row>
    <row r="756" ht="15.75" customHeight="1">
      <c r="A756" s="149"/>
      <c r="D756" s="149"/>
      <c r="H756" s="150"/>
      <c r="P756" s="150"/>
    </row>
    <row r="757" ht="15.75" customHeight="1">
      <c r="A757" s="149"/>
      <c r="D757" s="149"/>
      <c r="H757" s="150"/>
      <c r="P757" s="150"/>
    </row>
    <row r="758" ht="15.75" customHeight="1">
      <c r="A758" s="149"/>
      <c r="D758" s="149"/>
      <c r="H758" s="150"/>
      <c r="P758" s="150"/>
    </row>
    <row r="759" ht="15.75" customHeight="1">
      <c r="A759" s="149"/>
      <c r="D759" s="149"/>
      <c r="H759" s="150"/>
      <c r="P759" s="150"/>
    </row>
    <row r="760" ht="15.75" customHeight="1">
      <c r="A760" s="149"/>
      <c r="D760" s="149"/>
      <c r="H760" s="150"/>
      <c r="P760" s="150"/>
    </row>
    <row r="761" ht="15.75" customHeight="1">
      <c r="A761" s="149"/>
      <c r="D761" s="149"/>
      <c r="H761" s="150"/>
      <c r="P761" s="150"/>
    </row>
    <row r="762" ht="15.75" customHeight="1">
      <c r="A762" s="149"/>
      <c r="D762" s="149"/>
      <c r="H762" s="150"/>
      <c r="P762" s="150"/>
    </row>
    <row r="763" ht="15.75" customHeight="1">
      <c r="A763" s="149"/>
      <c r="D763" s="149"/>
      <c r="H763" s="150"/>
      <c r="P763" s="150"/>
    </row>
    <row r="764" ht="15.75" customHeight="1">
      <c r="A764" s="149"/>
      <c r="D764" s="149"/>
      <c r="H764" s="150"/>
      <c r="P764" s="150"/>
    </row>
    <row r="765" ht="15.75" customHeight="1">
      <c r="A765" s="149"/>
      <c r="D765" s="149"/>
      <c r="H765" s="150"/>
      <c r="P765" s="150"/>
    </row>
    <row r="766" ht="15.75" customHeight="1">
      <c r="A766" s="149"/>
      <c r="D766" s="149"/>
      <c r="H766" s="150"/>
      <c r="P766" s="150"/>
    </row>
    <row r="767" ht="15.75" customHeight="1">
      <c r="A767" s="149"/>
      <c r="D767" s="149"/>
      <c r="H767" s="150"/>
      <c r="P767" s="150"/>
    </row>
    <row r="768" ht="15.75" customHeight="1">
      <c r="A768" s="149"/>
      <c r="D768" s="149"/>
      <c r="H768" s="150"/>
      <c r="P768" s="150"/>
    </row>
    <row r="769" ht="15.75" customHeight="1">
      <c r="A769" s="149"/>
      <c r="D769" s="149"/>
      <c r="H769" s="150"/>
      <c r="P769" s="150"/>
    </row>
    <row r="770" ht="15.75" customHeight="1">
      <c r="A770" s="149"/>
      <c r="D770" s="149"/>
      <c r="H770" s="150"/>
      <c r="P770" s="150"/>
    </row>
    <row r="771" ht="15.75" customHeight="1">
      <c r="A771" s="149"/>
      <c r="D771" s="149"/>
      <c r="H771" s="150"/>
      <c r="P771" s="150"/>
    </row>
    <row r="772" ht="15.75" customHeight="1">
      <c r="A772" s="149"/>
      <c r="D772" s="149"/>
      <c r="H772" s="150"/>
      <c r="P772" s="150"/>
    </row>
    <row r="773" ht="15.75" customHeight="1">
      <c r="A773" s="149"/>
      <c r="D773" s="149"/>
      <c r="H773" s="150"/>
      <c r="P773" s="150"/>
    </row>
    <row r="774" ht="15.75" customHeight="1">
      <c r="A774" s="149"/>
      <c r="D774" s="149"/>
      <c r="H774" s="150"/>
      <c r="P774" s="150"/>
    </row>
    <row r="775" ht="15.75" customHeight="1">
      <c r="A775" s="149"/>
      <c r="D775" s="149"/>
      <c r="H775" s="150"/>
      <c r="P775" s="150"/>
    </row>
    <row r="776" ht="15.75" customHeight="1">
      <c r="A776" s="149"/>
      <c r="D776" s="149"/>
      <c r="H776" s="150"/>
      <c r="P776" s="150"/>
    </row>
    <row r="777" ht="15.75" customHeight="1">
      <c r="A777" s="149"/>
      <c r="D777" s="149"/>
      <c r="H777" s="150"/>
      <c r="P777" s="150"/>
    </row>
    <row r="778" ht="15.75" customHeight="1">
      <c r="A778" s="149"/>
      <c r="D778" s="149"/>
      <c r="H778" s="150"/>
      <c r="P778" s="150"/>
    </row>
    <row r="779" ht="15.75" customHeight="1">
      <c r="A779" s="149"/>
      <c r="D779" s="149"/>
      <c r="H779" s="150"/>
      <c r="P779" s="150"/>
    </row>
    <row r="780" ht="15.75" customHeight="1">
      <c r="A780" s="149"/>
      <c r="D780" s="149"/>
      <c r="H780" s="150"/>
      <c r="P780" s="150"/>
    </row>
    <row r="781" ht="15.75" customHeight="1">
      <c r="A781" s="149"/>
      <c r="D781" s="149"/>
      <c r="H781" s="150"/>
      <c r="P781" s="150"/>
    </row>
    <row r="782" ht="15.75" customHeight="1">
      <c r="A782" s="149"/>
      <c r="D782" s="149"/>
      <c r="H782" s="150"/>
      <c r="P782" s="150"/>
    </row>
    <row r="783" ht="15.75" customHeight="1">
      <c r="A783" s="149"/>
      <c r="D783" s="149"/>
      <c r="H783" s="150"/>
      <c r="P783" s="150"/>
    </row>
    <row r="784" ht="15.75" customHeight="1">
      <c r="A784" s="149"/>
      <c r="D784" s="149"/>
      <c r="H784" s="150"/>
      <c r="P784" s="150"/>
    </row>
    <row r="785" ht="15.75" customHeight="1">
      <c r="A785" s="149"/>
      <c r="D785" s="149"/>
      <c r="H785" s="150"/>
      <c r="P785" s="150"/>
    </row>
    <row r="786" ht="15.75" customHeight="1">
      <c r="A786" s="149"/>
      <c r="D786" s="149"/>
      <c r="H786" s="150"/>
      <c r="P786" s="150"/>
    </row>
    <row r="787" ht="15.75" customHeight="1">
      <c r="A787" s="149"/>
      <c r="D787" s="149"/>
      <c r="H787" s="150"/>
      <c r="P787" s="150"/>
    </row>
    <row r="788" ht="15.75" customHeight="1">
      <c r="A788" s="149"/>
      <c r="D788" s="149"/>
      <c r="H788" s="150"/>
      <c r="P788" s="150"/>
    </row>
    <row r="789" ht="15.75" customHeight="1">
      <c r="A789" s="149"/>
      <c r="D789" s="149"/>
      <c r="H789" s="150"/>
      <c r="P789" s="150"/>
    </row>
    <row r="790" ht="15.75" customHeight="1">
      <c r="A790" s="149"/>
      <c r="D790" s="149"/>
      <c r="H790" s="150"/>
      <c r="P790" s="150"/>
    </row>
    <row r="791" ht="15.75" customHeight="1">
      <c r="A791" s="149"/>
      <c r="D791" s="149"/>
      <c r="H791" s="150"/>
      <c r="P791" s="150"/>
    </row>
    <row r="792" ht="15.75" customHeight="1">
      <c r="A792" s="149"/>
      <c r="D792" s="149"/>
      <c r="H792" s="150"/>
      <c r="P792" s="150"/>
    </row>
    <row r="793" ht="15.75" customHeight="1">
      <c r="A793" s="149"/>
      <c r="D793" s="149"/>
      <c r="H793" s="150"/>
      <c r="P793" s="150"/>
    </row>
    <row r="794" ht="15.75" customHeight="1">
      <c r="A794" s="149"/>
      <c r="D794" s="149"/>
      <c r="H794" s="150"/>
      <c r="P794" s="150"/>
    </row>
    <row r="795" ht="15.75" customHeight="1">
      <c r="A795" s="149"/>
      <c r="D795" s="149"/>
      <c r="H795" s="150"/>
      <c r="P795" s="150"/>
    </row>
    <row r="796" ht="15.75" customHeight="1">
      <c r="A796" s="149"/>
      <c r="D796" s="149"/>
      <c r="H796" s="150"/>
      <c r="P796" s="150"/>
    </row>
    <row r="797" ht="15.75" customHeight="1">
      <c r="A797" s="149"/>
      <c r="D797" s="149"/>
      <c r="H797" s="150"/>
      <c r="P797" s="150"/>
    </row>
    <row r="798" ht="15.75" customHeight="1">
      <c r="A798" s="149"/>
      <c r="D798" s="149"/>
      <c r="H798" s="150"/>
      <c r="P798" s="150"/>
    </row>
    <row r="799" ht="15.75" customHeight="1">
      <c r="A799" s="149"/>
      <c r="D799" s="149"/>
      <c r="H799" s="150"/>
      <c r="P799" s="150"/>
    </row>
    <row r="800" ht="15.75" customHeight="1">
      <c r="A800" s="149"/>
      <c r="D800" s="149"/>
      <c r="H800" s="150"/>
      <c r="P800" s="150"/>
    </row>
    <row r="801" ht="15.75" customHeight="1">
      <c r="A801" s="149"/>
      <c r="D801" s="149"/>
      <c r="H801" s="150"/>
      <c r="P801" s="150"/>
    </row>
    <row r="802" ht="15.75" customHeight="1">
      <c r="A802" s="149"/>
      <c r="D802" s="149"/>
      <c r="H802" s="150"/>
      <c r="P802" s="150"/>
    </row>
    <row r="803" ht="15.75" customHeight="1">
      <c r="A803" s="149"/>
      <c r="D803" s="149"/>
      <c r="H803" s="150"/>
      <c r="P803" s="150"/>
    </row>
    <row r="804" ht="15.75" customHeight="1">
      <c r="A804" s="149"/>
      <c r="D804" s="149"/>
      <c r="H804" s="150"/>
      <c r="P804" s="150"/>
    </row>
    <row r="805" ht="15.75" customHeight="1">
      <c r="A805" s="149"/>
      <c r="D805" s="149"/>
      <c r="H805" s="150"/>
      <c r="P805" s="150"/>
    </row>
    <row r="806" ht="15.75" customHeight="1">
      <c r="A806" s="149"/>
      <c r="D806" s="149"/>
      <c r="H806" s="150"/>
      <c r="P806" s="150"/>
    </row>
    <row r="807" ht="15.75" customHeight="1">
      <c r="A807" s="149"/>
      <c r="D807" s="149"/>
      <c r="H807" s="150"/>
      <c r="P807" s="150"/>
    </row>
    <row r="808" ht="15.75" customHeight="1">
      <c r="A808" s="149"/>
      <c r="D808" s="149"/>
      <c r="H808" s="150"/>
      <c r="P808" s="150"/>
    </row>
    <row r="809" ht="15.75" customHeight="1">
      <c r="A809" s="149"/>
      <c r="D809" s="149"/>
      <c r="H809" s="150"/>
      <c r="P809" s="150"/>
    </row>
    <row r="810" ht="15.75" customHeight="1">
      <c r="A810" s="149"/>
      <c r="D810" s="149"/>
      <c r="H810" s="150"/>
      <c r="P810" s="150"/>
    </row>
    <row r="811" ht="15.75" customHeight="1">
      <c r="A811" s="149"/>
      <c r="D811" s="149"/>
      <c r="H811" s="150"/>
      <c r="P811" s="150"/>
    </row>
    <row r="812" ht="15.75" customHeight="1">
      <c r="A812" s="149"/>
      <c r="D812" s="149"/>
      <c r="H812" s="150"/>
      <c r="P812" s="150"/>
    </row>
    <row r="813" ht="15.75" customHeight="1">
      <c r="A813" s="149"/>
      <c r="D813" s="149"/>
      <c r="H813" s="150"/>
      <c r="P813" s="150"/>
    </row>
    <row r="814" ht="15.75" customHeight="1">
      <c r="A814" s="149"/>
      <c r="D814" s="149"/>
      <c r="H814" s="150"/>
      <c r="P814" s="150"/>
    </row>
    <row r="815" ht="15.75" customHeight="1">
      <c r="A815" s="149"/>
      <c r="D815" s="149"/>
      <c r="H815" s="150"/>
      <c r="P815" s="150"/>
    </row>
    <row r="816" ht="15.75" customHeight="1">
      <c r="A816" s="149"/>
      <c r="D816" s="149"/>
      <c r="H816" s="150"/>
      <c r="P816" s="150"/>
    </row>
    <row r="817" ht="15.75" customHeight="1">
      <c r="A817" s="149"/>
      <c r="D817" s="149"/>
      <c r="H817" s="150"/>
      <c r="P817" s="150"/>
    </row>
    <row r="818" ht="15.75" customHeight="1">
      <c r="A818" s="149"/>
      <c r="D818" s="149"/>
      <c r="H818" s="150"/>
      <c r="P818" s="150"/>
    </row>
    <row r="819" ht="15.75" customHeight="1">
      <c r="A819" s="149"/>
      <c r="D819" s="149"/>
      <c r="H819" s="150"/>
      <c r="P819" s="150"/>
    </row>
    <row r="820" ht="15.75" customHeight="1">
      <c r="A820" s="149"/>
      <c r="D820" s="149"/>
      <c r="H820" s="150"/>
      <c r="P820" s="150"/>
    </row>
    <row r="821" ht="15.75" customHeight="1">
      <c r="A821" s="149"/>
      <c r="D821" s="149"/>
      <c r="H821" s="150"/>
      <c r="P821" s="150"/>
    </row>
    <row r="822" ht="15.75" customHeight="1">
      <c r="A822" s="149"/>
      <c r="D822" s="149"/>
      <c r="H822" s="150"/>
      <c r="P822" s="150"/>
    </row>
    <row r="823" ht="15.75" customHeight="1">
      <c r="A823" s="149"/>
      <c r="D823" s="149"/>
      <c r="H823" s="150"/>
      <c r="P823" s="150"/>
    </row>
    <row r="824" ht="15.75" customHeight="1">
      <c r="A824" s="149"/>
      <c r="D824" s="149"/>
      <c r="H824" s="150"/>
      <c r="P824" s="150"/>
    </row>
    <row r="825" ht="15.75" customHeight="1">
      <c r="A825" s="149"/>
      <c r="D825" s="149"/>
      <c r="H825" s="150"/>
      <c r="P825" s="150"/>
    </row>
    <row r="826" ht="15.75" customHeight="1">
      <c r="A826" s="149"/>
      <c r="D826" s="149"/>
      <c r="H826" s="150"/>
      <c r="P826" s="150"/>
    </row>
    <row r="827" ht="15.75" customHeight="1">
      <c r="A827" s="149"/>
      <c r="D827" s="149"/>
      <c r="H827" s="150"/>
      <c r="P827" s="150"/>
    </row>
    <row r="828" ht="15.75" customHeight="1">
      <c r="A828" s="149"/>
      <c r="D828" s="149"/>
      <c r="H828" s="150"/>
      <c r="P828" s="150"/>
    </row>
    <row r="829" ht="15.75" customHeight="1">
      <c r="A829" s="149"/>
      <c r="D829" s="149"/>
      <c r="H829" s="150"/>
      <c r="P829" s="150"/>
    </row>
    <row r="830" ht="15.75" customHeight="1">
      <c r="A830" s="149"/>
      <c r="D830" s="149"/>
      <c r="H830" s="150"/>
      <c r="P830" s="150"/>
    </row>
    <row r="831" ht="15.75" customHeight="1">
      <c r="A831" s="149"/>
      <c r="D831" s="149"/>
      <c r="H831" s="150"/>
      <c r="P831" s="150"/>
    </row>
    <row r="832" ht="15.75" customHeight="1">
      <c r="A832" s="149"/>
      <c r="D832" s="149"/>
      <c r="H832" s="150"/>
      <c r="P832" s="150"/>
    </row>
    <row r="833" ht="15.75" customHeight="1">
      <c r="A833" s="149"/>
      <c r="D833" s="149"/>
      <c r="H833" s="150"/>
      <c r="P833" s="150"/>
    </row>
    <row r="834" ht="15.75" customHeight="1">
      <c r="A834" s="149"/>
      <c r="D834" s="149"/>
      <c r="H834" s="150"/>
      <c r="P834" s="150"/>
    </row>
    <row r="835" ht="15.75" customHeight="1">
      <c r="A835" s="149"/>
      <c r="D835" s="149"/>
      <c r="H835" s="150"/>
      <c r="P835" s="150"/>
    </row>
    <row r="836" ht="15.75" customHeight="1">
      <c r="A836" s="149"/>
      <c r="D836" s="149"/>
      <c r="H836" s="150"/>
      <c r="P836" s="150"/>
    </row>
    <row r="837" ht="15.75" customHeight="1">
      <c r="A837" s="149"/>
      <c r="D837" s="149"/>
      <c r="H837" s="150"/>
      <c r="P837" s="150"/>
    </row>
    <row r="838" ht="15.75" customHeight="1">
      <c r="A838" s="149"/>
      <c r="D838" s="149"/>
      <c r="H838" s="150"/>
      <c r="P838" s="150"/>
    </row>
    <row r="839" ht="15.75" customHeight="1">
      <c r="A839" s="149"/>
      <c r="D839" s="149"/>
      <c r="H839" s="150"/>
      <c r="P839" s="150"/>
    </row>
    <row r="840" ht="15.75" customHeight="1">
      <c r="A840" s="149"/>
      <c r="D840" s="149"/>
      <c r="H840" s="150"/>
      <c r="P840" s="150"/>
    </row>
    <row r="841" ht="15.75" customHeight="1">
      <c r="A841" s="149"/>
      <c r="D841" s="149"/>
      <c r="H841" s="150"/>
      <c r="P841" s="150"/>
    </row>
    <row r="842" ht="15.75" customHeight="1">
      <c r="A842" s="149"/>
      <c r="D842" s="149"/>
      <c r="H842" s="150"/>
      <c r="P842" s="150"/>
    </row>
    <row r="843" ht="15.75" customHeight="1">
      <c r="A843" s="149"/>
      <c r="D843" s="149"/>
      <c r="H843" s="150"/>
      <c r="P843" s="150"/>
    </row>
    <row r="844" ht="15.75" customHeight="1">
      <c r="A844" s="149"/>
      <c r="D844" s="149"/>
      <c r="H844" s="150"/>
      <c r="P844" s="150"/>
    </row>
    <row r="845" ht="15.75" customHeight="1">
      <c r="A845" s="149"/>
      <c r="D845" s="149"/>
      <c r="H845" s="150"/>
      <c r="P845" s="150"/>
    </row>
    <row r="846" ht="15.75" customHeight="1">
      <c r="A846" s="149"/>
      <c r="D846" s="149"/>
      <c r="H846" s="150"/>
      <c r="P846" s="150"/>
    </row>
    <row r="847" ht="15.75" customHeight="1">
      <c r="A847" s="149"/>
      <c r="D847" s="149"/>
      <c r="H847" s="150"/>
      <c r="P847" s="150"/>
    </row>
    <row r="848" ht="15.75" customHeight="1">
      <c r="A848" s="149"/>
      <c r="D848" s="149"/>
      <c r="H848" s="150"/>
      <c r="P848" s="150"/>
    </row>
    <row r="849" ht="15.75" customHeight="1">
      <c r="A849" s="149"/>
      <c r="D849" s="149"/>
      <c r="H849" s="150"/>
      <c r="P849" s="150"/>
    </row>
    <row r="850" ht="15.75" customHeight="1">
      <c r="A850" s="149"/>
      <c r="D850" s="149"/>
      <c r="H850" s="150"/>
      <c r="P850" s="150"/>
    </row>
    <row r="851" ht="15.75" customHeight="1">
      <c r="A851" s="149"/>
      <c r="D851" s="149"/>
      <c r="H851" s="150"/>
      <c r="P851" s="150"/>
    </row>
    <row r="852" ht="15.75" customHeight="1">
      <c r="A852" s="149"/>
      <c r="D852" s="149"/>
      <c r="H852" s="150"/>
      <c r="P852" s="150"/>
    </row>
    <row r="853" ht="15.75" customHeight="1">
      <c r="A853" s="149"/>
      <c r="D853" s="149"/>
      <c r="H853" s="150"/>
      <c r="P853" s="150"/>
    </row>
    <row r="854" ht="15.75" customHeight="1">
      <c r="A854" s="149"/>
      <c r="D854" s="149"/>
      <c r="H854" s="150"/>
      <c r="P854" s="150"/>
    </row>
    <row r="855" ht="15.75" customHeight="1">
      <c r="A855" s="149"/>
      <c r="D855" s="149"/>
      <c r="H855" s="150"/>
      <c r="P855" s="150"/>
    </row>
    <row r="856" ht="15.75" customHeight="1">
      <c r="A856" s="149"/>
      <c r="D856" s="149"/>
      <c r="H856" s="150"/>
      <c r="P856" s="150"/>
    </row>
    <row r="857" ht="15.75" customHeight="1">
      <c r="A857" s="149"/>
      <c r="D857" s="149"/>
      <c r="H857" s="150"/>
      <c r="P857" s="150"/>
    </row>
    <row r="858" ht="15.75" customHeight="1">
      <c r="A858" s="149"/>
      <c r="D858" s="149"/>
      <c r="H858" s="150"/>
      <c r="P858" s="150"/>
    </row>
    <row r="859" ht="15.75" customHeight="1">
      <c r="A859" s="149"/>
      <c r="D859" s="149"/>
      <c r="H859" s="150"/>
      <c r="P859" s="150"/>
    </row>
    <row r="860" ht="15.75" customHeight="1">
      <c r="A860" s="149"/>
      <c r="D860" s="149"/>
      <c r="H860" s="150"/>
      <c r="P860" s="150"/>
    </row>
    <row r="861" ht="15.75" customHeight="1">
      <c r="A861" s="149"/>
      <c r="D861" s="149"/>
      <c r="H861" s="150"/>
      <c r="P861" s="150"/>
    </row>
    <row r="862" ht="15.75" customHeight="1">
      <c r="A862" s="149"/>
      <c r="D862" s="149"/>
      <c r="H862" s="150"/>
      <c r="P862" s="150"/>
    </row>
    <row r="863" ht="15.75" customHeight="1">
      <c r="A863" s="149"/>
      <c r="D863" s="149"/>
      <c r="H863" s="150"/>
      <c r="P863" s="150"/>
    </row>
    <row r="864" ht="15.75" customHeight="1">
      <c r="A864" s="149"/>
      <c r="D864" s="149"/>
      <c r="H864" s="150"/>
      <c r="P864" s="150"/>
    </row>
    <row r="865" ht="15.75" customHeight="1">
      <c r="A865" s="149"/>
      <c r="D865" s="149"/>
      <c r="H865" s="150"/>
      <c r="P865" s="150"/>
    </row>
    <row r="866" ht="15.75" customHeight="1">
      <c r="A866" s="149"/>
      <c r="D866" s="149"/>
      <c r="H866" s="150"/>
      <c r="P866" s="150"/>
    </row>
    <row r="867" ht="15.75" customHeight="1">
      <c r="A867" s="149"/>
      <c r="D867" s="149"/>
      <c r="H867" s="150"/>
      <c r="P867" s="150"/>
    </row>
    <row r="868" ht="15.75" customHeight="1">
      <c r="A868" s="149"/>
      <c r="D868" s="149"/>
      <c r="H868" s="150"/>
      <c r="P868" s="150"/>
    </row>
    <row r="869" ht="15.75" customHeight="1">
      <c r="A869" s="149"/>
      <c r="D869" s="149"/>
      <c r="H869" s="150"/>
      <c r="P869" s="150"/>
    </row>
    <row r="870" ht="15.75" customHeight="1">
      <c r="A870" s="149"/>
      <c r="D870" s="149"/>
      <c r="H870" s="150"/>
      <c r="P870" s="150"/>
    </row>
    <row r="871" ht="15.75" customHeight="1">
      <c r="A871" s="149"/>
      <c r="D871" s="149"/>
      <c r="H871" s="150"/>
      <c r="P871" s="150"/>
    </row>
    <row r="872" ht="15.75" customHeight="1">
      <c r="A872" s="149"/>
      <c r="D872" s="149"/>
      <c r="H872" s="150"/>
      <c r="P872" s="150"/>
    </row>
    <row r="873" ht="15.75" customHeight="1">
      <c r="A873" s="149"/>
      <c r="D873" s="149"/>
      <c r="H873" s="150"/>
      <c r="P873" s="150"/>
    </row>
    <row r="874" ht="15.75" customHeight="1">
      <c r="A874" s="149"/>
      <c r="D874" s="149"/>
      <c r="H874" s="150"/>
      <c r="P874" s="150"/>
    </row>
    <row r="875" ht="15.75" customHeight="1">
      <c r="A875" s="149"/>
      <c r="D875" s="149"/>
      <c r="H875" s="150"/>
      <c r="P875" s="150"/>
    </row>
    <row r="876" ht="15.75" customHeight="1">
      <c r="A876" s="149"/>
      <c r="D876" s="149"/>
      <c r="H876" s="150"/>
      <c r="P876" s="150"/>
    </row>
    <row r="877" ht="15.75" customHeight="1">
      <c r="A877" s="149"/>
      <c r="D877" s="149"/>
      <c r="H877" s="150"/>
      <c r="P877" s="150"/>
    </row>
    <row r="878" ht="15.75" customHeight="1">
      <c r="A878" s="149"/>
      <c r="D878" s="149"/>
      <c r="H878" s="150"/>
      <c r="P878" s="150"/>
    </row>
    <row r="879" ht="15.75" customHeight="1">
      <c r="A879" s="149"/>
      <c r="D879" s="149"/>
      <c r="H879" s="150"/>
      <c r="P879" s="150"/>
    </row>
    <row r="880" ht="15.75" customHeight="1">
      <c r="A880" s="149"/>
      <c r="D880" s="149"/>
      <c r="H880" s="150"/>
      <c r="P880" s="150"/>
    </row>
    <row r="881" ht="15.75" customHeight="1">
      <c r="A881" s="149"/>
      <c r="D881" s="149"/>
      <c r="H881" s="150"/>
      <c r="P881" s="150"/>
    </row>
    <row r="882" ht="15.75" customHeight="1">
      <c r="A882" s="149"/>
      <c r="D882" s="149"/>
      <c r="H882" s="150"/>
      <c r="P882" s="150"/>
    </row>
    <row r="883" ht="15.75" customHeight="1">
      <c r="A883" s="149"/>
      <c r="D883" s="149"/>
      <c r="H883" s="150"/>
      <c r="P883" s="150"/>
    </row>
    <row r="884" ht="15.75" customHeight="1">
      <c r="A884" s="149"/>
      <c r="D884" s="149"/>
      <c r="H884" s="150"/>
      <c r="P884" s="150"/>
    </row>
    <row r="885" ht="15.75" customHeight="1">
      <c r="A885" s="149"/>
      <c r="D885" s="149"/>
      <c r="H885" s="150"/>
      <c r="P885" s="150"/>
    </row>
    <row r="886" ht="15.75" customHeight="1">
      <c r="A886" s="149"/>
      <c r="D886" s="149"/>
      <c r="H886" s="150"/>
      <c r="P886" s="150"/>
    </row>
    <row r="887" ht="15.75" customHeight="1">
      <c r="A887" s="149"/>
      <c r="D887" s="149"/>
      <c r="H887" s="150"/>
      <c r="P887" s="150"/>
    </row>
    <row r="888" ht="15.75" customHeight="1">
      <c r="A888" s="149"/>
      <c r="D888" s="149"/>
      <c r="H888" s="150"/>
      <c r="P888" s="150"/>
    </row>
    <row r="889" ht="15.75" customHeight="1">
      <c r="A889" s="149"/>
      <c r="D889" s="149"/>
      <c r="H889" s="150"/>
      <c r="P889" s="150"/>
    </row>
    <row r="890" ht="15.75" customHeight="1">
      <c r="A890" s="149"/>
      <c r="D890" s="149"/>
      <c r="H890" s="150"/>
      <c r="P890" s="150"/>
    </row>
    <row r="891" ht="15.75" customHeight="1">
      <c r="A891" s="149"/>
      <c r="D891" s="149"/>
      <c r="H891" s="150"/>
      <c r="P891" s="150"/>
    </row>
    <row r="892" ht="15.75" customHeight="1">
      <c r="A892" s="149"/>
      <c r="D892" s="149"/>
      <c r="H892" s="150"/>
      <c r="P892" s="150"/>
    </row>
    <row r="893" ht="15.75" customHeight="1">
      <c r="A893" s="149"/>
      <c r="D893" s="149"/>
      <c r="H893" s="150"/>
      <c r="P893" s="150"/>
    </row>
    <row r="894" ht="15.75" customHeight="1">
      <c r="A894" s="149"/>
      <c r="D894" s="149"/>
      <c r="H894" s="150"/>
      <c r="P894" s="150"/>
    </row>
    <row r="895" ht="15.75" customHeight="1">
      <c r="A895" s="149"/>
      <c r="D895" s="149"/>
      <c r="H895" s="150"/>
      <c r="P895" s="150"/>
    </row>
    <row r="896" ht="15.75" customHeight="1">
      <c r="A896" s="149"/>
      <c r="D896" s="149"/>
      <c r="H896" s="150"/>
      <c r="P896" s="150"/>
    </row>
    <row r="897" ht="15.75" customHeight="1">
      <c r="A897" s="149"/>
      <c r="D897" s="149"/>
      <c r="H897" s="150"/>
      <c r="P897" s="150"/>
    </row>
    <row r="898" ht="15.75" customHeight="1">
      <c r="A898" s="149"/>
      <c r="D898" s="149"/>
      <c r="H898" s="150"/>
      <c r="P898" s="150"/>
    </row>
    <row r="899" ht="15.75" customHeight="1">
      <c r="A899" s="149"/>
      <c r="D899" s="149"/>
      <c r="H899" s="150"/>
      <c r="P899" s="150"/>
    </row>
    <row r="900" ht="15.75" customHeight="1">
      <c r="A900" s="149"/>
      <c r="D900" s="149"/>
      <c r="H900" s="150"/>
      <c r="P900" s="150"/>
    </row>
    <row r="901" ht="15.75" customHeight="1">
      <c r="A901" s="149"/>
      <c r="D901" s="149"/>
      <c r="H901" s="150"/>
      <c r="P901" s="150"/>
    </row>
    <row r="902" ht="15.75" customHeight="1">
      <c r="A902" s="149"/>
      <c r="D902" s="149"/>
      <c r="H902" s="150"/>
      <c r="P902" s="150"/>
    </row>
    <row r="903" ht="15.75" customHeight="1">
      <c r="A903" s="149"/>
      <c r="D903" s="149"/>
      <c r="H903" s="150"/>
      <c r="P903" s="150"/>
    </row>
    <row r="904" ht="15.75" customHeight="1">
      <c r="A904" s="149"/>
      <c r="D904" s="149"/>
      <c r="H904" s="150"/>
      <c r="P904" s="150"/>
    </row>
    <row r="905" ht="15.75" customHeight="1">
      <c r="A905" s="149"/>
      <c r="D905" s="149"/>
      <c r="H905" s="150"/>
      <c r="P905" s="150"/>
    </row>
    <row r="906" ht="15.75" customHeight="1">
      <c r="A906" s="149"/>
      <c r="D906" s="149"/>
      <c r="H906" s="150"/>
      <c r="P906" s="150"/>
    </row>
    <row r="907" ht="15.75" customHeight="1">
      <c r="A907" s="149"/>
      <c r="D907" s="149"/>
      <c r="H907" s="150"/>
      <c r="P907" s="150"/>
    </row>
    <row r="908" ht="15.75" customHeight="1">
      <c r="A908" s="149"/>
      <c r="D908" s="149"/>
      <c r="H908" s="150"/>
      <c r="P908" s="150"/>
    </row>
    <row r="909" ht="15.75" customHeight="1">
      <c r="A909" s="149"/>
      <c r="D909" s="149"/>
      <c r="H909" s="150"/>
      <c r="P909" s="150"/>
    </row>
    <row r="910" ht="15.75" customHeight="1">
      <c r="A910" s="149"/>
      <c r="D910" s="149"/>
      <c r="H910" s="150"/>
      <c r="P910" s="150"/>
    </row>
    <row r="911" ht="15.75" customHeight="1">
      <c r="A911" s="149"/>
      <c r="D911" s="149"/>
      <c r="H911" s="150"/>
      <c r="P911" s="150"/>
    </row>
    <row r="912" ht="15.75" customHeight="1">
      <c r="A912" s="149"/>
      <c r="D912" s="149"/>
      <c r="H912" s="150"/>
      <c r="P912" s="150"/>
    </row>
    <row r="913" ht="15.75" customHeight="1">
      <c r="A913" s="149"/>
      <c r="D913" s="149"/>
      <c r="H913" s="150"/>
      <c r="P913" s="150"/>
    </row>
    <row r="914" ht="15.75" customHeight="1">
      <c r="A914" s="149"/>
      <c r="D914" s="149"/>
      <c r="H914" s="150"/>
      <c r="P914" s="150"/>
    </row>
    <row r="915" ht="15.75" customHeight="1">
      <c r="A915" s="149"/>
      <c r="D915" s="149"/>
      <c r="H915" s="150"/>
      <c r="P915" s="150"/>
    </row>
    <row r="916" ht="15.75" customHeight="1">
      <c r="A916" s="149"/>
      <c r="D916" s="149"/>
      <c r="H916" s="150"/>
      <c r="P916" s="150"/>
    </row>
    <row r="917" ht="15.75" customHeight="1">
      <c r="A917" s="149"/>
      <c r="D917" s="149"/>
      <c r="H917" s="150"/>
      <c r="P917" s="150"/>
    </row>
    <row r="918" ht="15.75" customHeight="1">
      <c r="A918" s="149"/>
      <c r="D918" s="149"/>
      <c r="H918" s="150"/>
      <c r="P918" s="150"/>
    </row>
    <row r="919" ht="15.75" customHeight="1">
      <c r="A919" s="149"/>
      <c r="D919" s="149"/>
      <c r="H919" s="150"/>
      <c r="P919" s="150"/>
    </row>
    <row r="920" ht="15.75" customHeight="1">
      <c r="A920" s="149"/>
      <c r="D920" s="149"/>
      <c r="H920" s="150"/>
      <c r="P920" s="150"/>
    </row>
    <row r="921" ht="15.75" customHeight="1">
      <c r="A921" s="149"/>
      <c r="D921" s="149"/>
      <c r="H921" s="150"/>
      <c r="P921" s="150"/>
    </row>
    <row r="922" ht="15.75" customHeight="1">
      <c r="A922" s="149"/>
      <c r="D922" s="149"/>
      <c r="H922" s="150"/>
      <c r="P922" s="150"/>
    </row>
    <row r="923" ht="15.75" customHeight="1">
      <c r="A923" s="149"/>
      <c r="D923" s="149"/>
      <c r="H923" s="150"/>
      <c r="P923" s="150"/>
    </row>
    <row r="924" ht="15.75" customHeight="1">
      <c r="A924" s="149"/>
      <c r="D924" s="149"/>
      <c r="H924" s="150"/>
      <c r="P924" s="150"/>
    </row>
    <row r="925" ht="15.75" customHeight="1">
      <c r="A925" s="149"/>
      <c r="D925" s="149"/>
      <c r="H925" s="150"/>
      <c r="P925" s="150"/>
    </row>
    <row r="926" ht="15.75" customHeight="1">
      <c r="A926" s="149"/>
      <c r="D926" s="149"/>
      <c r="H926" s="150"/>
      <c r="P926" s="150"/>
    </row>
    <row r="927" ht="15.75" customHeight="1">
      <c r="A927" s="149"/>
      <c r="D927" s="149"/>
      <c r="H927" s="150"/>
      <c r="P927" s="150"/>
    </row>
    <row r="928" ht="15.75" customHeight="1">
      <c r="A928" s="149"/>
      <c r="D928" s="149"/>
      <c r="H928" s="150"/>
      <c r="P928" s="150"/>
    </row>
    <row r="929" ht="15.75" customHeight="1">
      <c r="A929" s="149"/>
      <c r="D929" s="149"/>
      <c r="H929" s="150"/>
      <c r="P929" s="150"/>
    </row>
    <row r="930" ht="15.75" customHeight="1">
      <c r="A930" s="149"/>
      <c r="D930" s="149"/>
      <c r="H930" s="150"/>
      <c r="P930" s="150"/>
    </row>
    <row r="931" ht="15.75" customHeight="1">
      <c r="A931" s="149"/>
      <c r="D931" s="149"/>
      <c r="H931" s="150"/>
      <c r="P931" s="150"/>
    </row>
    <row r="932" ht="15.75" customHeight="1">
      <c r="A932" s="149"/>
      <c r="D932" s="149"/>
      <c r="H932" s="150"/>
      <c r="P932" s="150"/>
    </row>
    <row r="933" ht="15.75" customHeight="1">
      <c r="A933" s="149"/>
      <c r="D933" s="149"/>
      <c r="H933" s="150"/>
      <c r="P933" s="150"/>
    </row>
    <row r="934" ht="15.75" customHeight="1">
      <c r="A934" s="149"/>
      <c r="D934" s="149"/>
      <c r="H934" s="150"/>
      <c r="P934" s="150"/>
    </row>
    <row r="935" ht="15.75" customHeight="1">
      <c r="A935" s="149"/>
      <c r="D935" s="149"/>
      <c r="H935" s="150"/>
      <c r="P935" s="150"/>
    </row>
    <row r="936" ht="15.75" customHeight="1">
      <c r="A936" s="149"/>
      <c r="D936" s="149"/>
      <c r="H936" s="150"/>
      <c r="P936" s="150"/>
    </row>
    <row r="937" ht="15.75" customHeight="1">
      <c r="A937" s="149"/>
      <c r="D937" s="149"/>
      <c r="H937" s="150"/>
      <c r="P937" s="150"/>
    </row>
    <row r="938" ht="15.75" customHeight="1">
      <c r="A938" s="149"/>
      <c r="D938" s="149"/>
      <c r="H938" s="150"/>
      <c r="P938" s="150"/>
    </row>
    <row r="939" ht="15.75" customHeight="1">
      <c r="A939" s="149"/>
      <c r="D939" s="149"/>
      <c r="H939" s="150"/>
      <c r="P939" s="150"/>
    </row>
    <row r="940" ht="15.75" customHeight="1">
      <c r="A940" s="149"/>
      <c r="D940" s="149"/>
      <c r="H940" s="150"/>
      <c r="P940" s="150"/>
    </row>
    <row r="941" ht="15.75" customHeight="1">
      <c r="A941" s="149"/>
      <c r="D941" s="149"/>
      <c r="H941" s="150"/>
      <c r="P941" s="150"/>
    </row>
    <row r="942" ht="15.75" customHeight="1">
      <c r="A942" s="149"/>
      <c r="D942" s="149"/>
      <c r="H942" s="150"/>
      <c r="P942" s="150"/>
    </row>
    <row r="943" ht="15.75" customHeight="1">
      <c r="A943" s="149"/>
      <c r="D943" s="149"/>
      <c r="H943" s="150"/>
      <c r="P943" s="150"/>
    </row>
    <row r="944" ht="15.75" customHeight="1">
      <c r="A944" s="149"/>
      <c r="D944" s="149"/>
      <c r="H944" s="150"/>
      <c r="P944" s="150"/>
    </row>
    <row r="945" ht="15.75" customHeight="1">
      <c r="A945" s="149"/>
      <c r="D945" s="149"/>
      <c r="H945" s="150"/>
      <c r="P945" s="150"/>
    </row>
    <row r="946" ht="15.75" customHeight="1">
      <c r="A946" s="149"/>
      <c r="D946" s="149"/>
      <c r="H946" s="150"/>
      <c r="P946" s="150"/>
    </row>
    <row r="947" ht="15.75" customHeight="1">
      <c r="A947" s="149"/>
      <c r="D947" s="149"/>
      <c r="H947" s="150"/>
      <c r="P947" s="150"/>
    </row>
    <row r="948" ht="15.75" customHeight="1">
      <c r="A948" s="149"/>
      <c r="D948" s="149"/>
      <c r="H948" s="150"/>
      <c r="P948" s="150"/>
    </row>
    <row r="949" ht="15.75" customHeight="1">
      <c r="A949" s="149"/>
      <c r="D949" s="149"/>
      <c r="H949" s="150"/>
      <c r="P949" s="150"/>
    </row>
    <row r="950" ht="15.75" customHeight="1">
      <c r="A950" s="149"/>
      <c r="D950" s="149"/>
      <c r="H950" s="150"/>
      <c r="P950" s="150"/>
    </row>
    <row r="951" ht="15.75" customHeight="1">
      <c r="A951" s="149"/>
      <c r="D951" s="149"/>
      <c r="H951" s="150"/>
      <c r="P951" s="150"/>
    </row>
    <row r="952" ht="15.75" customHeight="1">
      <c r="A952" s="149"/>
      <c r="D952" s="149"/>
      <c r="H952" s="150"/>
      <c r="P952" s="150"/>
    </row>
    <row r="953" ht="15.75" customHeight="1">
      <c r="A953" s="149"/>
      <c r="D953" s="149"/>
      <c r="H953" s="150"/>
      <c r="P953" s="150"/>
    </row>
    <row r="954" ht="15.75" customHeight="1">
      <c r="A954" s="149"/>
      <c r="D954" s="149"/>
      <c r="H954" s="150"/>
      <c r="P954" s="150"/>
    </row>
    <row r="955" ht="15.75" customHeight="1">
      <c r="A955" s="149"/>
      <c r="D955" s="149"/>
      <c r="H955" s="150"/>
      <c r="P955" s="150"/>
    </row>
    <row r="956" ht="15.75" customHeight="1">
      <c r="A956" s="149"/>
      <c r="D956" s="149"/>
      <c r="H956" s="150"/>
      <c r="P956" s="150"/>
    </row>
    <row r="957" ht="15.75" customHeight="1">
      <c r="A957" s="149"/>
      <c r="D957" s="149"/>
      <c r="H957" s="150"/>
      <c r="P957" s="150"/>
    </row>
    <row r="958" ht="15.75" customHeight="1">
      <c r="A958" s="149"/>
      <c r="D958" s="149"/>
      <c r="H958" s="150"/>
      <c r="P958" s="150"/>
    </row>
    <row r="959" ht="15.75" customHeight="1">
      <c r="A959" s="149"/>
      <c r="D959" s="149"/>
      <c r="H959" s="150"/>
      <c r="P959" s="150"/>
    </row>
    <row r="960" ht="15.75" customHeight="1">
      <c r="A960" s="149"/>
      <c r="D960" s="149"/>
      <c r="H960" s="150"/>
      <c r="P960" s="150"/>
    </row>
    <row r="961" ht="15.75" customHeight="1">
      <c r="A961" s="149"/>
      <c r="D961" s="149"/>
      <c r="H961" s="150"/>
      <c r="P961" s="150"/>
    </row>
    <row r="962" ht="15.75" customHeight="1">
      <c r="A962" s="149"/>
      <c r="D962" s="149"/>
      <c r="H962" s="150"/>
      <c r="P962" s="150"/>
    </row>
    <row r="963" ht="15.75" customHeight="1">
      <c r="A963" s="149"/>
      <c r="D963" s="149"/>
      <c r="H963" s="150"/>
      <c r="P963" s="150"/>
    </row>
    <row r="964" ht="15.75" customHeight="1">
      <c r="A964" s="149"/>
      <c r="D964" s="149"/>
      <c r="H964" s="150"/>
      <c r="P964" s="150"/>
    </row>
    <row r="965" ht="15.75" customHeight="1">
      <c r="A965" s="149"/>
      <c r="D965" s="149"/>
      <c r="H965" s="150"/>
      <c r="P965" s="150"/>
    </row>
    <row r="966" ht="15.75" customHeight="1">
      <c r="A966" s="149"/>
      <c r="D966" s="149"/>
      <c r="H966" s="150"/>
      <c r="P966" s="150"/>
    </row>
    <row r="967" ht="15.75" customHeight="1">
      <c r="A967" s="149"/>
      <c r="D967" s="149"/>
      <c r="H967" s="150"/>
      <c r="P967" s="150"/>
    </row>
    <row r="968" ht="15.75" customHeight="1">
      <c r="A968" s="149"/>
      <c r="D968" s="149"/>
      <c r="H968" s="150"/>
      <c r="P968" s="150"/>
    </row>
    <row r="969" ht="15.75" customHeight="1">
      <c r="A969" s="149"/>
      <c r="D969" s="149"/>
      <c r="H969" s="150"/>
      <c r="P969" s="150"/>
    </row>
    <row r="970" ht="15.75" customHeight="1">
      <c r="A970" s="149"/>
      <c r="D970" s="149"/>
      <c r="H970" s="150"/>
      <c r="P970" s="150"/>
    </row>
    <row r="971" ht="15.75" customHeight="1">
      <c r="A971" s="149"/>
      <c r="D971" s="149"/>
      <c r="H971" s="150"/>
      <c r="P971" s="150"/>
    </row>
    <row r="972" ht="15.75" customHeight="1">
      <c r="A972" s="149"/>
      <c r="D972" s="149"/>
      <c r="H972" s="150"/>
      <c r="P972" s="150"/>
    </row>
    <row r="973" ht="15.75" customHeight="1">
      <c r="A973" s="149"/>
      <c r="D973" s="149"/>
      <c r="H973" s="150"/>
      <c r="P973" s="150"/>
    </row>
    <row r="974" ht="15.75" customHeight="1">
      <c r="A974" s="149"/>
      <c r="D974" s="149"/>
      <c r="H974" s="150"/>
      <c r="P974" s="150"/>
    </row>
    <row r="975" ht="15.75" customHeight="1">
      <c r="A975" s="149"/>
      <c r="D975" s="149"/>
      <c r="H975" s="150"/>
      <c r="P975" s="150"/>
    </row>
    <row r="976" ht="15.75" customHeight="1">
      <c r="A976" s="149"/>
      <c r="D976" s="149"/>
      <c r="H976" s="150"/>
      <c r="P976" s="150"/>
    </row>
    <row r="977" ht="15.75" customHeight="1">
      <c r="A977" s="149"/>
      <c r="D977" s="149"/>
      <c r="H977" s="150"/>
      <c r="P977" s="150"/>
    </row>
    <row r="978" ht="15.75" customHeight="1">
      <c r="A978" s="149"/>
      <c r="D978" s="149"/>
      <c r="H978" s="150"/>
      <c r="P978" s="150"/>
    </row>
    <row r="979" ht="15.75" customHeight="1">
      <c r="A979" s="149"/>
      <c r="D979" s="149"/>
      <c r="H979" s="150"/>
      <c r="P979" s="150"/>
    </row>
    <row r="980" ht="15.75" customHeight="1">
      <c r="A980" s="149"/>
      <c r="D980" s="149"/>
      <c r="H980" s="150"/>
      <c r="P980" s="150"/>
    </row>
    <row r="981" ht="15.75" customHeight="1">
      <c r="A981" s="149"/>
      <c r="D981" s="149"/>
      <c r="H981" s="150"/>
      <c r="P981" s="150"/>
    </row>
    <row r="982" ht="15.75" customHeight="1">
      <c r="A982" s="149"/>
      <c r="D982" s="149"/>
      <c r="H982" s="150"/>
      <c r="P982" s="150"/>
    </row>
    <row r="983" ht="15.75" customHeight="1">
      <c r="A983" s="149"/>
      <c r="D983" s="149"/>
      <c r="H983" s="150"/>
      <c r="P983" s="150"/>
    </row>
    <row r="984" ht="15.75" customHeight="1">
      <c r="A984" s="149"/>
      <c r="D984" s="149"/>
      <c r="H984" s="150"/>
      <c r="P984" s="150"/>
    </row>
    <row r="985" ht="15.75" customHeight="1">
      <c r="A985" s="149"/>
      <c r="D985" s="149"/>
      <c r="H985" s="150"/>
      <c r="P985" s="150"/>
    </row>
    <row r="986" ht="15.75" customHeight="1">
      <c r="A986" s="149"/>
      <c r="D986" s="149"/>
      <c r="H986" s="150"/>
      <c r="P986" s="150"/>
    </row>
    <row r="987" ht="15.75" customHeight="1">
      <c r="A987" s="149"/>
      <c r="D987" s="149"/>
      <c r="H987" s="150"/>
      <c r="P987" s="150"/>
    </row>
    <row r="988" ht="15.75" customHeight="1">
      <c r="A988" s="149"/>
      <c r="D988" s="149"/>
      <c r="H988" s="150"/>
      <c r="P988" s="150"/>
    </row>
    <row r="989" ht="15.75" customHeight="1">
      <c r="A989" s="149"/>
      <c r="D989" s="149"/>
      <c r="H989" s="150"/>
      <c r="P989" s="150"/>
    </row>
    <row r="990" ht="15.75" customHeight="1">
      <c r="A990" s="149"/>
      <c r="D990" s="149"/>
      <c r="H990" s="150"/>
      <c r="P990" s="150"/>
    </row>
    <row r="991" ht="15.75" customHeight="1">
      <c r="A991" s="149"/>
      <c r="D991" s="149"/>
      <c r="H991" s="150"/>
      <c r="P991" s="150"/>
    </row>
    <row r="992" ht="15.75" customHeight="1">
      <c r="A992" s="149"/>
      <c r="D992" s="149"/>
      <c r="H992" s="150"/>
      <c r="P992" s="150"/>
    </row>
    <row r="993" ht="15.75" customHeight="1">
      <c r="A993" s="149"/>
      <c r="D993" s="149"/>
      <c r="H993" s="150"/>
      <c r="P993" s="150"/>
    </row>
    <row r="994" ht="15.75" customHeight="1">
      <c r="A994" s="149"/>
      <c r="D994" s="149"/>
      <c r="H994" s="150"/>
      <c r="P994" s="150"/>
    </row>
    <row r="995" ht="15.75" customHeight="1">
      <c r="A995" s="149"/>
      <c r="D995" s="149"/>
      <c r="H995" s="150"/>
      <c r="P995" s="150"/>
    </row>
    <row r="996" ht="15.75" customHeight="1">
      <c r="A996" s="149"/>
      <c r="D996" s="149"/>
      <c r="H996" s="150"/>
      <c r="P996" s="150"/>
    </row>
    <row r="997" ht="15.75" customHeight="1">
      <c r="A997" s="149"/>
      <c r="D997" s="149"/>
      <c r="H997" s="150"/>
      <c r="P997" s="150"/>
    </row>
    <row r="998" ht="15.75" customHeight="1">
      <c r="A998" s="149"/>
      <c r="D998" s="149"/>
      <c r="H998" s="150"/>
      <c r="P998" s="150"/>
    </row>
    <row r="999" ht="15.75" customHeight="1">
      <c r="A999" s="149"/>
      <c r="D999" s="149"/>
      <c r="H999" s="150"/>
      <c r="P999" s="150"/>
    </row>
    <row r="1000" ht="15.75" customHeight="1">
      <c r="A1000" s="149"/>
      <c r="D1000" s="149"/>
      <c r="H1000" s="150"/>
      <c r="P1000" s="150"/>
    </row>
  </sheetData>
  <autoFilter ref="$A$1:$P$36">
    <sortState ref="A1:P36">
      <sortCondition ref="D1:D36"/>
    </sortState>
  </autoFilter>
  <mergeCells count="3">
    <mergeCell ref="A34:B34"/>
    <mergeCell ref="K35:L35"/>
    <mergeCell ref="K36:L36"/>
  </mergeCells>
  <printOptions/>
  <pageMargins bottom="0.6041700787401575" footer="0.0" header="0.0" left="0.25" right="0.25" top="0.25"/>
  <pageSetup paperSize="9" orientation="landscape"/>
  <headerFooter>
    <oddFooter>&amp;LPRINTED ON :  &amp;RPage &amp;P Of </oddFooter>
  </headerFooter>
  <drawing r:id="rId1"/>
</worksheet>
</file>