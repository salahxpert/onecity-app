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Batch Plan" sheetId="1" r:id="rId5"/>
    <sheet state="visible" name="Current Manpower" sheetId="2" r:id="rId6"/>
    <sheet state="visible" name="Mobile Recharge Sheet" sheetId="3" r:id="rId7"/>
    <sheet state="visible" name="Total Manpower" sheetId="4" r:id="rId8"/>
    <sheet state="visible" name="6 Month Eid Bonus" sheetId="5" r:id="rId9"/>
    <sheet state="visible" name="Others Attendance Bonus" sheetId="6" r:id="rId10"/>
    <sheet state="visible" name="Attendance Bonus" sheetId="7" r:id="rId11"/>
    <sheet state="visible" name="Iftar List" sheetId="8" r:id="rId12"/>
    <sheet state="visible" name="Sheet1" sheetId="9" r:id="rId13"/>
  </sheets>
  <definedNames>
    <definedName hidden="1" localSheetId="1" name="_xlnm._FilterDatabase">'Current Manpower'!$B$6:$P$36</definedName>
    <definedName hidden="1" localSheetId="3" name="_xlnm._FilterDatabase">'Total Manpower'!$B$6:$O$97</definedName>
  </definedNames>
  <calcPr/>
</workbook>
</file>

<file path=xl/sharedStrings.xml><?xml version="1.0" encoding="utf-8"?>
<sst xmlns="http://schemas.openxmlformats.org/spreadsheetml/2006/main" count="1219" uniqueCount="480">
  <si>
    <t>One City Developers Ltd.</t>
  </si>
  <si>
    <t xml:space="preserve"> Land Sales Office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</si>
  <si>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</si>
  <si>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</si>
  <si>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</si>
  <si>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 xml:space="preserve">     Commercial Cove, House: 56/C, Road: 132, Gulshan-1, Dhaka-1212.</t>
  </si>
  <si>
    <t>TODAY</t>
  </si>
  <si>
    <t>Date:06-September-2026</t>
  </si>
  <si>
    <t>SL.</t>
  </si>
  <si>
    <t>Dep.</t>
  </si>
  <si>
    <t>Name</t>
  </si>
  <si>
    <t>Designation</t>
  </si>
  <si>
    <t>Office Contact</t>
  </si>
  <si>
    <t>Amount</t>
  </si>
  <si>
    <t>Signature</t>
  </si>
  <si>
    <t>Team:</t>
  </si>
  <si>
    <t>01</t>
  </si>
  <si>
    <t>Name:</t>
  </si>
  <si>
    <t>Designation:</t>
  </si>
  <si>
    <t>Emp. ID</t>
  </si>
  <si>
    <t>Joining Date:</t>
  </si>
  <si>
    <t>CRM</t>
  </si>
  <si>
    <t>Office Contact:</t>
  </si>
  <si>
    <t>Abu Sufian Shohag</t>
  </si>
  <si>
    <t>GM</t>
  </si>
  <si>
    <t>01905596105</t>
  </si>
  <si>
    <t>02</t>
  </si>
  <si>
    <t>Nurul Islam Ripon</t>
  </si>
  <si>
    <t>01990-786628</t>
  </si>
  <si>
    <t>03</t>
  </si>
  <si>
    <t>Touhidul Islam</t>
  </si>
  <si>
    <t>Sr. AGM</t>
  </si>
  <si>
    <t>01905-536326</t>
  </si>
  <si>
    <t>04</t>
  </si>
  <si>
    <t>Masud Shahriar</t>
  </si>
  <si>
    <t>AGM</t>
  </si>
  <si>
    <t>01880-089005</t>
  </si>
  <si>
    <t>05</t>
  </si>
  <si>
    <t>Omar Sharif Arman</t>
  </si>
  <si>
    <t>Sr. Manager</t>
  </si>
  <si>
    <t>01880-089017</t>
  </si>
  <si>
    <t>06</t>
  </si>
  <si>
    <t>Md. Safiqul Islam</t>
  </si>
  <si>
    <t>Manager</t>
  </si>
  <si>
    <t>01894-944616</t>
  </si>
  <si>
    <t>07</t>
  </si>
  <si>
    <t>Md. Manir Sikder</t>
  </si>
  <si>
    <t>Sr. Dep. Magr</t>
  </si>
  <si>
    <t>01905596178</t>
  </si>
  <si>
    <t>08</t>
  </si>
  <si>
    <t>Most. Liza Akter</t>
  </si>
  <si>
    <t>01905596106</t>
  </si>
  <si>
    <t>09</t>
  </si>
  <si>
    <t>Jakir Ahammed Noor</t>
  </si>
  <si>
    <t>Dep. Manager</t>
  </si>
  <si>
    <t>01905596328</t>
  </si>
  <si>
    <t>10</t>
  </si>
  <si>
    <t>Mst. Sharmin Akter Nabila</t>
  </si>
  <si>
    <t>Asst. Manager</t>
  </si>
  <si>
    <t>01880-089006</t>
  </si>
  <si>
    <t>11</t>
  </si>
  <si>
    <t>Afroza Yeasmin Rumi</t>
  </si>
  <si>
    <t>01896-006156</t>
  </si>
  <si>
    <t>12</t>
  </si>
  <si>
    <t>Anowar Hossain</t>
  </si>
  <si>
    <t>01905596172</t>
  </si>
  <si>
    <t>13</t>
  </si>
  <si>
    <t xml:space="preserve">Abrarul Haque Emon </t>
  </si>
  <si>
    <t>01905596181</t>
  </si>
  <si>
    <t>14</t>
  </si>
  <si>
    <t>Md. Jahid Hasan</t>
  </si>
  <si>
    <t>Executive</t>
  </si>
  <si>
    <t>01905596184</t>
  </si>
  <si>
    <t>15</t>
  </si>
  <si>
    <t>Md. Yeasin Rasel</t>
  </si>
  <si>
    <t>01905596329</t>
  </si>
  <si>
    <t>16</t>
  </si>
  <si>
    <t>Branch Individual</t>
  </si>
  <si>
    <t>Personal Cont:</t>
  </si>
  <si>
    <t>DOJ</t>
  </si>
  <si>
    <t>Maria Akter Mim</t>
  </si>
  <si>
    <t>Duration</t>
  </si>
  <si>
    <t>Last Sale Date</t>
  </si>
  <si>
    <t>Zero Sale Duration</t>
  </si>
  <si>
    <t>DOB</t>
  </si>
  <si>
    <t>Blood Group</t>
  </si>
  <si>
    <t>Present Address</t>
  </si>
  <si>
    <t>Permanent Address</t>
  </si>
  <si>
    <t>Remarks</t>
  </si>
  <si>
    <t>Senior DGM</t>
  </si>
  <si>
    <t>01867-054038</t>
  </si>
  <si>
    <t>GM (Br. In Charge)</t>
  </si>
  <si>
    <t>01335-144074</t>
  </si>
  <si>
    <t>Br. In Charge</t>
  </si>
  <si>
    <t>17</t>
  </si>
  <si>
    <t>Others     Dep.</t>
  </si>
  <si>
    <t>Nasiruddin Chowdury</t>
  </si>
  <si>
    <t>01818-101902</t>
  </si>
  <si>
    <t>Bashir Ahmed</t>
  </si>
  <si>
    <t>18</t>
  </si>
  <si>
    <t>Md. Salahuddin</t>
  </si>
  <si>
    <t>01905596186</t>
  </si>
  <si>
    <t>19</t>
  </si>
  <si>
    <t>Samia Akter</t>
  </si>
  <si>
    <t>Sr. Executive</t>
  </si>
  <si>
    <t>01905596104</t>
  </si>
  <si>
    <t>Total=</t>
  </si>
  <si>
    <t>01905596179</t>
  </si>
  <si>
    <t>01865-345544</t>
  </si>
  <si>
    <t>B+ (Ve)</t>
  </si>
  <si>
    <t>Shapla Housing, Vanga Bridge, 60 Ft. Agargaon.</t>
  </si>
  <si>
    <t>Bhuiyan Bari, Khoishar, Daudpur, Rupganj, Narayangonj.</t>
  </si>
  <si>
    <t>Sharowar Hossain</t>
  </si>
  <si>
    <t>01905596175</t>
  </si>
  <si>
    <t/>
  </si>
  <si>
    <t>Admin</t>
  </si>
  <si>
    <t>R-08, House-24, Banasree, Rampura, Dhaka-1219.</t>
  </si>
  <si>
    <t>Accounts</t>
  </si>
  <si>
    <t>Sr. Dep. Manager</t>
  </si>
  <si>
    <t>Branch In Charge</t>
  </si>
  <si>
    <t>Batch Leader</t>
  </si>
  <si>
    <t>Batch-01</t>
  </si>
  <si>
    <t>Md. Shahinul Islam</t>
  </si>
  <si>
    <t>01905596103</t>
  </si>
  <si>
    <t>01625-465633</t>
  </si>
  <si>
    <t>O+ (VE)</t>
  </si>
  <si>
    <t>House: J-05, Road: 05, Nayan Biriyani, Middle Badda, Gulshan, Dhaka</t>
  </si>
  <si>
    <t>Bepari Bari, Rudragaon, Faridganj, Chandpur.</t>
  </si>
  <si>
    <t>Md. Mehedi Hasan</t>
  </si>
  <si>
    <t>01905596108</t>
  </si>
  <si>
    <t>01410-400494</t>
  </si>
  <si>
    <t>126y-4m-2d</t>
  </si>
  <si>
    <t>H M Owaliullah Farhad</t>
  </si>
  <si>
    <t>01905596118</t>
  </si>
  <si>
    <t>01757-112810</t>
  </si>
  <si>
    <t>Amiya Islam Shamrin</t>
  </si>
  <si>
    <t>01905596117</t>
  </si>
  <si>
    <t>Agnes Modhu Nodi</t>
  </si>
  <si>
    <t>01905596332</t>
  </si>
  <si>
    <t>0065</t>
  </si>
  <si>
    <t>Batch-02</t>
  </si>
  <si>
    <t>01618-123083</t>
  </si>
  <si>
    <t>AB+ (VE)</t>
  </si>
  <si>
    <t>0206</t>
  </si>
  <si>
    <t>House-234,vRoad -01, Chandudsan, Mohammadpur, Dhaka</t>
  </si>
  <si>
    <t>Md Atiful Haque</t>
  </si>
  <si>
    <t>01905596331</t>
  </si>
  <si>
    <t>01755-204537</t>
  </si>
  <si>
    <t>Vill: Professor para, Po,Ps,Dist: Joypurhat</t>
  </si>
  <si>
    <t>AB+ (Ve)</t>
  </si>
  <si>
    <t>House: 03, Road, 07, Sector: 10, Uttara, Dhaka</t>
  </si>
  <si>
    <t>Rajar Vita, Romna, Chilmari, Kurigram</t>
  </si>
  <si>
    <t>Mst. Umme Afja Limu</t>
  </si>
  <si>
    <t>Surma Akter</t>
  </si>
  <si>
    <t>01905596109</t>
  </si>
  <si>
    <t>01768-293280</t>
  </si>
  <si>
    <t>0y-4m-23d</t>
  </si>
  <si>
    <t>Md. Siam Ashrafi Sumon</t>
  </si>
  <si>
    <t>01905596180</t>
  </si>
  <si>
    <t>Farjana Tanjila</t>
  </si>
  <si>
    <t>01905-596108</t>
  </si>
  <si>
    <t>01777-923184</t>
  </si>
  <si>
    <t>01865-996050</t>
  </si>
  <si>
    <t>Israt Jahan</t>
  </si>
  <si>
    <t>01753-030795</t>
  </si>
  <si>
    <t>0y-0m-6d</t>
  </si>
  <si>
    <t>1097, West Nondipara, Khilgaon, Dhaka</t>
  </si>
  <si>
    <t>Paik Para, Abdullahpur, Munshiganj.</t>
  </si>
  <si>
    <t>Kazi Mizanur Rahman</t>
  </si>
  <si>
    <t>01716-591435</t>
  </si>
  <si>
    <t>46, Road:01, Block: A, Niketon, Gulshan, Dhaka</t>
  </si>
  <si>
    <t xml:space="preserve"> </t>
  </si>
  <si>
    <t>730, Kanchon, Rupgonj, Narayongonj</t>
  </si>
  <si>
    <t>A+ (Ve)</t>
  </si>
  <si>
    <t>House: 590, Road:08, Avenue: 4, DOHS, Mirpur, Dhaka</t>
  </si>
  <si>
    <t>Kazi Monjil, Plice Line Road, Kumarkhali, Sadar, Pirpjpur.</t>
  </si>
  <si>
    <t>Md. Abdul Kaium Sohag</t>
  </si>
  <si>
    <t>DGM</t>
  </si>
  <si>
    <t>01905596165</t>
  </si>
  <si>
    <t>0y-5m-16d</t>
  </si>
  <si>
    <t xml:space="preserve">  DMD</t>
  </si>
  <si>
    <t>20</t>
  </si>
  <si>
    <t>21</t>
  </si>
  <si>
    <t>Md. Estiak Mahbub</t>
  </si>
  <si>
    <t>Md. Ridoy Khan</t>
  </si>
  <si>
    <t>01401-216526</t>
  </si>
  <si>
    <t>01905596168</t>
  </si>
  <si>
    <t>01317-212242</t>
  </si>
  <si>
    <t>56/A, West Rajabazar, Tejgaon, Dhaka</t>
  </si>
  <si>
    <t>Norosinghopu, Najirganj, Sujanagar, Pabna.</t>
  </si>
  <si>
    <t>22</t>
  </si>
  <si>
    <t>Akhi Akter Urmi</t>
  </si>
  <si>
    <t>01905596173</t>
  </si>
  <si>
    <t>23</t>
  </si>
  <si>
    <t>Labonno Shikder</t>
  </si>
  <si>
    <t>01905596330</t>
  </si>
  <si>
    <t>24</t>
  </si>
  <si>
    <t>Md. Jahir Rayhan</t>
  </si>
  <si>
    <t>01905596110</t>
  </si>
  <si>
    <t>A+ (VE)</t>
  </si>
  <si>
    <t>Alfun Garden, Gulshan-2</t>
  </si>
  <si>
    <t>Udaypur, Barishal</t>
  </si>
  <si>
    <t>25</t>
  </si>
  <si>
    <t>Nurunnahar Popy</t>
  </si>
  <si>
    <t>01905596241</t>
  </si>
  <si>
    <t>26</t>
  </si>
  <si>
    <t>Md. Altahid Hossain Ashik</t>
  </si>
  <si>
    <t>01905596107</t>
  </si>
  <si>
    <t>01629-985484</t>
  </si>
  <si>
    <t>01307-477907</t>
  </si>
  <si>
    <t>27</t>
  </si>
  <si>
    <t>Ananna Ahmed</t>
  </si>
  <si>
    <t>01905596182</t>
  </si>
  <si>
    <t>01777-987725</t>
  </si>
  <si>
    <t>Shish Kababer Goli, South badda, Gulshan, Dhaka</t>
  </si>
  <si>
    <t>West Charamaddi, Charamaddi, Bakergonj, Barishal</t>
  </si>
  <si>
    <t>28</t>
  </si>
  <si>
    <t>Md. Noman Islam</t>
  </si>
  <si>
    <t>01905596327</t>
  </si>
  <si>
    <t>29</t>
  </si>
  <si>
    <t>Sourav Kundu</t>
  </si>
  <si>
    <t>01905596119</t>
  </si>
  <si>
    <t>Batch-03</t>
  </si>
  <si>
    <t>30</t>
  </si>
  <si>
    <t>Rabiul Islam</t>
  </si>
  <si>
    <t>01905596183</t>
  </si>
  <si>
    <t>01714-014951</t>
  </si>
  <si>
    <t>31</t>
  </si>
  <si>
    <t>B+ (VeO</t>
  </si>
  <si>
    <t>H-10 (6th Floor), R-15, B-G/1, Section-2, Mirpur, Dhaka1216.</t>
  </si>
  <si>
    <t>Banchha Nagar, Lakshmipur, Sadar, Lakshmipur</t>
  </si>
  <si>
    <t>32</t>
  </si>
  <si>
    <t>Kamrul Hasan</t>
  </si>
  <si>
    <t>01846-023212</t>
  </si>
  <si>
    <t>Aftabnagar, Rampura, Dhaka.</t>
  </si>
  <si>
    <t>Gofran Mohajon Bari, Sonapur, Sadar Noakhali</t>
  </si>
  <si>
    <t>33</t>
  </si>
  <si>
    <t>Mehedi Hasan Pritom</t>
  </si>
  <si>
    <t>34</t>
  </si>
  <si>
    <t>Joy Chandra De</t>
  </si>
  <si>
    <t>01619-929903</t>
  </si>
  <si>
    <t>House: 230, Road: 04, Block: F, Bashundhara R/A, Dhaka</t>
  </si>
  <si>
    <t>House: 117, Ward: 03, Bhola Sadar, Bhola</t>
  </si>
  <si>
    <t>35</t>
  </si>
  <si>
    <t>Md. Omar Faruk Mridul</t>
  </si>
  <si>
    <t>01405-908950</t>
  </si>
  <si>
    <t>House: 130/13, Road:02, Baganbari, Basabo, Dhaka</t>
  </si>
  <si>
    <t>7th Lane, Sobujbag, Sadar, Potuakhali.</t>
  </si>
  <si>
    <t>36</t>
  </si>
  <si>
    <t>01825-344949</t>
  </si>
  <si>
    <t>Hafiza Khanam</t>
  </si>
  <si>
    <t>01905-596331</t>
  </si>
  <si>
    <t>01632-581664</t>
  </si>
  <si>
    <t>23/C, Jhigatola, Flate: 9/D, Hazaribag, Dhaka-1209</t>
  </si>
  <si>
    <t>Soroshpu, pohordanga, Noragati, Narail</t>
  </si>
  <si>
    <t>37</t>
  </si>
  <si>
    <t>1469, Chowdhury Monjil, South Donia, Dhaka-1236</t>
  </si>
  <si>
    <t>Borobari, Changariya, Guthiya, Uzirpur, Barishal-8200</t>
  </si>
  <si>
    <t>Others Dep.</t>
  </si>
  <si>
    <t>Deputy Manager</t>
  </si>
  <si>
    <t>01905596176</t>
  </si>
  <si>
    <t>38</t>
  </si>
  <si>
    <t>Mehedi Hasan Tahsan</t>
  </si>
  <si>
    <t>01905596185</t>
  </si>
  <si>
    <t>01732-231224</t>
  </si>
  <si>
    <t>House: 56, Road: 02, Redio Colony, Savar, Dhaka</t>
  </si>
  <si>
    <t>Angul Kata, Mathbariya, Mathbariya, Pirpjpur.</t>
  </si>
  <si>
    <t>39</t>
  </si>
  <si>
    <t>Hridoy Kumar Das</t>
  </si>
  <si>
    <t>01905596324</t>
  </si>
  <si>
    <t>01793-531955</t>
  </si>
  <si>
    <t>Front Desk</t>
  </si>
  <si>
    <t>01705-357257</t>
  </si>
  <si>
    <t>LA-8, East Merul Badda, Badda, Dhaka</t>
  </si>
  <si>
    <t>Das Bari, Choto Dhuturabari, Nali, Shibaloy, Manikganj</t>
  </si>
  <si>
    <t>40</t>
  </si>
  <si>
    <t>Sadia Sultana</t>
  </si>
  <si>
    <t>01874-208458</t>
  </si>
  <si>
    <t>Adarsha Chayanir, Ring Road, Shompa Market, Mohammadpur.</t>
  </si>
  <si>
    <t>Goshar hat, Muladi, Khuner Char, Hizla, Barishal</t>
  </si>
  <si>
    <t>Md Harunur Rashid</t>
  </si>
  <si>
    <t>01324-933977</t>
  </si>
  <si>
    <t>01854-390982</t>
  </si>
  <si>
    <t>Asim Goli, South Badda, Dhaka</t>
  </si>
  <si>
    <t>Maowlana A. Rajjak Saheber Bari, Purbo Mirza Nagar, Nateshwar, Sonaimuri, Noakhali</t>
  </si>
  <si>
    <t>House: 227, Road: 06, Block: D, Bashundhara, Dhaka</t>
  </si>
  <si>
    <t>D-465, Housing Estate, Kustia Sadar, Kustia-7000.</t>
  </si>
  <si>
    <t>Md. Sadek Mia</t>
  </si>
  <si>
    <t>Supervisor</t>
  </si>
  <si>
    <t>41</t>
  </si>
  <si>
    <t>Debosree Shaha Chowdhury</t>
  </si>
  <si>
    <t>01905596309</t>
  </si>
  <si>
    <t>01783-670068</t>
  </si>
  <si>
    <t>01617-314786</t>
  </si>
  <si>
    <t>Abdullah Biswas</t>
  </si>
  <si>
    <t>Off. Assistant</t>
  </si>
  <si>
    <t>Bazar Goli, Moddho Badda, Gulshan, Dhaka</t>
  </si>
  <si>
    <t>01812-151691</t>
  </si>
  <si>
    <t>H: 022-00, Abu Mia Road, Radha Nagar, Sadar, Pabna.</t>
  </si>
  <si>
    <t>42</t>
  </si>
  <si>
    <t>Md. Ibrahim</t>
  </si>
  <si>
    <t>Driver</t>
  </si>
  <si>
    <t>01328-169826</t>
  </si>
  <si>
    <t>43</t>
  </si>
  <si>
    <t>Md Fahad Hasan Oney</t>
  </si>
  <si>
    <t>01905596148</t>
  </si>
  <si>
    <t>01989-593148</t>
  </si>
  <si>
    <t>Md. Anower Hossain (Sohel)</t>
  </si>
  <si>
    <t>01772195677</t>
  </si>
  <si>
    <t>House: 136/37, Moyshan Bari Road, Kuril, Vatara, Kuril.</t>
  </si>
  <si>
    <t>H: 37, Sarthi, Shikkhaboard, Sdar, Jessore- 7401</t>
  </si>
  <si>
    <t>44</t>
  </si>
  <si>
    <t>Md. Abdullah Al Mamun</t>
  </si>
  <si>
    <t>01737-961233</t>
  </si>
  <si>
    <t>Md. Soyab</t>
  </si>
  <si>
    <t>01780339916</t>
  </si>
  <si>
    <t>Address: House: Pandit Bari, Village: Raichand, Post Office: Raichand 8332, Lalmohan, Place of Birth BHOLA</t>
  </si>
  <si>
    <t>TA/22, Link Road, Middle Badda, Dhaka</t>
  </si>
  <si>
    <t>Mia Bari, Bera Khawra, Belkuchi, Sirajganj-6740</t>
  </si>
  <si>
    <t>45</t>
  </si>
  <si>
    <t>Jubair Alam</t>
  </si>
  <si>
    <t>01905-042421</t>
  </si>
  <si>
    <t>125/1, Malibag, Kakrail, Shantinagar TSO, Motijheel, Dhaka-1217</t>
  </si>
  <si>
    <t>46</t>
  </si>
  <si>
    <t>Md. Minhazul Abedin</t>
  </si>
  <si>
    <t>01905-596281</t>
  </si>
  <si>
    <t>01743-660682</t>
  </si>
  <si>
    <t>330, Nook Bhuiyan Tower, Kawlarbazar, Dakshunkhan, Uttara, Dhaka.</t>
  </si>
  <si>
    <t>Koladiya, Khamarer Bazar, Muktagacha, Maymensingh-2210</t>
  </si>
  <si>
    <t>47</t>
  </si>
  <si>
    <t>Md. Abu Sayam Bhuiyan</t>
  </si>
  <si>
    <t>01834-582064</t>
  </si>
  <si>
    <t>Gudaraghat, Badda, Dhaka- 1212</t>
  </si>
  <si>
    <t>Nur Mohammad Bhuiyan Bari, Bahari nagar, Bozrea, Sonaimuri, Noakhali-3824</t>
  </si>
  <si>
    <t>48</t>
  </si>
  <si>
    <t>01648-828308</t>
  </si>
  <si>
    <t>H: 1774, Rowshan Monjil, National UV, Gazipur</t>
  </si>
  <si>
    <t>Abdul Karim Hazi Bari, Dhormopur, Bijbag,Senbag, Noakhali-3862</t>
  </si>
  <si>
    <t>49</t>
  </si>
  <si>
    <t>Minhaz Mohammed Ratul</t>
  </si>
  <si>
    <t>01990-786615</t>
  </si>
  <si>
    <t>01323-582874</t>
  </si>
  <si>
    <t>A/82, Chandpara, National University, Sadar, Gazipur-1704</t>
  </si>
  <si>
    <t>50</t>
  </si>
  <si>
    <t>51</t>
  </si>
  <si>
    <t>52</t>
  </si>
  <si>
    <t>Samir Al Hossain</t>
  </si>
  <si>
    <t>01401-216512</t>
  </si>
  <si>
    <t>53</t>
  </si>
  <si>
    <t>Jannatul Ferdaus</t>
  </si>
  <si>
    <t>01894-944623</t>
  </si>
  <si>
    <t>54</t>
  </si>
  <si>
    <t>Akbar Hossain Bhuiyan</t>
  </si>
  <si>
    <t>01896-006175</t>
  </si>
  <si>
    <t>55</t>
  </si>
  <si>
    <t>Farzana Akter Purnima</t>
  </si>
  <si>
    <t>01905-596344</t>
  </si>
  <si>
    <t>56</t>
  </si>
  <si>
    <t>Akash Mondol</t>
  </si>
  <si>
    <t>01608-227537</t>
  </si>
  <si>
    <t>Block: PA, Baunia, PSO, Mirpur-12, Dhaka</t>
  </si>
  <si>
    <t>57</t>
  </si>
  <si>
    <t>Mohammad Rayhan Gafur</t>
  </si>
  <si>
    <t>01335-144070</t>
  </si>
  <si>
    <t>01716-029977</t>
  </si>
  <si>
    <t>3/A/1, Salimullah Road, Mohammadpur, Dhaka</t>
  </si>
  <si>
    <t>Devid Company Para, Sadar, Gaibandha-5700</t>
  </si>
  <si>
    <t>58</t>
  </si>
  <si>
    <t>Afsar Uddin</t>
  </si>
  <si>
    <t>01401-216567</t>
  </si>
  <si>
    <t>01819-783918</t>
  </si>
  <si>
    <t>Lamchi Prashad, Takiya Bazar, Kabirhat, Noakhali</t>
  </si>
  <si>
    <t>59</t>
  </si>
  <si>
    <t>Nazmul Hossain</t>
  </si>
  <si>
    <t>019907-86660</t>
  </si>
  <si>
    <t>01610-784473</t>
  </si>
  <si>
    <t>50, Kathalbagan, Kolabagaan, Dhaka</t>
  </si>
  <si>
    <t>Durgapur, Sujapur, Pabna</t>
  </si>
  <si>
    <t>60</t>
  </si>
  <si>
    <t>Jenat Jahan Bhuiyan</t>
  </si>
  <si>
    <t>01896-006152</t>
  </si>
  <si>
    <t>61</t>
  </si>
  <si>
    <t>Most. Falguni Ather Rupsha</t>
  </si>
  <si>
    <t>01905-596327</t>
  </si>
  <si>
    <t>01839-134041</t>
  </si>
  <si>
    <t>32/5, Khoka Miar Goli, Iraqi Math, Azimpur, Dhaka</t>
  </si>
  <si>
    <t>Vobanipur, Basubebpur, Polashbari, Gaibandha-5730</t>
  </si>
  <si>
    <t>62</t>
  </si>
  <si>
    <t>Tasfin Sadaf Khondaker</t>
  </si>
  <si>
    <t>01990-786693</t>
  </si>
  <si>
    <t>01941-668964</t>
  </si>
  <si>
    <t>58, Shorotgupta Road, Narinda, Wari, Gendaria, Dhaka-1100</t>
  </si>
  <si>
    <t>63</t>
  </si>
  <si>
    <t>Muntasir Alom Khan</t>
  </si>
  <si>
    <t>01905-596332</t>
  </si>
  <si>
    <t>01342-824214</t>
  </si>
  <si>
    <t>137/A, Haque Villa, Modhu Bazar Choto Masjid, Dhanmondi-19, Dhaka</t>
  </si>
  <si>
    <t>Jannat Bhaban, Kongaish, Haziganj Powrashava, Chandpur-3610</t>
  </si>
  <si>
    <t>64</t>
  </si>
  <si>
    <t>31/KA, Rupkotha, Noddashorkarimoshjid, Dhaka-1212</t>
  </si>
  <si>
    <t>Akter kamaler bari, Ramu, Coxsbazar</t>
  </si>
  <si>
    <t>65</t>
  </si>
  <si>
    <t>66</t>
  </si>
  <si>
    <t>67</t>
  </si>
  <si>
    <t>68</t>
  </si>
  <si>
    <t>69</t>
  </si>
  <si>
    <t>70</t>
  </si>
  <si>
    <t>Tanver Hossain</t>
  </si>
  <si>
    <t>Sr. Asst. Manager</t>
  </si>
  <si>
    <t>01905-596162</t>
  </si>
  <si>
    <t>71</t>
  </si>
  <si>
    <t>72</t>
  </si>
  <si>
    <t>73</t>
  </si>
  <si>
    <t>74</t>
  </si>
  <si>
    <t>75</t>
  </si>
  <si>
    <t>76</t>
  </si>
  <si>
    <t>77</t>
  </si>
  <si>
    <t>78</t>
  </si>
  <si>
    <t>Admin &amp; Accounts</t>
  </si>
  <si>
    <t>79</t>
  </si>
  <si>
    <t>Shahinul Islam Shahin</t>
  </si>
  <si>
    <t>01905596167</t>
  </si>
  <si>
    <t>01632-761440</t>
  </si>
  <si>
    <t>Bilash Bhaban, Shahid Abdul Aziz Road, Nodda, Dhaka.</t>
  </si>
  <si>
    <t>Nurul Amins House, Dokkhin Kolatoli, Sadar, Cox's Bazar.</t>
  </si>
  <si>
    <t>80</t>
  </si>
  <si>
    <t>81</t>
  </si>
  <si>
    <t>Rajjak Maowlanar Bari, Mirzanagar, Nateshwar, Sonaimuri, Noakhali</t>
  </si>
  <si>
    <t>82</t>
  </si>
  <si>
    <t>83</t>
  </si>
  <si>
    <t>Md Jashim Uddin (Ripon)</t>
  </si>
  <si>
    <t>01643-570368</t>
  </si>
  <si>
    <t>Lal  Mia Pondit Bari, Norottompur, Ponditbazar, Begumgonj, Noakhali</t>
  </si>
  <si>
    <t>84</t>
  </si>
  <si>
    <t>85</t>
  </si>
  <si>
    <t>86</t>
  </si>
  <si>
    <t>Yeasin Mannan Piash</t>
  </si>
  <si>
    <t>Cox's</t>
  </si>
  <si>
    <t>01345-598224</t>
  </si>
  <si>
    <t>273, Floor: 01, Road: 01, Block: B, Bashundhara R/A</t>
  </si>
  <si>
    <t>Mansum Bhaban, Tajor Mulluk Sarak, Moddhom Baharchara, Sadar, Cox's Bazar-4700</t>
  </si>
  <si>
    <t>87</t>
  </si>
  <si>
    <t>Ranzan Kumar Das</t>
  </si>
  <si>
    <t>01716-450505</t>
  </si>
  <si>
    <t>Holding: 133/1, Bismillah Taower, Ward: 34, Hariken, Sadar, Gazipur</t>
  </si>
  <si>
    <t>Berabari, Bhawal Narayanpur, Shreepur, Gazipur-1740</t>
  </si>
  <si>
    <t>88</t>
  </si>
  <si>
    <t>Md. Abdul Aziz</t>
  </si>
  <si>
    <t>01632-371544</t>
  </si>
  <si>
    <t>Abul Kalam'sHouse, Vatirtek, Dhorompur, Noakhali-3802</t>
  </si>
  <si>
    <t>89</t>
  </si>
  <si>
    <t>Md. Zasim</t>
  </si>
  <si>
    <t>01910-912348</t>
  </si>
  <si>
    <t>Holding: 94/1, Road: 03, Section: 12, Block: E, Post: Mirpur, Pallabi, Dhaka-1216</t>
  </si>
  <si>
    <t>90</t>
  </si>
  <si>
    <t>Md Shohag Mdbar</t>
  </si>
  <si>
    <t>01301-086084</t>
  </si>
  <si>
    <t>Mirkanda Para, Noria, Shariyatpur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</si>
  <si>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</si>
  <si>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>Date: 19/03/2026</t>
  </si>
  <si>
    <t>Taka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</si>
  <si>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</si>
  <si>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>Date:</t>
  </si>
  <si>
    <t>Admin &amp; Acc.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</si>
  <si>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</si>
  <si>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>Date: 26/02/2026</t>
  </si>
  <si>
    <t>Team: A</t>
  </si>
  <si>
    <t>Abdullah Al Mamun</t>
  </si>
  <si>
    <t>Team: B</t>
  </si>
  <si>
    <t>Md. Parvez Kamal</t>
  </si>
  <si>
    <t>Ranzan Kumar Dash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</si>
  <si>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</si>
  <si>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>01905-596172</t>
  </si>
  <si>
    <t>01905-596181</t>
  </si>
  <si>
    <t>Joy Chandra Dey</t>
  </si>
  <si>
    <t>01905-596118</t>
  </si>
  <si>
    <t>01880-089026</t>
  </si>
  <si>
    <t>01905-596178</t>
  </si>
  <si>
    <t>01905-596186</t>
  </si>
  <si>
    <t>01905-596185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</si>
</sst>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mmmm\ d\,\ yyyy"/>
    <numFmt numFmtId="165" formatCode="_(* #,##0_);_(* \(#,##0\);_(* &quot;-&quot;??_);_(@_)"/>
    <numFmt numFmtId="166" formatCode="[$-409]d\-mmm\-yyyy"/>
    <numFmt numFmtId="167" formatCode="d-mmm-yyyy"/>
    <numFmt numFmtId="168" formatCode="[$-409]d\-mmm\-yy"/>
  </numFmts>
  <fonts count="19">
    <font>
      <sz val="11.0"/>
      <color theme="1"/>
      <name val="Calibri"/>
      <scheme val="minor"/>
    </font>
    <font>
      <sz val="11.0"/>
      <color theme="1"/>
      <name val="Times New Roman"/>
    </font>
    <font>
      <b/>
      <u/>
      <sz val="18.0"/>
      <color theme="1"/>
      <name val="Times New Roman"/>
    </font>
    <font/>
    <font>
      <b/>
      <u/>
      <sz val="18.0"/>
      <color theme="1"/>
      <name val="Times New Roman"/>
    </font>
    <font>
      <b/>
      <sz val="14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b/>
      <sz val="11.0"/>
      <color theme="1"/>
      <name val="Times New Roman"/>
    </font>
    <font>
      <u/>
      <sz val="12.0"/>
      <color theme="1"/>
      <name val="Times New Roman"/>
    </font>
    <font>
      <b/>
      <sz val="13.0"/>
      <color theme="1"/>
      <name val="Times New Roman"/>
    </font>
    <font>
      <b/>
      <sz val="12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sz val="13.0"/>
      <color theme="1"/>
      <name val="Times New Roman"/>
    </font>
    <font>
      <b/>
      <sz val="16.0"/>
      <color theme="1"/>
      <name val="Times New Roman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</fills>
  <borders count="4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/>
    </border>
    <border>
      <top/>
    </border>
    <border>
      <right/>
      <top/>
    </border>
    <border>
      <left/>
      <right/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vertical="center"/>
    </xf>
    <xf borderId="1" fillId="2" fontId="7" numFmtId="0" xfId="0" applyBorder="1" applyFill="1" applyFont="1"/>
    <xf borderId="1" fillId="2" fontId="1" numFmtId="0" xfId="0" applyAlignment="1" applyBorder="1" applyFill="1" applyFont="1">
      <alignment horizontal="left" vertical="center"/>
    </xf>
    <xf borderId="5" fillId="3" fontId="8" numFmtId="0" xfId="0" applyAlignment="1" applyBorder="1" applyFill="1" applyFont="1">
      <alignment horizontal="center" vertical="center"/>
    </xf>
    <xf borderId="2" fillId="2" fontId="9" numFmtId="0" xfId="0" applyAlignment="1" applyBorder="1" applyFill="1" applyFont="1">
      <alignment horizontal="center" readingOrder="0"/>
    </xf>
    <xf borderId="6" fillId="2" fontId="10" numFmtId="0" xfId="0" applyAlignment="1" applyBorder="1" applyFill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2" fontId="1" numFmtId="0" xfId="0" applyAlignment="1" applyBorder="1" applyFill="1" applyFont="1">
      <alignment horizontal="left" vertical="center"/>
    </xf>
    <xf borderId="1" fillId="2" fontId="1" numFmtId="49" xfId="0" applyAlignment="1" applyBorder="1" applyFill="1" applyFont="1" applyNumberFormat="1">
      <alignment vertical="center"/>
    </xf>
    <xf borderId="1" fillId="2" fontId="8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10" fillId="3" fontId="11" numFmtId="164" xfId="0" applyAlignment="1" applyBorder="1" applyFill="1" applyFont="1" applyNumberFormat="1">
      <alignment horizontal="center" vertical="center"/>
    </xf>
    <xf borderId="11" fillId="4" fontId="12" numFmtId="0" xfId="0" applyAlignment="1" applyBorder="1" applyFill="1" applyFont="1">
      <alignment shrinkToFit="0" vertical="center" wrapText="1"/>
    </xf>
    <xf borderId="12" fillId="4" fontId="12" numFmtId="0" xfId="0" applyAlignment="1" applyBorder="1" applyFill="1" applyFont="1">
      <alignment horizontal="center" shrinkToFit="0" vertical="center" wrapText="1"/>
    </xf>
    <xf borderId="11" fillId="4" fontId="10" numFmtId="0" xfId="0" applyAlignment="1" applyBorder="1" applyFill="1" applyFont="1">
      <alignment shrinkToFit="0" vertical="center" wrapText="1"/>
    </xf>
    <xf borderId="0" fillId="0" fontId="11" numFmtId="14" xfId="0" applyAlignment="1" applyFont="1" applyNumberFormat="1">
      <alignment horizontal="center" vertical="center"/>
    </xf>
    <xf borderId="13" fillId="4" fontId="12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vertical="center"/>
    </xf>
    <xf borderId="12" fillId="4" fontId="10" numFmtId="0" xfId="0" applyAlignment="1" applyBorder="1" applyFill="1" applyFont="1">
      <alignment horizontal="center" shrinkToFit="0" vertical="center" wrapText="1"/>
    </xf>
    <xf borderId="5" fillId="4" fontId="10" numFmtId="0" xfId="0" applyAlignment="1" applyBorder="1" applyFill="1" applyFont="1">
      <alignment shrinkToFit="0" vertical="center" wrapText="1"/>
    </xf>
    <xf quotePrefix="1" borderId="14" fillId="2" fontId="13" numFmtId="0" xfId="0" applyAlignment="1" applyBorder="1" applyFill="1" applyFont="1">
      <alignment horizontal="center" readingOrder="0" vertical="center"/>
    </xf>
    <xf borderId="12" fillId="4" fontId="12" numFmtId="0" xfId="0" applyAlignment="1" applyBorder="1" applyFill="1" applyFont="1">
      <alignment horizontal="center" readingOrder="0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15" fillId="5" fontId="5" numFmtId="0" xfId="0" applyAlignment="1" applyBorder="1" applyFill="1" applyFont="1">
      <alignment horizontal="center" shrinkToFit="0" textRotation="90" vertical="center" wrapText="1"/>
    </xf>
    <xf borderId="16" fillId="6" fontId="12" numFmtId="0" xfId="0" applyAlignment="1" applyBorder="1" applyFill="1" applyFont="1">
      <alignment horizontal="left" vertical="center"/>
    </xf>
    <xf borderId="16" fillId="6" fontId="12" numFmtId="0" xfId="0" applyAlignment="1" applyBorder="1" applyFill="1" applyFont="1">
      <alignment horizontal="left" readingOrder="0" vertical="center"/>
    </xf>
    <xf quotePrefix="1" borderId="16" fillId="6" fontId="13" numFmtId="0" xfId="0" applyAlignment="1" applyBorder="1" applyFill="1" applyFont="1">
      <alignment horizontal="center" vertical="center"/>
    </xf>
    <xf borderId="16" fillId="6" fontId="12" numFmtId="165" xfId="0" applyAlignment="1" applyBorder="1" applyFill="1" applyFont="1" applyNumberFormat="1">
      <alignment horizontal="right" vertical="center"/>
    </xf>
    <xf borderId="17" fillId="6" fontId="13" numFmtId="0" xfId="0" applyAlignment="1" applyBorder="1" applyFill="1" applyFont="1">
      <alignment horizontal="center" vertical="center"/>
    </xf>
    <xf borderId="14" fillId="2" fontId="13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6" fillId="0" fontId="13" numFmtId="0" xfId="0" applyAlignment="1" applyBorder="1" applyFont="1">
      <alignment vertical="center"/>
    </xf>
    <xf borderId="16" fillId="2" fontId="13" numFmtId="0" xfId="0" applyAlignment="1" applyBorder="1" applyFill="1" applyFont="1">
      <alignment horizontal="left" vertical="center"/>
    </xf>
    <xf borderId="16" fillId="2" fontId="13" numFmtId="0" xfId="0" applyAlignment="1" applyBorder="1" applyFill="1" applyFont="1">
      <alignment horizontal="center" vertical="center"/>
    </xf>
    <xf borderId="16" fillId="0" fontId="12" numFmtId="165" xfId="0" applyAlignment="1" applyBorder="1" applyFont="1" applyNumberFormat="1">
      <alignment horizontal="right" vertical="center"/>
    </xf>
    <xf borderId="17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left" readingOrder="0" vertical="center"/>
    </xf>
    <xf borderId="16" fillId="2" fontId="13" numFmtId="0" xfId="0" applyAlignment="1" applyBorder="1" applyFill="1" applyFont="1">
      <alignment horizontal="left" readingOrder="0" vertical="center"/>
    </xf>
    <xf borderId="16" fillId="2" fontId="13" numFmtId="0" xfId="0" applyAlignment="1" applyBorder="1" applyFill="1" applyFont="1">
      <alignment horizontal="center" readingOrder="0" vertical="center"/>
    </xf>
    <xf borderId="16" fillId="0" fontId="12" numFmtId="165" xfId="0" applyAlignment="1" applyBorder="1" applyFont="1" applyNumberFormat="1">
      <alignment horizontal="right" readingOrder="0" vertical="center"/>
    </xf>
    <xf quotePrefix="1" borderId="16" fillId="2" fontId="13" numFmtId="0" xfId="0" applyAlignment="1" applyBorder="1" applyFill="1" applyFont="1">
      <alignment horizontal="center" vertical="center"/>
    </xf>
    <xf borderId="2" fillId="2" fontId="1" numFmtId="0" xfId="0" applyBorder="1" applyFill="1" applyFont="1"/>
    <xf borderId="16" fillId="2" fontId="13" numFmtId="0" xfId="0" applyAlignment="1" applyBorder="1" applyFill="1" applyFont="1">
      <alignment vertical="center"/>
    </xf>
    <xf borderId="16" fillId="2" fontId="12" numFmtId="165" xfId="0" applyAlignment="1" applyBorder="1" applyFill="1" applyFont="1" applyNumberFormat="1">
      <alignment horizontal="right" vertical="center"/>
    </xf>
    <xf borderId="4" fillId="2" fontId="1" numFmtId="0" xfId="0" applyBorder="1" applyFill="1" applyFont="1"/>
    <xf borderId="16" fillId="2" fontId="13" numFmtId="0" xfId="0" applyAlignment="1" applyBorder="1" applyFill="1" applyFont="1">
      <alignment horizontal="center" readingOrder="0"/>
    </xf>
    <xf borderId="16" fillId="2" fontId="13" numFmtId="0" xfId="0" applyAlignment="1" applyBorder="1" applyFill="1" applyFont="1">
      <alignment horizontal="center"/>
    </xf>
    <xf borderId="16" fillId="0" fontId="13" numFmtId="0" xfId="0" applyAlignment="1" applyBorder="1" applyFont="1">
      <alignment horizontal="left" vertical="center"/>
    </xf>
    <xf borderId="19" fillId="4" fontId="10" numFmtId="0" xfId="0" applyAlignment="1" applyBorder="1" applyFill="1" applyFont="1">
      <alignment horizontal="center" shrinkToFit="0" vertical="center" wrapText="1"/>
    </xf>
    <xf borderId="13" fillId="4" fontId="10" numFmtId="0" xfId="0" applyAlignment="1" applyBorder="1" applyFill="1" applyFont="1">
      <alignment horizontal="center" shrinkToFit="0" vertical="center" wrapText="1"/>
    </xf>
    <xf borderId="20" fillId="4" fontId="10" numFmtId="0" xfId="0" applyAlignment="1" applyBorder="1" applyFill="1" applyFont="1">
      <alignment horizontal="center" shrinkToFit="0" vertical="center" wrapText="1"/>
    </xf>
    <xf borderId="21" fillId="4" fontId="10" numFmtId="0" xfId="0" applyAlignment="1" applyBorder="1" applyFill="1" applyFont="1">
      <alignment horizontal="center" shrinkToFit="0" vertical="center" wrapText="1"/>
    </xf>
    <xf quotePrefix="1" borderId="22" fillId="6" fontId="10" numFmtId="0" xfId="0" applyAlignment="1" applyBorder="1" applyFill="1" applyFont="1">
      <alignment horizontal="center" readingOrder="0" shrinkToFit="0" vertical="center" wrapText="1"/>
    </xf>
    <xf borderId="20" fillId="4" fontId="10" numFmtId="0" xfId="0" applyAlignment="1" applyBorder="1" applyFill="1" applyFont="1">
      <alignment horizontal="left" shrinkToFit="0" vertical="center" wrapText="1"/>
    </xf>
    <xf borderId="23" fillId="0" fontId="3" numFmtId="0" xfId="0" applyBorder="1" applyFont="1"/>
    <xf borderId="15" fillId="5" fontId="14" numFmtId="0" xfId="0" applyAlignment="1" applyBorder="1" applyFill="1" applyFont="1">
      <alignment horizontal="center" readingOrder="0" shrinkToFit="0" textRotation="90" vertical="center" wrapText="1"/>
    </xf>
    <xf borderId="16" fillId="0" fontId="13" numFmtId="0" xfId="0" applyAlignment="1" applyBorder="1" applyFont="1">
      <alignment vertical="center"/>
    </xf>
    <xf borderId="24" fillId="4" fontId="10" numFmtId="0" xfId="0" applyAlignment="1" applyBorder="1" applyFill="1" applyFont="1">
      <alignment horizontal="center" shrinkToFit="0" vertical="center" wrapText="1"/>
    </xf>
    <xf quotePrefix="1" borderId="25" fillId="2" fontId="13" numFmtId="0" xfId="0" applyAlignment="1" applyBorder="1" applyFill="1" applyFont="1">
      <alignment horizontal="center" vertical="center"/>
    </xf>
    <xf borderId="26" fillId="6" fontId="5" numFmtId="0" xfId="0" applyAlignment="1" applyBorder="1" applyFill="1" applyFont="1">
      <alignment horizontal="left" vertical="center"/>
    </xf>
    <xf borderId="16" fillId="6" fontId="10" numFmtId="0" xfId="0" applyAlignment="1" applyBorder="1" applyFill="1" applyFont="1">
      <alignment horizontal="left" vertical="center"/>
    </xf>
    <xf borderId="26" fillId="6" fontId="10" numFmtId="0" xfId="0" applyAlignment="1" applyBorder="1" applyFill="1" applyFont="1">
      <alignment horizontal="center" vertical="center"/>
    </xf>
    <xf quotePrefix="1" borderId="26" fillId="6" fontId="15" numFmtId="0" xfId="0" applyAlignment="1" applyBorder="1" applyFill="1" applyFont="1">
      <alignment horizontal="center" vertical="center"/>
    </xf>
    <xf borderId="26" fillId="6" fontId="16" numFmtId="166" xfId="0" applyAlignment="1" applyBorder="1" applyFill="1" applyFont="1" applyNumberFormat="1">
      <alignment horizontal="right" vertical="center"/>
    </xf>
    <xf borderId="21" fillId="4" fontId="10" numFmtId="49" xfId="0" applyAlignment="1" applyBorder="1" applyFill="1" applyFont="1" applyNumberFormat="1">
      <alignment horizontal="center" shrinkToFit="0" vertical="center" wrapText="1"/>
    </xf>
    <xf borderId="16" fillId="6" fontId="5" numFmtId="0" xfId="0" applyAlignment="1" applyBorder="1" applyFill="1" applyFont="1">
      <alignment horizontal="left" vertical="center"/>
    </xf>
    <xf borderId="26" fillId="6" fontId="15" numFmtId="0" xfId="0" applyAlignment="1" applyBorder="1" applyFill="1" applyFont="1">
      <alignment horizontal="right" vertical="center"/>
    </xf>
    <xf borderId="16" fillId="2" fontId="13" numFmtId="0" xfId="0" applyAlignment="1" applyBorder="1" applyFill="1" applyFont="1">
      <alignment horizontal="left" vertical="center"/>
    </xf>
    <xf quotePrefix="1" borderId="16" fillId="6" fontId="8" numFmtId="0" xfId="0" applyAlignment="1" applyBorder="1" applyFill="1" applyFont="1">
      <alignment horizontal="center" readingOrder="0" vertical="center"/>
    </xf>
    <xf borderId="16" fillId="6" fontId="8" numFmtId="0" xfId="0" applyAlignment="1" applyBorder="1" applyFill="1" applyFont="1">
      <alignment horizontal="left" readingOrder="0" vertical="center"/>
    </xf>
    <xf quotePrefix="1" borderId="16" fillId="6" fontId="8" numFmtId="0" xfId="0" applyAlignment="1" applyBorder="1" applyFill="1" applyFont="1">
      <alignment horizontal="center" vertical="center"/>
    </xf>
    <xf borderId="26" fillId="6" fontId="16" numFmtId="166" xfId="0" applyAlignment="1" applyBorder="1" applyFill="1" applyFont="1" applyNumberFormat="1">
      <alignment vertical="center"/>
    </xf>
    <xf borderId="16" fillId="2" fontId="13" numFmtId="0" xfId="0" applyAlignment="1" applyBorder="1" applyFill="1" applyFont="1">
      <alignment horizontal="center" vertical="center"/>
    </xf>
    <xf quotePrefix="1" borderId="26" fillId="6" fontId="15" numFmtId="49" xfId="0" applyAlignment="1" applyBorder="1" applyFill="1" applyFont="1" applyNumberFormat="1">
      <alignment horizontal="center" vertical="center"/>
    </xf>
    <xf borderId="16" fillId="6" fontId="10" numFmtId="0" xfId="0" applyAlignment="1" applyBorder="1" applyFill="1" applyFont="1">
      <alignment horizontal="center" vertical="center"/>
    </xf>
    <xf borderId="16" fillId="3" fontId="12" numFmtId="165" xfId="0" applyAlignment="1" applyBorder="1" applyFill="1" applyFont="1" applyNumberFormat="1">
      <alignment horizontal="right" vertical="center"/>
    </xf>
    <xf borderId="16" fillId="6" fontId="16" numFmtId="166" xfId="0" applyAlignment="1" applyBorder="1" applyFill="1" applyFont="1" applyNumberFormat="1">
      <alignment horizontal="right" vertical="center"/>
    </xf>
    <xf quotePrefix="1" borderId="17" fillId="6" fontId="15" numFmtId="0" xfId="0" applyAlignment="1" applyBorder="1" applyFill="1" applyFont="1">
      <alignment horizontal="center" vertical="center"/>
    </xf>
    <xf quotePrefix="1" borderId="15" fillId="5" fontId="5" numFmtId="0" xfId="0" applyAlignment="1" applyBorder="1" applyFill="1" applyFont="1">
      <alignment horizontal="center" readingOrder="0" textRotation="90"/>
    </xf>
    <xf quotePrefix="1" borderId="22" fillId="3" fontId="10" numFmtId="0" xfId="0" applyAlignment="1" applyBorder="1" applyFill="1" applyFont="1">
      <alignment horizontal="center" readingOrder="0" shrinkToFit="0" vertical="center" wrapText="1"/>
    </xf>
    <xf borderId="26" fillId="6" fontId="15" numFmtId="0" xfId="0" applyAlignment="1" applyBorder="1" applyFill="1" applyFont="1">
      <alignment horizontal="center" vertical="center"/>
    </xf>
    <xf borderId="16" fillId="3" fontId="16" numFmtId="0" xfId="0" applyAlignment="1" applyBorder="1" applyFill="1" applyFont="1">
      <alignment readingOrder="0" vertical="center"/>
    </xf>
    <xf borderId="26" fillId="6" fontId="15" numFmtId="0" xfId="0" applyAlignment="1" applyBorder="1" applyFill="1" applyFont="1">
      <alignment horizontal="left" vertical="center"/>
    </xf>
    <xf borderId="16" fillId="3" fontId="16" numFmtId="0" xfId="0" applyAlignment="1" applyBorder="1" applyFill="1" applyFont="1">
      <alignment horizontal="left" readingOrder="0" vertical="center"/>
    </xf>
    <xf quotePrefix="1" borderId="0" fillId="2" fontId="13" numFmtId="0" xfId="0" applyAlignment="1" applyFill="1" applyFont="1">
      <alignment horizontal="center" readingOrder="0" vertical="center"/>
    </xf>
    <xf borderId="16" fillId="3" fontId="12" numFmtId="165" xfId="0" applyAlignment="1" applyBorder="1" applyFill="1" applyFont="1" applyNumberFormat="1">
      <alignment horizontal="right" readingOrder="0" vertical="center"/>
    </xf>
    <xf borderId="16" fillId="3" fontId="16" numFmtId="0" xfId="0" applyAlignment="1" applyBorder="1" applyFill="1" applyFont="1">
      <alignment horizontal="center" readingOrder="0" vertical="center"/>
    </xf>
    <xf borderId="16" fillId="6" fontId="15" numFmtId="0" xfId="0" applyAlignment="1" applyBorder="1" applyFill="1" applyFont="1">
      <alignment horizontal="left" vertical="center"/>
    </xf>
    <xf borderId="16" fillId="5" fontId="17" numFmtId="0" xfId="0" applyAlignment="1" applyBorder="1" applyFill="1" applyFont="1">
      <alignment horizontal="center" shrinkToFit="0" textRotation="90" vertical="center" wrapText="1"/>
    </xf>
    <xf borderId="16" fillId="3" fontId="13" numFmtId="166" xfId="0" applyAlignment="1" applyBorder="1" applyFill="1" applyFont="1" applyNumberFormat="1">
      <alignment horizontal="right" readingOrder="0" shrinkToFit="0" vertical="center" wrapText="1"/>
    </xf>
    <xf quotePrefix="1" borderId="27" fillId="6" fontId="12" numFmtId="0" xfId="0" applyAlignment="1" applyBorder="1" applyFill="1" applyFont="1">
      <alignment horizontal="right" vertical="center"/>
    </xf>
    <xf borderId="28" fillId="0" fontId="3" numFmtId="0" xfId="0" applyBorder="1" applyFont="1"/>
    <xf borderId="16" fillId="6" fontId="16" numFmtId="0" xfId="0" applyAlignment="1" applyBorder="1" applyFill="1" applyFont="1">
      <alignment readingOrder="0" vertical="center"/>
    </xf>
    <xf borderId="26" fillId="6" fontId="15" numFmtId="166" xfId="0" applyAlignment="1" applyBorder="1" applyFill="1" applyFont="1" applyNumberFormat="1">
      <alignment vertical="center"/>
    </xf>
    <xf borderId="17" fillId="3" fontId="16" numFmtId="0" xfId="0" applyAlignment="1" applyBorder="1" applyFill="1" applyFont="1">
      <alignment horizontal="center" readingOrder="0" vertical="center"/>
    </xf>
    <xf borderId="29" fillId="0" fontId="3" numFmtId="0" xfId="0" applyBorder="1" applyFont="1"/>
    <xf borderId="16" fillId="6" fontId="16" numFmtId="0" xfId="0" applyAlignment="1" applyBorder="1" applyFill="1" applyFont="1">
      <alignment horizontal="left" readingOrder="0" vertical="center"/>
    </xf>
    <xf quotePrefix="1" borderId="14" fillId="2" fontId="16" numFmtId="0" xfId="0" applyAlignment="1" applyBorder="1" applyFill="1" applyFont="1">
      <alignment horizontal="center" readingOrder="0" vertical="center"/>
    </xf>
    <xf borderId="30" fillId="6" fontId="12" numFmtId="165" xfId="0" applyAlignment="1" applyBorder="1" applyFill="1" applyFont="1" applyNumberFormat="1">
      <alignment horizontal="right" vertical="center"/>
    </xf>
    <xf borderId="31" fillId="6" fontId="13" numFmtId="0" xfId="0" applyAlignment="1" applyBorder="1" applyFill="1" applyFont="1">
      <alignment horizontal="center" vertical="center"/>
    </xf>
    <xf quotePrefix="1" borderId="26" fillId="6" fontId="15" numFmtId="0" xfId="0" applyAlignment="1" applyBorder="1" applyFill="1" applyFont="1">
      <alignment horizontal="left" vertical="center"/>
    </xf>
    <xf borderId="16" fillId="6" fontId="16" numFmtId="0" xfId="0" applyAlignment="1" applyBorder="1" applyFill="1" applyFont="1">
      <alignment horizontal="center" readingOrder="0" vertical="center"/>
    </xf>
    <xf borderId="16" fillId="0" fontId="16" numFmtId="0" xfId="0" applyAlignment="1" applyBorder="1" applyFont="1">
      <alignment vertical="center"/>
    </xf>
    <xf borderId="16" fillId="6" fontId="16" numFmtId="49" xfId="0" applyAlignment="1" applyBorder="1" applyFill="1" applyFont="1" applyNumberFormat="1">
      <alignment horizontal="center" readingOrder="0" vertical="center"/>
    </xf>
    <xf borderId="16" fillId="2" fontId="16" numFmtId="0" xfId="0" applyAlignment="1" applyBorder="1" applyFill="1" applyFont="1">
      <alignment horizontal="left" vertical="center"/>
    </xf>
    <xf borderId="16" fillId="2" fontId="16" numFmtId="0" xfId="0" applyAlignment="1" applyBorder="1" applyFill="1" applyFont="1">
      <alignment horizontal="center" vertical="center"/>
    </xf>
    <xf borderId="32" fillId="2" fontId="1" numFmtId="0" xfId="0" applyAlignment="1" applyBorder="1" applyFill="1" applyFont="1">
      <alignment vertical="center"/>
    </xf>
    <xf borderId="33" fillId="2" fontId="16" numFmtId="0" xfId="0" applyAlignment="1" applyBorder="1" applyFill="1" applyFont="1">
      <alignment horizontal="center" vertical="center"/>
    </xf>
    <xf borderId="16" fillId="6" fontId="13" numFmtId="0" xfId="0" applyAlignment="1" applyBorder="1" applyFill="1" applyFont="1">
      <alignment horizontal="center" shrinkToFit="0" vertical="center" wrapText="1"/>
    </xf>
    <xf quotePrefix="1" borderId="16" fillId="0" fontId="16" numFmtId="0" xfId="0" applyAlignment="1" applyBorder="1" applyFont="1">
      <alignment horizontal="center" vertical="center"/>
    </xf>
    <xf borderId="32" fillId="2" fontId="1" numFmtId="0" xfId="0" applyAlignment="1" applyBorder="1" applyFill="1" applyFont="1">
      <alignment horizontal="left" vertical="center"/>
    </xf>
    <xf borderId="16" fillId="0" fontId="16" numFmtId="166" xfId="0" applyAlignment="1" applyBorder="1" applyFont="1" applyNumberFormat="1">
      <alignment horizontal="right" vertical="center"/>
    </xf>
    <xf borderId="16" fillId="6" fontId="13" numFmtId="166" xfId="0" applyAlignment="1" applyBorder="1" applyFill="1" applyFont="1" applyNumberFormat="1">
      <alignment horizontal="right" readingOrder="0" shrinkToFit="0" vertical="center" wrapText="1"/>
    </xf>
    <xf quotePrefix="1" borderId="17" fillId="0" fontId="16" numFmtId="0" xfId="0" applyAlignment="1" applyBorder="1" applyFont="1">
      <alignment horizontal="center" vertical="center"/>
    </xf>
    <xf borderId="23" fillId="6" fontId="15" numFmtId="0" xfId="0" applyAlignment="1" applyBorder="1" applyFill="1" applyFont="1">
      <alignment horizontal="right" vertical="center"/>
    </xf>
    <xf borderId="2" fillId="2" fontId="1" numFmtId="0" xfId="0" applyAlignment="1" applyBorder="1" applyFill="1" applyFont="1">
      <alignment horizontal="left" vertical="center"/>
    </xf>
    <xf borderId="16" fillId="6" fontId="13" numFmtId="166" xfId="0" applyAlignment="1" applyBorder="1" applyFill="1" applyFont="1" applyNumberFormat="1">
      <alignment shrinkToFit="0" vertical="center" wrapText="1"/>
    </xf>
    <xf borderId="23" fillId="0" fontId="15" numFmtId="0" xfId="0" applyAlignment="1" applyBorder="1" applyFont="1">
      <alignment horizontal="right" vertical="center"/>
    </xf>
    <xf borderId="16" fillId="6" fontId="16" numFmtId="166" xfId="0" applyAlignment="1" applyBorder="1" applyFill="1" applyFont="1" applyNumberFormat="1">
      <alignment horizontal="right" readingOrder="0" vertical="center"/>
    </xf>
    <xf borderId="16" fillId="0" fontId="16" numFmtId="166" xfId="0" applyAlignment="1" applyBorder="1" applyFont="1" applyNumberFormat="1">
      <alignment vertical="center"/>
    </xf>
    <xf borderId="15" fillId="6" fontId="13" numFmtId="0" xfId="0" applyAlignment="1" applyBorder="1" applyFill="1" applyFont="1">
      <alignment horizontal="center" shrinkToFit="0" vertical="center" wrapText="1"/>
    </xf>
    <xf borderId="14" fillId="2" fontId="16" numFmtId="0" xfId="0" applyAlignment="1" applyBorder="1" applyFill="1" applyFont="1">
      <alignment horizontal="center" readingOrder="0" vertical="center"/>
    </xf>
    <xf borderId="16" fillId="6" fontId="13" numFmtId="0" xfId="0" applyAlignment="1" applyBorder="1" applyFill="1" applyFont="1">
      <alignment horizontal="left" readingOrder="0" shrinkToFit="0" vertical="center" wrapText="1"/>
    </xf>
    <xf borderId="16" fillId="2" fontId="16" numFmtId="0" xfId="0" applyAlignment="1" applyBorder="1" applyFill="1" applyFont="1">
      <alignment vertical="center"/>
    </xf>
    <xf borderId="16" fillId="2" fontId="16" numFmtId="0" xfId="0" applyAlignment="1" applyBorder="1" applyFill="1" applyFont="1">
      <alignment horizontal="left" readingOrder="0" vertical="center"/>
    </xf>
    <xf borderId="2" fillId="2" fontId="1" numFmtId="0" xfId="0" applyAlignment="1" applyBorder="1" applyFill="1" applyFont="1">
      <alignment horizontal="center" vertical="center"/>
    </xf>
    <xf borderId="16" fillId="0" fontId="16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left" vertical="center"/>
    </xf>
    <xf borderId="16" fillId="6" fontId="13" numFmtId="0" xfId="0" applyAlignment="1" applyBorder="1" applyFill="1" applyFont="1">
      <alignment horizontal="left" shrinkToFit="0" vertical="center" wrapText="1"/>
    </xf>
    <xf borderId="16" fillId="2" fontId="16" numFmtId="0" xfId="0" applyAlignment="1" applyBorder="1" applyFill="1" applyFont="1">
      <alignment horizontal="center" readingOrder="0" vertical="center"/>
    </xf>
    <xf borderId="16" fillId="0" fontId="18" numFmtId="0" xfId="0" applyBorder="1" applyFont="1"/>
    <xf borderId="16" fillId="0" fontId="13" numFmtId="166" xfId="0" applyAlignment="1" applyBorder="1" applyFont="1" applyNumberFormat="1">
      <alignment horizontal="right" shrinkToFit="0" vertical="center" wrapText="1"/>
    </xf>
    <xf borderId="16" fillId="7" fontId="16" numFmtId="166" xfId="0" applyAlignment="1" applyBorder="1" applyFill="1" applyFont="1" applyNumberFormat="1">
      <alignment horizontal="right" vertical="center"/>
    </xf>
    <xf borderId="22" fillId="3" fontId="8" numFmtId="0" xfId="0" applyAlignment="1" applyBorder="1" applyFill="1" applyFont="1">
      <alignment horizontal="center" shrinkToFit="0" vertical="center" wrapText="1"/>
    </xf>
    <xf borderId="16" fillId="0" fontId="16" numFmtId="0" xfId="0" applyAlignment="1" applyBorder="1" applyFont="1">
      <alignment horizontal="left" shrinkToFit="0" vertical="center" wrapText="1"/>
    </xf>
    <xf borderId="34" fillId="0" fontId="3" numFmtId="0" xfId="0" applyBorder="1" applyFont="1"/>
    <xf quotePrefix="1" borderId="16" fillId="2" fontId="13" numFmtId="0" xfId="0" applyAlignment="1" applyBorder="1" applyFill="1" applyFont="1">
      <alignment horizontal="center" readingOrder="0" vertical="center"/>
    </xf>
    <xf borderId="16" fillId="3" fontId="16" numFmtId="167" xfId="0" applyAlignment="1" applyBorder="1" applyFill="1" applyFont="1" applyNumberFormat="1">
      <alignment horizontal="right" readingOrder="0" vertical="center"/>
    </xf>
    <xf borderId="15" fillId="5" fontId="17" numFmtId="0" xfId="0" applyAlignment="1" applyBorder="1" applyFill="1" applyFont="1">
      <alignment horizontal="center" readingOrder="0" shrinkToFit="0" textRotation="90" vertical="center" wrapText="1"/>
    </xf>
    <xf borderId="15" fillId="5" fontId="17" numFmtId="0" xfId="0" applyAlignment="1" applyBorder="1" applyFill="1" applyFont="1">
      <alignment horizontal="center" shrinkToFit="0" textRotation="90" vertical="center" wrapText="1"/>
    </xf>
    <xf quotePrefix="1" borderId="16" fillId="0" fontId="16" numFmtId="49" xfId="0" applyAlignment="1" applyBorder="1" applyFont="1" applyNumberFormat="1">
      <alignment horizontal="center" vertical="center"/>
    </xf>
    <xf borderId="16" fillId="0" fontId="16" numFmtId="0" xfId="0" applyAlignment="1" applyBorder="1" applyFont="1">
      <alignment horizontal="center" shrinkToFit="0" vertical="center" wrapText="1"/>
    </xf>
    <xf quotePrefix="1" borderId="16" fillId="0" fontId="16" numFmtId="0" xfId="0" applyAlignment="1" applyBorder="1" applyFont="1">
      <alignment horizontal="left" vertical="center"/>
    </xf>
    <xf borderId="16" fillId="0" fontId="16" numFmtId="0" xfId="0" applyAlignment="1" applyBorder="1" applyFont="1">
      <alignment horizontal="center" readingOrder="0" shrinkToFit="0" vertical="center" wrapText="1"/>
    </xf>
    <xf borderId="16" fillId="0" fontId="16" numFmtId="168" xfId="0" applyAlignment="1" applyBorder="1" applyFont="1" applyNumberFormat="1">
      <alignment horizontal="right" vertical="center"/>
    </xf>
    <xf borderId="26" fillId="2" fontId="15" numFmtId="0" xfId="0" applyAlignment="1" applyBorder="1" applyFill="1" applyFont="1">
      <alignment horizontal="right" vertical="center"/>
    </xf>
    <xf borderId="16" fillId="0" fontId="16" numFmtId="0" xfId="0" applyAlignment="1" applyBorder="1" applyFont="1">
      <alignment horizontal="center" readingOrder="0" vertical="center"/>
    </xf>
    <xf quotePrefix="1" borderId="23" fillId="0" fontId="15" numFmtId="0" xfId="0" applyAlignment="1" applyBorder="1" applyFont="1">
      <alignment horizontal="right" vertical="center"/>
    </xf>
    <xf borderId="16" fillId="0" fontId="13" numFmtId="166" xfId="0" applyAlignment="1" applyBorder="1" applyFont="1" applyNumberFormat="1">
      <alignment horizontal="right"/>
    </xf>
    <xf quotePrefix="1" borderId="17" fillId="0" fontId="13" numFmtId="0" xfId="0" applyAlignment="1" applyBorder="1" applyFont="1">
      <alignment horizontal="center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1" numFmtId="167" xfId="0" applyAlignment="1" applyBorder="1" applyFill="1" applyFont="1" applyNumberFormat="1">
      <alignment readingOrder="0"/>
    </xf>
    <xf borderId="33" fillId="2" fontId="16" numFmtId="0" xfId="0" applyAlignment="1" applyBorder="1" applyFill="1" applyFont="1">
      <alignment horizontal="center" readingOrder="0" vertical="center"/>
    </xf>
    <xf borderId="1" fillId="2" fontId="1" numFmtId="166" xfId="0" applyBorder="1" applyFill="1" applyFont="1" applyNumberFormat="1"/>
    <xf quotePrefix="1" borderId="16" fillId="0" fontId="16" numFmtId="0" xfId="0" applyAlignment="1" applyBorder="1" applyFont="1">
      <alignment horizontal="center" shrinkToFit="0" vertical="center" wrapText="1"/>
    </xf>
    <xf quotePrefix="1" borderId="16" fillId="3" fontId="16" numFmtId="0" xfId="0" applyAlignment="1" applyBorder="1" applyFill="1" applyFont="1">
      <alignment horizontal="center" readingOrder="0" vertical="center"/>
    </xf>
    <xf borderId="16" fillId="3" fontId="16" numFmtId="166" xfId="0" applyAlignment="1" applyBorder="1" applyFill="1" applyFont="1" applyNumberFormat="1">
      <alignment horizontal="right" readingOrder="0" vertical="center"/>
    </xf>
    <xf borderId="1" fillId="2" fontId="1" numFmtId="168" xfId="0" applyBorder="1" applyFill="1" applyFont="1" applyNumberFormat="1"/>
    <xf borderId="16" fillId="0" fontId="16" numFmtId="166" xfId="0" applyAlignment="1" applyBorder="1" applyFont="1" applyNumberFormat="1">
      <alignment shrinkToFit="0" vertical="center" wrapText="1"/>
    </xf>
    <xf quotePrefix="1" borderId="23" fillId="0" fontId="16" numFmtId="0" xfId="0" applyAlignment="1" applyBorder="1" applyFont="1">
      <alignment horizontal="right" vertical="center"/>
    </xf>
    <xf quotePrefix="1" borderId="15" fillId="0" fontId="13" numFmtId="0" xfId="0" applyAlignment="1" applyBorder="1" applyFont="1">
      <alignment horizontal="center" vertical="center"/>
    </xf>
    <xf borderId="16" fillId="0" fontId="16" numFmtId="168" xfId="0" applyAlignment="1" applyBorder="1" applyFont="1" applyNumberFormat="1">
      <alignment horizontal="right" readingOrder="0" vertical="center"/>
    </xf>
    <xf quotePrefix="1" borderId="16" fillId="0" fontId="13" numFmtId="0" xfId="0" applyAlignment="1" applyBorder="1" applyFont="1">
      <alignment horizontal="left" shrinkToFit="0" vertical="center" wrapText="1"/>
    </xf>
    <xf quotePrefix="1" borderId="16" fillId="0" fontId="13" numFmtId="0" xfId="0" applyAlignment="1" applyBorder="1" applyFont="1">
      <alignment horizontal="center" shrinkToFit="0" vertical="center" wrapText="1"/>
    </xf>
    <xf borderId="16" fillId="2" fontId="16" numFmtId="0" xfId="0" applyAlignment="1" applyBorder="1" applyFill="1" applyFont="1">
      <alignment vertical="center"/>
    </xf>
    <xf borderId="16" fillId="0" fontId="16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horizontal="center" vertical="center"/>
    </xf>
    <xf borderId="16" fillId="0" fontId="13" numFmtId="166" xfId="0" applyAlignment="1" applyBorder="1" applyFont="1" applyNumberFormat="1">
      <alignment shrinkToFit="0" vertical="center" wrapText="1"/>
    </xf>
    <xf borderId="16" fillId="0" fontId="16" numFmtId="0" xfId="0" applyAlignment="1" applyBorder="1" applyFont="1">
      <alignment readingOrder="0" vertical="center"/>
    </xf>
    <xf borderId="16" fillId="2" fontId="16" numFmtId="0" xfId="0" applyAlignment="1" applyBorder="1" applyFill="1" applyFont="1">
      <alignment horizontal="left" vertical="center"/>
    </xf>
    <xf borderId="16" fillId="0" fontId="16" numFmtId="49" xfId="0" applyAlignment="1" applyBorder="1" applyFont="1" applyNumberFormat="1">
      <alignment horizontal="center" readingOrder="0" vertical="center"/>
    </xf>
    <xf borderId="17" fillId="0" fontId="16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readingOrder="0" shrinkToFit="0" vertical="center" wrapText="1"/>
    </xf>
    <xf borderId="1" fillId="2" fontId="1" numFmtId="166" xfId="0" applyAlignment="1" applyBorder="1" applyFill="1" applyFont="1" applyNumberFormat="1">
      <alignment readingOrder="0"/>
    </xf>
    <xf borderId="16" fillId="0" fontId="13" numFmtId="166" xfId="0" applyAlignment="1" applyBorder="1" applyFont="1" applyNumberFormat="1">
      <alignment horizontal="right" readingOrder="0" shrinkToFit="0" vertical="center" wrapText="1"/>
    </xf>
    <xf borderId="35" fillId="0" fontId="3" numFmtId="0" xfId="0" applyBorder="1" applyFont="1"/>
    <xf borderId="30" fillId="2" fontId="16" numFmtId="0" xfId="0" applyAlignment="1" applyBorder="1" applyFill="1" applyFont="1">
      <alignment vertical="center"/>
    </xf>
    <xf borderId="30" fillId="0" fontId="16" numFmtId="0" xfId="0" applyAlignment="1" applyBorder="1" applyFont="1">
      <alignment horizontal="left" shrinkToFit="0" vertical="center" wrapText="1"/>
    </xf>
    <xf borderId="30" fillId="2" fontId="16" numFmtId="0" xfId="0" applyAlignment="1" applyBorder="1" applyFill="1" applyFont="1">
      <alignment horizontal="center" vertical="center"/>
    </xf>
    <xf borderId="30" fillId="0" fontId="16" numFmtId="166" xfId="0" applyAlignment="1" applyBorder="1" applyFont="1" applyNumberFormat="1">
      <alignment horizontal="right" vertical="center"/>
    </xf>
    <xf quotePrefix="1" borderId="31" fillId="0" fontId="16" numFmtId="0" xfId="0" applyAlignment="1" applyBorder="1" applyFont="1">
      <alignment horizontal="center" vertical="center"/>
    </xf>
    <xf borderId="16" fillId="0" fontId="16" numFmtId="166" xfId="0" applyAlignment="1" applyBorder="1" applyFont="1" applyNumberFormat="1">
      <alignment horizontal="right" readingOrder="0" vertical="center"/>
    </xf>
    <xf borderId="16" fillId="0" fontId="13" numFmtId="0" xfId="0" applyAlignment="1" applyBorder="1" applyFont="1">
      <alignment horizontal="left" readingOrder="0" shrinkToFit="0" vertical="center" wrapText="1"/>
    </xf>
    <xf borderId="32" fillId="2" fontId="1" numFmtId="0" xfId="0" applyAlignment="1" applyBorder="1" applyFill="1" applyFont="1">
      <alignment readingOrder="0" vertical="center"/>
    </xf>
    <xf quotePrefix="1" borderId="25" fillId="0" fontId="13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left" vertical="center"/>
    </xf>
    <xf borderId="16" fillId="0" fontId="5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center" vertical="center"/>
    </xf>
    <xf quotePrefix="1" borderId="23" fillId="0" fontId="15" numFmtId="0" xfId="0" applyAlignment="1" applyBorder="1" applyFont="1">
      <alignment horizontal="center" vertical="center"/>
    </xf>
    <xf quotePrefix="1" borderId="16" fillId="0" fontId="5" numFmtId="0" xfId="0" applyAlignment="1" applyBorder="1" applyFont="1">
      <alignment horizontal="center" vertical="center"/>
    </xf>
    <xf borderId="16" fillId="0" fontId="10" numFmtId="166" xfId="0" applyAlignment="1" applyBorder="1" applyFont="1" applyNumberFormat="1">
      <alignment horizontal="right" vertical="center"/>
    </xf>
    <xf borderId="0" fillId="0" fontId="18" numFmtId="0" xfId="0" applyFont="1"/>
    <xf borderId="16" fillId="0" fontId="5" numFmtId="166" xfId="0" applyAlignment="1" applyBorder="1" applyFont="1" applyNumberFormat="1">
      <alignment vertical="center"/>
    </xf>
    <xf borderId="16" fillId="0" fontId="5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Fill="1" applyFont="1"/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Font="1"/>
    <xf borderId="26" fillId="2" fontId="13" numFmtId="0" xfId="0" applyAlignment="1" applyBorder="1" applyFill="1" applyFont="1">
      <alignment vertical="center"/>
    </xf>
    <xf borderId="16" fillId="3" fontId="16" numFmtId="49" xfId="0" applyAlignment="1" applyBorder="1" applyFill="1" applyFont="1" applyNumberFormat="1">
      <alignment horizontal="center" readingOrder="0" vertical="center"/>
    </xf>
    <xf borderId="16" fillId="0" fontId="13" numFmtId="0" xfId="0" applyAlignment="1" applyBorder="1" applyFont="1">
      <alignment horizontal="center" shrinkToFit="0" vertical="center" wrapText="1"/>
    </xf>
    <xf borderId="23" fillId="0" fontId="16" numFmtId="0" xfId="0" applyAlignment="1" applyBorder="1" applyFont="1">
      <alignment horizontal="right" vertical="center"/>
    </xf>
    <xf borderId="16" fillId="0" fontId="13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horizontal="left" readingOrder="0" shrinkToFit="0" vertical="center" wrapText="1"/>
    </xf>
    <xf borderId="16" fillId="0" fontId="13" numFmtId="49" xfId="0" applyAlignment="1" applyBorder="1" applyFont="1" applyNumberFormat="1">
      <alignment horizontal="center" readingOrder="0"/>
    </xf>
    <xf borderId="16" fillId="0" fontId="13" numFmtId="0" xfId="0" applyAlignment="1" applyBorder="1" applyFont="1">
      <alignment shrinkToFit="0" vertical="center" wrapText="1"/>
    </xf>
    <xf quotePrefix="1" borderId="16" fillId="0" fontId="16" numFmtId="0" xfId="0" applyAlignment="1" applyBorder="1" applyFont="1">
      <alignment horizontal="center" readingOrder="0" shrinkToFit="0" vertical="center" wrapText="1"/>
    </xf>
    <xf quotePrefix="1" borderId="16" fillId="0" fontId="13" numFmtId="0" xfId="0" applyAlignment="1" applyBorder="1" applyFont="1">
      <alignment horizontal="left" vertical="center"/>
    </xf>
    <xf borderId="16" fillId="0" fontId="10" numFmtId="0" xfId="0" applyAlignment="1" applyBorder="1" applyFont="1">
      <alignment horizontal="center" vertical="center"/>
    </xf>
    <xf quotePrefix="1" borderId="16" fillId="0" fontId="13" numFmtId="49" xfId="0" applyAlignment="1" applyBorder="1" applyFont="1" applyNumberFormat="1">
      <alignment horizontal="center" shrinkToFit="0" vertical="center" wrapText="1"/>
    </xf>
    <xf quotePrefix="1" borderId="16" fillId="0" fontId="10" numFmtId="0" xfId="0" applyAlignment="1" applyBorder="1" applyFont="1">
      <alignment horizontal="center" vertical="center"/>
    </xf>
    <xf borderId="16" fillId="0" fontId="10" numFmtId="166" xfId="0" applyAlignment="1" applyBorder="1" applyFont="1" applyNumberFormat="1">
      <alignment vertical="center"/>
    </xf>
    <xf borderId="25" fillId="2" fontId="13" numFmtId="0" xfId="0" applyAlignment="1" applyBorder="1" applyFill="1" applyFont="1">
      <alignment horizontal="center" vertical="center"/>
    </xf>
    <xf borderId="16" fillId="0" fontId="16" numFmtId="166" xfId="0" applyAlignment="1" applyBorder="1" applyFont="1" applyNumberFormat="1">
      <alignment horizontal="right" shrinkToFit="0" vertical="center" wrapText="1"/>
    </xf>
    <xf borderId="15" fillId="0" fontId="16" numFmtId="0" xfId="0" applyAlignment="1" applyBorder="1" applyFont="1">
      <alignment vertical="center"/>
    </xf>
    <xf borderId="33" fillId="2" fontId="16" numFmtId="0" xfId="0" applyAlignment="1" applyBorder="1" applyFill="1" applyFont="1">
      <alignment horizontal="left" vertical="center"/>
    </xf>
    <xf quotePrefix="1" borderId="15" fillId="0" fontId="13" numFmtId="0" xfId="0" applyAlignment="1" applyBorder="1" applyFont="1">
      <alignment horizontal="center" shrinkToFit="0" vertical="center" wrapText="1"/>
    </xf>
    <xf borderId="15" fillId="0" fontId="13" numFmtId="166" xfId="0" applyAlignment="1" applyBorder="1" applyFont="1" applyNumberFormat="1">
      <alignment horizontal="right" shrinkToFit="0" vertical="center" wrapText="1"/>
    </xf>
    <xf quotePrefix="1" borderId="15" fillId="5" fontId="17" numFmtId="0" xfId="0" applyAlignment="1" applyBorder="1" applyFill="1" applyFont="1">
      <alignment horizontal="center" textRotation="90" vertical="center"/>
    </xf>
    <xf borderId="18" fillId="0" fontId="15" numFmtId="0" xfId="0" applyAlignment="1" applyBorder="1" applyFont="1">
      <alignment horizontal="right" vertical="center"/>
    </xf>
    <xf borderId="15" fillId="0" fontId="13" numFmtId="166" xfId="0" applyAlignment="1" applyBorder="1" applyFont="1" applyNumberFormat="1">
      <alignment shrinkToFit="0" vertical="center" wrapText="1"/>
    </xf>
    <xf borderId="16" fillId="6" fontId="10" numFmtId="0" xfId="0" applyAlignment="1" applyBorder="1" applyFill="1" applyFont="1">
      <alignment vertical="center"/>
    </xf>
    <xf borderId="16" fillId="6" fontId="10" numFmtId="0" xfId="0" applyAlignment="1" applyBorder="1" applyFill="1" applyFont="1">
      <alignment horizontal="left" readingOrder="0" shrinkToFit="0" vertical="center" wrapText="1"/>
    </xf>
    <xf quotePrefix="1" borderId="16" fillId="6" fontId="16" numFmtId="49" xfId="0" applyAlignment="1" applyBorder="1" applyFill="1" applyFont="1" applyNumberFormat="1">
      <alignment horizontal="center" vertical="center"/>
    </xf>
    <xf quotePrefix="1" borderId="16" fillId="6" fontId="10" numFmtId="0" xfId="0" applyAlignment="1" applyBorder="1" applyFill="1" applyFont="1">
      <alignment horizontal="center" vertical="center"/>
    </xf>
    <xf borderId="15" fillId="0" fontId="16" numFmtId="166" xfId="0" applyAlignment="1" applyBorder="1" applyFont="1" applyNumberFormat="1">
      <alignment horizontal="right" vertical="center"/>
    </xf>
    <xf borderId="16" fillId="6" fontId="10" numFmtId="166" xfId="0" applyAlignment="1" applyBorder="1" applyFill="1" applyFont="1" applyNumberFormat="1">
      <alignment horizontal="right" vertical="center"/>
    </xf>
    <xf quotePrefix="1" borderId="15" fillId="0" fontId="13" numFmtId="0" xfId="0" applyAlignment="1" applyBorder="1" applyFont="1">
      <alignment horizontal="left" shrinkToFit="0" vertical="center" wrapText="1"/>
    </xf>
    <xf borderId="16" fillId="6" fontId="10" numFmtId="166" xfId="0" applyAlignment="1" applyBorder="1" applyFill="1" applyFont="1" applyNumberFormat="1">
      <alignment vertical="center"/>
    </xf>
    <xf borderId="16" fillId="0" fontId="16" numFmtId="49" xfId="0" applyAlignment="1" applyBorder="1" applyFont="1" applyNumberFormat="1">
      <alignment horizontal="center" vertical="center"/>
    </xf>
    <xf borderId="16" fillId="0" fontId="13" numFmtId="166" xfId="0" applyAlignment="1" applyBorder="1" applyFont="1" applyNumberFormat="1">
      <alignment horizontal="right" vertical="center"/>
    </xf>
    <xf quotePrefix="1" borderId="16" fillId="0" fontId="16" numFmtId="0" xfId="0" applyAlignment="1" applyBorder="1" applyFont="1">
      <alignment vertical="center"/>
    </xf>
    <xf borderId="16" fillId="2" fontId="15" numFmtId="0" xfId="0" applyAlignment="1" applyBorder="1" applyFill="1" applyFont="1">
      <alignment horizontal="right" vertical="center"/>
    </xf>
    <xf borderId="16" fillId="0" fontId="13" numFmtId="0" xfId="0" applyAlignment="1" applyBorder="1" applyFont="1">
      <alignment horizontal="center" vertical="center"/>
    </xf>
    <xf borderId="23" fillId="2" fontId="15" numFmtId="0" xfId="0" applyAlignment="1" applyBorder="1" applyFill="1" applyFont="1">
      <alignment horizontal="right" vertical="center"/>
    </xf>
    <xf borderId="16" fillId="0" fontId="13" numFmtId="166" xfId="0" applyAlignment="1" applyBorder="1" applyFont="1" applyNumberFormat="1">
      <alignment horizontal="right" readingOrder="0" vertical="center"/>
    </xf>
    <xf borderId="16" fillId="0" fontId="13" numFmtId="0" xfId="0" applyAlignment="1" applyBorder="1" applyFont="1">
      <alignment horizontal="left" readingOrder="0" shrinkToFit="0" vertical="center" wrapText="0"/>
    </xf>
    <xf quotePrefix="1" borderId="16" fillId="2" fontId="16" numFmtId="0" xfId="0" applyAlignment="1" applyBorder="1" applyFill="1" applyFont="1">
      <alignment horizontal="center" readingOrder="0" vertical="center"/>
    </xf>
    <xf borderId="15" fillId="0" fontId="13" numFmtId="0" xfId="0" applyAlignment="1" applyBorder="1" applyFont="1">
      <alignment horizontal="center" shrinkToFit="0" vertical="center" wrapText="1"/>
    </xf>
    <xf borderId="16" fillId="2" fontId="16" numFmtId="0" xfId="0" applyAlignment="1" applyBorder="1" applyFill="1" applyFont="1">
      <alignment readingOrder="0" vertical="center"/>
    </xf>
    <xf borderId="16" fillId="2" fontId="16" numFmtId="166" xfId="0" applyAlignment="1" applyBorder="1" applyFill="1" applyFont="1" applyNumberFormat="1">
      <alignment horizontal="right" readingOrder="0" vertical="center"/>
    </xf>
    <xf borderId="16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 vertical="center"/>
    </xf>
    <xf borderId="26" fillId="6" fontId="10" numFmtId="0" xfId="0" applyAlignment="1" applyBorder="1" applyFill="1" applyFont="1">
      <alignment vertical="center"/>
    </xf>
    <xf borderId="26" fillId="6" fontId="10" numFmtId="0" xfId="0" applyAlignment="1" applyBorder="1" applyFill="1" applyFont="1">
      <alignment horizontal="left" shrinkToFit="0" vertical="center" wrapText="1"/>
    </xf>
    <xf quotePrefix="1" borderId="26" fillId="6" fontId="16" numFmtId="0" xfId="0" applyAlignment="1" applyBorder="1" applyFill="1" applyFont="1">
      <alignment horizontal="center" vertical="center"/>
    </xf>
    <xf quotePrefix="1" borderId="26" fillId="6" fontId="12" numFmtId="0" xfId="0" applyAlignment="1" applyBorder="1" applyFill="1" applyFont="1">
      <alignment horizontal="center" vertical="center"/>
    </xf>
    <xf borderId="26" fillId="6" fontId="12" numFmtId="166" xfId="0" applyAlignment="1" applyBorder="1" applyFill="1" applyFont="1" applyNumberFormat="1">
      <alignment horizontal="right" vertical="center"/>
    </xf>
    <xf borderId="26" fillId="6" fontId="12" numFmtId="166" xfId="0" applyAlignment="1" applyBorder="1" applyFill="1" applyFont="1" applyNumberFormat="1">
      <alignment vertical="center"/>
    </xf>
    <xf borderId="26" fillId="6" fontId="12" numFmtId="0" xfId="0" applyAlignment="1" applyBorder="1" applyFill="1" applyFont="1">
      <alignment horizontal="center" vertical="center"/>
    </xf>
    <xf borderId="26" fillId="6" fontId="12" numFmtId="0" xfId="0" applyAlignment="1" applyBorder="1" applyFill="1" applyFont="1">
      <alignment horizontal="left" vertical="center"/>
    </xf>
    <xf borderId="36" fillId="2" fontId="10" numFmtId="0" xfId="0" applyAlignment="1" applyBorder="1" applyFill="1" applyFont="1">
      <alignment horizontal="left" vertical="center"/>
    </xf>
    <xf borderId="37" fillId="0" fontId="3" numFmtId="0" xfId="0" applyBorder="1" applyFont="1"/>
    <xf borderId="38" fillId="0" fontId="3" numFmtId="0" xfId="0" applyBorder="1" applyFont="1"/>
    <xf borderId="39" fillId="4" fontId="10" numFmtId="0" xfId="0" applyAlignment="1" applyBorder="1" applyFill="1" applyFont="1">
      <alignment shrinkToFit="0" vertical="center" wrapText="1"/>
    </xf>
    <xf borderId="40" fillId="4" fontId="10" numFmtId="0" xfId="0" applyAlignment="1" applyBorder="1" applyFill="1" applyFont="1">
      <alignment horizontal="center" shrinkToFit="0" vertical="center" wrapText="1"/>
    </xf>
    <xf borderId="26" fillId="2" fontId="13" numFmtId="0" xfId="0" applyAlignment="1" applyBorder="1" applyFill="1" applyFont="1">
      <alignment horizontal="center" vertical="center"/>
    </xf>
    <xf borderId="41" fillId="5" fontId="17" numFmtId="0" xfId="0" applyAlignment="1" applyBorder="1" applyFill="1" applyFont="1">
      <alignment horizontal="center" shrinkToFit="0" textRotation="90" vertical="center" wrapText="1"/>
    </xf>
    <xf borderId="42" fillId="5" fontId="10" numFmtId="165" xfId="0" applyAlignment="1" applyBorder="1" applyFill="1" applyFont="1" applyNumberFormat="1">
      <alignment horizontal="right" vertical="center"/>
    </xf>
    <xf borderId="43" fillId="0" fontId="3" numFmtId="0" xfId="0" applyBorder="1" applyFont="1"/>
    <xf borderId="44" fillId="5" fontId="17" numFmtId="0" xfId="0" applyAlignment="1" applyBorder="1" applyFill="1" applyFont="1">
      <alignment horizontal="center" shrinkToFit="0" textRotation="90" vertical="center" wrapText="1"/>
    </xf>
    <xf borderId="41" fillId="5" fontId="17" numFmtId="0" xfId="0" applyAlignment="1" applyBorder="1" applyFill="1" applyFont="1">
      <alignment horizontal="center" textRotation="90" vertical="center"/>
    </xf>
    <xf quotePrefix="1" borderId="45" fillId="8" fontId="17" numFmtId="0" xfId="0" applyAlignment="1" applyBorder="1" applyFill="1" applyFont="1">
      <alignment horizontal="right" vertical="center"/>
    </xf>
    <xf borderId="46" fillId="0" fontId="3" numFmtId="0" xfId="0" applyBorder="1" applyFont="1"/>
    <xf borderId="42" fillId="8" fontId="5" numFmtId="165" xfId="0" applyAlignment="1" applyBorder="1" applyFill="1" applyFont="1" applyNumberFormat="1">
      <alignment horizontal="right" vertical="center"/>
    </xf>
    <xf borderId="16" fillId="8" fontId="16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horizontal="right" vertical="center"/>
    </xf>
    <xf borderId="1" fillId="2" fontId="10" numFmtId="168" xfId="0" applyAlignment="1" applyBorder="1" applyFill="1" applyFont="1" applyNumberFormat="1">
      <alignment horizontal="left" vertical="center"/>
    </xf>
    <xf borderId="47" fillId="2" fontId="13" numFmtId="0" xfId="0" applyAlignment="1" applyBorder="1" applyFill="1" applyFont="1">
      <alignment horizontal="center" vertical="center"/>
    </xf>
    <xf borderId="42" fillId="6" fontId="10" numFmtId="165" xfId="0" applyAlignment="1" applyBorder="1" applyFill="1" applyFont="1" applyNumberFormat="1">
      <alignment horizontal="right" vertical="center"/>
    </xf>
    <xf borderId="17" fillId="6" fontId="16" numFmtId="0" xfId="0" applyAlignment="1" applyBorder="1" applyFill="1" applyFont="1">
      <alignment horizontal="center" vertical="center"/>
    </xf>
    <xf quotePrefix="1" borderId="27" fillId="8" fontId="17" numFmtId="0" xfId="0" applyAlignment="1" applyBorder="1" applyFill="1" applyFont="1">
      <alignment horizontal="right" vertical="center"/>
    </xf>
    <xf borderId="48" fillId="8" fontId="5" numFmtId="165" xfId="0" applyAlignment="1" applyBorder="1" applyFill="1" applyFont="1" applyNumberFormat="1">
      <alignment horizontal="right" vertical="center"/>
    </xf>
    <xf borderId="31" fillId="8" fontId="16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right" vertical="center"/>
    </xf>
    <xf borderId="16" fillId="6" fontId="10" numFmtId="0" xfId="0" applyAlignment="1" applyBorder="1" applyFill="1" applyFont="1">
      <alignment horizontal="left" shrinkToFit="0" vertical="center" wrapText="1"/>
    </xf>
    <xf borderId="16" fillId="6" fontId="16" numFmtId="0" xfId="0" applyAlignment="1" applyBorder="1" applyFill="1" applyFont="1">
      <alignment horizontal="center" vertical="center"/>
    </xf>
    <xf borderId="26" fillId="2" fontId="16" numFmtId="0" xfId="0" applyAlignment="1" applyBorder="1" applyFill="1" applyFont="1">
      <alignment vertical="center"/>
    </xf>
    <xf quotePrefix="1" borderId="16" fillId="6" fontId="16" numFmtId="0" xfId="0" applyAlignment="1" applyBorder="1" applyFill="1" applyFont="1">
      <alignment horizontal="center" vertical="center"/>
    </xf>
    <xf quotePrefix="1" borderId="15" fillId="5" fontId="10" numFmtId="0" xfId="0" applyAlignment="1" applyBorder="1" applyFill="1" applyFont="1">
      <alignment horizontal="center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1552575</xdr:colOff>
      <xdr:row>3</xdr:row>
      <xdr:rowOff>66675</xdr:rowOff>
    </xdr:from>
    <xdr:ext cx="2257425" cy="381000"/>
    <xdr:sp>
      <xdr:nvSpPr>
        <xdr:cNvPr id="3" name="Shape 3"/>
        <xdr:cNvSpPr txBox="1"/>
      </xdr:nvSpPr>
      <xdr:spPr>
        <a:xfrm>
          <a:off x="4222050" y="3594263"/>
          <a:ext cx="2247900" cy="371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Branch Batch Plan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514350</xdr:colOff>
      <xdr:row>28</xdr:row>
      <xdr:rowOff>142875</xdr:rowOff>
    </xdr:from>
    <xdr:ext cx="609600" cy="38100"/>
    <xdr:grpSp>
      <xdr:nvGrpSpPr>
        <xdr:cNvPr id="2" name="Shape 2" title="Drawing"/>
        <xdr:cNvGrpSpPr/>
      </xdr:nvGrpSpPr>
      <xdr:grpSpPr>
        <a:xfrm>
          <a:off x="5041200" y="3780000"/>
          <a:ext cx="609600" cy="0"/>
          <a:chOff x="5041200" y="3780000"/>
          <a:chExt cx="609600" cy="0"/>
        </a:xfrm>
      </xdr:grpSpPr>
      <xdr:cxnSp>
        <xdr:nvCxnSpPr>
          <xdr:cNvPr id="7" name="Shape 7"/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1790700</xdr:colOff>
      <xdr:row>28</xdr:row>
      <xdr:rowOff>142875</xdr:rowOff>
    </xdr:from>
    <xdr:ext cx="1257300" cy="38100"/>
    <xdr:grpSp>
      <xdr:nvGrpSpPr>
        <xdr:cNvPr id="2" name="Shape 2" title="Drawing"/>
        <xdr:cNvGrpSpPr/>
      </xdr:nvGrpSpPr>
      <xdr:grpSpPr>
        <a:xfrm>
          <a:off x="4717350" y="3780000"/>
          <a:ext cx="1257300" cy="0"/>
          <a:chOff x="4717350" y="3780000"/>
          <a:chExt cx="1257300" cy="0"/>
        </a:xfrm>
      </xdr:grpSpPr>
      <xdr:cxnSp>
        <xdr:nvCxnSpPr>
          <xdr:cNvPr id="8" name="Shape 8"/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85725</xdr:colOff>
      <xdr:row>28</xdr:row>
      <xdr:rowOff>142875</xdr:rowOff>
    </xdr:from>
    <xdr:ext cx="962025" cy="28575"/>
    <xdr:grpSp>
      <xdr:nvGrpSpPr>
        <xdr:cNvPr id="2" name="Shape 2" title="Drawing"/>
        <xdr:cNvGrpSpPr/>
      </xdr:nvGrpSpPr>
      <xdr:grpSpPr>
        <a:xfrm>
          <a:off x="5041200" y="3766500"/>
          <a:ext cx="942600" cy="13500"/>
          <a:chOff x="5041200" y="3766500"/>
          <a:chExt cx="942600" cy="13500"/>
        </a:xfrm>
      </xdr:grpSpPr>
      <xdr:cxnSp>
        <xdr:nvCxnSpPr>
          <xdr:cNvPr id="7" name="Shape 7"/>
          <xdr:cNvCxnSpPr/>
        </xdr:nvCxnSpPr>
        <xdr:spPr>
          <a:xfrm flipH="1" rot="10800000">
            <a:off x="5041200" y="3766500"/>
            <a:ext cx="942600" cy="13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971550</xdr:colOff>
      <xdr:row>0</xdr:row>
      <xdr:rowOff>133350</xdr:rowOff>
    </xdr:from>
    <xdr:ext cx="1038225" cy="981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133350</xdr:rowOff>
    </xdr:from>
    <xdr:ext cx="73342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3</xdr:row>
      <xdr:rowOff>0</xdr:rowOff>
    </xdr:from>
    <xdr:ext cx="2609850" cy="352425"/>
    <xdr:sp>
      <xdr:nvSpPr>
        <xdr:cNvPr id="5" name="Shape 5"/>
        <xdr:cNvSpPr txBox="1"/>
      </xdr:nvSpPr>
      <xdr:spPr>
        <a:xfrm>
          <a:off x="4045838" y="3608550"/>
          <a:ext cx="2600325" cy="3429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Information: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28575</xdr:colOff>
      <xdr:row>0</xdr:row>
      <xdr:rowOff>161925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1171575</xdr:colOff>
      <xdr:row>3</xdr:row>
      <xdr:rowOff>66675</xdr:rowOff>
    </xdr:from>
    <xdr:ext cx="2571750" cy="600075"/>
    <xdr:sp>
      <xdr:nvSpPr>
        <xdr:cNvPr id="4" name="Shape 4"/>
        <xdr:cNvSpPr txBox="1"/>
      </xdr:nvSpPr>
      <xdr:spPr>
        <a:xfrm>
          <a:off x="4069650" y="3489488"/>
          <a:ext cx="2552700" cy="5810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Monthly Mobile Recharge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Top Sheet: </a:t>
          </a:r>
          <a:r>
            <a:rPr b="1"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r>
            <a:rPr b="1" lang="en-US" sz="14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-2026</a:t>
          </a:r>
          <a:endParaRPr b="1" sz="14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342900</xdr:colOff>
      <xdr:row>34</xdr:row>
      <xdr:rowOff>-9525</xdr:rowOff>
    </xdr:from>
    <xdr:ext cx="609600" cy="38100"/>
    <xdr:grpSp>
      <xdr:nvGrpSpPr>
        <xdr:cNvPr id="2" name="Shape 2"/>
        <xdr:cNvGrpSpPr/>
      </xdr:nvGrpSpPr>
      <xdr:grpSpPr>
        <a:xfrm>
          <a:off x="5041200" y="3780000"/>
          <a:ext cx="609600" cy="0"/>
          <a:chOff x="5041200" y="3780000"/>
          <a:chExt cx="609600" cy="0"/>
        </a:xfrm>
      </xdr:grpSpPr>
      <xdr:cxnSp>
        <xdr:nvCxnSpPr>
          <xdr:cNvPr id="7" name="Shape 7"/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600075</xdr:colOff>
      <xdr:row>34</xdr:row>
      <xdr:rowOff>-19050</xdr:rowOff>
    </xdr:from>
    <xdr:ext cx="942975" cy="38100"/>
    <xdr:grpSp>
      <xdr:nvGrpSpPr>
        <xdr:cNvPr id="2" name="Shape 2"/>
        <xdr:cNvGrpSpPr/>
      </xdr:nvGrpSpPr>
      <xdr:grpSpPr>
        <a:xfrm>
          <a:off x="4874513" y="3780000"/>
          <a:ext cx="942975" cy="0"/>
          <a:chOff x="4874513" y="3780000"/>
          <a:chExt cx="942975" cy="0"/>
        </a:xfrm>
      </xdr:grpSpPr>
      <xdr:cxnSp>
        <xdr:nvCxnSpPr>
          <xdr:cNvPr id="9" name="Shape 9"/>
          <xdr:cNvCxnSpPr/>
        </xdr:nvCxnSpPr>
        <xdr:spPr>
          <a:xfrm>
            <a:off x="4874513" y="3780000"/>
            <a:ext cx="9429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257175</xdr:colOff>
      <xdr:row>34</xdr:row>
      <xdr:rowOff>-9525</xdr:rowOff>
    </xdr:from>
    <xdr:ext cx="1209675" cy="38100"/>
    <xdr:grpSp>
      <xdr:nvGrpSpPr>
        <xdr:cNvPr id="2" name="Shape 2"/>
        <xdr:cNvGrpSpPr/>
      </xdr:nvGrpSpPr>
      <xdr:grpSpPr>
        <a:xfrm>
          <a:off x="4741163" y="3780000"/>
          <a:ext cx="1209675" cy="0"/>
          <a:chOff x="4741163" y="3780000"/>
          <a:chExt cx="1209675" cy="0"/>
        </a:xfrm>
      </xdr:grpSpPr>
      <xdr:cxnSp>
        <xdr:nvCxnSpPr>
          <xdr:cNvPr id="10" name="Shape 10"/>
          <xdr:cNvCxnSpPr/>
        </xdr:nvCxnSpPr>
        <xdr:spPr>
          <a:xfrm>
            <a:off x="4741163" y="3780000"/>
            <a:ext cx="1209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114300</xdr:colOff>
      <xdr:row>0</xdr:row>
      <xdr:rowOff>76200</xdr:rowOff>
    </xdr:from>
    <xdr:ext cx="8953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0</xdr:row>
      <xdr:rowOff>133350</xdr:rowOff>
    </xdr:from>
    <xdr:ext cx="609600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790575</xdr:colOff>
      <xdr:row>3</xdr:row>
      <xdr:rowOff>9525</xdr:rowOff>
    </xdr:from>
    <xdr:ext cx="2524125" cy="352425"/>
    <xdr:sp>
      <xdr:nvSpPr>
        <xdr:cNvPr id="6" name="Shape 6"/>
        <xdr:cNvSpPr txBox="1"/>
      </xdr:nvSpPr>
      <xdr:spPr>
        <a:xfrm>
          <a:off x="4088700" y="3608550"/>
          <a:ext cx="2514600" cy="3429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Information: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38100</xdr:colOff>
      <xdr:row>0</xdr:row>
      <xdr:rowOff>76200</xdr:rowOff>
    </xdr:from>
    <xdr:ext cx="1200150" cy="962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3</xdr:row>
      <xdr:rowOff>28575</xdr:rowOff>
    </xdr:from>
    <xdr:ext cx="4038600" cy="371475"/>
    <xdr:sp>
      <xdr:nvSpPr>
        <xdr:cNvPr id="11" name="Shape 11"/>
        <xdr:cNvSpPr txBox="1"/>
      </xdr:nvSpPr>
      <xdr:spPr>
        <a:xfrm>
          <a:off x="3331463" y="3603788"/>
          <a:ext cx="4029075" cy="3524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of Over 6 Month: Eid Bonus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457200</xdr:colOff>
      <xdr:row>0</xdr:row>
      <xdr:rowOff>0</xdr:rowOff>
    </xdr:from>
    <xdr:ext cx="8953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0</xdr:row>
      <xdr:rowOff>114300</xdr:rowOff>
    </xdr:from>
    <xdr:ext cx="609600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1266825</xdr:colOff>
      <xdr:row>3</xdr:row>
      <xdr:rowOff>28575</xdr:rowOff>
    </xdr:from>
    <xdr:ext cx="3000375" cy="695325"/>
    <xdr:sp>
      <xdr:nvSpPr>
        <xdr:cNvPr id="12" name="Shape 12"/>
        <xdr:cNvSpPr txBox="1"/>
      </xdr:nvSpPr>
      <xdr:spPr>
        <a:xfrm>
          <a:off x="3850575" y="3441863"/>
          <a:ext cx="2990850" cy="6762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Pohela Boishakh Program Attendance Bonus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142875</xdr:colOff>
      <xdr:row>38</xdr:row>
      <xdr:rowOff>142875</xdr:rowOff>
    </xdr:from>
    <xdr:ext cx="819150" cy="38100"/>
    <xdr:grpSp>
      <xdr:nvGrpSpPr>
        <xdr:cNvPr id="2" name="Shape 2"/>
        <xdr:cNvGrpSpPr/>
      </xdr:nvGrpSpPr>
      <xdr:grpSpPr>
        <a:xfrm>
          <a:off x="4936425" y="3780000"/>
          <a:ext cx="819150" cy="0"/>
          <a:chOff x="4936425" y="3780000"/>
          <a:chExt cx="819150" cy="0"/>
        </a:xfrm>
      </xdr:grpSpPr>
      <xdr:cxnSp>
        <xdr:nvCxnSpPr>
          <xdr:cNvPr id="13" name="Shape 13"/>
          <xdr:cNvCxnSpPr/>
        </xdr:nvCxnSpPr>
        <xdr:spPr>
          <a:xfrm>
            <a:off x="4936425" y="3780000"/>
            <a:ext cx="8191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514350</xdr:colOff>
      <xdr:row>38</xdr:row>
      <xdr:rowOff>142875</xdr:rowOff>
    </xdr:from>
    <xdr:ext cx="819150" cy="38100"/>
    <xdr:grpSp>
      <xdr:nvGrpSpPr>
        <xdr:cNvPr id="2" name="Shape 2"/>
        <xdr:cNvGrpSpPr/>
      </xdr:nvGrpSpPr>
      <xdr:grpSpPr>
        <a:xfrm>
          <a:off x="4936425" y="3780000"/>
          <a:ext cx="819150" cy="0"/>
          <a:chOff x="4936425" y="3780000"/>
          <a:chExt cx="819150" cy="0"/>
        </a:xfrm>
      </xdr:grpSpPr>
      <xdr:cxnSp>
        <xdr:nvCxnSpPr>
          <xdr:cNvPr id="13" name="Shape 13"/>
          <xdr:cNvCxnSpPr/>
        </xdr:nvCxnSpPr>
        <xdr:spPr>
          <a:xfrm>
            <a:off x="4936425" y="3780000"/>
            <a:ext cx="8191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57150</xdr:colOff>
      <xdr:row>38</xdr:row>
      <xdr:rowOff>142875</xdr:rowOff>
    </xdr:from>
    <xdr:ext cx="1343025" cy="38100"/>
    <xdr:grpSp>
      <xdr:nvGrpSpPr>
        <xdr:cNvPr id="2" name="Shape 2"/>
        <xdr:cNvGrpSpPr/>
      </xdr:nvGrpSpPr>
      <xdr:grpSpPr>
        <a:xfrm>
          <a:off x="4674488" y="3780000"/>
          <a:ext cx="1343025" cy="0"/>
          <a:chOff x="4674488" y="3780000"/>
          <a:chExt cx="1343025" cy="0"/>
        </a:xfrm>
      </xdr:grpSpPr>
      <xdr:cxnSp>
        <xdr:nvCxnSpPr>
          <xdr:cNvPr id="14" name="Shape 14"/>
          <xdr:cNvCxnSpPr/>
        </xdr:nvCxnSpPr>
        <xdr:spPr>
          <a:xfrm>
            <a:off x="4674488" y="3780000"/>
            <a:ext cx="13430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628650</xdr:colOff>
      <xdr:row>1</xdr:row>
      <xdr:rowOff>38100</xdr:rowOff>
    </xdr:from>
    <xdr:ext cx="75247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0</xdr:rowOff>
    </xdr:from>
    <xdr:ext cx="609600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3</xdr:row>
      <xdr:rowOff>85725</xdr:rowOff>
    </xdr:from>
    <xdr:ext cx="3657600" cy="333375"/>
    <xdr:sp>
      <xdr:nvSpPr>
        <xdr:cNvPr id="15" name="Shape 15"/>
        <xdr:cNvSpPr txBox="1"/>
      </xdr:nvSpPr>
      <xdr:spPr>
        <a:xfrm>
          <a:off x="3521963" y="3622838"/>
          <a:ext cx="3648075" cy="3143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Attendance Bonus by Chairman sir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457200</xdr:colOff>
      <xdr:row>0</xdr:row>
      <xdr:rowOff>0</xdr:rowOff>
    </xdr:from>
    <xdr:ext cx="8953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0</xdr:row>
      <xdr:rowOff>114300</xdr:rowOff>
    </xdr:from>
    <xdr:ext cx="609600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990600</xdr:colOff>
      <xdr:row>3</xdr:row>
      <xdr:rowOff>28575</xdr:rowOff>
    </xdr:from>
    <xdr:ext cx="2686050" cy="295275"/>
    <xdr:sp>
      <xdr:nvSpPr>
        <xdr:cNvPr id="16" name="Shape 16"/>
        <xdr:cNvSpPr txBox="1"/>
      </xdr:nvSpPr>
      <xdr:spPr>
        <a:xfrm>
          <a:off x="4007738" y="3641888"/>
          <a:ext cx="2676525" cy="2762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Ramadan Iftar List-2026</a:t>
          </a:r>
          <a:endParaRPr b="1" sz="1800" u="non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457200</xdr:colOff>
      <xdr:row>0</xdr:row>
      <xdr:rowOff>0</xdr:rowOff>
    </xdr:from>
    <xdr:ext cx="8953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0</xdr:row>
      <xdr:rowOff>114300</xdr:rowOff>
    </xdr:from>
    <xdr:ext cx="609600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8.86"/>
    <col customWidth="1" min="3" max="3" width="26.43"/>
    <col customWidth="1" min="4" max="4" width="19.57"/>
    <col customWidth="1" min="5" max="5" width="10.29"/>
    <col customWidth="1" min="6" max="6" width="14.71"/>
    <col customWidth="1" min="7" max="7" width="17.57"/>
    <col customWidth="1" min="8" max="26" width="8.71"/>
  </cols>
  <sheetData>
    <row r="1" ht="29.25" customHeight="1">
      <c r="A1" s="2" t="s">
        <v>0</v>
      </c>
      <c r="B1" s="3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6" t="s">
        <v>1</v>
      </c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3" t="s">
        <v>5</v>
      </c>
      <c r="B3" s="3"/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9"/>
      <c r="C4" s="9"/>
      <c r="D4" s="11"/>
      <c r="E4" s="11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9"/>
      <c r="B5" s="9"/>
      <c r="C5" s="9"/>
      <c r="D5" s="11"/>
      <c r="E5" s="11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0"/>
      <c r="B6" s="20"/>
      <c r="C6" s="20"/>
      <c r="D6" s="17"/>
      <c r="E6" s="17"/>
      <c r="F6" s="20"/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25" t="s">
        <v>8</v>
      </c>
      <c r="B7" s="29" t="s">
        <v>15</v>
      </c>
      <c r="C7" s="29" t="s">
        <v>17</v>
      </c>
      <c r="D7" s="29" t="s">
        <v>18</v>
      </c>
      <c r="E7" s="29" t="s">
        <v>19</v>
      </c>
      <c r="F7" s="32" t="s">
        <v>20</v>
      </c>
      <c r="G7" s="60" t="s">
        <v>22</v>
      </c>
      <c r="H7" s="2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6.25" customHeight="1">
      <c r="A8" s="63" t="s">
        <v>16</v>
      </c>
      <c r="B8" s="66" t="s">
        <v>77</v>
      </c>
      <c r="C8" s="76" t="s">
        <v>23</v>
      </c>
      <c r="D8" s="80" t="s">
        <v>91</v>
      </c>
      <c r="E8" s="85">
        <v>6179.0</v>
      </c>
      <c r="F8" s="87">
        <v>45791.0</v>
      </c>
      <c r="G8" s="88" t="s">
        <v>25</v>
      </c>
      <c r="H8" s="2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8.0" customHeight="1">
      <c r="A9" s="90" t="s">
        <v>26</v>
      </c>
      <c r="B9" s="41"/>
      <c r="C9" s="92" t="s">
        <v>30</v>
      </c>
      <c r="D9" s="94" t="s">
        <v>31</v>
      </c>
      <c r="E9" s="97">
        <v>6247.0</v>
      </c>
      <c r="F9" s="100">
        <v>45931.0</v>
      </c>
      <c r="G9" s="105" t="s">
        <v>32</v>
      </c>
      <c r="H9" s="2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8.0" customHeight="1">
      <c r="A10" s="108" t="s">
        <v>29</v>
      </c>
      <c r="B10" s="41"/>
      <c r="C10" s="113" t="s">
        <v>42</v>
      </c>
      <c r="D10" s="115" t="s">
        <v>43</v>
      </c>
      <c r="E10" s="118">
        <v>2882.0</v>
      </c>
      <c r="F10" s="122">
        <v>45787.0</v>
      </c>
      <c r="G10" s="124" t="s">
        <v>44</v>
      </c>
      <c r="H10" s="2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8.0" customHeight="1">
      <c r="A11" s="132" t="s">
        <v>33</v>
      </c>
      <c r="B11" s="41"/>
      <c r="C11" s="134" t="s">
        <v>46</v>
      </c>
      <c r="D11" s="135" t="s">
        <v>118</v>
      </c>
      <c r="E11" s="116">
        <v>6181.0</v>
      </c>
      <c r="F11" s="122">
        <v>45792.0</v>
      </c>
      <c r="G11" s="124" t="s">
        <v>48</v>
      </c>
      <c r="H11" s="2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8.0" customHeight="1">
      <c r="A12" s="132" t="s">
        <v>37</v>
      </c>
      <c r="B12" s="65"/>
      <c r="C12" s="113" t="s">
        <v>74</v>
      </c>
      <c r="D12" s="135" t="s">
        <v>104</v>
      </c>
      <c r="E12" s="140">
        <v>6282.0</v>
      </c>
      <c r="F12" s="142">
        <v>45997.0</v>
      </c>
      <c r="G12" s="124" t="s">
        <v>75</v>
      </c>
      <c r="H12" s="2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8.0" customHeight="1">
      <c r="A13" s="144" t="s">
        <v>120</v>
      </c>
      <c r="B13" s="146"/>
      <c r="C13" s="92" t="s">
        <v>27</v>
      </c>
      <c r="D13" s="94" t="s">
        <v>24</v>
      </c>
      <c r="E13" s="97">
        <v>20241.0</v>
      </c>
      <c r="F13" s="148">
        <v>45945.0</v>
      </c>
      <c r="G13" s="105" t="s">
        <v>28</v>
      </c>
      <c r="H13" s="5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08" t="s">
        <v>16</v>
      </c>
      <c r="B14" s="150" t="s">
        <v>121</v>
      </c>
      <c r="C14" s="145" t="s">
        <v>50</v>
      </c>
      <c r="D14" s="135" t="s">
        <v>118</v>
      </c>
      <c r="E14" s="152">
        <v>6215.0</v>
      </c>
      <c r="F14" s="122">
        <v>45871.0</v>
      </c>
      <c r="G14" s="124" t="s">
        <v>51</v>
      </c>
      <c r="H14" s="5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32" t="s">
        <v>26</v>
      </c>
      <c r="B15" s="41"/>
      <c r="C15" s="145" t="s">
        <v>53</v>
      </c>
      <c r="D15" s="145" t="s">
        <v>54</v>
      </c>
      <c r="E15" s="154">
        <v>6287.0</v>
      </c>
      <c r="F15" s="155">
        <v>46023.0</v>
      </c>
      <c r="G15" s="124" t="s">
        <v>55</v>
      </c>
      <c r="H15" s="5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32" t="s">
        <v>29</v>
      </c>
      <c r="B16" s="41"/>
      <c r="C16" s="145" t="s">
        <v>64</v>
      </c>
      <c r="D16" s="115" t="s">
        <v>58</v>
      </c>
      <c r="E16" s="152">
        <v>6176.0</v>
      </c>
      <c r="F16" s="159">
        <v>45787.0</v>
      </c>
      <c r="G16" s="160" t="s">
        <v>65</v>
      </c>
      <c r="H16" s="55"/>
      <c r="I16" s="1"/>
      <c r="J16" s="161"/>
      <c r="K16" s="162"/>
      <c r="L16" s="162"/>
      <c r="M16" s="162"/>
      <c r="N16" s="163"/>
      <c r="O16" s="16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32" t="s">
        <v>33</v>
      </c>
      <c r="B17" s="65"/>
      <c r="C17" s="145" t="s">
        <v>67</v>
      </c>
      <c r="D17" s="145" t="s">
        <v>58</v>
      </c>
      <c r="E17" s="152">
        <v>2922.0</v>
      </c>
      <c r="F17" s="122">
        <v>45823.0</v>
      </c>
      <c r="G17" s="124" t="s">
        <v>68</v>
      </c>
      <c r="H17" s="55"/>
      <c r="I17" s="162"/>
      <c r="J17" s="1"/>
      <c r="K17" s="1"/>
      <c r="L17" s="162"/>
      <c r="M17" s="1"/>
      <c r="N17" s="16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44" t="s">
        <v>120</v>
      </c>
      <c r="B18" s="146"/>
      <c r="C18" s="92" t="s">
        <v>34</v>
      </c>
      <c r="D18" s="94" t="s">
        <v>35</v>
      </c>
      <c r="E18" s="167" t="s">
        <v>139</v>
      </c>
      <c r="F18" s="168">
        <v>43822.0</v>
      </c>
      <c r="G18" s="105" t="s">
        <v>36</v>
      </c>
      <c r="H18" s="55"/>
      <c r="I18" s="162"/>
      <c r="J18" s="161"/>
      <c r="K18" s="1"/>
      <c r="L18" s="1"/>
      <c r="M18" s="162"/>
      <c r="N18" s="16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31" t="s">
        <v>16</v>
      </c>
      <c r="B19" s="149" t="s">
        <v>140</v>
      </c>
      <c r="C19" s="113" t="s">
        <v>38</v>
      </c>
      <c r="D19" s="135" t="s">
        <v>39</v>
      </c>
      <c r="E19" s="116" t="s">
        <v>143</v>
      </c>
      <c r="F19" s="173">
        <v>44251.0</v>
      </c>
      <c r="G19" s="124" t="s">
        <v>40</v>
      </c>
      <c r="H19" s="55"/>
      <c r="I19" s="162"/>
      <c r="J19" s="161"/>
      <c r="K19" s="1"/>
      <c r="L19" s="1"/>
      <c r="M19" s="1"/>
      <c r="N19" s="16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40" t="s">
        <v>26</v>
      </c>
      <c r="B20" s="41"/>
      <c r="C20" s="176" t="s">
        <v>57</v>
      </c>
      <c r="D20" s="145" t="s">
        <v>58</v>
      </c>
      <c r="E20" s="177">
        <v>20039.0</v>
      </c>
      <c r="F20" s="122">
        <v>45854.0</v>
      </c>
      <c r="G20" s="178" t="s">
        <v>59</v>
      </c>
      <c r="H20" s="55"/>
      <c r="I20" s="162"/>
      <c r="J20" s="161"/>
      <c r="K20" s="1"/>
      <c r="L20" s="1"/>
      <c r="M20" s="1"/>
      <c r="N20" s="16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40" t="s">
        <v>29</v>
      </c>
      <c r="B21" s="41"/>
      <c r="C21" s="176" t="s">
        <v>80</v>
      </c>
      <c r="D21" s="145" t="s">
        <v>71</v>
      </c>
      <c r="E21" s="177">
        <v>6195.0</v>
      </c>
      <c r="F21" s="122">
        <v>45857.0</v>
      </c>
      <c r="G21" s="178" t="s">
        <v>92</v>
      </c>
      <c r="H21" s="55"/>
      <c r="I21" s="162"/>
      <c r="J21" s="161"/>
      <c r="K21" s="1"/>
      <c r="L21" s="1"/>
      <c r="M21" s="1"/>
      <c r="N21" s="16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40" t="s">
        <v>33</v>
      </c>
      <c r="B22" s="41"/>
      <c r="C22" s="113" t="s">
        <v>61</v>
      </c>
      <c r="D22" s="181" t="s">
        <v>58</v>
      </c>
      <c r="E22" s="116">
        <v>20164.0</v>
      </c>
      <c r="F22" s="122">
        <v>45910.0</v>
      </c>
      <c r="G22" s="183" t="s">
        <v>62</v>
      </c>
      <c r="H22" s="55"/>
      <c r="I22" s="1"/>
      <c r="J22" s="161"/>
      <c r="K22" s="162"/>
      <c r="L22" s="162"/>
      <c r="M22" s="162"/>
      <c r="N22" s="185"/>
      <c r="O22" s="16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40" t="s">
        <v>37</v>
      </c>
      <c r="B23" s="187"/>
      <c r="C23" s="188" t="s">
        <v>70</v>
      </c>
      <c r="D23" s="189" t="s">
        <v>104</v>
      </c>
      <c r="E23" s="190">
        <v>6260.0</v>
      </c>
      <c r="F23" s="191">
        <v>45972.0</v>
      </c>
      <c r="G23" s="192" t="s">
        <v>72</v>
      </c>
      <c r="H23" s="55"/>
      <c r="I23" s="162"/>
      <c r="J23" s="162"/>
      <c r="K23" s="162"/>
      <c r="L23" s="1"/>
      <c r="M23" s="162"/>
      <c r="N23" s="185"/>
      <c r="O23" s="16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7"/>
      <c r="B24" s="117"/>
      <c r="C24" s="195" t="s">
        <v>171</v>
      </c>
      <c r="D24" s="121"/>
      <c r="E24" s="121"/>
      <c r="F24" s="117"/>
      <c r="G24" s="117"/>
      <c r="H24" s="1"/>
      <c r="I24" s="162"/>
      <c r="J24" s="161"/>
      <c r="K24" s="162"/>
      <c r="L24" s="1"/>
      <c r="M24" s="162"/>
      <c r="N24" s="185"/>
      <c r="O24" s="16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/>
      <c r="B25" s="126"/>
      <c r="C25" s="4"/>
      <c r="D25" s="11"/>
      <c r="E25" s="11"/>
      <c r="F25" s="9"/>
      <c r="G25" s="9"/>
      <c r="H25" s="1"/>
      <c r="I25" s="162"/>
      <c r="J25" s="161"/>
      <c r="K25" s="162"/>
      <c r="L25" s="1"/>
      <c r="M25" s="162"/>
      <c r="N25" s="185"/>
      <c r="O25" s="16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9"/>
      <c r="B26" s="11"/>
      <c r="C26" s="11"/>
      <c r="D26" s="11"/>
      <c r="E26" s="11"/>
      <c r="F26" s="9"/>
      <c r="G26" s="9"/>
      <c r="H26" s="1"/>
      <c r="I26" s="162"/>
      <c r="J26" s="161"/>
      <c r="K26" s="1"/>
      <c r="L26" s="162"/>
      <c r="M26" s="1"/>
      <c r="N26" s="16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9"/>
      <c r="B27" s="11"/>
      <c r="C27" s="11"/>
      <c r="D27" s="11"/>
      <c r="E27" s="11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9"/>
      <c r="B28" s="9"/>
      <c r="C28" s="9"/>
      <c r="D28" s="11"/>
      <c r="E28" s="11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9"/>
      <c r="B29" s="9"/>
      <c r="C29" s="9"/>
      <c r="D29" s="11"/>
      <c r="E29" s="11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9"/>
      <c r="B30" s="9"/>
      <c r="C30" s="9" t="s">
        <v>115</v>
      </c>
      <c r="D30" s="9" t="s">
        <v>119</v>
      </c>
      <c r="E30" s="11"/>
      <c r="F30" s="206"/>
      <c r="G30" s="208" t="s">
        <v>180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"/>
      <c r="B31" s="9"/>
      <c r="C31" s="9"/>
      <c r="D31" s="11"/>
      <c r="E31" s="11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9"/>
      <c r="B32" s="9"/>
      <c r="C32" s="9"/>
      <c r="D32" s="11"/>
      <c r="E32" s="11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9"/>
      <c r="B33" s="9"/>
      <c r="C33" s="9"/>
      <c r="D33" s="11"/>
      <c r="E33" s="11"/>
      <c r="F33" s="9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"/>
      <c r="B34" s="9"/>
      <c r="C34" s="9"/>
      <c r="D34" s="11"/>
      <c r="E34" s="11"/>
      <c r="F34" s="9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9"/>
      <c r="B35" s="9"/>
      <c r="C35" s="9"/>
      <c r="D35" s="11"/>
      <c r="E35" s="11"/>
      <c r="F35" s="9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9"/>
      <c r="B36" s="9"/>
      <c r="C36" s="9"/>
      <c r="D36" s="11"/>
      <c r="E36" s="11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9"/>
      <c r="B37" s="9"/>
      <c r="C37" s="9"/>
      <c r="D37" s="11"/>
      <c r="E37" s="11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9"/>
      <c r="B38" s="9"/>
      <c r="C38" s="9"/>
      <c r="D38" s="11"/>
      <c r="E38" s="11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9"/>
      <c r="B39" s="9"/>
      <c r="C39" s="9"/>
      <c r="D39" s="11"/>
      <c r="E39" s="1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9"/>
      <c r="B40" s="9"/>
      <c r="C40" s="9"/>
      <c r="D40" s="11"/>
      <c r="E40" s="1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9"/>
      <c r="B41" s="9"/>
      <c r="C41" s="9"/>
      <c r="D41" s="11"/>
      <c r="E41" s="1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9"/>
      <c r="B42" s="9"/>
      <c r="C42" s="9"/>
      <c r="D42" s="11"/>
      <c r="E42" s="1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9"/>
      <c r="B43" s="9"/>
      <c r="C43" s="9"/>
      <c r="D43" s="11"/>
      <c r="E43" s="1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9"/>
      <c r="B44" s="9"/>
      <c r="C44" s="9"/>
      <c r="D44" s="11"/>
      <c r="E44" s="1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9"/>
      <c r="B45" s="9"/>
      <c r="C45" s="9"/>
      <c r="D45" s="11"/>
      <c r="E45" s="1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9"/>
      <c r="B46" s="9"/>
      <c r="C46" s="9"/>
      <c r="D46" s="11"/>
      <c r="E46" s="1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9"/>
      <c r="B47" s="9"/>
      <c r="C47" s="9"/>
      <c r="D47" s="11"/>
      <c r="E47" s="1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9"/>
      <c r="B48" s="9"/>
      <c r="C48" s="9"/>
      <c r="D48" s="11"/>
      <c r="E48" s="1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"/>
      <c r="B49" s="9"/>
      <c r="C49" s="9"/>
      <c r="D49" s="11"/>
      <c r="E49" s="1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9"/>
      <c r="B50" s="9"/>
      <c r="C50" s="9"/>
      <c r="D50" s="11"/>
      <c r="E50" s="1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9"/>
      <c r="B51" s="9"/>
      <c r="C51" s="9"/>
      <c r="D51" s="11"/>
      <c r="E51" s="1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"/>
      <c r="B52" s="9"/>
      <c r="C52" s="9"/>
      <c r="D52" s="11"/>
      <c r="E52" s="1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"/>
      <c r="B53" s="9"/>
      <c r="C53" s="9"/>
      <c r="D53" s="11"/>
      <c r="E53" s="1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9"/>
      <c r="B54" s="9"/>
      <c r="C54" s="9"/>
      <c r="D54" s="11"/>
      <c r="E54" s="1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9"/>
      <c r="B55" s="9"/>
      <c r="C55" s="9"/>
      <c r="D55" s="11"/>
      <c r="E55" s="1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9"/>
      <c r="B56" s="9"/>
      <c r="C56" s="9"/>
      <c r="D56" s="11"/>
      <c r="E56" s="1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9"/>
      <c r="B57" s="9"/>
      <c r="C57" s="9"/>
      <c r="D57" s="11"/>
      <c r="E57" s="1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9"/>
      <c r="B58" s="9"/>
      <c r="C58" s="9"/>
      <c r="D58" s="11"/>
      <c r="E58" s="1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9"/>
      <c r="B59" s="9"/>
      <c r="C59" s="9"/>
      <c r="D59" s="11"/>
      <c r="E59" s="1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9"/>
      <c r="B60" s="9"/>
      <c r="C60" s="9"/>
      <c r="D60" s="11"/>
      <c r="E60" s="1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9"/>
      <c r="B61" s="9"/>
      <c r="C61" s="9"/>
      <c r="D61" s="11"/>
      <c r="E61" s="1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9"/>
      <c r="B62" s="9"/>
      <c r="C62" s="9"/>
      <c r="D62" s="11"/>
      <c r="E62" s="1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9"/>
      <c r="B63" s="9"/>
      <c r="C63" s="9"/>
      <c r="D63" s="11"/>
      <c r="E63" s="1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9"/>
      <c r="B64" s="9"/>
      <c r="C64" s="9"/>
      <c r="D64" s="11"/>
      <c r="E64" s="1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"/>
      <c r="B65" s="9"/>
      <c r="C65" s="9"/>
      <c r="D65" s="11"/>
      <c r="E65" s="1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9"/>
      <c r="B66" s="9"/>
      <c r="C66" s="9"/>
      <c r="D66" s="11"/>
      <c r="E66" s="1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9"/>
      <c r="B67" s="9"/>
      <c r="C67" s="9"/>
      <c r="D67" s="11"/>
      <c r="E67" s="1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9"/>
      <c r="B68" s="9"/>
      <c r="C68" s="9"/>
      <c r="D68" s="11"/>
      <c r="E68" s="1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9"/>
      <c r="B69" s="9"/>
      <c r="C69" s="9"/>
      <c r="D69" s="11"/>
      <c r="E69" s="1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9"/>
      <c r="B70" s="9"/>
      <c r="C70" s="9"/>
      <c r="D70" s="11"/>
      <c r="E70" s="1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9"/>
      <c r="B71" s="9"/>
      <c r="C71" s="9"/>
      <c r="D71" s="11"/>
      <c r="E71" s="1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9"/>
      <c r="B72" s="9"/>
      <c r="C72" s="9"/>
      <c r="D72" s="11"/>
      <c r="E72" s="1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9"/>
      <c r="B73" s="9"/>
      <c r="C73" s="9"/>
      <c r="D73" s="11"/>
      <c r="E73" s="1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9"/>
      <c r="B74" s="9"/>
      <c r="C74" s="9"/>
      <c r="D74" s="11"/>
      <c r="E74" s="1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9"/>
      <c r="B75" s="9"/>
      <c r="C75" s="9"/>
      <c r="D75" s="11"/>
      <c r="E75" s="1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9"/>
      <c r="B76" s="9"/>
      <c r="C76" s="9"/>
      <c r="D76" s="11"/>
      <c r="E76" s="1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9"/>
      <c r="B77" s="9"/>
      <c r="C77" s="9"/>
      <c r="D77" s="11"/>
      <c r="E77" s="1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9"/>
      <c r="B78" s="9"/>
      <c r="C78" s="9"/>
      <c r="D78" s="11"/>
      <c r="E78" s="1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9"/>
      <c r="B79" s="9"/>
      <c r="C79" s="9"/>
      <c r="D79" s="11"/>
      <c r="E79" s="1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9"/>
      <c r="B80" s="9"/>
      <c r="C80" s="9"/>
      <c r="D80" s="11"/>
      <c r="E80" s="1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9"/>
      <c r="B81" s="9"/>
      <c r="C81" s="9"/>
      <c r="D81" s="11"/>
      <c r="E81" s="1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9"/>
      <c r="B82" s="9"/>
      <c r="C82" s="9"/>
      <c r="D82" s="11"/>
      <c r="E82" s="1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9"/>
      <c r="B83" s="9"/>
      <c r="C83" s="9"/>
      <c r="D83" s="11"/>
      <c r="E83" s="1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9"/>
      <c r="B84" s="9"/>
      <c r="C84" s="9"/>
      <c r="D84" s="11"/>
      <c r="E84" s="1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9"/>
      <c r="B85" s="9"/>
      <c r="C85" s="9"/>
      <c r="D85" s="11"/>
      <c r="E85" s="1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9"/>
      <c r="B86" s="9"/>
      <c r="C86" s="9"/>
      <c r="D86" s="11"/>
      <c r="E86" s="1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9"/>
      <c r="B87" s="9"/>
      <c r="C87" s="9"/>
      <c r="D87" s="11"/>
      <c r="E87" s="1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9"/>
      <c r="B88" s="9"/>
      <c r="C88" s="9"/>
      <c r="D88" s="11"/>
      <c r="E88" s="1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9"/>
      <c r="B89" s="9"/>
      <c r="C89" s="9"/>
      <c r="D89" s="11"/>
      <c r="E89" s="1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9"/>
      <c r="B90" s="9"/>
      <c r="C90" s="9"/>
      <c r="D90" s="11"/>
      <c r="E90" s="1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9"/>
      <c r="B91" s="9"/>
      <c r="C91" s="9"/>
      <c r="D91" s="11"/>
      <c r="E91" s="1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9"/>
      <c r="B92" s="9"/>
      <c r="C92" s="9"/>
      <c r="D92" s="11"/>
      <c r="E92" s="1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9"/>
      <c r="B93" s="9"/>
      <c r="C93" s="9"/>
      <c r="D93" s="11"/>
      <c r="E93" s="1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9"/>
      <c r="B94" s="9"/>
      <c r="C94" s="9"/>
      <c r="D94" s="11"/>
      <c r="E94" s="1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9"/>
      <c r="B95" s="9"/>
      <c r="C95" s="9"/>
      <c r="D95" s="11"/>
      <c r="E95" s="1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9"/>
      <c r="B96" s="9"/>
      <c r="C96" s="9"/>
      <c r="D96" s="11"/>
      <c r="E96" s="1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9"/>
      <c r="B97" s="9"/>
      <c r="C97" s="9"/>
      <c r="D97" s="11"/>
      <c r="E97" s="1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9"/>
      <c r="B98" s="9"/>
      <c r="C98" s="9"/>
      <c r="D98" s="11"/>
      <c r="E98" s="1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9"/>
      <c r="B99" s="9"/>
      <c r="C99" s="9"/>
      <c r="D99" s="11"/>
      <c r="E99" s="1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"/>
      <c r="B100" s="9"/>
      <c r="C100" s="9"/>
      <c r="D100" s="11"/>
      <c r="E100" s="1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"/>
      <c r="B101" s="9"/>
      <c r="C101" s="9"/>
      <c r="D101" s="11"/>
      <c r="E101" s="1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9"/>
      <c r="B102" s="9"/>
      <c r="C102" s="9"/>
      <c r="D102" s="11"/>
      <c r="E102" s="1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9"/>
      <c r="B103" s="9"/>
      <c r="C103" s="9"/>
      <c r="D103" s="11"/>
      <c r="E103" s="1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9"/>
      <c r="B104" s="9"/>
      <c r="C104" s="9"/>
      <c r="D104" s="11"/>
      <c r="E104" s="1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9"/>
      <c r="B105" s="9"/>
      <c r="C105" s="9"/>
      <c r="D105" s="11"/>
      <c r="E105" s="1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9"/>
      <c r="B106" s="9"/>
      <c r="C106" s="9"/>
      <c r="D106" s="11"/>
      <c r="E106" s="1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9"/>
      <c r="B107" s="9"/>
      <c r="C107" s="9"/>
      <c r="D107" s="11"/>
      <c r="E107" s="1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9"/>
      <c r="B108" s="9"/>
      <c r="C108" s="9"/>
      <c r="D108" s="11"/>
      <c r="E108" s="1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9"/>
      <c r="B109" s="9"/>
      <c r="C109" s="9"/>
      <c r="D109" s="11"/>
      <c r="E109" s="1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9"/>
      <c r="B110" s="9"/>
      <c r="C110" s="9"/>
      <c r="D110" s="11"/>
      <c r="E110" s="1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9"/>
      <c r="B111" s="9"/>
      <c r="C111" s="9"/>
      <c r="D111" s="11"/>
      <c r="E111" s="1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9"/>
      <c r="B112" s="9"/>
      <c r="C112" s="9"/>
      <c r="D112" s="11"/>
      <c r="E112" s="1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9"/>
      <c r="B113" s="9"/>
      <c r="C113" s="9"/>
      <c r="D113" s="11"/>
      <c r="E113" s="1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9"/>
      <c r="B114" s="9"/>
      <c r="C114" s="9"/>
      <c r="D114" s="11"/>
      <c r="E114" s="1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9"/>
      <c r="B115" s="9"/>
      <c r="C115" s="9"/>
      <c r="D115" s="11"/>
      <c r="E115" s="1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9"/>
      <c r="B116" s="9"/>
      <c r="C116" s="9"/>
      <c r="D116" s="11"/>
      <c r="E116" s="1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9"/>
      <c r="B117" s="9"/>
      <c r="C117" s="9"/>
      <c r="D117" s="11"/>
      <c r="E117" s="1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9"/>
      <c r="B118" s="9"/>
      <c r="C118" s="9"/>
      <c r="D118" s="11"/>
      <c r="E118" s="1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9"/>
      <c r="B119" s="9"/>
      <c r="C119" s="9"/>
      <c r="D119" s="11"/>
      <c r="E119" s="1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9"/>
      <c r="B120" s="9"/>
      <c r="C120" s="9"/>
      <c r="D120" s="11"/>
      <c r="E120" s="1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9"/>
      <c r="B121" s="9"/>
      <c r="C121" s="9"/>
      <c r="D121" s="11"/>
      <c r="E121" s="1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9"/>
      <c r="B122" s="9"/>
      <c r="C122" s="9"/>
      <c r="D122" s="11"/>
      <c r="E122" s="1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9"/>
      <c r="B123" s="9"/>
      <c r="C123" s="9"/>
      <c r="D123" s="11"/>
      <c r="E123" s="1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9"/>
      <c r="B124" s="9"/>
      <c r="C124" s="9"/>
      <c r="D124" s="11"/>
      <c r="E124" s="1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9"/>
      <c r="B125" s="9"/>
      <c r="C125" s="9"/>
      <c r="D125" s="11"/>
      <c r="E125" s="1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9"/>
      <c r="B126" s="9"/>
      <c r="C126" s="9"/>
      <c r="D126" s="11"/>
      <c r="E126" s="1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9"/>
      <c r="B127" s="9"/>
      <c r="C127" s="9"/>
      <c r="D127" s="11"/>
      <c r="E127" s="1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9"/>
      <c r="B128" s="9"/>
      <c r="C128" s="9"/>
      <c r="D128" s="11"/>
      <c r="E128" s="1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9"/>
      <c r="B129" s="9"/>
      <c r="C129" s="9"/>
      <c r="D129" s="11"/>
      <c r="E129" s="1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9"/>
      <c r="B130" s="9"/>
      <c r="C130" s="9"/>
      <c r="D130" s="11"/>
      <c r="E130" s="1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9"/>
      <c r="B131" s="9"/>
      <c r="C131" s="9"/>
      <c r="D131" s="11"/>
      <c r="E131" s="1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9"/>
      <c r="B132" s="9"/>
      <c r="C132" s="9"/>
      <c r="D132" s="11"/>
      <c r="E132" s="1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9"/>
      <c r="B133" s="9"/>
      <c r="C133" s="9"/>
      <c r="D133" s="11"/>
      <c r="E133" s="1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9"/>
      <c r="B134" s="9"/>
      <c r="C134" s="9"/>
      <c r="D134" s="11"/>
      <c r="E134" s="1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9"/>
      <c r="B135" s="9"/>
      <c r="C135" s="9"/>
      <c r="D135" s="11"/>
      <c r="E135" s="1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9"/>
      <c r="B136" s="9"/>
      <c r="C136" s="9"/>
      <c r="D136" s="11"/>
      <c r="E136" s="1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9"/>
      <c r="B137" s="9"/>
      <c r="C137" s="9"/>
      <c r="D137" s="11"/>
      <c r="E137" s="1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9"/>
      <c r="B138" s="9"/>
      <c r="C138" s="9"/>
      <c r="D138" s="11"/>
      <c r="E138" s="1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9"/>
      <c r="B139" s="9"/>
      <c r="C139" s="9"/>
      <c r="D139" s="11"/>
      <c r="E139" s="1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9"/>
      <c r="B140" s="9"/>
      <c r="C140" s="9"/>
      <c r="D140" s="11"/>
      <c r="E140" s="1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9"/>
      <c r="B141" s="9"/>
      <c r="C141" s="9"/>
      <c r="D141" s="11"/>
      <c r="E141" s="1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9"/>
      <c r="B142" s="9"/>
      <c r="C142" s="9"/>
      <c r="D142" s="11"/>
      <c r="E142" s="1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9"/>
      <c r="B143" s="9"/>
      <c r="C143" s="9"/>
      <c r="D143" s="11"/>
      <c r="E143" s="1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9"/>
      <c r="B144" s="9"/>
      <c r="C144" s="9"/>
      <c r="D144" s="11"/>
      <c r="E144" s="1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9"/>
      <c r="B145" s="9"/>
      <c r="C145" s="9"/>
      <c r="D145" s="11"/>
      <c r="E145" s="1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9"/>
      <c r="B146" s="9"/>
      <c r="C146" s="9"/>
      <c r="D146" s="11"/>
      <c r="E146" s="1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9"/>
      <c r="B147" s="9"/>
      <c r="C147" s="9"/>
      <c r="D147" s="11"/>
      <c r="E147" s="1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9"/>
      <c r="B148" s="9"/>
      <c r="C148" s="9"/>
      <c r="D148" s="11"/>
      <c r="E148" s="1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9"/>
      <c r="B149" s="9"/>
      <c r="C149" s="9"/>
      <c r="D149" s="11"/>
      <c r="E149" s="1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9"/>
      <c r="B150" s="9"/>
      <c r="C150" s="9"/>
      <c r="D150" s="11"/>
      <c r="E150" s="1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9"/>
      <c r="B151" s="9"/>
      <c r="C151" s="9"/>
      <c r="D151" s="11"/>
      <c r="E151" s="1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9"/>
      <c r="B152" s="9"/>
      <c r="C152" s="9"/>
      <c r="D152" s="11"/>
      <c r="E152" s="1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9"/>
      <c r="B153" s="9"/>
      <c r="C153" s="9"/>
      <c r="D153" s="11"/>
      <c r="E153" s="1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9"/>
      <c r="B154" s="9"/>
      <c r="C154" s="9"/>
      <c r="D154" s="11"/>
      <c r="E154" s="1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9"/>
      <c r="B155" s="9"/>
      <c r="C155" s="9"/>
      <c r="D155" s="11"/>
      <c r="E155" s="1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9"/>
      <c r="B156" s="9"/>
      <c r="C156" s="9"/>
      <c r="D156" s="11"/>
      <c r="E156" s="1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9"/>
      <c r="B157" s="9"/>
      <c r="C157" s="9"/>
      <c r="D157" s="11"/>
      <c r="E157" s="1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9"/>
      <c r="B158" s="9"/>
      <c r="C158" s="9"/>
      <c r="D158" s="11"/>
      <c r="E158" s="1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9"/>
      <c r="B159" s="9"/>
      <c r="C159" s="9"/>
      <c r="D159" s="11"/>
      <c r="E159" s="1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9"/>
      <c r="B160" s="9"/>
      <c r="C160" s="9"/>
      <c r="D160" s="11"/>
      <c r="E160" s="1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9"/>
      <c r="B161" s="9"/>
      <c r="C161" s="9"/>
      <c r="D161" s="11"/>
      <c r="E161" s="1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9"/>
      <c r="B162" s="9"/>
      <c r="C162" s="9"/>
      <c r="D162" s="11"/>
      <c r="E162" s="1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9"/>
      <c r="B163" s="9"/>
      <c r="C163" s="9"/>
      <c r="D163" s="11"/>
      <c r="E163" s="1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9"/>
      <c r="B164" s="9"/>
      <c r="C164" s="9"/>
      <c r="D164" s="11"/>
      <c r="E164" s="1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9"/>
      <c r="B165" s="9"/>
      <c r="C165" s="9"/>
      <c r="D165" s="11"/>
      <c r="E165" s="1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9"/>
      <c r="B166" s="9"/>
      <c r="C166" s="9"/>
      <c r="D166" s="11"/>
      <c r="E166" s="1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9"/>
      <c r="B167" s="9"/>
      <c r="C167" s="9"/>
      <c r="D167" s="11"/>
      <c r="E167" s="1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9"/>
      <c r="B168" s="9"/>
      <c r="C168" s="9"/>
      <c r="D168" s="11"/>
      <c r="E168" s="1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9"/>
      <c r="B169" s="9"/>
      <c r="C169" s="9"/>
      <c r="D169" s="11"/>
      <c r="E169" s="1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9"/>
      <c r="B170" s="9"/>
      <c r="C170" s="9"/>
      <c r="D170" s="11"/>
      <c r="E170" s="1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9"/>
      <c r="B171" s="9"/>
      <c r="C171" s="9"/>
      <c r="D171" s="11"/>
      <c r="E171" s="1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9"/>
      <c r="B172" s="9"/>
      <c r="C172" s="9"/>
      <c r="D172" s="11"/>
      <c r="E172" s="1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9"/>
      <c r="B173" s="9"/>
      <c r="C173" s="9"/>
      <c r="D173" s="11"/>
      <c r="E173" s="1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9"/>
      <c r="B174" s="9"/>
      <c r="C174" s="9"/>
      <c r="D174" s="11"/>
      <c r="E174" s="1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9"/>
      <c r="B175" s="9"/>
      <c r="C175" s="9"/>
      <c r="D175" s="11"/>
      <c r="E175" s="1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9"/>
      <c r="B176" s="9"/>
      <c r="C176" s="9"/>
      <c r="D176" s="11"/>
      <c r="E176" s="1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9"/>
      <c r="B177" s="9"/>
      <c r="C177" s="9"/>
      <c r="D177" s="11"/>
      <c r="E177" s="1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9"/>
      <c r="B178" s="9"/>
      <c r="C178" s="9"/>
      <c r="D178" s="11"/>
      <c r="E178" s="1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9"/>
      <c r="B179" s="9"/>
      <c r="C179" s="9"/>
      <c r="D179" s="11"/>
      <c r="E179" s="1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9"/>
      <c r="B180" s="9"/>
      <c r="C180" s="9"/>
      <c r="D180" s="11"/>
      <c r="E180" s="1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9"/>
      <c r="B181" s="9"/>
      <c r="C181" s="9"/>
      <c r="D181" s="11"/>
      <c r="E181" s="1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9"/>
      <c r="B182" s="9"/>
      <c r="C182" s="9"/>
      <c r="D182" s="11"/>
      <c r="E182" s="1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9"/>
      <c r="B183" s="9"/>
      <c r="C183" s="9"/>
      <c r="D183" s="11"/>
      <c r="E183" s="1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9"/>
      <c r="B184" s="9"/>
      <c r="C184" s="9"/>
      <c r="D184" s="11"/>
      <c r="E184" s="1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9"/>
      <c r="B185" s="9"/>
      <c r="C185" s="9"/>
      <c r="D185" s="11"/>
      <c r="E185" s="1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9"/>
      <c r="B186" s="9"/>
      <c r="C186" s="9"/>
      <c r="D186" s="11"/>
      <c r="E186" s="1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9"/>
      <c r="B187" s="9"/>
      <c r="C187" s="9"/>
      <c r="D187" s="11"/>
      <c r="E187" s="1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9"/>
      <c r="B188" s="9"/>
      <c r="C188" s="9"/>
      <c r="D188" s="11"/>
      <c r="E188" s="1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9"/>
      <c r="B189" s="9"/>
      <c r="C189" s="9"/>
      <c r="D189" s="11"/>
      <c r="E189" s="1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9"/>
      <c r="B190" s="9"/>
      <c r="C190" s="9"/>
      <c r="D190" s="11"/>
      <c r="E190" s="1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9"/>
      <c r="B191" s="9"/>
      <c r="C191" s="9"/>
      <c r="D191" s="11"/>
      <c r="E191" s="1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9"/>
      <c r="B192" s="9"/>
      <c r="C192" s="9"/>
      <c r="D192" s="11"/>
      <c r="E192" s="1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9"/>
      <c r="B193" s="9"/>
      <c r="C193" s="9"/>
      <c r="D193" s="11"/>
      <c r="E193" s="1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9"/>
      <c r="B194" s="9"/>
      <c r="C194" s="9"/>
      <c r="D194" s="11"/>
      <c r="E194" s="1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9"/>
      <c r="B195" s="9"/>
      <c r="C195" s="9"/>
      <c r="D195" s="11"/>
      <c r="E195" s="1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9"/>
      <c r="B196" s="9"/>
      <c r="C196" s="9"/>
      <c r="D196" s="11"/>
      <c r="E196" s="1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9"/>
      <c r="B197" s="9"/>
      <c r="C197" s="9"/>
      <c r="D197" s="11"/>
      <c r="E197" s="1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9"/>
      <c r="B198" s="9"/>
      <c r="C198" s="9"/>
      <c r="D198" s="11"/>
      <c r="E198" s="1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9"/>
      <c r="B199" s="9"/>
      <c r="C199" s="9"/>
      <c r="D199" s="11"/>
      <c r="E199" s="1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9"/>
      <c r="B200" s="9"/>
      <c r="C200" s="9"/>
      <c r="D200" s="11"/>
      <c r="E200" s="1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9"/>
      <c r="B201" s="9"/>
      <c r="C201" s="9"/>
      <c r="D201" s="11"/>
      <c r="E201" s="1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9"/>
      <c r="B202" s="9"/>
      <c r="C202" s="9"/>
      <c r="D202" s="11"/>
      <c r="E202" s="1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9"/>
      <c r="B203" s="9"/>
      <c r="C203" s="9"/>
      <c r="D203" s="11"/>
      <c r="E203" s="1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9"/>
      <c r="B204" s="9"/>
      <c r="C204" s="9"/>
      <c r="D204" s="11"/>
      <c r="E204" s="1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9"/>
      <c r="B205" s="9"/>
      <c r="C205" s="9"/>
      <c r="D205" s="11"/>
      <c r="E205" s="1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9"/>
      <c r="B206" s="9"/>
      <c r="C206" s="9"/>
      <c r="D206" s="11"/>
      <c r="E206" s="1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9"/>
      <c r="B207" s="9"/>
      <c r="C207" s="9"/>
      <c r="D207" s="11"/>
      <c r="E207" s="1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9"/>
      <c r="B208" s="9"/>
      <c r="C208" s="9"/>
      <c r="D208" s="11"/>
      <c r="E208" s="1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9"/>
      <c r="B209" s="9"/>
      <c r="C209" s="9"/>
      <c r="D209" s="11"/>
      <c r="E209" s="1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9"/>
      <c r="B210" s="9"/>
      <c r="C210" s="9"/>
      <c r="D210" s="11"/>
      <c r="E210" s="1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9"/>
      <c r="B211" s="9"/>
      <c r="C211" s="9"/>
      <c r="D211" s="11"/>
      <c r="E211" s="1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9"/>
      <c r="B212" s="9"/>
      <c r="C212" s="9"/>
      <c r="D212" s="11"/>
      <c r="E212" s="1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9"/>
      <c r="B213" s="9"/>
      <c r="C213" s="9"/>
      <c r="D213" s="11"/>
      <c r="E213" s="1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9"/>
      <c r="B214" s="9"/>
      <c r="C214" s="9"/>
      <c r="D214" s="11"/>
      <c r="E214" s="1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9"/>
      <c r="B215" s="9"/>
      <c r="C215" s="9"/>
      <c r="D215" s="11"/>
      <c r="E215" s="1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9"/>
      <c r="B216" s="9"/>
      <c r="C216" s="9"/>
      <c r="D216" s="11"/>
      <c r="E216" s="1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9"/>
      <c r="B217" s="9"/>
      <c r="C217" s="9"/>
      <c r="D217" s="11"/>
      <c r="E217" s="1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9"/>
      <c r="B218" s="9"/>
      <c r="C218" s="9"/>
      <c r="D218" s="11"/>
      <c r="E218" s="1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9"/>
      <c r="B219" s="9"/>
      <c r="C219" s="9"/>
      <c r="D219" s="11"/>
      <c r="E219" s="1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9"/>
      <c r="B220" s="9"/>
      <c r="C220" s="9"/>
      <c r="D220" s="11"/>
      <c r="E220" s="1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9"/>
      <c r="B221" s="9"/>
      <c r="C221" s="9"/>
      <c r="D221" s="11"/>
      <c r="E221" s="1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9"/>
      <c r="B222" s="9"/>
      <c r="C222" s="9"/>
      <c r="D222" s="11"/>
      <c r="E222" s="1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9"/>
      <c r="B223" s="9"/>
      <c r="C223" s="9"/>
      <c r="D223" s="11"/>
      <c r="E223" s="1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9"/>
      <c r="B224" s="9"/>
      <c r="C224" s="9"/>
      <c r="D224" s="11"/>
      <c r="E224" s="1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9"/>
      <c r="B225" s="9"/>
      <c r="C225" s="9"/>
      <c r="D225" s="11"/>
      <c r="E225" s="1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9"/>
      <c r="B226" s="9"/>
      <c r="C226" s="9"/>
      <c r="D226" s="11"/>
      <c r="E226" s="1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9"/>
      <c r="B227" s="9"/>
      <c r="C227" s="9"/>
      <c r="D227" s="11"/>
      <c r="E227" s="1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9"/>
      <c r="B228" s="9"/>
      <c r="C228" s="9"/>
      <c r="D228" s="11"/>
      <c r="E228" s="1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9"/>
      <c r="B229" s="9"/>
      <c r="C229" s="9"/>
      <c r="D229" s="11"/>
      <c r="E229" s="1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9"/>
      <c r="B230" s="9"/>
      <c r="C230" s="9"/>
      <c r="D230" s="11"/>
      <c r="E230" s="1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9"/>
      <c r="B231" s="9"/>
      <c r="C231" s="9"/>
      <c r="D231" s="11"/>
      <c r="E231" s="1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9"/>
      <c r="B232" s="9"/>
      <c r="C232" s="9"/>
      <c r="D232" s="11"/>
      <c r="E232" s="1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9"/>
      <c r="B233" s="9"/>
      <c r="C233" s="9"/>
      <c r="D233" s="11"/>
      <c r="E233" s="1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9"/>
      <c r="B234" s="9"/>
      <c r="C234" s="9"/>
      <c r="D234" s="11"/>
      <c r="E234" s="1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9"/>
      <c r="B235" s="9"/>
      <c r="C235" s="9"/>
      <c r="D235" s="11"/>
      <c r="E235" s="1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9"/>
      <c r="B236" s="9"/>
      <c r="C236" s="9"/>
      <c r="D236" s="11"/>
      <c r="E236" s="1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9"/>
      <c r="B237" s="9"/>
      <c r="C237" s="9"/>
      <c r="D237" s="11"/>
      <c r="E237" s="1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9"/>
      <c r="B238" s="9"/>
      <c r="C238" s="9"/>
      <c r="D238" s="11"/>
      <c r="E238" s="1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9"/>
      <c r="B239" s="9"/>
      <c r="C239" s="9"/>
      <c r="D239" s="11"/>
      <c r="E239" s="1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9"/>
      <c r="B240" s="9"/>
      <c r="C240" s="9"/>
      <c r="D240" s="11"/>
      <c r="E240" s="1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9"/>
      <c r="B241" s="9"/>
      <c r="C241" s="9"/>
      <c r="D241" s="11"/>
      <c r="E241" s="1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9"/>
      <c r="B242" s="9"/>
      <c r="C242" s="9"/>
      <c r="D242" s="11"/>
      <c r="E242" s="1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9"/>
      <c r="B243" s="9"/>
      <c r="C243" s="9"/>
      <c r="D243" s="11"/>
      <c r="E243" s="1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9"/>
      <c r="B244" s="9"/>
      <c r="C244" s="9"/>
      <c r="D244" s="11"/>
      <c r="E244" s="1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9"/>
      <c r="B245" s="9"/>
      <c r="C245" s="9"/>
      <c r="D245" s="11"/>
      <c r="E245" s="1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9"/>
      <c r="B246" s="9"/>
      <c r="C246" s="9"/>
      <c r="D246" s="11"/>
      <c r="E246" s="1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9"/>
      <c r="B247" s="9"/>
      <c r="C247" s="9"/>
      <c r="D247" s="11"/>
      <c r="E247" s="1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9"/>
      <c r="B248" s="9"/>
      <c r="C248" s="9"/>
      <c r="D248" s="11"/>
      <c r="E248" s="1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9"/>
      <c r="B249" s="9"/>
      <c r="C249" s="9"/>
      <c r="D249" s="11"/>
      <c r="E249" s="1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9"/>
      <c r="B250" s="9"/>
      <c r="C250" s="9"/>
      <c r="D250" s="11"/>
      <c r="E250" s="1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9"/>
      <c r="B251" s="9"/>
      <c r="C251" s="9"/>
      <c r="D251" s="11"/>
      <c r="E251" s="1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9"/>
      <c r="B252" s="9"/>
      <c r="C252" s="9"/>
      <c r="D252" s="11"/>
      <c r="E252" s="1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9"/>
      <c r="B253" s="9"/>
      <c r="C253" s="9"/>
      <c r="D253" s="11"/>
      <c r="E253" s="1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9"/>
      <c r="B254" s="9"/>
      <c r="C254" s="9"/>
      <c r="D254" s="11"/>
      <c r="E254" s="1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9"/>
      <c r="B255" s="9"/>
      <c r="C255" s="9"/>
      <c r="D255" s="11"/>
      <c r="E255" s="1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9"/>
      <c r="B256" s="9"/>
      <c r="C256" s="9"/>
      <c r="D256" s="11"/>
      <c r="E256" s="1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9"/>
      <c r="B257" s="9"/>
      <c r="C257" s="9"/>
      <c r="D257" s="11"/>
      <c r="E257" s="1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9"/>
      <c r="B258" s="9"/>
      <c r="C258" s="9"/>
      <c r="D258" s="11"/>
      <c r="E258" s="1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9"/>
      <c r="B259" s="9"/>
      <c r="C259" s="9"/>
      <c r="D259" s="11"/>
      <c r="E259" s="1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9"/>
      <c r="B260" s="9"/>
      <c r="C260" s="9"/>
      <c r="D260" s="11"/>
      <c r="E260" s="1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9"/>
      <c r="B261" s="9"/>
      <c r="C261" s="9"/>
      <c r="D261" s="11"/>
      <c r="E261" s="1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9"/>
      <c r="B262" s="9"/>
      <c r="C262" s="9"/>
      <c r="D262" s="11"/>
      <c r="E262" s="1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9"/>
      <c r="B263" s="9"/>
      <c r="C263" s="9"/>
      <c r="D263" s="11"/>
      <c r="E263" s="1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9"/>
      <c r="B264" s="9"/>
      <c r="C264" s="9"/>
      <c r="D264" s="11"/>
      <c r="E264" s="1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9"/>
      <c r="B265" s="9"/>
      <c r="C265" s="9"/>
      <c r="D265" s="11"/>
      <c r="E265" s="1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9"/>
      <c r="B266" s="9"/>
      <c r="C266" s="9"/>
      <c r="D266" s="11"/>
      <c r="E266" s="1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9"/>
      <c r="B267" s="9"/>
      <c r="C267" s="9"/>
      <c r="D267" s="11"/>
      <c r="E267" s="1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9"/>
      <c r="B268" s="9"/>
      <c r="C268" s="9"/>
      <c r="D268" s="11"/>
      <c r="E268" s="1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9"/>
      <c r="B269" s="9"/>
      <c r="C269" s="9"/>
      <c r="D269" s="11"/>
      <c r="E269" s="1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9"/>
      <c r="B270" s="9"/>
      <c r="C270" s="9"/>
      <c r="D270" s="11"/>
      <c r="E270" s="1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9"/>
      <c r="B271" s="9"/>
      <c r="C271" s="9"/>
      <c r="D271" s="11"/>
      <c r="E271" s="1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9"/>
      <c r="B272" s="9"/>
      <c r="C272" s="9"/>
      <c r="D272" s="11"/>
      <c r="E272" s="1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9"/>
      <c r="B273" s="9"/>
      <c r="C273" s="9"/>
      <c r="D273" s="11"/>
      <c r="E273" s="1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9"/>
      <c r="B274" s="9"/>
      <c r="C274" s="9"/>
      <c r="D274" s="11"/>
      <c r="E274" s="1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9"/>
      <c r="B275" s="9"/>
      <c r="C275" s="9"/>
      <c r="D275" s="11"/>
      <c r="E275" s="1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9"/>
      <c r="B276" s="9"/>
      <c r="C276" s="9"/>
      <c r="D276" s="11"/>
      <c r="E276" s="1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9"/>
      <c r="B277" s="9"/>
      <c r="C277" s="9"/>
      <c r="D277" s="11"/>
      <c r="E277" s="1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9"/>
      <c r="B278" s="9"/>
      <c r="C278" s="9"/>
      <c r="D278" s="11"/>
      <c r="E278" s="1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9"/>
      <c r="B279" s="9"/>
      <c r="C279" s="9"/>
      <c r="D279" s="11"/>
      <c r="E279" s="1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9"/>
      <c r="B280" s="9"/>
      <c r="C280" s="9"/>
      <c r="D280" s="11"/>
      <c r="E280" s="1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9"/>
      <c r="B281" s="9"/>
      <c r="C281" s="9"/>
      <c r="D281" s="11"/>
      <c r="E281" s="1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9"/>
      <c r="B282" s="9"/>
      <c r="C282" s="9"/>
      <c r="D282" s="11"/>
      <c r="E282" s="1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9"/>
      <c r="B283" s="9"/>
      <c r="C283" s="9"/>
      <c r="D283" s="11"/>
      <c r="E283" s="1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9"/>
      <c r="B284" s="9"/>
      <c r="C284" s="9"/>
      <c r="D284" s="11"/>
      <c r="E284" s="1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9"/>
      <c r="B285" s="9"/>
      <c r="C285" s="9"/>
      <c r="D285" s="11"/>
      <c r="E285" s="1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9"/>
      <c r="B286" s="9"/>
      <c r="C286" s="9"/>
      <c r="D286" s="11"/>
      <c r="E286" s="1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9"/>
      <c r="B287" s="9"/>
      <c r="C287" s="9"/>
      <c r="D287" s="11"/>
      <c r="E287" s="1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9"/>
      <c r="B288" s="9"/>
      <c r="C288" s="9"/>
      <c r="D288" s="11"/>
      <c r="E288" s="1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9"/>
      <c r="B289" s="9"/>
      <c r="C289" s="9"/>
      <c r="D289" s="11"/>
      <c r="E289" s="1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9"/>
      <c r="B290" s="9"/>
      <c r="C290" s="9"/>
      <c r="D290" s="11"/>
      <c r="E290" s="1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9"/>
      <c r="B291" s="9"/>
      <c r="C291" s="9"/>
      <c r="D291" s="11"/>
      <c r="E291" s="1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9"/>
      <c r="B292" s="9"/>
      <c r="C292" s="9"/>
      <c r="D292" s="11"/>
      <c r="E292" s="1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9"/>
      <c r="B293" s="9"/>
      <c r="C293" s="9"/>
      <c r="D293" s="11"/>
      <c r="E293" s="1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9"/>
      <c r="B294" s="9"/>
      <c r="C294" s="9"/>
      <c r="D294" s="11"/>
      <c r="E294" s="1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9"/>
      <c r="B295" s="9"/>
      <c r="C295" s="9"/>
      <c r="D295" s="11"/>
      <c r="E295" s="1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9"/>
      <c r="B296" s="9"/>
      <c r="C296" s="9"/>
      <c r="D296" s="11"/>
      <c r="E296" s="1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9"/>
      <c r="B297" s="9"/>
      <c r="C297" s="9"/>
      <c r="D297" s="11"/>
      <c r="E297" s="1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9"/>
      <c r="B298" s="9"/>
      <c r="C298" s="9"/>
      <c r="D298" s="11"/>
      <c r="E298" s="1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9"/>
      <c r="B299" s="9"/>
      <c r="C299" s="9"/>
      <c r="D299" s="11"/>
      <c r="E299" s="1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9"/>
      <c r="B300" s="9"/>
      <c r="C300" s="9"/>
      <c r="D300" s="11"/>
      <c r="E300" s="1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9"/>
      <c r="B301" s="9"/>
      <c r="C301" s="9"/>
      <c r="D301" s="11"/>
      <c r="E301" s="1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9"/>
      <c r="B302" s="9"/>
      <c r="C302" s="9"/>
      <c r="D302" s="11"/>
      <c r="E302" s="1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9"/>
      <c r="B303" s="9"/>
      <c r="C303" s="9"/>
      <c r="D303" s="11"/>
      <c r="E303" s="1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9"/>
      <c r="B304" s="9"/>
      <c r="C304" s="9"/>
      <c r="D304" s="11"/>
      <c r="E304" s="1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9"/>
      <c r="B305" s="9"/>
      <c r="C305" s="9"/>
      <c r="D305" s="11"/>
      <c r="E305" s="1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9"/>
      <c r="B306" s="9"/>
      <c r="C306" s="9"/>
      <c r="D306" s="11"/>
      <c r="E306" s="1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9"/>
      <c r="B307" s="9"/>
      <c r="C307" s="9"/>
      <c r="D307" s="11"/>
      <c r="E307" s="1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9"/>
      <c r="B308" s="9"/>
      <c r="C308" s="9"/>
      <c r="D308" s="11"/>
      <c r="E308" s="1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9"/>
      <c r="B309" s="9"/>
      <c r="C309" s="9"/>
      <c r="D309" s="11"/>
      <c r="E309" s="1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9"/>
      <c r="B310" s="9"/>
      <c r="C310" s="9"/>
      <c r="D310" s="11"/>
      <c r="E310" s="1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9"/>
      <c r="B311" s="9"/>
      <c r="C311" s="9"/>
      <c r="D311" s="11"/>
      <c r="E311" s="1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9"/>
      <c r="B312" s="9"/>
      <c r="C312" s="9"/>
      <c r="D312" s="11"/>
      <c r="E312" s="1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9"/>
      <c r="B313" s="9"/>
      <c r="C313" s="9"/>
      <c r="D313" s="11"/>
      <c r="E313" s="1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9"/>
      <c r="B314" s="9"/>
      <c r="C314" s="9"/>
      <c r="D314" s="11"/>
      <c r="E314" s="1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9"/>
      <c r="B315" s="9"/>
      <c r="C315" s="9"/>
      <c r="D315" s="11"/>
      <c r="E315" s="1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9"/>
      <c r="B316" s="9"/>
      <c r="C316" s="9"/>
      <c r="D316" s="11"/>
      <c r="E316" s="1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9"/>
      <c r="B317" s="9"/>
      <c r="C317" s="9"/>
      <c r="D317" s="11"/>
      <c r="E317" s="1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9"/>
      <c r="B318" s="9"/>
      <c r="C318" s="9"/>
      <c r="D318" s="11"/>
      <c r="E318" s="1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9"/>
      <c r="B319" s="9"/>
      <c r="C319" s="9"/>
      <c r="D319" s="11"/>
      <c r="E319" s="1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9"/>
      <c r="B320" s="9"/>
      <c r="C320" s="9"/>
      <c r="D320" s="11"/>
      <c r="E320" s="1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9"/>
      <c r="B321" s="9"/>
      <c r="C321" s="9"/>
      <c r="D321" s="11"/>
      <c r="E321" s="1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9"/>
      <c r="B322" s="9"/>
      <c r="C322" s="9"/>
      <c r="D322" s="11"/>
      <c r="E322" s="1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9"/>
      <c r="B323" s="9"/>
      <c r="C323" s="9"/>
      <c r="D323" s="11"/>
      <c r="E323" s="1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9"/>
      <c r="B324" s="9"/>
      <c r="C324" s="9"/>
      <c r="D324" s="11"/>
      <c r="E324" s="1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9"/>
      <c r="B325" s="9"/>
      <c r="C325" s="9"/>
      <c r="D325" s="11"/>
      <c r="E325" s="1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9"/>
      <c r="B326" s="9"/>
      <c r="C326" s="9"/>
      <c r="D326" s="11"/>
      <c r="E326" s="1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9"/>
      <c r="B327" s="9"/>
      <c r="C327" s="9"/>
      <c r="D327" s="11"/>
      <c r="E327" s="1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9"/>
      <c r="B328" s="9"/>
      <c r="C328" s="9"/>
      <c r="D328" s="11"/>
      <c r="E328" s="1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9"/>
      <c r="B329" s="9"/>
      <c r="C329" s="9"/>
      <c r="D329" s="11"/>
      <c r="E329" s="1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9"/>
      <c r="B330" s="9"/>
      <c r="C330" s="9"/>
      <c r="D330" s="11"/>
      <c r="E330" s="1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9"/>
      <c r="B331" s="9"/>
      <c r="C331" s="9"/>
      <c r="D331" s="11"/>
      <c r="E331" s="1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9"/>
      <c r="B332" s="9"/>
      <c r="C332" s="9"/>
      <c r="D332" s="11"/>
      <c r="E332" s="1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9"/>
      <c r="B333" s="9"/>
      <c r="C333" s="9"/>
      <c r="D333" s="11"/>
      <c r="E333" s="1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9"/>
      <c r="B334" s="9"/>
      <c r="C334" s="9"/>
      <c r="D334" s="11"/>
      <c r="E334" s="1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9"/>
      <c r="B335" s="9"/>
      <c r="C335" s="9"/>
      <c r="D335" s="11"/>
      <c r="E335" s="1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9"/>
      <c r="B336" s="9"/>
      <c r="C336" s="9"/>
      <c r="D336" s="11"/>
      <c r="E336" s="1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9"/>
      <c r="B337" s="9"/>
      <c r="C337" s="9"/>
      <c r="D337" s="11"/>
      <c r="E337" s="1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9"/>
      <c r="B338" s="9"/>
      <c r="C338" s="9"/>
      <c r="D338" s="11"/>
      <c r="E338" s="1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9"/>
      <c r="B339" s="9"/>
      <c r="C339" s="9"/>
      <c r="D339" s="11"/>
      <c r="E339" s="1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9"/>
      <c r="B340" s="9"/>
      <c r="C340" s="9"/>
      <c r="D340" s="11"/>
      <c r="E340" s="1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9"/>
      <c r="B341" s="9"/>
      <c r="C341" s="9"/>
      <c r="D341" s="11"/>
      <c r="E341" s="1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9"/>
      <c r="B342" s="9"/>
      <c r="C342" s="9"/>
      <c r="D342" s="11"/>
      <c r="E342" s="1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9"/>
      <c r="B343" s="9"/>
      <c r="C343" s="9"/>
      <c r="D343" s="11"/>
      <c r="E343" s="1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9"/>
      <c r="B344" s="9"/>
      <c r="C344" s="9"/>
      <c r="D344" s="11"/>
      <c r="E344" s="1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9"/>
      <c r="B345" s="9"/>
      <c r="C345" s="9"/>
      <c r="D345" s="11"/>
      <c r="E345" s="1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9"/>
      <c r="B346" s="9"/>
      <c r="C346" s="9"/>
      <c r="D346" s="11"/>
      <c r="E346" s="1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9"/>
      <c r="B347" s="9"/>
      <c r="C347" s="9"/>
      <c r="D347" s="11"/>
      <c r="E347" s="1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9"/>
      <c r="B348" s="9"/>
      <c r="C348" s="9"/>
      <c r="D348" s="11"/>
      <c r="E348" s="1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9"/>
      <c r="B349" s="9"/>
      <c r="C349" s="9"/>
      <c r="D349" s="11"/>
      <c r="E349" s="1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9"/>
      <c r="B350" s="9"/>
      <c r="C350" s="9"/>
      <c r="D350" s="11"/>
      <c r="E350" s="1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9"/>
      <c r="B351" s="9"/>
      <c r="C351" s="9"/>
      <c r="D351" s="11"/>
      <c r="E351" s="1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9"/>
      <c r="B352" s="9"/>
      <c r="C352" s="9"/>
      <c r="D352" s="11"/>
      <c r="E352" s="1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9"/>
      <c r="B353" s="9"/>
      <c r="C353" s="9"/>
      <c r="D353" s="11"/>
      <c r="E353" s="1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9"/>
      <c r="B354" s="9"/>
      <c r="C354" s="9"/>
      <c r="D354" s="11"/>
      <c r="E354" s="1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9"/>
      <c r="B355" s="9"/>
      <c r="C355" s="9"/>
      <c r="D355" s="11"/>
      <c r="E355" s="1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9"/>
      <c r="B356" s="9"/>
      <c r="C356" s="9"/>
      <c r="D356" s="11"/>
      <c r="E356" s="1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9"/>
      <c r="B357" s="9"/>
      <c r="C357" s="9"/>
      <c r="D357" s="11"/>
      <c r="E357" s="1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9"/>
      <c r="B358" s="9"/>
      <c r="C358" s="9"/>
      <c r="D358" s="11"/>
      <c r="E358" s="1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9"/>
      <c r="B359" s="9"/>
      <c r="C359" s="9"/>
      <c r="D359" s="11"/>
      <c r="E359" s="1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9"/>
      <c r="B360" s="9"/>
      <c r="C360" s="9"/>
      <c r="D360" s="11"/>
      <c r="E360" s="1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9"/>
      <c r="B361" s="9"/>
      <c r="C361" s="9"/>
      <c r="D361" s="11"/>
      <c r="E361" s="1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9"/>
      <c r="B362" s="9"/>
      <c r="C362" s="9"/>
      <c r="D362" s="11"/>
      <c r="E362" s="1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9"/>
      <c r="B363" s="9"/>
      <c r="C363" s="9"/>
      <c r="D363" s="11"/>
      <c r="E363" s="1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9"/>
      <c r="B364" s="9"/>
      <c r="C364" s="9"/>
      <c r="D364" s="11"/>
      <c r="E364" s="1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9"/>
      <c r="B365" s="9"/>
      <c r="C365" s="9"/>
      <c r="D365" s="11"/>
      <c r="E365" s="1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9"/>
      <c r="B366" s="9"/>
      <c r="C366" s="9"/>
      <c r="D366" s="11"/>
      <c r="E366" s="1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9"/>
      <c r="B367" s="9"/>
      <c r="C367" s="9"/>
      <c r="D367" s="11"/>
      <c r="E367" s="1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9"/>
      <c r="B368" s="9"/>
      <c r="C368" s="9"/>
      <c r="D368" s="11"/>
      <c r="E368" s="1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9"/>
      <c r="B369" s="9"/>
      <c r="C369" s="9"/>
      <c r="D369" s="11"/>
      <c r="E369" s="1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9"/>
      <c r="B370" s="9"/>
      <c r="C370" s="9"/>
      <c r="D370" s="11"/>
      <c r="E370" s="1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9"/>
      <c r="B371" s="9"/>
      <c r="C371" s="9"/>
      <c r="D371" s="11"/>
      <c r="E371" s="1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9"/>
      <c r="B372" s="9"/>
      <c r="C372" s="9"/>
      <c r="D372" s="11"/>
      <c r="E372" s="1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9"/>
      <c r="B373" s="9"/>
      <c r="C373" s="9"/>
      <c r="D373" s="11"/>
      <c r="E373" s="1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9"/>
      <c r="B374" s="9"/>
      <c r="C374" s="9"/>
      <c r="D374" s="11"/>
      <c r="E374" s="1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9"/>
      <c r="B375" s="9"/>
      <c r="C375" s="9"/>
      <c r="D375" s="11"/>
      <c r="E375" s="1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9"/>
      <c r="B376" s="9"/>
      <c r="C376" s="9"/>
      <c r="D376" s="11"/>
      <c r="E376" s="1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9"/>
      <c r="B377" s="9"/>
      <c r="C377" s="9"/>
      <c r="D377" s="11"/>
      <c r="E377" s="1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9"/>
      <c r="B378" s="9"/>
      <c r="C378" s="9"/>
      <c r="D378" s="11"/>
      <c r="E378" s="1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9"/>
      <c r="B379" s="9"/>
      <c r="C379" s="9"/>
      <c r="D379" s="11"/>
      <c r="E379" s="1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9"/>
      <c r="B380" s="9"/>
      <c r="C380" s="9"/>
      <c r="D380" s="11"/>
      <c r="E380" s="1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9"/>
      <c r="B381" s="9"/>
      <c r="C381" s="9"/>
      <c r="D381" s="11"/>
      <c r="E381" s="1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9"/>
      <c r="B382" s="9"/>
      <c r="C382" s="9"/>
      <c r="D382" s="11"/>
      <c r="E382" s="1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9"/>
      <c r="B383" s="9"/>
      <c r="C383" s="9"/>
      <c r="D383" s="11"/>
      <c r="E383" s="1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9"/>
      <c r="B384" s="9"/>
      <c r="C384" s="9"/>
      <c r="D384" s="11"/>
      <c r="E384" s="1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9"/>
      <c r="B385" s="9"/>
      <c r="C385" s="9"/>
      <c r="D385" s="11"/>
      <c r="E385" s="1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9"/>
      <c r="B386" s="9"/>
      <c r="C386" s="9"/>
      <c r="D386" s="11"/>
      <c r="E386" s="1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9"/>
      <c r="B387" s="9"/>
      <c r="C387" s="9"/>
      <c r="D387" s="11"/>
      <c r="E387" s="1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9"/>
      <c r="B388" s="9"/>
      <c r="C388" s="9"/>
      <c r="D388" s="11"/>
      <c r="E388" s="1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9"/>
      <c r="B389" s="9"/>
      <c r="C389" s="9"/>
      <c r="D389" s="11"/>
      <c r="E389" s="1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9"/>
      <c r="B390" s="9"/>
      <c r="C390" s="9"/>
      <c r="D390" s="11"/>
      <c r="E390" s="1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9"/>
      <c r="B391" s="9"/>
      <c r="C391" s="9"/>
      <c r="D391" s="11"/>
      <c r="E391" s="1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9"/>
      <c r="B392" s="9"/>
      <c r="C392" s="9"/>
      <c r="D392" s="11"/>
      <c r="E392" s="1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9"/>
      <c r="B393" s="9"/>
      <c r="C393" s="9"/>
      <c r="D393" s="11"/>
      <c r="E393" s="1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9"/>
      <c r="B394" s="9"/>
      <c r="C394" s="9"/>
      <c r="D394" s="11"/>
      <c r="E394" s="1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9"/>
      <c r="B395" s="9"/>
      <c r="C395" s="9"/>
      <c r="D395" s="11"/>
      <c r="E395" s="1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9"/>
      <c r="B396" s="9"/>
      <c r="C396" s="9"/>
      <c r="D396" s="11"/>
      <c r="E396" s="1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9"/>
      <c r="B397" s="9"/>
      <c r="C397" s="9"/>
      <c r="D397" s="11"/>
      <c r="E397" s="1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9"/>
      <c r="B398" s="9"/>
      <c r="C398" s="9"/>
      <c r="D398" s="11"/>
      <c r="E398" s="1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9"/>
      <c r="B399" s="9"/>
      <c r="C399" s="9"/>
      <c r="D399" s="11"/>
      <c r="E399" s="1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9"/>
      <c r="B400" s="9"/>
      <c r="C400" s="9"/>
      <c r="D400" s="11"/>
      <c r="E400" s="1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9"/>
      <c r="B401" s="9"/>
      <c r="C401" s="9"/>
      <c r="D401" s="11"/>
      <c r="E401" s="1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9"/>
      <c r="B402" s="9"/>
      <c r="C402" s="9"/>
      <c r="D402" s="11"/>
      <c r="E402" s="1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9"/>
      <c r="B403" s="9"/>
      <c r="C403" s="9"/>
      <c r="D403" s="11"/>
      <c r="E403" s="1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9"/>
      <c r="B404" s="9"/>
      <c r="C404" s="9"/>
      <c r="D404" s="11"/>
      <c r="E404" s="1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9"/>
      <c r="B405" s="9"/>
      <c r="C405" s="9"/>
      <c r="D405" s="11"/>
      <c r="E405" s="1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9"/>
      <c r="B406" s="9"/>
      <c r="C406" s="9"/>
      <c r="D406" s="11"/>
      <c r="E406" s="1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9"/>
      <c r="B407" s="9"/>
      <c r="C407" s="9"/>
      <c r="D407" s="11"/>
      <c r="E407" s="1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9"/>
      <c r="B408" s="9"/>
      <c r="C408" s="9"/>
      <c r="D408" s="11"/>
      <c r="E408" s="1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9"/>
      <c r="B409" s="9"/>
      <c r="C409" s="9"/>
      <c r="D409" s="11"/>
      <c r="E409" s="1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9"/>
      <c r="B410" s="9"/>
      <c r="C410" s="9"/>
      <c r="D410" s="11"/>
      <c r="E410" s="1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9"/>
      <c r="B411" s="9"/>
      <c r="C411" s="9"/>
      <c r="D411" s="11"/>
      <c r="E411" s="1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9"/>
      <c r="B412" s="9"/>
      <c r="C412" s="9"/>
      <c r="D412" s="11"/>
      <c r="E412" s="1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9"/>
      <c r="B413" s="9"/>
      <c r="C413" s="9"/>
      <c r="D413" s="11"/>
      <c r="E413" s="1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9"/>
      <c r="B414" s="9"/>
      <c r="C414" s="9"/>
      <c r="D414" s="11"/>
      <c r="E414" s="1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9"/>
      <c r="B415" s="9"/>
      <c r="C415" s="9"/>
      <c r="D415" s="11"/>
      <c r="E415" s="1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9"/>
      <c r="B416" s="9"/>
      <c r="C416" s="9"/>
      <c r="D416" s="11"/>
      <c r="E416" s="1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9"/>
      <c r="B417" s="9"/>
      <c r="C417" s="9"/>
      <c r="D417" s="11"/>
      <c r="E417" s="1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9"/>
      <c r="B418" s="9"/>
      <c r="C418" s="9"/>
      <c r="D418" s="11"/>
      <c r="E418" s="1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9"/>
      <c r="B419" s="9"/>
      <c r="C419" s="9"/>
      <c r="D419" s="11"/>
      <c r="E419" s="1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9"/>
      <c r="B420" s="9"/>
      <c r="C420" s="9"/>
      <c r="D420" s="11"/>
      <c r="E420" s="1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9"/>
      <c r="B421" s="9"/>
      <c r="C421" s="9"/>
      <c r="D421" s="11"/>
      <c r="E421" s="1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9"/>
      <c r="B422" s="9"/>
      <c r="C422" s="9"/>
      <c r="D422" s="11"/>
      <c r="E422" s="1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9"/>
      <c r="B423" s="9"/>
      <c r="C423" s="9"/>
      <c r="D423" s="11"/>
      <c r="E423" s="1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9"/>
      <c r="B424" s="9"/>
      <c r="C424" s="9"/>
      <c r="D424" s="11"/>
      <c r="E424" s="1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9"/>
      <c r="B425" s="9"/>
      <c r="C425" s="9"/>
      <c r="D425" s="11"/>
      <c r="E425" s="1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9"/>
      <c r="B426" s="9"/>
      <c r="C426" s="9"/>
      <c r="D426" s="11"/>
      <c r="E426" s="1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9"/>
      <c r="B427" s="9"/>
      <c r="C427" s="9"/>
      <c r="D427" s="11"/>
      <c r="E427" s="1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9"/>
      <c r="B428" s="9"/>
      <c r="C428" s="9"/>
      <c r="D428" s="11"/>
      <c r="E428" s="1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9"/>
      <c r="B429" s="9"/>
      <c r="C429" s="9"/>
      <c r="D429" s="11"/>
      <c r="E429" s="1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9"/>
      <c r="B430" s="9"/>
      <c r="C430" s="9"/>
      <c r="D430" s="11"/>
      <c r="E430" s="1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9"/>
      <c r="B431" s="9"/>
      <c r="C431" s="9"/>
      <c r="D431" s="11"/>
      <c r="E431" s="1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9"/>
      <c r="B432" s="9"/>
      <c r="C432" s="9"/>
      <c r="D432" s="11"/>
      <c r="E432" s="1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9"/>
      <c r="B433" s="9"/>
      <c r="C433" s="9"/>
      <c r="D433" s="11"/>
      <c r="E433" s="1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9"/>
      <c r="B434" s="9"/>
      <c r="C434" s="9"/>
      <c r="D434" s="11"/>
      <c r="E434" s="1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9"/>
      <c r="B435" s="9"/>
      <c r="C435" s="9"/>
      <c r="D435" s="11"/>
      <c r="E435" s="1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9"/>
      <c r="B436" s="9"/>
      <c r="C436" s="9"/>
      <c r="D436" s="11"/>
      <c r="E436" s="1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9"/>
      <c r="B437" s="9"/>
      <c r="C437" s="9"/>
      <c r="D437" s="11"/>
      <c r="E437" s="1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9"/>
      <c r="B438" s="9"/>
      <c r="C438" s="9"/>
      <c r="D438" s="11"/>
      <c r="E438" s="1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9"/>
      <c r="B439" s="9"/>
      <c r="C439" s="9"/>
      <c r="D439" s="11"/>
      <c r="E439" s="1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9"/>
      <c r="B440" s="9"/>
      <c r="C440" s="9"/>
      <c r="D440" s="11"/>
      <c r="E440" s="1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9"/>
      <c r="B441" s="9"/>
      <c r="C441" s="9"/>
      <c r="D441" s="11"/>
      <c r="E441" s="1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9"/>
      <c r="B442" s="9"/>
      <c r="C442" s="9"/>
      <c r="D442" s="11"/>
      <c r="E442" s="1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9"/>
      <c r="B443" s="9"/>
      <c r="C443" s="9"/>
      <c r="D443" s="11"/>
      <c r="E443" s="1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9"/>
      <c r="B444" s="9"/>
      <c r="C444" s="9"/>
      <c r="D444" s="11"/>
      <c r="E444" s="1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9"/>
      <c r="B445" s="9"/>
      <c r="C445" s="9"/>
      <c r="D445" s="11"/>
      <c r="E445" s="1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9"/>
      <c r="B446" s="9"/>
      <c r="C446" s="9"/>
      <c r="D446" s="11"/>
      <c r="E446" s="1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9"/>
      <c r="B447" s="9"/>
      <c r="C447" s="9"/>
      <c r="D447" s="11"/>
      <c r="E447" s="1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9"/>
      <c r="B448" s="9"/>
      <c r="C448" s="9"/>
      <c r="D448" s="11"/>
      <c r="E448" s="1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9"/>
      <c r="B449" s="9"/>
      <c r="C449" s="9"/>
      <c r="D449" s="11"/>
      <c r="E449" s="1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9"/>
      <c r="B450" s="9"/>
      <c r="C450" s="9"/>
      <c r="D450" s="11"/>
      <c r="E450" s="1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9"/>
      <c r="B451" s="9"/>
      <c r="C451" s="9"/>
      <c r="D451" s="11"/>
      <c r="E451" s="1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9"/>
      <c r="B452" s="9"/>
      <c r="C452" s="9"/>
      <c r="D452" s="11"/>
      <c r="E452" s="1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9"/>
      <c r="B453" s="9"/>
      <c r="C453" s="9"/>
      <c r="D453" s="11"/>
      <c r="E453" s="1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9"/>
      <c r="B454" s="9"/>
      <c r="C454" s="9"/>
      <c r="D454" s="11"/>
      <c r="E454" s="1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9"/>
      <c r="B455" s="9"/>
      <c r="C455" s="9"/>
      <c r="D455" s="11"/>
      <c r="E455" s="1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9"/>
      <c r="B456" s="9"/>
      <c r="C456" s="9"/>
      <c r="D456" s="11"/>
      <c r="E456" s="1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9"/>
      <c r="B457" s="9"/>
      <c r="C457" s="9"/>
      <c r="D457" s="11"/>
      <c r="E457" s="1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9"/>
      <c r="B458" s="9"/>
      <c r="C458" s="9"/>
      <c r="D458" s="11"/>
      <c r="E458" s="1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9"/>
      <c r="B459" s="9"/>
      <c r="C459" s="9"/>
      <c r="D459" s="11"/>
      <c r="E459" s="1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9"/>
      <c r="B460" s="9"/>
      <c r="C460" s="9"/>
      <c r="D460" s="11"/>
      <c r="E460" s="1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9"/>
      <c r="B461" s="9"/>
      <c r="C461" s="9"/>
      <c r="D461" s="11"/>
      <c r="E461" s="1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9"/>
      <c r="B462" s="9"/>
      <c r="C462" s="9"/>
      <c r="D462" s="11"/>
      <c r="E462" s="1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9"/>
      <c r="B463" s="9"/>
      <c r="C463" s="9"/>
      <c r="D463" s="11"/>
      <c r="E463" s="1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9"/>
      <c r="B464" s="9"/>
      <c r="C464" s="9"/>
      <c r="D464" s="11"/>
      <c r="E464" s="1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9"/>
      <c r="B465" s="9"/>
      <c r="C465" s="9"/>
      <c r="D465" s="11"/>
      <c r="E465" s="1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9"/>
      <c r="B466" s="9"/>
      <c r="C466" s="9"/>
      <c r="D466" s="11"/>
      <c r="E466" s="1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9"/>
      <c r="B467" s="9"/>
      <c r="C467" s="9"/>
      <c r="D467" s="11"/>
      <c r="E467" s="1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9"/>
      <c r="B468" s="9"/>
      <c r="C468" s="9"/>
      <c r="D468" s="11"/>
      <c r="E468" s="1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9"/>
      <c r="B469" s="9"/>
      <c r="C469" s="9"/>
      <c r="D469" s="11"/>
      <c r="E469" s="1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9"/>
      <c r="B470" s="9"/>
      <c r="C470" s="9"/>
      <c r="D470" s="11"/>
      <c r="E470" s="1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9"/>
      <c r="B471" s="9"/>
      <c r="C471" s="9"/>
      <c r="D471" s="11"/>
      <c r="E471" s="1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9"/>
      <c r="B472" s="9"/>
      <c r="C472" s="9"/>
      <c r="D472" s="11"/>
      <c r="E472" s="1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9"/>
      <c r="B473" s="9"/>
      <c r="C473" s="9"/>
      <c r="D473" s="11"/>
      <c r="E473" s="1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9"/>
      <c r="B474" s="9"/>
      <c r="C474" s="9"/>
      <c r="D474" s="11"/>
      <c r="E474" s="1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9"/>
      <c r="B475" s="9"/>
      <c r="C475" s="9"/>
      <c r="D475" s="11"/>
      <c r="E475" s="1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9"/>
      <c r="B476" s="9"/>
      <c r="C476" s="9"/>
      <c r="D476" s="11"/>
      <c r="E476" s="1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9"/>
      <c r="B477" s="9"/>
      <c r="C477" s="9"/>
      <c r="D477" s="11"/>
      <c r="E477" s="1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9"/>
      <c r="B478" s="9"/>
      <c r="C478" s="9"/>
      <c r="D478" s="11"/>
      <c r="E478" s="1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9"/>
      <c r="B479" s="9"/>
      <c r="C479" s="9"/>
      <c r="D479" s="11"/>
      <c r="E479" s="1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9"/>
      <c r="B480" s="9"/>
      <c r="C480" s="9"/>
      <c r="D480" s="11"/>
      <c r="E480" s="1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9"/>
      <c r="B481" s="9"/>
      <c r="C481" s="9"/>
      <c r="D481" s="11"/>
      <c r="E481" s="1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9"/>
      <c r="B482" s="9"/>
      <c r="C482" s="9"/>
      <c r="D482" s="11"/>
      <c r="E482" s="1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9"/>
      <c r="B483" s="9"/>
      <c r="C483" s="9"/>
      <c r="D483" s="11"/>
      <c r="E483" s="1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9"/>
      <c r="B484" s="9"/>
      <c r="C484" s="9"/>
      <c r="D484" s="11"/>
      <c r="E484" s="1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9"/>
      <c r="B485" s="9"/>
      <c r="C485" s="9"/>
      <c r="D485" s="11"/>
      <c r="E485" s="1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9"/>
      <c r="B486" s="9"/>
      <c r="C486" s="9"/>
      <c r="D486" s="11"/>
      <c r="E486" s="1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9"/>
      <c r="B487" s="9"/>
      <c r="C487" s="9"/>
      <c r="D487" s="11"/>
      <c r="E487" s="1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9"/>
      <c r="B488" s="9"/>
      <c r="C488" s="9"/>
      <c r="D488" s="11"/>
      <c r="E488" s="1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9"/>
      <c r="B489" s="9"/>
      <c r="C489" s="9"/>
      <c r="D489" s="11"/>
      <c r="E489" s="1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9"/>
      <c r="B490" s="9"/>
      <c r="C490" s="9"/>
      <c r="D490" s="11"/>
      <c r="E490" s="1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9"/>
      <c r="B491" s="9"/>
      <c r="C491" s="9"/>
      <c r="D491" s="11"/>
      <c r="E491" s="1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9"/>
      <c r="B492" s="9"/>
      <c r="C492" s="9"/>
      <c r="D492" s="11"/>
      <c r="E492" s="1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9"/>
      <c r="B493" s="9"/>
      <c r="C493" s="9"/>
      <c r="D493" s="11"/>
      <c r="E493" s="1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9"/>
      <c r="B494" s="9"/>
      <c r="C494" s="9"/>
      <c r="D494" s="11"/>
      <c r="E494" s="1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9"/>
      <c r="B495" s="9"/>
      <c r="C495" s="9"/>
      <c r="D495" s="11"/>
      <c r="E495" s="1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9"/>
      <c r="B496" s="9"/>
      <c r="C496" s="9"/>
      <c r="D496" s="11"/>
      <c r="E496" s="1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9"/>
      <c r="B497" s="9"/>
      <c r="C497" s="9"/>
      <c r="D497" s="11"/>
      <c r="E497" s="1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9"/>
      <c r="B498" s="9"/>
      <c r="C498" s="9"/>
      <c r="D498" s="11"/>
      <c r="E498" s="1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9"/>
      <c r="B499" s="9"/>
      <c r="C499" s="9"/>
      <c r="D499" s="11"/>
      <c r="E499" s="1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9"/>
      <c r="B500" s="9"/>
      <c r="C500" s="9"/>
      <c r="D500" s="11"/>
      <c r="E500" s="1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9"/>
      <c r="B501" s="9"/>
      <c r="C501" s="9"/>
      <c r="D501" s="11"/>
      <c r="E501" s="1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9"/>
      <c r="B502" s="9"/>
      <c r="C502" s="9"/>
      <c r="D502" s="11"/>
      <c r="E502" s="1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9"/>
      <c r="B503" s="9"/>
      <c r="C503" s="9"/>
      <c r="D503" s="11"/>
      <c r="E503" s="1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9"/>
      <c r="B504" s="9"/>
      <c r="C504" s="9"/>
      <c r="D504" s="11"/>
      <c r="E504" s="1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9"/>
      <c r="B505" s="9"/>
      <c r="C505" s="9"/>
      <c r="D505" s="11"/>
      <c r="E505" s="1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9"/>
      <c r="B506" s="9"/>
      <c r="C506" s="9"/>
      <c r="D506" s="11"/>
      <c r="E506" s="1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9"/>
      <c r="B507" s="9"/>
      <c r="C507" s="9"/>
      <c r="D507" s="11"/>
      <c r="E507" s="1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9"/>
      <c r="B508" s="9"/>
      <c r="C508" s="9"/>
      <c r="D508" s="11"/>
      <c r="E508" s="1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9"/>
      <c r="B509" s="9"/>
      <c r="C509" s="9"/>
      <c r="D509" s="11"/>
      <c r="E509" s="1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9"/>
      <c r="B510" s="9"/>
      <c r="C510" s="9"/>
      <c r="D510" s="11"/>
      <c r="E510" s="1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9"/>
      <c r="B511" s="9"/>
      <c r="C511" s="9"/>
      <c r="D511" s="11"/>
      <c r="E511" s="1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9"/>
      <c r="B512" s="9"/>
      <c r="C512" s="9"/>
      <c r="D512" s="11"/>
      <c r="E512" s="1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9"/>
      <c r="B513" s="9"/>
      <c r="C513" s="9"/>
      <c r="D513" s="11"/>
      <c r="E513" s="1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9"/>
      <c r="B514" s="9"/>
      <c r="C514" s="9"/>
      <c r="D514" s="11"/>
      <c r="E514" s="1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9"/>
      <c r="B515" s="9"/>
      <c r="C515" s="9"/>
      <c r="D515" s="11"/>
      <c r="E515" s="1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9"/>
      <c r="B516" s="9"/>
      <c r="C516" s="9"/>
      <c r="D516" s="11"/>
      <c r="E516" s="1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9"/>
      <c r="B517" s="9"/>
      <c r="C517" s="9"/>
      <c r="D517" s="11"/>
      <c r="E517" s="1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9"/>
      <c r="B518" s="9"/>
      <c r="C518" s="9"/>
      <c r="D518" s="11"/>
      <c r="E518" s="1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9"/>
      <c r="B519" s="9"/>
      <c r="C519" s="9"/>
      <c r="D519" s="11"/>
      <c r="E519" s="1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9"/>
      <c r="B520" s="9"/>
      <c r="C520" s="9"/>
      <c r="D520" s="11"/>
      <c r="E520" s="1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9"/>
      <c r="B521" s="9"/>
      <c r="C521" s="9"/>
      <c r="D521" s="11"/>
      <c r="E521" s="1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9"/>
      <c r="B522" s="9"/>
      <c r="C522" s="9"/>
      <c r="D522" s="11"/>
      <c r="E522" s="1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9"/>
      <c r="B523" s="9"/>
      <c r="C523" s="9"/>
      <c r="D523" s="11"/>
      <c r="E523" s="1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9"/>
      <c r="B524" s="9"/>
      <c r="C524" s="9"/>
      <c r="D524" s="11"/>
      <c r="E524" s="1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9"/>
      <c r="B525" s="9"/>
      <c r="C525" s="9"/>
      <c r="D525" s="11"/>
      <c r="E525" s="1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9"/>
      <c r="B526" s="9"/>
      <c r="C526" s="9"/>
      <c r="D526" s="11"/>
      <c r="E526" s="1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9"/>
      <c r="B527" s="9"/>
      <c r="C527" s="9"/>
      <c r="D527" s="11"/>
      <c r="E527" s="1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9"/>
      <c r="B528" s="9"/>
      <c r="C528" s="9"/>
      <c r="D528" s="11"/>
      <c r="E528" s="1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9"/>
      <c r="B529" s="9"/>
      <c r="C529" s="9"/>
      <c r="D529" s="11"/>
      <c r="E529" s="1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9"/>
      <c r="B530" s="9"/>
      <c r="C530" s="9"/>
      <c r="D530" s="11"/>
      <c r="E530" s="1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9"/>
      <c r="B531" s="9"/>
      <c r="C531" s="9"/>
      <c r="D531" s="11"/>
      <c r="E531" s="1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9"/>
      <c r="B532" s="9"/>
      <c r="C532" s="9"/>
      <c r="D532" s="11"/>
      <c r="E532" s="1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9"/>
      <c r="B533" s="9"/>
      <c r="C533" s="9"/>
      <c r="D533" s="11"/>
      <c r="E533" s="1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9"/>
      <c r="B534" s="9"/>
      <c r="C534" s="9"/>
      <c r="D534" s="11"/>
      <c r="E534" s="1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9"/>
      <c r="B535" s="9"/>
      <c r="C535" s="9"/>
      <c r="D535" s="11"/>
      <c r="E535" s="1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9"/>
      <c r="B536" s="9"/>
      <c r="C536" s="9"/>
      <c r="D536" s="11"/>
      <c r="E536" s="1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9"/>
      <c r="B537" s="9"/>
      <c r="C537" s="9"/>
      <c r="D537" s="11"/>
      <c r="E537" s="1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9"/>
      <c r="B538" s="9"/>
      <c r="C538" s="9"/>
      <c r="D538" s="11"/>
      <c r="E538" s="1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9"/>
      <c r="B539" s="9"/>
      <c r="C539" s="9"/>
      <c r="D539" s="11"/>
      <c r="E539" s="1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9"/>
      <c r="B540" s="9"/>
      <c r="C540" s="9"/>
      <c r="D540" s="11"/>
      <c r="E540" s="1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9"/>
      <c r="B541" s="9"/>
      <c r="C541" s="9"/>
      <c r="D541" s="11"/>
      <c r="E541" s="1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9"/>
      <c r="B542" s="9"/>
      <c r="C542" s="9"/>
      <c r="D542" s="11"/>
      <c r="E542" s="1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9"/>
      <c r="B543" s="9"/>
      <c r="C543" s="9"/>
      <c r="D543" s="11"/>
      <c r="E543" s="1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9"/>
      <c r="B544" s="9"/>
      <c r="C544" s="9"/>
      <c r="D544" s="11"/>
      <c r="E544" s="1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9"/>
      <c r="B545" s="9"/>
      <c r="C545" s="9"/>
      <c r="D545" s="11"/>
      <c r="E545" s="1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9"/>
      <c r="B546" s="9"/>
      <c r="C546" s="9"/>
      <c r="D546" s="11"/>
      <c r="E546" s="1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9"/>
      <c r="B547" s="9"/>
      <c r="C547" s="9"/>
      <c r="D547" s="11"/>
      <c r="E547" s="1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9"/>
      <c r="B548" s="9"/>
      <c r="C548" s="9"/>
      <c r="D548" s="11"/>
      <c r="E548" s="1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9"/>
      <c r="B549" s="9"/>
      <c r="C549" s="9"/>
      <c r="D549" s="11"/>
      <c r="E549" s="1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9"/>
      <c r="B550" s="9"/>
      <c r="C550" s="9"/>
      <c r="D550" s="11"/>
      <c r="E550" s="1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9"/>
      <c r="B551" s="9"/>
      <c r="C551" s="9"/>
      <c r="D551" s="11"/>
      <c r="E551" s="1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9"/>
      <c r="B552" s="9"/>
      <c r="C552" s="9"/>
      <c r="D552" s="11"/>
      <c r="E552" s="1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9"/>
      <c r="B553" s="9"/>
      <c r="C553" s="9"/>
      <c r="D553" s="11"/>
      <c r="E553" s="1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9"/>
      <c r="B554" s="9"/>
      <c r="C554" s="9"/>
      <c r="D554" s="11"/>
      <c r="E554" s="1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9"/>
      <c r="B555" s="9"/>
      <c r="C555" s="9"/>
      <c r="D555" s="11"/>
      <c r="E555" s="1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9"/>
      <c r="B556" s="9"/>
      <c r="C556" s="9"/>
      <c r="D556" s="11"/>
      <c r="E556" s="1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9"/>
      <c r="B557" s="9"/>
      <c r="C557" s="9"/>
      <c r="D557" s="11"/>
      <c r="E557" s="1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9"/>
      <c r="B558" s="9"/>
      <c r="C558" s="9"/>
      <c r="D558" s="11"/>
      <c r="E558" s="1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9"/>
      <c r="B559" s="9"/>
      <c r="C559" s="9"/>
      <c r="D559" s="11"/>
      <c r="E559" s="1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9"/>
      <c r="B560" s="9"/>
      <c r="C560" s="9"/>
      <c r="D560" s="11"/>
      <c r="E560" s="1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9"/>
      <c r="B561" s="9"/>
      <c r="C561" s="9"/>
      <c r="D561" s="11"/>
      <c r="E561" s="1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9"/>
      <c r="B562" s="9"/>
      <c r="C562" s="9"/>
      <c r="D562" s="11"/>
      <c r="E562" s="1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9"/>
      <c r="B563" s="9"/>
      <c r="C563" s="9"/>
      <c r="D563" s="11"/>
      <c r="E563" s="1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9"/>
      <c r="B564" s="9"/>
      <c r="C564" s="9"/>
      <c r="D564" s="11"/>
      <c r="E564" s="1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9"/>
      <c r="B565" s="9"/>
      <c r="C565" s="9"/>
      <c r="D565" s="11"/>
      <c r="E565" s="1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9"/>
      <c r="B566" s="9"/>
      <c r="C566" s="9"/>
      <c r="D566" s="11"/>
      <c r="E566" s="1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9"/>
      <c r="B567" s="9"/>
      <c r="C567" s="9"/>
      <c r="D567" s="11"/>
      <c r="E567" s="1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9"/>
      <c r="B568" s="9"/>
      <c r="C568" s="9"/>
      <c r="D568" s="11"/>
      <c r="E568" s="1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9"/>
      <c r="B569" s="9"/>
      <c r="C569" s="9"/>
      <c r="D569" s="11"/>
      <c r="E569" s="1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9"/>
      <c r="B570" s="9"/>
      <c r="C570" s="9"/>
      <c r="D570" s="11"/>
      <c r="E570" s="1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9"/>
      <c r="B571" s="9"/>
      <c r="C571" s="9"/>
      <c r="D571" s="11"/>
      <c r="E571" s="1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9"/>
      <c r="B572" s="9"/>
      <c r="C572" s="9"/>
      <c r="D572" s="11"/>
      <c r="E572" s="1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9"/>
      <c r="B573" s="9"/>
      <c r="C573" s="9"/>
      <c r="D573" s="11"/>
      <c r="E573" s="1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9"/>
      <c r="B574" s="9"/>
      <c r="C574" s="9"/>
      <c r="D574" s="11"/>
      <c r="E574" s="1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9"/>
      <c r="B575" s="9"/>
      <c r="C575" s="9"/>
      <c r="D575" s="11"/>
      <c r="E575" s="1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9"/>
      <c r="B576" s="9"/>
      <c r="C576" s="9"/>
      <c r="D576" s="11"/>
      <c r="E576" s="1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9"/>
      <c r="B577" s="9"/>
      <c r="C577" s="9"/>
      <c r="D577" s="11"/>
      <c r="E577" s="1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9"/>
      <c r="B578" s="9"/>
      <c r="C578" s="9"/>
      <c r="D578" s="11"/>
      <c r="E578" s="1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9"/>
      <c r="B579" s="9"/>
      <c r="C579" s="9"/>
      <c r="D579" s="11"/>
      <c r="E579" s="1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9"/>
      <c r="B580" s="9"/>
      <c r="C580" s="9"/>
      <c r="D580" s="11"/>
      <c r="E580" s="1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9"/>
      <c r="B581" s="9"/>
      <c r="C581" s="9"/>
      <c r="D581" s="11"/>
      <c r="E581" s="1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9"/>
      <c r="B582" s="9"/>
      <c r="C582" s="9"/>
      <c r="D582" s="11"/>
      <c r="E582" s="1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9"/>
      <c r="B583" s="9"/>
      <c r="C583" s="9"/>
      <c r="D583" s="11"/>
      <c r="E583" s="1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9"/>
      <c r="B584" s="9"/>
      <c r="C584" s="9"/>
      <c r="D584" s="11"/>
      <c r="E584" s="1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9"/>
      <c r="B585" s="9"/>
      <c r="C585" s="9"/>
      <c r="D585" s="11"/>
      <c r="E585" s="1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9"/>
      <c r="B586" s="9"/>
      <c r="C586" s="9"/>
      <c r="D586" s="11"/>
      <c r="E586" s="1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9"/>
      <c r="B587" s="9"/>
      <c r="C587" s="9"/>
      <c r="D587" s="11"/>
      <c r="E587" s="1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9"/>
      <c r="B588" s="9"/>
      <c r="C588" s="9"/>
      <c r="D588" s="11"/>
      <c r="E588" s="1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9"/>
      <c r="B589" s="9"/>
      <c r="C589" s="9"/>
      <c r="D589" s="11"/>
      <c r="E589" s="1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9"/>
      <c r="B590" s="9"/>
      <c r="C590" s="9"/>
      <c r="D590" s="11"/>
      <c r="E590" s="1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9"/>
      <c r="B591" s="9"/>
      <c r="C591" s="9"/>
      <c r="D591" s="11"/>
      <c r="E591" s="1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9"/>
      <c r="B592" s="9"/>
      <c r="C592" s="9"/>
      <c r="D592" s="11"/>
      <c r="E592" s="1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9"/>
      <c r="B593" s="9"/>
      <c r="C593" s="9"/>
      <c r="D593" s="11"/>
      <c r="E593" s="1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9"/>
      <c r="B594" s="9"/>
      <c r="C594" s="9"/>
      <c r="D594" s="11"/>
      <c r="E594" s="1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9"/>
      <c r="B595" s="9"/>
      <c r="C595" s="9"/>
      <c r="D595" s="11"/>
      <c r="E595" s="1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9"/>
      <c r="B596" s="9"/>
      <c r="C596" s="9"/>
      <c r="D596" s="11"/>
      <c r="E596" s="1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9"/>
      <c r="B597" s="9"/>
      <c r="C597" s="9"/>
      <c r="D597" s="11"/>
      <c r="E597" s="1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9"/>
      <c r="B598" s="9"/>
      <c r="C598" s="9"/>
      <c r="D598" s="11"/>
      <c r="E598" s="1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9"/>
      <c r="B599" s="9"/>
      <c r="C599" s="9"/>
      <c r="D599" s="11"/>
      <c r="E599" s="1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9"/>
      <c r="B600" s="9"/>
      <c r="C600" s="9"/>
      <c r="D600" s="11"/>
      <c r="E600" s="1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9"/>
      <c r="B601" s="9"/>
      <c r="C601" s="9"/>
      <c r="D601" s="11"/>
      <c r="E601" s="1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9"/>
      <c r="B602" s="9"/>
      <c r="C602" s="9"/>
      <c r="D602" s="11"/>
      <c r="E602" s="1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9"/>
      <c r="B603" s="9"/>
      <c r="C603" s="9"/>
      <c r="D603" s="11"/>
      <c r="E603" s="1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9"/>
      <c r="B604" s="9"/>
      <c r="C604" s="9"/>
      <c r="D604" s="11"/>
      <c r="E604" s="1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9"/>
      <c r="B605" s="9"/>
      <c r="C605" s="9"/>
      <c r="D605" s="11"/>
      <c r="E605" s="1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9"/>
      <c r="B606" s="9"/>
      <c r="C606" s="9"/>
      <c r="D606" s="11"/>
      <c r="E606" s="1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9"/>
      <c r="B607" s="9"/>
      <c r="C607" s="9"/>
      <c r="D607" s="11"/>
      <c r="E607" s="1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9"/>
      <c r="B608" s="9"/>
      <c r="C608" s="9"/>
      <c r="D608" s="11"/>
      <c r="E608" s="1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9"/>
      <c r="B609" s="9"/>
      <c r="C609" s="9"/>
      <c r="D609" s="11"/>
      <c r="E609" s="1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9"/>
      <c r="B610" s="9"/>
      <c r="C610" s="9"/>
      <c r="D610" s="11"/>
      <c r="E610" s="1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9"/>
      <c r="B611" s="9"/>
      <c r="C611" s="9"/>
      <c r="D611" s="11"/>
      <c r="E611" s="1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9"/>
      <c r="B612" s="9"/>
      <c r="C612" s="9"/>
      <c r="D612" s="11"/>
      <c r="E612" s="1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9"/>
      <c r="B613" s="9"/>
      <c r="C613" s="9"/>
      <c r="D613" s="11"/>
      <c r="E613" s="1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9"/>
      <c r="B614" s="9"/>
      <c r="C614" s="9"/>
      <c r="D614" s="11"/>
      <c r="E614" s="1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9"/>
      <c r="B615" s="9"/>
      <c r="C615" s="9"/>
      <c r="D615" s="11"/>
      <c r="E615" s="1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9"/>
      <c r="B616" s="9"/>
      <c r="C616" s="9"/>
      <c r="D616" s="11"/>
      <c r="E616" s="1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9"/>
      <c r="B617" s="9"/>
      <c r="C617" s="9"/>
      <c r="D617" s="11"/>
      <c r="E617" s="1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9"/>
      <c r="B618" s="9"/>
      <c r="C618" s="9"/>
      <c r="D618" s="11"/>
      <c r="E618" s="1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9"/>
      <c r="B619" s="9"/>
      <c r="C619" s="9"/>
      <c r="D619" s="11"/>
      <c r="E619" s="1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9"/>
      <c r="B620" s="9"/>
      <c r="C620" s="9"/>
      <c r="D620" s="11"/>
      <c r="E620" s="1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9"/>
      <c r="B621" s="9"/>
      <c r="C621" s="9"/>
      <c r="D621" s="11"/>
      <c r="E621" s="1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9"/>
      <c r="B622" s="9"/>
      <c r="C622" s="9"/>
      <c r="D622" s="11"/>
      <c r="E622" s="1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9"/>
      <c r="B623" s="9"/>
      <c r="C623" s="9"/>
      <c r="D623" s="11"/>
      <c r="E623" s="1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9"/>
      <c r="B624" s="9"/>
      <c r="C624" s="9"/>
      <c r="D624" s="11"/>
      <c r="E624" s="1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9"/>
      <c r="B625" s="9"/>
      <c r="C625" s="9"/>
      <c r="D625" s="11"/>
      <c r="E625" s="1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9"/>
      <c r="B626" s="9"/>
      <c r="C626" s="9"/>
      <c r="D626" s="11"/>
      <c r="E626" s="1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9"/>
      <c r="B627" s="9"/>
      <c r="C627" s="9"/>
      <c r="D627" s="11"/>
      <c r="E627" s="1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9"/>
      <c r="B628" s="9"/>
      <c r="C628" s="9"/>
      <c r="D628" s="11"/>
      <c r="E628" s="1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9"/>
      <c r="B629" s="9"/>
      <c r="C629" s="9"/>
      <c r="D629" s="11"/>
      <c r="E629" s="1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9"/>
      <c r="B630" s="9"/>
      <c r="C630" s="9"/>
      <c r="D630" s="11"/>
      <c r="E630" s="1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9"/>
      <c r="B631" s="9"/>
      <c r="C631" s="9"/>
      <c r="D631" s="11"/>
      <c r="E631" s="1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9"/>
      <c r="B632" s="9"/>
      <c r="C632" s="9"/>
      <c r="D632" s="11"/>
      <c r="E632" s="1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9"/>
      <c r="B633" s="9"/>
      <c r="C633" s="9"/>
      <c r="D633" s="11"/>
      <c r="E633" s="1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9"/>
      <c r="B634" s="9"/>
      <c r="C634" s="9"/>
      <c r="D634" s="11"/>
      <c r="E634" s="1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9"/>
      <c r="B635" s="9"/>
      <c r="C635" s="9"/>
      <c r="D635" s="11"/>
      <c r="E635" s="1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9"/>
      <c r="B636" s="9"/>
      <c r="C636" s="9"/>
      <c r="D636" s="11"/>
      <c r="E636" s="1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9"/>
      <c r="B637" s="9"/>
      <c r="C637" s="9"/>
      <c r="D637" s="11"/>
      <c r="E637" s="1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9"/>
      <c r="B638" s="9"/>
      <c r="C638" s="9"/>
      <c r="D638" s="11"/>
      <c r="E638" s="1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9"/>
      <c r="B639" s="9"/>
      <c r="C639" s="9"/>
      <c r="D639" s="11"/>
      <c r="E639" s="1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9"/>
      <c r="B640" s="9"/>
      <c r="C640" s="9"/>
      <c r="D640" s="11"/>
      <c r="E640" s="1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9"/>
      <c r="B641" s="9"/>
      <c r="C641" s="9"/>
      <c r="D641" s="11"/>
      <c r="E641" s="1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9"/>
      <c r="B642" s="9"/>
      <c r="C642" s="9"/>
      <c r="D642" s="11"/>
      <c r="E642" s="1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9"/>
      <c r="B643" s="9"/>
      <c r="C643" s="9"/>
      <c r="D643" s="11"/>
      <c r="E643" s="1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9"/>
      <c r="B644" s="9"/>
      <c r="C644" s="9"/>
      <c r="D644" s="11"/>
      <c r="E644" s="1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9"/>
      <c r="B645" s="9"/>
      <c r="C645" s="9"/>
      <c r="D645" s="11"/>
      <c r="E645" s="1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9"/>
      <c r="B646" s="9"/>
      <c r="C646" s="9"/>
      <c r="D646" s="11"/>
      <c r="E646" s="1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9"/>
      <c r="B647" s="9"/>
      <c r="C647" s="9"/>
      <c r="D647" s="11"/>
      <c r="E647" s="1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9"/>
      <c r="B648" s="9"/>
      <c r="C648" s="9"/>
      <c r="D648" s="11"/>
      <c r="E648" s="1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9"/>
      <c r="B649" s="9"/>
      <c r="C649" s="9"/>
      <c r="D649" s="11"/>
      <c r="E649" s="1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9"/>
      <c r="B650" s="9"/>
      <c r="C650" s="9"/>
      <c r="D650" s="11"/>
      <c r="E650" s="1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9"/>
      <c r="B651" s="9"/>
      <c r="C651" s="9"/>
      <c r="D651" s="11"/>
      <c r="E651" s="1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9"/>
      <c r="B652" s="9"/>
      <c r="C652" s="9"/>
      <c r="D652" s="11"/>
      <c r="E652" s="1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9"/>
      <c r="B653" s="9"/>
      <c r="C653" s="9"/>
      <c r="D653" s="11"/>
      <c r="E653" s="1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9"/>
      <c r="B654" s="9"/>
      <c r="C654" s="9"/>
      <c r="D654" s="11"/>
      <c r="E654" s="1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9"/>
      <c r="B655" s="9"/>
      <c r="C655" s="9"/>
      <c r="D655" s="11"/>
      <c r="E655" s="1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9"/>
      <c r="B656" s="9"/>
      <c r="C656" s="9"/>
      <c r="D656" s="11"/>
      <c r="E656" s="1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9"/>
      <c r="B657" s="9"/>
      <c r="C657" s="9"/>
      <c r="D657" s="11"/>
      <c r="E657" s="1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9"/>
      <c r="B658" s="9"/>
      <c r="C658" s="9"/>
      <c r="D658" s="11"/>
      <c r="E658" s="1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9"/>
      <c r="B659" s="9"/>
      <c r="C659" s="9"/>
      <c r="D659" s="11"/>
      <c r="E659" s="1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9"/>
      <c r="B660" s="9"/>
      <c r="C660" s="9"/>
      <c r="D660" s="11"/>
      <c r="E660" s="1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9"/>
      <c r="B661" s="9"/>
      <c r="C661" s="9"/>
      <c r="D661" s="11"/>
      <c r="E661" s="1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9"/>
      <c r="B662" s="9"/>
      <c r="C662" s="9"/>
      <c r="D662" s="11"/>
      <c r="E662" s="1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9"/>
      <c r="B663" s="9"/>
      <c r="C663" s="9"/>
      <c r="D663" s="11"/>
      <c r="E663" s="1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9"/>
      <c r="B664" s="9"/>
      <c r="C664" s="9"/>
      <c r="D664" s="11"/>
      <c r="E664" s="1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9"/>
      <c r="B665" s="9"/>
      <c r="C665" s="9"/>
      <c r="D665" s="11"/>
      <c r="E665" s="1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9"/>
      <c r="B666" s="9"/>
      <c r="C666" s="9"/>
      <c r="D666" s="11"/>
      <c r="E666" s="1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9"/>
      <c r="B667" s="9"/>
      <c r="C667" s="9"/>
      <c r="D667" s="11"/>
      <c r="E667" s="1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9"/>
      <c r="B668" s="9"/>
      <c r="C668" s="9"/>
      <c r="D668" s="11"/>
      <c r="E668" s="1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9"/>
      <c r="B669" s="9"/>
      <c r="C669" s="9"/>
      <c r="D669" s="11"/>
      <c r="E669" s="1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9"/>
      <c r="B670" s="9"/>
      <c r="C670" s="9"/>
      <c r="D670" s="11"/>
      <c r="E670" s="1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9"/>
      <c r="B671" s="9"/>
      <c r="C671" s="9"/>
      <c r="D671" s="11"/>
      <c r="E671" s="1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9"/>
      <c r="B672" s="9"/>
      <c r="C672" s="9"/>
      <c r="D672" s="11"/>
      <c r="E672" s="1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9"/>
      <c r="B673" s="9"/>
      <c r="C673" s="9"/>
      <c r="D673" s="11"/>
      <c r="E673" s="1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9"/>
      <c r="B674" s="9"/>
      <c r="C674" s="9"/>
      <c r="D674" s="11"/>
      <c r="E674" s="1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9"/>
      <c r="B675" s="9"/>
      <c r="C675" s="9"/>
      <c r="D675" s="11"/>
      <c r="E675" s="1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9"/>
      <c r="B676" s="9"/>
      <c r="C676" s="9"/>
      <c r="D676" s="11"/>
      <c r="E676" s="1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9"/>
      <c r="B677" s="9"/>
      <c r="C677" s="9"/>
      <c r="D677" s="11"/>
      <c r="E677" s="1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9"/>
      <c r="B678" s="9"/>
      <c r="C678" s="9"/>
      <c r="D678" s="11"/>
      <c r="E678" s="1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9"/>
      <c r="B679" s="9"/>
      <c r="C679" s="9"/>
      <c r="D679" s="11"/>
      <c r="E679" s="1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9"/>
      <c r="B680" s="9"/>
      <c r="C680" s="9"/>
      <c r="D680" s="11"/>
      <c r="E680" s="1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9"/>
      <c r="B681" s="9"/>
      <c r="C681" s="9"/>
      <c r="D681" s="11"/>
      <c r="E681" s="1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9"/>
      <c r="B682" s="9"/>
      <c r="C682" s="9"/>
      <c r="D682" s="11"/>
      <c r="E682" s="1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9"/>
      <c r="B683" s="9"/>
      <c r="C683" s="9"/>
      <c r="D683" s="11"/>
      <c r="E683" s="1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9"/>
      <c r="B684" s="9"/>
      <c r="C684" s="9"/>
      <c r="D684" s="11"/>
      <c r="E684" s="1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9"/>
      <c r="B685" s="9"/>
      <c r="C685" s="9"/>
      <c r="D685" s="11"/>
      <c r="E685" s="1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9"/>
      <c r="B686" s="9"/>
      <c r="C686" s="9"/>
      <c r="D686" s="11"/>
      <c r="E686" s="1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9"/>
      <c r="B687" s="9"/>
      <c r="C687" s="9"/>
      <c r="D687" s="11"/>
      <c r="E687" s="1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9"/>
      <c r="B688" s="9"/>
      <c r="C688" s="9"/>
      <c r="D688" s="11"/>
      <c r="E688" s="1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9"/>
      <c r="B689" s="9"/>
      <c r="C689" s="9"/>
      <c r="D689" s="11"/>
      <c r="E689" s="1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9"/>
      <c r="B690" s="9"/>
      <c r="C690" s="9"/>
      <c r="D690" s="11"/>
      <c r="E690" s="1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9"/>
      <c r="B691" s="9"/>
      <c r="C691" s="9"/>
      <c r="D691" s="11"/>
      <c r="E691" s="1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9"/>
      <c r="B692" s="9"/>
      <c r="C692" s="9"/>
      <c r="D692" s="11"/>
      <c r="E692" s="1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9"/>
      <c r="B693" s="9"/>
      <c r="C693" s="9"/>
      <c r="D693" s="11"/>
      <c r="E693" s="1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9"/>
      <c r="B694" s="9"/>
      <c r="C694" s="9"/>
      <c r="D694" s="11"/>
      <c r="E694" s="1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9"/>
      <c r="B695" s="9"/>
      <c r="C695" s="9"/>
      <c r="D695" s="11"/>
      <c r="E695" s="1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9"/>
      <c r="B696" s="9"/>
      <c r="C696" s="9"/>
      <c r="D696" s="11"/>
      <c r="E696" s="1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9"/>
      <c r="B697" s="9"/>
      <c r="C697" s="9"/>
      <c r="D697" s="11"/>
      <c r="E697" s="1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9"/>
      <c r="B698" s="9"/>
      <c r="C698" s="9"/>
      <c r="D698" s="11"/>
      <c r="E698" s="1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9"/>
      <c r="B699" s="9"/>
      <c r="C699" s="9"/>
      <c r="D699" s="11"/>
      <c r="E699" s="1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9"/>
      <c r="B700" s="9"/>
      <c r="C700" s="9"/>
      <c r="D700" s="11"/>
      <c r="E700" s="1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9"/>
      <c r="B701" s="9"/>
      <c r="C701" s="9"/>
      <c r="D701" s="11"/>
      <c r="E701" s="1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9"/>
      <c r="B702" s="9"/>
      <c r="C702" s="9"/>
      <c r="D702" s="11"/>
      <c r="E702" s="1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9"/>
      <c r="B703" s="9"/>
      <c r="C703" s="9"/>
      <c r="D703" s="11"/>
      <c r="E703" s="1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9"/>
      <c r="B704" s="9"/>
      <c r="C704" s="9"/>
      <c r="D704" s="11"/>
      <c r="E704" s="1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9"/>
      <c r="B705" s="9"/>
      <c r="C705" s="9"/>
      <c r="D705" s="11"/>
      <c r="E705" s="1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9"/>
      <c r="B706" s="9"/>
      <c r="C706" s="9"/>
      <c r="D706" s="11"/>
      <c r="E706" s="1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9"/>
      <c r="B707" s="9"/>
      <c r="C707" s="9"/>
      <c r="D707" s="11"/>
      <c r="E707" s="1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9"/>
      <c r="B708" s="9"/>
      <c r="C708" s="9"/>
      <c r="D708" s="11"/>
      <c r="E708" s="1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9"/>
      <c r="B709" s="9"/>
      <c r="C709" s="9"/>
      <c r="D709" s="11"/>
      <c r="E709" s="1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9"/>
      <c r="B710" s="9"/>
      <c r="C710" s="9"/>
      <c r="D710" s="11"/>
      <c r="E710" s="1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9"/>
      <c r="B711" s="9"/>
      <c r="C711" s="9"/>
      <c r="D711" s="11"/>
      <c r="E711" s="1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9"/>
      <c r="B712" s="9"/>
      <c r="C712" s="9"/>
      <c r="D712" s="11"/>
      <c r="E712" s="1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9"/>
      <c r="B713" s="9"/>
      <c r="C713" s="9"/>
      <c r="D713" s="11"/>
      <c r="E713" s="1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9"/>
      <c r="B714" s="9"/>
      <c r="C714" s="9"/>
      <c r="D714" s="11"/>
      <c r="E714" s="1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9"/>
      <c r="B715" s="9"/>
      <c r="C715" s="9"/>
      <c r="D715" s="11"/>
      <c r="E715" s="1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9"/>
      <c r="B716" s="9"/>
      <c r="C716" s="9"/>
      <c r="D716" s="11"/>
      <c r="E716" s="1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9"/>
      <c r="B717" s="9"/>
      <c r="C717" s="9"/>
      <c r="D717" s="11"/>
      <c r="E717" s="1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9"/>
      <c r="B718" s="9"/>
      <c r="C718" s="9"/>
      <c r="D718" s="11"/>
      <c r="E718" s="1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9"/>
      <c r="B719" s="9"/>
      <c r="C719" s="9"/>
      <c r="D719" s="11"/>
      <c r="E719" s="1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9"/>
      <c r="B720" s="9"/>
      <c r="C720" s="9"/>
      <c r="D720" s="11"/>
      <c r="E720" s="1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9"/>
      <c r="B721" s="9"/>
      <c r="C721" s="9"/>
      <c r="D721" s="11"/>
      <c r="E721" s="1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9"/>
      <c r="B722" s="9"/>
      <c r="C722" s="9"/>
      <c r="D722" s="11"/>
      <c r="E722" s="1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9"/>
      <c r="B723" s="9"/>
      <c r="C723" s="9"/>
      <c r="D723" s="11"/>
      <c r="E723" s="1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9"/>
      <c r="B724" s="9"/>
      <c r="C724" s="9"/>
      <c r="D724" s="11"/>
      <c r="E724" s="1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9"/>
      <c r="B725" s="9"/>
      <c r="C725" s="9"/>
      <c r="D725" s="11"/>
      <c r="E725" s="1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9"/>
      <c r="B726" s="9"/>
      <c r="C726" s="9"/>
      <c r="D726" s="11"/>
      <c r="E726" s="1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9"/>
      <c r="B727" s="9"/>
      <c r="C727" s="9"/>
      <c r="D727" s="11"/>
      <c r="E727" s="1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9"/>
      <c r="B728" s="9"/>
      <c r="C728" s="9"/>
      <c r="D728" s="11"/>
      <c r="E728" s="1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9"/>
      <c r="B729" s="9"/>
      <c r="C729" s="9"/>
      <c r="D729" s="11"/>
      <c r="E729" s="1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9"/>
      <c r="B730" s="9"/>
      <c r="C730" s="9"/>
      <c r="D730" s="11"/>
      <c r="E730" s="1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9"/>
      <c r="B731" s="9"/>
      <c r="C731" s="9"/>
      <c r="D731" s="11"/>
      <c r="E731" s="1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9"/>
      <c r="B732" s="9"/>
      <c r="C732" s="9"/>
      <c r="D732" s="11"/>
      <c r="E732" s="1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9"/>
      <c r="B733" s="9"/>
      <c r="C733" s="9"/>
      <c r="D733" s="11"/>
      <c r="E733" s="1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9"/>
      <c r="B734" s="9"/>
      <c r="C734" s="9"/>
      <c r="D734" s="11"/>
      <c r="E734" s="1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9"/>
      <c r="B735" s="9"/>
      <c r="C735" s="9"/>
      <c r="D735" s="11"/>
      <c r="E735" s="1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9"/>
      <c r="B736" s="9"/>
      <c r="C736" s="9"/>
      <c r="D736" s="11"/>
      <c r="E736" s="1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9"/>
      <c r="B737" s="9"/>
      <c r="C737" s="9"/>
      <c r="D737" s="11"/>
      <c r="E737" s="1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9"/>
      <c r="B738" s="9"/>
      <c r="C738" s="9"/>
      <c r="D738" s="11"/>
      <c r="E738" s="1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9"/>
      <c r="B739" s="9"/>
      <c r="C739" s="9"/>
      <c r="D739" s="11"/>
      <c r="E739" s="1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9"/>
      <c r="B740" s="9"/>
      <c r="C740" s="9"/>
      <c r="D740" s="11"/>
      <c r="E740" s="1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9"/>
      <c r="B741" s="9"/>
      <c r="C741" s="9"/>
      <c r="D741" s="11"/>
      <c r="E741" s="1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9"/>
      <c r="B742" s="9"/>
      <c r="C742" s="9"/>
      <c r="D742" s="11"/>
      <c r="E742" s="1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9"/>
      <c r="B743" s="9"/>
      <c r="C743" s="9"/>
      <c r="D743" s="11"/>
      <c r="E743" s="1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9"/>
      <c r="B744" s="9"/>
      <c r="C744" s="9"/>
      <c r="D744" s="11"/>
      <c r="E744" s="1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9"/>
      <c r="B745" s="9"/>
      <c r="C745" s="9"/>
      <c r="D745" s="11"/>
      <c r="E745" s="1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9"/>
      <c r="B746" s="9"/>
      <c r="C746" s="9"/>
      <c r="D746" s="11"/>
      <c r="E746" s="1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9"/>
      <c r="B747" s="9"/>
      <c r="C747" s="9"/>
      <c r="D747" s="11"/>
      <c r="E747" s="1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9"/>
      <c r="B748" s="9"/>
      <c r="C748" s="9"/>
      <c r="D748" s="11"/>
      <c r="E748" s="1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9"/>
      <c r="B749" s="9"/>
      <c r="C749" s="9"/>
      <c r="D749" s="11"/>
      <c r="E749" s="1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9"/>
      <c r="B750" s="9"/>
      <c r="C750" s="9"/>
      <c r="D750" s="11"/>
      <c r="E750" s="1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9"/>
      <c r="B751" s="9"/>
      <c r="C751" s="9"/>
      <c r="D751" s="11"/>
      <c r="E751" s="1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9"/>
      <c r="B752" s="9"/>
      <c r="C752" s="9"/>
      <c r="D752" s="11"/>
      <c r="E752" s="1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9"/>
      <c r="B753" s="9"/>
      <c r="C753" s="9"/>
      <c r="D753" s="11"/>
      <c r="E753" s="1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9"/>
      <c r="B754" s="9"/>
      <c r="C754" s="9"/>
      <c r="D754" s="11"/>
      <c r="E754" s="1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9"/>
      <c r="B755" s="9"/>
      <c r="C755" s="9"/>
      <c r="D755" s="11"/>
      <c r="E755" s="1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9"/>
      <c r="B756" s="9"/>
      <c r="C756" s="9"/>
      <c r="D756" s="11"/>
      <c r="E756" s="1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9"/>
      <c r="B757" s="9"/>
      <c r="C757" s="9"/>
      <c r="D757" s="11"/>
      <c r="E757" s="1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9"/>
      <c r="B758" s="9"/>
      <c r="C758" s="9"/>
      <c r="D758" s="11"/>
      <c r="E758" s="1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9"/>
      <c r="B759" s="9"/>
      <c r="C759" s="9"/>
      <c r="D759" s="11"/>
      <c r="E759" s="1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9"/>
      <c r="B760" s="9"/>
      <c r="C760" s="9"/>
      <c r="D760" s="11"/>
      <c r="E760" s="1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9"/>
      <c r="B761" s="9"/>
      <c r="C761" s="9"/>
      <c r="D761" s="11"/>
      <c r="E761" s="1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9"/>
      <c r="B762" s="9"/>
      <c r="C762" s="9"/>
      <c r="D762" s="11"/>
      <c r="E762" s="1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9"/>
      <c r="B763" s="9"/>
      <c r="C763" s="9"/>
      <c r="D763" s="11"/>
      <c r="E763" s="1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9"/>
      <c r="B764" s="9"/>
      <c r="C764" s="9"/>
      <c r="D764" s="11"/>
      <c r="E764" s="1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9"/>
      <c r="B765" s="9"/>
      <c r="C765" s="9"/>
      <c r="D765" s="11"/>
      <c r="E765" s="1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9"/>
      <c r="B766" s="9"/>
      <c r="C766" s="9"/>
      <c r="D766" s="11"/>
      <c r="E766" s="1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9"/>
      <c r="B767" s="9"/>
      <c r="C767" s="9"/>
      <c r="D767" s="11"/>
      <c r="E767" s="1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9"/>
      <c r="B768" s="9"/>
      <c r="C768" s="9"/>
      <c r="D768" s="11"/>
      <c r="E768" s="1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9"/>
      <c r="B769" s="9"/>
      <c r="C769" s="9"/>
      <c r="D769" s="11"/>
      <c r="E769" s="1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9"/>
      <c r="B770" s="9"/>
      <c r="C770" s="9"/>
      <c r="D770" s="11"/>
      <c r="E770" s="1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9"/>
      <c r="B771" s="9"/>
      <c r="C771" s="9"/>
      <c r="D771" s="11"/>
      <c r="E771" s="1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9"/>
      <c r="B772" s="9"/>
      <c r="C772" s="9"/>
      <c r="D772" s="11"/>
      <c r="E772" s="1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9"/>
      <c r="B773" s="9"/>
      <c r="C773" s="9"/>
      <c r="D773" s="11"/>
      <c r="E773" s="1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9"/>
      <c r="B774" s="9"/>
      <c r="C774" s="9"/>
      <c r="D774" s="11"/>
      <c r="E774" s="1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9"/>
      <c r="B775" s="9"/>
      <c r="C775" s="9"/>
      <c r="D775" s="11"/>
      <c r="E775" s="1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9"/>
      <c r="B776" s="9"/>
      <c r="C776" s="9"/>
      <c r="D776" s="11"/>
      <c r="E776" s="1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9"/>
      <c r="B777" s="9"/>
      <c r="C777" s="9"/>
      <c r="D777" s="11"/>
      <c r="E777" s="1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9"/>
      <c r="B778" s="9"/>
      <c r="C778" s="9"/>
      <c r="D778" s="11"/>
      <c r="E778" s="1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9"/>
      <c r="B779" s="9"/>
      <c r="C779" s="9"/>
      <c r="D779" s="11"/>
      <c r="E779" s="1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9"/>
      <c r="B780" s="9"/>
      <c r="C780" s="9"/>
      <c r="D780" s="11"/>
      <c r="E780" s="1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9"/>
      <c r="B781" s="9"/>
      <c r="C781" s="9"/>
      <c r="D781" s="11"/>
      <c r="E781" s="1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9"/>
      <c r="B782" s="9"/>
      <c r="C782" s="9"/>
      <c r="D782" s="11"/>
      <c r="E782" s="1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9"/>
      <c r="B783" s="9"/>
      <c r="C783" s="9"/>
      <c r="D783" s="11"/>
      <c r="E783" s="1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9"/>
      <c r="B784" s="9"/>
      <c r="C784" s="9"/>
      <c r="D784" s="11"/>
      <c r="E784" s="1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9"/>
      <c r="B785" s="9"/>
      <c r="C785" s="9"/>
      <c r="D785" s="11"/>
      <c r="E785" s="1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9"/>
      <c r="B786" s="9"/>
      <c r="C786" s="9"/>
      <c r="D786" s="11"/>
      <c r="E786" s="1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9"/>
      <c r="B787" s="9"/>
      <c r="C787" s="9"/>
      <c r="D787" s="11"/>
      <c r="E787" s="1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9"/>
      <c r="B788" s="9"/>
      <c r="C788" s="9"/>
      <c r="D788" s="11"/>
      <c r="E788" s="1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9"/>
      <c r="B789" s="9"/>
      <c r="C789" s="9"/>
      <c r="D789" s="11"/>
      <c r="E789" s="1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9"/>
      <c r="B790" s="9"/>
      <c r="C790" s="9"/>
      <c r="D790" s="11"/>
      <c r="E790" s="1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9"/>
      <c r="B791" s="9"/>
      <c r="C791" s="9"/>
      <c r="D791" s="11"/>
      <c r="E791" s="1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9"/>
      <c r="B792" s="9"/>
      <c r="C792" s="9"/>
      <c r="D792" s="11"/>
      <c r="E792" s="1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9"/>
      <c r="B793" s="9"/>
      <c r="C793" s="9"/>
      <c r="D793" s="11"/>
      <c r="E793" s="1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9"/>
      <c r="B794" s="9"/>
      <c r="C794" s="9"/>
      <c r="D794" s="11"/>
      <c r="E794" s="1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9"/>
      <c r="B795" s="9"/>
      <c r="C795" s="9"/>
      <c r="D795" s="11"/>
      <c r="E795" s="1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9"/>
      <c r="B796" s="9"/>
      <c r="C796" s="9"/>
      <c r="D796" s="11"/>
      <c r="E796" s="1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9"/>
      <c r="B797" s="9"/>
      <c r="C797" s="9"/>
      <c r="D797" s="11"/>
      <c r="E797" s="1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9"/>
      <c r="B798" s="9"/>
      <c r="C798" s="9"/>
      <c r="D798" s="11"/>
      <c r="E798" s="1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9"/>
      <c r="B799" s="9"/>
      <c r="C799" s="9"/>
      <c r="D799" s="11"/>
      <c r="E799" s="1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9"/>
      <c r="B800" s="9"/>
      <c r="C800" s="9"/>
      <c r="D800" s="11"/>
      <c r="E800" s="1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9"/>
      <c r="B801" s="9"/>
      <c r="C801" s="9"/>
      <c r="D801" s="11"/>
      <c r="E801" s="1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9"/>
      <c r="B802" s="9"/>
      <c r="C802" s="9"/>
      <c r="D802" s="11"/>
      <c r="E802" s="1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9"/>
      <c r="B803" s="9"/>
      <c r="C803" s="9"/>
      <c r="D803" s="11"/>
      <c r="E803" s="1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9"/>
      <c r="B804" s="9"/>
      <c r="C804" s="9"/>
      <c r="D804" s="11"/>
      <c r="E804" s="1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9"/>
      <c r="B805" s="9"/>
      <c r="C805" s="9"/>
      <c r="D805" s="11"/>
      <c r="E805" s="1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9"/>
      <c r="B806" s="9"/>
      <c r="C806" s="9"/>
      <c r="D806" s="11"/>
      <c r="E806" s="1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9"/>
      <c r="B807" s="9"/>
      <c r="C807" s="9"/>
      <c r="D807" s="11"/>
      <c r="E807" s="1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9"/>
      <c r="B808" s="9"/>
      <c r="C808" s="9"/>
      <c r="D808" s="11"/>
      <c r="E808" s="1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9"/>
      <c r="B809" s="9"/>
      <c r="C809" s="9"/>
      <c r="D809" s="11"/>
      <c r="E809" s="1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9"/>
      <c r="B810" s="9"/>
      <c r="C810" s="9"/>
      <c r="D810" s="11"/>
      <c r="E810" s="1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9"/>
      <c r="B811" s="9"/>
      <c r="C811" s="9"/>
      <c r="D811" s="11"/>
      <c r="E811" s="1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9"/>
      <c r="B812" s="9"/>
      <c r="C812" s="9"/>
      <c r="D812" s="11"/>
      <c r="E812" s="1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9"/>
      <c r="B813" s="9"/>
      <c r="C813" s="9"/>
      <c r="D813" s="11"/>
      <c r="E813" s="1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9"/>
      <c r="B814" s="9"/>
      <c r="C814" s="9"/>
      <c r="D814" s="11"/>
      <c r="E814" s="1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9"/>
      <c r="B815" s="9"/>
      <c r="C815" s="9"/>
      <c r="D815" s="11"/>
      <c r="E815" s="1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9"/>
      <c r="B816" s="9"/>
      <c r="C816" s="9"/>
      <c r="D816" s="11"/>
      <c r="E816" s="1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9"/>
      <c r="B817" s="9"/>
      <c r="C817" s="9"/>
      <c r="D817" s="11"/>
      <c r="E817" s="1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9"/>
      <c r="B818" s="9"/>
      <c r="C818" s="9"/>
      <c r="D818" s="11"/>
      <c r="E818" s="1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9"/>
      <c r="B819" s="9"/>
      <c r="C819" s="9"/>
      <c r="D819" s="11"/>
      <c r="E819" s="1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9"/>
      <c r="B820" s="9"/>
      <c r="C820" s="9"/>
      <c r="D820" s="11"/>
      <c r="E820" s="1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9"/>
      <c r="B821" s="9"/>
      <c r="C821" s="9"/>
      <c r="D821" s="11"/>
      <c r="E821" s="1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9"/>
      <c r="B822" s="9"/>
      <c r="C822" s="9"/>
      <c r="D822" s="11"/>
      <c r="E822" s="1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9"/>
      <c r="B823" s="9"/>
      <c r="C823" s="9"/>
      <c r="D823" s="11"/>
      <c r="E823" s="1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9"/>
      <c r="B824" s="9"/>
      <c r="C824" s="9"/>
      <c r="D824" s="11"/>
      <c r="E824" s="1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9"/>
      <c r="B825" s="9"/>
      <c r="C825" s="9"/>
      <c r="D825" s="11"/>
      <c r="E825" s="1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9"/>
      <c r="B826" s="9"/>
      <c r="C826" s="9"/>
      <c r="D826" s="11"/>
      <c r="E826" s="1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9"/>
      <c r="B827" s="9"/>
      <c r="C827" s="9"/>
      <c r="D827" s="11"/>
      <c r="E827" s="1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9"/>
      <c r="B828" s="9"/>
      <c r="C828" s="9"/>
      <c r="D828" s="11"/>
      <c r="E828" s="1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9"/>
      <c r="B829" s="9"/>
      <c r="C829" s="9"/>
      <c r="D829" s="11"/>
      <c r="E829" s="1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9"/>
      <c r="B830" s="9"/>
      <c r="C830" s="9"/>
      <c r="D830" s="11"/>
      <c r="E830" s="1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9"/>
      <c r="B831" s="9"/>
      <c r="C831" s="9"/>
      <c r="D831" s="11"/>
      <c r="E831" s="1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9"/>
      <c r="B832" s="9"/>
      <c r="C832" s="9"/>
      <c r="D832" s="11"/>
      <c r="E832" s="1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9"/>
      <c r="B833" s="9"/>
      <c r="C833" s="9"/>
      <c r="D833" s="11"/>
      <c r="E833" s="1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9"/>
      <c r="B834" s="9"/>
      <c r="C834" s="9"/>
      <c r="D834" s="11"/>
      <c r="E834" s="1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9"/>
      <c r="B835" s="9"/>
      <c r="C835" s="9"/>
      <c r="D835" s="11"/>
      <c r="E835" s="1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9"/>
      <c r="B836" s="9"/>
      <c r="C836" s="9"/>
      <c r="D836" s="11"/>
      <c r="E836" s="1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9"/>
      <c r="B837" s="9"/>
      <c r="C837" s="9"/>
      <c r="D837" s="11"/>
      <c r="E837" s="1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9"/>
      <c r="B838" s="9"/>
      <c r="C838" s="9"/>
      <c r="D838" s="11"/>
      <c r="E838" s="1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9"/>
      <c r="B839" s="9"/>
      <c r="C839" s="9"/>
      <c r="D839" s="11"/>
      <c r="E839" s="1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9"/>
      <c r="B840" s="9"/>
      <c r="C840" s="9"/>
      <c r="D840" s="11"/>
      <c r="E840" s="1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9"/>
      <c r="B841" s="9"/>
      <c r="C841" s="9"/>
      <c r="D841" s="11"/>
      <c r="E841" s="1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9"/>
      <c r="B842" s="9"/>
      <c r="C842" s="9"/>
      <c r="D842" s="11"/>
      <c r="E842" s="1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9"/>
      <c r="B843" s="9"/>
      <c r="C843" s="9"/>
      <c r="D843" s="11"/>
      <c r="E843" s="1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9"/>
      <c r="B844" s="9"/>
      <c r="C844" s="9"/>
      <c r="D844" s="11"/>
      <c r="E844" s="1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9"/>
      <c r="B845" s="9"/>
      <c r="C845" s="9"/>
      <c r="D845" s="11"/>
      <c r="E845" s="1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9"/>
      <c r="B846" s="9"/>
      <c r="C846" s="9"/>
      <c r="D846" s="11"/>
      <c r="E846" s="1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9"/>
      <c r="B847" s="9"/>
      <c r="C847" s="9"/>
      <c r="D847" s="11"/>
      <c r="E847" s="1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9"/>
      <c r="B848" s="9"/>
      <c r="C848" s="9"/>
      <c r="D848" s="11"/>
      <c r="E848" s="1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9"/>
      <c r="B849" s="9"/>
      <c r="C849" s="9"/>
      <c r="D849" s="11"/>
      <c r="E849" s="1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9"/>
      <c r="B850" s="9"/>
      <c r="C850" s="9"/>
      <c r="D850" s="11"/>
      <c r="E850" s="1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9"/>
      <c r="B851" s="9"/>
      <c r="C851" s="9"/>
      <c r="D851" s="11"/>
      <c r="E851" s="1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9"/>
      <c r="B852" s="9"/>
      <c r="C852" s="9"/>
      <c r="D852" s="11"/>
      <c r="E852" s="1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9"/>
      <c r="B853" s="9"/>
      <c r="C853" s="9"/>
      <c r="D853" s="11"/>
      <c r="E853" s="1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9"/>
      <c r="B854" s="9"/>
      <c r="C854" s="9"/>
      <c r="D854" s="11"/>
      <c r="E854" s="1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9"/>
      <c r="B855" s="9"/>
      <c r="C855" s="9"/>
      <c r="D855" s="11"/>
      <c r="E855" s="1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9"/>
      <c r="B856" s="9"/>
      <c r="C856" s="9"/>
      <c r="D856" s="11"/>
      <c r="E856" s="1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9"/>
      <c r="B857" s="9"/>
      <c r="C857" s="9"/>
      <c r="D857" s="11"/>
      <c r="E857" s="1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9"/>
      <c r="B858" s="9"/>
      <c r="C858" s="9"/>
      <c r="D858" s="11"/>
      <c r="E858" s="1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9"/>
      <c r="B859" s="9"/>
      <c r="C859" s="9"/>
      <c r="D859" s="11"/>
      <c r="E859" s="1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9"/>
      <c r="B860" s="9"/>
      <c r="C860" s="9"/>
      <c r="D860" s="11"/>
      <c r="E860" s="1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9"/>
      <c r="B861" s="9"/>
      <c r="C861" s="9"/>
      <c r="D861" s="11"/>
      <c r="E861" s="1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9"/>
      <c r="B862" s="9"/>
      <c r="C862" s="9"/>
      <c r="D862" s="11"/>
      <c r="E862" s="1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9"/>
      <c r="B863" s="9"/>
      <c r="C863" s="9"/>
      <c r="D863" s="11"/>
      <c r="E863" s="1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9"/>
      <c r="B864" s="9"/>
      <c r="C864" s="9"/>
      <c r="D864" s="11"/>
      <c r="E864" s="1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9"/>
      <c r="B865" s="9"/>
      <c r="C865" s="9"/>
      <c r="D865" s="11"/>
      <c r="E865" s="1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9"/>
      <c r="B866" s="9"/>
      <c r="C866" s="9"/>
      <c r="D866" s="11"/>
      <c r="E866" s="1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9"/>
      <c r="B867" s="9"/>
      <c r="C867" s="9"/>
      <c r="D867" s="11"/>
      <c r="E867" s="1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9"/>
      <c r="B868" s="9"/>
      <c r="C868" s="9"/>
      <c r="D868" s="11"/>
      <c r="E868" s="1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9"/>
      <c r="B869" s="9"/>
      <c r="C869" s="9"/>
      <c r="D869" s="11"/>
      <c r="E869" s="1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9"/>
      <c r="B870" s="9"/>
      <c r="C870" s="9"/>
      <c r="D870" s="11"/>
      <c r="E870" s="1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9"/>
      <c r="B871" s="9"/>
      <c r="C871" s="9"/>
      <c r="D871" s="11"/>
      <c r="E871" s="1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9"/>
      <c r="B872" s="9"/>
      <c r="C872" s="9"/>
      <c r="D872" s="11"/>
      <c r="E872" s="1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9"/>
      <c r="B873" s="9"/>
      <c r="C873" s="9"/>
      <c r="D873" s="11"/>
      <c r="E873" s="1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9"/>
      <c r="B874" s="9"/>
      <c r="C874" s="9"/>
      <c r="D874" s="11"/>
      <c r="E874" s="1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9"/>
      <c r="B875" s="9"/>
      <c r="C875" s="9"/>
      <c r="D875" s="11"/>
      <c r="E875" s="1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9"/>
      <c r="B876" s="9"/>
      <c r="C876" s="9"/>
      <c r="D876" s="11"/>
      <c r="E876" s="1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9"/>
      <c r="B877" s="9"/>
      <c r="C877" s="9"/>
      <c r="D877" s="11"/>
      <c r="E877" s="1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9"/>
      <c r="B878" s="9"/>
      <c r="C878" s="9"/>
      <c r="D878" s="11"/>
      <c r="E878" s="1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9"/>
      <c r="B879" s="9"/>
      <c r="C879" s="9"/>
      <c r="D879" s="11"/>
      <c r="E879" s="1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9"/>
      <c r="B880" s="9"/>
      <c r="C880" s="9"/>
      <c r="D880" s="11"/>
      <c r="E880" s="1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9"/>
      <c r="B881" s="9"/>
      <c r="C881" s="9"/>
      <c r="D881" s="11"/>
      <c r="E881" s="1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9"/>
      <c r="B882" s="9"/>
      <c r="C882" s="9"/>
      <c r="D882" s="11"/>
      <c r="E882" s="1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9"/>
      <c r="B883" s="9"/>
      <c r="C883" s="9"/>
      <c r="D883" s="11"/>
      <c r="E883" s="1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9"/>
      <c r="B884" s="9"/>
      <c r="C884" s="9"/>
      <c r="D884" s="11"/>
      <c r="E884" s="1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9"/>
      <c r="B885" s="9"/>
      <c r="C885" s="9"/>
      <c r="D885" s="11"/>
      <c r="E885" s="1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9"/>
      <c r="B886" s="9"/>
      <c r="C886" s="9"/>
      <c r="D886" s="11"/>
      <c r="E886" s="1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9"/>
      <c r="B887" s="9"/>
      <c r="C887" s="9"/>
      <c r="D887" s="11"/>
      <c r="E887" s="1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9"/>
      <c r="B888" s="9"/>
      <c r="C888" s="9"/>
      <c r="D888" s="11"/>
      <c r="E888" s="1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9"/>
      <c r="B889" s="9"/>
      <c r="C889" s="9"/>
      <c r="D889" s="11"/>
      <c r="E889" s="1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9"/>
      <c r="B890" s="9"/>
      <c r="C890" s="9"/>
      <c r="D890" s="11"/>
      <c r="E890" s="1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9"/>
      <c r="B891" s="9"/>
      <c r="C891" s="9"/>
      <c r="D891" s="11"/>
      <c r="E891" s="1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9"/>
      <c r="B892" s="9"/>
      <c r="C892" s="9"/>
      <c r="D892" s="11"/>
      <c r="E892" s="1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9"/>
      <c r="B893" s="9"/>
      <c r="C893" s="9"/>
      <c r="D893" s="11"/>
      <c r="E893" s="1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9"/>
      <c r="B894" s="9"/>
      <c r="C894" s="9"/>
      <c r="D894" s="11"/>
      <c r="E894" s="1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9"/>
      <c r="B895" s="9"/>
      <c r="C895" s="9"/>
      <c r="D895" s="11"/>
      <c r="E895" s="1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9"/>
      <c r="B896" s="9"/>
      <c r="C896" s="9"/>
      <c r="D896" s="11"/>
      <c r="E896" s="1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9"/>
      <c r="B897" s="9"/>
      <c r="C897" s="9"/>
      <c r="D897" s="11"/>
      <c r="E897" s="1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9"/>
      <c r="B898" s="9"/>
      <c r="C898" s="9"/>
      <c r="D898" s="11"/>
      <c r="E898" s="1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9"/>
      <c r="B899" s="9"/>
      <c r="C899" s="9"/>
      <c r="D899" s="11"/>
      <c r="E899" s="1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9"/>
      <c r="B900" s="9"/>
      <c r="C900" s="9"/>
      <c r="D900" s="11"/>
      <c r="E900" s="1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9"/>
      <c r="B901" s="9"/>
      <c r="C901" s="9"/>
      <c r="D901" s="11"/>
      <c r="E901" s="1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9"/>
      <c r="B902" s="9"/>
      <c r="C902" s="9"/>
      <c r="D902" s="11"/>
      <c r="E902" s="1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9"/>
      <c r="B903" s="9"/>
      <c r="C903" s="9"/>
      <c r="D903" s="11"/>
      <c r="E903" s="1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9"/>
      <c r="B904" s="9"/>
      <c r="C904" s="9"/>
      <c r="D904" s="11"/>
      <c r="E904" s="1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9"/>
      <c r="B905" s="9"/>
      <c r="C905" s="9"/>
      <c r="D905" s="11"/>
      <c r="E905" s="1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9"/>
      <c r="B906" s="9"/>
      <c r="C906" s="9"/>
      <c r="D906" s="11"/>
      <c r="E906" s="1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9"/>
      <c r="B907" s="9"/>
      <c r="C907" s="9"/>
      <c r="D907" s="11"/>
      <c r="E907" s="1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9"/>
      <c r="B908" s="9"/>
      <c r="C908" s="9"/>
      <c r="D908" s="11"/>
      <c r="E908" s="1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9"/>
      <c r="B909" s="9"/>
      <c r="C909" s="9"/>
      <c r="D909" s="11"/>
      <c r="E909" s="1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9"/>
      <c r="B910" s="9"/>
      <c r="C910" s="9"/>
      <c r="D910" s="11"/>
      <c r="E910" s="1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9"/>
      <c r="B911" s="9"/>
      <c r="C911" s="9"/>
      <c r="D911" s="11"/>
      <c r="E911" s="1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9"/>
      <c r="B912" s="9"/>
      <c r="C912" s="9"/>
      <c r="D912" s="11"/>
      <c r="E912" s="1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9"/>
      <c r="B913" s="9"/>
      <c r="C913" s="9"/>
      <c r="D913" s="11"/>
      <c r="E913" s="1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9"/>
      <c r="B914" s="9"/>
      <c r="C914" s="9"/>
      <c r="D914" s="11"/>
      <c r="E914" s="1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9"/>
      <c r="B915" s="9"/>
      <c r="C915" s="9"/>
      <c r="D915" s="11"/>
      <c r="E915" s="1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9"/>
      <c r="B916" s="9"/>
      <c r="C916" s="9"/>
      <c r="D916" s="11"/>
      <c r="E916" s="1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9"/>
      <c r="B917" s="9"/>
      <c r="C917" s="9"/>
      <c r="D917" s="11"/>
      <c r="E917" s="1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9"/>
      <c r="B918" s="9"/>
      <c r="C918" s="9"/>
      <c r="D918" s="11"/>
      <c r="E918" s="1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9"/>
      <c r="B919" s="9"/>
      <c r="C919" s="9"/>
      <c r="D919" s="11"/>
      <c r="E919" s="1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9"/>
      <c r="B920" s="9"/>
      <c r="C920" s="9"/>
      <c r="D920" s="11"/>
      <c r="E920" s="1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9"/>
      <c r="B921" s="9"/>
      <c r="C921" s="9"/>
      <c r="D921" s="11"/>
      <c r="E921" s="1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9"/>
      <c r="B922" s="9"/>
      <c r="C922" s="9"/>
      <c r="D922" s="11"/>
      <c r="E922" s="1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9"/>
      <c r="B923" s="9"/>
      <c r="C923" s="9"/>
      <c r="D923" s="11"/>
      <c r="E923" s="1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9"/>
      <c r="B924" s="9"/>
      <c r="C924" s="9"/>
      <c r="D924" s="11"/>
      <c r="E924" s="1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9"/>
      <c r="B925" s="9"/>
      <c r="C925" s="9"/>
      <c r="D925" s="11"/>
      <c r="E925" s="1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9"/>
      <c r="B926" s="9"/>
      <c r="C926" s="9"/>
      <c r="D926" s="11"/>
      <c r="E926" s="1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9"/>
      <c r="B927" s="9"/>
      <c r="C927" s="9"/>
      <c r="D927" s="11"/>
      <c r="E927" s="1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9"/>
      <c r="B928" s="9"/>
      <c r="C928" s="9"/>
      <c r="D928" s="11"/>
      <c r="E928" s="1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9"/>
      <c r="B929" s="9"/>
      <c r="C929" s="9"/>
      <c r="D929" s="11"/>
      <c r="E929" s="1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9"/>
      <c r="B930" s="9"/>
      <c r="C930" s="9"/>
      <c r="D930" s="11"/>
      <c r="E930" s="1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9"/>
      <c r="B931" s="9"/>
      <c r="C931" s="9"/>
      <c r="D931" s="11"/>
      <c r="E931" s="1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9"/>
      <c r="B932" s="9"/>
      <c r="C932" s="9"/>
      <c r="D932" s="11"/>
      <c r="E932" s="1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9"/>
      <c r="B933" s="9"/>
      <c r="C933" s="9"/>
      <c r="D933" s="11"/>
      <c r="E933" s="1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9"/>
      <c r="B934" s="9"/>
      <c r="C934" s="9"/>
      <c r="D934" s="11"/>
      <c r="E934" s="1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9"/>
      <c r="B935" s="9"/>
      <c r="C935" s="9"/>
      <c r="D935" s="11"/>
      <c r="E935" s="1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9"/>
      <c r="B936" s="9"/>
      <c r="C936" s="9"/>
      <c r="D936" s="11"/>
      <c r="E936" s="1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9"/>
      <c r="B937" s="9"/>
      <c r="C937" s="9"/>
      <c r="D937" s="11"/>
      <c r="E937" s="1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9"/>
      <c r="B938" s="9"/>
      <c r="C938" s="9"/>
      <c r="D938" s="11"/>
      <c r="E938" s="1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9"/>
      <c r="B939" s="9"/>
      <c r="C939" s="9"/>
      <c r="D939" s="11"/>
      <c r="E939" s="1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9"/>
      <c r="B940" s="9"/>
      <c r="C940" s="9"/>
      <c r="D940" s="11"/>
      <c r="E940" s="1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9"/>
      <c r="B941" s="9"/>
      <c r="C941" s="9"/>
      <c r="D941" s="11"/>
      <c r="E941" s="1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9"/>
      <c r="B942" s="9"/>
      <c r="C942" s="9"/>
      <c r="D942" s="11"/>
      <c r="E942" s="1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9"/>
      <c r="B943" s="9"/>
      <c r="C943" s="9"/>
      <c r="D943" s="11"/>
      <c r="E943" s="1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9"/>
      <c r="B944" s="9"/>
      <c r="C944" s="9"/>
      <c r="D944" s="11"/>
      <c r="E944" s="1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9"/>
      <c r="B945" s="9"/>
      <c r="C945" s="9"/>
      <c r="D945" s="11"/>
      <c r="E945" s="1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9"/>
      <c r="B946" s="9"/>
      <c r="C946" s="9"/>
      <c r="D946" s="11"/>
      <c r="E946" s="1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9"/>
      <c r="B947" s="9"/>
      <c r="C947" s="9"/>
      <c r="D947" s="11"/>
      <c r="E947" s="1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9"/>
      <c r="B948" s="9"/>
      <c r="C948" s="9"/>
      <c r="D948" s="11"/>
      <c r="E948" s="11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9"/>
      <c r="B949" s="9"/>
      <c r="C949" s="9"/>
      <c r="D949" s="11"/>
      <c r="E949" s="11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9"/>
      <c r="B950" s="9"/>
      <c r="C950" s="9"/>
      <c r="D950" s="11"/>
      <c r="E950" s="11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9"/>
      <c r="B951" s="9"/>
      <c r="C951" s="9"/>
      <c r="D951" s="11"/>
      <c r="E951" s="11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9"/>
      <c r="B952" s="9"/>
      <c r="C952" s="9"/>
      <c r="D952" s="11"/>
      <c r="E952" s="11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9"/>
      <c r="B953" s="9"/>
      <c r="C953" s="9"/>
      <c r="D953" s="11"/>
      <c r="E953" s="11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9"/>
      <c r="B954" s="9"/>
      <c r="C954" s="9"/>
      <c r="D954" s="11"/>
      <c r="E954" s="11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9"/>
      <c r="B955" s="9"/>
      <c r="C955" s="9"/>
      <c r="D955" s="11"/>
      <c r="E955" s="11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9"/>
      <c r="B956" s="9"/>
      <c r="C956" s="9"/>
      <c r="D956" s="11"/>
      <c r="E956" s="11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9"/>
      <c r="B957" s="9"/>
      <c r="C957" s="9"/>
      <c r="D957" s="11"/>
      <c r="E957" s="11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9"/>
      <c r="B958" s="9"/>
      <c r="C958" s="9"/>
      <c r="D958" s="11"/>
      <c r="E958" s="11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9"/>
      <c r="B959" s="9"/>
      <c r="C959" s="9"/>
      <c r="D959" s="11"/>
      <c r="E959" s="11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9"/>
      <c r="B960" s="9"/>
      <c r="C960" s="9"/>
      <c r="D960" s="11"/>
      <c r="E960" s="11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9"/>
      <c r="B961" s="9"/>
      <c r="C961" s="9"/>
      <c r="D961" s="11"/>
      <c r="E961" s="11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9"/>
      <c r="B962" s="9"/>
      <c r="C962" s="9"/>
      <c r="D962" s="11"/>
      <c r="E962" s="11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9"/>
      <c r="B963" s="9"/>
      <c r="C963" s="9"/>
      <c r="D963" s="11"/>
      <c r="E963" s="11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9"/>
      <c r="B964" s="9"/>
      <c r="C964" s="9"/>
      <c r="D964" s="11"/>
      <c r="E964" s="11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9"/>
      <c r="B965" s="9"/>
      <c r="C965" s="9"/>
      <c r="D965" s="11"/>
      <c r="E965" s="11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9"/>
      <c r="B966" s="9"/>
      <c r="C966" s="9"/>
      <c r="D966" s="11"/>
      <c r="E966" s="11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9"/>
      <c r="B967" s="9"/>
      <c r="C967" s="9"/>
      <c r="D967" s="11"/>
      <c r="E967" s="11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9"/>
      <c r="B968" s="9"/>
      <c r="C968" s="9"/>
      <c r="D968" s="11"/>
      <c r="E968" s="11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9"/>
      <c r="B969" s="9"/>
      <c r="C969" s="9"/>
      <c r="D969" s="11"/>
      <c r="E969" s="11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9"/>
      <c r="B970" s="9"/>
      <c r="C970" s="9"/>
      <c r="D970" s="11"/>
      <c r="E970" s="11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9"/>
      <c r="B971" s="9"/>
      <c r="C971" s="9"/>
      <c r="D971" s="11"/>
      <c r="E971" s="11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9"/>
      <c r="B972" s="9"/>
      <c r="C972" s="9"/>
      <c r="D972" s="11"/>
      <c r="E972" s="11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9"/>
      <c r="B973" s="9"/>
      <c r="C973" s="9"/>
      <c r="D973" s="11"/>
      <c r="E973" s="11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9"/>
      <c r="B974" s="9"/>
      <c r="C974" s="9"/>
      <c r="D974" s="11"/>
      <c r="E974" s="11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9"/>
      <c r="B975" s="9"/>
      <c r="C975" s="9"/>
      <c r="D975" s="11"/>
      <c r="E975" s="11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9"/>
      <c r="B976" s="9"/>
      <c r="C976" s="9"/>
      <c r="D976" s="11"/>
      <c r="E976" s="11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9"/>
      <c r="B977" s="9"/>
      <c r="C977" s="9"/>
      <c r="D977" s="11"/>
      <c r="E977" s="11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9"/>
      <c r="B978" s="9"/>
      <c r="C978" s="9"/>
      <c r="D978" s="11"/>
      <c r="E978" s="11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9"/>
      <c r="B979" s="9"/>
      <c r="C979" s="9"/>
      <c r="D979" s="11"/>
      <c r="E979" s="11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9"/>
      <c r="B980" s="9"/>
      <c r="C980" s="9"/>
      <c r="D980" s="11"/>
      <c r="E980" s="11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9"/>
      <c r="B981" s="9"/>
      <c r="C981" s="9"/>
      <c r="D981" s="11"/>
      <c r="E981" s="11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9"/>
      <c r="B982" s="9"/>
      <c r="C982" s="9"/>
      <c r="D982" s="11"/>
      <c r="E982" s="11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9"/>
      <c r="B983" s="9"/>
      <c r="C983" s="9"/>
      <c r="D983" s="11"/>
      <c r="E983" s="11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9"/>
      <c r="B984" s="9"/>
      <c r="C984" s="9"/>
      <c r="D984" s="11"/>
      <c r="E984" s="11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9"/>
      <c r="B985" s="9"/>
      <c r="C985" s="9"/>
      <c r="D985" s="11"/>
      <c r="E985" s="11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9"/>
      <c r="B986" s="9"/>
      <c r="C986" s="9"/>
      <c r="D986" s="11"/>
      <c r="E986" s="11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9"/>
      <c r="B987" s="9"/>
      <c r="C987" s="9"/>
      <c r="D987" s="11"/>
      <c r="E987" s="11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9"/>
      <c r="B988" s="9"/>
      <c r="C988" s="9"/>
      <c r="D988" s="11"/>
      <c r="E988" s="11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9">
    <mergeCell ref="B19:B23"/>
    <mergeCell ref="B25:C25"/>
    <mergeCell ref="A1:G1"/>
    <mergeCell ref="A2:G2"/>
    <mergeCell ref="A3:G3"/>
    <mergeCell ref="B8:B12"/>
    <mergeCell ref="A13:B13"/>
    <mergeCell ref="B14:B17"/>
    <mergeCell ref="A18:B18"/>
  </mergeCells>
  <printOptions/>
  <pageMargins bottom="2.0502603505207015" footer="0.0" header="0.0" left="0.5000635001270003" right="0.21669418338836682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8.86"/>
    <col customWidth="1" min="3" max="3" width="26.43"/>
    <col customWidth="1" min="4" max="4" width="16.0"/>
    <col customWidth="1" min="5" max="5" width="9.57"/>
    <col customWidth="1" min="6" max="6" width="17.14"/>
    <col customWidth="1" min="7" max="7" width="17.0"/>
    <col customWidth="1" min="8" max="8" width="15.57"/>
    <col customWidth="1" min="9" max="9" width="15.86"/>
    <col customWidth="1" min="10" max="10" width="16.0"/>
    <col customWidth="1" min="11" max="11" width="21.57"/>
    <col customWidth="1" min="12" max="13" width="17.0"/>
    <col customWidth="1" min="14" max="14" width="71.71"/>
    <col customWidth="1" min="15" max="15" width="62.43"/>
    <col customWidth="1" min="16" max="16" width="15.0"/>
    <col customWidth="1" min="17" max="19" width="9.14"/>
    <col customWidth="1" min="20" max="26" width="8.71"/>
  </cols>
  <sheetData>
    <row r="1" ht="21.0" customHeight="1">
      <c r="A1" s="2" t="s">
        <v>0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6" t="s">
        <v>1</v>
      </c>
      <c r="B2" s="3"/>
      <c r="C2" s="3"/>
      <c r="D2" s="3"/>
      <c r="E2" s="3"/>
      <c r="F2" s="3"/>
      <c r="G2" s="4"/>
      <c r="H2" s="7"/>
      <c r="I2" s="7"/>
      <c r="J2" s="7"/>
      <c r="K2" s="7"/>
      <c r="L2" s="7"/>
      <c r="M2" s="7"/>
      <c r="N2" s="7"/>
      <c r="O2" s="7"/>
      <c r="P2" s="7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" t="s">
        <v>4</v>
      </c>
      <c r="B3" s="3"/>
      <c r="C3" s="3"/>
      <c r="D3" s="3"/>
      <c r="E3" s="3"/>
      <c r="F3" s="3"/>
      <c r="G3" s="4"/>
      <c r="H3" s="10"/>
      <c r="I3" s="10"/>
      <c r="J3" s="10"/>
      <c r="K3" s="10"/>
      <c r="L3" s="10"/>
      <c r="M3" s="10"/>
      <c r="N3" s="10"/>
      <c r="O3" s="10"/>
      <c r="P3" s="10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9"/>
      <c r="C4" s="12" t="s">
        <v>6</v>
      </c>
      <c r="D4" s="11"/>
      <c r="E4" s="9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9"/>
      <c r="B5" s="9"/>
      <c r="C5" s="22">
        <f>TODAY()</f>
        <v>46291</v>
      </c>
      <c r="D5" s="11"/>
      <c r="E5" s="9"/>
      <c r="F5" s="18"/>
      <c r="G5" s="26"/>
      <c r="H5" s="26"/>
      <c r="I5" s="26"/>
      <c r="J5" s="26"/>
      <c r="K5" s="26"/>
      <c r="L5" s="26"/>
      <c r="M5" s="26"/>
      <c r="N5" s="26"/>
      <c r="O5" s="26"/>
      <c r="P5" s="26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8</v>
      </c>
      <c r="B6" s="33" t="s">
        <v>15</v>
      </c>
      <c r="C6" s="59" t="s">
        <v>17</v>
      </c>
      <c r="D6" s="64" t="s">
        <v>18</v>
      </c>
      <c r="E6" s="59" t="s">
        <v>19</v>
      </c>
      <c r="F6" s="75" t="s">
        <v>22</v>
      </c>
      <c r="G6" s="59" t="s">
        <v>78</v>
      </c>
      <c r="H6" s="68" t="s">
        <v>79</v>
      </c>
      <c r="I6" s="68" t="s">
        <v>81</v>
      </c>
      <c r="J6" s="68" t="s">
        <v>82</v>
      </c>
      <c r="K6" s="68" t="s">
        <v>83</v>
      </c>
      <c r="L6" s="68" t="s">
        <v>84</v>
      </c>
      <c r="M6" s="68" t="s">
        <v>85</v>
      </c>
      <c r="N6" s="68" t="s">
        <v>86</v>
      </c>
      <c r="O6" s="68" t="s">
        <v>87</v>
      </c>
      <c r="P6" s="68" t="s">
        <v>88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79" t="s">
        <v>16</v>
      </c>
      <c r="B7" s="81" t="s">
        <v>93</v>
      </c>
      <c r="C7" s="70" t="s">
        <v>23</v>
      </c>
      <c r="D7" s="71" t="s">
        <v>89</v>
      </c>
      <c r="E7" s="72">
        <v>6179.0</v>
      </c>
      <c r="F7" s="84" t="s">
        <v>25</v>
      </c>
      <c r="G7" s="73" t="s">
        <v>90</v>
      </c>
      <c r="H7" s="74">
        <v>45791.0</v>
      </c>
      <c r="I7" s="77" t="str">
        <f>DATEDIF(H7,$C$5,"y")&amp;"y-"&amp;DATEDIF(H7,$C$5,"ym")&amp;"m-"&amp;DATEDIF(H7,$C$5,"md")&amp;"d"</f>
        <v>1y-4m-12d</v>
      </c>
      <c r="J7" s="82">
        <v>45971.0</v>
      </c>
      <c r="K7" s="77" t="str">
        <f>DATEDIF(J7,$C$5,"y")&amp;"y-"&amp;DATEDIF(J7,$C$5,"ym")&amp;"m-"&amp;DATEDIF(J7,$C$5,"md")&amp;"d"</f>
        <v>0y-10m-16d</v>
      </c>
      <c r="L7" s="87">
        <v>29312.0</v>
      </c>
      <c r="M7" s="91"/>
      <c r="N7" s="93"/>
      <c r="O7" s="93"/>
      <c r="P7" s="87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95" t="s">
        <v>26</v>
      </c>
      <c r="B8" s="99"/>
      <c r="C8" s="103" t="s">
        <v>27</v>
      </c>
      <c r="D8" s="107" t="s">
        <v>24</v>
      </c>
      <c r="E8" s="112">
        <v>20241.0</v>
      </c>
      <c r="F8" s="114" t="s">
        <v>28</v>
      </c>
      <c r="G8" s="119"/>
      <c r="H8" s="123">
        <v>45945.0</v>
      </c>
      <c r="I8" s="125" t="str">
        <f>DATEDIF(H8,'Total Manpower'!$B$5,"y")&amp;"y-"&amp;DATEDIF(H8,'Total Manpower'!$B$5,"ym")&amp;"m-"&amp;DATEDIF(H8,'Total Manpower'!$B$5,"md")&amp;"d"</f>
        <v>0y-11m-11d</v>
      </c>
      <c r="J8" s="127"/>
      <c r="K8" s="125"/>
      <c r="L8" s="129">
        <v>29632.0</v>
      </c>
      <c r="M8" s="131"/>
      <c r="N8" s="133" t="s">
        <v>116</v>
      </c>
      <c r="O8" s="139"/>
      <c r="P8" s="143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147" t="s">
        <v>29</v>
      </c>
      <c r="B9" s="149" t="s">
        <v>121</v>
      </c>
      <c r="C9" s="134" t="s">
        <v>50</v>
      </c>
      <c r="D9" s="115" t="s">
        <v>54</v>
      </c>
      <c r="E9" s="116">
        <v>6215.0</v>
      </c>
      <c r="F9" s="151" t="s">
        <v>51</v>
      </c>
      <c r="G9" s="120" t="s">
        <v>114</v>
      </c>
      <c r="H9" s="122">
        <v>45871.0</v>
      </c>
      <c r="I9" s="156" t="str">
        <f t="shared" ref="I9:I11" si="1">DATEDIF(H9,$C$5,"y")&amp;"y-"&amp;DATEDIF(H9,$C$5,"ym")&amp;"m-"&amp;DATEDIF(H9,$C$5,"md")&amp;"d"</f>
        <v>1y-1m-24d</v>
      </c>
      <c r="J9" s="130">
        <v>45997.0</v>
      </c>
      <c r="K9" s="158" t="s">
        <v>131</v>
      </c>
      <c r="L9" s="122"/>
      <c r="M9" s="137"/>
      <c r="N9" s="138"/>
      <c r="O9" s="138"/>
      <c r="P9" s="87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9" t="s">
        <v>33</v>
      </c>
      <c r="B10" s="41"/>
      <c r="C10" s="113" t="s">
        <v>53</v>
      </c>
      <c r="D10" s="115" t="s">
        <v>54</v>
      </c>
      <c r="E10" s="164">
        <v>6287.0</v>
      </c>
      <c r="F10" s="151" t="s">
        <v>55</v>
      </c>
      <c r="G10" s="166" t="s">
        <v>134</v>
      </c>
      <c r="H10" s="155">
        <v>46023.0</v>
      </c>
      <c r="I10" s="156" t="str">
        <f t="shared" si="1"/>
        <v>0y-8m-25d</v>
      </c>
      <c r="J10" s="170"/>
      <c r="K10" s="171" t="s">
        <v>131</v>
      </c>
      <c r="L10" s="122">
        <v>29587.0</v>
      </c>
      <c r="M10" s="172" t="s">
        <v>142</v>
      </c>
      <c r="N10" s="174" t="s">
        <v>144</v>
      </c>
      <c r="O10" s="174" t="s">
        <v>148</v>
      </c>
      <c r="P10" s="87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9" t="s">
        <v>37</v>
      </c>
      <c r="B11" s="41"/>
      <c r="C11" s="134" t="s">
        <v>122</v>
      </c>
      <c r="D11" s="115" t="s">
        <v>58</v>
      </c>
      <c r="E11" s="140">
        <v>6259.0</v>
      </c>
      <c r="F11" s="151" t="s">
        <v>123</v>
      </c>
      <c r="G11" s="175" t="s">
        <v>124</v>
      </c>
      <c r="H11" s="142">
        <v>45972.0</v>
      </c>
      <c r="I11" s="156" t="str">
        <f t="shared" si="1"/>
        <v>0y-10m-15d</v>
      </c>
      <c r="J11" s="179">
        <v>46000.0</v>
      </c>
      <c r="K11" s="158" t="s">
        <v>156</v>
      </c>
      <c r="L11" s="122">
        <v>35948.0</v>
      </c>
      <c r="M11" s="175" t="s">
        <v>125</v>
      </c>
      <c r="N11" s="174" t="s">
        <v>126</v>
      </c>
      <c r="O11" s="174" t="s">
        <v>127</v>
      </c>
      <c r="P11" s="87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49" t="s">
        <v>41</v>
      </c>
      <c r="B12" s="41"/>
      <c r="C12" s="180" t="s">
        <v>159</v>
      </c>
      <c r="D12" s="115" t="s">
        <v>104</v>
      </c>
      <c r="E12" s="140">
        <v>6332.0</v>
      </c>
      <c r="F12" s="182" t="s">
        <v>160</v>
      </c>
      <c r="G12" s="184" t="s">
        <v>161</v>
      </c>
      <c r="H12" s="186">
        <v>46204.0</v>
      </c>
      <c r="I12" s="128" t="str">
        <f>DATEDIF(H12,'Total Manpower'!$B$5,"y")&amp;"y-"&amp;DATEDIF(H12,'Total Manpower'!$B$5,"ym")&amp;"m-"&amp;DATEDIF(H12,'Total Manpower'!$B$5,"md")&amp;"d"</f>
        <v>0y-2m-25d</v>
      </c>
      <c r="J12" s="179"/>
      <c r="K12" s="128"/>
      <c r="L12" s="193">
        <v>34299.0</v>
      </c>
      <c r="M12" s="166" t="s">
        <v>109</v>
      </c>
      <c r="N12" s="194" t="s">
        <v>170</v>
      </c>
      <c r="O12" s="194" t="s">
        <v>172</v>
      </c>
      <c r="P12" s="122"/>
      <c r="Q12" s="1"/>
      <c r="R12" s="1"/>
      <c r="S12" s="141" t="str">
        <f>DATEDIF(P7,$G$5,"Y")&amp;"years,"&amp;DATEDIF(P7,$G$5,"ym")&amp;"months,"&amp;DATEDIF(P7,$G$5,"md")&amp;"days"</f>
        <v>0years,0months,0days</v>
      </c>
      <c r="T12" s="1"/>
      <c r="U12" s="1"/>
      <c r="V12" s="1"/>
      <c r="W12" s="1"/>
      <c r="X12" s="1"/>
      <c r="Y12" s="1"/>
      <c r="Z12" s="1"/>
    </row>
    <row r="13" ht="15.75" customHeight="1">
      <c r="A13" s="49" t="s">
        <v>45</v>
      </c>
      <c r="B13" s="41"/>
      <c r="C13" s="134" t="s">
        <v>64</v>
      </c>
      <c r="D13" s="115" t="s">
        <v>71</v>
      </c>
      <c r="E13" s="116">
        <v>6176.0</v>
      </c>
      <c r="F13" s="151" t="s">
        <v>65</v>
      </c>
      <c r="G13" s="120" t="s">
        <v>114</v>
      </c>
      <c r="H13" s="122">
        <v>45787.0</v>
      </c>
      <c r="I13" s="156" t="str">
        <f t="shared" ref="I13:I16" si="2">DATEDIF(H13,$C$5,"y")&amp;"y-"&amp;DATEDIF(H13,$C$5,"ym")&amp;"m-"&amp;DATEDIF(H13,$C$5,"md")&amp;"d"</f>
        <v>1y-4m-16d</v>
      </c>
      <c r="J13" s="130">
        <v>45977.0</v>
      </c>
      <c r="K13" s="171" t="s">
        <v>179</v>
      </c>
      <c r="L13" s="122">
        <v>36428.0</v>
      </c>
      <c r="M13" s="137"/>
      <c r="N13" s="138"/>
      <c r="O13" s="138"/>
      <c r="P13" s="122"/>
      <c r="Q13" s="1"/>
      <c r="R13" s="1"/>
      <c r="S13" s="203"/>
      <c r="T13" s="1"/>
      <c r="U13" s="1"/>
      <c r="V13" s="1"/>
      <c r="W13" s="1"/>
      <c r="X13" s="1"/>
      <c r="Y13" s="1"/>
      <c r="Z13" s="1"/>
    </row>
    <row r="14" ht="15.75" customHeight="1">
      <c r="A14" s="49" t="s">
        <v>49</v>
      </c>
      <c r="B14" s="41"/>
      <c r="C14" s="113" t="s">
        <v>67</v>
      </c>
      <c r="D14" s="115" t="s">
        <v>71</v>
      </c>
      <c r="E14" s="116">
        <v>2922.0</v>
      </c>
      <c r="F14" s="151" t="s">
        <v>68</v>
      </c>
      <c r="G14" s="120" t="s">
        <v>141</v>
      </c>
      <c r="H14" s="122">
        <v>45823.0</v>
      </c>
      <c r="I14" s="156" t="str">
        <f t="shared" si="2"/>
        <v>1y-3m-11d</v>
      </c>
      <c r="J14" s="130"/>
      <c r="K14" s="171" t="s">
        <v>131</v>
      </c>
      <c r="L14" s="122">
        <v>36601.0</v>
      </c>
      <c r="M14" s="137"/>
      <c r="N14" s="138"/>
      <c r="O14" s="138"/>
      <c r="P14" s="122"/>
      <c r="Q14" s="1"/>
      <c r="R14" s="1"/>
      <c r="S14" s="207"/>
      <c r="T14" s="1"/>
      <c r="U14" s="1"/>
      <c r="V14" s="1"/>
      <c r="W14" s="1"/>
      <c r="X14" s="1"/>
      <c r="Y14" s="1"/>
      <c r="Z14" s="1"/>
    </row>
    <row r="15" ht="15.75" customHeight="1">
      <c r="A15" s="49" t="s">
        <v>52</v>
      </c>
      <c r="B15" s="150" t="s">
        <v>140</v>
      </c>
      <c r="C15" s="92" t="s">
        <v>34</v>
      </c>
      <c r="D15" s="94" t="s">
        <v>39</v>
      </c>
      <c r="E15" s="167" t="s">
        <v>139</v>
      </c>
      <c r="F15" s="211" t="s">
        <v>36</v>
      </c>
      <c r="G15" s="137"/>
      <c r="H15" s="193">
        <v>43822.0</v>
      </c>
      <c r="I15" s="156" t="str">
        <f t="shared" si="2"/>
        <v>6y-9m-3d</v>
      </c>
      <c r="J15" s="130"/>
      <c r="K15" s="213"/>
      <c r="L15" s="122"/>
      <c r="M15" s="137"/>
      <c r="N15" s="138"/>
      <c r="O15" s="138"/>
      <c r="P15" s="12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9" t="s">
        <v>56</v>
      </c>
      <c r="B16" s="41"/>
      <c r="C16" s="134" t="s">
        <v>183</v>
      </c>
      <c r="D16" s="145" t="s">
        <v>104</v>
      </c>
      <c r="E16" s="140">
        <v>6299.0</v>
      </c>
      <c r="F16" s="151" t="s">
        <v>185</v>
      </c>
      <c r="G16" s="120" t="s">
        <v>187</v>
      </c>
      <c r="H16" s="122">
        <v>46032.0</v>
      </c>
      <c r="I16" s="156" t="str">
        <f t="shared" si="2"/>
        <v>0y-8m-16d</v>
      </c>
      <c r="J16" s="130"/>
      <c r="K16" s="171" t="s">
        <v>131</v>
      </c>
      <c r="L16" s="122">
        <v>38650.0</v>
      </c>
      <c r="M16" s="120" t="s">
        <v>125</v>
      </c>
      <c r="N16" s="153" t="s">
        <v>188</v>
      </c>
      <c r="O16" s="153" t="s">
        <v>189</v>
      </c>
      <c r="P16" s="12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9" t="s">
        <v>60</v>
      </c>
      <c r="B17" s="41"/>
      <c r="C17" s="215" t="s">
        <v>57</v>
      </c>
      <c r="D17" s="115" t="s">
        <v>104</v>
      </c>
      <c r="E17" s="154">
        <v>20039.0</v>
      </c>
      <c r="F17" s="216" t="s">
        <v>59</v>
      </c>
      <c r="G17" s="212"/>
      <c r="H17" s="186">
        <v>45854.0</v>
      </c>
      <c r="I17" s="128" t="str">
        <f>DATEDIF(H17,'Total Manpower'!$B$5,"y")&amp;"y-"&amp;DATEDIF(H17,'Total Manpower'!$B$5,"ym")&amp;"m-"&amp;DATEDIF(H17,'Total Manpower'!$B$5,"md")&amp;"d"</f>
        <v>1y-2m-10d</v>
      </c>
      <c r="J17" s="179"/>
      <c r="K17" s="128"/>
      <c r="L17" s="193">
        <v>36916.0</v>
      </c>
      <c r="M17" s="175" t="s">
        <v>199</v>
      </c>
      <c r="N17" s="194" t="s">
        <v>200</v>
      </c>
      <c r="O17" s="194" t="s">
        <v>201</v>
      </c>
      <c r="P17" s="12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9" t="s">
        <v>63</v>
      </c>
      <c r="B18" s="41"/>
      <c r="C18" s="215" t="s">
        <v>61</v>
      </c>
      <c r="D18" s="145" t="s">
        <v>71</v>
      </c>
      <c r="E18" s="154">
        <v>20164.0</v>
      </c>
      <c r="F18" s="182" t="s">
        <v>62</v>
      </c>
      <c r="G18" s="212"/>
      <c r="H18" s="186">
        <v>45910.0</v>
      </c>
      <c r="I18" s="128" t="str">
        <f>DATEDIF(H18,'Total Manpower'!$B$5,"y")&amp;"y-"&amp;DATEDIF(H18,'Total Manpower'!$B$5,"ym")&amp;"m-"&amp;DATEDIF(H18,'Total Manpower'!$B$5,"md")&amp;"d"</f>
        <v>1y-0m-16d</v>
      </c>
      <c r="J18" s="179"/>
      <c r="K18" s="128"/>
      <c r="L18" s="193">
        <v>35619.0</v>
      </c>
      <c r="M18" s="212"/>
      <c r="N18" s="214"/>
      <c r="O18" s="214"/>
      <c r="P18" s="12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9" t="s">
        <v>66</v>
      </c>
      <c r="B19" s="41"/>
      <c r="C19" s="215" t="s">
        <v>80</v>
      </c>
      <c r="D19" s="145" t="s">
        <v>71</v>
      </c>
      <c r="E19" s="154">
        <v>6195.0</v>
      </c>
      <c r="F19" s="182" t="s">
        <v>92</v>
      </c>
      <c r="G19" s="184" t="s">
        <v>209</v>
      </c>
      <c r="H19" s="186">
        <v>45857.0</v>
      </c>
      <c r="I19" s="128" t="str">
        <f>DATEDIF(H19,'Total Manpower'!$B$5,"y")&amp;"y-"&amp;DATEDIF(H19,'Total Manpower'!$B$5,"ym")&amp;"m-"&amp;DATEDIF(H19,'Total Manpower'!$B$5,"md")&amp;"d"</f>
        <v>1y-2m-7d</v>
      </c>
      <c r="J19" s="142"/>
      <c r="K19" s="213"/>
      <c r="L19" s="193">
        <v>38353.0</v>
      </c>
      <c r="M19" s="166" t="s">
        <v>109</v>
      </c>
      <c r="N19" s="194" t="s">
        <v>214</v>
      </c>
      <c r="O19" s="194" t="s">
        <v>215</v>
      </c>
      <c r="P19" s="122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9" t="s">
        <v>69</v>
      </c>
      <c r="B20" s="41"/>
      <c r="C20" s="145" t="s">
        <v>70</v>
      </c>
      <c r="D20" s="145" t="s">
        <v>71</v>
      </c>
      <c r="E20" s="152">
        <v>6260.0</v>
      </c>
      <c r="F20" s="151" t="s">
        <v>72</v>
      </c>
      <c r="G20" s="175" t="s">
        <v>114</v>
      </c>
      <c r="H20" s="142">
        <v>45972.0</v>
      </c>
      <c r="I20" s="156" t="str">
        <f>DATEDIF(H20,$C$5,"y")&amp;"y-"&amp;DATEDIF(H20,$C$5,"ym")&amp;"m-"&amp;DATEDIF(H20,$C$5,"md")&amp;"d"</f>
        <v>0y-10m-15d</v>
      </c>
      <c r="J20" s="142"/>
      <c r="K20" s="213"/>
      <c r="L20" s="122"/>
      <c r="M20" s="212"/>
      <c r="N20" s="214"/>
      <c r="O20" s="214"/>
      <c r="P20" s="122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9" t="s">
        <v>73</v>
      </c>
      <c r="B21" s="149" t="s">
        <v>222</v>
      </c>
      <c r="C21" s="92" t="s">
        <v>30</v>
      </c>
      <c r="D21" s="94" t="s">
        <v>31</v>
      </c>
      <c r="E21" s="97">
        <v>6247.0</v>
      </c>
      <c r="F21" s="211" t="s">
        <v>32</v>
      </c>
      <c r="G21" s="184" t="s">
        <v>226</v>
      </c>
      <c r="H21" s="186">
        <v>45931.0</v>
      </c>
      <c r="I21" s="128" t="str">
        <f>DATEDIF(H21,'Total Manpower'!$B$5,"y")&amp;"y-"&amp;DATEDIF(H21,'Total Manpower'!$B$5,"ym")&amp;"m-"&amp;DATEDIF(H21,'Total Manpower'!$B$5,"md")&amp;"d"</f>
        <v>0y-11m-25d</v>
      </c>
      <c r="J21" s="179"/>
      <c r="K21" s="128"/>
      <c r="L21" s="193">
        <v>27942.0</v>
      </c>
      <c r="M21" s="218" t="s">
        <v>228</v>
      </c>
      <c r="N21" s="194" t="s">
        <v>229</v>
      </c>
      <c r="O21" s="194" t="s">
        <v>230</v>
      </c>
      <c r="P21" s="122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9" t="s">
        <v>76</v>
      </c>
      <c r="B22" s="41"/>
      <c r="C22" s="113" t="s">
        <v>38</v>
      </c>
      <c r="D22" s="115" t="s">
        <v>43</v>
      </c>
      <c r="E22" s="116" t="s">
        <v>143</v>
      </c>
      <c r="F22" s="151" t="s">
        <v>40</v>
      </c>
      <c r="G22" s="152"/>
      <c r="H22" s="173">
        <v>44251.0</v>
      </c>
      <c r="I22" s="156" t="str">
        <f t="shared" ref="I22:I25" si="3">DATEDIF(H22,$C$5,"y")&amp;"y-"&amp;DATEDIF(H22,$C$5,"ym")&amp;"m-"&amp;DATEDIF(H22,$C$5,"md")&amp;"d"</f>
        <v>5y-7m-2d</v>
      </c>
      <c r="J22" s="170"/>
      <c r="K22" s="158" t="s">
        <v>131</v>
      </c>
      <c r="L22" s="122"/>
      <c r="M22" s="152"/>
      <c r="N22" s="145"/>
      <c r="O22" s="145"/>
      <c r="P22" s="12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9" t="s">
        <v>94</v>
      </c>
      <c r="B23" s="41"/>
      <c r="C23" s="134" t="s">
        <v>42</v>
      </c>
      <c r="D23" s="145" t="s">
        <v>43</v>
      </c>
      <c r="E23" s="152">
        <v>2882.0</v>
      </c>
      <c r="F23" s="151" t="s">
        <v>44</v>
      </c>
      <c r="G23" s="212"/>
      <c r="H23" s="142">
        <v>45787.0</v>
      </c>
      <c r="I23" s="156" t="str">
        <f t="shared" si="3"/>
        <v>1y-4m-16d</v>
      </c>
      <c r="J23" s="179"/>
      <c r="K23" s="128"/>
      <c r="L23" s="122"/>
      <c r="M23" s="220"/>
      <c r="N23" s="197"/>
      <c r="O23" s="138"/>
      <c r="P23" s="122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9" t="s">
        <v>99</v>
      </c>
      <c r="B24" s="41"/>
      <c r="C24" s="113" t="s">
        <v>46</v>
      </c>
      <c r="D24" s="145" t="s">
        <v>54</v>
      </c>
      <c r="E24" s="116">
        <v>6181.0</v>
      </c>
      <c r="F24" s="221" t="s">
        <v>48</v>
      </c>
      <c r="G24" s="222" t="s">
        <v>114</v>
      </c>
      <c r="H24" s="122">
        <v>45792.0</v>
      </c>
      <c r="I24" s="156" t="str">
        <f t="shared" si="3"/>
        <v>1y-4m-11d</v>
      </c>
      <c r="J24" s="223"/>
      <c r="K24" s="171" t="s">
        <v>131</v>
      </c>
      <c r="L24" s="122">
        <v>33946.0</v>
      </c>
      <c r="M24" s="220"/>
      <c r="N24" s="197"/>
      <c r="O24" s="138"/>
      <c r="P24" s="12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9" t="s">
        <v>102</v>
      </c>
      <c r="B25" s="41"/>
      <c r="C25" s="134" t="s">
        <v>74</v>
      </c>
      <c r="D25" s="115" t="s">
        <v>71</v>
      </c>
      <c r="E25" s="140">
        <v>6282.0</v>
      </c>
      <c r="F25" s="151" t="s">
        <v>75</v>
      </c>
      <c r="G25" s="166" t="s">
        <v>162</v>
      </c>
      <c r="H25" s="225">
        <v>45997.0</v>
      </c>
      <c r="I25" s="156" t="str">
        <f t="shared" si="3"/>
        <v>0y-9m-20d</v>
      </c>
      <c r="J25" s="170"/>
      <c r="K25" s="171" t="s">
        <v>131</v>
      </c>
      <c r="L25" s="122"/>
      <c r="M25" s="152"/>
      <c r="N25" s="145"/>
      <c r="O25" s="145"/>
      <c r="P25" s="1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9" t="s">
        <v>181</v>
      </c>
      <c r="B26" s="41"/>
      <c r="C26" s="180" t="s">
        <v>250</v>
      </c>
      <c r="D26" s="115" t="s">
        <v>104</v>
      </c>
      <c r="E26" s="140">
        <v>6329.0</v>
      </c>
      <c r="F26" s="182" t="s">
        <v>251</v>
      </c>
      <c r="G26" s="184" t="s">
        <v>252</v>
      </c>
      <c r="H26" s="186">
        <v>46152.0</v>
      </c>
      <c r="I26" s="128" t="str">
        <f>DATEDIF(H26,'Total Manpower'!$B$5,"y")&amp;"y-"&amp;DATEDIF(H26,'Total Manpower'!$B$5,"ym")&amp;"m-"&amp;DATEDIF(H26,'Total Manpower'!$B$5,"md")&amp;"d"</f>
        <v>0y-4m-16d</v>
      </c>
      <c r="J26" s="179"/>
      <c r="K26" s="128"/>
      <c r="L26" s="193">
        <v>33984.0</v>
      </c>
      <c r="M26" s="175" t="s">
        <v>199</v>
      </c>
      <c r="N26" s="194" t="s">
        <v>256</v>
      </c>
      <c r="O26" s="194" t="s">
        <v>257</v>
      </c>
      <c r="P26" s="122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75" customHeight="1">
      <c r="A27" s="49" t="s">
        <v>182</v>
      </c>
      <c r="B27" s="230" t="s">
        <v>258</v>
      </c>
      <c r="C27" s="233" t="s">
        <v>96</v>
      </c>
      <c r="D27" s="234" t="s">
        <v>259</v>
      </c>
      <c r="E27" s="85">
        <v>9172.0</v>
      </c>
      <c r="F27" s="235" t="s">
        <v>260</v>
      </c>
      <c r="G27" s="236" t="s">
        <v>97</v>
      </c>
      <c r="H27" s="238">
        <v>45783.0</v>
      </c>
      <c r="I27" s="77" t="str">
        <f t="shared" ref="I27:I31" si="4">DATEDIF(H27,$C$5,"y")&amp;"y-"&amp;DATEDIF(H27,$C$5,"ym")&amp;"m-"&amp;DATEDIF(H27,$C$5,"md")&amp;"d"</f>
        <v>1y-4m-20d</v>
      </c>
      <c r="J27" s="240"/>
      <c r="K27" s="85"/>
      <c r="L27" s="87">
        <v>35531.0</v>
      </c>
      <c r="M27" s="236" t="s">
        <v>125</v>
      </c>
      <c r="N27" s="71"/>
      <c r="O27" s="71"/>
      <c r="P27" s="8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9" t="s">
        <v>190</v>
      </c>
      <c r="B28" s="41"/>
      <c r="C28" s="113" t="s">
        <v>100</v>
      </c>
      <c r="D28" s="115" t="s">
        <v>58</v>
      </c>
      <c r="E28" s="140">
        <v>6291.0</v>
      </c>
      <c r="F28" s="151" t="s">
        <v>101</v>
      </c>
      <c r="G28" s="175" t="s">
        <v>249</v>
      </c>
      <c r="H28" s="142">
        <v>46023.0</v>
      </c>
      <c r="I28" s="156" t="str">
        <f t="shared" si="4"/>
        <v>0y-8m-25d</v>
      </c>
      <c r="J28" s="179"/>
      <c r="K28" s="128" t="str">
        <f>DATEDIF(J28,$B$5,"y")&amp;"y-"&amp;DATEDIF(J28,$B$5,"ym")&amp;"m-"&amp;DATEDIF(J28,$B$5,"md")&amp;"d"</f>
        <v>0y-0m-0d</v>
      </c>
      <c r="L28" s="122">
        <v>33090.0</v>
      </c>
      <c r="M28" s="175" t="s">
        <v>109</v>
      </c>
      <c r="N28" s="174" t="s">
        <v>253</v>
      </c>
      <c r="O28" s="174" t="s">
        <v>254</v>
      </c>
      <c r="P28" s="12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9" t="s">
        <v>193</v>
      </c>
      <c r="B29" s="41"/>
      <c r="C29" s="113" t="s">
        <v>103</v>
      </c>
      <c r="D29" s="115" t="s">
        <v>271</v>
      </c>
      <c r="E29" s="116">
        <v>6246.0</v>
      </c>
      <c r="F29" s="151" t="s">
        <v>105</v>
      </c>
      <c r="G29" s="120" t="s">
        <v>272</v>
      </c>
      <c r="H29" s="122">
        <v>45934.0</v>
      </c>
      <c r="I29" s="156" t="str">
        <f t="shared" si="4"/>
        <v>0y-11m-22d</v>
      </c>
      <c r="J29" s="130"/>
      <c r="K29" s="137"/>
      <c r="L29" s="122">
        <v>38480.0</v>
      </c>
      <c r="M29" s="120" t="s">
        <v>199</v>
      </c>
      <c r="N29" s="153" t="s">
        <v>278</v>
      </c>
      <c r="O29" s="153" t="s">
        <v>279</v>
      </c>
      <c r="P29" s="122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9" t="s">
        <v>196</v>
      </c>
      <c r="B30" s="41"/>
      <c r="C30" s="113" t="s">
        <v>280</v>
      </c>
      <c r="D30" s="115" t="s">
        <v>71</v>
      </c>
      <c r="E30" s="116"/>
      <c r="F30" s="182" t="s">
        <v>281</v>
      </c>
      <c r="G30" s="120" t="s">
        <v>282</v>
      </c>
      <c r="H30" s="122">
        <v>46033.0</v>
      </c>
      <c r="I30" s="156" t="str">
        <f t="shared" si="4"/>
        <v>0y-8m-15d</v>
      </c>
      <c r="J30" s="130"/>
      <c r="K30" s="137"/>
      <c r="L30" s="122"/>
      <c r="M30" s="120" t="s">
        <v>125</v>
      </c>
      <c r="N30" s="153" t="s">
        <v>283</v>
      </c>
      <c r="O30" s="153" t="s">
        <v>284</v>
      </c>
      <c r="P30" s="12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9" t="s">
        <v>202</v>
      </c>
      <c r="B31" s="41"/>
      <c r="C31" s="113" t="s">
        <v>287</v>
      </c>
      <c r="D31" s="115" t="s">
        <v>288</v>
      </c>
      <c r="E31" s="116">
        <v>7102.0</v>
      </c>
      <c r="F31" s="241"/>
      <c r="G31" s="120" t="s">
        <v>293</v>
      </c>
      <c r="H31" s="122">
        <v>45783.0</v>
      </c>
      <c r="I31" s="156" t="str">
        <f t="shared" si="4"/>
        <v>1y-4m-20d</v>
      </c>
      <c r="J31" s="137"/>
      <c r="K31" s="137"/>
      <c r="L31" s="122">
        <v>36330.0</v>
      </c>
      <c r="M31" s="137"/>
      <c r="N31" s="138"/>
      <c r="O31" s="138"/>
      <c r="P31" s="12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9" t="s">
        <v>205</v>
      </c>
      <c r="B32" s="41"/>
      <c r="C32" s="113"/>
      <c r="D32" s="115"/>
      <c r="E32" s="116"/>
      <c r="F32" s="241"/>
      <c r="G32" s="137"/>
      <c r="H32" s="122"/>
      <c r="I32" s="156"/>
      <c r="J32" s="137"/>
      <c r="K32" s="137"/>
      <c r="L32" s="122"/>
      <c r="M32" s="152"/>
      <c r="N32" s="138"/>
      <c r="O32" s="138"/>
      <c r="P32" s="12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9" t="s">
        <v>216</v>
      </c>
      <c r="B33" s="41"/>
      <c r="C33" s="113" t="s">
        <v>294</v>
      </c>
      <c r="D33" s="115" t="s">
        <v>295</v>
      </c>
      <c r="E33" s="116">
        <v>7106.0</v>
      </c>
      <c r="F33" s="241"/>
      <c r="G33" s="120" t="s">
        <v>297</v>
      </c>
      <c r="H33" s="242">
        <v>45773.0</v>
      </c>
      <c r="I33" s="244" t="str">
        <f t="shared" ref="I33:I36" si="5">DATEDIF(H33,$C$5,"y")&amp;"y-"&amp;DATEDIF(H33,$C$5,"ym")&amp;"m-"&amp;DATEDIF(H33,$C$5,"md")&amp;"d"</f>
        <v>1y-5m-0d</v>
      </c>
      <c r="J33" s="245"/>
      <c r="K33" s="245"/>
      <c r="L33" s="122">
        <v>39066.0</v>
      </c>
      <c r="M33" s="245"/>
      <c r="N33" s="58"/>
      <c r="O33" s="58"/>
      <c r="P33" s="12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9"/>
      <c r="B34" s="41"/>
      <c r="C34" s="113" t="s">
        <v>300</v>
      </c>
      <c r="D34" s="115" t="s">
        <v>301</v>
      </c>
      <c r="E34" s="116">
        <v>7170.0</v>
      </c>
      <c r="F34" s="241"/>
      <c r="G34" s="120" t="s">
        <v>302</v>
      </c>
      <c r="H34" s="242">
        <v>44992.0</v>
      </c>
      <c r="I34" s="246" t="str">
        <f t="shared" si="5"/>
        <v>3y-6m-19d</v>
      </c>
      <c r="J34" s="245"/>
      <c r="K34" s="245"/>
      <c r="L34" s="122"/>
      <c r="M34" s="245"/>
      <c r="N34" s="58"/>
      <c r="O34" s="58"/>
      <c r="P34" s="12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49"/>
      <c r="B35" s="41"/>
      <c r="C35" s="180" t="s">
        <v>307</v>
      </c>
      <c r="D35" s="115" t="s">
        <v>301</v>
      </c>
      <c r="E35" s="116"/>
      <c r="F35" s="182" t="s">
        <v>308</v>
      </c>
      <c r="G35" s="137"/>
      <c r="H35" s="247">
        <v>46204.0</v>
      </c>
      <c r="I35" s="246" t="str">
        <f t="shared" si="5"/>
        <v>0y-2m-25d</v>
      </c>
      <c r="J35" s="245"/>
      <c r="K35" s="245"/>
      <c r="L35" s="122"/>
      <c r="M35" s="245"/>
      <c r="N35" s="58"/>
      <c r="O35" s="58"/>
      <c r="P35" s="12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49" t="s">
        <v>219</v>
      </c>
      <c r="B36" s="65"/>
      <c r="C36" s="180" t="s">
        <v>314</v>
      </c>
      <c r="D36" s="115" t="s">
        <v>301</v>
      </c>
      <c r="E36" s="116"/>
      <c r="F36" s="182"/>
      <c r="G36" s="182" t="s">
        <v>315</v>
      </c>
      <c r="H36" s="247">
        <v>46258.0</v>
      </c>
      <c r="I36" s="246" t="str">
        <f t="shared" si="5"/>
        <v>0y-1m-2d</v>
      </c>
      <c r="J36" s="245"/>
      <c r="K36" s="245"/>
      <c r="L36" s="193">
        <v>32234.0</v>
      </c>
      <c r="M36" s="120" t="s">
        <v>199</v>
      </c>
      <c r="N36" s="47" t="s">
        <v>316</v>
      </c>
      <c r="O36" s="248" t="s">
        <v>316</v>
      </c>
      <c r="P36" s="12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9"/>
      <c r="B37" s="9"/>
      <c r="C37" s="9"/>
      <c r="D37" s="11"/>
      <c r="E37" s="9"/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9"/>
      <c r="B38" s="9"/>
      <c r="C38" s="9"/>
      <c r="D38" s="11"/>
      <c r="E38" s="9"/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9"/>
      <c r="B39" s="9"/>
      <c r="C39" s="9"/>
      <c r="D39" s="11"/>
      <c r="E39" s="9"/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9"/>
      <c r="B40" s="9"/>
      <c r="C40" s="9"/>
      <c r="D40" s="11"/>
      <c r="E40" s="9"/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9"/>
      <c r="B41" s="9"/>
      <c r="C41" s="9"/>
      <c r="D41" s="11"/>
      <c r="E41" s="9"/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9"/>
      <c r="B42" s="9"/>
      <c r="C42" s="9"/>
      <c r="D42" s="11"/>
      <c r="E42" s="9"/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9"/>
      <c r="B43" s="9"/>
      <c r="C43" s="9"/>
      <c r="D43" s="11"/>
      <c r="E43" s="9"/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9"/>
      <c r="B44" s="9"/>
      <c r="C44" s="9"/>
      <c r="D44" s="11"/>
      <c r="E44" s="9"/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9"/>
      <c r="B45" s="9"/>
      <c r="C45" s="9"/>
      <c r="D45" s="11"/>
      <c r="E45" s="9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9"/>
      <c r="B46" s="9"/>
      <c r="C46" s="9"/>
      <c r="D46" s="11"/>
      <c r="E46" s="9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9"/>
      <c r="B47" s="9"/>
      <c r="C47" s="9"/>
      <c r="D47" s="11"/>
      <c r="E47" s="9"/>
      <c r="F47" s="18"/>
      <c r="G47" s="9"/>
      <c r="H47" s="9"/>
      <c r="I47" s="9"/>
      <c r="J47" s="9"/>
      <c r="K47" s="9"/>
      <c r="L47" s="9"/>
      <c r="M47" s="9"/>
      <c r="N47" s="9"/>
      <c r="O47" s="9"/>
      <c r="P47" s="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9"/>
      <c r="B48" s="9"/>
      <c r="C48" s="9"/>
      <c r="D48" s="11"/>
      <c r="E48" s="9"/>
      <c r="F48" s="18"/>
      <c r="G48" s="9"/>
      <c r="H48" s="9"/>
      <c r="I48" s="9"/>
      <c r="J48" s="9"/>
      <c r="K48" s="9"/>
      <c r="L48" s="9"/>
      <c r="M48" s="9"/>
      <c r="N48" s="9"/>
      <c r="O48" s="9"/>
      <c r="P48" s="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"/>
      <c r="B49" s="9"/>
      <c r="C49" s="9"/>
      <c r="D49" s="11"/>
      <c r="E49" s="9"/>
      <c r="F49" s="18"/>
      <c r="G49" s="9"/>
      <c r="H49" s="9"/>
      <c r="I49" s="9"/>
      <c r="J49" s="9"/>
      <c r="K49" s="9"/>
      <c r="L49" s="9"/>
      <c r="M49" s="9"/>
      <c r="N49" s="9"/>
      <c r="O49" s="9"/>
      <c r="P49" s="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9"/>
      <c r="B50" s="9"/>
      <c r="C50" s="9"/>
      <c r="D50" s="11"/>
      <c r="E50" s="9"/>
      <c r="F50" s="18"/>
      <c r="G50" s="9"/>
      <c r="H50" s="9"/>
      <c r="I50" s="9"/>
      <c r="J50" s="9"/>
      <c r="K50" s="9"/>
      <c r="L50" s="9"/>
      <c r="M50" s="9"/>
      <c r="N50" s="9"/>
      <c r="O50" s="9"/>
      <c r="P50" s="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9"/>
      <c r="B51" s="9"/>
      <c r="C51" s="9"/>
      <c r="D51" s="11"/>
      <c r="E51" s="9"/>
      <c r="F51" s="18"/>
      <c r="G51" s="9"/>
      <c r="H51" s="9"/>
      <c r="I51" s="9"/>
      <c r="J51" s="9"/>
      <c r="K51" s="9"/>
      <c r="L51" s="9"/>
      <c r="M51" s="9"/>
      <c r="N51" s="9"/>
      <c r="O51" s="9"/>
      <c r="P51" s="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"/>
      <c r="B52" s="9"/>
      <c r="C52" s="9"/>
      <c r="D52" s="11"/>
      <c r="E52" s="9"/>
      <c r="F52" s="18"/>
      <c r="G52" s="9"/>
      <c r="H52" s="9"/>
      <c r="I52" s="9"/>
      <c r="J52" s="9"/>
      <c r="K52" s="9"/>
      <c r="L52" s="9"/>
      <c r="M52" s="9"/>
      <c r="N52" s="9"/>
      <c r="O52" s="9"/>
      <c r="P52" s="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"/>
      <c r="B53" s="9"/>
      <c r="C53" s="9"/>
      <c r="D53" s="11"/>
      <c r="E53" s="9"/>
      <c r="F53" s="18"/>
      <c r="G53" s="9"/>
      <c r="H53" s="9"/>
      <c r="I53" s="9"/>
      <c r="J53" s="9"/>
      <c r="K53" s="9"/>
      <c r="L53" s="9"/>
      <c r="M53" s="9"/>
      <c r="N53" s="9"/>
      <c r="O53" s="9"/>
      <c r="P53" s="9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9"/>
      <c r="B54" s="9"/>
      <c r="C54" s="9"/>
      <c r="D54" s="11"/>
      <c r="E54" s="9"/>
      <c r="F54" s="18"/>
      <c r="G54" s="9"/>
      <c r="H54" s="9"/>
      <c r="I54" s="9"/>
      <c r="J54" s="9"/>
      <c r="K54" s="9"/>
      <c r="L54" s="9"/>
      <c r="M54" s="9"/>
      <c r="N54" s="9"/>
      <c r="O54" s="9"/>
      <c r="P54" s="9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9"/>
      <c r="B55" s="9"/>
      <c r="C55" s="9"/>
      <c r="D55" s="11"/>
      <c r="E55" s="9"/>
      <c r="F55" s="18"/>
      <c r="G55" s="9"/>
      <c r="H55" s="9"/>
      <c r="I55" s="9"/>
      <c r="J55" s="9"/>
      <c r="K55" s="9"/>
      <c r="L55" s="9"/>
      <c r="M55" s="9"/>
      <c r="N55" s="9"/>
      <c r="O55" s="9"/>
      <c r="P55" s="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9"/>
      <c r="B56" s="9"/>
      <c r="C56" s="9"/>
      <c r="D56" s="11"/>
      <c r="E56" s="9"/>
      <c r="F56" s="18"/>
      <c r="G56" s="9"/>
      <c r="H56" s="9"/>
      <c r="I56" s="9"/>
      <c r="J56" s="9"/>
      <c r="K56" s="9"/>
      <c r="L56" s="9"/>
      <c r="M56" s="9"/>
      <c r="N56" s="9"/>
      <c r="O56" s="9"/>
      <c r="P56" s="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9"/>
      <c r="B57" s="9"/>
      <c r="C57" s="9"/>
      <c r="D57" s="11"/>
      <c r="E57" s="9"/>
      <c r="F57" s="18"/>
      <c r="G57" s="9"/>
      <c r="H57" s="9"/>
      <c r="I57" s="9"/>
      <c r="J57" s="9"/>
      <c r="K57" s="9"/>
      <c r="L57" s="9"/>
      <c r="M57" s="9"/>
      <c r="N57" s="9"/>
      <c r="O57" s="9"/>
      <c r="P57" s="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9"/>
      <c r="B58" s="9"/>
      <c r="C58" s="9"/>
      <c r="D58" s="11"/>
      <c r="E58" s="9"/>
      <c r="F58" s="18"/>
      <c r="G58" s="9"/>
      <c r="H58" s="9"/>
      <c r="I58" s="9"/>
      <c r="J58" s="9"/>
      <c r="K58" s="9"/>
      <c r="L58" s="9"/>
      <c r="M58" s="9"/>
      <c r="N58" s="9"/>
      <c r="O58" s="9"/>
      <c r="P58" s="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9"/>
      <c r="B59" s="9"/>
      <c r="C59" s="9"/>
      <c r="D59" s="11"/>
      <c r="E59" s="9"/>
      <c r="F59" s="18"/>
      <c r="G59" s="9"/>
      <c r="H59" s="9"/>
      <c r="I59" s="9"/>
      <c r="J59" s="9"/>
      <c r="K59" s="9"/>
      <c r="L59" s="9"/>
      <c r="M59" s="9"/>
      <c r="N59" s="9"/>
      <c r="O59" s="9"/>
      <c r="P59" s="9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9"/>
      <c r="B60" s="9"/>
      <c r="C60" s="9"/>
      <c r="D60" s="11"/>
      <c r="E60" s="9"/>
      <c r="F60" s="18"/>
      <c r="G60" s="9"/>
      <c r="H60" s="9"/>
      <c r="I60" s="9"/>
      <c r="J60" s="9"/>
      <c r="K60" s="9"/>
      <c r="L60" s="9"/>
      <c r="M60" s="9"/>
      <c r="N60" s="9"/>
      <c r="O60" s="9"/>
      <c r="P60" s="9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9"/>
      <c r="B61" s="9"/>
      <c r="C61" s="9"/>
      <c r="D61" s="11"/>
      <c r="E61" s="9"/>
      <c r="F61" s="18"/>
      <c r="G61" s="9"/>
      <c r="H61" s="9"/>
      <c r="I61" s="9"/>
      <c r="J61" s="9"/>
      <c r="K61" s="9"/>
      <c r="L61" s="9"/>
      <c r="M61" s="9"/>
      <c r="N61" s="9"/>
      <c r="O61" s="9"/>
      <c r="P61" s="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9"/>
      <c r="B62" s="9"/>
      <c r="C62" s="9"/>
      <c r="D62" s="11"/>
      <c r="E62" s="9"/>
      <c r="F62" s="18"/>
      <c r="G62" s="9"/>
      <c r="H62" s="9"/>
      <c r="I62" s="9"/>
      <c r="J62" s="9"/>
      <c r="K62" s="9"/>
      <c r="L62" s="9"/>
      <c r="M62" s="9"/>
      <c r="N62" s="9"/>
      <c r="O62" s="9"/>
      <c r="P62" s="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9"/>
      <c r="B63" s="9"/>
      <c r="C63" s="9"/>
      <c r="D63" s="11"/>
      <c r="E63" s="9"/>
      <c r="F63" s="18"/>
      <c r="G63" s="9"/>
      <c r="H63" s="9"/>
      <c r="I63" s="9"/>
      <c r="J63" s="9"/>
      <c r="K63" s="9"/>
      <c r="L63" s="9"/>
      <c r="M63" s="9"/>
      <c r="N63" s="9"/>
      <c r="O63" s="9"/>
      <c r="P63" s="9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9"/>
      <c r="B64" s="9"/>
      <c r="C64" s="9"/>
      <c r="D64" s="11"/>
      <c r="E64" s="9"/>
      <c r="F64" s="18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"/>
      <c r="B65" s="9"/>
      <c r="C65" s="9"/>
      <c r="D65" s="11"/>
      <c r="E65" s="9"/>
      <c r="F65" s="18"/>
      <c r="G65" s="9"/>
      <c r="H65" s="9"/>
      <c r="I65" s="9"/>
      <c r="J65" s="9"/>
      <c r="K65" s="9"/>
      <c r="L65" s="9"/>
      <c r="M65" s="9"/>
      <c r="N65" s="9"/>
      <c r="O65" s="9"/>
      <c r="P65" s="9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9"/>
      <c r="B66" s="9"/>
      <c r="C66" s="9"/>
      <c r="D66" s="11"/>
      <c r="E66" s="9"/>
      <c r="F66" s="18"/>
      <c r="G66" s="9"/>
      <c r="H66" s="9"/>
      <c r="I66" s="9"/>
      <c r="J66" s="9"/>
      <c r="K66" s="9"/>
      <c r="L66" s="9"/>
      <c r="M66" s="9"/>
      <c r="N66" s="9"/>
      <c r="O66" s="9"/>
      <c r="P66" s="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9"/>
      <c r="B67" s="9"/>
      <c r="C67" s="9"/>
      <c r="D67" s="11"/>
      <c r="E67" s="9"/>
      <c r="F67" s="18"/>
      <c r="G67" s="9"/>
      <c r="H67" s="9"/>
      <c r="I67" s="9"/>
      <c r="J67" s="9"/>
      <c r="K67" s="9"/>
      <c r="L67" s="9"/>
      <c r="M67" s="9"/>
      <c r="N67" s="9"/>
      <c r="O67" s="9"/>
      <c r="P67" s="9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9"/>
      <c r="B68" s="9"/>
      <c r="C68" s="9"/>
      <c r="D68" s="11"/>
      <c r="E68" s="9"/>
      <c r="F68" s="18"/>
      <c r="G68" s="9"/>
      <c r="H68" s="9"/>
      <c r="I68" s="9"/>
      <c r="J68" s="9"/>
      <c r="K68" s="9"/>
      <c r="L68" s="9"/>
      <c r="M68" s="9"/>
      <c r="N68" s="9"/>
      <c r="O68" s="9"/>
      <c r="P68" s="9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9"/>
      <c r="B69" s="9"/>
      <c r="C69" s="9"/>
      <c r="D69" s="11"/>
      <c r="E69" s="9"/>
      <c r="F69" s="18"/>
      <c r="G69" s="9"/>
      <c r="H69" s="9"/>
      <c r="I69" s="9"/>
      <c r="J69" s="9"/>
      <c r="K69" s="9"/>
      <c r="L69" s="9"/>
      <c r="M69" s="9"/>
      <c r="N69" s="9"/>
      <c r="O69" s="9"/>
      <c r="P69" s="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9"/>
      <c r="B70" s="9"/>
      <c r="C70" s="9"/>
      <c r="D70" s="11"/>
      <c r="E70" s="9"/>
      <c r="F70" s="18"/>
      <c r="G70" s="9"/>
      <c r="H70" s="9"/>
      <c r="I70" s="9"/>
      <c r="J70" s="9"/>
      <c r="K70" s="9"/>
      <c r="L70" s="9"/>
      <c r="M70" s="9"/>
      <c r="N70" s="9"/>
      <c r="O70" s="9"/>
      <c r="P70" s="9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9"/>
      <c r="B71" s="9"/>
      <c r="C71" s="9"/>
      <c r="D71" s="11"/>
      <c r="E71" s="9"/>
      <c r="F71" s="18"/>
      <c r="G71" s="9"/>
      <c r="H71" s="9"/>
      <c r="I71" s="9"/>
      <c r="J71" s="9"/>
      <c r="K71" s="9"/>
      <c r="L71" s="9"/>
      <c r="M71" s="9"/>
      <c r="N71" s="9"/>
      <c r="O71" s="9"/>
      <c r="P71" s="9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9"/>
      <c r="B72" s="9"/>
      <c r="C72" s="9"/>
      <c r="D72" s="11"/>
      <c r="E72" s="9"/>
      <c r="F72" s="18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9"/>
      <c r="B73" s="9"/>
      <c r="C73" s="9"/>
      <c r="D73" s="11"/>
      <c r="E73" s="9"/>
      <c r="F73" s="18"/>
      <c r="G73" s="9"/>
      <c r="H73" s="9"/>
      <c r="I73" s="9"/>
      <c r="J73" s="9"/>
      <c r="K73" s="9"/>
      <c r="L73" s="9"/>
      <c r="M73" s="9"/>
      <c r="N73" s="9"/>
      <c r="O73" s="9"/>
      <c r="P73" s="9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9"/>
      <c r="B74" s="9"/>
      <c r="C74" s="9"/>
      <c r="D74" s="11"/>
      <c r="E74" s="9"/>
      <c r="F74" s="18"/>
      <c r="G74" s="9"/>
      <c r="H74" s="9"/>
      <c r="I74" s="9"/>
      <c r="J74" s="9"/>
      <c r="K74" s="9"/>
      <c r="L74" s="9"/>
      <c r="M74" s="9"/>
      <c r="N74" s="9"/>
      <c r="O74" s="9"/>
      <c r="P74" s="9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9"/>
      <c r="B75" s="9"/>
      <c r="C75" s="9"/>
      <c r="D75" s="11"/>
      <c r="E75" s="9"/>
      <c r="F75" s="18"/>
      <c r="G75" s="9"/>
      <c r="H75" s="9"/>
      <c r="I75" s="9"/>
      <c r="J75" s="9"/>
      <c r="K75" s="9"/>
      <c r="L75" s="9"/>
      <c r="M75" s="9"/>
      <c r="N75" s="9"/>
      <c r="O75" s="9"/>
      <c r="P75" s="9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9"/>
      <c r="B76" s="9"/>
      <c r="C76" s="9"/>
      <c r="D76" s="11"/>
      <c r="E76" s="9"/>
      <c r="F76" s="18"/>
      <c r="G76" s="9"/>
      <c r="H76" s="9"/>
      <c r="I76" s="9"/>
      <c r="J76" s="9"/>
      <c r="K76" s="9"/>
      <c r="L76" s="9"/>
      <c r="M76" s="9"/>
      <c r="N76" s="9"/>
      <c r="O76" s="9"/>
      <c r="P76" s="9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9"/>
      <c r="B77" s="9"/>
      <c r="C77" s="9"/>
      <c r="D77" s="11"/>
      <c r="E77" s="9"/>
      <c r="F77" s="18"/>
      <c r="G77" s="9"/>
      <c r="H77" s="9"/>
      <c r="I77" s="9"/>
      <c r="J77" s="9"/>
      <c r="K77" s="9"/>
      <c r="L77" s="9"/>
      <c r="M77" s="9"/>
      <c r="N77" s="9"/>
      <c r="O77" s="9"/>
      <c r="P77" s="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9"/>
      <c r="B78" s="9"/>
      <c r="C78" s="9"/>
      <c r="D78" s="11"/>
      <c r="E78" s="9"/>
      <c r="F78" s="18"/>
      <c r="G78" s="9"/>
      <c r="H78" s="9"/>
      <c r="I78" s="9"/>
      <c r="J78" s="9"/>
      <c r="K78" s="9"/>
      <c r="L78" s="9"/>
      <c r="M78" s="9"/>
      <c r="N78" s="9"/>
      <c r="O78" s="9"/>
      <c r="P78" s="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9"/>
      <c r="B79" s="9"/>
      <c r="C79" s="9"/>
      <c r="D79" s="11"/>
      <c r="E79" s="9"/>
      <c r="F79" s="18"/>
      <c r="G79" s="9"/>
      <c r="H79" s="9"/>
      <c r="I79" s="9"/>
      <c r="J79" s="9"/>
      <c r="K79" s="9"/>
      <c r="L79" s="9"/>
      <c r="M79" s="9"/>
      <c r="N79" s="9"/>
      <c r="O79" s="9"/>
      <c r="P79" s="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9"/>
      <c r="B80" s="9"/>
      <c r="C80" s="9"/>
      <c r="D80" s="11"/>
      <c r="E80" s="9"/>
      <c r="F80" s="18"/>
      <c r="G80" s="9"/>
      <c r="H80" s="9"/>
      <c r="I80" s="9"/>
      <c r="J80" s="9"/>
      <c r="K80" s="9"/>
      <c r="L80" s="9"/>
      <c r="M80" s="9"/>
      <c r="N80" s="9"/>
      <c r="O80" s="9"/>
      <c r="P80" s="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9"/>
      <c r="B81" s="9"/>
      <c r="C81" s="9"/>
      <c r="D81" s="11"/>
      <c r="E81" s="9"/>
      <c r="F81" s="18"/>
      <c r="G81" s="9"/>
      <c r="H81" s="9"/>
      <c r="I81" s="9"/>
      <c r="J81" s="9"/>
      <c r="K81" s="9"/>
      <c r="L81" s="9"/>
      <c r="M81" s="9"/>
      <c r="N81" s="9"/>
      <c r="O81" s="9"/>
      <c r="P81" s="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9"/>
      <c r="B82" s="9"/>
      <c r="C82" s="9"/>
      <c r="D82" s="11"/>
      <c r="E82" s="9"/>
      <c r="F82" s="18"/>
      <c r="G82" s="9"/>
      <c r="H82" s="9"/>
      <c r="I82" s="9"/>
      <c r="J82" s="9"/>
      <c r="K82" s="9"/>
      <c r="L82" s="9"/>
      <c r="M82" s="9"/>
      <c r="N82" s="9"/>
      <c r="O82" s="9"/>
      <c r="P82" s="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9"/>
      <c r="B83" s="9"/>
      <c r="C83" s="9"/>
      <c r="D83" s="11"/>
      <c r="E83" s="9"/>
      <c r="F83" s="18"/>
      <c r="G83" s="9"/>
      <c r="H83" s="9"/>
      <c r="I83" s="9"/>
      <c r="J83" s="9"/>
      <c r="K83" s="9"/>
      <c r="L83" s="9"/>
      <c r="M83" s="9"/>
      <c r="N83" s="9"/>
      <c r="O83" s="9"/>
      <c r="P83" s="9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9"/>
      <c r="B84" s="9"/>
      <c r="C84" s="9"/>
      <c r="D84" s="11"/>
      <c r="E84" s="9"/>
      <c r="F84" s="18"/>
      <c r="G84" s="9"/>
      <c r="H84" s="9"/>
      <c r="I84" s="9"/>
      <c r="J84" s="9"/>
      <c r="K84" s="9"/>
      <c r="L84" s="9"/>
      <c r="M84" s="9"/>
      <c r="N84" s="9"/>
      <c r="O84" s="9"/>
      <c r="P84" s="9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9"/>
      <c r="B85" s="9"/>
      <c r="C85" s="9"/>
      <c r="D85" s="11"/>
      <c r="E85" s="9"/>
      <c r="F85" s="18"/>
      <c r="G85" s="9"/>
      <c r="H85" s="9"/>
      <c r="I85" s="9"/>
      <c r="J85" s="9"/>
      <c r="K85" s="9"/>
      <c r="L85" s="9"/>
      <c r="M85" s="9"/>
      <c r="N85" s="9"/>
      <c r="O85" s="9"/>
      <c r="P85" s="9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9"/>
      <c r="B86" s="9"/>
      <c r="C86" s="9"/>
      <c r="D86" s="11"/>
      <c r="E86" s="9"/>
      <c r="F86" s="18"/>
      <c r="G86" s="9"/>
      <c r="H86" s="9"/>
      <c r="I86" s="9"/>
      <c r="J86" s="9"/>
      <c r="K86" s="9"/>
      <c r="L86" s="9"/>
      <c r="M86" s="9"/>
      <c r="N86" s="9"/>
      <c r="O86" s="9"/>
      <c r="P86" s="9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9"/>
      <c r="B87" s="9"/>
      <c r="C87" s="9"/>
      <c r="D87" s="11"/>
      <c r="E87" s="9"/>
      <c r="F87" s="18"/>
      <c r="G87" s="9"/>
      <c r="H87" s="9"/>
      <c r="I87" s="9"/>
      <c r="J87" s="9"/>
      <c r="K87" s="9"/>
      <c r="L87" s="9"/>
      <c r="M87" s="9"/>
      <c r="N87" s="9"/>
      <c r="O87" s="9"/>
      <c r="P87" s="9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9"/>
      <c r="B88" s="9"/>
      <c r="C88" s="9"/>
      <c r="D88" s="11"/>
      <c r="E88" s="9"/>
      <c r="F88" s="18"/>
      <c r="G88" s="9"/>
      <c r="H88" s="9"/>
      <c r="I88" s="9"/>
      <c r="J88" s="9"/>
      <c r="K88" s="9"/>
      <c r="L88" s="9"/>
      <c r="M88" s="9"/>
      <c r="N88" s="9"/>
      <c r="O88" s="9"/>
      <c r="P88" s="9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9"/>
      <c r="B89" s="9"/>
      <c r="C89" s="9"/>
      <c r="D89" s="11"/>
      <c r="E89" s="9"/>
      <c r="F89" s="18"/>
      <c r="G89" s="9"/>
      <c r="H89" s="9"/>
      <c r="I89" s="9"/>
      <c r="J89" s="9"/>
      <c r="K89" s="9"/>
      <c r="L89" s="9"/>
      <c r="M89" s="9"/>
      <c r="N89" s="9"/>
      <c r="O89" s="9"/>
      <c r="P89" s="9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9"/>
      <c r="B90" s="9"/>
      <c r="C90" s="9"/>
      <c r="D90" s="11"/>
      <c r="E90" s="9"/>
      <c r="F90" s="18"/>
      <c r="G90" s="9"/>
      <c r="H90" s="9"/>
      <c r="I90" s="9"/>
      <c r="J90" s="9"/>
      <c r="K90" s="9"/>
      <c r="L90" s="9"/>
      <c r="M90" s="9"/>
      <c r="N90" s="9"/>
      <c r="O90" s="9"/>
      <c r="P90" s="9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9"/>
      <c r="B91" s="9"/>
      <c r="C91" s="9"/>
      <c r="D91" s="11"/>
      <c r="E91" s="9"/>
      <c r="F91" s="18"/>
      <c r="G91" s="9"/>
      <c r="H91" s="9"/>
      <c r="I91" s="9"/>
      <c r="J91" s="9"/>
      <c r="K91" s="9"/>
      <c r="L91" s="9"/>
      <c r="M91" s="9"/>
      <c r="N91" s="9"/>
      <c r="O91" s="9"/>
      <c r="P91" s="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9"/>
      <c r="B92" s="9"/>
      <c r="C92" s="9"/>
      <c r="D92" s="11"/>
      <c r="E92" s="9"/>
      <c r="F92" s="18"/>
      <c r="G92" s="9"/>
      <c r="H92" s="9"/>
      <c r="I92" s="9"/>
      <c r="J92" s="9"/>
      <c r="K92" s="9"/>
      <c r="L92" s="9"/>
      <c r="M92" s="9"/>
      <c r="N92" s="9"/>
      <c r="O92" s="9"/>
      <c r="P92" s="9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9"/>
      <c r="B93" s="9"/>
      <c r="C93" s="9"/>
      <c r="D93" s="11"/>
      <c r="E93" s="9"/>
      <c r="F93" s="18"/>
      <c r="G93" s="9"/>
      <c r="H93" s="9"/>
      <c r="I93" s="9"/>
      <c r="J93" s="9"/>
      <c r="K93" s="9"/>
      <c r="L93" s="9"/>
      <c r="M93" s="9"/>
      <c r="N93" s="9"/>
      <c r="O93" s="9"/>
      <c r="P93" s="9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9"/>
      <c r="B94" s="9"/>
      <c r="C94" s="9"/>
      <c r="D94" s="11"/>
      <c r="E94" s="9"/>
      <c r="F94" s="18"/>
      <c r="G94" s="9"/>
      <c r="H94" s="9"/>
      <c r="I94" s="9"/>
      <c r="J94" s="9"/>
      <c r="K94" s="9"/>
      <c r="L94" s="9"/>
      <c r="M94" s="9"/>
      <c r="N94" s="9"/>
      <c r="O94" s="9"/>
      <c r="P94" s="9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9"/>
      <c r="B95" s="9"/>
      <c r="C95" s="9"/>
      <c r="D95" s="11"/>
      <c r="E95" s="9"/>
      <c r="F95" s="18"/>
      <c r="G95" s="9"/>
      <c r="H95" s="9"/>
      <c r="I95" s="9"/>
      <c r="J95" s="9"/>
      <c r="K95" s="9"/>
      <c r="L95" s="9"/>
      <c r="M95" s="9"/>
      <c r="N95" s="9"/>
      <c r="O95" s="9"/>
      <c r="P95" s="9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9"/>
      <c r="B96" s="9"/>
      <c r="C96" s="9"/>
      <c r="D96" s="11"/>
      <c r="E96" s="9"/>
      <c r="F96" s="18"/>
      <c r="G96" s="9"/>
      <c r="H96" s="9"/>
      <c r="I96" s="9"/>
      <c r="J96" s="9"/>
      <c r="K96" s="9"/>
      <c r="L96" s="9"/>
      <c r="M96" s="9"/>
      <c r="N96" s="9"/>
      <c r="O96" s="9"/>
      <c r="P96" s="9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9"/>
      <c r="B97" s="9"/>
      <c r="C97" s="9"/>
      <c r="D97" s="11"/>
      <c r="E97" s="9"/>
      <c r="F97" s="18"/>
      <c r="G97" s="9"/>
      <c r="H97" s="9"/>
      <c r="I97" s="9"/>
      <c r="J97" s="9"/>
      <c r="K97" s="9"/>
      <c r="L97" s="9"/>
      <c r="M97" s="9"/>
      <c r="N97" s="9"/>
      <c r="O97" s="9"/>
      <c r="P97" s="9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9"/>
      <c r="B98" s="9"/>
      <c r="C98" s="9"/>
      <c r="D98" s="11"/>
      <c r="E98" s="9"/>
      <c r="F98" s="18"/>
      <c r="G98" s="9"/>
      <c r="H98" s="9"/>
      <c r="I98" s="9"/>
      <c r="J98" s="9"/>
      <c r="K98" s="9"/>
      <c r="L98" s="9"/>
      <c r="M98" s="9"/>
      <c r="N98" s="9"/>
      <c r="O98" s="9"/>
      <c r="P98" s="9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9"/>
      <c r="B99" s="9"/>
      <c r="C99" s="9"/>
      <c r="D99" s="11"/>
      <c r="E99" s="9"/>
      <c r="F99" s="18"/>
      <c r="G99" s="9"/>
      <c r="H99" s="9"/>
      <c r="I99" s="9"/>
      <c r="J99" s="9"/>
      <c r="K99" s="9"/>
      <c r="L99" s="9"/>
      <c r="M99" s="9"/>
      <c r="N99" s="9"/>
      <c r="O99" s="9"/>
      <c r="P99" s="9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"/>
      <c r="B100" s="9"/>
      <c r="C100" s="9"/>
      <c r="D100" s="11"/>
      <c r="E100" s="9"/>
      <c r="F100" s="1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"/>
      <c r="B101" s="9"/>
      <c r="C101" s="9"/>
      <c r="D101" s="11"/>
      <c r="E101" s="9"/>
      <c r="F101" s="1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9"/>
      <c r="B102" s="9"/>
      <c r="C102" s="9"/>
      <c r="D102" s="11"/>
      <c r="E102" s="9"/>
      <c r="F102" s="1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9"/>
      <c r="B103" s="9"/>
      <c r="C103" s="9"/>
      <c r="D103" s="11"/>
      <c r="E103" s="9"/>
      <c r="F103" s="1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9"/>
      <c r="B104" s="9"/>
      <c r="C104" s="9"/>
      <c r="D104" s="11"/>
      <c r="E104" s="9"/>
      <c r="F104" s="1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9"/>
      <c r="B105" s="9"/>
      <c r="C105" s="9"/>
      <c r="D105" s="11"/>
      <c r="E105" s="9"/>
      <c r="F105" s="1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9"/>
      <c r="B106" s="9"/>
      <c r="C106" s="9"/>
      <c r="D106" s="11"/>
      <c r="E106" s="9"/>
      <c r="F106" s="1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9"/>
      <c r="B107" s="9"/>
      <c r="C107" s="9"/>
      <c r="D107" s="11"/>
      <c r="E107" s="9"/>
      <c r="F107" s="1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9"/>
      <c r="B108" s="9"/>
      <c r="C108" s="9"/>
      <c r="D108" s="11"/>
      <c r="E108" s="9"/>
      <c r="F108" s="1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9"/>
      <c r="B109" s="9"/>
      <c r="C109" s="9"/>
      <c r="D109" s="11"/>
      <c r="E109" s="9"/>
      <c r="F109" s="1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9"/>
      <c r="B110" s="9"/>
      <c r="C110" s="9"/>
      <c r="D110" s="11"/>
      <c r="E110" s="9"/>
      <c r="F110" s="1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9"/>
      <c r="B111" s="9"/>
      <c r="C111" s="9"/>
      <c r="D111" s="11"/>
      <c r="E111" s="9"/>
      <c r="F111" s="1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9"/>
      <c r="B112" s="9"/>
      <c r="C112" s="9"/>
      <c r="D112" s="11"/>
      <c r="E112" s="9"/>
      <c r="F112" s="1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9"/>
      <c r="B113" s="9"/>
      <c r="C113" s="9"/>
      <c r="D113" s="11"/>
      <c r="E113" s="9"/>
      <c r="F113" s="1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9"/>
      <c r="B114" s="9"/>
      <c r="C114" s="9"/>
      <c r="D114" s="11"/>
      <c r="E114" s="9"/>
      <c r="F114" s="1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9"/>
      <c r="B115" s="9"/>
      <c r="C115" s="9"/>
      <c r="D115" s="11"/>
      <c r="E115" s="9"/>
      <c r="F115" s="1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9"/>
      <c r="B116" s="9"/>
      <c r="C116" s="9"/>
      <c r="D116" s="11"/>
      <c r="E116" s="9"/>
      <c r="F116" s="1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9"/>
      <c r="B117" s="9"/>
      <c r="C117" s="9"/>
      <c r="D117" s="11"/>
      <c r="E117" s="9"/>
      <c r="F117" s="1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9"/>
      <c r="B118" s="9"/>
      <c r="C118" s="9"/>
      <c r="D118" s="11"/>
      <c r="E118" s="9"/>
      <c r="F118" s="1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9"/>
      <c r="B119" s="9"/>
      <c r="C119" s="9"/>
      <c r="D119" s="11"/>
      <c r="E119" s="9"/>
      <c r="F119" s="1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9"/>
      <c r="B120" s="9"/>
      <c r="C120" s="9"/>
      <c r="D120" s="11"/>
      <c r="E120" s="9"/>
      <c r="F120" s="1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9"/>
      <c r="B121" s="9"/>
      <c r="C121" s="9"/>
      <c r="D121" s="11"/>
      <c r="E121" s="9"/>
      <c r="F121" s="1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9"/>
      <c r="B122" s="9"/>
      <c r="C122" s="9"/>
      <c r="D122" s="11"/>
      <c r="E122" s="9"/>
      <c r="F122" s="1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9"/>
      <c r="B123" s="9"/>
      <c r="C123" s="9"/>
      <c r="D123" s="11"/>
      <c r="E123" s="9"/>
      <c r="F123" s="1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9"/>
      <c r="B124" s="9"/>
      <c r="C124" s="9"/>
      <c r="D124" s="11"/>
      <c r="E124" s="9"/>
      <c r="F124" s="1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9"/>
      <c r="B125" s="9"/>
      <c r="C125" s="9"/>
      <c r="D125" s="11"/>
      <c r="E125" s="9"/>
      <c r="F125" s="1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9"/>
      <c r="B126" s="9"/>
      <c r="C126" s="9"/>
      <c r="D126" s="11"/>
      <c r="E126" s="9"/>
      <c r="F126" s="1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9"/>
      <c r="B127" s="9"/>
      <c r="C127" s="9"/>
      <c r="D127" s="11"/>
      <c r="E127" s="9"/>
      <c r="F127" s="1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9"/>
      <c r="B128" s="9"/>
      <c r="C128" s="9"/>
      <c r="D128" s="11"/>
      <c r="E128" s="9"/>
      <c r="F128" s="1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9"/>
      <c r="B129" s="9"/>
      <c r="C129" s="9"/>
      <c r="D129" s="11"/>
      <c r="E129" s="9"/>
      <c r="F129" s="1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9"/>
      <c r="B130" s="9"/>
      <c r="C130" s="9"/>
      <c r="D130" s="11"/>
      <c r="E130" s="9"/>
      <c r="F130" s="1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9"/>
      <c r="B131" s="9"/>
      <c r="C131" s="9"/>
      <c r="D131" s="11"/>
      <c r="E131" s="9"/>
      <c r="F131" s="1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9"/>
      <c r="B132" s="9"/>
      <c r="C132" s="9"/>
      <c r="D132" s="11"/>
      <c r="E132" s="9"/>
      <c r="F132" s="1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9"/>
      <c r="B133" s="9"/>
      <c r="C133" s="9"/>
      <c r="D133" s="11"/>
      <c r="E133" s="9"/>
      <c r="F133" s="1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9"/>
      <c r="B134" s="9"/>
      <c r="C134" s="9"/>
      <c r="D134" s="11"/>
      <c r="E134" s="9"/>
      <c r="F134" s="1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9"/>
      <c r="B135" s="9"/>
      <c r="C135" s="9"/>
      <c r="D135" s="11"/>
      <c r="E135" s="9"/>
      <c r="F135" s="1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9"/>
      <c r="B136" s="9"/>
      <c r="C136" s="9"/>
      <c r="D136" s="11"/>
      <c r="E136" s="9"/>
      <c r="F136" s="1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9"/>
      <c r="B137" s="9"/>
      <c r="C137" s="9"/>
      <c r="D137" s="11"/>
      <c r="E137" s="9"/>
      <c r="F137" s="1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9"/>
      <c r="B138" s="9"/>
      <c r="C138" s="9"/>
      <c r="D138" s="11"/>
      <c r="E138" s="9"/>
      <c r="F138" s="1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9"/>
      <c r="B139" s="9"/>
      <c r="C139" s="9"/>
      <c r="D139" s="11"/>
      <c r="E139" s="9"/>
      <c r="F139" s="1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9"/>
      <c r="B140" s="9"/>
      <c r="C140" s="9"/>
      <c r="D140" s="11"/>
      <c r="E140" s="9"/>
      <c r="F140" s="1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9"/>
      <c r="B141" s="9"/>
      <c r="C141" s="9"/>
      <c r="D141" s="11"/>
      <c r="E141" s="9"/>
      <c r="F141" s="1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9"/>
      <c r="B142" s="9"/>
      <c r="C142" s="9"/>
      <c r="D142" s="11"/>
      <c r="E142" s="9"/>
      <c r="F142" s="1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9"/>
      <c r="B143" s="9"/>
      <c r="C143" s="9"/>
      <c r="D143" s="11"/>
      <c r="E143" s="9"/>
      <c r="F143" s="1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9"/>
      <c r="B144" s="9"/>
      <c r="C144" s="9"/>
      <c r="D144" s="11"/>
      <c r="E144" s="9"/>
      <c r="F144" s="1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9"/>
      <c r="B145" s="9"/>
      <c r="C145" s="9"/>
      <c r="D145" s="11"/>
      <c r="E145" s="9"/>
      <c r="F145" s="1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9"/>
      <c r="B146" s="9"/>
      <c r="C146" s="9"/>
      <c r="D146" s="11"/>
      <c r="E146" s="9"/>
      <c r="F146" s="1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9"/>
      <c r="B147" s="9"/>
      <c r="C147" s="9"/>
      <c r="D147" s="11"/>
      <c r="E147" s="9"/>
      <c r="F147" s="1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9"/>
      <c r="B148" s="9"/>
      <c r="C148" s="9"/>
      <c r="D148" s="11"/>
      <c r="E148" s="9"/>
      <c r="F148" s="1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9"/>
      <c r="B149" s="9"/>
      <c r="C149" s="9"/>
      <c r="D149" s="11"/>
      <c r="E149" s="9"/>
      <c r="F149" s="1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9"/>
      <c r="B150" s="9"/>
      <c r="C150" s="9"/>
      <c r="D150" s="11"/>
      <c r="E150" s="9"/>
      <c r="F150" s="1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9"/>
      <c r="B151" s="9"/>
      <c r="C151" s="9"/>
      <c r="D151" s="11"/>
      <c r="E151" s="9"/>
      <c r="F151" s="1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9"/>
      <c r="B152" s="9"/>
      <c r="C152" s="9"/>
      <c r="D152" s="11"/>
      <c r="E152" s="9"/>
      <c r="F152" s="1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9"/>
      <c r="B153" s="9"/>
      <c r="C153" s="9"/>
      <c r="D153" s="11"/>
      <c r="E153" s="9"/>
      <c r="F153" s="1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9"/>
      <c r="B154" s="9"/>
      <c r="C154" s="9"/>
      <c r="D154" s="11"/>
      <c r="E154" s="9"/>
      <c r="F154" s="1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9"/>
      <c r="B155" s="9"/>
      <c r="C155" s="9"/>
      <c r="D155" s="11"/>
      <c r="E155" s="9"/>
      <c r="F155" s="1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9"/>
      <c r="B156" s="9"/>
      <c r="C156" s="9"/>
      <c r="D156" s="11"/>
      <c r="E156" s="9"/>
      <c r="F156" s="1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9"/>
      <c r="B157" s="9"/>
      <c r="C157" s="9"/>
      <c r="D157" s="11"/>
      <c r="E157" s="9"/>
      <c r="F157" s="1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9"/>
      <c r="B158" s="9"/>
      <c r="C158" s="9"/>
      <c r="D158" s="11"/>
      <c r="E158" s="9"/>
      <c r="F158" s="1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9"/>
      <c r="B159" s="9"/>
      <c r="C159" s="9"/>
      <c r="D159" s="11"/>
      <c r="E159" s="9"/>
      <c r="F159" s="1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9"/>
      <c r="B160" s="9"/>
      <c r="C160" s="9"/>
      <c r="D160" s="11"/>
      <c r="E160" s="9"/>
      <c r="F160" s="1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9"/>
      <c r="B161" s="9"/>
      <c r="C161" s="9"/>
      <c r="D161" s="11"/>
      <c r="E161" s="9"/>
      <c r="F161" s="1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9"/>
      <c r="B162" s="9"/>
      <c r="C162" s="9"/>
      <c r="D162" s="11"/>
      <c r="E162" s="9"/>
      <c r="F162" s="1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9"/>
      <c r="B163" s="9"/>
      <c r="C163" s="9"/>
      <c r="D163" s="11"/>
      <c r="E163" s="9"/>
      <c r="F163" s="1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9"/>
      <c r="B164" s="9"/>
      <c r="C164" s="9"/>
      <c r="D164" s="11"/>
      <c r="E164" s="9"/>
      <c r="F164" s="1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9"/>
      <c r="B165" s="9"/>
      <c r="C165" s="9"/>
      <c r="D165" s="11"/>
      <c r="E165" s="9"/>
      <c r="F165" s="1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9"/>
      <c r="B166" s="9"/>
      <c r="C166" s="9"/>
      <c r="D166" s="11"/>
      <c r="E166" s="9"/>
      <c r="F166" s="1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9"/>
      <c r="B167" s="9"/>
      <c r="C167" s="9"/>
      <c r="D167" s="11"/>
      <c r="E167" s="9"/>
      <c r="F167" s="1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9"/>
      <c r="B168" s="9"/>
      <c r="C168" s="9"/>
      <c r="D168" s="11"/>
      <c r="E168" s="9"/>
      <c r="F168" s="1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9"/>
      <c r="B169" s="9"/>
      <c r="C169" s="9"/>
      <c r="D169" s="11"/>
      <c r="E169" s="9"/>
      <c r="F169" s="1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9"/>
      <c r="B170" s="9"/>
      <c r="C170" s="9"/>
      <c r="D170" s="11"/>
      <c r="E170" s="9"/>
      <c r="F170" s="1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9"/>
      <c r="B171" s="9"/>
      <c r="C171" s="9"/>
      <c r="D171" s="11"/>
      <c r="E171" s="9"/>
      <c r="F171" s="1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9"/>
      <c r="B172" s="9"/>
      <c r="C172" s="9"/>
      <c r="D172" s="11"/>
      <c r="E172" s="9"/>
      <c r="F172" s="1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9"/>
      <c r="B173" s="9"/>
      <c r="C173" s="9"/>
      <c r="D173" s="11"/>
      <c r="E173" s="9"/>
      <c r="F173" s="1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9"/>
      <c r="B174" s="9"/>
      <c r="C174" s="9"/>
      <c r="D174" s="11"/>
      <c r="E174" s="9"/>
      <c r="F174" s="1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9"/>
      <c r="B175" s="9"/>
      <c r="C175" s="9"/>
      <c r="D175" s="11"/>
      <c r="E175" s="9"/>
      <c r="F175" s="1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9"/>
      <c r="B176" s="9"/>
      <c r="C176" s="9"/>
      <c r="D176" s="11"/>
      <c r="E176" s="9"/>
      <c r="F176" s="1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9"/>
      <c r="B177" s="9"/>
      <c r="C177" s="9"/>
      <c r="D177" s="11"/>
      <c r="E177" s="9"/>
      <c r="F177" s="1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9"/>
      <c r="B178" s="9"/>
      <c r="C178" s="9"/>
      <c r="D178" s="11"/>
      <c r="E178" s="9"/>
      <c r="F178" s="1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9"/>
      <c r="B179" s="9"/>
      <c r="C179" s="9"/>
      <c r="D179" s="11"/>
      <c r="E179" s="9"/>
      <c r="F179" s="1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9"/>
      <c r="B180" s="9"/>
      <c r="C180" s="9"/>
      <c r="D180" s="11"/>
      <c r="E180" s="9"/>
      <c r="F180" s="1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9"/>
      <c r="B181" s="9"/>
      <c r="C181" s="9"/>
      <c r="D181" s="11"/>
      <c r="E181" s="9"/>
      <c r="F181" s="1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9"/>
      <c r="B182" s="9"/>
      <c r="C182" s="9"/>
      <c r="D182" s="11"/>
      <c r="E182" s="9"/>
      <c r="F182" s="1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9"/>
      <c r="B183" s="9"/>
      <c r="C183" s="9"/>
      <c r="D183" s="11"/>
      <c r="E183" s="9"/>
      <c r="F183" s="1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9"/>
      <c r="B184" s="9"/>
      <c r="C184" s="9"/>
      <c r="D184" s="11"/>
      <c r="E184" s="9"/>
      <c r="F184" s="1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9"/>
      <c r="B185" s="9"/>
      <c r="C185" s="9"/>
      <c r="D185" s="11"/>
      <c r="E185" s="9"/>
      <c r="F185" s="1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9"/>
      <c r="B186" s="9"/>
      <c r="C186" s="9"/>
      <c r="D186" s="11"/>
      <c r="E186" s="9"/>
      <c r="F186" s="1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9"/>
      <c r="B187" s="9"/>
      <c r="C187" s="9"/>
      <c r="D187" s="11"/>
      <c r="E187" s="9"/>
      <c r="F187" s="1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9"/>
      <c r="B188" s="9"/>
      <c r="C188" s="9"/>
      <c r="D188" s="11"/>
      <c r="E188" s="9"/>
      <c r="F188" s="1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9"/>
      <c r="B189" s="9"/>
      <c r="C189" s="9"/>
      <c r="D189" s="11"/>
      <c r="E189" s="9"/>
      <c r="F189" s="1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9"/>
      <c r="B190" s="9"/>
      <c r="C190" s="9"/>
      <c r="D190" s="11"/>
      <c r="E190" s="9"/>
      <c r="F190" s="1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9"/>
      <c r="B191" s="9"/>
      <c r="C191" s="9"/>
      <c r="D191" s="11"/>
      <c r="E191" s="9"/>
      <c r="F191" s="1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9"/>
      <c r="B192" s="9"/>
      <c r="C192" s="9"/>
      <c r="D192" s="11"/>
      <c r="E192" s="9"/>
      <c r="F192" s="1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9"/>
      <c r="B193" s="9"/>
      <c r="C193" s="9"/>
      <c r="D193" s="11"/>
      <c r="E193" s="9"/>
      <c r="F193" s="1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9"/>
      <c r="B194" s="9"/>
      <c r="C194" s="9"/>
      <c r="D194" s="11"/>
      <c r="E194" s="9"/>
      <c r="F194" s="1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9"/>
      <c r="B195" s="9"/>
      <c r="C195" s="9"/>
      <c r="D195" s="11"/>
      <c r="E195" s="9"/>
      <c r="F195" s="1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9"/>
      <c r="B196" s="9"/>
      <c r="C196" s="9"/>
      <c r="D196" s="11"/>
      <c r="E196" s="9"/>
      <c r="F196" s="1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9"/>
      <c r="B197" s="9"/>
      <c r="C197" s="9"/>
      <c r="D197" s="11"/>
      <c r="E197" s="9"/>
      <c r="F197" s="1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9"/>
      <c r="B198" s="9"/>
      <c r="C198" s="9"/>
      <c r="D198" s="11"/>
      <c r="E198" s="9"/>
      <c r="F198" s="1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9"/>
      <c r="B199" s="9"/>
      <c r="C199" s="9"/>
      <c r="D199" s="11"/>
      <c r="E199" s="9"/>
      <c r="F199" s="1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9"/>
      <c r="B200" s="9"/>
      <c r="C200" s="9"/>
      <c r="D200" s="11"/>
      <c r="E200" s="9"/>
      <c r="F200" s="1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9"/>
      <c r="B201" s="9"/>
      <c r="C201" s="9"/>
      <c r="D201" s="11"/>
      <c r="E201" s="9"/>
      <c r="F201" s="1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9"/>
      <c r="B202" s="9"/>
      <c r="C202" s="9"/>
      <c r="D202" s="11"/>
      <c r="E202" s="9"/>
      <c r="F202" s="1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9"/>
      <c r="B203" s="9"/>
      <c r="C203" s="9"/>
      <c r="D203" s="11"/>
      <c r="E203" s="9"/>
      <c r="F203" s="1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9"/>
      <c r="B204" s="9"/>
      <c r="C204" s="9"/>
      <c r="D204" s="11"/>
      <c r="E204" s="9"/>
      <c r="F204" s="1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9"/>
      <c r="B205" s="9"/>
      <c r="C205" s="9"/>
      <c r="D205" s="11"/>
      <c r="E205" s="9"/>
      <c r="F205" s="1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9"/>
      <c r="B206" s="9"/>
      <c r="C206" s="9"/>
      <c r="D206" s="11"/>
      <c r="E206" s="9"/>
      <c r="F206" s="1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9"/>
      <c r="B207" s="9"/>
      <c r="C207" s="9"/>
      <c r="D207" s="11"/>
      <c r="E207" s="9"/>
      <c r="F207" s="1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9"/>
      <c r="B208" s="9"/>
      <c r="C208" s="9"/>
      <c r="D208" s="11"/>
      <c r="E208" s="9"/>
      <c r="F208" s="1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9"/>
      <c r="B209" s="9"/>
      <c r="C209" s="9"/>
      <c r="D209" s="11"/>
      <c r="E209" s="9"/>
      <c r="F209" s="1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9"/>
      <c r="B210" s="9"/>
      <c r="C210" s="9"/>
      <c r="D210" s="11"/>
      <c r="E210" s="9"/>
      <c r="F210" s="1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9"/>
      <c r="B211" s="9"/>
      <c r="C211" s="9"/>
      <c r="D211" s="11"/>
      <c r="E211" s="9"/>
      <c r="F211" s="1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9"/>
      <c r="B212" s="9"/>
      <c r="C212" s="9"/>
      <c r="D212" s="11"/>
      <c r="E212" s="9"/>
      <c r="F212" s="1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9"/>
      <c r="B213" s="9"/>
      <c r="C213" s="9"/>
      <c r="D213" s="11"/>
      <c r="E213" s="9"/>
      <c r="F213" s="1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9"/>
      <c r="B214" s="9"/>
      <c r="C214" s="9"/>
      <c r="D214" s="11"/>
      <c r="E214" s="9"/>
      <c r="F214" s="1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9"/>
      <c r="B215" s="9"/>
      <c r="C215" s="9"/>
      <c r="D215" s="11"/>
      <c r="E215" s="9"/>
      <c r="F215" s="1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9"/>
      <c r="B216" s="9"/>
      <c r="C216" s="9"/>
      <c r="D216" s="11"/>
      <c r="E216" s="9"/>
      <c r="F216" s="1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9"/>
      <c r="B217" s="9"/>
      <c r="C217" s="9"/>
      <c r="D217" s="11"/>
      <c r="E217" s="9"/>
      <c r="F217" s="1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9"/>
      <c r="B218" s="9"/>
      <c r="C218" s="9"/>
      <c r="D218" s="11"/>
      <c r="E218" s="9"/>
      <c r="F218" s="1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9"/>
      <c r="B219" s="9"/>
      <c r="C219" s="9"/>
      <c r="D219" s="11"/>
      <c r="E219" s="9"/>
      <c r="F219" s="1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9"/>
      <c r="B220" s="9"/>
      <c r="C220" s="9"/>
      <c r="D220" s="11"/>
      <c r="E220" s="9"/>
      <c r="F220" s="1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9"/>
      <c r="B221" s="9"/>
      <c r="C221" s="9"/>
      <c r="D221" s="11"/>
      <c r="E221" s="9"/>
      <c r="F221" s="1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9"/>
      <c r="B222" s="9"/>
      <c r="C222" s="9"/>
      <c r="D222" s="11"/>
      <c r="E222" s="9"/>
      <c r="F222" s="1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9"/>
      <c r="B223" s="9"/>
      <c r="C223" s="9"/>
      <c r="D223" s="11"/>
      <c r="E223" s="9"/>
      <c r="F223" s="1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9"/>
      <c r="B224" s="9"/>
      <c r="C224" s="9"/>
      <c r="D224" s="11"/>
      <c r="E224" s="9"/>
      <c r="F224" s="1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9"/>
      <c r="B225" s="9"/>
      <c r="C225" s="9"/>
      <c r="D225" s="11"/>
      <c r="E225" s="9"/>
      <c r="F225" s="1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9"/>
      <c r="B226" s="9"/>
      <c r="C226" s="9"/>
      <c r="D226" s="11"/>
      <c r="E226" s="9"/>
      <c r="F226" s="1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9"/>
      <c r="B227" s="9"/>
      <c r="C227" s="9"/>
      <c r="D227" s="11"/>
      <c r="E227" s="9"/>
      <c r="F227" s="1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9"/>
      <c r="B228" s="9"/>
      <c r="C228" s="9"/>
      <c r="D228" s="11"/>
      <c r="E228" s="9"/>
      <c r="F228" s="1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9"/>
      <c r="B229" s="9"/>
      <c r="C229" s="9"/>
      <c r="D229" s="11"/>
      <c r="E229" s="9"/>
      <c r="F229" s="1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9"/>
      <c r="B230" s="9"/>
      <c r="C230" s="9"/>
      <c r="D230" s="11"/>
      <c r="E230" s="9"/>
      <c r="F230" s="1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9"/>
      <c r="B231" s="9"/>
      <c r="C231" s="9"/>
      <c r="D231" s="11"/>
      <c r="E231" s="9"/>
      <c r="F231" s="1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9"/>
      <c r="B232" s="9"/>
      <c r="C232" s="9"/>
      <c r="D232" s="11"/>
      <c r="E232" s="9"/>
      <c r="F232" s="1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9"/>
      <c r="B233" s="9"/>
      <c r="C233" s="9"/>
      <c r="D233" s="11"/>
      <c r="E233" s="9"/>
      <c r="F233" s="1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9"/>
      <c r="B234" s="9"/>
      <c r="C234" s="9"/>
      <c r="D234" s="11"/>
      <c r="E234" s="9"/>
      <c r="F234" s="1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9"/>
      <c r="B235" s="9"/>
      <c r="C235" s="9"/>
      <c r="D235" s="11"/>
      <c r="E235" s="9"/>
      <c r="F235" s="1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9"/>
      <c r="B236" s="9"/>
      <c r="C236" s="9"/>
      <c r="D236" s="11"/>
      <c r="E236" s="9"/>
      <c r="F236" s="1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9"/>
      <c r="B237" s="9"/>
      <c r="C237" s="9"/>
      <c r="D237" s="11"/>
      <c r="E237" s="9"/>
      <c r="F237" s="1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9"/>
      <c r="B238" s="9"/>
      <c r="C238" s="9"/>
      <c r="D238" s="11"/>
      <c r="E238" s="9"/>
      <c r="F238" s="1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9"/>
      <c r="B239" s="9"/>
      <c r="C239" s="9"/>
      <c r="D239" s="11"/>
      <c r="E239" s="9"/>
      <c r="F239" s="1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9"/>
      <c r="B240" s="9"/>
      <c r="C240" s="9"/>
      <c r="D240" s="11"/>
      <c r="E240" s="9"/>
      <c r="F240" s="1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9"/>
      <c r="B241" s="9"/>
      <c r="C241" s="9"/>
      <c r="D241" s="11"/>
      <c r="E241" s="9"/>
      <c r="F241" s="1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9"/>
      <c r="B242" s="9"/>
      <c r="C242" s="9"/>
      <c r="D242" s="11"/>
      <c r="E242" s="9"/>
      <c r="F242" s="1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9"/>
      <c r="B243" s="9"/>
      <c r="C243" s="9"/>
      <c r="D243" s="11"/>
      <c r="E243" s="9"/>
      <c r="F243" s="1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9"/>
      <c r="B244" s="9"/>
      <c r="C244" s="9"/>
      <c r="D244" s="11"/>
      <c r="E244" s="9"/>
      <c r="F244" s="1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9"/>
      <c r="B245" s="9"/>
      <c r="C245" s="9"/>
      <c r="D245" s="11"/>
      <c r="E245" s="9"/>
      <c r="F245" s="1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9"/>
      <c r="B246" s="9"/>
      <c r="C246" s="9"/>
      <c r="D246" s="11"/>
      <c r="E246" s="9"/>
      <c r="F246" s="1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9"/>
      <c r="B247" s="9"/>
      <c r="C247" s="9"/>
      <c r="D247" s="11"/>
      <c r="E247" s="9"/>
      <c r="F247" s="1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9"/>
      <c r="B248" s="9"/>
      <c r="C248" s="9"/>
      <c r="D248" s="11"/>
      <c r="E248" s="9"/>
      <c r="F248" s="1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9"/>
      <c r="B249" s="9"/>
      <c r="C249" s="9"/>
      <c r="D249" s="11"/>
      <c r="E249" s="9"/>
      <c r="F249" s="1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9"/>
      <c r="B250" s="9"/>
      <c r="C250" s="9"/>
      <c r="D250" s="11"/>
      <c r="E250" s="9"/>
      <c r="F250" s="1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9"/>
      <c r="B251" s="9"/>
      <c r="C251" s="9"/>
      <c r="D251" s="11"/>
      <c r="E251" s="9"/>
      <c r="F251" s="1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9"/>
      <c r="B252" s="9"/>
      <c r="C252" s="9"/>
      <c r="D252" s="11"/>
      <c r="E252" s="9"/>
      <c r="F252" s="1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9"/>
      <c r="B253" s="9"/>
      <c r="C253" s="9"/>
      <c r="D253" s="11"/>
      <c r="E253" s="9"/>
      <c r="F253" s="1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9"/>
      <c r="B254" s="9"/>
      <c r="C254" s="9"/>
      <c r="D254" s="11"/>
      <c r="E254" s="9"/>
      <c r="F254" s="1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9"/>
      <c r="B255" s="9"/>
      <c r="C255" s="9"/>
      <c r="D255" s="11"/>
      <c r="E255" s="9"/>
      <c r="F255" s="1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9"/>
      <c r="B256" s="9"/>
      <c r="C256" s="9"/>
      <c r="D256" s="11"/>
      <c r="E256" s="9"/>
      <c r="F256" s="1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9"/>
      <c r="B257" s="9"/>
      <c r="C257" s="9"/>
      <c r="D257" s="11"/>
      <c r="E257" s="9"/>
      <c r="F257" s="1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9"/>
      <c r="B258" s="9"/>
      <c r="C258" s="9"/>
      <c r="D258" s="11"/>
      <c r="E258" s="9"/>
      <c r="F258" s="1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9"/>
      <c r="B259" s="9"/>
      <c r="C259" s="9"/>
      <c r="D259" s="11"/>
      <c r="E259" s="9"/>
      <c r="F259" s="1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9"/>
      <c r="B260" s="9"/>
      <c r="C260" s="9"/>
      <c r="D260" s="11"/>
      <c r="E260" s="9"/>
      <c r="F260" s="1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9"/>
      <c r="B261" s="9"/>
      <c r="C261" s="9"/>
      <c r="D261" s="11"/>
      <c r="E261" s="9"/>
      <c r="F261" s="1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9"/>
      <c r="B262" s="9"/>
      <c r="C262" s="9"/>
      <c r="D262" s="11"/>
      <c r="E262" s="9"/>
      <c r="F262" s="1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9"/>
      <c r="B263" s="9"/>
      <c r="C263" s="9"/>
      <c r="D263" s="11"/>
      <c r="E263" s="9"/>
      <c r="F263" s="1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9"/>
      <c r="B264" s="9"/>
      <c r="C264" s="9"/>
      <c r="D264" s="11"/>
      <c r="E264" s="9"/>
      <c r="F264" s="1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9"/>
      <c r="B265" s="9"/>
      <c r="C265" s="9"/>
      <c r="D265" s="11"/>
      <c r="E265" s="9"/>
      <c r="F265" s="1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9"/>
      <c r="B266" s="9"/>
      <c r="C266" s="9"/>
      <c r="D266" s="11"/>
      <c r="E266" s="9"/>
      <c r="F266" s="1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9"/>
      <c r="B267" s="9"/>
      <c r="C267" s="9"/>
      <c r="D267" s="11"/>
      <c r="E267" s="9"/>
      <c r="F267" s="1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9"/>
      <c r="B268" s="9"/>
      <c r="C268" s="9"/>
      <c r="D268" s="11"/>
      <c r="E268" s="9"/>
      <c r="F268" s="1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9"/>
      <c r="B269" s="9"/>
      <c r="C269" s="9"/>
      <c r="D269" s="11"/>
      <c r="E269" s="9"/>
      <c r="F269" s="1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9"/>
      <c r="B270" s="9"/>
      <c r="C270" s="9"/>
      <c r="D270" s="11"/>
      <c r="E270" s="9"/>
      <c r="F270" s="1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9"/>
      <c r="B271" s="9"/>
      <c r="C271" s="9"/>
      <c r="D271" s="11"/>
      <c r="E271" s="9"/>
      <c r="F271" s="1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9"/>
      <c r="B272" s="9"/>
      <c r="C272" s="9"/>
      <c r="D272" s="11"/>
      <c r="E272" s="9"/>
      <c r="F272" s="1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9"/>
      <c r="B273" s="9"/>
      <c r="C273" s="9"/>
      <c r="D273" s="11"/>
      <c r="E273" s="9"/>
      <c r="F273" s="1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9"/>
      <c r="B274" s="9"/>
      <c r="C274" s="9"/>
      <c r="D274" s="11"/>
      <c r="E274" s="9"/>
      <c r="F274" s="1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9"/>
      <c r="B275" s="9"/>
      <c r="C275" s="9"/>
      <c r="D275" s="11"/>
      <c r="E275" s="9"/>
      <c r="F275" s="1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9"/>
      <c r="B276" s="9"/>
      <c r="C276" s="9"/>
      <c r="D276" s="11"/>
      <c r="E276" s="9"/>
      <c r="F276" s="1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9"/>
      <c r="B277" s="9"/>
      <c r="C277" s="9"/>
      <c r="D277" s="11"/>
      <c r="E277" s="9"/>
      <c r="F277" s="1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9"/>
      <c r="B278" s="9"/>
      <c r="C278" s="9"/>
      <c r="D278" s="11"/>
      <c r="E278" s="9"/>
      <c r="F278" s="1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9"/>
      <c r="B279" s="9"/>
      <c r="C279" s="9"/>
      <c r="D279" s="11"/>
      <c r="E279" s="9"/>
      <c r="F279" s="1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9"/>
      <c r="B280" s="9"/>
      <c r="C280" s="9"/>
      <c r="D280" s="11"/>
      <c r="E280" s="9"/>
      <c r="F280" s="1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9"/>
      <c r="B281" s="9"/>
      <c r="C281" s="9"/>
      <c r="D281" s="11"/>
      <c r="E281" s="9"/>
      <c r="F281" s="1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9"/>
      <c r="B282" s="9"/>
      <c r="C282" s="9"/>
      <c r="D282" s="11"/>
      <c r="E282" s="9"/>
      <c r="F282" s="1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9"/>
      <c r="B283" s="9"/>
      <c r="C283" s="9"/>
      <c r="D283" s="11"/>
      <c r="E283" s="9"/>
      <c r="F283" s="1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9"/>
      <c r="B284" s="9"/>
      <c r="C284" s="9"/>
      <c r="D284" s="11"/>
      <c r="E284" s="9"/>
      <c r="F284" s="1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9"/>
      <c r="B285" s="9"/>
      <c r="C285" s="9"/>
      <c r="D285" s="11"/>
      <c r="E285" s="9"/>
      <c r="F285" s="1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9"/>
      <c r="B286" s="9"/>
      <c r="C286" s="9"/>
      <c r="D286" s="11"/>
      <c r="E286" s="9"/>
      <c r="F286" s="1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9"/>
      <c r="B287" s="9"/>
      <c r="C287" s="9"/>
      <c r="D287" s="11"/>
      <c r="E287" s="9"/>
      <c r="F287" s="1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9"/>
      <c r="B288" s="9"/>
      <c r="C288" s="9"/>
      <c r="D288" s="11"/>
      <c r="E288" s="9"/>
      <c r="F288" s="1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9"/>
      <c r="B289" s="9"/>
      <c r="C289" s="9"/>
      <c r="D289" s="11"/>
      <c r="E289" s="9"/>
      <c r="F289" s="1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9"/>
      <c r="B290" s="9"/>
      <c r="C290" s="9"/>
      <c r="D290" s="11"/>
      <c r="E290" s="9"/>
      <c r="F290" s="1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9"/>
      <c r="B291" s="9"/>
      <c r="C291" s="9"/>
      <c r="D291" s="11"/>
      <c r="E291" s="9"/>
      <c r="F291" s="1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9"/>
      <c r="B292" s="9"/>
      <c r="C292" s="9"/>
      <c r="D292" s="11"/>
      <c r="E292" s="9"/>
      <c r="F292" s="1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9"/>
      <c r="B293" s="9"/>
      <c r="C293" s="9"/>
      <c r="D293" s="11"/>
      <c r="E293" s="9"/>
      <c r="F293" s="1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9"/>
      <c r="B294" s="9"/>
      <c r="C294" s="9"/>
      <c r="D294" s="11"/>
      <c r="E294" s="9"/>
      <c r="F294" s="1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9"/>
      <c r="B295" s="9"/>
      <c r="C295" s="9"/>
      <c r="D295" s="11"/>
      <c r="E295" s="9"/>
      <c r="F295" s="1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9"/>
      <c r="B296" s="9"/>
      <c r="C296" s="9"/>
      <c r="D296" s="11"/>
      <c r="E296" s="9"/>
      <c r="F296" s="1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9"/>
      <c r="B297" s="9"/>
      <c r="C297" s="9"/>
      <c r="D297" s="11"/>
      <c r="E297" s="9"/>
      <c r="F297" s="1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9"/>
      <c r="B298" s="9"/>
      <c r="C298" s="9"/>
      <c r="D298" s="11"/>
      <c r="E298" s="9"/>
      <c r="F298" s="1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9"/>
      <c r="B299" s="9"/>
      <c r="C299" s="9"/>
      <c r="D299" s="11"/>
      <c r="E299" s="9"/>
      <c r="F299" s="1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9"/>
      <c r="B300" s="9"/>
      <c r="C300" s="9"/>
      <c r="D300" s="11"/>
      <c r="E300" s="9"/>
      <c r="F300" s="1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9"/>
      <c r="B301" s="9"/>
      <c r="C301" s="9"/>
      <c r="D301" s="11"/>
      <c r="E301" s="9"/>
      <c r="F301" s="1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9"/>
      <c r="B302" s="9"/>
      <c r="C302" s="9"/>
      <c r="D302" s="11"/>
      <c r="E302" s="9"/>
      <c r="F302" s="1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9"/>
      <c r="B303" s="9"/>
      <c r="C303" s="9"/>
      <c r="D303" s="11"/>
      <c r="E303" s="9"/>
      <c r="F303" s="1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9"/>
      <c r="B304" s="9"/>
      <c r="C304" s="9"/>
      <c r="D304" s="11"/>
      <c r="E304" s="9"/>
      <c r="F304" s="1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9"/>
      <c r="B305" s="9"/>
      <c r="C305" s="9"/>
      <c r="D305" s="11"/>
      <c r="E305" s="9"/>
      <c r="F305" s="1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9"/>
      <c r="B306" s="9"/>
      <c r="C306" s="9"/>
      <c r="D306" s="11"/>
      <c r="E306" s="9"/>
      <c r="F306" s="1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9"/>
      <c r="B307" s="9"/>
      <c r="C307" s="9"/>
      <c r="D307" s="11"/>
      <c r="E307" s="9"/>
      <c r="F307" s="1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9"/>
      <c r="B308" s="9"/>
      <c r="C308" s="9"/>
      <c r="D308" s="11"/>
      <c r="E308" s="9"/>
      <c r="F308" s="1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9"/>
      <c r="B309" s="9"/>
      <c r="C309" s="9"/>
      <c r="D309" s="11"/>
      <c r="E309" s="9"/>
      <c r="F309" s="1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9"/>
      <c r="B310" s="9"/>
      <c r="C310" s="9"/>
      <c r="D310" s="11"/>
      <c r="E310" s="9"/>
      <c r="F310" s="1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9"/>
      <c r="B311" s="9"/>
      <c r="C311" s="9"/>
      <c r="D311" s="11"/>
      <c r="E311" s="9"/>
      <c r="F311" s="1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9"/>
      <c r="B312" s="9"/>
      <c r="C312" s="9"/>
      <c r="D312" s="11"/>
      <c r="E312" s="9"/>
      <c r="F312" s="1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9"/>
      <c r="B313" s="9"/>
      <c r="C313" s="9"/>
      <c r="D313" s="11"/>
      <c r="E313" s="9"/>
      <c r="F313" s="1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9"/>
      <c r="B314" s="9"/>
      <c r="C314" s="9"/>
      <c r="D314" s="11"/>
      <c r="E314" s="9"/>
      <c r="F314" s="1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9"/>
      <c r="B315" s="9"/>
      <c r="C315" s="9"/>
      <c r="D315" s="11"/>
      <c r="E315" s="9"/>
      <c r="F315" s="1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9"/>
      <c r="B316" s="9"/>
      <c r="C316" s="9"/>
      <c r="D316" s="11"/>
      <c r="E316" s="9"/>
      <c r="F316" s="1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9"/>
      <c r="B317" s="9"/>
      <c r="C317" s="9"/>
      <c r="D317" s="11"/>
      <c r="E317" s="9"/>
      <c r="F317" s="1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9"/>
      <c r="B318" s="9"/>
      <c r="C318" s="9"/>
      <c r="D318" s="11"/>
      <c r="E318" s="9"/>
      <c r="F318" s="1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9"/>
      <c r="B319" s="9"/>
      <c r="C319" s="9"/>
      <c r="D319" s="11"/>
      <c r="E319" s="9"/>
      <c r="F319" s="1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9"/>
      <c r="B320" s="9"/>
      <c r="C320" s="9"/>
      <c r="D320" s="11"/>
      <c r="E320" s="9"/>
      <c r="F320" s="1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9"/>
      <c r="B321" s="9"/>
      <c r="C321" s="9"/>
      <c r="D321" s="11"/>
      <c r="E321" s="9"/>
      <c r="F321" s="1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9"/>
      <c r="B322" s="9"/>
      <c r="C322" s="9"/>
      <c r="D322" s="11"/>
      <c r="E322" s="9"/>
      <c r="F322" s="1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9"/>
      <c r="B323" s="9"/>
      <c r="C323" s="9"/>
      <c r="D323" s="11"/>
      <c r="E323" s="9"/>
      <c r="F323" s="1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9"/>
      <c r="B324" s="9"/>
      <c r="C324" s="9"/>
      <c r="D324" s="11"/>
      <c r="E324" s="9"/>
      <c r="F324" s="1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9"/>
      <c r="B325" s="9"/>
      <c r="C325" s="9"/>
      <c r="D325" s="11"/>
      <c r="E325" s="9"/>
      <c r="F325" s="1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9"/>
      <c r="B326" s="9"/>
      <c r="C326" s="9"/>
      <c r="D326" s="11"/>
      <c r="E326" s="9"/>
      <c r="F326" s="1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9"/>
      <c r="B327" s="9"/>
      <c r="C327" s="9"/>
      <c r="D327" s="11"/>
      <c r="E327" s="9"/>
      <c r="F327" s="1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9"/>
      <c r="B328" s="9"/>
      <c r="C328" s="9"/>
      <c r="D328" s="11"/>
      <c r="E328" s="9"/>
      <c r="F328" s="1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9"/>
      <c r="B329" s="9"/>
      <c r="C329" s="9"/>
      <c r="D329" s="11"/>
      <c r="E329" s="9"/>
      <c r="F329" s="1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9"/>
      <c r="B330" s="9"/>
      <c r="C330" s="9"/>
      <c r="D330" s="11"/>
      <c r="E330" s="9"/>
      <c r="F330" s="1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9"/>
      <c r="B331" s="9"/>
      <c r="C331" s="9"/>
      <c r="D331" s="11"/>
      <c r="E331" s="9"/>
      <c r="F331" s="1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9"/>
      <c r="B332" s="9"/>
      <c r="C332" s="9"/>
      <c r="D332" s="11"/>
      <c r="E332" s="9"/>
      <c r="F332" s="1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9"/>
      <c r="B333" s="9"/>
      <c r="C333" s="9"/>
      <c r="D333" s="11"/>
      <c r="E333" s="9"/>
      <c r="F333" s="1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9"/>
      <c r="B334" s="9"/>
      <c r="C334" s="9"/>
      <c r="D334" s="11"/>
      <c r="E334" s="9"/>
      <c r="F334" s="1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9"/>
      <c r="B335" s="9"/>
      <c r="C335" s="9"/>
      <c r="D335" s="11"/>
      <c r="E335" s="9"/>
      <c r="F335" s="1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9"/>
      <c r="B336" s="9"/>
      <c r="C336" s="9"/>
      <c r="D336" s="11"/>
      <c r="E336" s="9"/>
      <c r="F336" s="1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9"/>
      <c r="B337" s="9"/>
      <c r="C337" s="9"/>
      <c r="D337" s="11"/>
      <c r="E337" s="9"/>
      <c r="F337" s="1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9"/>
      <c r="B338" s="9"/>
      <c r="C338" s="9"/>
      <c r="D338" s="11"/>
      <c r="E338" s="9"/>
      <c r="F338" s="1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9"/>
      <c r="B339" s="9"/>
      <c r="C339" s="9"/>
      <c r="D339" s="11"/>
      <c r="E339" s="9"/>
      <c r="F339" s="1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9"/>
      <c r="B340" s="9"/>
      <c r="C340" s="9"/>
      <c r="D340" s="11"/>
      <c r="E340" s="9"/>
      <c r="F340" s="1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9"/>
      <c r="B341" s="9"/>
      <c r="C341" s="9"/>
      <c r="D341" s="11"/>
      <c r="E341" s="9"/>
      <c r="F341" s="1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9"/>
      <c r="B342" s="9"/>
      <c r="C342" s="9"/>
      <c r="D342" s="11"/>
      <c r="E342" s="9"/>
      <c r="F342" s="1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9"/>
      <c r="B343" s="9"/>
      <c r="C343" s="9"/>
      <c r="D343" s="11"/>
      <c r="E343" s="9"/>
      <c r="F343" s="1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9"/>
      <c r="B344" s="9"/>
      <c r="C344" s="9"/>
      <c r="D344" s="11"/>
      <c r="E344" s="9"/>
      <c r="F344" s="1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9"/>
      <c r="B345" s="9"/>
      <c r="C345" s="9"/>
      <c r="D345" s="11"/>
      <c r="E345" s="9"/>
      <c r="F345" s="1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9"/>
      <c r="B346" s="9"/>
      <c r="C346" s="9"/>
      <c r="D346" s="11"/>
      <c r="E346" s="9"/>
      <c r="F346" s="1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9"/>
      <c r="B347" s="9"/>
      <c r="C347" s="9"/>
      <c r="D347" s="11"/>
      <c r="E347" s="9"/>
      <c r="F347" s="1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9"/>
      <c r="B348" s="9"/>
      <c r="C348" s="9"/>
      <c r="D348" s="11"/>
      <c r="E348" s="9"/>
      <c r="F348" s="1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9"/>
      <c r="B349" s="9"/>
      <c r="C349" s="9"/>
      <c r="D349" s="11"/>
      <c r="E349" s="9"/>
      <c r="F349" s="1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9"/>
      <c r="B350" s="9"/>
      <c r="C350" s="9"/>
      <c r="D350" s="11"/>
      <c r="E350" s="9"/>
      <c r="F350" s="1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9"/>
      <c r="B351" s="9"/>
      <c r="C351" s="9"/>
      <c r="D351" s="11"/>
      <c r="E351" s="9"/>
      <c r="F351" s="1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9"/>
      <c r="B352" s="9"/>
      <c r="C352" s="9"/>
      <c r="D352" s="11"/>
      <c r="E352" s="9"/>
      <c r="F352" s="1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9"/>
      <c r="B353" s="9"/>
      <c r="C353" s="9"/>
      <c r="D353" s="11"/>
      <c r="E353" s="9"/>
      <c r="F353" s="1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9"/>
      <c r="B354" s="9"/>
      <c r="C354" s="9"/>
      <c r="D354" s="11"/>
      <c r="E354" s="9"/>
      <c r="F354" s="1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9"/>
      <c r="B355" s="9"/>
      <c r="C355" s="9"/>
      <c r="D355" s="11"/>
      <c r="E355" s="9"/>
      <c r="F355" s="1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9"/>
      <c r="B356" s="9"/>
      <c r="C356" s="9"/>
      <c r="D356" s="11"/>
      <c r="E356" s="9"/>
      <c r="F356" s="1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9"/>
      <c r="B357" s="9"/>
      <c r="C357" s="9"/>
      <c r="D357" s="11"/>
      <c r="E357" s="9"/>
      <c r="F357" s="1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9"/>
      <c r="B358" s="9"/>
      <c r="C358" s="9"/>
      <c r="D358" s="11"/>
      <c r="E358" s="9"/>
      <c r="F358" s="1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9"/>
      <c r="B359" s="9"/>
      <c r="C359" s="9"/>
      <c r="D359" s="11"/>
      <c r="E359" s="9"/>
      <c r="F359" s="1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9"/>
      <c r="B360" s="9"/>
      <c r="C360" s="9"/>
      <c r="D360" s="11"/>
      <c r="E360" s="9"/>
      <c r="F360" s="1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9"/>
      <c r="B361" s="9"/>
      <c r="C361" s="9"/>
      <c r="D361" s="11"/>
      <c r="E361" s="9"/>
      <c r="F361" s="1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9"/>
      <c r="B362" s="9"/>
      <c r="C362" s="9"/>
      <c r="D362" s="11"/>
      <c r="E362" s="9"/>
      <c r="F362" s="1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9"/>
      <c r="B363" s="9"/>
      <c r="C363" s="9"/>
      <c r="D363" s="11"/>
      <c r="E363" s="9"/>
      <c r="F363" s="1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9"/>
      <c r="B364" s="9"/>
      <c r="C364" s="9"/>
      <c r="D364" s="11"/>
      <c r="E364" s="9"/>
      <c r="F364" s="1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9"/>
      <c r="B365" s="9"/>
      <c r="C365" s="9"/>
      <c r="D365" s="11"/>
      <c r="E365" s="9"/>
      <c r="F365" s="1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9"/>
      <c r="B366" s="9"/>
      <c r="C366" s="9"/>
      <c r="D366" s="11"/>
      <c r="E366" s="9"/>
      <c r="F366" s="1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9"/>
      <c r="B367" s="9"/>
      <c r="C367" s="9"/>
      <c r="D367" s="11"/>
      <c r="E367" s="9"/>
      <c r="F367" s="1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9"/>
      <c r="B368" s="9"/>
      <c r="C368" s="9"/>
      <c r="D368" s="11"/>
      <c r="E368" s="9"/>
      <c r="F368" s="1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9"/>
      <c r="B369" s="9"/>
      <c r="C369" s="9"/>
      <c r="D369" s="11"/>
      <c r="E369" s="9"/>
      <c r="F369" s="1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9"/>
      <c r="B370" s="9"/>
      <c r="C370" s="9"/>
      <c r="D370" s="11"/>
      <c r="E370" s="9"/>
      <c r="F370" s="1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9"/>
      <c r="B371" s="9"/>
      <c r="C371" s="9"/>
      <c r="D371" s="11"/>
      <c r="E371" s="9"/>
      <c r="F371" s="1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9"/>
      <c r="B372" s="9"/>
      <c r="C372" s="9"/>
      <c r="D372" s="11"/>
      <c r="E372" s="9"/>
      <c r="F372" s="1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9"/>
      <c r="B373" s="9"/>
      <c r="C373" s="9"/>
      <c r="D373" s="11"/>
      <c r="E373" s="9"/>
      <c r="F373" s="1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9"/>
      <c r="B374" s="9"/>
      <c r="C374" s="9"/>
      <c r="D374" s="11"/>
      <c r="E374" s="9"/>
      <c r="F374" s="1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9"/>
      <c r="B375" s="9"/>
      <c r="C375" s="9"/>
      <c r="D375" s="11"/>
      <c r="E375" s="9"/>
      <c r="F375" s="1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9"/>
      <c r="B376" s="9"/>
      <c r="C376" s="9"/>
      <c r="D376" s="11"/>
      <c r="E376" s="9"/>
      <c r="F376" s="1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9"/>
      <c r="B377" s="9"/>
      <c r="C377" s="9"/>
      <c r="D377" s="11"/>
      <c r="E377" s="9"/>
      <c r="F377" s="1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9"/>
      <c r="B378" s="9"/>
      <c r="C378" s="9"/>
      <c r="D378" s="11"/>
      <c r="E378" s="9"/>
      <c r="F378" s="1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9"/>
      <c r="B379" s="9"/>
      <c r="C379" s="9"/>
      <c r="D379" s="11"/>
      <c r="E379" s="9"/>
      <c r="F379" s="1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9"/>
      <c r="B380" s="9"/>
      <c r="C380" s="9"/>
      <c r="D380" s="11"/>
      <c r="E380" s="9"/>
      <c r="F380" s="1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9"/>
      <c r="B381" s="9"/>
      <c r="C381" s="9"/>
      <c r="D381" s="11"/>
      <c r="E381" s="9"/>
      <c r="F381" s="1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9"/>
      <c r="B382" s="9"/>
      <c r="C382" s="9"/>
      <c r="D382" s="11"/>
      <c r="E382" s="9"/>
      <c r="F382" s="1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9"/>
      <c r="B383" s="9"/>
      <c r="C383" s="9"/>
      <c r="D383" s="11"/>
      <c r="E383" s="9"/>
      <c r="F383" s="1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9"/>
      <c r="B384" s="9"/>
      <c r="C384" s="9"/>
      <c r="D384" s="11"/>
      <c r="E384" s="9"/>
      <c r="F384" s="1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9"/>
      <c r="B385" s="9"/>
      <c r="C385" s="9"/>
      <c r="D385" s="11"/>
      <c r="E385" s="9"/>
      <c r="F385" s="1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9"/>
      <c r="B386" s="9"/>
      <c r="C386" s="9"/>
      <c r="D386" s="11"/>
      <c r="E386" s="9"/>
      <c r="F386" s="1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9"/>
      <c r="B387" s="9"/>
      <c r="C387" s="9"/>
      <c r="D387" s="11"/>
      <c r="E387" s="9"/>
      <c r="F387" s="1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9"/>
      <c r="B388" s="9"/>
      <c r="C388" s="9"/>
      <c r="D388" s="11"/>
      <c r="E388" s="9"/>
      <c r="F388" s="1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9"/>
      <c r="B389" s="9"/>
      <c r="C389" s="9"/>
      <c r="D389" s="11"/>
      <c r="E389" s="9"/>
      <c r="F389" s="1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9"/>
      <c r="B390" s="9"/>
      <c r="C390" s="9"/>
      <c r="D390" s="11"/>
      <c r="E390" s="9"/>
      <c r="F390" s="1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9"/>
      <c r="B391" s="9"/>
      <c r="C391" s="9"/>
      <c r="D391" s="11"/>
      <c r="E391" s="9"/>
      <c r="F391" s="1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9"/>
      <c r="B392" s="9"/>
      <c r="C392" s="9"/>
      <c r="D392" s="11"/>
      <c r="E392" s="9"/>
      <c r="F392" s="1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9"/>
      <c r="B393" s="9"/>
      <c r="C393" s="9"/>
      <c r="D393" s="11"/>
      <c r="E393" s="9"/>
      <c r="F393" s="1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9"/>
      <c r="B394" s="9"/>
      <c r="C394" s="9"/>
      <c r="D394" s="11"/>
      <c r="E394" s="9"/>
      <c r="F394" s="1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9"/>
      <c r="B395" s="9"/>
      <c r="C395" s="9"/>
      <c r="D395" s="11"/>
      <c r="E395" s="9"/>
      <c r="F395" s="1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9"/>
      <c r="B396" s="9"/>
      <c r="C396" s="9"/>
      <c r="D396" s="11"/>
      <c r="E396" s="9"/>
      <c r="F396" s="1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9"/>
      <c r="B397" s="9"/>
      <c r="C397" s="9"/>
      <c r="D397" s="11"/>
      <c r="E397" s="9"/>
      <c r="F397" s="1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9"/>
      <c r="B398" s="9"/>
      <c r="C398" s="9"/>
      <c r="D398" s="11"/>
      <c r="E398" s="9"/>
      <c r="F398" s="1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9"/>
      <c r="B399" s="9"/>
      <c r="C399" s="9"/>
      <c r="D399" s="11"/>
      <c r="E399" s="9"/>
      <c r="F399" s="1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9"/>
      <c r="B400" s="9"/>
      <c r="C400" s="9"/>
      <c r="D400" s="11"/>
      <c r="E400" s="9"/>
      <c r="F400" s="1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9"/>
      <c r="B401" s="9"/>
      <c r="C401" s="9"/>
      <c r="D401" s="11"/>
      <c r="E401" s="9"/>
      <c r="F401" s="1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9"/>
      <c r="B402" s="9"/>
      <c r="C402" s="9"/>
      <c r="D402" s="11"/>
      <c r="E402" s="9"/>
      <c r="F402" s="1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9"/>
      <c r="B403" s="9"/>
      <c r="C403" s="9"/>
      <c r="D403" s="11"/>
      <c r="E403" s="9"/>
      <c r="F403" s="1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9"/>
      <c r="B404" s="9"/>
      <c r="C404" s="9"/>
      <c r="D404" s="11"/>
      <c r="E404" s="9"/>
      <c r="F404" s="1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9"/>
      <c r="B405" s="9"/>
      <c r="C405" s="9"/>
      <c r="D405" s="11"/>
      <c r="E405" s="9"/>
      <c r="F405" s="1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9"/>
      <c r="B406" s="9"/>
      <c r="C406" s="9"/>
      <c r="D406" s="11"/>
      <c r="E406" s="9"/>
      <c r="F406" s="1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9"/>
      <c r="B407" s="9"/>
      <c r="C407" s="9"/>
      <c r="D407" s="11"/>
      <c r="E407" s="9"/>
      <c r="F407" s="1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9"/>
      <c r="B408" s="9"/>
      <c r="C408" s="9"/>
      <c r="D408" s="11"/>
      <c r="E408" s="9"/>
      <c r="F408" s="1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9"/>
      <c r="B409" s="9"/>
      <c r="C409" s="9"/>
      <c r="D409" s="11"/>
      <c r="E409" s="9"/>
      <c r="F409" s="1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9"/>
      <c r="B410" s="9"/>
      <c r="C410" s="9"/>
      <c r="D410" s="11"/>
      <c r="E410" s="9"/>
      <c r="F410" s="1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9"/>
      <c r="B411" s="9"/>
      <c r="C411" s="9"/>
      <c r="D411" s="11"/>
      <c r="E411" s="9"/>
      <c r="F411" s="1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9"/>
      <c r="B412" s="9"/>
      <c r="C412" s="9"/>
      <c r="D412" s="11"/>
      <c r="E412" s="9"/>
      <c r="F412" s="1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9"/>
      <c r="B413" s="9"/>
      <c r="C413" s="9"/>
      <c r="D413" s="11"/>
      <c r="E413" s="9"/>
      <c r="F413" s="1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9"/>
      <c r="B414" s="9"/>
      <c r="C414" s="9"/>
      <c r="D414" s="11"/>
      <c r="E414" s="9"/>
      <c r="F414" s="1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9"/>
      <c r="B415" s="9"/>
      <c r="C415" s="9"/>
      <c r="D415" s="11"/>
      <c r="E415" s="9"/>
      <c r="F415" s="1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9"/>
      <c r="B416" s="9"/>
      <c r="C416" s="9"/>
      <c r="D416" s="11"/>
      <c r="E416" s="9"/>
      <c r="F416" s="1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9"/>
      <c r="B417" s="9"/>
      <c r="C417" s="9"/>
      <c r="D417" s="11"/>
      <c r="E417" s="9"/>
      <c r="F417" s="1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9"/>
      <c r="B418" s="9"/>
      <c r="C418" s="9"/>
      <c r="D418" s="11"/>
      <c r="E418" s="9"/>
      <c r="F418" s="1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9"/>
      <c r="B419" s="9"/>
      <c r="C419" s="9"/>
      <c r="D419" s="11"/>
      <c r="E419" s="9"/>
      <c r="F419" s="1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9"/>
      <c r="B420" s="9"/>
      <c r="C420" s="9"/>
      <c r="D420" s="11"/>
      <c r="E420" s="9"/>
      <c r="F420" s="1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9"/>
      <c r="B421" s="9"/>
      <c r="C421" s="9"/>
      <c r="D421" s="11"/>
      <c r="E421" s="9"/>
      <c r="F421" s="1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9"/>
      <c r="B422" s="9"/>
      <c r="C422" s="9"/>
      <c r="D422" s="11"/>
      <c r="E422" s="9"/>
      <c r="F422" s="1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9"/>
      <c r="B423" s="9"/>
      <c r="C423" s="9"/>
      <c r="D423" s="11"/>
      <c r="E423" s="9"/>
      <c r="F423" s="1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9"/>
      <c r="B424" s="9"/>
      <c r="C424" s="9"/>
      <c r="D424" s="11"/>
      <c r="E424" s="9"/>
      <c r="F424" s="1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9"/>
      <c r="B425" s="9"/>
      <c r="C425" s="9"/>
      <c r="D425" s="11"/>
      <c r="E425" s="9"/>
      <c r="F425" s="1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9"/>
      <c r="B426" s="9"/>
      <c r="C426" s="9"/>
      <c r="D426" s="11"/>
      <c r="E426" s="9"/>
      <c r="F426" s="1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9"/>
      <c r="B427" s="9"/>
      <c r="C427" s="9"/>
      <c r="D427" s="11"/>
      <c r="E427" s="9"/>
      <c r="F427" s="1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9"/>
      <c r="B428" s="9"/>
      <c r="C428" s="9"/>
      <c r="D428" s="11"/>
      <c r="E428" s="9"/>
      <c r="F428" s="1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9"/>
      <c r="B429" s="9"/>
      <c r="C429" s="9"/>
      <c r="D429" s="11"/>
      <c r="E429" s="9"/>
      <c r="F429" s="1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9"/>
      <c r="B430" s="9"/>
      <c r="C430" s="9"/>
      <c r="D430" s="11"/>
      <c r="E430" s="9"/>
      <c r="F430" s="1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9"/>
      <c r="B431" s="9"/>
      <c r="C431" s="9"/>
      <c r="D431" s="11"/>
      <c r="E431" s="9"/>
      <c r="F431" s="1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9"/>
      <c r="B432" s="9"/>
      <c r="C432" s="9"/>
      <c r="D432" s="11"/>
      <c r="E432" s="9"/>
      <c r="F432" s="1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9"/>
      <c r="B433" s="9"/>
      <c r="C433" s="9"/>
      <c r="D433" s="11"/>
      <c r="E433" s="9"/>
      <c r="F433" s="1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9"/>
      <c r="B434" s="9"/>
      <c r="C434" s="9"/>
      <c r="D434" s="11"/>
      <c r="E434" s="9"/>
      <c r="F434" s="1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9"/>
      <c r="B435" s="9"/>
      <c r="C435" s="9"/>
      <c r="D435" s="11"/>
      <c r="E435" s="9"/>
      <c r="F435" s="1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9"/>
      <c r="B436" s="9"/>
      <c r="C436" s="9"/>
      <c r="D436" s="11"/>
      <c r="E436" s="9"/>
      <c r="F436" s="1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9"/>
      <c r="B437" s="9"/>
      <c r="C437" s="9"/>
      <c r="D437" s="11"/>
      <c r="E437" s="9"/>
      <c r="F437" s="1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9"/>
      <c r="B438" s="9"/>
      <c r="C438" s="9"/>
      <c r="D438" s="11"/>
      <c r="E438" s="9"/>
      <c r="F438" s="1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9"/>
      <c r="B439" s="9"/>
      <c r="C439" s="9"/>
      <c r="D439" s="11"/>
      <c r="E439" s="9"/>
      <c r="F439" s="1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9"/>
      <c r="B440" s="9"/>
      <c r="C440" s="9"/>
      <c r="D440" s="11"/>
      <c r="E440" s="9"/>
      <c r="F440" s="1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9"/>
      <c r="B441" s="9"/>
      <c r="C441" s="9"/>
      <c r="D441" s="11"/>
      <c r="E441" s="9"/>
      <c r="F441" s="1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9"/>
      <c r="B442" s="9"/>
      <c r="C442" s="9"/>
      <c r="D442" s="11"/>
      <c r="E442" s="9"/>
      <c r="F442" s="1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9"/>
      <c r="B443" s="9"/>
      <c r="C443" s="9"/>
      <c r="D443" s="11"/>
      <c r="E443" s="9"/>
      <c r="F443" s="1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9"/>
      <c r="B444" s="9"/>
      <c r="C444" s="9"/>
      <c r="D444" s="11"/>
      <c r="E444" s="9"/>
      <c r="F444" s="1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9"/>
      <c r="B445" s="9"/>
      <c r="C445" s="9"/>
      <c r="D445" s="11"/>
      <c r="E445" s="9"/>
      <c r="F445" s="1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9"/>
      <c r="B446" s="9"/>
      <c r="C446" s="9"/>
      <c r="D446" s="11"/>
      <c r="E446" s="9"/>
      <c r="F446" s="1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9"/>
      <c r="B447" s="9"/>
      <c r="C447" s="9"/>
      <c r="D447" s="11"/>
      <c r="E447" s="9"/>
      <c r="F447" s="1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9"/>
      <c r="B448" s="9"/>
      <c r="C448" s="9"/>
      <c r="D448" s="11"/>
      <c r="E448" s="9"/>
      <c r="F448" s="1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9"/>
      <c r="B449" s="9"/>
      <c r="C449" s="9"/>
      <c r="D449" s="11"/>
      <c r="E449" s="9"/>
      <c r="F449" s="1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9"/>
      <c r="B450" s="9"/>
      <c r="C450" s="9"/>
      <c r="D450" s="11"/>
      <c r="E450" s="9"/>
      <c r="F450" s="1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9"/>
      <c r="B451" s="9"/>
      <c r="C451" s="9"/>
      <c r="D451" s="11"/>
      <c r="E451" s="9"/>
      <c r="F451" s="1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9"/>
      <c r="B452" s="9"/>
      <c r="C452" s="9"/>
      <c r="D452" s="11"/>
      <c r="E452" s="9"/>
      <c r="F452" s="1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9"/>
      <c r="B453" s="9"/>
      <c r="C453" s="9"/>
      <c r="D453" s="11"/>
      <c r="E453" s="9"/>
      <c r="F453" s="1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9"/>
      <c r="B454" s="9"/>
      <c r="C454" s="9"/>
      <c r="D454" s="11"/>
      <c r="E454" s="9"/>
      <c r="F454" s="1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9"/>
      <c r="B455" s="9"/>
      <c r="C455" s="9"/>
      <c r="D455" s="11"/>
      <c r="E455" s="9"/>
      <c r="F455" s="1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9"/>
      <c r="B456" s="9"/>
      <c r="C456" s="9"/>
      <c r="D456" s="11"/>
      <c r="E456" s="9"/>
      <c r="F456" s="1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9"/>
      <c r="B457" s="9"/>
      <c r="C457" s="9"/>
      <c r="D457" s="11"/>
      <c r="E457" s="9"/>
      <c r="F457" s="1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9"/>
      <c r="B458" s="9"/>
      <c r="C458" s="9"/>
      <c r="D458" s="11"/>
      <c r="E458" s="9"/>
      <c r="F458" s="1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9"/>
      <c r="B459" s="9"/>
      <c r="C459" s="9"/>
      <c r="D459" s="11"/>
      <c r="E459" s="9"/>
      <c r="F459" s="1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9"/>
      <c r="B460" s="9"/>
      <c r="C460" s="9"/>
      <c r="D460" s="11"/>
      <c r="E460" s="9"/>
      <c r="F460" s="1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9"/>
      <c r="B461" s="9"/>
      <c r="C461" s="9"/>
      <c r="D461" s="11"/>
      <c r="E461" s="9"/>
      <c r="F461" s="1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9"/>
      <c r="B462" s="9"/>
      <c r="C462" s="9"/>
      <c r="D462" s="11"/>
      <c r="E462" s="9"/>
      <c r="F462" s="1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9"/>
      <c r="B463" s="9"/>
      <c r="C463" s="9"/>
      <c r="D463" s="11"/>
      <c r="E463" s="9"/>
      <c r="F463" s="1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9"/>
      <c r="B464" s="9"/>
      <c r="C464" s="9"/>
      <c r="D464" s="11"/>
      <c r="E464" s="9"/>
      <c r="F464" s="1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9"/>
      <c r="B465" s="9"/>
      <c r="C465" s="9"/>
      <c r="D465" s="11"/>
      <c r="E465" s="9"/>
      <c r="F465" s="1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9"/>
      <c r="B466" s="9"/>
      <c r="C466" s="9"/>
      <c r="D466" s="11"/>
      <c r="E466" s="9"/>
      <c r="F466" s="1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9"/>
      <c r="B467" s="9"/>
      <c r="C467" s="9"/>
      <c r="D467" s="11"/>
      <c r="E467" s="9"/>
      <c r="F467" s="1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9"/>
      <c r="B468" s="9"/>
      <c r="C468" s="9"/>
      <c r="D468" s="11"/>
      <c r="E468" s="9"/>
      <c r="F468" s="1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9"/>
      <c r="B469" s="9"/>
      <c r="C469" s="9"/>
      <c r="D469" s="11"/>
      <c r="E469" s="9"/>
      <c r="F469" s="1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9"/>
      <c r="B470" s="9"/>
      <c r="C470" s="9"/>
      <c r="D470" s="11"/>
      <c r="E470" s="9"/>
      <c r="F470" s="1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9"/>
      <c r="B471" s="9"/>
      <c r="C471" s="9"/>
      <c r="D471" s="11"/>
      <c r="E471" s="9"/>
      <c r="F471" s="1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9"/>
      <c r="B472" s="9"/>
      <c r="C472" s="9"/>
      <c r="D472" s="11"/>
      <c r="E472" s="9"/>
      <c r="F472" s="1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9"/>
      <c r="B473" s="9"/>
      <c r="C473" s="9"/>
      <c r="D473" s="11"/>
      <c r="E473" s="9"/>
      <c r="F473" s="1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9"/>
      <c r="B474" s="9"/>
      <c r="C474" s="9"/>
      <c r="D474" s="11"/>
      <c r="E474" s="9"/>
      <c r="F474" s="1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9"/>
      <c r="B475" s="9"/>
      <c r="C475" s="9"/>
      <c r="D475" s="11"/>
      <c r="E475" s="9"/>
      <c r="F475" s="1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9"/>
      <c r="B476" s="9"/>
      <c r="C476" s="9"/>
      <c r="D476" s="11"/>
      <c r="E476" s="9"/>
      <c r="F476" s="1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9"/>
      <c r="B477" s="9"/>
      <c r="C477" s="9"/>
      <c r="D477" s="11"/>
      <c r="E477" s="9"/>
      <c r="F477" s="1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9"/>
      <c r="B478" s="9"/>
      <c r="C478" s="9"/>
      <c r="D478" s="11"/>
      <c r="E478" s="9"/>
      <c r="F478" s="1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9"/>
      <c r="B479" s="9"/>
      <c r="C479" s="9"/>
      <c r="D479" s="11"/>
      <c r="E479" s="9"/>
      <c r="F479" s="1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9"/>
      <c r="B480" s="9"/>
      <c r="C480" s="9"/>
      <c r="D480" s="11"/>
      <c r="E480" s="9"/>
      <c r="F480" s="1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9"/>
      <c r="B481" s="9"/>
      <c r="C481" s="9"/>
      <c r="D481" s="11"/>
      <c r="E481" s="9"/>
      <c r="F481" s="1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9"/>
      <c r="B482" s="9"/>
      <c r="C482" s="9"/>
      <c r="D482" s="11"/>
      <c r="E482" s="9"/>
      <c r="F482" s="1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9"/>
      <c r="B483" s="9"/>
      <c r="C483" s="9"/>
      <c r="D483" s="11"/>
      <c r="E483" s="9"/>
      <c r="F483" s="1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9"/>
      <c r="B484" s="9"/>
      <c r="C484" s="9"/>
      <c r="D484" s="11"/>
      <c r="E484" s="9"/>
      <c r="F484" s="1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9"/>
      <c r="B485" s="9"/>
      <c r="C485" s="9"/>
      <c r="D485" s="11"/>
      <c r="E485" s="9"/>
      <c r="F485" s="1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9"/>
      <c r="B486" s="9"/>
      <c r="C486" s="9"/>
      <c r="D486" s="11"/>
      <c r="E486" s="9"/>
      <c r="F486" s="1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9"/>
      <c r="B487" s="9"/>
      <c r="C487" s="9"/>
      <c r="D487" s="11"/>
      <c r="E487" s="9"/>
      <c r="F487" s="1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9"/>
      <c r="B488" s="9"/>
      <c r="C488" s="9"/>
      <c r="D488" s="11"/>
      <c r="E488" s="9"/>
      <c r="F488" s="1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9"/>
      <c r="B489" s="9"/>
      <c r="C489" s="9"/>
      <c r="D489" s="11"/>
      <c r="E489" s="9"/>
      <c r="F489" s="1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9"/>
      <c r="B490" s="9"/>
      <c r="C490" s="9"/>
      <c r="D490" s="11"/>
      <c r="E490" s="9"/>
      <c r="F490" s="1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9"/>
      <c r="B491" s="9"/>
      <c r="C491" s="9"/>
      <c r="D491" s="11"/>
      <c r="E491" s="9"/>
      <c r="F491" s="1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9"/>
      <c r="B492" s="9"/>
      <c r="C492" s="9"/>
      <c r="D492" s="11"/>
      <c r="E492" s="9"/>
      <c r="F492" s="1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9"/>
      <c r="B493" s="9"/>
      <c r="C493" s="9"/>
      <c r="D493" s="11"/>
      <c r="E493" s="9"/>
      <c r="F493" s="1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9"/>
      <c r="B494" s="9"/>
      <c r="C494" s="9"/>
      <c r="D494" s="11"/>
      <c r="E494" s="9"/>
      <c r="F494" s="1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9"/>
      <c r="B495" s="9"/>
      <c r="C495" s="9"/>
      <c r="D495" s="11"/>
      <c r="E495" s="9"/>
      <c r="F495" s="1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9"/>
      <c r="B496" s="9"/>
      <c r="C496" s="9"/>
      <c r="D496" s="11"/>
      <c r="E496" s="9"/>
      <c r="F496" s="1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9"/>
      <c r="B497" s="9"/>
      <c r="C497" s="9"/>
      <c r="D497" s="11"/>
      <c r="E497" s="9"/>
      <c r="F497" s="1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9"/>
      <c r="B498" s="9"/>
      <c r="C498" s="9"/>
      <c r="D498" s="11"/>
      <c r="E498" s="9"/>
      <c r="F498" s="1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9"/>
      <c r="B499" s="9"/>
      <c r="C499" s="9"/>
      <c r="D499" s="11"/>
      <c r="E499" s="9"/>
      <c r="F499" s="1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9"/>
      <c r="B500" s="9"/>
      <c r="C500" s="9"/>
      <c r="D500" s="11"/>
      <c r="E500" s="9"/>
      <c r="F500" s="1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9"/>
      <c r="B501" s="9"/>
      <c r="C501" s="9"/>
      <c r="D501" s="11"/>
      <c r="E501" s="9"/>
      <c r="F501" s="1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9"/>
      <c r="B502" s="9"/>
      <c r="C502" s="9"/>
      <c r="D502" s="11"/>
      <c r="E502" s="9"/>
      <c r="F502" s="1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9"/>
      <c r="B503" s="9"/>
      <c r="C503" s="9"/>
      <c r="D503" s="11"/>
      <c r="E503" s="9"/>
      <c r="F503" s="1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9"/>
      <c r="B504" s="9"/>
      <c r="C504" s="9"/>
      <c r="D504" s="11"/>
      <c r="E504" s="9"/>
      <c r="F504" s="1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9"/>
      <c r="B505" s="9"/>
      <c r="C505" s="9"/>
      <c r="D505" s="11"/>
      <c r="E505" s="9"/>
      <c r="F505" s="1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9"/>
      <c r="B506" s="9"/>
      <c r="C506" s="9"/>
      <c r="D506" s="11"/>
      <c r="E506" s="9"/>
      <c r="F506" s="1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9"/>
      <c r="B507" s="9"/>
      <c r="C507" s="9"/>
      <c r="D507" s="11"/>
      <c r="E507" s="9"/>
      <c r="F507" s="1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9"/>
      <c r="B508" s="9"/>
      <c r="C508" s="9"/>
      <c r="D508" s="11"/>
      <c r="E508" s="9"/>
      <c r="F508" s="1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9"/>
      <c r="B509" s="9"/>
      <c r="C509" s="9"/>
      <c r="D509" s="11"/>
      <c r="E509" s="9"/>
      <c r="F509" s="1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9"/>
      <c r="B510" s="9"/>
      <c r="C510" s="9"/>
      <c r="D510" s="11"/>
      <c r="E510" s="9"/>
      <c r="F510" s="1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9"/>
      <c r="B511" s="9"/>
      <c r="C511" s="9"/>
      <c r="D511" s="11"/>
      <c r="E511" s="9"/>
      <c r="F511" s="1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9"/>
      <c r="B512" s="9"/>
      <c r="C512" s="9"/>
      <c r="D512" s="11"/>
      <c r="E512" s="9"/>
      <c r="F512" s="1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9"/>
      <c r="B513" s="9"/>
      <c r="C513" s="9"/>
      <c r="D513" s="11"/>
      <c r="E513" s="9"/>
      <c r="F513" s="1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9"/>
      <c r="B514" s="9"/>
      <c r="C514" s="9"/>
      <c r="D514" s="11"/>
      <c r="E514" s="9"/>
      <c r="F514" s="1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9"/>
      <c r="B515" s="9"/>
      <c r="C515" s="9"/>
      <c r="D515" s="11"/>
      <c r="E515" s="9"/>
      <c r="F515" s="1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9"/>
      <c r="B516" s="9"/>
      <c r="C516" s="9"/>
      <c r="D516" s="11"/>
      <c r="E516" s="9"/>
      <c r="F516" s="1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9"/>
      <c r="B517" s="9"/>
      <c r="C517" s="9"/>
      <c r="D517" s="11"/>
      <c r="E517" s="9"/>
      <c r="F517" s="1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9"/>
      <c r="B518" s="9"/>
      <c r="C518" s="9"/>
      <c r="D518" s="11"/>
      <c r="E518" s="9"/>
      <c r="F518" s="1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9"/>
      <c r="B519" s="9"/>
      <c r="C519" s="9"/>
      <c r="D519" s="11"/>
      <c r="E519" s="9"/>
      <c r="F519" s="1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9"/>
      <c r="B520" s="9"/>
      <c r="C520" s="9"/>
      <c r="D520" s="11"/>
      <c r="E520" s="9"/>
      <c r="F520" s="1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9"/>
      <c r="B521" s="9"/>
      <c r="C521" s="9"/>
      <c r="D521" s="11"/>
      <c r="E521" s="9"/>
      <c r="F521" s="1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9"/>
      <c r="B522" s="9"/>
      <c r="C522" s="9"/>
      <c r="D522" s="11"/>
      <c r="E522" s="9"/>
      <c r="F522" s="1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9"/>
      <c r="B523" s="9"/>
      <c r="C523" s="9"/>
      <c r="D523" s="11"/>
      <c r="E523" s="9"/>
      <c r="F523" s="1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9"/>
      <c r="B524" s="9"/>
      <c r="C524" s="9"/>
      <c r="D524" s="11"/>
      <c r="E524" s="9"/>
      <c r="F524" s="1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9"/>
      <c r="B525" s="9"/>
      <c r="C525" s="9"/>
      <c r="D525" s="11"/>
      <c r="E525" s="9"/>
      <c r="F525" s="1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9"/>
      <c r="B526" s="9"/>
      <c r="C526" s="9"/>
      <c r="D526" s="11"/>
      <c r="E526" s="9"/>
      <c r="F526" s="1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9"/>
      <c r="B527" s="9"/>
      <c r="C527" s="9"/>
      <c r="D527" s="11"/>
      <c r="E527" s="9"/>
      <c r="F527" s="1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9"/>
      <c r="B528" s="9"/>
      <c r="C528" s="9"/>
      <c r="D528" s="11"/>
      <c r="E528" s="9"/>
      <c r="F528" s="1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9"/>
      <c r="B529" s="9"/>
      <c r="C529" s="9"/>
      <c r="D529" s="11"/>
      <c r="E529" s="9"/>
      <c r="F529" s="1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9"/>
      <c r="B530" s="9"/>
      <c r="C530" s="9"/>
      <c r="D530" s="11"/>
      <c r="E530" s="9"/>
      <c r="F530" s="1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9"/>
      <c r="B531" s="9"/>
      <c r="C531" s="9"/>
      <c r="D531" s="11"/>
      <c r="E531" s="9"/>
      <c r="F531" s="1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9"/>
      <c r="B532" s="9"/>
      <c r="C532" s="9"/>
      <c r="D532" s="11"/>
      <c r="E532" s="9"/>
      <c r="F532" s="1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9"/>
      <c r="B533" s="9"/>
      <c r="C533" s="9"/>
      <c r="D533" s="11"/>
      <c r="E533" s="9"/>
      <c r="F533" s="1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9"/>
      <c r="B534" s="9"/>
      <c r="C534" s="9"/>
      <c r="D534" s="11"/>
      <c r="E534" s="9"/>
      <c r="F534" s="1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9"/>
      <c r="B535" s="9"/>
      <c r="C535" s="9"/>
      <c r="D535" s="11"/>
      <c r="E535" s="9"/>
      <c r="F535" s="1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9"/>
      <c r="B536" s="9"/>
      <c r="C536" s="9"/>
      <c r="D536" s="11"/>
      <c r="E536" s="9"/>
      <c r="F536" s="1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9"/>
      <c r="B537" s="9"/>
      <c r="C537" s="9"/>
      <c r="D537" s="11"/>
      <c r="E537" s="9"/>
      <c r="F537" s="1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9"/>
      <c r="B538" s="9"/>
      <c r="C538" s="9"/>
      <c r="D538" s="11"/>
      <c r="E538" s="9"/>
      <c r="F538" s="1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9"/>
      <c r="B539" s="9"/>
      <c r="C539" s="9"/>
      <c r="D539" s="11"/>
      <c r="E539" s="9"/>
      <c r="F539" s="1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9"/>
      <c r="B540" s="9"/>
      <c r="C540" s="9"/>
      <c r="D540" s="11"/>
      <c r="E540" s="9"/>
      <c r="F540" s="1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9"/>
      <c r="B541" s="9"/>
      <c r="C541" s="9"/>
      <c r="D541" s="11"/>
      <c r="E541" s="9"/>
      <c r="F541" s="1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9"/>
      <c r="B542" s="9"/>
      <c r="C542" s="9"/>
      <c r="D542" s="11"/>
      <c r="E542" s="9"/>
      <c r="F542" s="1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9"/>
      <c r="B543" s="9"/>
      <c r="C543" s="9"/>
      <c r="D543" s="11"/>
      <c r="E543" s="9"/>
      <c r="F543" s="1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9"/>
      <c r="B544" s="9"/>
      <c r="C544" s="9"/>
      <c r="D544" s="11"/>
      <c r="E544" s="9"/>
      <c r="F544" s="1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9"/>
      <c r="B545" s="9"/>
      <c r="C545" s="9"/>
      <c r="D545" s="11"/>
      <c r="E545" s="9"/>
      <c r="F545" s="1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9"/>
      <c r="B546" s="9"/>
      <c r="C546" s="9"/>
      <c r="D546" s="11"/>
      <c r="E546" s="9"/>
      <c r="F546" s="1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9"/>
      <c r="B547" s="9"/>
      <c r="C547" s="9"/>
      <c r="D547" s="11"/>
      <c r="E547" s="9"/>
      <c r="F547" s="1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9"/>
      <c r="B548" s="9"/>
      <c r="C548" s="9"/>
      <c r="D548" s="11"/>
      <c r="E548" s="9"/>
      <c r="F548" s="1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9"/>
      <c r="B549" s="9"/>
      <c r="C549" s="9"/>
      <c r="D549" s="11"/>
      <c r="E549" s="9"/>
      <c r="F549" s="1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9"/>
      <c r="B550" s="9"/>
      <c r="C550" s="9"/>
      <c r="D550" s="11"/>
      <c r="E550" s="9"/>
      <c r="F550" s="1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9"/>
      <c r="B551" s="9"/>
      <c r="C551" s="9"/>
      <c r="D551" s="11"/>
      <c r="E551" s="9"/>
      <c r="F551" s="1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9"/>
      <c r="B552" s="9"/>
      <c r="C552" s="9"/>
      <c r="D552" s="11"/>
      <c r="E552" s="9"/>
      <c r="F552" s="1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9"/>
      <c r="B553" s="9"/>
      <c r="C553" s="9"/>
      <c r="D553" s="11"/>
      <c r="E553" s="9"/>
      <c r="F553" s="1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9"/>
      <c r="B554" s="9"/>
      <c r="C554" s="9"/>
      <c r="D554" s="11"/>
      <c r="E554" s="9"/>
      <c r="F554" s="1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9"/>
      <c r="B555" s="9"/>
      <c r="C555" s="9"/>
      <c r="D555" s="11"/>
      <c r="E555" s="9"/>
      <c r="F555" s="1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9"/>
      <c r="B556" s="9"/>
      <c r="C556" s="9"/>
      <c r="D556" s="11"/>
      <c r="E556" s="9"/>
      <c r="F556" s="1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9"/>
      <c r="B557" s="9"/>
      <c r="C557" s="9"/>
      <c r="D557" s="11"/>
      <c r="E557" s="9"/>
      <c r="F557" s="1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9"/>
      <c r="B558" s="9"/>
      <c r="C558" s="9"/>
      <c r="D558" s="11"/>
      <c r="E558" s="9"/>
      <c r="F558" s="1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9"/>
      <c r="B559" s="9"/>
      <c r="C559" s="9"/>
      <c r="D559" s="11"/>
      <c r="E559" s="9"/>
      <c r="F559" s="1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9"/>
      <c r="B560" s="9"/>
      <c r="C560" s="9"/>
      <c r="D560" s="11"/>
      <c r="E560" s="9"/>
      <c r="F560" s="1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9"/>
      <c r="B561" s="9"/>
      <c r="C561" s="9"/>
      <c r="D561" s="11"/>
      <c r="E561" s="9"/>
      <c r="F561" s="1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9"/>
      <c r="B562" s="9"/>
      <c r="C562" s="9"/>
      <c r="D562" s="11"/>
      <c r="E562" s="9"/>
      <c r="F562" s="1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9"/>
      <c r="B563" s="9"/>
      <c r="C563" s="9"/>
      <c r="D563" s="11"/>
      <c r="E563" s="9"/>
      <c r="F563" s="1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9"/>
      <c r="B564" s="9"/>
      <c r="C564" s="9"/>
      <c r="D564" s="11"/>
      <c r="E564" s="9"/>
      <c r="F564" s="1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9"/>
      <c r="B565" s="9"/>
      <c r="C565" s="9"/>
      <c r="D565" s="11"/>
      <c r="E565" s="9"/>
      <c r="F565" s="1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9"/>
      <c r="B566" s="9"/>
      <c r="C566" s="9"/>
      <c r="D566" s="11"/>
      <c r="E566" s="9"/>
      <c r="F566" s="1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9"/>
      <c r="B567" s="9"/>
      <c r="C567" s="9"/>
      <c r="D567" s="11"/>
      <c r="E567" s="9"/>
      <c r="F567" s="1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9"/>
      <c r="B568" s="9"/>
      <c r="C568" s="9"/>
      <c r="D568" s="11"/>
      <c r="E568" s="9"/>
      <c r="F568" s="1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9"/>
      <c r="B569" s="9"/>
      <c r="C569" s="9"/>
      <c r="D569" s="11"/>
      <c r="E569" s="9"/>
      <c r="F569" s="1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9"/>
      <c r="B570" s="9"/>
      <c r="C570" s="9"/>
      <c r="D570" s="11"/>
      <c r="E570" s="9"/>
      <c r="F570" s="1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9"/>
      <c r="B571" s="9"/>
      <c r="C571" s="9"/>
      <c r="D571" s="11"/>
      <c r="E571" s="9"/>
      <c r="F571" s="1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9"/>
      <c r="B572" s="9"/>
      <c r="C572" s="9"/>
      <c r="D572" s="11"/>
      <c r="E572" s="9"/>
      <c r="F572" s="1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9"/>
      <c r="B573" s="9"/>
      <c r="C573" s="9"/>
      <c r="D573" s="11"/>
      <c r="E573" s="9"/>
      <c r="F573" s="1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9"/>
      <c r="B574" s="9"/>
      <c r="C574" s="9"/>
      <c r="D574" s="11"/>
      <c r="E574" s="9"/>
      <c r="F574" s="1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9"/>
      <c r="B575" s="9"/>
      <c r="C575" s="9"/>
      <c r="D575" s="11"/>
      <c r="E575" s="9"/>
      <c r="F575" s="1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9"/>
      <c r="B576" s="9"/>
      <c r="C576" s="9"/>
      <c r="D576" s="11"/>
      <c r="E576" s="9"/>
      <c r="F576" s="1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9"/>
      <c r="B577" s="9"/>
      <c r="C577" s="9"/>
      <c r="D577" s="11"/>
      <c r="E577" s="9"/>
      <c r="F577" s="1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9"/>
      <c r="B578" s="9"/>
      <c r="C578" s="9"/>
      <c r="D578" s="11"/>
      <c r="E578" s="9"/>
      <c r="F578" s="1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9"/>
      <c r="B579" s="9"/>
      <c r="C579" s="9"/>
      <c r="D579" s="11"/>
      <c r="E579" s="9"/>
      <c r="F579" s="1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9"/>
      <c r="B580" s="9"/>
      <c r="C580" s="9"/>
      <c r="D580" s="11"/>
      <c r="E580" s="9"/>
      <c r="F580" s="1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9"/>
      <c r="B581" s="9"/>
      <c r="C581" s="9"/>
      <c r="D581" s="11"/>
      <c r="E581" s="9"/>
      <c r="F581" s="1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9"/>
      <c r="B582" s="9"/>
      <c r="C582" s="9"/>
      <c r="D582" s="11"/>
      <c r="E582" s="9"/>
      <c r="F582" s="1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9"/>
      <c r="B583" s="9"/>
      <c r="C583" s="9"/>
      <c r="D583" s="11"/>
      <c r="E583" s="9"/>
      <c r="F583" s="1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9"/>
      <c r="B584" s="9"/>
      <c r="C584" s="9"/>
      <c r="D584" s="11"/>
      <c r="E584" s="9"/>
      <c r="F584" s="1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9"/>
      <c r="B585" s="9"/>
      <c r="C585" s="9"/>
      <c r="D585" s="11"/>
      <c r="E585" s="9"/>
      <c r="F585" s="1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9"/>
      <c r="B586" s="9"/>
      <c r="C586" s="9"/>
      <c r="D586" s="11"/>
      <c r="E586" s="9"/>
      <c r="F586" s="1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9"/>
      <c r="B587" s="9"/>
      <c r="C587" s="9"/>
      <c r="D587" s="11"/>
      <c r="E587" s="9"/>
      <c r="F587" s="1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9"/>
      <c r="B588" s="9"/>
      <c r="C588" s="9"/>
      <c r="D588" s="11"/>
      <c r="E588" s="9"/>
      <c r="F588" s="1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9"/>
      <c r="B589" s="9"/>
      <c r="C589" s="9"/>
      <c r="D589" s="11"/>
      <c r="E589" s="9"/>
      <c r="F589" s="1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9"/>
      <c r="B590" s="9"/>
      <c r="C590" s="9"/>
      <c r="D590" s="11"/>
      <c r="E590" s="9"/>
      <c r="F590" s="1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9"/>
      <c r="B591" s="9"/>
      <c r="C591" s="9"/>
      <c r="D591" s="11"/>
      <c r="E591" s="9"/>
      <c r="F591" s="1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9"/>
      <c r="B592" s="9"/>
      <c r="C592" s="9"/>
      <c r="D592" s="11"/>
      <c r="E592" s="9"/>
      <c r="F592" s="1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9"/>
      <c r="B593" s="9"/>
      <c r="C593" s="9"/>
      <c r="D593" s="11"/>
      <c r="E593" s="9"/>
      <c r="F593" s="1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9"/>
      <c r="B594" s="9"/>
      <c r="C594" s="9"/>
      <c r="D594" s="11"/>
      <c r="E594" s="9"/>
      <c r="F594" s="1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9"/>
      <c r="B595" s="9"/>
      <c r="C595" s="9"/>
      <c r="D595" s="11"/>
      <c r="E595" s="9"/>
      <c r="F595" s="1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9"/>
      <c r="B596" s="9"/>
      <c r="C596" s="9"/>
      <c r="D596" s="11"/>
      <c r="E596" s="9"/>
      <c r="F596" s="1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9"/>
      <c r="B597" s="9"/>
      <c r="C597" s="9"/>
      <c r="D597" s="11"/>
      <c r="E597" s="9"/>
      <c r="F597" s="1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9"/>
      <c r="B598" s="9"/>
      <c r="C598" s="9"/>
      <c r="D598" s="11"/>
      <c r="E598" s="9"/>
      <c r="F598" s="1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9"/>
      <c r="B599" s="9"/>
      <c r="C599" s="9"/>
      <c r="D599" s="11"/>
      <c r="E599" s="9"/>
      <c r="F599" s="1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9"/>
      <c r="B600" s="9"/>
      <c r="C600" s="9"/>
      <c r="D600" s="11"/>
      <c r="E600" s="9"/>
      <c r="F600" s="1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9"/>
      <c r="B601" s="9"/>
      <c r="C601" s="9"/>
      <c r="D601" s="11"/>
      <c r="E601" s="9"/>
      <c r="F601" s="1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9"/>
      <c r="B602" s="9"/>
      <c r="C602" s="9"/>
      <c r="D602" s="11"/>
      <c r="E602" s="9"/>
      <c r="F602" s="1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9"/>
      <c r="B603" s="9"/>
      <c r="C603" s="9"/>
      <c r="D603" s="11"/>
      <c r="E603" s="9"/>
      <c r="F603" s="1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9"/>
      <c r="B604" s="9"/>
      <c r="C604" s="9"/>
      <c r="D604" s="11"/>
      <c r="E604" s="9"/>
      <c r="F604" s="1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9"/>
      <c r="B605" s="9"/>
      <c r="C605" s="9"/>
      <c r="D605" s="11"/>
      <c r="E605" s="9"/>
      <c r="F605" s="1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9"/>
      <c r="B606" s="9"/>
      <c r="C606" s="9"/>
      <c r="D606" s="11"/>
      <c r="E606" s="9"/>
      <c r="F606" s="1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9"/>
      <c r="B607" s="9"/>
      <c r="C607" s="9"/>
      <c r="D607" s="11"/>
      <c r="E607" s="9"/>
      <c r="F607" s="1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9"/>
      <c r="B608" s="9"/>
      <c r="C608" s="9"/>
      <c r="D608" s="11"/>
      <c r="E608" s="9"/>
      <c r="F608" s="1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9"/>
      <c r="B609" s="9"/>
      <c r="C609" s="9"/>
      <c r="D609" s="11"/>
      <c r="E609" s="9"/>
      <c r="F609" s="1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9"/>
      <c r="B610" s="9"/>
      <c r="C610" s="9"/>
      <c r="D610" s="11"/>
      <c r="E610" s="9"/>
      <c r="F610" s="1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9"/>
      <c r="B611" s="9"/>
      <c r="C611" s="9"/>
      <c r="D611" s="11"/>
      <c r="E611" s="9"/>
      <c r="F611" s="1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9"/>
      <c r="B612" s="9"/>
      <c r="C612" s="9"/>
      <c r="D612" s="11"/>
      <c r="E612" s="9"/>
      <c r="F612" s="1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9"/>
      <c r="B613" s="9"/>
      <c r="C613" s="9"/>
      <c r="D613" s="11"/>
      <c r="E613" s="9"/>
      <c r="F613" s="1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9"/>
      <c r="B614" s="9"/>
      <c r="C614" s="9"/>
      <c r="D614" s="11"/>
      <c r="E614" s="9"/>
      <c r="F614" s="1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9"/>
      <c r="B615" s="9"/>
      <c r="C615" s="9"/>
      <c r="D615" s="11"/>
      <c r="E615" s="9"/>
      <c r="F615" s="1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9"/>
      <c r="B616" s="9"/>
      <c r="C616" s="9"/>
      <c r="D616" s="11"/>
      <c r="E616" s="9"/>
      <c r="F616" s="1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9"/>
      <c r="B617" s="9"/>
      <c r="C617" s="9"/>
      <c r="D617" s="11"/>
      <c r="E617" s="9"/>
      <c r="F617" s="1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9"/>
      <c r="B618" s="9"/>
      <c r="C618" s="9"/>
      <c r="D618" s="11"/>
      <c r="E618" s="9"/>
      <c r="F618" s="1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9"/>
      <c r="B619" s="9"/>
      <c r="C619" s="9"/>
      <c r="D619" s="11"/>
      <c r="E619" s="9"/>
      <c r="F619" s="1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9"/>
      <c r="B620" s="9"/>
      <c r="C620" s="9"/>
      <c r="D620" s="11"/>
      <c r="E620" s="9"/>
      <c r="F620" s="1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9"/>
      <c r="B621" s="9"/>
      <c r="C621" s="9"/>
      <c r="D621" s="11"/>
      <c r="E621" s="9"/>
      <c r="F621" s="1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9"/>
      <c r="B622" s="9"/>
      <c r="C622" s="9"/>
      <c r="D622" s="11"/>
      <c r="E622" s="9"/>
      <c r="F622" s="1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9"/>
      <c r="B623" s="9"/>
      <c r="C623" s="9"/>
      <c r="D623" s="11"/>
      <c r="E623" s="9"/>
      <c r="F623" s="1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9"/>
      <c r="B624" s="9"/>
      <c r="C624" s="9"/>
      <c r="D624" s="11"/>
      <c r="E624" s="9"/>
      <c r="F624" s="1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9"/>
      <c r="B625" s="9"/>
      <c r="C625" s="9"/>
      <c r="D625" s="11"/>
      <c r="E625" s="9"/>
      <c r="F625" s="1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9"/>
      <c r="B626" s="9"/>
      <c r="C626" s="9"/>
      <c r="D626" s="11"/>
      <c r="E626" s="9"/>
      <c r="F626" s="1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9"/>
      <c r="B627" s="9"/>
      <c r="C627" s="9"/>
      <c r="D627" s="11"/>
      <c r="E627" s="9"/>
      <c r="F627" s="1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9"/>
      <c r="B628" s="9"/>
      <c r="C628" s="9"/>
      <c r="D628" s="11"/>
      <c r="E628" s="9"/>
      <c r="F628" s="1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9"/>
      <c r="B629" s="9"/>
      <c r="C629" s="9"/>
      <c r="D629" s="11"/>
      <c r="E629" s="9"/>
      <c r="F629" s="1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9"/>
      <c r="B630" s="9"/>
      <c r="C630" s="9"/>
      <c r="D630" s="11"/>
      <c r="E630" s="9"/>
      <c r="F630" s="1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9"/>
      <c r="B631" s="9"/>
      <c r="C631" s="9"/>
      <c r="D631" s="11"/>
      <c r="E631" s="9"/>
      <c r="F631" s="1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9"/>
      <c r="B632" s="9"/>
      <c r="C632" s="9"/>
      <c r="D632" s="11"/>
      <c r="E632" s="9"/>
      <c r="F632" s="1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9"/>
      <c r="B633" s="9"/>
      <c r="C633" s="9"/>
      <c r="D633" s="11"/>
      <c r="E633" s="9"/>
      <c r="F633" s="1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9"/>
      <c r="B634" s="9"/>
      <c r="C634" s="9"/>
      <c r="D634" s="11"/>
      <c r="E634" s="9"/>
      <c r="F634" s="1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9"/>
      <c r="B635" s="9"/>
      <c r="C635" s="9"/>
      <c r="D635" s="11"/>
      <c r="E635" s="9"/>
      <c r="F635" s="1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9"/>
      <c r="B636" s="9"/>
      <c r="C636" s="9"/>
      <c r="D636" s="11"/>
      <c r="E636" s="9"/>
      <c r="F636" s="1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9"/>
      <c r="B637" s="9"/>
      <c r="C637" s="9"/>
      <c r="D637" s="11"/>
      <c r="E637" s="9"/>
      <c r="F637" s="1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9"/>
      <c r="B638" s="9"/>
      <c r="C638" s="9"/>
      <c r="D638" s="11"/>
      <c r="E638" s="9"/>
      <c r="F638" s="1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9"/>
      <c r="B639" s="9"/>
      <c r="C639" s="9"/>
      <c r="D639" s="11"/>
      <c r="E639" s="9"/>
      <c r="F639" s="1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9"/>
      <c r="B640" s="9"/>
      <c r="C640" s="9"/>
      <c r="D640" s="11"/>
      <c r="E640" s="9"/>
      <c r="F640" s="1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9"/>
      <c r="B641" s="9"/>
      <c r="C641" s="9"/>
      <c r="D641" s="11"/>
      <c r="E641" s="9"/>
      <c r="F641" s="1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9"/>
      <c r="B642" s="9"/>
      <c r="C642" s="9"/>
      <c r="D642" s="11"/>
      <c r="E642" s="9"/>
      <c r="F642" s="1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9"/>
      <c r="B643" s="9"/>
      <c r="C643" s="9"/>
      <c r="D643" s="11"/>
      <c r="E643" s="9"/>
      <c r="F643" s="1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9"/>
      <c r="B644" s="9"/>
      <c r="C644" s="9"/>
      <c r="D644" s="11"/>
      <c r="E644" s="9"/>
      <c r="F644" s="1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9"/>
      <c r="B645" s="9"/>
      <c r="C645" s="9"/>
      <c r="D645" s="11"/>
      <c r="E645" s="9"/>
      <c r="F645" s="1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9"/>
      <c r="B646" s="9"/>
      <c r="C646" s="9"/>
      <c r="D646" s="11"/>
      <c r="E646" s="9"/>
      <c r="F646" s="1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9"/>
      <c r="B647" s="9"/>
      <c r="C647" s="9"/>
      <c r="D647" s="11"/>
      <c r="E647" s="9"/>
      <c r="F647" s="1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9"/>
      <c r="B648" s="9"/>
      <c r="C648" s="9"/>
      <c r="D648" s="11"/>
      <c r="E648" s="9"/>
      <c r="F648" s="1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9"/>
      <c r="B649" s="9"/>
      <c r="C649" s="9"/>
      <c r="D649" s="11"/>
      <c r="E649" s="9"/>
      <c r="F649" s="1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9"/>
      <c r="B650" s="9"/>
      <c r="C650" s="9"/>
      <c r="D650" s="11"/>
      <c r="E650" s="9"/>
      <c r="F650" s="1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9"/>
      <c r="B651" s="9"/>
      <c r="C651" s="9"/>
      <c r="D651" s="11"/>
      <c r="E651" s="9"/>
      <c r="F651" s="1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9"/>
      <c r="B652" s="9"/>
      <c r="C652" s="9"/>
      <c r="D652" s="11"/>
      <c r="E652" s="9"/>
      <c r="F652" s="1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9"/>
      <c r="B653" s="9"/>
      <c r="C653" s="9"/>
      <c r="D653" s="11"/>
      <c r="E653" s="9"/>
      <c r="F653" s="1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9"/>
      <c r="B654" s="9"/>
      <c r="C654" s="9"/>
      <c r="D654" s="11"/>
      <c r="E654" s="9"/>
      <c r="F654" s="1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9"/>
      <c r="B655" s="9"/>
      <c r="C655" s="9"/>
      <c r="D655" s="11"/>
      <c r="E655" s="9"/>
      <c r="F655" s="1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9"/>
      <c r="B656" s="9"/>
      <c r="C656" s="9"/>
      <c r="D656" s="11"/>
      <c r="E656" s="9"/>
      <c r="F656" s="1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9"/>
      <c r="B657" s="9"/>
      <c r="C657" s="9"/>
      <c r="D657" s="11"/>
      <c r="E657" s="9"/>
      <c r="F657" s="1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9"/>
      <c r="B658" s="9"/>
      <c r="C658" s="9"/>
      <c r="D658" s="11"/>
      <c r="E658" s="9"/>
      <c r="F658" s="1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9"/>
      <c r="B659" s="9"/>
      <c r="C659" s="9"/>
      <c r="D659" s="11"/>
      <c r="E659" s="9"/>
      <c r="F659" s="1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9"/>
      <c r="B660" s="9"/>
      <c r="C660" s="9"/>
      <c r="D660" s="11"/>
      <c r="E660" s="9"/>
      <c r="F660" s="1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9"/>
      <c r="B661" s="9"/>
      <c r="C661" s="9"/>
      <c r="D661" s="11"/>
      <c r="E661" s="9"/>
      <c r="F661" s="1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9"/>
      <c r="B662" s="9"/>
      <c r="C662" s="9"/>
      <c r="D662" s="11"/>
      <c r="E662" s="9"/>
      <c r="F662" s="1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9"/>
      <c r="B663" s="9"/>
      <c r="C663" s="9"/>
      <c r="D663" s="11"/>
      <c r="E663" s="9"/>
      <c r="F663" s="1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9"/>
      <c r="B664" s="9"/>
      <c r="C664" s="9"/>
      <c r="D664" s="11"/>
      <c r="E664" s="9"/>
      <c r="F664" s="1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9"/>
      <c r="B665" s="9"/>
      <c r="C665" s="9"/>
      <c r="D665" s="11"/>
      <c r="E665" s="9"/>
      <c r="F665" s="1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9"/>
      <c r="B666" s="9"/>
      <c r="C666" s="9"/>
      <c r="D666" s="11"/>
      <c r="E666" s="9"/>
      <c r="F666" s="1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9"/>
      <c r="B667" s="9"/>
      <c r="C667" s="9"/>
      <c r="D667" s="11"/>
      <c r="E667" s="9"/>
      <c r="F667" s="1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9"/>
      <c r="B668" s="9"/>
      <c r="C668" s="9"/>
      <c r="D668" s="11"/>
      <c r="E668" s="9"/>
      <c r="F668" s="1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9"/>
      <c r="B669" s="9"/>
      <c r="C669" s="9"/>
      <c r="D669" s="11"/>
      <c r="E669" s="9"/>
      <c r="F669" s="1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9"/>
      <c r="B670" s="9"/>
      <c r="C670" s="9"/>
      <c r="D670" s="11"/>
      <c r="E670" s="9"/>
      <c r="F670" s="1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9"/>
      <c r="B671" s="9"/>
      <c r="C671" s="9"/>
      <c r="D671" s="11"/>
      <c r="E671" s="9"/>
      <c r="F671" s="1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9"/>
      <c r="B672" s="9"/>
      <c r="C672" s="9"/>
      <c r="D672" s="11"/>
      <c r="E672" s="9"/>
      <c r="F672" s="1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9"/>
      <c r="B673" s="9"/>
      <c r="C673" s="9"/>
      <c r="D673" s="11"/>
      <c r="E673" s="9"/>
      <c r="F673" s="1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9"/>
      <c r="B674" s="9"/>
      <c r="C674" s="9"/>
      <c r="D674" s="11"/>
      <c r="E674" s="9"/>
      <c r="F674" s="1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9"/>
      <c r="B675" s="9"/>
      <c r="C675" s="9"/>
      <c r="D675" s="11"/>
      <c r="E675" s="9"/>
      <c r="F675" s="1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9"/>
      <c r="B676" s="9"/>
      <c r="C676" s="9"/>
      <c r="D676" s="11"/>
      <c r="E676" s="9"/>
      <c r="F676" s="1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9"/>
      <c r="B677" s="9"/>
      <c r="C677" s="9"/>
      <c r="D677" s="11"/>
      <c r="E677" s="9"/>
      <c r="F677" s="1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9"/>
      <c r="B678" s="9"/>
      <c r="C678" s="9"/>
      <c r="D678" s="11"/>
      <c r="E678" s="9"/>
      <c r="F678" s="1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9"/>
      <c r="B679" s="9"/>
      <c r="C679" s="9"/>
      <c r="D679" s="11"/>
      <c r="E679" s="9"/>
      <c r="F679" s="1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9"/>
      <c r="B680" s="9"/>
      <c r="C680" s="9"/>
      <c r="D680" s="11"/>
      <c r="E680" s="9"/>
      <c r="F680" s="1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9"/>
      <c r="B681" s="9"/>
      <c r="C681" s="9"/>
      <c r="D681" s="11"/>
      <c r="E681" s="9"/>
      <c r="F681" s="1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9"/>
      <c r="B682" s="9"/>
      <c r="C682" s="9"/>
      <c r="D682" s="11"/>
      <c r="E682" s="9"/>
      <c r="F682" s="1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9"/>
      <c r="B683" s="9"/>
      <c r="C683" s="9"/>
      <c r="D683" s="11"/>
      <c r="E683" s="9"/>
      <c r="F683" s="1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9"/>
      <c r="B684" s="9"/>
      <c r="C684" s="9"/>
      <c r="D684" s="11"/>
      <c r="E684" s="9"/>
      <c r="F684" s="1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9"/>
      <c r="B685" s="9"/>
      <c r="C685" s="9"/>
      <c r="D685" s="11"/>
      <c r="E685" s="9"/>
      <c r="F685" s="1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9"/>
      <c r="B686" s="9"/>
      <c r="C686" s="9"/>
      <c r="D686" s="11"/>
      <c r="E686" s="9"/>
      <c r="F686" s="1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9"/>
      <c r="B687" s="9"/>
      <c r="C687" s="9"/>
      <c r="D687" s="11"/>
      <c r="E687" s="9"/>
      <c r="F687" s="1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9"/>
      <c r="B688" s="9"/>
      <c r="C688" s="9"/>
      <c r="D688" s="11"/>
      <c r="E688" s="9"/>
      <c r="F688" s="1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9"/>
      <c r="B689" s="9"/>
      <c r="C689" s="9"/>
      <c r="D689" s="11"/>
      <c r="E689" s="9"/>
      <c r="F689" s="1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9"/>
      <c r="B690" s="9"/>
      <c r="C690" s="9"/>
      <c r="D690" s="11"/>
      <c r="E690" s="9"/>
      <c r="F690" s="1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9"/>
      <c r="B691" s="9"/>
      <c r="C691" s="9"/>
      <c r="D691" s="11"/>
      <c r="E691" s="9"/>
      <c r="F691" s="1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9"/>
      <c r="B692" s="9"/>
      <c r="C692" s="9"/>
      <c r="D692" s="11"/>
      <c r="E692" s="9"/>
      <c r="F692" s="1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9"/>
      <c r="B693" s="9"/>
      <c r="C693" s="9"/>
      <c r="D693" s="11"/>
      <c r="E693" s="9"/>
      <c r="F693" s="1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9"/>
      <c r="B694" s="9"/>
      <c r="C694" s="9"/>
      <c r="D694" s="11"/>
      <c r="E694" s="9"/>
      <c r="F694" s="1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9"/>
      <c r="B695" s="9"/>
      <c r="C695" s="9"/>
      <c r="D695" s="11"/>
      <c r="E695" s="9"/>
      <c r="F695" s="1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9"/>
      <c r="B696" s="9"/>
      <c r="C696" s="9"/>
      <c r="D696" s="11"/>
      <c r="E696" s="9"/>
      <c r="F696" s="1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9"/>
      <c r="B697" s="9"/>
      <c r="C697" s="9"/>
      <c r="D697" s="11"/>
      <c r="E697" s="9"/>
      <c r="F697" s="1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9"/>
      <c r="B698" s="9"/>
      <c r="C698" s="9"/>
      <c r="D698" s="11"/>
      <c r="E698" s="9"/>
      <c r="F698" s="1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9"/>
      <c r="B699" s="9"/>
      <c r="C699" s="9"/>
      <c r="D699" s="11"/>
      <c r="E699" s="9"/>
      <c r="F699" s="1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9"/>
      <c r="B700" s="9"/>
      <c r="C700" s="9"/>
      <c r="D700" s="11"/>
      <c r="E700" s="9"/>
      <c r="F700" s="1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9"/>
      <c r="B701" s="9"/>
      <c r="C701" s="9"/>
      <c r="D701" s="11"/>
      <c r="E701" s="9"/>
      <c r="F701" s="1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9"/>
      <c r="B702" s="9"/>
      <c r="C702" s="9"/>
      <c r="D702" s="11"/>
      <c r="E702" s="9"/>
      <c r="F702" s="1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9"/>
      <c r="B703" s="9"/>
      <c r="C703" s="9"/>
      <c r="D703" s="11"/>
      <c r="E703" s="9"/>
      <c r="F703" s="1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9"/>
      <c r="B704" s="9"/>
      <c r="C704" s="9"/>
      <c r="D704" s="11"/>
      <c r="E704" s="9"/>
      <c r="F704" s="1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9"/>
      <c r="B705" s="9"/>
      <c r="C705" s="9"/>
      <c r="D705" s="11"/>
      <c r="E705" s="9"/>
      <c r="F705" s="1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9"/>
      <c r="B706" s="9"/>
      <c r="C706" s="9"/>
      <c r="D706" s="11"/>
      <c r="E706" s="9"/>
      <c r="F706" s="1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9"/>
      <c r="B707" s="9"/>
      <c r="C707" s="9"/>
      <c r="D707" s="11"/>
      <c r="E707" s="9"/>
      <c r="F707" s="1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9"/>
      <c r="B708" s="9"/>
      <c r="C708" s="9"/>
      <c r="D708" s="11"/>
      <c r="E708" s="9"/>
      <c r="F708" s="1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9"/>
      <c r="B709" s="9"/>
      <c r="C709" s="9"/>
      <c r="D709" s="11"/>
      <c r="E709" s="9"/>
      <c r="F709" s="1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9"/>
      <c r="B710" s="9"/>
      <c r="C710" s="9"/>
      <c r="D710" s="11"/>
      <c r="E710" s="9"/>
      <c r="F710" s="1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9"/>
      <c r="B711" s="9"/>
      <c r="C711" s="9"/>
      <c r="D711" s="11"/>
      <c r="E711" s="9"/>
      <c r="F711" s="1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9"/>
      <c r="B712" s="9"/>
      <c r="C712" s="9"/>
      <c r="D712" s="11"/>
      <c r="E712" s="9"/>
      <c r="F712" s="1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9"/>
      <c r="B713" s="9"/>
      <c r="C713" s="9"/>
      <c r="D713" s="11"/>
      <c r="E713" s="9"/>
      <c r="F713" s="1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9"/>
      <c r="B714" s="9"/>
      <c r="C714" s="9"/>
      <c r="D714" s="11"/>
      <c r="E714" s="9"/>
      <c r="F714" s="1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9"/>
      <c r="B715" s="9"/>
      <c r="C715" s="9"/>
      <c r="D715" s="11"/>
      <c r="E715" s="9"/>
      <c r="F715" s="1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9"/>
      <c r="B716" s="9"/>
      <c r="C716" s="9"/>
      <c r="D716" s="11"/>
      <c r="E716" s="9"/>
      <c r="F716" s="1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9"/>
      <c r="B717" s="9"/>
      <c r="C717" s="9"/>
      <c r="D717" s="11"/>
      <c r="E717" s="9"/>
      <c r="F717" s="1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9"/>
      <c r="B718" s="9"/>
      <c r="C718" s="9"/>
      <c r="D718" s="11"/>
      <c r="E718" s="9"/>
      <c r="F718" s="1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9"/>
      <c r="B719" s="9"/>
      <c r="C719" s="9"/>
      <c r="D719" s="11"/>
      <c r="E719" s="9"/>
      <c r="F719" s="1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9"/>
      <c r="B720" s="9"/>
      <c r="C720" s="9"/>
      <c r="D720" s="11"/>
      <c r="E720" s="9"/>
      <c r="F720" s="1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9"/>
      <c r="B721" s="9"/>
      <c r="C721" s="9"/>
      <c r="D721" s="11"/>
      <c r="E721" s="9"/>
      <c r="F721" s="1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9"/>
      <c r="B722" s="9"/>
      <c r="C722" s="9"/>
      <c r="D722" s="11"/>
      <c r="E722" s="9"/>
      <c r="F722" s="1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9"/>
      <c r="B723" s="9"/>
      <c r="C723" s="9"/>
      <c r="D723" s="11"/>
      <c r="E723" s="9"/>
      <c r="F723" s="1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9"/>
      <c r="B724" s="9"/>
      <c r="C724" s="9"/>
      <c r="D724" s="11"/>
      <c r="E724" s="9"/>
      <c r="F724" s="1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9"/>
      <c r="B725" s="9"/>
      <c r="C725" s="9"/>
      <c r="D725" s="11"/>
      <c r="E725" s="9"/>
      <c r="F725" s="1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9"/>
      <c r="B726" s="9"/>
      <c r="C726" s="9"/>
      <c r="D726" s="11"/>
      <c r="E726" s="9"/>
      <c r="F726" s="1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9"/>
      <c r="B727" s="9"/>
      <c r="C727" s="9"/>
      <c r="D727" s="11"/>
      <c r="E727" s="9"/>
      <c r="F727" s="1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9"/>
      <c r="B728" s="9"/>
      <c r="C728" s="9"/>
      <c r="D728" s="11"/>
      <c r="E728" s="9"/>
      <c r="F728" s="1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9"/>
      <c r="B729" s="9"/>
      <c r="C729" s="9"/>
      <c r="D729" s="11"/>
      <c r="E729" s="9"/>
      <c r="F729" s="1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9"/>
      <c r="B730" s="9"/>
      <c r="C730" s="9"/>
      <c r="D730" s="11"/>
      <c r="E730" s="9"/>
      <c r="F730" s="1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9"/>
      <c r="B731" s="9"/>
      <c r="C731" s="9"/>
      <c r="D731" s="11"/>
      <c r="E731" s="9"/>
      <c r="F731" s="1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9"/>
      <c r="B732" s="9"/>
      <c r="C732" s="9"/>
      <c r="D732" s="11"/>
      <c r="E732" s="9"/>
      <c r="F732" s="1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9"/>
      <c r="B733" s="9"/>
      <c r="C733" s="9"/>
      <c r="D733" s="11"/>
      <c r="E733" s="9"/>
      <c r="F733" s="1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9"/>
      <c r="B734" s="9"/>
      <c r="C734" s="9"/>
      <c r="D734" s="11"/>
      <c r="E734" s="9"/>
      <c r="F734" s="1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9"/>
      <c r="B735" s="9"/>
      <c r="C735" s="9"/>
      <c r="D735" s="11"/>
      <c r="E735" s="9"/>
      <c r="F735" s="1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9"/>
      <c r="B736" s="9"/>
      <c r="C736" s="9"/>
      <c r="D736" s="11"/>
      <c r="E736" s="9"/>
      <c r="F736" s="1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9"/>
      <c r="B737" s="9"/>
      <c r="C737" s="9"/>
      <c r="D737" s="11"/>
      <c r="E737" s="9"/>
      <c r="F737" s="1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9"/>
      <c r="B738" s="9"/>
      <c r="C738" s="9"/>
      <c r="D738" s="11"/>
      <c r="E738" s="9"/>
      <c r="F738" s="1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9"/>
      <c r="B739" s="9"/>
      <c r="C739" s="9"/>
      <c r="D739" s="11"/>
      <c r="E739" s="9"/>
      <c r="F739" s="1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9"/>
      <c r="B740" s="9"/>
      <c r="C740" s="9"/>
      <c r="D740" s="11"/>
      <c r="E740" s="9"/>
      <c r="F740" s="1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9"/>
      <c r="B741" s="9"/>
      <c r="C741" s="9"/>
      <c r="D741" s="11"/>
      <c r="E741" s="9"/>
      <c r="F741" s="1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9"/>
      <c r="B742" s="9"/>
      <c r="C742" s="9"/>
      <c r="D742" s="11"/>
      <c r="E742" s="9"/>
      <c r="F742" s="1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9"/>
      <c r="B743" s="9"/>
      <c r="C743" s="9"/>
      <c r="D743" s="11"/>
      <c r="E743" s="9"/>
      <c r="F743" s="1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9"/>
      <c r="B744" s="9"/>
      <c r="C744" s="9"/>
      <c r="D744" s="11"/>
      <c r="E744" s="9"/>
      <c r="F744" s="1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9"/>
      <c r="B745" s="9"/>
      <c r="C745" s="9"/>
      <c r="D745" s="11"/>
      <c r="E745" s="9"/>
      <c r="F745" s="1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9"/>
      <c r="B746" s="9"/>
      <c r="C746" s="9"/>
      <c r="D746" s="11"/>
      <c r="E746" s="9"/>
      <c r="F746" s="1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9"/>
      <c r="B747" s="9"/>
      <c r="C747" s="9"/>
      <c r="D747" s="11"/>
      <c r="E747" s="9"/>
      <c r="F747" s="1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9"/>
      <c r="B748" s="9"/>
      <c r="C748" s="9"/>
      <c r="D748" s="11"/>
      <c r="E748" s="9"/>
      <c r="F748" s="1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9"/>
      <c r="B749" s="9"/>
      <c r="C749" s="9"/>
      <c r="D749" s="11"/>
      <c r="E749" s="9"/>
      <c r="F749" s="1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9"/>
      <c r="B750" s="9"/>
      <c r="C750" s="9"/>
      <c r="D750" s="11"/>
      <c r="E750" s="9"/>
      <c r="F750" s="1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9"/>
      <c r="B751" s="9"/>
      <c r="C751" s="9"/>
      <c r="D751" s="11"/>
      <c r="E751" s="9"/>
      <c r="F751" s="1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9"/>
      <c r="B752" s="9"/>
      <c r="C752" s="9"/>
      <c r="D752" s="11"/>
      <c r="E752" s="9"/>
      <c r="F752" s="1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9"/>
      <c r="B753" s="9"/>
      <c r="C753" s="9"/>
      <c r="D753" s="11"/>
      <c r="E753" s="9"/>
      <c r="F753" s="1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9"/>
      <c r="B754" s="9"/>
      <c r="C754" s="9"/>
      <c r="D754" s="11"/>
      <c r="E754" s="9"/>
      <c r="F754" s="1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9"/>
      <c r="B755" s="9"/>
      <c r="C755" s="9"/>
      <c r="D755" s="11"/>
      <c r="E755" s="9"/>
      <c r="F755" s="1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9"/>
      <c r="B756" s="9"/>
      <c r="C756" s="9"/>
      <c r="D756" s="11"/>
      <c r="E756" s="9"/>
      <c r="F756" s="1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9"/>
      <c r="B757" s="9"/>
      <c r="C757" s="9"/>
      <c r="D757" s="11"/>
      <c r="E757" s="9"/>
      <c r="F757" s="1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9"/>
      <c r="B758" s="9"/>
      <c r="C758" s="9"/>
      <c r="D758" s="11"/>
      <c r="E758" s="9"/>
      <c r="F758" s="1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9"/>
      <c r="B759" s="9"/>
      <c r="C759" s="9"/>
      <c r="D759" s="11"/>
      <c r="E759" s="9"/>
      <c r="F759" s="1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9"/>
      <c r="B760" s="9"/>
      <c r="C760" s="9"/>
      <c r="D760" s="11"/>
      <c r="E760" s="9"/>
      <c r="F760" s="1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9"/>
      <c r="B761" s="9"/>
      <c r="C761" s="9"/>
      <c r="D761" s="11"/>
      <c r="E761" s="9"/>
      <c r="F761" s="1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9"/>
      <c r="B762" s="9"/>
      <c r="C762" s="9"/>
      <c r="D762" s="11"/>
      <c r="E762" s="9"/>
      <c r="F762" s="1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9"/>
      <c r="B763" s="9"/>
      <c r="C763" s="9"/>
      <c r="D763" s="11"/>
      <c r="E763" s="9"/>
      <c r="F763" s="1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9"/>
      <c r="B764" s="9"/>
      <c r="C764" s="9"/>
      <c r="D764" s="11"/>
      <c r="E764" s="9"/>
      <c r="F764" s="1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9"/>
      <c r="B765" s="9"/>
      <c r="C765" s="9"/>
      <c r="D765" s="11"/>
      <c r="E765" s="9"/>
      <c r="F765" s="1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9"/>
      <c r="B766" s="9"/>
      <c r="C766" s="9"/>
      <c r="D766" s="11"/>
      <c r="E766" s="9"/>
      <c r="F766" s="1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9"/>
      <c r="B767" s="9"/>
      <c r="C767" s="9"/>
      <c r="D767" s="11"/>
      <c r="E767" s="9"/>
      <c r="F767" s="1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9"/>
      <c r="B768" s="9"/>
      <c r="C768" s="9"/>
      <c r="D768" s="11"/>
      <c r="E768" s="9"/>
      <c r="F768" s="1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9"/>
      <c r="B769" s="9"/>
      <c r="C769" s="9"/>
      <c r="D769" s="11"/>
      <c r="E769" s="9"/>
      <c r="F769" s="1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9"/>
      <c r="B770" s="9"/>
      <c r="C770" s="9"/>
      <c r="D770" s="11"/>
      <c r="E770" s="9"/>
      <c r="F770" s="1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9"/>
      <c r="B771" s="9"/>
      <c r="C771" s="9"/>
      <c r="D771" s="11"/>
      <c r="E771" s="9"/>
      <c r="F771" s="1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9"/>
      <c r="B772" s="9"/>
      <c r="C772" s="9"/>
      <c r="D772" s="11"/>
      <c r="E772" s="9"/>
      <c r="F772" s="1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9"/>
      <c r="B773" s="9"/>
      <c r="C773" s="9"/>
      <c r="D773" s="11"/>
      <c r="E773" s="9"/>
      <c r="F773" s="1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9"/>
      <c r="B774" s="9"/>
      <c r="C774" s="9"/>
      <c r="D774" s="11"/>
      <c r="E774" s="9"/>
      <c r="F774" s="1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9"/>
      <c r="B775" s="9"/>
      <c r="C775" s="9"/>
      <c r="D775" s="11"/>
      <c r="E775" s="9"/>
      <c r="F775" s="1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9"/>
      <c r="B776" s="9"/>
      <c r="C776" s="9"/>
      <c r="D776" s="11"/>
      <c r="E776" s="9"/>
      <c r="F776" s="1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9"/>
      <c r="B777" s="9"/>
      <c r="C777" s="9"/>
      <c r="D777" s="11"/>
      <c r="E777" s="9"/>
      <c r="F777" s="1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9"/>
      <c r="B778" s="9"/>
      <c r="C778" s="9"/>
      <c r="D778" s="11"/>
      <c r="E778" s="9"/>
      <c r="F778" s="1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9"/>
      <c r="B779" s="9"/>
      <c r="C779" s="9"/>
      <c r="D779" s="11"/>
      <c r="E779" s="9"/>
      <c r="F779" s="1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9"/>
      <c r="B780" s="9"/>
      <c r="C780" s="9"/>
      <c r="D780" s="11"/>
      <c r="E780" s="9"/>
      <c r="F780" s="1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9"/>
      <c r="B781" s="9"/>
      <c r="C781" s="9"/>
      <c r="D781" s="11"/>
      <c r="E781" s="9"/>
      <c r="F781" s="1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9"/>
      <c r="B782" s="9"/>
      <c r="C782" s="9"/>
      <c r="D782" s="11"/>
      <c r="E782" s="9"/>
      <c r="F782" s="1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9"/>
      <c r="B783" s="9"/>
      <c r="C783" s="9"/>
      <c r="D783" s="11"/>
      <c r="E783" s="9"/>
      <c r="F783" s="1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9"/>
      <c r="B784" s="9"/>
      <c r="C784" s="9"/>
      <c r="D784" s="11"/>
      <c r="E784" s="9"/>
      <c r="F784" s="1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9"/>
      <c r="B785" s="9"/>
      <c r="C785" s="9"/>
      <c r="D785" s="11"/>
      <c r="E785" s="9"/>
      <c r="F785" s="1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9"/>
      <c r="B786" s="9"/>
      <c r="C786" s="9"/>
      <c r="D786" s="11"/>
      <c r="E786" s="9"/>
      <c r="F786" s="1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9"/>
      <c r="B787" s="9"/>
      <c r="C787" s="9"/>
      <c r="D787" s="11"/>
      <c r="E787" s="9"/>
      <c r="F787" s="1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9"/>
      <c r="B788" s="9"/>
      <c r="C788" s="9"/>
      <c r="D788" s="11"/>
      <c r="E788" s="9"/>
      <c r="F788" s="1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9"/>
      <c r="B789" s="9"/>
      <c r="C789" s="9"/>
      <c r="D789" s="11"/>
      <c r="E789" s="9"/>
      <c r="F789" s="1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9"/>
      <c r="B790" s="9"/>
      <c r="C790" s="9"/>
      <c r="D790" s="11"/>
      <c r="E790" s="9"/>
      <c r="F790" s="1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9"/>
      <c r="B791" s="9"/>
      <c r="C791" s="9"/>
      <c r="D791" s="11"/>
      <c r="E791" s="9"/>
      <c r="F791" s="1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9"/>
      <c r="B792" s="9"/>
      <c r="C792" s="9"/>
      <c r="D792" s="11"/>
      <c r="E792" s="9"/>
      <c r="F792" s="1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9"/>
      <c r="B793" s="9"/>
      <c r="C793" s="9"/>
      <c r="D793" s="11"/>
      <c r="E793" s="9"/>
      <c r="F793" s="1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9"/>
      <c r="B794" s="9"/>
      <c r="C794" s="9"/>
      <c r="D794" s="11"/>
      <c r="E794" s="9"/>
      <c r="F794" s="1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9"/>
      <c r="B795" s="9"/>
      <c r="C795" s="9"/>
      <c r="D795" s="11"/>
      <c r="E795" s="9"/>
      <c r="F795" s="1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9"/>
      <c r="B796" s="9"/>
      <c r="C796" s="9"/>
      <c r="D796" s="11"/>
      <c r="E796" s="9"/>
      <c r="F796" s="1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9"/>
      <c r="B797" s="9"/>
      <c r="C797" s="9"/>
      <c r="D797" s="11"/>
      <c r="E797" s="9"/>
      <c r="F797" s="1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9"/>
      <c r="B798" s="9"/>
      <c r="C798" s="9"/>
      <c r="D798" s="11"/>
      <c r="E798" s="9"/>
      <c r="F798" s="1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9"/>
      <c r="B799" s="9"/>
      <c r="C799" s="9"/>
      <c r="D799" s="11"/>
      <c r="E799" s="9"/>
      <c r="F799" s="1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9"/>
      <c r="B800" s="9"/>
      <c r="C800" s="9"/>
      <c r="D800" s="11"/>
      <c r="E800" s="9"/>
      <c r="F800" s="1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9"/>
      <c r="B801" s="9"/>
      <c r="C801" s="9"/>
      <c r="D801" s="11"/>
      <c r="E801" s="9"/>
      <c r="F801" s="1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9"/>
      <c r="B802" s="9"/>
      <c r="C802" s="9"/>
      <c r="D802" s="11"/>
      <c r="E802" s="9"/>
      <c r="F802" s="1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9"/>
      <c r="B803" s="9"/>
      <c r="C803" s="9"/>
      <c r="D803" s="11"/>
      <c r="E803" s="9"/>
      <c r="F803" s="1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9"/>
      <c r="B804" s="9"/>
      <c r="C804" s="9"/>
      <c r="D804" s="11"/>
      <c r="E804" s="9"/>
      <c r="F804" s="1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9"/>
      <c r="B805" s="9"/>
      <c r="C805" s="9"/>
      <c r="D805" s="11"/>
      <c r="E805" s="9"/>
      <c r="F805" s="1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9"/>
      <c r="B806" s="9"/>
      <c r="C806" s="9"/>
      <c r="D806" s="11"/>
      <c r="E806" s="9"/>
      <c r="F806" s="1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9"/>
      <c r="B807" s="9"/>
      <c r="C807" s="9"/>
      <c r="D807" s="11"/>
      <c r="E807" s="9"/>
      <c r="F807" s="1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9"/>
      <c r="B808" s="9"/>
      <c r="C808" s="9"/>
      <c r="D808" s="11"/>
      <c r="E808" s="9"/>
      <c r="F808" s="1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9"/>
      <c r="B809" s="9"/>
      <c r="C809" s="9"/>
      <c r="D809" s="11"/>
      <c r="E809" s="9"/>
      <c r="F809" s="1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9"/>
      <c r="B810" s="9"/>
      <c r="C810" s="9"/>
      <c r="D810" s="11"/>
      <c r="E810" s="9"/>
      <c r="F810" s="1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9"/>
      <c r="B811" s="9"/>
      <c r="C811" s="9"/>
      <c r="D811" s="11"/>
      <c r="E811" s="9"/>
      <c r="F811" s="1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9"/>
      <c r="B812" s="9"/>
      <c r="C812" s="9"/>
      <c r="D812" s="11"/>
      <c r="E812" s="9"/>
      <c r="F812" s="1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9"/>
      <c r="B813" s="9"/>
      <c r="C813" s="9"/>
      <c r="D813" s="11"/>
      <c r="E813" s="9"/>
      <c r="F813" s="1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9"/>
      <c r="B814" s="9"/>
      <c r="C814" s="9"/>
      <c r="D814" s="11"/>
      <c r="E814" s="9"/>
      <c r="F814" s="1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9"/>
      <c r="B815" s="9"/>
      <c r="C815" s="9"/>
      <c r="D815" s="11"/>
      <c r="E815" s="9"/>
      <c r="F815" s="1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9"/>
      <c r="B816" s="9"/>
      <c r="C816" s="9"/>
      <c r="D816" s="11"/>
      <c r="E816" s="9"/>
      <c r="F816" s="1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9"/>
      <c r="B817" s="9"/>
      <c r="C817" s="9"/>
      <c r="D817" s="11"/>
      <c r="E817" s="9"/>
      <c r="F817" s="1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9"/>
      <c r="B818" s="9"/>
      <c r="C818" s="9"/>
      <c r="D818" s="11"/>
      <c r="E818" s="9"/>
      <c r="F818" s="1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9"/>
      <c r="B819" s="9"/>
      <c r="C819" s="9"/>
      <c r="D819" s="11"/>
      <c r="E819" s="9"/>
      <c r="F819" s="1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9"/>
      <c r="B820" s="9"/>
      <c r="C820" s="9"/>
      <c r="D820" s="11"/>
      <c r="E820" s="9"/>
      <c r="F820" s="1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9"/>
      <c r="B821" s="9"/>
      <c r="C821" s="9"/>
      <c r="D821" s="11"/>
      <c r="E821" s="9"/>
      <c r="F821" s="1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9"/>
      <c r="B822" s="9"/>
      <c r="C822" s="9"/>
      <c r="D822" s="11"/>
      <c r="E822" s="9"/>
      <c r="F822" s="1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9"/>
      <c r="B823" s="9"/>
      <c r="C823" s="9"/>
      <c r="D823" s="11"/>
      <c r="E823" s="9"/>
      <c r="F823" s="1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9"/>
      <c r="B824" s="9"/>
      <c r="C824" s="9"/>
      <c r="D824" s="11"/>
      <c r="E824" s="9"/>
      <c r="F824" s="1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9"/>
      <c r="B825" s="9"/>
      <c r="C825" s="9"/>
      <c r="D825" s="11"/>
      <c r="E825" s="9"/>
      <c r="F825" s="1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9"/>
      <c r="B826" s="9"/>
      <c r="C826" s="9"/>
      <c r="D826" s="11"/>
      <c r="E826" s="9"/>
      <c r="F826" s="1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9"/>
      <c r="B827" s="9"/>
      <c r="C827" s="9"/>
      <c r="D827" s="11"/>
      <c r="E827" s="9"/>
      <c r="F827" s="1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9"/>
      <c r="B828" s="9"/>
      <c r="C828" s="9"/>
      <c r="D828" s="11"/>
      <c r="E828" s="9"/>
      <c r="F828" s="1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9"/>
      <c r="B829" s="9"/>
      <c r="C829" s="9"/>
      <c r="D829" s="11"/>
      <c r="E829" s="9"/>
      <c r="F829" s="1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9"/>
      <c r="B830" s="9"/>
      <c r="C830" s="9"/>
      <c r="D830" s="11"/>
      <c r="E830" s="9"/>
      <c r="F830" s="1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9"/>
      <c r="B831" s="9"/>
      <c r="C831" s="9"/>
      <c r="D831" s="11"/>
      <c r="E831" s="9"/>
      <c r="F831" s="1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9"/>
      <c r="B832" s="9"/>
      <c r="C832" s="9"/>
      <c r="D832" s="11"/>
      <c r="E832" s="9"/>
      <c r="F832" s="1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9"/>
      <c r="B833" s="9"/>
      <c r="C833" s="9"/>
      <c r="D833" s="11"/>
      <c r="E833" s="9"/>
      <c r="F833" s="1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9"/>
      <c r="B834" s="9"/>
      <c r="C834" s="9"/>
      <c r="D834" s="11"/>
      <c r="E834" s="9"/>
      <c r="F834" s="1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9"/>
      <c r="B835" s="9"/>
      <c r="C835" s="9"/>
      <c r="D835" s="11"/>
      <c r="E835" s="9"/>
      <c r="F835" s="1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9"/>
      <c r="B836" s="9"/>
      <c r="C836" s="9"/>
      <c r="D836" s="11"/>
      <c r="E836" s="9"/>
      <c r="F836" s="1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9"/>
      <c r="B837" s="9"/>
      <c r="C837" s="9"/>
      <c r="D837" s="11"/>
      <c r="E837" s="9"/>
      <c r="F837" s="1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9"/>
      <c r="B838" s="9"/>
      <c r="C838" s="9"/>
      <c r="D838" s="11"/>
      <c r="E838" s="9"/>
      <c r="F838" s="1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9"/>
      <c r="B839" s="9"/>
      <c r="C839" s="9"/>
      <c r="D839" s="11"/>
      <c r="E839" s="9"/>
      <c r="F839" s="1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9"/>
      <c r="B840" s="9"/>
      <c r="C840" s="9"/>
      <c r="D840" s="11"/>
      <c r="E840" s="9"/>
      <c r="F840" s="1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9"/>
      <c r="B841" s="9"/>
      <c r="C841" s="9"/>
      <c r="D841" s="11"/>
      <c r="E841" s="9"/>
      <c r="F841" s="1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9"/>
      <c r="B842" s="9"/>
      <c r="C842" s="9"/>
      <c r="D842" s="11"/>
      <c r="E842" s="9"/>
      <c r="F842" s="1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9"/>
      <c r="B843" s="9"/>
      <c r="C843" s="9"/>
      <c r="D843" s="11"/>
      <c r="E843" s="9"/>
      <c r="F843" s="1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9"/>
      <c r="B844" s="9"/>
      <c r="C844" s="9"/>
      <c r="D844" s="11"/>
      <c r="E844" s="9"/>
      <c r="F844" s="1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9"/>
      <c r="B845" s="9"/>
      <c r="C845" s="9"/>
      <c r="D845" s="11"/>
      <c r="E845" s="9"/>
      <c r="F845" s="1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9"/>
      <c r="B846" s="9"/>
      <c r="C846" s="9"/>
      <c r="D846" s="11"/>
      <c r="E846" s="9"/>
      <c r="F846" s="1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9"/>
      <c r="B847" s="9"/>
      <c r="C847" s="9"/>
      <c r="D847" s="11"/>
      <c r="E847" s="9"/>
      <c r="F847" s="1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9"/>
      <c r="B848" s="9"/>
      <c r="C848" s="9"/>
      <c r="D848" s="11"/>
      <c r="E848" s="9"/>
      <c r="F848" s="1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9"/>
      <c r="B849" s="9"/>
      <c r="C849" s="9"/>
      <c r="D849" s="11"/>
      <c r="E849" s="9"/>
      <c r="F849" s="1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9"/>
      <c r="B850" s="9"/>
      <c r="C850" s="9"/>
      <c r="D850" s="11"/>
      <c r="E850" s="9"/>
      <c r="F850" s="1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9"/>
      <c r="B851" s="9"/>
      <c r="C851" s="9"/>
      <c r="D851" s="11"/>
      <c r="E851" s="9"/>
      <c r="F851" s="1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9"/>
      <c r="B852" s="9"/>
      <c r="C852" s="9"/>
      <c r="D852" s="11"/>
      <c r="E852" s="9"/>
      <c r="F852" s="1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9"/>
      <c r="B853" s="9"/>
      <c r="C853" s="9"/>
      <c r="D853" s="11"/>
      <c r="E853" s="9"/>
      <c r="F853" s="1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9"/>
      <c r="B854" s="9"/>
      <c r="C854" s="9"/>
      <c r="D854" s="11"/>
      <c r="E854" s="9"/>
      <c r="F854" s="1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9"/>
      <c r="B855" s="9"/>
      <c r="C855" s="9"/>
      <c r="D855" s="11"/>
      <c r="E855" s="9"/>
      <c r="F855" s="1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9"/>
      <c r="B856" s="9"/>
      <c r="C856" s="9"/>
      <c r="D856" s="11"/>
      <c r="E856" s="9"/>
      <c r="F856" s="1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9"/>
      <c r="B857" s="9"/>
      <c r="C857" s="9"/>
      <c r="D857" s="11"/>
      <c r="E857" s="9"/>
      <c r="F857" s="1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9"/>
      <c r="B858" s="9"/>
      <c r="C858" s="9"/>
      <c r="D858" s="11"/>
      <c r="E858" s="9"/>
      <c r="F858" s="1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9"/>
      <c r="B859" s="9"/>
      <c r="C859" s="9"/>
      <c r="D859" s="11"/>
      <c r="E859" s="9"/>
      <c r="F859" s="1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9"/>
      <c r="B860" s="9"/>
      <c r="C860" s="9"/>
      <c r="D860" s="11"/>
      <c r="E860" s="9"/>
      <c r="F860" s="1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9"/>
      <c r="B861" s="9"/>
      <c r="C861" s="9"/>
      <c r="D861" s="11"/>
      <c r="E861" s="9"/>
      <c r="F861" s="1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9"/>
      <c r="B862" s="9"/>
      <c r="C862" s="9"/>
      <c r="D862" s="11"/>
      <c r="E862" s="9"/>
      <c r="F862" s="1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9"/>
      <c r="B863" s="9"/>
      <c r="C863" s="9"/>
      <c r="D863" s="11"/>
      <c r="E863" s="9"/>
      <c r="F863" s="1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9"/>
      <c r="B864" s="9"/>
      <c r="C864" s="9"/>
      <c r="D864" s="11"/>
      <c r="E864" s="9"/>
      <c r="F864" s="1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9"/>
      <c r="B865" s="9"/>
      <c r="C865" s="9"/>
      <c r="D865" s="11"/>
      <c r="E865" s="9"/>
      <c r="F865" s="1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9"/>
      <c r="B866" s="9"/>
      <c r="C866" s="9"/>
      <c r="D866" s="11"/>
      <c r="E866" s="9"/>
      <c r="F866" s="1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9"/>
      <c r="B867" s="9"/>
      <c r="C867" s="9"/>
      <c r="D867" s="11"/>
      <c r="E867" s="9"/>
      <c r="F867" s="1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9"/>
      <c r="B868" s="9"/>
      <c r="C868" s="9"/>
      <c r="D868" s="11"/>
      <c r="E868" s="9"/>
      <c r="F868" s="1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9"/>
      <c r="B869" s="9"/>
      <c r="C869" s="9"/>
      <c r="D869" s="11"/>
      <c r="E869" s="9"/>
      <c r="F869" s="1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9"/>
      <c r="B870" s="9"/>
      <c r="C870" s="9"/>
      <c r="D870" s="11"/>
      <c r="E870" s="9"/>
      <c r="F870" s="1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9"/>
      <c r="B871" s="9"/>
      <c r="C871" s="9"/>
      <c r="D871" s="11"/>
      <c r="E871" s="9"/>
      <c r="F871" s="1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9"/>
      <c r="B872" s="9"/>
      <c r="C872" s="9"/>
      <c r="D872" s="11"/>
      <c r="E872" s="9"/>
      <c r="F872" s="1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9"/>
      <c r="B873" s="9"/>
      <c r="C873" s="9"/>
      <c r="D873" s="11"/>
      <c r="E873" s="9"/>
      <c r="F873" s="1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9"/>
      <c r="B874" s="9"/>
      <c r="C874" s="9"/>
      <c r="D874" s="11"/>
      <c r="E874" s="9"/>
      <c r="F874" s="1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9"/>
      <c r="B875" s="9"/>
      <c r="C875" s="9"/>
      <c r="D875" s="11"/>
      <c r="E875" s="9"/>
      <c r="F875" s="1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9"/>
      <c r="B876" s="9"/>
      <c r="C876" s="9"/>
      <c r="D876" s="11"/>
      <c r="E876" s="9"/>
      <c r="F876" s="1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9"/>
      <c r="B877" s="9"/>
      <c r="C877" s="9"/>
      <c r="D877" s="11"/>
      <c r="E877" s="9"/>
      <c r="F877" s="1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9"/>
      <c r="B878" s="9"/>
      <c r="C878" s="9"/>
      <c r="D878" s="11"/>
      <c r="E878" s="9"/>
      <c r="F878" s="1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9"/>
      <c r="B879" s="9"/>
      <c r="C879" s="9"/>
      <c r="D879" s="11"/>
      <c r="E879" s="9"/>
      <c r="F879" s="1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9"/>
      <c r="B880" s="9"/>
      <c r="C880" s="9"/>
      <c r="D880" s="11"/>
      <c r="E880" s="9"/>
      <c r="F880" s="1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9"/>
      <c r="B881" s="9"/>
      <c r="C881" s="9"/>
      <c r="D881" s="11"/>
      <c r="E881" s="9"/>
      <c r="F881" s="1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9"/>
      <c r="B882" s="9"/>
      <c r="C882" s="9"/>
      <c r="D882" s="11"/>
      <c r="E882" s="9"/>
      <c r="F882" s="1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9"/>
      <c r="B883" s="9"/>
      <c r="C883" s="9"/>
      <c r="D883" s="11"/>
      <c r="E883" s="9"/>
      <c r="F883" s="1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9"/>
      <c r="B884" s="9"/>
      <c r="C884" s="9"/>
      <c r="D884" s="11"/>
      <c r="E884" s="9"/>
      <c r="F884" s="1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9"/>
      <c r="B885" s="9"/>
      <c r="C885" s="9"/>
      <c r="D885" s="11"/>
      <c r="E885" s="9"/>
      <c r="F885" s="1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9"/>
      <c r="B886" s="9"/>
      <c r="C886" s="9"/>
      <c r="D886" s="11"/>
      <c r="E886" s="9"/>
      <c r="F886" s="1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9"/>
      <c r="B887" s="9"/>
      <c r="C887" s="9"/>
      <c r="D887" s="11"/>
      <c r="E887" s="9"/>
      <c r="F887" s="1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9"/>
      <c r="B888" s="9"/>
      <c r="C888" s="9"/>
      <c r="D888" s="11"/>
      <c r="E888" s="9"/>
      <c r="F888" s="1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9"/>
      <c r="B889" s="9"/>
      <c r="C889" s="9"/>
      <c r="D889" s="11"/>
      <c r="E889" s="9"/>
      <c r="F889" s="1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9"/>
      <c r="B890" s="9"/>
      <c r="C890" s="9"/>
      <c r="D890" s="11"/>
      <c r="E890" s="9"/>
      <c r="F890" s="1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9"/>
      <c r="B891" s="9"/>
      <c r="C891" s="9"/>
      <c r="D891" s="11"/>
      <c r="E891" s="9"/>
      <c r="F891" s="1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9"/>
      <c r="B892" s="9"/>
      <c r="C892" s="9"/>
      <c r="D892" s="11"/>
      <c r="E892" s="9"/>
      <c r="F892" s="1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9"/>
      <c r="B893" s="9"/>
      <c r="C893" s="9"/>
      <c r="D893" s="11"/>
      <c r="E893" s="9"/>
      <c r="F893" s="1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9"/>
      <c r="B894" s="9"/>
      <c r="C894" s="9"/>
      <c r="D894" s="11"/>
      <c r="E894" s="9"/>
      <c r="F894" s="1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9"/>
      <c r="B895" s="9"/>
      <c r="C895" s="9"/>
      <c r="D895" s="11"/>
      <c r="E895" s="9"/>
      <c r="F895" s="1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9"/>
      <c r="B896" s="9"/>
      <c r="C896" s="9"/>
      <c r="D896" s="11"/>
      <c r="E896" s="9"/>
      <c r="F896" s="1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9"/>
      <c r="B897" s="9"/>
      <c r="C897" s="9"/>
      <c r="D897" s="11"/>
      <c r="E897" s="9"/>
      <c r="F897" s="1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9"/>
      <c r="B898" s="9"/>
      <c r="C898" s="9"/>
      <c r="D898" s="11"/>
      <c r="E898" s="9"/>
      <c r="F898" s="1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9"/>
      <c r="B899" s="9"/>
      <c r="C899" s="9"/>
      <c r="D899" s="11"/>
      <c r="E899" s="9"/>
      <c r="F899" s="1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9"/>
      <c r="B900" s="9"/>
      <c r="C900" s="9"/>
      <c r="D900" s="11"/>
      <c r="E900" s="9"/>
      <c r="F900" s="1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9"/>
      <c r="B901" s="9"/>
      <c r="C901" s="9"/>
      <c r="D901" s="11"/>
      <c r="E901" s="9"/>
      <c r="F901" s="1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9"/>
      <c r="B902" s="9"/>
      <c r="C902" s="9"/>
      <c r="D902" s="11"/>
      <c r="E902" s="9"/>
      <c r="F902" s="1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9"/>
      <c r="B903" s="9"/>
      <c r="C903" s="9"/>
      <c r="D903" s="11"/>
      <c r="E903" s="9"/>
      <c r="F903" s="1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9"/>
      <c r="B904" s="9"/>
      <c r="C904" s="9"/>
      <c r="D904" s="11"/>
      <c r="E904" s="9"/>
      <c r="F904" s="1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9"/>
      <c r="B905" s="9"/>
      <c r="C905" s="9"/>
      <c r="D905" s="11"/>
      <c r="E905" s="9"/>
      <c r="F905" s="1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9"/>
      <c r="B906" s="9"/>
      <c r="C906" s="9"/>
      <c r="D906" s="11"/>
      <c r="E906" s="9"/>
      <c r="F906" s="1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9"/>
      <c r="B907" s="9"/>
      <c r="C907" s="9"/>
      <c r="D907" s="11"/>
      <c r="E907" s="9"/>
      <c r="F907" s="1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9"/>
      <c r="B908" s="9"/>
      <c r="C908" s="9"/>
      <c r="D908" s="11"/>
      <c r="E908" s="9"/>
      <c r="F908" s="1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9"/>
      <c r="B909" s="9"/>
      <c r="C909" s="9"/>
      <c r="D909" s="11"/>
      <c r="E909" s="9"/>
      <c r="F909" s="1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9"/>
      <c r="B910" s="9"/>
      <c r="C910" s="9"/>
      <c r="D910" s="11"/>
      <c r="E910" s="9"/>
      <c r="F910" s="1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9"/>
      <c r="B911" s="9"/>
      <c r="C911" s="9"/>
      <c r="D911" s="11"/>
      <c r="E911" s="9"/>
      <c r="F911" s="1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9"/>
      <c r="B912" s="9"/>
      <c r="C912" s="9"/>
      <c r="D912" s="11"/>
      <c r="E912" s="9"/>
      <c r="F912" s="1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9"/>
      <c r="B913" s="9"/>
      <c r="C913" s="9"/>
      <c r="D913" s="11"/>
      <c r="E913" s="9"/>
      <c r="F913" s="1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9"/>
      <c r="B914" s="9"/>
      <c r="C914" s="9"/>
      <c r="D914" s="11"/>
      <c r="E914" s="9"/>
      <c r="F914" s="1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9"/>
      <c r="B915" s="9"/>
      <c r="C915" s="9"/>
      <c r="D915" s="11"/>
      <c r="E915" s="9"/>
      <c r="F915" s="1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9"/>
      <c r="B916" s="9"/>
      <c r="C916" s="9"/>
      <c r="D916" s="11"/>
      <c r="E916" s="9"/>
      <c r="F916" s="1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9"/>
      <c r="B917" s="9"/>
      <c r="C917" s="9"/>
      <c r="D917" s="11"/>
      <c r="E917" s="9"/>
      <c r="F917" s="1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9"/>
      <c r="B918" s="9"/>
      <c r="C918" s="9"/>
      <c r="D918" s="11"/>
      <c r="E918" s="9"/>
      <c r="F918" s="1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9"/>
      <c r="B919" s="9"/>
      <c r="C919" s="9"/>
      <c r="D919" s="11"/>
      <c r="E919" s="9"/>
      <c r="F919" s="1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9"/>
      <c r="B920" s="9"/>
      <c r="C920" s="9"/>
      <c r="D920" s="11"/>
      <c r="E920" s="9"/>
      <c r="F920" s="1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9"/>
      <c r="B921" s="9"/>
      <c r="C921" s="9"/>
      <c r="D921" s="11"/>
      <c r="E921" s="9"/>
      <c r="F921" s="1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9"/>
      <c r="B922" s="9"/>
      <c r="C922" s="9"/>
      <c r="D922" s="11"/>
      <c r="E922" s="9"/>
      <c r="F922" s="1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9"/>
      <c r="B923" s="9"/>
      <c r="C923" s="9"/>
      <c r="D923" s="11"/>
      <c r="E923" s="9"/>
      <c r="F923" s="1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9"/>
      <c r="B924" s="9"/>
      <c r="C924" s="9"/>
      <c r="D924" s="11"/>
      <c r="E924" s="9"/>
      <c r="F924" s="1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9"/>
      <c r="B925" s="9"/>
      <c r="C925" s="9"/>
      <c r="D925" s="11"/>
      <c r="E925" s="9"/>
      <c r="F925" s="1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9"/>
      <c r="B926" s="9"/>
      <c r="C926" s="9"/>
      <c r="D926" s="11"/>
      <c r="E926" s="9"/>
      <c r="F926" s="1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9"/>
      <c r="B927" s="9"/>
      <c r="C927" s="9"/>
      <c r="D927" s="11"/>
      <c r="E927" s="9"/>
      <c r="F927" s="1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9"/>
      <c r="B928" s="9"/>
      <c r="C928" s="9"/>
      <c r="D928" s="11"/>
      <c r="E928" s="9"/>
      <c r="F928" s="1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9"/>
      <c r="B929" s="9"/>
      <c r="C929" s="9"/>
      <c r="D929" s="11"/>
      <c r="E929" s="9"/>
      <c r="F929" s="1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9"/>
      <c r="B930" s="9"/>
      <c r="C930" s="9"/>
      <c r="D930" s="11"/>
      <c r="E930" s="9"/>
      <c r="F930" s="1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9"/>
      <c r="B931" s="9"/>
      <c r="C931" s="9"/>
      <c r="D931" s="11"/>
      <c r="E931" s="9"/>
      <c r="F931" s="1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9"/>
      <c r="B932" s="9"/>
      <c r="C932" s="9"/>
      <c r="D932" s="11"/>
      <c r="E932" s="9"/>
      <c r="F932" s="1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9"/>
      <c r="B933" s="9"/>
      <c r="C933" s="9"/>
      <c r="D933" s="11"/>
      <c r="E933" s="9"/>
      <c r="F933" s="1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9"/>
      <c r="B934" s="9"/>
      <c r="C934" s="9"/>
      <c r="D934" s="11"/>
      <c r="E934" s="9"/>
      <c r="F934" s="1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9"/>
      <c r="B935" s="9"/>
      <c r="C935" s="9"/>
      <c r="D935" s="11"/>
      <c r="E935" s="9"/>
      <c r="F935" s="1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9"/>
      <c r="B936" s="9"/>
      <c r="C936" s="9"/>
      <c r="D936" s="11"/>
      <c r="E936" s="9"/>
      <c r="F936" s="1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9"/>
      <c r="B937" s="9"/>
      <c r="C937" s="9"/>
      <c r="D937" s="11"/>
      <c r="E937" s="9"/>
      <c r="F937" s="1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9"/>
      <c r="B938" s="9"/>
      <c r="C938" s="9"/>
      <c r="D938" s="11"/>
      <c r="E938" s="9"/>
      <c r="F938" s="1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9"/>
      <c r="B939" s="9"/>
      <c r="C939" s="9"/>
      <c r="D939" s="11"/>
      <c r="E939" s="9"/>
      <c r="F939" s="1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9"/>
      <c r="B940" s="9"/>
      <c r="C940" s="9"/>
      <c r="D940" s="11"/>
      <c r="E940" s="9"/>
      <c r="F940" s="1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9"/>
      <c r="B941" s="9"/>
      <c r="C941" s="9"/>
      <c r="D941" s="11"/>
      <c r="E941" s="9"/>
      <c r="F941" s="1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9"/>
      <c r="B942" s="9"/>
      <c r="C942" s="9"/>
      <c r="D942" s="11"/>
      <c r="E942" s="9"/>
      <c r="F942" s="1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9"/>
      <c r="B943" s="9"/>
      <c r="C943" s="9"/>
      <c r="D943" s="11"/>
      <c r="E943" s="9"/>
      <c r="F943" s="1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9"/>
      <c r="B944" s="9"/>
      <c r="C944" s="9"/>
      <c r="D944" s="11"/>
      <c r="E944" s="9"/>
      <c r="F944" s="1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9"/>
      <c r="B945" s="9"/>
      <c r="C945" s="9"/>
      <c r="D945" s="11"/>
      <c r="E945" s="9"/>
      <c r="F945" s="1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9"/>
      <c r="B946" s="9"/>
      <c r="C946" s="9"/>
      <c r="D946" s="11"/>
      <c r="E946" s="9"/>
      <c r="F946" s="1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9"/>
      <c r="B947" s="9"/>
      <c r="C947" s="9"/>
      <c r="D947" s="11"/>
      <c r="E947" s="9"/>
      <c r="F947" s="1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9"/>
      <c r="B948" s="9"/>
      <c r="C948" s="9"/>
      <c r="D948" s="11"/>
      <c r="E948" s="9"/>
      <c r="F948" s="1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9"/>
      <c r="B949" s="9"/>
      <c r="C949" s="9"/>
      <c r="D949" s="11"/>
      <c r="E949" s="9"/>
      <c r="F949" s="1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9"/>
      <c r="B950" s="9"/>
      <c r="C950" s="9"/>
      <c r="D950" s="11"/>
      <c r="E950" s="9"/>
      <c r="F950" s="1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9"/>
      <c r="B951" s="9"/>
      <c r="C951" s="9"/>
      <c r="D951" s="11"/>
      <c r="E951" s="9"/>
      <c r="F951" s="1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9"/>
      <c r="B952" s="9"/>
      <c r="C952" s="9"/>
      <c r="D952" s="11"/>
      <c r="E952" s="9"/>
      <c r="F952" s="1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9"/>
      <c r="B953" s="9"/>
      <c r="C953" s="9"/>
      <c r="D953" s="11"/>
      <c r="E953" s="9"/>
      <c r="F953" s="1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9"/>
      <c r="B954" s="9"/>
      <c r="C954" s="9"/>
      <c r="D954" s="11"/>
      <c r="E954" s="9"/>
      <c r="F954" s="1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9"/>
      <c r="B955" s="9"/>
      <c r="C955" s="9"/>
      <c r="D955" s="11"/>
      <c r="E955" s="9"/>
      <c r="F955" s="1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9"/>
      <c r="B956" s="9"/>
      <c r="C956" s="9"/>
      <c r="D956" s="11"/>
      <c r="E956" s="9"/>
      <c r="F956" s="1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9"/>
      <c r="B957" s="9"/>
      <c r="C957" s="9"/>
      <c r="D957" s="11"/>
      <c r="E957" s="9"/>
      <c r="F957" s="1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9"/>
      <c r="B958" s="9"/>
      <c r="C958" s="9"/>
      <c r="D958" s="11"/>
      <c r="E958" s="9"/>
      <c r="F958" s="1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9"/>
      <c r="B959" s="9"/>
      <c r="C959" s="9"/>
      <c r="D959" s="11"/>
      <c r="E959" s="9"/>
      <c r="F959" s="1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9"/>
      <c r="B960" s="9"/>
      <c r="C960" s="9"/>
      <c r="D960" s="11"/>
      <c r="E960" s="9"/>
      <c r="F960" s="1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9"/>
      <c r="B961" s="9"/>
      <c r="C961" s="9"/>
      <c r="D961" s="11"/>
      <c r="E961" s="9"/>
      <c r="F961" s="1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9"/>
      <c r="B962" s="9"/>
      <c r="C962" s="9"/>
      <c r="D962" s="11"/>
      <c r="E962" s="9"/>
      <c r="F962" s="1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9"/>
      <c r="B963" s="9"/>
      <c r="C963" s="9"/>
      <c r="D963" s="11"/>
      <c r="E963" s="9"/>
      <c r="F963" s="1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9"/>
      <c r="B964" s="9"/>
      <c r="C964" s="9"/>
      <c r="D964" s="11"/>
      <c r="E964" s="9"/>
      <c r="F964" s="1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9"/>
      <c r="B965" s="9"/>
      <c r="C965" s="9"/>
      <c r="D965" s="11"/>
      <c r="E965" s="9"/>
      <c r="F965" s="1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9"/>
      <c r="B966" s="9"/>
      <c r="C966" s="9"/>
      <c r="D966" s="11"/>
      <c r="E966" s="9"/>
      <c r="F966" s="1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9"/>
      <c r="B967" s="9"/>
      <c r="C967" s="9"/>
      <c r="D967" s="11"/>
      <c r="E967" s="9"/>
      <c r="F967" s="1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9"/>
      <c r="B968" s="9"/>
      <c r="C968" s="9"/>
      <c r="D968" s="11"/>
      <c r="E968" s="9"/>
      <c r="F968" s="1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9"/>
      <c r="B969" s="9"/>
      <c r="C969" s="9"/>
      <c r="D969" s="11"/>
      <c r="E969" s="9"/>
      <c r="F969" s="1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9"/>
      <c r="B970" s="9"/>
      <c r="C970" s="9"/>
      <c r="D970" s="11"/>
      <c r="E970" s="9"/>
      <c r="F970" s="1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9"/>
      <c r="B971" s="9"/>
      <c r="C971" s="9"/>
      <c r="D971" s="11"/>
      <c r="E971" s="9"/>
      <c r="F971" s="1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9"/>
      <c r="B972" s="9"/>
      <c r="C972" s="9"/>
      <c r="D972" s="11"/>
      <c r="E972" s="9"/>
      <c r="F972" s="1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9"/>
      <c r="B973" s="9"/>
      <c r="C973" s="9"/>
      <c r="D973" s="11"/>
      <c r="E973" s="9"/>
      <c r="F973" s="1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9"/>
      <c r="B974" s="9"/>
      <c r="C974" s="9"/>
      <c r="D974" s="11"/>
      <c r="E974" s="9"/>
      <c r="F974" s="1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9"/>
      <c r="B975" s="9"/>
      <c r="C975" s="9"/>
      <c r="D975" s="11"/>
      <c r="E975" s="9"/>
      <c r="F975" s="1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9"/>
      <c r="B976" s="9"/>
      <c r="C976" s="9"/>
      <c r="D976" s="11"/>
      <c r="E976" s="9"/>
      <c r="F976" s="1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9"/>
      <c r="B977" s="9"/>
      <c r="C977" s="9"/>
      <c r="D977" s="11"/>
      <c r="E977" s="9"/>
      <c r="F977" s="1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9"/>
      <c r="B978" s="9"/>
      <c r="C978" s="9"/>
      <c r="D978" s="11"/>
      <c r="E978" s="9"/>
      <c r="F978" s="1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9"/>
      <c r="B979" s="9"/>
      <c r="C979" s="9"/>
      <c r="D979" s="11"/>
      <c r="E979" s="9"/>
      <c r="F979" s="1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9"/>
      <c r="B980" s="9"/>
      <c r="C980" s="9"/>
      <c r="D980" s="11"/>
      <c r="E980" s="9"/>
      <c r="F980" s="1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9"/>
      <c r="B981" s="9"/>
      <c r="C981" s="9"/>
      <c r="D981" s="11"/>
      <c r="E981" s="9"/>
      <c r="F981" s="1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9"/>
      <c r="B982" s="9"/>
      <c r="C982" s="9"/>
      <c r="D982" s="11"/>
      <c r="E982" s="9"/>
      <c r="F982" s="1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9"/>
      <c r="B983" s="9"/>
      <c r="C983" s="9"/>
      <c r="D983" s="11"/>
      <c r="E983" s="9"/>
      <c r="F983" s="1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9"/>
      <c r="B984" s="9"/>
      <c r="C984" s="9"/>
      <c r="D984" s="11"/>
      <c r="E984" s="9"/>
      <c r="F984" s="1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9"/>
      <c r="B985" s="9"/>
      <c r="C985" s="9"/>
      <c r="D985" s="11"/>
      <c r="E985" s="9"/>
      <c r="F985" s="1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9"/>
      <c r="B986" s="9"/>
      <c r="C986" s="9"/>
      <c r="D986" s="11"/>
      <c r="E986" s="9"/>
      <c r="F986" s="1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9"/>
      <c r="B987" s="9"/>
      <c r="C987" s="9"/>
      <c r="D987" s="11"/>
      <c r="E987" s="9"/>
      <c r="F987" s="1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9"/>
      <c r="B988" s="9"/>
      <c r="C988" s="9"/>
      <c r="D988" s="11"/>
      <c r="E988" s="9"/>
      <c r="F988" s="1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9"/>
      <c r="B989" s="9"/>
      <c r="C989" s="9"/>
      <c r="D989" s="11"/>
      <c r="E989" s="9"/>
      <c r="F989" s="1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9"/>
      <c r="B990" s="9"/>
      <c r="C990" s="9"/>
      <c r="D990" s="11"/>
      <c r="E990" s="9"/>
      <c r="F990" s="1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9"/>
      <c r="B991" s="9"/>
      <c r="C991" s="9"/>
      <c r="D991" s="11"/>
      <c r="E991" s="9"/>
      <c r="F991" s="1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9"/>
      <c r="B992" s="9"/>
      <c r="C992" s="9"/>
      <c r="D992" s="11"/>
      <c r="E992" s="9"/>
      <c r="F992" s="1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autoFilter ref="$B$6:$P$36"/>
  <mergeCells count="7">
    <mergeCell ref="A1:G1"/>
    <mergeCell ref="A2:G2"/>
    <mergeCell ref="A3:G3"/>
    <mergeCell ref="B9:B14"/>
    <mergeCell ref="B15:B20"/>
    <mergeCell ref="B21:B26"/>
    <mergeCell ref="B27:B36"/>
  </mergeCells>
  <printOptions/>
  <pageMargins bottom="0.75" footer="0.0" header="0.0" left="0.7" right="0.2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.86"/>
    <col customWidth="1" min="3" max="3" width="6.29"/>
    <col customWidth="1" min="4" max="4" width="24.57"/>
    <col customWidth="1" min="5" max="5" width="15.0"/>
    <col customWidth="1" min="6" max="6" width="17.14"/>
    <col customWidth="1" min="7" max="7" width="10.71"/>
    <col customWidth="1" min="8" max="8" width="15.71"/>
    <col customWidth="1" min="9" max="26" width="8.71"/>
  </cols>
  <sheetData>
    <row r="1" ht="21.0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3</v>
      </c>
      <c r="C3" s="3"/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/>
      <c r="C4" s="9"/>
      <c r="D4" s="9"/>
      <c r="E4" s="11"/>
      <c r="F4" s="11"/>
      <c r="G4" s="1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/>
      <c r="C5" s="9"/>
      <c r="D5" s="9"/>
      <c r="E5" s="11"/>
      <c r="F5" s="11"/>
      <c r="G5" s="11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/>
      <c r="C6" s="9"/>
      <c r="D6" s="9"/>
      <c r="E6" s="11"/>
      <c r="F6" s="11"/>
      <c r="G6" s="11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4" t="s">
        <v>7</v>
      </c>
      <c r="C7" s="15"/>
      <c r="D7" s="16"/>
      <c r="E7" s="17"/>
      <c r="F7" s="17"/>
      <c r="G7" s="17"/>
      <c r="H7" s="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21"/>
      <c r="B8" s="23" t="s">
        <v>8</v>
      </c>
      <c r="C8" s="24" t="s">
        <v>9</v>
      </c>
      <c r="D8" s="24" t="s">
        <v>10</v>
      </c>
      <c r="E8" s="24" t="s">
        <v>11</v>
      </c>
      <c r="F8" s="24" t="s">
        <v>12</v>
      </c>
      <c r="G8" s="24" t="s">
        <v>13</v>
      </c>
      <c r="H8" s="27" t="s">
        <v>14</v>
      </c>
      <c r="I8" s="2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21"/>
      <c r="B9" s="31" t="s">
        <v>16</v>
      </c>
      <c r="C9" s="34" t="s">
        <v>21</v>
      </c>
      <c r="D9" s="35" t="s">
        <v>23</v>
      </c>
      <c r="E9" s="36" t="s">
        <v>24</v>
      </c>
      <c r="F9" s="37" t="s">
        <v>25</v>
      </c>
      <c r="G9" s="38">
        <v>650.0</v>
      </c>
      <c r="H9" s="39"/>
      <c r="I9" s="2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21"/>
      <c r="B10" s="40" t="s">
        <v>26</v>
      </c>
      <c r="C10" s="41"/>
      <c r="D10" s="42" t="s">
        <v>27</v>
      </c>
      <c r="E10" s="43" t="s">
        <v>24</v>
      </c>
      <c r="F10" s="44" t="s">
        <v>28</v>
      </c>
      <c r="G10" s="45">
        <v>650.0</v>
      </c>
      <c r="H10" s="46"/>
      <c r="I10" s="2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21"/>
      <c r="B11" s="40" t="s">
        <v>29</v>
      </c>
      <c r="C11" s="41"/>
      <c r="D11" s="47" t="s">
        <v>30</v>
      </c>
      <c r="E11" s="48" t="s">
        <v>31</v>
      </c>
      <c r="F11" s="49" t="s">
        <v>32</v>
      </c>
      <c r="G11" s="50">
        <v>650.0</v>
      </c>
      <c r="H11" s="46"/>
      <c r="I11" s="2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21"/>
      <c r="B12" s="40" t="s">
        <v>33</v>
      </c>
      <c r="C12" s="41"/>
      <c r="D12" s="47" t="s">
        <v>34</v>
      </c>
      <c r="E12" s="48" t="s">
        <v>35</v>
      </c>
      <c r="F12" s="49" t="s">
        <v>36</v>
      </c>
      <c r="G12" s="50">
        <v>650.0</v>
      </c>
      <c r="H12" s="46"/>
      <c r="I12" s="2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21"/>
      <c r="B13" s="40" t="s">
        <v>37</v>
      </c>
      <c r="C13" s="41"/>
      <c r="D13" s="42" t="s">
        <v>38</v>
      </c>
      <c r="E13" s="48" t="s">
        <v>39</v>
      </c>
      <c r="F13" s="51" t="s">
        <v>40</v>
      </c>
      <c r="G13" s="45">
        <v>650.0</v>
      </c>
      <c r="H13" s="46"/>
      <c r="I13" s="2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21"/>
      <c r="B14" s="40" t="s">
        <v>41</v>
      </c>
      <c r="C14" s="41"/>
      <c r="D14" s="42" t="s">
        <v>42</v>
      </c>
      <c r="E14" s="43" t="s">
        <v>43</v>
      </c>
      <c r="F14" s="51" t="s">
        <v>44</v>
      </c>
      <c r="G14" s="45">
        <v>650.0</v>
      </c>
      <c r="H14" s="46"/>
      <c r="I14" s="2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52"/>
      <c r="B15" s="40" t="s">
        <v>45</v>
      </c>
      <c r="C15" s="41"/>
      <c r="D15" s="53" t="s">
        <v>46</v>
      </c>
      <c r="E15" s="48" t="s">
        <v>47</v>
      </c>
      <c r="F15" s="51" t="s">
        <v>48</v>
      </c>
      <c r="G15" s="54">
        <v>650.0</v>
      </c>
      <c r="H15" s="46"/>
      <c r="I15" s="5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52"/>
      <c r="B16" s="40" t="s">
        <v>49</v>
      </c>
      <c r="C16" s="41"/>
      <c r="D16" s="53" t="s">
        <v>50</v>
      </c>
      <c r="E16" s="48" t="s">
        <v>47</v>
      </c>
      <c r="F16" s="51" t="s">
        <v>51</v>
      </c>
      <c r="G16" s="54">
        <v>650.0</v>
      </c>
      <c r="H16" s="46"/>
      <c r="I16" s="5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52"/>
      <c r="B17" s="40" t="s">
        <v>52</v>
      </c>
      <c r="C17" s="41"/>
      <c r="D17" s="42" t="s">
        <v>53</v>
      </c>
      <c r="E17" s="43" t="s">
        <v>54</v>
      </c>
      <c r="F17" s="51" t="s">
        <v>55</v>
      </c>
      <c r="G17" s="54">
        <v>650.0</v>
      </c>
      <c r="H17" s="46"/>
      <c r="I17" s="5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52"/>
      <c r="B18" s="40" t="s">
        <v>56</v>
      </c>
      <c r="C18" s="41"/>
      <c r="D18" s="47" t="s">
        <v>57</v>
      </c>
      <c r="E18" s="43" t="s">
        <v>58</v>
      </c>
      <c r="F18" s="56" t="s">
        <v>59</v>
      </c>
      <c r="G18" s="54">
        <v>650.0</v>
      </c>
      <c r="H18" s="46"/>
      <c r="I18" s="5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52"/>
      <c r="B19" s="40" t="s">
        <v>60</v>
      </c>
      <c r="C19" s="41"/>
      <c r="D19" s="47" t="s">
        <v>61</v>
      </c>
      <c r="E19" s="43" t="s">
        <v>58</v>
      </c>
      <c r="F19" s="57" t="s">
        <v>62</v>
      </c>
      <c r="G19" s="54">
        <v>650.0</v>
      </c>
      <c r="H19" s="46"/>
      <c r="I19" s="5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52"/>
      <c r="B20" s="40" t="s">
        <v>63</v>
      </c>
      <c r="C20" s="41"/>
      <c r="D20" s="58" t="s">
        <v>64</v>
      </c>
      <c r="E20" s="43" t="s">
        <v>58</v>
      </c>
      <c r="F20" s="51" t="s">
        <v>65</v>
      </c>
      <c r="G20" s="54">
        <v>650.0</v>
      </c>
      <c r="H20" s="46"/>
      <c r="I20" s="5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52"/>
      <c r="B21" s="40" t="s">
        <v>66</v>
      </c>
      <c r="C21" s="41"/>
      <c r="D21" s="42" t="s">
        <v>67</v>
      </c>
      <c r="E21" s="43" t="s">
        <v>58</v>
      </c>
      <c r="F21" s="51" t="s">
        <v>68</v>
      </c>
      <c r="G21" s="54">
        <v>650.0</v>
      </c>
      <c r="H21" s="46"/>
      <c r="I21" s="5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52"/>
      <c r="B22" s="40" t="s">
        <v>69</v>
      </c>
      <c r="C22" s="41"/>
      <c r="D22" s="53" t="s">
        <v>70</v>
      </c>
      <c r="E22" s="43" t="s">
        <v>71</v>
      </c>
      <c r="F22" s="51" t="s">
        <v>72</v>
      </c>
      <c r="G22" s="54">
        <v>650.0</v>
      </c>
      <c r="H22" s="46"/>
      <c r="I22" s="5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52"/>
      <c r="B23" s="40" t="s">
        <v>73</v>
      </c>
      <c r="C23" s="41"/>
      <c r="D23" s="42" t="s">
        <v>74</v>
      </c>
      <c r="E23" s="43" t="s">
        <v>71</v>
      </c>
      <c r="F23" s="51" t="s">
        <v>75</v>
      </c>
      <c r="G23" s="54">
        <v>650.0</v>
      </c>
      <c r="H23" s="46"/>
      <c r="I23" s="5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52"/>
      <c r="B24" s="40" t="s">
        <v>76</v>
      </c>
      <c r="C24" s="65"/>
      <c r="D24" s="67" t="s">
        <v>80</v>
      </c>
      <c r="E24" s="78" t="s">
        <v>71</v>
      </c>
      <c r="F24" s="83" t="s">
        <v>92</v>
      </c>
      <c r="G24" s="86">
        <v>650.0</v>
      </c>
      <c r="H24" s="46"/>
      <c r="I24" s="5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2"/>
      <c r="B25" s="40" t="s">
        <v>94</v>
      </c>
      <c r="C25" s="89" t="s">
        <v>95</v>
      </c>
      <c r="D25" s="42" t="s">
        <v>96</v>
      </c>
      <c r="E25" s="43" t="s">
        <v>43</v>
      </c>
      <c r="F25" s="51" t="s">
        <v>97</v>
      </c>
      <c r="G25" s="96">
        <v>650.0</v>
      </c>
      <c r="H25" s="46"/>
      <c r="I25" s="5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52"/>
      <c r="B26" s="40" t="s">
        <v>99</v>
      </c>
      <c r="C26" s="41"/>
      <c r="D26" s="42" t="s">
        <v>100</v>
      </c>
      <c r="E26" s="43" t="s">
        <v>58</v>
      </c>
      <c r="F26" s="51" t="s">
        <v>101</v>
      </c>
      <c r="G26" s="86">
        <v>409.0</v>
      </c>
      <c r="H26" s="46"/>
      <c r="I26" s="5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2"/>
      <c r="B27" s="40" t="s">
        <v>102</v>
      </c>
      <c r="C27" s="65"/>
      <c r="D27" s="42" t="s">
        <v>103</v>
      </c>
      <c r="E27" s="48" t="s">
        <v>104</v>
      </c>
      <c r="F27" s="51" t="s">
        <v>105</v>
      </c>
      <c r="G27" s="45">
        <v>409.0</v>
      </c>
      <c r="H27" s="46"/>
      <c r="I27" s="5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2"/>
      <c r="B28" s="101" t="s">
        <v>106</v>
      </c>
      <c r="C28" s="102"/>
      <c r="D28" s="102"/>
      <c r="E28" s="102"/>
      <c r="F28" s="106"/>
      <c r="G28" s="109">
        <f>SUM(G9:G27)</f>
        <v>11868</v>
      </c>
      <c r="H28" s="110"/>
      <c r="I28" s="5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7"/>
      <c r="C29" s="117"/>
      <c r="D29" s="117"/>
      <c r="E29" s="121"/>
      <c r="F29" s="121"/>
      <c r="G29" s="121"/>
      <c r="H29" s="1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"/>
      <c r="C30" s="126"/>
      <c r="D30" s="4"/>
      <c r="E30" s="11"/>
      <c r="F30" s="11"/>
      <c r="G30" s="1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/>
      <c r="C31" s="11"/>
      <c r="D31" s="11"/>
      <c r="E31" s="11"/>
      <c r="F31" s="11"/>
      <c r="G31" s="11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9"/>
      <c r="C32" s="11"/>
      <c r="D32" s="11"/>
      <c r="E32" s="11"/>
      <c r="F32" s="11"/>
      <c r="G32" s="11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/>
      <c r="C33" s="9"/>
      <c r="D33" s="9"/>
      <c r="E33" s="11"/>
      <c r="F33" s="11"/>
      <c r="G33" s="1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/>
      <c r="C34" s="9"/>
      <c r="D34" s="9"/>
      <c r="E34" s="11"/>
      <c r="F34" s="11"/>
      <c r="G34" s="9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"/>
      <c r="C35" s="9"/>
      <c r="D35" s="9" t="s">
        <v>115</v>
      </c>
      <c r="E35" s="136" t="s">
        <v>117</v>
      </c>
      <c r="F35" s="4"/>
      <c r="G35" s="136" t="s">
        <v>119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/>
      <c r="D36" s="9"/>
      <c r="E36" s="11"/>
      <c r="F36" s="11"/>
      <c r="G36" s="11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/>
      <c r="C37" s="9"/>
      <c r="D37" s="9"/>
      <c r="E37" s="11"/>
      <c r="F37" s="11"/>
      <c r="G37" s="11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/>
      <c r="C38" s="9"/>
      <c r="D38" s="9"/>
      <c r="E38" s="11"/>
      <c r="F38" s="11"/>
      <c r="G38" s="11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/>
      <c r="C39" s="9"/>
      <c r="D39" s="9"/>
      <c r="E39" s="11"/>
      <c r="F39" s="11"/>
      <c r="G39" s="11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"/>
      <c r="C40" s="9"/>
      <c r="D40" s="9"/>
      <c r="E40" s="11"/>
      <c r="F40" s="11"/>
      <c r="G40" s="11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/>
      <c r="C41" s="9"/>
      <c r="D41" s="9"/>
      <c r="E41" s="11"/>
      <c r="F41" s="11"/>
      <c r="G41" s="11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/>
      <c r="C42" s="9"/>
      <c r="D42" s="9"/>
      <c r="E42" s="11"/>
      <c r="F42" s="11"/>
      <c r="G42" s="11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/>
      <c r="C43" s="9"/>
      <c r="D43" s="9"/>
      <c r="E43" s="11"/>
      <c r="F43" s="11"/>
      <c r="G43" s="11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"/>
      <c r="C44" s="9"/>
      <c r="D44" s="9"/>
      <c r="E44" s="11"/>
      <c r="F44" s="11"/>
      <c r="G44" s="11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/>
      <c r="C45" s="9"/>
      <c r="D45" s="9"/>
      <c r="E45" s="11"/>
      <c r="F45" s="11"/>
      <c r="G45" s="11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"/>
      <c r="C46" s="9"/>
      <c r="D46" s="9"/>
      <c r="E46" s="11"/>
      <c r="F46" s="11"/>
      <c r="G46" s="11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"/>
      <c r="C47" s="9"/>
      <c r="D47" s="9"/>
      <c r="E47" s="11"/>
      <c r="F47" s="11"/>
      <c r="G47" s="11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"/>
      <c r="C48" s="9"/>
      <c r="D48" s="9"/>
      <c r="E48" s="11"/>
      <c r="F48" s="11"/>
      <c r="G48" s="11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/>
      <c r="C49" s="9"/>
      <c r="D49" s="9"/>
      <c r="E49" s="11"/>
      <c r="F49" s="11"/>
      <c r="G49" s="11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/>
      <c r="C50" s="9"/>
      <c r="D50" s="9"/>
      <c r="E50" s="11"/>
      <c r="F50" s="11"/>
      <c r="G50" s="11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"/>
      <c r="C51" s="9"/>
      <c r="D51" s="9"/>
      <c r="E51" s="11"/>
      <c r="F51" s="11"/>
      <c r="G51" s="11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"/>
      <c r="C52" s="9"/>
      <c r="D52" s="9"/>
      <c r="E52" s="11"/>
      <c r="F52" s="11"/>
      <c r="G52" s="11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"/>
      <c r="C53" s="9"/>
      <c r="D53" s="9"/>
      <c r="E53" s="11"/>
      <c r="F53" s="11"/>
      <c r="G53" s="11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/>
      <c r="C54" s="9"/>
      <c r="D54" s="9"/>
      <c r="E54" s="11"/>
      <c r="F54" s="11"/>
      <c r="G54" s="11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"/>
      <c r="C55" s="9"/>
      <c r="D55" s="9"/>
      <c r="E55" s="11"/>
      <c r="F55" s="11"/>
      <c r="G55" s="11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"/>
      <c r="C56" s="9"/>
      <c r="D56" s="9"/>
      <c r="E56" s="11"/>
      <c r="F56" s="11"/>
      <c r="G56" s="11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/>
      <c r="C57" s="9"/>
      <c r="D57" s="9"/>
      <c r="E57" s="11"/>
      <c r="F57" s="11"/>
      <c r="G57" s="11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9"/>
      <c r="D58" s="9"/>
      <c r="E58" s="11"/>
      <c r="F58" s="11"/>
      <c r="G58" s="11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"/>
      <c r="C59" s="9"/>
      <c r="D59" s="9"/>
      <c r="E59" s="11"/>
      <c r="F59" s="11"/>
      <c r="G59" s="11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/>
      <c r="C60" s="9"/>
      <c r="D60" s="9"/>
      <c r="E60" s="11"/>
      <c r="F60" s="11"/>
      <c r="G60" s="11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/>
      <c r="C61" s="9"/>
      <c r="D61" s="9"/>
      <c r="E61" s="11"/>
      <c r="F61" s="11"/>
      <c r="G61" s="11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9"/>
      <c r="E62" s="11"/>
      <c r="F62" s="11"/>
      <c r="G62" s="11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/>
      <c r="C63" s="9"/>
      <c r="D63" s="9"/>
      <c r="E63" s="11"/>
      <c r="F63" s="11"/>
      <c r="G63" s="11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/>
      <c r="C64" s="9"/>
      <c r="D64" s="9"/>
      <c r="E64" s="11"/>
      <c r="F64" s="11"/>
      <c r="G64" s="11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/>
      <c r="C65" s="9"/>
      <c r="D65" s="9"/>
      <c r="E65" s="11"/>
      <c r="F65" s="11"/>
      <c r="G65" s="11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9"/>
      <c r="E66" s="11"/>
      <c r="F66" s="11"/>
      <c r="G66" s="11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/>
      <c r="C67" s="9"/>
      <c r="D67" s="9"/>
      <c r="E67" s="11"/>
      <c r="F67" s="11"/>
      <c r="G67" s="11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/>
      <c r="C68" s="9"/>
      <c r="D68" s="9"/>
      <c r="E68" s="11"/>
      <c r="F68" s="11"/>
      <c r="G68" s="11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/>
      <c r="C69" s="9"/>
      <c r="D69" s="9"/>
      <c r="E69" s="11"/>
      <c r="F69" s="11"/>
      <c r="G69" s="11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9"/>
      <c r="E70" s="11"/>
      <c r="F70" s="11"/>
      <c r="G70" s="11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/>
      <c r="C71" s="9"/>
      <c r="D71" s="9"/>
      <c r="E71" s="11"/>
      <c r="F71" s="11"/>
      <c r="G71" s="11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/>
      <c r="C72" s="9"/>
      <c r="D72" s="9"/>
      <c r="E72" s="11"/>
      <c r="F72" s="11"/>
      <c r="G72" s="11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/>
      <c r="C73" s="9"/>
      <c r="D73" s="9"/>
      <c r="E73" s="11"/>
      <c r="F73" s="11"/>
      <c r="G73" s="11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9"/>
      <c r="E74" s="11"/>
      <c r="F74" s="11"/>
      <c r="G74" s="11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"/>
      <c r="C75" s="9"/>
      <c r="D75" s="9"/>
      <c r="E75" s="11"/>
      <c r="F75" s="11"/>
      <c r="G75" s="11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/>
      <c r="C76" s="9"/>
      <c r="D76" s="9"/>
      <c r="E76" s="11"/>
      <c r="F76" s="11"/>
      <c r="G76" s="11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/>
      <c r="C77" s="9"/>
      <c r="D77" s="9"/>
      <c r="E77" s="11"/>
      <c r="F77" s="11"/>
      <c r="G77" s="11"/>
      <c r="H77" s="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9"/>
      <c r="E78" s="11"/>
      <c r="F78" s="11"/>
      <c r="G78" s="11"/>
      <c r="H78" s="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/>
      <c r="C79" s="9"/>
      <c r="D79" s="9"/>
      <c r="E79" s="11"/>
      <c r="F79" s="11"/>
      <c r="G79" s="11"/>
      <c r="H79" s="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/>
      <c r="C80" s="9"/>
      <c r="D80" s="9"/>
      <c r="E80" s="11"/>
      <c r="F80" s="11"/>
      <c r="G80" s="11"/>
      <c r="H80" s="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/>
      <c r="C81" s="9"/>
      <c r="D81" s="9"/>
      <c r="E81" s="11"/>
      <c r="F81" s="11"/>
      <c r="G81" s="11"/>
      <c r="H81" s="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/>
      <c r="C82" s="9"/>
      <c r="D82" s="9"/>
      <c r="E82" s="11"/>
      <c r="F82" s="11"/>
      <c r="G82" s="11"/>
      <c r="H82" s="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/>
      <c r="C83" s="9"/>
      <c r="D83" s="9"/>
      <c r="E83" s="11"/>
      <c r="F83" s="11"/>
      <c r="G83" s="11"/>
      <c r="H83" s="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/>
      <c r="C84" s="9"/>
      <c r="D84" s="9"/>
      <c r="E84" s="11"/>
      <c r="F84" s="11"/>
      <c r="G84" s="11"/>
      <c r="H84" s="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/>
      <c r="C85" s="9"/>
      <c r="D85" s="9"/>
      <c r="E85" s="11"/>
      <c r="F85" s="11"/>
      <c r="G85" s="11"/>
      <c r="H85" s="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/>
      <c r="C86" s="9"/>
      <c r="D86" s="9"/>
      <c r="E86" s="11"/>
      <c r="F86" s="11"/>
      <c r="G86" s="11"/>
      <c r="H86" s="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/>
      <c r="C87" s="9"/>
      <c r="D87" s="9"/>
      <c r="E87" s="11"/>
      <c r="F87" s="11"/>
      <c r="G87" s="11"/>
      <c r="H87" s="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/>
      <c r="C88" s="9"/>
      <c r="D88" s="9"/>
      <c r="E88" s="11"/>
      <c r="F88" s="11"/>
      <c r="G88" s="11"/>
      <c r="H88" s="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"/>
      <c r="C89" s="9"/>
      <c r="D89" s="9"/>
      <c r="E89" s="11"/>
      <c r="F89" s="11"/>
      <c r="G89" s="11"/>
      <c r="H89" s="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"/>
      <c r="C90" s="9"/>
      <c r="D90" s="9"/>
      <c r="E90" s="11"/>
      <c r="F90" s="11"/>
      <c r="G90" s="11"/>
      <c r="H90" s="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"/>
      <c r="C91" s="9"/>
      <c r="D91" s="9"/>
      <c r="E91" s="11"/>
      <c r="F91" s="11"/>
      <c r="G91" s="11"/>
      <c r="H91" s="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/>
      <c r="C92" s="9"/>
      <c r="D92" s="9"/>
      <c r="E92" s="11"/>
      <c r="F92" s="11"/>
      <c r="G92" s="11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/>
      <c r="C93" s="9"/>
      <c r="D93" s="9"/>
      <c r="E93" s="11"/>
      <c r="F93" s="11"/>
      <c r="G93" s="11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/>
      <c r="C94" s="9"/>
      <c r="D94" s="9"/>
      <c r="E94" s="11"/>
      <c r="F94" s="11"/>
      <c r="G94" s="11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/>
      <c r="C95" s="9"/>
      <c r="D95" s="9"/>
      <c r="E95" s="11"/>
      <c r="F95" s="11"/>
      <c r="G95" s="11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/>
      <c r="C96" s="9"/>
      <c r="D96" s="9"/>
      <c r="E96" s="11"/>
      <c r="F96" s="11"/>
      <c r="G96" s="11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/>
      <c r="C97" s="9"/>
      <c r="D97" s="9"/>
      <c r="E97" s="11"/>
      <c r="F97" s="11"/>
      <c r="G97" s="11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/>
      <c r="C98" s="9"/>
      <c r="D98" s="9"/>
      <c r="E98" s="11"/>
      <c r="F98" s="11"/>
      <c r="G98" s="11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/>
      <c r="C99" s="9"/>
      <c r="D99" s="9"/>
      <c r="E99" s="11"/>
      <c r="F99" s="11"/>
      <c r="G99" s="11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/>
      <c r="C100" s="9"/>
      <c r="D100" s="9"/>
      <c r="E100" s="11"/>
      <c r="F100" s="11"/>
      <c r="G100" s="11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/>
      <c r="C101" s="9"/>
      <c r="D101" s="9"/>
      <c r="E101" s="11"/>
      <c r="F101" s="11"/>
      <c r="G101" s="11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/>
      <c r="C102" s="9"/>
      <c r="D102" s="9"/>
      <c r="E102" s="11"/>
      <c r="F102" s="11"/>
      <c r="G102" s="11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"/>
      <c r="C103" s="9"/>
      <c r="D103" s="9"/>
      <c r="E103" s="11"/>
      <c r="F103" s="11"/>
      <c r="G103" s="11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"/>
      <c r="C104" s="9"/>
      <c r="D104" s="9"/>
      <c r="E104" s="11"/>
      <c r="F104" s="11"/>
      <c r="G104" s="11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"/>
      <c r="C105" s="9"/>
      <c r="D105" s="9"/>
      <c r="E105" s="11"/>
      <c r="F105" s="11"/>
      <c r="G105" s="11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/>
      <c r="C106" s="9"/>
      <c r="D106" s="9"/>
      <c r="E106" s="11"/>
      <c r="F106" s="11"/>
      <c r="G106" s="11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/>
      <c r="C107" s="9"/>
      <c r="D107" s="9"/>
      <c r="E107" s="11"/>
      <c r="F107" s="11"/>
      <c r="G107" s="11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/>
      <c r="C108" s="9"/>
      <c r="D108" s="9"/>
      <c r="E108" s="11"/>
      <c r="F108" s="11"/>
      <c r="G108" s="11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/>
      <c r="C109" s="9"/>
      <c r="D109" s="9"/>
      <c r="E109" s="11"/>
      <c r="F109" s="11"/>
      <c r="G109" s="11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/>
      <c r="C110" s="9"/>
      <c r="D110" s="9"/>
      <c r="E110" s="11"/>
      <c r="F110" s="11"/>
      <c r="G110" s="11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/>
      <c r="C111" s="9"/>
      <c r="D111" s="9"/>
      <c r="E111" s="11"/>
      <c r="F111" s="11"/>
      <c r="G111" s="11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/>
      <c r="C112" s="9"/>
      <c r="D112" s="9"/>
      <c r="E112" s="11"/>
      <c r="F112" s="11"/>
      <c r="G112" s="11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/>
      <c r="C113" s="9"/>
      <c r="D113" s="9"/>
      <c r="E113" s="11"/>
      <c r="F113" s="11"/>
      <c r="G113" s="11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/>
      <c r="C114" s="9"/>
      <c r="D114" s="9"/>
      <c r="E114" s="11"/>
      <c r="F114" s="11"/>
      <c r="G114" s="11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/>
      <c r="C115" s="9"/>
      <c r="D115" s="9"/>
      <c r="E115" s="11"/>
      <c r="F115" s="11"/>
      <c r="G115" s="11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/>
      <c r="C116" s="9"/>
      <c r="D116" s="9"/>
      <c r="E116" s="11"/>
      <c r="F116" s="11"/>
      <c r="G116" s="11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"/>
      <c r="C117" s="9"/>
      <c r="D117" s="9"/>
      <c r="E117" s="11"/>
      <c r="F117" s="11"/>
      <c r="G117" s="11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"/>
      <c r="C118" s="9"/>
      <c r="D118" s="9"/>
      <c r="E118" s="11"/>
      <c r="F118" s="11"/>
      <c r="G118" s="11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"/>
      <c r="C119" s="9"/>
      <c r="D119" s="9"/>
      <c r="E119" s="11"/>
      <c r="F119" s="11"/>
      <c r="G119" s="11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/>
      <c r="C120" s="9"/>
      <c r="D120" s="9"/>
      <c r="E120" s="11"/>
      <c r="F120" s="11"/>
      <c r="G120" s="11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/>
      <c r="C121" s="9"/>
      <c r="D121" s="9"/>
      <c r="E121" s="11"/>
      <c r="F121" s="11"/>
      <c r="G121" s="11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/>
      <c r="C122" s="9"/>
      <c r="D122" s="9"/>
      <c r="E122" s="11"/>
      <c r="F122" s="11"/>
      <c r="G122" s="11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/>
      <c r="C123" s="9"/>
      <c r="D123" s="9"/>
      <c r="E123" s="11"/>
      <c r="F123" s="11"/>
      <c r="G123" s="11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/>
      <c r="C124" s="9"/>
      <c r="D124" s="9"/>
      <c r="E124" s="11"/>
      <c r="F124" s="11"/>
      <c r="G124" s="11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/>
      <c r="C125" s="9"/>
      <c r="D125" s="9"/>
      <c r="E125" s="11"/>
      <c r="F125" s="11"/>
      <c r="G125" s="11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"/>
      <c r="C126" s="9"/>
      <c r="D126" s="9"/>
      <c r="E126" s="11"/>
      <c r="F126" s="11"/>
      <c r="G126" s="11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"/>
      <c r="C127" s="9"/>
      <c r="D127" s="9"/>
      <c r="E127" s="11"/>
      <c r="F127" s="11"/>
      <c r="G127" s="11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/>
      <c r="C128" s="9"/>
      <c r="D128" s="9"/>
      <c r="E128" s="11"/>
      <c r="F128" s="11"/>
      <c r="G128" s="11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/>
      <c r="C129" s="9"/>
      <c r="D129" s="9"/>
      <c r="E129" s="11"/>
      <c r="F129" s="11"/>
      <c r="G129" s="11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/>
      <c r="C130" s="9"/>
      <c r="D130" s="9"/>
      <c r="E130" s="11"/>
      <c r="F130" s="11"/>
      <c r="G130" s="11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/>
      <c r="C131" s="9"/>
      <c r="D131" s="9"/>
      <c r="E131" s="11"/>
      <c r="F131" s="11"/>
      <c r="G131" s="11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/>
      <c r="C132" s="9"/>
      <c r="D132" s="9"/>
      <c r="E132" s="11"/>
      <c r="F132" s="11"/>
      <c r="G132" s="11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/>
      <c r="C133" s="9"/>
      <c r="D133" s="9"/>
      <c r="E133" s="11"/>
      <c r="F133" s="11"/>
      <c r="G133" s="11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/>
      <c r="C134" s="9"/>
      <c r="D134" s="9"/>
      <c r="E134" s="11"/>
      <c r="F134" s="11"/>
      <c r="G134" s="11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/>
      <c r="C135" s="9"/>
      <c r="D135" s="9"/>
      <c r="E135" s="11"/>
      <c r="F135" s="11"/>
      <c r="G135" s="11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/>
      <c r="C136" s="9"/>
      <c r="D136" s="9"/>
      <c r="E136" s="11"/>
      <c r="F136" s="11"/>
      <c r="G136" s="11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"/>
      <c r="C137" s="9"/>
      <c r="D137" s="9"/>
      <c r="E137" s="11"/>
      <c r="F137" s="11"/>
      <c r="G137" s="11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"/>
      <c r="C138" s="9"/>
      <c r="D138" s="9"/>
      <c r="E138" s="11"/>
      <c r="F138" s="11"/>
      <c r="G138" s="11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/>
      <c r="C139" s="9"/>
      <c r="D139" s="9"/>
      <c r="E139" s="11"/>
      <c r="F139" s="11"/>
      <c r="G139" s="11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/>
      <c r="C140" s="9"/>
      <c r="D140" s="9"/>
      <c r="E140" s="11"/>
      <c r="F140" s="11"/>
      <c r="G140" s="11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/>
      <c r="C141" s="9"/>
      <c r="D141" s="9"/>
      <c r="E141" s="11"/>
      <c r="F141" s="11"/>
      <c r="G141" s="11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/>
      <c r="C142" s="9"/>
      <c r="D142" s="9"/>
      <c r="E142" s="11"/>
      <c r="F142" s="11"/>
      <c r="G142" s="11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"/>
      <c r="C143" s="9"/>
      <c r="D143" s="9"/>
      <c r="E143" s="11"/>
      <c r="F143" s="11"/>
      <c r="G143" s="11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"/>
      <c r="C144" s="9"/>
      <c r="D144" s="9"/>
      <c r="E144" s="11"/>
      <c r="F144" s="11"/>
      <c r="G144" s="11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/>
      <c r="C145" s="9"/>
      <c r="D145" s="9"/>
      <c r="E145" s="11"/>
      <c r="F145" s="11"/>
      <c r="G145" s="11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/>
      <c r="C146" s="9"/>
      <c r="D146" s="9"/>
      <c r="E146" s="11"/>
      <c r="F146" s="11"/>
      <c r="G146" s="11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/>
      <c r="C147" s="9"/>
      <c r="D147" s="9"/>
      <c r="E147" s="11"/>
      <c r="F147" s="11"/>
      <c r="G147" s="11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/>
      <c r="C148" s="9"/>
      <c r="D148" s="9"/>
      <c r="E148" s="11"/>
      <c r="F148" s="11"/>
      <c r="G148" s="11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/>
      <c r="C149" s="9"/>
      <c r="D149" s="9"/>
      <c r="E149" s="11"/>
      <c r="F149" s="11"/>
      <c r="G149" s="11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/>
      <c r="C150" s="9"/>
      <c r="D150" s="9"/>
      <c r="E150" s="11"/>
      <c r="F150" s="11"/>
      <c r="G150" s="11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/>
      <c r="C151" s="9"/>
      <c r="D151" s="9"/>
      <c r="E151" s="11"/>
      <c r="F151" s="11"/>
      <c r="G151" s="11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/>
      <c r="C152" s="9"/>
      <c r="D152" s="9"/>
      <c r="E152" s="11"/>
      <c r="F152" s="11"/>
      <c r="G152" s="11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/>
      <c r="C153" s="9"/>
      <c r="D153" s="9"/>
      <c r="E153" s="11"/>
      <c r="F153" s="11"/>
      <c r="G153" s="11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"/>
      <c r="C154" s="9"/>
      <c r="D154" s="9"/>
      <c r="E154" s="11"/>
      <c r="F154" s="11"/>
      <c r="G154" s="11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"/>
      <c r="C155" s="9"/>
      <c r="D155" s="9"/>
      <c r="E155" s="11"/>
      <c r="F155" s="11"/>
      <c r="G155" s="11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/>
      <c r="C156" s="9"/>
      <c r="D156" s="9"/>
      <c r="E156" s="11"/>
      <c r="F156" s="11"/>
      <c r="G156" s="11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/>
      <c r="C157" s="9"/>
      <c r="D157" s="9"/>
      <c r="E157" s="11"/>
      <c r="F157" s="11"/>
      <c r="G157" s="11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/>
      <c r="C158" s="9"/>
      <c r="D158" s="9"/>
      <c r="E158" s="11"/>
      <c r="F158" s="11"/>
      <c r="G158" s="11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/>
      <c r="C159" s="9"/>
      <c r="D159" s="9"/>
      <c r="E159" s="11"/>
      <c r="F159" s="11"/>
      <c r="G159" s="11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/>
      <c r="C160" s="9"/>
      <c r="D160" s="9"/>
      <c r="E160" s="11"/>
      <c r="F160" s="11"/>
      <c r="G160" s="11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/>
      <c r="C161" s="9"/>
      <c r="D161" s="9"/>
      <c r="E161" s="11"/>
      <c r="F161" s="11"/>
      <c r="G161" s="11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/>
      <c r="C162" s="9"/>
      <c r="D162" s="9"/>
      <c r="E162" s="11"/>
      <c r="F162" s="11"/>
      <c r="G162" s="11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/>
      <c r="C163" s="9"/>
      <c r="D163" s="9"/>
      <c r="E163" s="11"/>
      <c r="F163" s="11"/>
      <c r="G163" s="11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/>
      <c r="C164" s="9"/>
      <c r="D164" s="9"/>
      <c r="E164" s="11"/>
      <c r="F164" s="11"/>
      <c r="G164" s="11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/>
      <c r="C165" s="9"/>
      <c r="D165" s="9"/>
      <c r="E165" s="11"/>
      <c r="F165" s="11"/>
      <c r="G165" s="11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/>
      <c r="C166" s="9"/>
      <c r="D166" s="9"/>
      <c r="E166" s="11"/>
      <c r="F166" s="11"/>
      <c r="G166" s="11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/>
      <c r="C167" s="9"/>
      <c r="D167" s="9"/>
      <c r="E167" s="11"/>
      <c r="F167" s="11"/>
      <c r="G167" s="11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/>
      <c r="C168" s="9"/>
      <c r="D168" s="9"/>
      <c r="E168" s="11"/>
      <c r="F168" s="11"/>
      <c r="G168" s="11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/>
      <c r="C169" s="9"/>
      <c r="D169" s="9"/>
      <c r="E169" s="11"/>
      <c r="F169" s="11"/>
      <c r="G169" s="11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/>
      <c r="C170" s="9"/>
      <c r="D170" s="9"/>
      <c r="E170" s="11"/>
      <c r="F170" s="11"/>
      <c r="G170" s="11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/>
      <c r="C171" s="9"/>
      <c r="D171" s="9"/>
      <c r="E171" s="11"/>
      <c r="F171" s="11"/>
      <c r="G171" s="11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/>
      <c r="C172" s="9"/>
      <c r="D172" s="9"/>
      <c r="E172" s="11"/>
      <c r="F172" s="11"/>
      <c r="G172" s="11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/>
      <c r="C173" s="9"/>
      <c r="D173" s="9"/>
      <c r="E173" s="11"/>
      <c r="F173" s="11"/>
      <c r="G173" s="11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/>
      <c r="C174" s="9"/>
      <c r="D174" s="9"/>
      <c r="E174" s="11"/>
      <c r="F174" s="11"/>
      <c r="G174" s="11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"/>
      <c r="C175" s="9"/>
      <c r="D175" s="9"/>
      <c r="E175" s="11"/>
      <c r="F175" s="11"/>
      <c r="G175" s="11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"/>
      <c r="C176" s="9"/>
      <c r="D176" s="9"/>
      <c r="E176" s="11"/>
      <c r="F176" s="11"/>
      <c r="G176" s="11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"/>
      <c r="C177" s="9"/>
      <c r="D177" s="9"/>
      <c r="E177" s="11"/>
      <c r="F177" s="11"/>
      <c r="G177" s="11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"/>
      <c r="C178" s="9"/>
      <c r="D178" s="9"/>
      <c r="E178" s="11"/>
      <c r="F178" s="11"/>
      <c r="G178" s="11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"/>
      <c r="C179" s="9"/>
      <c r="D179" s="9"/>
      <c r="E179" s="11"/>
      <c r="F179" s="11"/>
      <c r="G179" s="11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"/>
      <c r="C180" s="9"/>
      <c r="D180" s="9"/>
      <c r="E180" s="11"/>
      <c r="F180" s="11"/>
      <c r="G180" s="11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"/>
      <c r="C181" s="9"/>
      <c r="D181" s="9"/>
      <c r="E181" s="11"/>
      <c r="F181" s="11"/>
      <c r="G181" s="11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"/>
      <c r="C182" s="9"/>
      <c r="D182" s="9"/>
      <c r="E182" s="11"/>
      <c r="F182" s="11"/>
      <c r="G182" s="11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"/>
      <c r="C183" s="9"/>
      <c r="D183" s="9"/>
      <c r="E183" s="11"/>
      <c r="F183" s="11"/>
      <c r="G183" s="11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"/>
      <c r="C184" s="9"/>
      <c r="D184" s="9"/>
      <c r="E184" s="11"/>
      <c r="F184" s="11"/>
      <c r="G184" s="11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"/>
      <c r="C185" s="9"/>
      <c r="D185" s="9"/>
      <c r="E185" s="11"/>
      <c r="F185" s="11"/>
      <c r="G185" s="11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"/>
      <c r="C186" s="9"/>
      <c r="D186" s="9"/>
      <c r="E186" s="11"/>
      <c r="F186" s="11"/>
      <c r="G186" s="11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"/>
      <c r="C187" s="9"/>
      <c r="D187" s="9"/>
      <c r="E187" s="11"/>
      <c r="F187" s="11"/>
      <c r="G187" s="11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"/>
      <c r="C188" s="9"/>
      <c r="D188" s="9"/>
      <c r="E188" s="11"/>
      <c r="F188" s="11"/>
      <c r="G188" s="11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"/>
      <c r="C189" s="9"/>
      <c r="D189" s="9"/>
      <c r="E189" s="11"/>
      <c r="F189" s="11"/>
      <c r="G189" s="11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"/>
      <c r="C190" s="9"/>
      <c r="D190" s="9"/>
      <c r="E190" s="11"/>
      <c r="F190" s="11"/>
      <c r="G190" s="11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"/>
      <c r="C191" s="9"/>
      <c r="D191" s="9"/>
      <c r="E191" s="11"/>
      <c r="F191" s="11"/>
      <c r="G191" s="11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"/>
      <c r="C192" s="9"/>
      <c r="D192" s="9"/>
      <c r="E192" s="11"/>
      <c r="F192" s="11"/>
      <c r="G192" s="11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"/>
      <c r="C193" s="9"/>
      <c r="D193" s="9"/>
      <c r="E193" s="11"/>
      <c r="F193" s="11"/>
      <c r="G193" s="11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"/>
      <c r="C194" s="9"/>
      <c r="D194" s="9"/>
      <c r="E194" s="11"/>
      <c r="F194" s="11"/>
      <c r="G194" s="11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"/>
      <c r="C195" s="9"/>
      <c r="D195" s="9"/>
      <c r="E195" s="11"/>
      <c r="F195" s="11"/>
      <c r="G195" s="11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"/>
      <c r="C196" s="9"/>
      <c r="D196" s="9"/>
      <c r="E196" s="11"/>
      <c r="F196" s="11"/>
      <c r="G196" s="11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"/>
      <c r="C197" s="9"/>
      <c r="D197" s="9"/>
      <c r="E197" s="11"/>
      <c r="F197" s="11"/>
      <c r="G197" s="11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"/>
      <c r="C198" s="9"/>
      <c r="D198" s="9"/>
      <c r="E198" s="11"/>
      <c r="F198" s="11"/>
      <c r="G198" s="11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"/>
      <c r="C199" s="9"/>
      <c r="D199" s="9"/>
      <c r="E199" s="11"/>
      <c r="F199" s="11"/>
      <c r="G199" s="11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"/>
      <c r="C200" s="9"/>
      <c r="D200" s="9"/>
      <c r="E200" s="11"/>
      <c r="F200" s="11"/>
      <c r="G200" s="11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"/>
      <c r="C201" s="9"/>
      <c r="D201" s="9"/>
      <c r="E201" s="11"/>
      <c r="F201" s="11"/>
      <c r="G201" s="11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"/>
      <c r="C202" s="9"/>
      <c r="D202" s="9"/>
      <c r="E202" s="11"/>
      <c r="F202" s="11"/>
      <c r="G202" s="11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"/>
      <c r="C203" s="9"/>
      <c r="D203" s="9"/>
      <c r="E203" s="11"/>
      <c r="F203" s="11"/>
      <c r="G203" s="11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"/>
      <c r="C204" s="9"/>
      <c r="D204" s="9"/>
      <c r="E204" s="11"/>
      <c r="F204" s="11"/>
      <c r="G204" s="11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"/>
      <c r="C205" s="9"/>
      <c r="D205" s="9"/>
      <c r="E205" s="11"/>
      <c r="F205" s="11"/>
      <c r="G205" s="11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"/>
      <c r="C206" s="9"/>
      <c r="D206" s="9"/>
      <c r="E206" s="11"/>
      <c r="F206" s="11"/>
      <c r="G206" s="11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"/>
      <c r="C207" s="9"/>
      <c r="D207" s="9"/>
      <c r="E207" s="11"/>
      <c r="F207" s="11"/>
      <c r="G207" s="11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"/>
      <c r="C208" s="9"/>
      <c r="D208" s="9"/>
      <c r="E208" s="11"/>
      <c r="F208" s="11"/>
      <c r="G208" s="11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"/>
      <c r="C209" s="9"/>
      <c r="D209" s="9"/>
      <c r="E209" s="11"/>
      <c r="F209" s="11"/>
      <c r="G209" s="11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"/>
      <c r="C210" s="9"/>
      <c r="D210" s="9"/>
      <c r="E210" s="11"/>
      <c r="F210" s="11"/>
      <c r="G210" s="11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"/>
      <c r="C211" s="9"/>
      <c r="D211" s="9"/>
      <c r="E211" s="11"/>
      <c r="F211" s="11"/>
      <c r="G211" s="11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"/>
      <c r="C212" s="9"/>
      <c r="D212" s="9"/>
      <c r="E212" s="11"/>
      <c r="F212" s="11"/>
      <c r="G212" s="11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"/>
      <c r="C213" s="9"/>
      <c r="D213" s="9"/>
      <c r="E213" s="11"/>
      <c r="F213" s="11"/>
      <c r="G213" s="11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"/>
      <c r="C214" s="9"/>
      <c r="D214" s="9"/>
      <c r="E214" s="11"/>
      <c r="F214" s="11"/>
      <c r="G214" s="11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"/>
      <c r="C215" s="9"/>
      <c r="D215" s="9"/>
      <c r="E215" s="11"/>
      <c r="F215" s="11"/>
      <c r="G215" s="11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"/>
      <c r="C216" s="9"/>
      <c r="D216" s="9"/>
      <c r="E216" s="11"/>
      <c r="F216" s="11"/>
      <c r="G216" s="11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"/>
      <c r="C217" s="9"/>
      <c r="D217" s="9"/>
      <c r="E217" s="11"/>
      <c r="F217" s="11"/>
      <c r="G217" s="11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"/>
      <c r="C218" s="9"/>
      <c r="D218" s="9"/>
      <c r="E218" s="11"/>
      <c r="F218" s="11"/>
      <c r="G218" s="11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"/>
      <c r="C219" s="9"/>
      <c r="D219" s="9"/>
      <c r="E219" s="11"/>
      <c r="F219" s="11"/>
      <c r="G219" s="11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"/>
      <c r="C220" s="9"/>
      <c r="D220" s="9"/>
      <c r="E220" s="11"/>
      <c r="F220" s="11"/>
      <c r="G220" s="11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"/>
      <c r="C221" s="9"/>
      <c r="D221" s="9"/>
      <c r="E221" s="11"/>
      <c r="F221" s="11"/>
      <c r="G221" s="11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"/>
      <c r="C222" s="9"/>
      <c r="D222" s="9"/>
      <c r="E222" s="11"/>
      <c r="F222" s="11"/>
      <c r="G222" s="11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"/>
      <c r="C223" s="9"/>
      <c r="D223" s="9"/>
      <c r="E223" s="11"/>
      <c r="F223" s="11"/>
      <c r="G223" s="11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"/>
      <c r="C224" s="9"/>
      <c r="D224" s="9"/>
      <c r="E224" s="11"/>
      <c r="F224" s="11"/>
      <c r="G224" s="11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"/>
      <c r="C225" s="9"/>
      <c r="D225" s="9"/>
      <c r="E225" s="11"/>
      <c r="F225" s="11"/>
      <c r="G225" s="11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"/>
      <c r="C226" s="9"/>
      <c r="D226" s="9"/>
      <c r="E226" s="11"/>
      <c r="F226" s="11"/>
      <c r="G226" s="11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"/>
      <c r="C227" s="9"/>
      <c r="D227" s="9"/>
      <c r="E227" s="11"/>
      <c r="F227" s="11"/>
      <c r="G227" s="11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"/>
      <c r="C228" s="9"/>
      <c r="D228" s="9"/>
      <c r="E228" s="11"/>
      <c r="F228" s="11"/>
      <c r="G228" s="11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"/>
      <c r="C229" s="9"/>
      <c r="D229" s="9"/>
      <c r="E229" s="11"/>
      <c r="F229" s="11"/>
      <c r="G229" s="11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"/>
      <c r="C230" s="9"/>
      <c r="D230" s="9"/>
      <c r="E230" s="11"/>
      <c r="F230" s="11"/>
      <c r="G230" s="11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"/>
      <c r="C231" s="9"/>
      <c r="D231" s="9"/>
      <c r="E231" s="11"/>
      <c r="F231" s="11"/>
      <c r="G231" s="11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"/>
      <c r="C232" s="9"/>
      <c r="D232" s="9"/>
      <c r="E232" s="11"/>
      <c r="F232" s="11"/>
      <c r="G232" s="11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"/>
      <c r="C233" s="9"/>
      <c r="D233" s="9"/>
      <c r="E233" s="11"/>
      <c r="F233" s="11"/>
      <c r="G233" s="11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"/>
      <c r="C234" s="9"/>
      <c r="D234" s="9"/>
      <c r="E234" s="11"/>
      <c r="F234" s="11"/>
      <c r="G234" s="11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"/>
      <c r="C235" s="9"/>
      <c r="D235" s="9"/>
      <c r="E235" s="11"/>
      <c r="F235" s="11"/>
      <c r="G235" s="11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"/>
      <c r="C236" s="9"/>
      <c r="D236" s="9"/>
      <c r="E236" s="11"/>
      <c r="F236" s="11"/>
      <c r="G236" s="11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"/>
      <c r="C237" s="9"/>
      <c r="D237" s="9"/>
      <c r="E237" s="11"/>
      <c r="F237" s="11"/>
      <c r="G237" s="11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"/>
      <c r="C238" s="9"/>
      <c r="D238" s="9"/>
      <c r="E238" s="11"/>
      <c r="F238" s="11"/>
      <c r="G238" s="11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"/>
      <c r="C239" s="9"/>
      <c r="D239" s="9"/>
      <c r="E239" s="11"/>
      <c r="F239" s="11"/>
      <c r="G239" s="11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"/>
      <c r="C240" s="9"/>
      <c r="D240" s="9"/>
      <c r="E240" s="11"/>
      <c r="F240" s="11"/>
      <c r="G240" s="11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"/>
      <c r="C241" s="9"/>
      <c r="D241" s="9"/>
      <c r="E241" s="11"/>
      <c r="F241" s="11"/>
      <c r="G241" s="11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"/>
      <c r="C242" s="9"/>
      <c r="D242" s="9"/>
      <c r="E242" s="11"/>
      <c r="F242" s="11"/>
      <c r="G242" s="11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"/>
      <c r="C243" s="9"/>
      <c r="D243" s="9"/>
      <c r="E243" s="11"/>
      <c r="F243" s="11"/>
      <c r="G243" s="11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"/>
      <c r="C244" s="9"/>
      <c r="D244" s="9"/>
      <c r="E244" s="11"/>
      <c r="F244" s="11"/>
      <c r="G244" s="11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"/>
      <c r="C245" s="9"/>
      <c r="D245" s="9"/>
      <c r="E245" s="11"/>
      <c r="F245" s="11"/>
      <c r="G245" s="11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"/>
      <c r="C246" s="9"/>
      <c r="D246" s="9"/>
      <c r="E246" s="11"/>
      <c r="F246" s="11"/>
      <c r="G246" s="11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"/>
      <c r="C247" s="9"/>
      <c r="D247" s="9"/>
      <c r="E247" s="11"/>
      <c r="F247" s="11"/>
      <c r="G247" s="11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"/>
      <c r="C248" s="9"/>
      <c r="D248" s="9"/>
      <c r="E248" s="11"/>
      <c r="F248" s="11"/>
      <c r="G248" s="11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"/>
      <c r="C249" s="9"/>
      <c r="D249" s="9"/>
      <c r="E249" s="11"/>
      <c r="F249" s="11"/>
      <c r="G249" s="11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"/>
      <c r="C250" s="9"/>
      <c r="D250" s="9"/>
      <c r="E250" s="11"/>
      <c r="F250" s="11"/>
      <c r="G250" s="11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"/>
      <c r="C251" s="9"/>
      <c r="D251" s="9"/>
      <c r="E251" s="11"/>
      <c r="F251" s="11"/>
      <c r="G251" s="11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"/>
      <c r="C252" s="9"/>
      <c r="D252" s="9"/>
      <c r="E252" s="11"/>
      <c r="F252" s="11"/>
      <c r="G252" s="11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"/>
      <c r="C253" s="9"/>
      <c r="D253" s="9"/>
      <c r="E253" s="11"/>
      <c r="F253" s="11"/>
      <c r="G253" s="11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"/>
      <c r="C254" s="9"/>
      <c r="D254" s="9"/>
      <c r="E254" s="11"/>
      <c r="F254" s="11"/>
      <c r="G254" s="11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"/>
      <c r="C255" s="9"/>
      <c r="D255" s="9"/>
      <c r="E255" s="11"/>
      <c r="F255" s="11"/>
      <c r="G255" s="11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"/>
      <c r="C256" s="9"/>
      <c r="D256" s="9"/>
      <c r="E256" s="11"/>
      <c r="F256" s="11"/>
      <c r="G256" s="11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"/>
      <c r="C257" s="9"/>
      <c r="D257" s="9"/>
      <c r="E257" s="11"/>
      <c r="F257" s="11"/>
      <c r="G257" s="11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"/>
      <c r="C258" s="9"/>
      <c r="D258" s="9"/>
      <c r="E258" s="11"/>
      <c r="F258" s="11"/>
      <c r="G258" s="11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"/>
      <c r="C259" s="9"/>
      <c r="D259" s="9"/>
      <c r="E259" s="11"/>
      <c r="F259" s="11"/>
      <c r="G259" s="11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"/>
      <c r="C260" s="9"/>
      <c r="D260" s="9"/>
      <c r="E260" s="11"/>
      <c r="F260" s="11"/>
      <c r="G260" s="11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"/>
      <c r="C261" s="9"/>
      <c r="D261" s="9"/>
      <c r="E261" s="11"/>
      <c r="F261" s="11"/>
      <c r="G261" s="11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"/>
      <c r="C262" s="9"/>
      <c r="D262" s="9"/>
      <c r="E262" s="11"/>
      <c r="F262" s="11"/>
      <c r="G262" s="11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"/>
      <c r="C263" s="9"/>
      <c r="D263" s="9"/>
      <c r="E263" s="11"/>
      <c r="F263" s="11"/>
      <c r="G263" s="11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"/>
      <c r="C264" s="9"/>
      <c r="D264" s="9"/>
      <c r="E264" s="11"/>
      <c r="F264" s="11"/>
      <c r="G264" s="11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"/>
      <c r="C265" s="9"/>
      <c r="D265" s="9"/>
      <c r="E265" s="11"/>
      <c r="F265" s="11"/>
      <c r="G265" s="11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"/>
      <c r="C266" s="9"/>
      <c r="D266" s="9"/>
      <c r="E266" s="11"/>
      <c r="F266" s="11"/>
      <c r="G266" s="11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"/>
      <c r="C267" s="9"/>
      <c r="D267" s="9"/>
      <c r="E267" s="11"/>
      <c r="F267" s="11"/>
      <c r="G267" s="11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"/>
      <c r="C268" s="9"/>
      <c r="D268" s="9"/>
      <c r="E268" s="11"/>
      <c r="F268" s="11"/>
      <c r="G268" s="11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"/>
      <c r="C269" s="9"/>
      <c r="D269" s="9"/>
      <c r="E269" s="11"/>
      <c r="F269" s="11"/>
      <c r="G269" s="11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"/>
      <c r="C270" s="9"/>
      <c r="D270" s="9"/>
      <c r="E270" s="11"/>
      <c r="F270" s="11"/>
      <c r="G270" s="11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"/>
      <c r="C271" s="9"/>
      <c r="D271" s="9"/>
      <c r="E271" s="11"/>
      <c r="F271" s="11"/>
      <c r="G271" s="11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"/>
      <c r="C272" s="9"/>
      <c r="D272" s="9"/>
      <c r="E272" s="11"/>
      <c r="F272" s="11"/>
      <c r="G272" s="11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"/>
      <c r="C273" s="9"/>
      <c r="D273" s="9"/>
      <c r="E273" s="11"/>
      <c r="F273" s="11"/>
      <c r="G273" s="11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"/>
      <c r="C274" s="9"/>
      <c r="D274" s="9"/>
      <c r="E274" s="11"/>
      <c r="F274" s="11"/>
      <c r="G274" s="11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"/>
      <c r="C275" s="9"/>
      <c r="D275" s="9"/>
      <c r="E275" s="11"/>
      <c r="F275" s="11"/>
      <c r="G275" s="11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"/>
      <c r="C276" s="9"/>
      <c r="D276" s="9"/>
      <c r="E276" s="11"/>
      <c r="F276" s="11"/>
      <c r="G276" s="11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"/>
      <c r="C277" s="9"/>
      <c r="D277" s="9"/>
      <c r="E277" s="11"/>
      <c r="F277" s="11"/>
      <c r="G277" s="11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"/>
      <c r="C278" s="9"/>
      <c r="D278" s="9"/>
      <c r="E278" s="11"/>
      <c r="F278" s="11"/>
      <c r="G278" s="11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"/>
      <c r="C279" s="9"/>
      <c r="D279" s="9"/>
      <c r="E279" s="11"/>
      <c r="F279" s="11"/>
      <c r="G279" s="11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"/>
      <c r="C280" s="9"/>
      <c r="D280" s="9"/>
      <c r="E280" s="11"/>
      <c r="F280" s="11"/>
      <c r="G280" s="11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"/>
      <c r="C281" s="9"/>
      <c r="D281" s="9"/>
      <c r="E281" s="11"/>
      <c r="F281" s="11"/>
      <c r="G281" s="11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"/>
      <c r="C282" s="9"/>
      <c r="D282" s="9"/>
      <c r="E282" s="11"/>
      <c r="F282" s="11"/>
      <c r="G282" s="11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"/>
      <c r="C283" s="9"/>
      <c r="D283" s="9"/>
      <c r="E283" s="11"/>
      <c r="F283" s="11"/>
      <c r="G283" s="11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"/>
      <c r="C284" s="9"/>
      <c r="D284" s="9"/>
      <c r="E284" s="11"/>
      <c r="F284" s="11"/>
      <c r="G284" s="11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"/>
      <c r="C285" s="9"/>
      <c r="D285" s="9"/>
      <c r="E285" s="11"/>
      <c r="F285" s="11"/>
      <c r="G285" s="11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"/>
      <c r="C286" s="9"/>
      <c r="D286" s="9"/>
      <c r="E286" s="11"/>
      <c r="F286" s="11"/>
      <c r="G286" s="11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"/>
      <c r="C287" s="9"/>
      <c r="D287" s="9"/>
      <c r="E287" s="11"/>
      <c r="F287" s="11"/>
      <c r="G287" s="11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"/>
      <c r="C288" s="9"/>
      <c r="D288" s="9"/>
      <c r="E288" s="11"/>
      <c r="F288" s="11"/>
      <c r="G288" s="11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"/>
      <c r="C289" s="9"/>
      <c r="D289" s="9"/>
      <c r="E289" s="11"/>
      <c r="F289" s="11"/>
      <c r="G289" s="11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"/>
      <c r="C290" s="9"/>
      <c r="D290" s="9"/>
      <c r="E290" s="11"/>
      <c r="F290" s="11"/>
      <c r="G290" s="11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"/>
      <c r="C291" s="9"/>
      <c r="D291" s="9"/>
      <c r="E291" s="11"/>
      <c r="F291" s="11"/>
      <c r="G291" s="11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"/>
      <c r="C292" s="9"/>
      <c r="D292" s="9"/>
      <c r="E292" s="11"/>
      <c r="F292" s="11"/>
      <c r="G292" s="11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"/>
      <c r="C293" s="9"/>
      <c r="D293" s="9"/>
      <c r="E293" s="11"/>
      <c r="F293" s="11"/>
      <c r="G293" s="11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"/>
      <c r="C294" s="9"/>
      <c r="D294" s="9"/>
      <c r="E294" s="11"/>
      <c r="F294" s="11"/>
      <c r="G294" s="11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"/>
      <c r="C295" s="9"/>
      <c r="D295" s="9"/>
      <c r="E295" s="11"/>
      <c r="F295" s="11"/>
      <c r="G295" s="11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"/>
      <c r="C296" s="9"/>
      <c r="D296" s="9"/>
      <c r="E296" s="11"/>
      <c r="F296" s="11"/>
      <c r="G296" s="11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"/>
      <c r="C297" s="9"/>
      <c r="D297" s="9"/>
      <c r="E297" s="11"/>
      <c r="F297" s="11"/>
      <c r="G297" s="11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"/>
      <c r="C298" s="9"/>
      <c r="D298" s="9"/>
      <c r="E298" s="11"/>
      <c r="F298" s="11"/>
      <c r="G298" s="11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"/>
      <c r="C299" s="9"/>
      <c r="D299" s="9"/>
      <c r="E299" s="11"/>
      <c r="F299" s="11"/>
      <c r="G299" s="11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"/>
      <c r="C300" s="9"/>
      <c r="D300" s="9"/>
      <c r="E300" s="11"/>
      <c r="F300" s="11"/>
      <c r="G300" s="11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"/>
      <c r="C301" s="9"/>
      <c r="D301" s="9"/>
      <c r="E301" s="11"/>
      <c r="F301" s="11"/>
      <c r="G301" s="11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"/>
      <c r="C302" s="9"/>
      <c r="D302" s="9"/>
      <c r="E302" s="11"/>
      <c r="F302" s="11"/>
      <c r="G302" s="11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"/>
      <c r="C303" s="9"/>
      <c r="D303" s="9"/>
      <c r="E303" s="11"/>
      <c r="F303" s="11"/>
      <c r="G303" s="11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"/>
      <c r="C304" s="9"/>
      <c r="D304" s="9"/>
      <c r="E304" s="11"/>
      <c r="F304" s="11"/>
      <c r="G304" s="11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"/>
      <c r="C305" s="9"/>
      <c r="D305" s="9"/>
      <c r="E305" s="11"/>
      <c r="F305" s="11"/>
      <c r="G305" s="11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"/>
      <c r="C306" s="9"/>
      <c r="D306" s="9"/>
      <c r="E306" s="11"/>
      <c r="F306" s="11"/>
      <c r="G306" s="11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"/>
      <c r="C307" s="9"/>
      <c r="D307" s="9"/>
      <c r="E307" s="11"/>
      <c r="F307" s="11"/>
      <c r="G307" s="11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"/>
      <c r="C308" s="9"/>
      <c r="D308" s="9"/>
      <c r="E308" s="11"/>
      <c r="F308" s="11"/>
      <c r="G308" s="11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"/>
      <c r="C309" s="9"/>
      <c r="D309" s="9"/>
      <c r="E309" s="11"/>
      <c r="F309" s="11"/>
      <c r="G309" s="11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"/>
      <c r="C310" s="9"/>
      <c r="D310" s="9"/>
      <c r="E310" s="11"/>
      <c r="F310" s="11"/>
      <c r="G310" s="11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"/>
      <c r="C311" s="9"/>
      <c r="D311" s="9"/>
      <c r="E311" s="11"/>
      <c r="F311" s="11"/>
      <c r="G311" s="11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"/>
      <c r="C312" s="9"/>
      <c r="D312" s="9"/>
      <c r="E312" s="11"/>
      <c r="F312" s="11"/>
      <c r="G312" s="11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"/>
      <c r="C313" s="9"/>
      <c r="D313" s="9"/>
      <c r="E313" s="11"/>
      <c r="F313" s="11"/>
      <c r="G313" s="11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"/>
      <c r="C314" s="9"/>
      <c r="D314" s="9"/>
      <c r="E314" s="11"/>
      <c r="F314" s="11"/>
      <c r="G314" s="11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"/>
      <c r="C315" s="9"/>
      <c r="D315" s="9"/>
      <c r="E315" s="11"/>
      <c r="F315" s="11"/>
      <c r="G315" s="11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"/>
      <c r="C316" s="9"/>
      <c r="D316" s="9"/>
      <c r="E316" s="11"/>
      <c r="F316" s="11"/>
      <c r="G316" s="11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"/>
      <c r="C317" s="9"/>
      <c r="D317" s="9"/>
      <c r="E317" s="11"/>
      <c r="F317" s="11"/>
      <c r="G317" s="11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"/>
      <c r="C318" s="9"/>
      <c r="D318" s="9"/>
      <c r="E318" s="11"/>
      <c r="F318" s="11"/>
      <c r="G318" s="11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"/>
      <c r="C319" s="9"/>
      <c r="D319" s="9"/>
      <c r="E319" s="11"/>
      <c r="F319" s="11"/>
      <c r="G319" s="11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"/>
      <c r="C320" s="9"/>
      <c r="D320" s="9"/>
      <c r="E320" s="11"/>
      <c r="F320" s="11"/>
      <c r="G320" s="11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"/>
      <c r="C321" s="9"/>
      <c r="D321" s="9"/>
      <c r="E321" s="11"/>
      <c r="F321" s="11"/>
      <c r="G321" s="11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"/>
      <c r="C322" s="9"/>
      <c r="D322" s="9"/>
      <c r="E322" s="11"/>
      <c r="F322" s="11"/>
      <c r="G322" s="11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"/>
      <c r="C323" s="9"/>
      <c r="D323" s="9"/>
      <c r="E323" s="11"/>
      <c r="F323" s="11"/>
      <c r="G323" s="11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"/>
      <c r="C324" s="9"/>
      <c r="D324" s="9"/>
      <c r="E324" s="11"/>
      <c r="F324" s="11"/>
      <c r="G324" s="11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"/>
      <c r="C325" s="9"/>
      <c r="D325" s="9"/>
      <c r="E325" s="11"/>
      <c r="F325" s="11"/>
      <c r="G325" s="11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"/>
      <c r="C326" s="9"/>
      <c r="D326" s="9"/>
      <c r="E326" s="11"/>
      <c r="F326" s="11"/>
      <c r="G326" s="11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"/>
      <c r="C327" s="9"/>
      <c r="D327" s="9"/>
      <c r="E327" s="11"/>
      <c r="F327" s="11"/>
      <c r="G327" s="11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"/>
      <c r="C328" s="9"/>
      <c r="D328" s="9"/>
      <c r="E328" s="11"/>
      <c r="F328" s="11"/>
      <c r="G328" s="11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"/>
      <c r="C329" s="9"/>
      <c r="D329" s="9"/>
      <c r="E329" s="11"/>
      <c r="F329" s="11"/>
      <c r="G329" s="11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"/>
      <c r="C330" s="9"/>
      <c r="D330" s="9"/>
      <c r="E330" s="11"/>
      <c r="F330" s="11"/>
      <c r="G330" s="11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"/>
      <c r="C331" s="9"/>
      <c r="D331" s="9"/>
      <c r="E331" s="11"/>
      <c r="F331" s="11"/>
      <c r="G331" s="11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"/>
      <c r="C332" s="9"/>
      <c r="D332" s="9"/>
      <c r="E332" s="11"/>
      <c r="F332" s="11"/>
      <c r="G332" s="11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"/>
      <c r="C333" s="9"/>
      <c r="D333" s="9"/>
      <c r="E333" s="11"/>
      <c r="F333" s="11"/>
      <c r="G333" s="11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"/>
      <c r="C334" s="9"/>
      <c r="D334" s="9"/>
      <c r="E334" s="11"/>
      <c r="F334" s="11"/>
      <c r="G334" s="11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"/>
      <c r="C335" s="9"/>
      <c r="D335" s="9"/>
      <c r="E335" s="11"/>
      <c r="F335" s="11"/>
      <c r="G335" s="11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"/>
      <c r="C336" s="9"/>
      <c r="D336" s="9"/>
      <c r="E336" s="11"/>
      <c r="F336" s="11"/>
      <c r="G336" s="11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"/>
      <c r="C337" s="9"/>
      <c r="D337" s="9"/>
      <c r="E337" s="11"/>
      <c r="F337" s="11"/>
      <c r="G337" s="11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"/>
      <c r="C338" s="9"/>
      <c r="D338" s="9"/>
      <c r="E338" s="11"/>
      <c r="F338" s="11"/>
      <c r="G338" s="11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"/>
      <c r="C339" s="9"/>
      <c r="D339" s="9"/>
      <c r="E339" s="11"/>
      <c r="F339" s="11"/>
      <c r="G339" s="11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"/>
      <c r="C340" s="9"/>
      <c r="D340" s="9"/>
      <c r="E340" s="11"/>
      <c r="F340" s="11"/>
      <c r="G340" s="11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"/>
      <c r="C341" s="9"/>
      <c r="D341" s="9"/>
      <c r="E341" s="11"/>
      <c r="F341" s="11"/>
      <c r="G341" s="11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"/>
      <c r="C342" s="9"/>
      <c r="D342" s="9"/>
      <c r="E342" s="11"/>
      <c r="F342" s="11"/>
      <c r="G342" s="11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"/>
      <c r="C343" s="9"/>
      <c r="D343" s="9"/>
      <c r="E343" s="11"/>
      <c r="F343" s="11"/>
      <c r="G343" s="11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"/>
      <c r="C344" s="9"/>
      <c r="D344" s="9"/>
      <c r="E344" s="11"/>
      <c r="F344" s="11"/>
      <c r="G344" s="11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"/>
      <c r="C345" s="9"/>
      <c r="D345" s="9"/>
      <c r="E345" s="11"/>
      <c r="F345" s="11"/>
      <c r="G345" s="11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"/>
      <c r="C346" s="9"/>
      <c r="D346" s="9"/>
      <c r="E346" s="11"/>
      <c r="F346" s="11"/>
      <c r="G346" s="11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"/>
      <c r="C347" s="9"/>
      <c r="D347" s="9"/>
      <c r="E347" s="11"/>
      <c r="F347" s="11"/>
      <c r="G347" s="11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"/>
      <c r="C348" s="9"/>
      <c r="D348" s="9"/>
      <c r="E348" s="11"/>
      <c r="F348" s="11"/>
      <c r="G348" s="11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"/>
      <c r="C349" s="9"/>
      <c r="D349" s="9"/>
      <c r="E349" s="11"/>
      <c r="F349" s="11"/>
      <c r="G349" s="11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"/>
      <c r="C350" s="9"/>
      <c r="D350" s="9"/>
      <c r="E350" s="11"/>
      <c r="F350" s="11"/>
      <c r="G350" s="11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"/>
      <c r="C351" s="9"/>
      <c r="D351" s="9"/>
      <c r="E351" s="11"/>
      <c r="F351" s="11"/>
      <c r="G351" s="11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"/>
      <c r="C352" s="9"/>
      <c r="D352" s="9"/>
      <c r="E352" s="11"/>
      <c r="F352" s="11"/>
      <c r="G352" s="11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"/>
      <c r="C353" s="9"/>
      <c r="D353" s="9"/>
      <c r="E353" s="11"/>
      <c r="F353" s="11"/>
      <c r="G353" s="11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"/>
      <c r="C354" s="9"/>
      <c r="D354" s="9"/>
      <c r="E354" s="11"/>
      <c r="F354" s="11"/>
      <c r="G354" s="11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"/>
      <c r="C355" s="9"/>
      <c r="D355" s="9"/>
      <c r="E355" s="11"/>
      <c r="F355" s="11"/>
      <c r="G355" s="11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"/>
      <c r="C356" s="9"/>
      <c r="D356" s="9"/>
      <c r="E356" s="11"/>
      <c r="F356" s="11"/>
      <c r="G356" s="11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"/>
      <c r="C357" s="9"/>
      <c r="D357" s="9"/>
      <c r="E357" s="11"/>
      <c r="F357" s="11"/>
      <c r="G357" s="11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"/>
      <c r="C358" s="9"/>
      <c r="D358" s="9"/>
      <c r="E358" s="11"/>
      <c r="F358" s="11"/>
      <c r="G358" s="11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"/>
      <c r="C359" s="9"/>
      <c r="D359" s="9"/>
      <c r="E359" s="11"/>
      <c r="F359" s="11"/>
      <c r="G359" s="11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"/>
      <c r="C360" s="9"/>
      <c r="D360" s="9"/>
      <c r="E360" s="11"/>
      <c r="F360" s="11"/>
      <c r="G360" s="11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"/>
      <c r="C361" s="9"/>
      <c r="D361" s="9"/>
      <c r="E361" s="11"/>
      <c r="F361" s="11"/>
      <c r="G361" s="11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"/>
      <c r="C362" s="9"/>
      <c r="D362" s="9"/>
      <c r="E362" s="11"/>
      <c r="F362" s="11"/>
      <c r="G362" s="11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"/>
      <c r="C363" s="9"/>
      <c r="D363" s="9"/>
      <c r="E363" s="11"/>
      <c r="F363" s="11"/>
      <c r="G363" s="11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"/>
      <c r="C364" s="9"/>
      <c r="D364" s="9"/>
      <c r="E364" s="11"/>
      <c r="F364" s="11"/>
      <c r="G364" s="11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"/>
      <c r="C365" s="9"/>
      <c r="D365" s="9"/>
      <c r="E365" s="11"/>
      <c r="F365" s="11"/>
      <c r="G365" s="11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"/>
      <c r="C366" s="9"/>
      <c r="D366" s="9"/>
      <c r="E366" s="11"/>
      <c r="F366" s="11"/>
      <c r="G366" s="11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"/>
      <c r="C367" s="9"/>
      <c r="D367" s="9"/>
      <c r="E367" s="11"/>
      <c r="F367" s="11"/>
      <c r="G367" s="11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"/>
      <c r="C368" s="9"/>
      <c r="D368" s="9"/>
      <c r="E368" s="11"/>
      <c r="F368" s="11"/>
      <c r="G368" s="11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"/>
      <c r="C369" s="9"/>
      <c r="D369" s="9"/>
      <c r="E369" s="11"/>
      <c r="F369" s="11"/>
      <c r="G369" s="11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"/>
      <c r="C370" s="9"/>
      <c r="D370" s="9"/>
      <c r="E370" s="11"/>
      <c r="F370" s="11"/>
      <c r="G370" s="11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"/>
      <c r="C371" s="9"/>
      <c r="D371" s="9"/>
      <c r="E371" s="11"/>
      <c r="F371" s="11"/>
      <c r="G371" s="11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"/>
      <c r="C372" s="9"/>
      <c r="D372" s="9"/>
      <c r="E372" s="11"/>
      <c r="F372" s="11"/>
      <c r="G372" s="11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"/>
      <c r="C373" s="9"/>
      <c r="D373" s="9"/>
      <c r="E373" s="11"/>
      <c r="F373" s="11"/>
      <c r="G373" s="11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"/>
      <c r="C374" s="9"/>
      <c r="D374" s="9"/>
      <c r="E374" s="11"/>
      <c r="F374" s="11"/>
      <c r="G374" s="11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"/>
      <c r="C375" s="9"/>
      <c r="D375" s="9"/>
      <c r="E375" s="11"/>
      <c r="F375" s="11"/>
      <c r="G375" s="11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"/>
      <c r="C376" s="9"/>
      <c r="D376" s="9"/>
      <c r="E376" s="11"/>
      <c r="F376" s="11"/>
      <c r="G376" s="11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"/>
      <c r="C377" s="9"/>
      <c r="D377" s="9"/>
      <c r="E377" s="11"/>
      <c r="F377" s="11"/>
      <c r="G377" s="11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"/>
      <c r="C378" s="9"/>
      <c r="D378" s="9"/>
      <c r="E378" s="11"/>
      <c r="F378" s="11"/>
      <c r="G378" s="11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"/>
      <c r="C379" s="9"/>
      <c r="D379" s="9"/>
      <c r="E379" s="11"/>
      <c r="F379" s="11"/>
      <c r="G379" s="11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"/>
      <c r="C380" s="9"/>
      <c r="D380" s="9"/>
      <c r="E380" s="11"/>
      <c r="F380" s="11"/>
      <c r="G380" s="11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"/>
      <c r="C381" s="9"/>
      <c r="D381" s="9"/>
      <c r="E381" s="11"/>
      <c r="F381" s="11"/>
      <c r="G381" s="11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"/>
      <c r="C382" s="9"/>
      <c r="D382" s="9"/>
      <c r="E382" s="11"/>
      <c r="F382" s="11"/>
      <c r="G382" s="11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"/>
      <c r="C383" s="9"/>
      <c r="D383" s="9"/>
      <c r="E383" s="11"/>
      <c r="F383" s="11"/>
      <c r="G383" s="11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"/>
      <c r="C384" s="9"/>
      <c r="D384" s="9"/>
      <c r="E384" s="11"/>
      <c r="F384" s="11"/>
      <c r="G384" s="11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"/>
      <c r="C385" s="9"/>
      <c r="D385" s="9"/>
      <c r="E385" s="11"/>
      <c r="F385" s="11"/>
      <c r="G385" s="11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"/>
      <c r="C386" s="9"/>
      <c r="D386" s="9"/>
      <c r="E386" s="11"/>
      <c r="F386" s="11"/>
      <c r="G386" s="11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"/>
      <c r="C387" s="9"/>
      <c r="D387" s="9"/>
      <c r="E387" s="11"/>
      <c r="F387" s="11"/>
      <c r="G387" s="11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"/>
      <c r="C388" s="9"/>
      <c r="D388" s="9"/>
      <c r="E388" s="11"/>
      <c r="F388" s="11"/>
      <c r="G388" s="11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"/>
      <c r="C389" s="9"/>
      <c r="D389" s="9"/>
      <c r="E389" s="11"/>
      <c r="F389" s="11"/>
      <c r="G389" s="11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"/>
      <c r="C390" s="9"/>
      <c r="D390" s="9"/>
      <c r="E390" s="11"/>
      <c r="F390" s="11"/>
      <c r="G390" s="11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"/>
      <c r="C391" s="9"/>
      <c r="D391" s="9"/>
      <c r="E391" s="11"/>
      <c r="F391" s="11"/>
      <c r="G391" s="11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"/>
      <c r="C392" s="9"/>
      <c r="D392" s="9"/>
      <c r="E392" s="11"/>
      <c r="F392" s="11"/>
      <c r="G392" s="11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"/>
      <c r="C393" s="9"/>
      <c r="D393" s="9"/>
      <c r="E393" s="11"/>
      <c r="F393" s="11"/>
      <c r="G393" s="11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"/>
      <c r="C394" s="9"/>
      <c r="D394" s="9"/>
      <c r="E394" s="11"/>
      <c r="F394" s="11"/>
      <c r="G394" s="11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"/>
      <c r="C395" s="9"/>
      <c r="D395" s="9"/>
      <c r="E395" s="11"/>
      <c r="F395" s="11"/>
      <c r="G395" s="11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"/>
      <c r="C396" s="9"/>
      <c r="D396" s="9"/>
      <c r="E396" s="11"/>
      <c r="F396" s="11"/>
      <c r="G396" s="11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"/>
      <c r="C397" s="9"/>
      <c r="D397" s="9"/>
      <c r="E397" s="11"/>
      <c r="F397" s="11"/>
      <c r="G397" s="11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"/>
      <c r="C398" s="9"/>
      <c r="D398" s="9"/>
      <c r="E398" s="11"/>
      <c r="F398" s="11"/>
      <c r="G398" s="11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"/>
      <c r="C399" s="9"/>
      <c r="D399" s="9"/>
      <c r="E399" s="11"/>
      <c r="F399" s="11"/>
      <c r="G399" s="11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"/>
      <c r="C400" s="9"/>
      <c r="D400" s="9"/>
      <c r="E400" s="11"/>
      <c r="F400" s="11"/>
      <c r="G400" s="11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"/>
      <c r="C401" s="9"/>
      <c r="D401" s="9"/>
      <c r="E401" s="11"/>
      <c r="F401" s="11"/>
      <c r="G401" s="11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"/>
      <c r="C402" s="9"/>
      <c r="D402" s="9"/>
      <c r="E402" s="11"/>
      <c r="F402" s="11"/>
      <c r="G402" s="11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"/>
      <c r="C403" s="9"/>
      <c r="D403" s="9"/>
      <c r="E403" s="11"/>
      <c r="F403" s="11"/>
      <c r="G403" s="11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"/>
      <c r="C404" s="9"/>
      <c r="D404" s="9"/>
      <c r="E404" s="11"/>
      <c r="F404" s="11"/>
      <c r="G404" s="11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"/>
      <c r="C405" s="9"/>
      <c r="D405" s="9"/>
      <c r="E405" s="11"/>
      <c r="F405" s="11"/>
      <c r="G405" s="11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"/>
      <c r="C406" s="9"/>
      <c r="D406" s="9"/>
      <c r="E406" s="11"/>
      <c r="F406" s="11"/>
      <c r="G406" s="11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"/>
      <c r="C407" s="9"/>
      <c r="D407" s="9"/>
      <c r="E407" s="11"/>
      <c r="F407" s="11"/>
      <c r="G407" s="11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"/>
      <c r="C408" s="9"/>
      <c r="D408" s="9"/>
      <c r="E408" s="11"/>
      <c r="F408" s="11"/>
      <c r="G408" s="11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"/>
      <c r="C409" s="9"/>
      <c r="D409" s="9"/>
      <c r="E409" s="11"/>
      <c r="F409" s="11"/>
      <c r="G409" s="11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"/>
      <c r="C410" s="9"/>
      <c r="D410" s="9"/>
      <c r="E410" s="11"/>
      <c r="F410" s="11"/>
      <c r="G410" s="11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"/>
      <c r="C411" s="9"/>
      <c r="D411" s="9"/>
      <c r="E411" s="11"/>
      <c r="F411" s="11"/>
      <c r="G411" s="11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"/>
      <c r="C412" s="9"/>
      <c r="D412" s="9"/>
      <c r="E412" s="11"/>
      <c r="F412" s="11"/>
      <c r="G412" s="11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"/>
      <c r="C413" s="9"/>
      <c r="D413" s="9"/>
      <c r="E413" s="11"/>
      <c r="F413" s="11"/>
      <c r="G413" s="11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"/>
      <c r="C414" s="9"/>
      <c r="D414" s="9"/>
      <c r="E414" s="11"/>
      <c r="F414" s="11"/>
      <c r="G414" s="11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"/>
      <c r="C415" s="9"/>
      <c r="D415" s="9"/>
      <c r="E415" s="11"/>
      <c r="F415" s="11"/>
      <c r="G415" s="11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"/>
      <c r="C416" s="9"/>
      <c r="D416" s="9"/>
      <c r="E416" s="11"/>
      <c r="F416" s="11"/>
      <c r="G416" s="11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"/>
      <c r="C417" s="9"/>
      <c r="D417" s="9"/>
      <c r="E417" s="11"/>
      <c r="F417" s="11"/>
      <c r="G417" s="11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"/>
      <c r="C418" s="9"/>
      <c r="D418" s="9"/>
      <c r="E418" s="11"/>
      <c r="F418" s="11"/>
      <c r="G418" s="11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"/>
      <c r="C419" s="9"/>
      <c r="D419" s="9"/>
      <c r="E419" s="11"/>
      <c r="F419" s="11"/>
      <c r="G419" s="11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"/>
      <c r="C420" s="9"/>
      <c r="D420" s="9"/>
      <c r="E420" s="11"/>
      <c r="F420" s="11"/>
      <c r="G420" s="11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"/>
      <c r="C421" s="9"/>
      <c r="D421" s="9"/>
      <c r="E421" s="11"/>
      <c r="F421" s="11"/>
      <c r="G421" s="11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"/>
      <c r="C422" s="9"/>
      <c r="D422" s="9"/>
      <c r="E422" s="11"/>
      <c r="F422" s="11"/>
      <c r="G422" s="11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"/>
      <c r="C423" s="9"/>
      <c r="D423" s="9"/>
      <c r="E423" s="11"/>
      <c r="F423" s="11"/>
      <c r="G423" s="11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"/>
      <c r="C424" s="9"/>
      <c r="D424" s="9"/>
      <c r="E424" s="11"/>
      <c r="F424" s="11"/>
      <c r="G424" s="11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"/>
      <c r="C425" s="9"/>
      <c r="D425" s="9"/>
      <c r="E425" s="11"/>
      <c r="F425" s="11"/>
      <c r="G425" s="11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"/>
      <c r="C426" s="9"/>
      <c r="D426" s="9"/>
      <c r="E426" s="11"/>
      <c r="F426" s="11"/>
      <c r="G426" s="11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"/>
      <c r="C427" s="9"/>
      <c r="D427" s="9"/>
      <c r="E427" s="11"/>
      <c r="F427" s="11"/>
      <c r="G427" s="11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"/>
      <c r="C428" s="9"/>
      <c r="D428" s="9"/>
      <c r="E428" s="11"/>
      <c r="F428" s="11"/>
      <c r="G428" s="11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"/>
      <c r="C429" s="9"/>
      <c r="D429" s="9"/>
      <c r="E429" s="11"/>
      <c r="F429" s="11"/>
      <c r="G429" s="11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"/>
      <c r="C430" s="9"/>
      <c r="D430" s="9"/>
      <c r="E430" s="11"/>
      <c r="F430" s="11"/>
      <c r="G430" s="11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"/>
      <c r="C431" s="9"/>
      <c r="D431" s="9"/>
      <c r="E431" s="11"/>
      <c r="F431" s="11"/>
      <c r="G431" s="11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"/>
      <c r="C432" s="9"/>
      <c r="D432" s="9"/>
      <c r="E432" s="11"/>
      <c r="F432" s="11"/>
      <c r="G432" s="11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"/>
      <c r="C433" s="9"/>
      <c r="D433" s="9"/>
      <c r="E433" s="11"/>
      <c r="F433" s="11"/>
      <c r="G433" s="11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"/>
      <c r="C434" s="9"/>
      <c r="D434" s="9"/>
      <c r="E434" s="11"/>
      <c r="F434" s="11"/>
      <c r="G434" s="11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"/>
      <c r="C435" s="9"/>
      <c r="D435" s="9"/>
      <c r="E435" s="11"/>
      <c r="F435" s="11"/>
      <c r="G435" s="11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"/>
      <c r="C436" s="9"/>
      <c r="D436" s="9"/>
      <c r="E436" s="11"/>
      <c r="F436" s="11"/>
      <c r="G436" s="11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"/>
      <c r="C437" s="9"/>
      <c r="D437" s="9"/>
      <c r="E437" s="11"/>
      <c r="F437" s="11"/>
      <c r="G437" s="11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"/>
      <c r="C438" s="9"/>
      <c r="D438" s="9"/>
      <c r="E438" s="11"/>
      <c r="F438" s="11"/>
      <c r="G438" s="11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"/>
      <c r="C439" s="9"/>
      <c r="D439" s="9"/>
      <c r="E439" s="11"/>
      <c r="F439" s="11"/>
      <c r="G439" s="11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"/>
      <c r="C440" s="9"/>
      <c r="D440" s="9"/>
      <c r="E440" s="11"/>
      <c r="F440" s="11"/>
      <c r="G440" s="11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"/>
      <c r="C441" s="9"/>
      <c r="D441" s="9"/>
      <c r="E441" s="11"/>
      <c r="F441" s="11"/>
      <c r="G441" s="11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"/>
      <c r="C442" s="9"/>
      <c r="D442" s="9"/>
      <c r="E442" s="11"/>
      <c r="F442" s="11"/>
      <c r="G442" s="11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"/>
      <c r="C443" s="9"/>
      <c r="D443" s="9"/>
      <c r="E443" s="11"/>
      <c r="F443" s="11"/>
      <c r="G443" s="11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"/>
      <c r="C444" s="9"/>
      <c r="D444" s="9"/>
      <c r="E444" s="11"/>
      <c r="F444" s="11"/>
      <c r="G444" s="11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"/>
      <c r="C445" s="9"/>
      <c r="D445" s="9"/>
      <c r="E445" s="11"/>
      <c r="F445" s="11"/>
      <c r="G445" s="11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"/>
      <c r="C446" s="9"/>
      <c r="D446" s="9"/>
      <c r="E446" s="11"/>
      <c r="F446" s="11"/>
      <c r="G446" s="11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"/>
      <c r="C447" s="9"/>
      <c r="D447" s="9"/>
      <c r="E447" s="11"/>
      <c r="F447" s="11"/>
      <c r="G447" s="11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"/>
      <c r="C448" s="9"/>
      <c r="D448" s="9"/>
      <c r="E448" s="11"/>
      <c r="F448" s="11"/>
      <c r="G448" s="11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"/>
      <c r="C449" s="9"/>
      <c r="D449" s="9"/>
      <c r="E449" s="11"/>
      <c r="F449" s="11"/>
      <c r="G449" s="11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"/>
      <c r="C450" s="9"/>
      <c r="D450" s="9"/>
      <c r="E450" s="11"/>
      <c r="F450" s="11"/>
      <c r="G450" s="11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"/>
      <c r="C451" s="9"/>
      <c r="D451" s="9"/>
      <c r="E451" s="11"/>
      <c r="F451" s="11"/>
      <c r="G451" s="11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"/>
      <c r="C452" s="9"/>
      <c r="D452" s="9"/>
      <c r="E452" s="11"/>
      <c r="F452" s="11"/>
      <c r="G452" s="11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"/>
      <c r="C453" s="9"/>
      <c r="D453" s="9"/>
      <c r="E453" s="11"/>
      <c r="F453" s="11"/>
      <c r="G453" s="11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"/>
      <c r="C454" s="9"/>
      <c r="D454" s="9"/>
      <c r="E454" s="11"/>
      <c r="F454" s="11"/>
      <c r="G454" s="11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"/>
      <c r="C455" s="9"/>
      <c r="D455" s="9"/>
      <c r="E455" s="11"/>
      <c r="F455" s="11"/>
      <c r="G455" s="11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"/>
      <c r="C456" s="9"/>
      <c r="D456" s="9"/>
      <c r="E456" s="11"/>
      <c r="F456" s="11"/>
      <c r="G456" s="11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"/>
      <c r="C457" s="9"/>
      <c r="D457" s="9"/>
      <c r="E457" s="11"/>
      <c r="F457" s="11"/>
      <c r="G457" s="11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"/>
      <c r="C458" s="9"/>
      <c r="D458" s="9"/>
      <c r="E458" s="11"/>
      <c r="F458" s="11"/>
      <c r="G458" s="11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"/>
      <c r="C459" s="9"/>
      <c r="D459" s="9"/>
      <c r="E459" s="11"/>
      <c r="F459" s="11"/>
      <c r="G459" s="11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"/>
      <c r="C460" s="9"/>
      <c r="D460" s="9"/>
      <c r="E460" s="11"/>
      <c r="F460" s="11"/>
      <c r="G460" s="11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"/>
      <c r="C461" s="9"/>
      <c r="D461" s="9"/>
      <c r="E461" s="11"/>
      <c r="F461" s="11"/>
      <c r="G461" s="11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"/>
      <c r="C462" s="9"/>
      <c r="D462" s="9"/>
      <c r="E462" s="11"/>
      <c r="F462" s="11"/>
      <c r="G462" s="11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"/>
      <c r="C463" s="9"/>
      <c r="D463" s="9"/>
      <c r="E463" s="11"/>
      <c r="F463" s="11"/>
      <c r="G463" s="11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"/>
      <c r="C464" s="9"/>
      <c r="D464" s="9"/>
      <c r="E464" s="11"/>
      <c r="F464" s="11"/>
      <c r="G464" s="11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"/>
      <c r="C465" s="9"/>
      <c r="D465" s="9"/>
      <c r="E465" s="11"/>
      <c r="F465" s="11"/>
      <c r="G465" s="11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"/>
      <c r="C466" s="9"/>
      <c r="D466" s="9"/>
      <c r="E466" s="11"/>
      <c r="F466" s="11"/>
      <c r="G466" s="11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"/>
      <c r="C467" s="9"/>
      <c r="D467" s="9"/>
      <c r="E467" s="11"/>
      <c r="F467" s="11"/>
      <c r="G467" s="11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"/>
      <c r="C468" s="9"/>
      <c r="D468" s="9"/>
      <c r="E468" s="11"/>
      <c r="F468" s="11"/>
      <c r="G468" s="11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"/>
      <c r="C469" s="9"/>
      <c r="D469" s="9"/>
      <c r="E469" s="11"/>
      <c r="F469" s="11"/>
      <c r="G469" s="11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"/>
      <c r="C470" s="9"/>
      <c r="D470" s="9"/>
      <c r="E470" s="11"/>
      <c r="F470" s="11"/>
      <c r="G470" s="11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"/>
      <c r="C471" s="9"/>
      <c r="D471" s="9"/>
      <c r="E471" s="11"/>
      <c r="F471" s="11"/>
      <c r="G471" s="11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"/>
      <c r="C472" s="9"/>
      <c r="D472" s="9"/>
      <c r="E472" s="11"/>
      <c r="F472" s="11"/>
      <c r="G472" s="11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"/>
      <c r="C473" s="9"/>
      <c r="D473" s="9"/>
      <c r="E473" s="11"/>
      <c r="F473" s="11"/>
      <c r="G473" s="11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"/>
      <c r="C474" s="9"/>
      <c r="D474" s="9"/>
      <c r="E474" s="11"/>
      <c r="F474" s="11"/>
      <c r="G474" s="11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"/>
      <c r="C475" s="9"/>
      <c r="D475" s="9"/>
      <c r="E475" s="11"/>
      <c r="F475" s="11"/>
      <c r="G475" s="11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"/>
      <c r="C476" s="9"/>
      <c r="D476" s="9"/>
      <c r="E476" s="11"/>
      <c r="F476" s="11"/>
      <c r="G476" s="11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"/>
      <c r="C477" s="9"/>
      <c r="D477" s="9"/>
      <c r="E477" s="11"/>
      <c r="F477" s="11"/>
      <c r="G477" s="11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"/>
      <c r="C478" s="9"/>
      <c r="D478" s="9"/>
      <c r="E478" s="11"/>
      <c r="F478" s="11"/>
      <c r="G478" s="11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"/>
      <c r="C479" s="9"/>
      <c r="D479" s="9"/>
      <c r="E479" s="11"/>
      <c r="F479" s="11"/>
      <c r="G479" s="11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"/>
      <c r="C480" s="9"/>
      <c r="D480" s="9"/>
      <c r="E480" s="11"/>
      <c r="F480" s="11"/>
      <c r="G480" s="11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"/>
      <c r="C481" s="9"/>
      <c r="D481" s="9"/>
      <c r="E481" s="11"/>
      <c r="F481" s="11"/>
      <c r="G481" s="11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"/>
      <c r="C482" s="9"/>
      <c r="D482" s="9"/>
      <c r="E482" s="11"/>
      <c r="F482" s="11"/>
      <c r="G482" s="11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"/>
      <c r="C483" s="9"/>
      <c r="D483" s="9"/>
      <c r="E483" s="11"/>
      <c r="F483" s="11"/>
      <c r="G483" s="11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"/>
      <c r="C484" s="9"/>
      <c r="D484" s="9"/>
      <c r="E484" s="11"/>
      <c r="F484" s="11"/>
      <c r="G484" s="11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"/>
      <c r="C485" s="9"/>
      <c r="D485" s="9"/>
      <c r="E485" s="11"/>
      <c r="F485" s="11"/>
      <c r="G485" s="11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"/>
      <c r="C486" s="9"/>
      <c r="D486" s="9"/>
      <c r="E486" s="11"/>
      <c r="F486" s="11"/>
      <c r="G486" s="11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"/>
      <c r="C487" s="9"/>
      <c r="D487" s="9"/>
      <c r="E487" s="11"/>
      <c r="F487" s="11"/>
      <c r="G487" s="11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"/>
      <c r="C488" s="9"/>
      <c r="D488" s="9"/>
      <c r="E488" s="11"/>
      <c r="F488" s="11"/>
      <c r="G488" s="11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"/>
      <c r="C489" s="9"/>
      <c r="D489" s="9"/>
      <c r="E489" s="11"/>
      <c r="F489" s="11"/>
      <c r="G489" s="11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"/>
      <c r="C490" s="9"/>
      <c r="D490" s="9"/>
      <c r="E490" s="11"/>
      <c r="F490" s="11"/>
      <c r="G490" s="11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"/>
      <c r="C491" s="9"/>
      <c r="D491" s="9"/>
      <c r="E491" s="11"/>
      <c r="F491" s="11"/>
      <c r="G491" s="11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"/>
      <c r="C492" s="9"/>
      <c r="D492" s="9"/>
      <c r="E492" s="11"/>
      <c r="F492" s="11"/>
      <c r="G492" s="11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"/>
      <c r="C493" s="9"/>
      <c r="D493" s="9"/>
      <c r="E493" s="11"/>
      <c r="F493" s="11"/>
      <c r="G493" s="11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"/>
      <c r="C494" s="9"/>
      <c r="D494" s="9"/>
      <c r="E494" s="11"/>
      <c r="F494" s="11"/>
      <c r="G494" s="11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"/>
      <c r="C495" s="9"/>
      <c r="D495" s="9"/>
      <c r="E495" s="11"/>
      <c r="F495" s="11"/>
      <c r="G495" s="11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"/>
      <c r="C496" s="9"/>
      <c r="D496" s="9"/>
      <c r="E496" s="11"/>
      <c r="F496" s="11"/>
      <c r="G496" s="11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"/>
      <c r="C497" s="9"/>
      <c r="D497" s="9"/>
      <c r="E497" s="11"/>
      <c r="F497" s="11"/>
      <c r="G497" s="11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"/>
      <c r="C498" s="9"/>
      <c r="D498" s="9"/>
      <c r="E498" s="11"/>
      <c r="F498" s="11"/>
      <c r="G498" s="11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"/>
      <c r="C499" s="9"/>
      <c r="D499" s="9"/>
      <c r="E499" s="11"/>
      <c r="F499" s="11"/>
      <c r="G499" s="11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"/>
      <c r="C500" s="9"/>
      <c r="D500" s="9"/>
      <c r="E500" s="11"/>
      <c r="F500" s="11"/>
      <c r="G500" s="11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"/>
      <c r="C501" s="9"/>
      <c r="D501" s="9"/>
      <c r="E501" s="11"/>
      <c r="F501" s="11"/>
      <c r="G501" s="11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"/>
      <c r="C502" s="9"/>
      <c r="D502" s="9"/>
      <c r="E502" s="11"/>
      <c r="F502" s="11"/>
      <c r="G502" s="11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"/>
      <c r="C503" s="9"/>
      <c r="D503" s="9"/>
      <c r="E503" s="11"/>
      <c r="F503" s="11"/>
      <c r="G503" s="11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"/>
      <c r="C504" s="9"/>
      <c r="D504" s="9"/>
      <c r="E504" s="11"/>
      <c r="F504" s="11"/>
      <c r="G504" s="11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"/>
      <c r="C505" s="9"/>
      <c r="D505" s="9"/>
      <c r="E505" s="11"/>
      <c r="F505" s="11"/>
      <c r="G505" s="11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"/>
      <c r="C506" s="9"/>
      <c r="D506" s="9"/>
      <c r="E506" s="11"/>
      <c r="F506" s="11"/>
      <c r="G506" s="11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"/>
      <c r="C507" s="9"/>
      <c r="D507" s="9"/>
      <c r="E507" s="11"/>
      <c r="F507" s="11"/>
      <c r="G507" s="11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"/>
      <c r="C508" s="9"/>
      <c r="D508" s="9"/>
      <c r="E508" s="11"/>
      <c r="F508" s="11"/>
      <c r="G508" s="11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"/>
      <c r="C509" s="9"/>
      <c r="D509" s="9"/>
      <c r="E509" s="11"/>
      <c r="F509" s="11"/>
      <c r="G509" s="11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"/>
      <c r="C510" s="9"/>
      <c r="D510" s="9"/>
      <c r="E510" s="11"/>
      <c r="F510" s="11"/>
      <c r="G510" s="11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"/>
      <c r="C511" s="9"/>
      <c r="D511" s="9"/>
      <c r="E511" s="11"/>
      <c r="F511" s="11"/>
      <c r="G511" s="11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"/>
      <c r="C512" s="9"/>
      <c r="D512" s="9"/>
      <c r="E512" s="11"/>
      <c r="F512" s="11"/>
      <c r="G512" s="11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"/>
      <c r="C513" s="9"/>
      <c r="D513" s="9"/>
      <c r="E513" s="11"/>
      <c r="F513" s="11"/>
      <c r="G513" s="11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"/>
      <c r="C514" s="9"/>
      <c r="D514" s="9"/>
      <c r="E514" s="11"/>
      <c r="F514" s="11"/>
      <c r="G514" s="11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"/>
      <c r="C515" s="9"/>
      <c r="D515" s="9"/>
      <c r="E515" s="11"/>
      <c r="F515" s="11"/>
      <c r="G515" s="11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"/>
      <c r="C516" s="9"/>
      <c r="D516" s="9"/>
      <c r="E516" s="11"/>
      <c r="F516" s="11"/>
      <c r="G516" s="11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"/>
      <c r="C517" s="9"/>
      <c r="D517" s="9"/>
      <c r="E517" s="11"/>
      <c r="F517" s="11"/>
      <c r="G517" s="11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"/>
      <c r="C518" s="9"/>
      <c r="D518" s="9"/>
      <c r="E518" s="11"/>
      <c r="F518" s="11"/>
      <c r="G518" s="11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"/>
      <c r="C519" s="9"/>
      <c r="D519" s="9"/>
      <c r="E519" s="11"/>
      <c r="F519" s="11"/>
      <c r="G519" s="11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"/>
      <c r="C520" s="9"/>
      <c r="D520" s="9"/>
      <c r="E520" s="11"/>
      <c r="F520" s="11"/>
      <c r="G520" s="11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"/>
      <c r="C521" s="9"/>
      <c r="D521" s="9"/>
      <c r="E521" s="11"/>
      <c r="F521" s="11"/>
      <c r="G521" s="11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"/>
      <c r="C522" s="9"/>
      <c r="D522" s="9"/>
      <c r="E522" s="11"/>
      <c r="F522" s="11"/>
      <c r="G522" s="11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"/>
      <c r="C523" s="9"/>
      <c r="D523" s="9"/>
      <c r="E523" s="11"/>
      <c r="F523" s="11"/>
      <c r="G523" s="11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"/>
      <c r="C524" s="9"/>
      <c r="D524" s="9"/>
      <c r="E524" s="11"/>
      <c r="F524" s="11"/>
      <c r="G524" s="11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"/>
      <c r="C525" s="9"/>
      <c r="D525" s="9"/>
      <c r="E525" s="11"/>
      <c r="F525" s="11"/>
      <c r="G525" s="11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"/>
      <c r="C526" s="9"/>
      <c r="D526" s="9"/>
      <c r="E526" s="11"/>
      <c r="F526" s="11"/>
      <c r="G526" s="11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"/>
      <c r="C527" s="9"/>
      <c r="D527" s="9"/>
      <c r="E527" s="11"/>
      <c r="F527" s="11"/>
      <c r="G527" s="11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"/>
      <c r="C528" s="9"/>
      <c r="D528" s="9"/>
      <c r="E528" s="11"/>
      <c r="F528" s="11"/>
      <c r="G528" s="11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"/>
      <c r="C529" s="9"/>
      <c r="D529" s="9"/>
      <c r="E529" s="11"/>
      <c r="F529" s="11"/>
      <c r="G529" s="11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"/>
      <c r="C530" s="9"/>
      <c r="D530" s="9"/>
      <c r="E530" s="11"/>
      <c r="F530" s="11"/>
      <c r="G530" s="11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"/>
      <c r="C531" s="9"/>
      <c r="D531" s="9"/>
      <c r="E531" s="11"/>
      <c r="F531" s="11"/>
      <c r="G531" s="11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"/>
      <c r="C532" s="9"/>
      <c r="D532" s="9"/>
      <c r="E532" s="11"/>
      <c r="F532" s="11"/>
      <c r="G532" s="11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"/>
      <c r="C533" s="9"/>
      <c r="D533" s="9"/>
      <c r="E533" s="11"/>
      <c r="F533" s="11"/>
      <c r="G533" s="11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"/>
      <c r="C534" s="9"/>
      <c r="D534" s="9"/>
      <c r="E534" s="11"/>
      <c r="F534" s="11"/>
      <c r="G534" s="11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"/>
      <c r="C535" s="9"/>
      <c r="D535" s="9"/>
      <c r="E535" s="11"/>
      <c r="F535" s="11"/>
      <c r="G535" s="11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"/>
      <c r="C536" s="9"/>
      <c r="D536" s="9"/>
      <c r="E536" s="11"/>
      <c r="F536" s="11"/>
      <c r="G536" s="11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"/>
      <c r="C537" s="9"/>
      <c r="D537" s="9"/>
      <c r="E537" s="11"/>
      <c r="F537" s="11"/>
      <c r="G537" s="11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"/>
      <c r="C538" s="9"/>
      <c r="D538" s="9"/>
      <c r="E538" s="11"/>
      <c r="F538" s="11"/>
      <c r="G538" s="11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"/>
      <c r="C539" s="9"/>
      <c r="D539" s="9"/>
      <c r="E539" s="11"/>
      <c r="F539" s="11"/>
      <c r="G539" s="11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"/>
      <c r="C540" s="9"/>
      <c r="D540" s="9"/>
      <c r="E540" s="11"/>
      <c r="F540" s="11"/>
      <c r="G540" s="11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"/>
      <c r="C541" s="9"/>
      <c r="D541" s="9"/>
      <c r="E541" s="11"/>
      <c r="F541" s="11"/>
      <c r="G541" s="11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"/>
      <c r="C542" s="9"/>
      <c r="D542" s="9"/>
      <c r="E542" s="11"/>
      <c r="F542" s="11"/>
      <c r="G542" s="11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"/>
      <c r="C543" s="9"/>
      <c r="D543" s="9"/>
      <c r="E543" s="11"/>
      <c r="F543" s="11"/>
      <c r="G543" s="11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"/>
      <c r="C544" s="9"/>
      <c r="D544" s="9"/>
      <c r="E544" s="11"/>
      <c r="F544" s="11"/>
      <c r="G544" s="11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"/>
      <c r="C545" s="9"/>
      <c r="D545" s="9"/>
      <c r="E545" s="11"/>
      <c r="F545" s="11"/>
      <c r="G545" s="11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"/>
      <c r="C546" s="9"/>
      <c r="D546" s="9"/>
      <c r="E546" s="11"/>
      <c r="F546" s="11"/>
      <c r="G546" s="11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"/>
      <c r="C547" s="9"/>
      <c r="D547" s="9"/>
      <c r="E547" s="11"/>
      <c r="F547" s="11"/>
      <c r="G547" s="11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"/>
      <c r="C548" s="9"/>
      <c r="D548" s="9"/>
      <c r="E548" s="11"/>
      <c r="F548" s="11"/>
      <c r="G548" s="11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"/>
      <c r="C549" s="9"/>
      <c r="D549" s="9"/>
      <c r="E549" s="11"/>
      <c r="F549" s="11"/>
      <c r="G549" s="11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"/>
      <c r="C550" s="9"/>
      <c r="D550" s="9"/>
      <c r="E550" s="11"/>
      <c r="F550" s="11"/>
      <c r="G550" s="11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"/>
      <c r="C551" s="9"/>
      <c r="D551" s="9"/>
      <c r="E551" s="11"/>
      <c r="F551" s="11"/>
      <c r="G551" s="11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"/>
      <c r="C552" s="9"/>
      <c r="D552" s="9"/>
      <c r="E552" s="11"/>
      <c r="F552" s="11"/>
      <c r="G552" s="11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"/>
      <c r="C553" s="9"/>
      <c r="D553" s="9"/>
      <c r="E553" s="11"/>
      <c r="F553" s="11"/>
      <c r="G553" s="11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"/>
      <c r="C554" s="9"/>
      <c r="D554" s="9"/>
      <c r="E554" s="11"/>
      <c r="F554" s="11"/>
      <c r="G554" s="11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"/>
      <c r="C555" s="9"/>
      <c r="D555" s="9"/>
      <c r="E555" s="11"/>
      <c r="F555" s="11"/>
      <c r="G555" s="11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"/>
      <c r="C556" s="9"/>
      <c r="D556" s="9"/>
      <c r="E556" s="11"/>
      <c r="F556" s="11"/>
      <c r="G556" s="11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"/>
      <c r="C557" s="9"/>
      <c r="D557" s="9"/>
      <c r="E557" s="11"/>
      <c r="F557" s="11"/>
      <c r="G557" s="11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"/>
      <c r="C558" s="9"/>
      <c r="D558" s="9"/>
      <c r="E558" s="11"/>
      <c r="F558" s="11"/>
      <c r="G558" s="11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"/>
      <c r="C559" s="9"/>
      <c r="D559" s="9"/>
      <c r="E559" s="11"/>
      <c r="F559" s="11"/>
      <c r="G559" s="11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"/>
      <c r="C560" s="9"/>
      <c r="D560" s="9"/>
      <c r="E560" s="11"/>
      <c r="F560" s="11"/>
      <c r="G560" s="11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"/>
      <c r="C561" s="9"/>
      <c r="D561" s="9"/>
      <c r="E561" s="11"/>
      <c r="F561" s="11"/>
      <c r="G561" s="11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"/>
      <c r="C562" s="9"/>
      <c r="D562" s="9"/>
      <c r="E562" s="11"/>
      <c r="F562" s="11"/>
      <c r="G562" s="11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"/>
      <c r="C563" s="9"/>
      <c r="D563" s="9"/>
      <c r="E563" s="11"/>
      <c r="F563" s="11"/>
      <c r="G563" s="11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"/>
      <c r="C564" s="9"/>
      <c r="D564" s="9"/>
      <c r="E564" s="11"/>
      <c r="F564" s="11"/>
      <c r="G564" s="11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"/>
      <c r="C565" s="9"/>
      <c r="D565" s="9"/>
      <c r="E565" s="11"/>
      <c r="F565" s="11"/>
      <c r="G565" s="11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"/>
      <c r="C566" s="9"/>
      <c r="D566" s="9"/>
      <c r="E566" s="11"/>
      <c r="F566" s="11"/>
      <c r="G566" s="11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"/>
      <c r="C567" s="9"/>
      <c r="D567" s="9"/>
      <c r="E567" s="11"/>
      <c r="F567" s="11"/>
      <c r="G567" s="11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"/>
      <c r="C568" s="9"/>
      <c r="D568" s="9"/>
      <c r="E568" s="11"/>
      <c r="F568" s="11"/>
      <c r="G568" s="11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"/>
      <c r="C569" s="9"/>
      <c r="D569" s="9"/>
      <c r="E569" s="11"/>
      <c r="F569" s="11"/>
      <c r="G569" s="11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"/>
      <c r="C570" s="9"/>
      <c r="D570" s="9"/>
      <c r="E570" s="11"/>
      <c r="F570" s="11"/>
      <c r="G570" s="11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"/>
      <c r="C571" s="9"/>
      <c r="D571" s="9"/>
      <c r="E571" s="11"/>
      <c r="F571" s="11"/>
      <c r="G571" s="11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"/>
      <c r="C572" s="9"/>
      <c r="D572" s="9"/>
      <c r="E572" s="11"/>
      <c r="F572" s="11"/>
      <c r="G572" s="11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"/>
      <c r="C573" s="9"/>
      <c r="D573" s="9"/>
      <c r="E573" s="11"/>
      <c r="F573" s="11"/>
      <c r="G573" s="11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"/>
      <c r="C574" s="9"/>
      <c r="D574" s="9"/>
      <c r="E574" s="11"/>
      <c r="F574" s="11"/>
      <c r="G574" s="11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"/>
      <c r="C575" s="9"/>
      <c r="D575" s="9"/>
      <c r="E575" s="11"/>
      <c r="F575" s="11"/>
      <c r="G575" s="11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"/>
      <c r="C576" s="9"/>
      <c r="D576" s="9"/>
      <c r="E576" s="11"/>
      <c r="F576" s="11"/>
      <c r="G576" s="11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"/>
      <c r="C577" s="9"/>
      <c r="D577" s="9"/>
      <c r="E577" s="11"/>
      <c r="F577" s="11"/>
      <c r="G577" s="11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"/>
      <c r="C578" s="9"/>
      <c r="D578" s="9"/>
      <c r="E578" s="11"/>
      <c r="F578" s="11"/>
      <c r="G578" s="11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"/>
      <c r="C579" s="9"/>
      <c r="D579" s="9"/>
      <c r="E579" s="11"/>
      <c r="F579" s="11"/>
      <c r="G579" s="11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"/>
      <c r="C580" s="9"/>
      <c r="D580" s="9"/>
      <c r="E580" s="11"/>
      <c r="F580" s="11"/>
      <c r="G580" s="11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"/>
      <c r="C581" s="9"/>
      <c r="D581" s="9"/>
      <c r="E581" s="11"/>
      <c r="F581" s="11"/>
      <c r="G581" s="11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"/>
      <c r="C582" s="9"/>
      <c r="D582" s="9"/>
      <c r="E582" s="11"/>
      <c r="F582" s="11"/>
      <c r="G582" s="11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"/>
      <c r="C583" s="9"/>
      <c r="D583" s="9"/>
      <c r="E583" s="11"/>
      <c r="F583" s="11"/>
      <c r="G583" s="11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"/>
      <c r="C584" s="9"/>
      <c r="D584" s="9"/>
      <c r="E584" s="11"/>
      <c r="F584" s="11"/>
      <c r="G584" s="11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"/>
      <c r="C585" s="9"/>
      <c r="D585" s="9"/>
      <c r="E585" s="11"/>
      <c r="F585" s="11"/>
      <c r="G585" s="11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"/>
      <c r="C586" s="9"/>
      <c r="D586" s="9"/>
      <c r="E586" s="11"/>
      <c r="F586" s="11"/>
      <c r="G586" s="11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"/>
      <c r="C587" s="9"/>
      <c r="D587" s="9"/>
      <c r="E587" s="11"/>
      <c r="F587" s="11"/>
      <c r="G587" s="11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"/>
      <c r="C588" s="9"/>
      <c r="D588" s="9"/>
      <c r="E588" s="11"/>
      <c r="F588" s="11"/>
      <c r="G588" s="11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"/>
      <c r="C589" s="9"/>
      <c r="D589" s="9"/>
      <c r="E589" s="11"/>
      <c r="F589" s="11"/>
      <c r="G589" s="11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"/>
      <c r="C590" s="9"/>
      <c r="D590" s="9"/>
      <c r="E590" s="11"/>
      <c r="F590" s="11"/>
      <c r="G590" s="11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"/>
      <c r="C591" s="9"/>
      <c r="D591" s="9"/>
      <c r="E591" s="11"/>
      <c r="F591" s="11"/>
      <c r="G591" s="11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"/>
      <c r="C592" s="9"/>
      <c r="D592" s="9"/>
      <c r="E592" s="11"/>
      <c r="F592" s="11"/>
      <c r="G592" s="11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"/>
      <c r="C593" s="9"/>
      <c r="D593" s="9"/>
      <c r="E593" s="11"/>
      <c r="F593" s="11"/>
      <c r="G593" s="11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"/>
      <c r="C594" s="9"/>
      <c r="D594" s="9"/>
      <c r="E594" s="11"/>
      <c r="F594" s="11"/>
      <c r="G594" s="11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"/>
      <c r="C595" s="9"/>
      <c r="D595" s="9"/>
      <c r="E595" s="11"/>
      <c r="F595" s="11"/>
      <c r="G595" s="11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"/>
      <c r="C596" s="9"/>
      <c r="D596" s="9"/>
      <c r="E596" s="11"/>
      <c r="F596" s="11"/>
      <c r="G596" s="11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"/>
      <c r="C597" s="9"/>
      <c r="D597" s="9"/>
      <c r="E597" s="11"/>
      <c r="F597" s="11"/>
      <c r="G597" s="11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"/>
      <c r="C598" s="9"/>
      <c r="D598" s="9"/>
      <c r="E598" s="11"/>
      <c r="F598" s="11"/>
      <c r="G598" s="11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"/>
      <c r="C599" s="9"/>
      <c r="D599" s="9"/>
      <c r="E599" s="11"/>
      <c r="F599" s="11"/>
      <c r="G599" s="11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"/>
      <c r="C600" s="9"/>
      <c r="D600" s="9"/>
      <c r="E600" s="11"/>
      <c r="F600" s="11"/>
      <c r="G600" s="11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"/>
      <c r="C601" s="9"/>
      <c r="D601" s="9"/>
      <c r="E601" s="11"/>
      <c r="F601" s="11"/>
      <c r="G601" s="11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"/>
      <c r="C602" s="9"/>
      <c r="D602" s="9"/>
      <c r="E602" s="11"/>
      <c r="F602" s="11"/>
      <c r="G602" s="11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"/>
      <c r="C603" s="9"/>
      <c r="D603" s="9"/>
      <c r="E603" s="11"/>
      <c r="F603" s="11"/>
      <c r="G603" s="11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"/>
      <c r="C604" s="9"/>
      <c r="D604" s="9"/>
      <c r="E604" s="11"/>
      <c r="F604" s="11"/>
      <c r="G604" s="11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"/>
      <c r="C605" s="9"/>
      <c r="D605" s="9"/>
      <c r="E605" s="11"/>
      <c r="F605" s="11"/>
      <c r="G605" s="11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"/>
      <c r="C606" s="9"/>
      <c r="D606" s="9"/>
      <c r="E606" s="11"/>
      <c r="F606" s="11"/>
      <c r="G606" s="11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"/>
      <c r="C607" s="9"/>
      <c r="D607" s="9"/>
      <c r="E607" s="11"/>
      <c r="F607" s="11"/>
      <c r="G607" s="11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"/>
      <c r="C608" s="9"/>
      <c r="D608" s="9"/>
      <c r="E608" s="11"/>
      <c r="F608" s="11"/>
      <c r="G608" s="11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"/>
      <c r="C609" s="9"/>
      <c r="D609" s="9"/>
      <c r="E609" s="11"/>
      <c r="F609" s="11"/>
      <c r="G609" s="11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"/>
      <c r="C610" s="9"/>
      <c r="D610" s="9"/>
      <c r="E610" s="11"/>
      <c r="F610" s="11"/>
      <c r="G610" s="11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"/>
      <c r="C611" s="9"/>
      <c r="D611" s="9"/>
      <c r="E611" s="11"/>
      <c r="F611" s="11"/>
      <c r="G611" s="11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"/>
      <c r="C612" s="9"/>
      <c r="D612" s="9"/>
      <c r="E612" s="11"/>
      <c r="F612" s="11"/>
      <c r="G612" s="11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"/>
      <c r="C613" s="9"/>
      <c r="D613" s="9"/>
      <c r="E613" s="11"/>
      <c r="F613" s="11"/>
      <c r="G613" s="11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"/>
      <c r="C614" s="9"/>
      <c r="D614" s="9"/>
      <c r="E614" s="11"/>
      <c r="F614" s="11"/>
      <c r="G614" s="11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"/>
      <c r="C615" s="9"/>
      <c r="D615" s="9"/>
      <c r="E615" s="11"/>
      <c r="F615" s="11"/>
      <c r="G615" s="11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"/>
      <c r="C616" s="9"/>
      <c r="D616" s="9"/>
      <c r="E616" s="11"/>
      <c r="F616" s="11"/>
      <c r="G616" s="11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"/>
      <c r="C617" s="9"/>
      <c r="D617" s="9"/>
      <c r="E617" s="11"/>
      <c r="F617" s="11"/>
      <c r="G617" s="11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"/>
      <c r="C618" s="9"/>
      <c r="D618" s="9"/>
      <c r="E618" s="11"/>
      <c r="F618" s="11"/>
      <c r="G618" s="11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"/>
      <c r="C619" s="9"/>
      <c r="D619" s="9"/>
      <c r="E619" s="11"/>
      <c r="F619" s="11"/>
      <c r="G619" s="11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"/>
      <c r="C620" s="9"/>
      <c r="D620" s="9"/>
      <c r="E620" s="11"/>
      <c r="F620" s="11"/>
      <c r="G620" s="11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"/>
      <c r="C621" s="9"/>
      <c r="D621" s="9"/>
      <c r="E621" s="11"/>
      <c r="F621" s="11"/>
      <c r="G621" s="11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"/>
      <c r="C622" s="9"/>
      <c r="D622" s="9"/>
      <c r="E622" s="11"/>
      <c r="F622" s="11"/>
      <c r="G622" s="11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"/>
      <c r="C623" s="9"/>
      <c r="D623" s="9"/>
      <c r="E623" s="11"/>
      <c r="F623" s="11"/>
      <c r="G623" s="11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"/>
      <c r="C624" s="9"/>
      <c r="D624" s="9"/>
      <c r="E624" s="11"/>
      <c r="F624" s="11"/>
      <c r="G624" s="11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"/>
      <c r="C625" s="9"/>
      <c r="D625" s="9"/>
      <c r="E625" s="11"/>
      <c r="F625" s="11"/>
      <c r="G625" s="11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"/>
      <c r="C626" s="9"/>
      <c r="D626" s="9"/>
      <c r="E626" s="11"/>
      <c r="F626" s="11"/>
      <c r="G626" s="11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"/>
      <c r="C627" s="9"/>
      <c r="D627" s="9"/>
      <c r="E627" s="11"/>
      <c r="F627" s="11"/>
      <c r="G627" s="11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"/>
      <c r="C628" s="9"/>
      <c r="D628" s="9"/>
      <c r="E628" s="11"/>
      <c r="F628" s="11"/>
      <c r="G628" s="11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"/>
      <c r="C629" s="9"/>
      <c r="D629" s="9"/>
      <c r="E629" s="11"/>
      <c r="F629" s="11"/>
      <c r="G629" s="11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"/>
      <c r="C630" s="9"/>
      <c r="D630" s="9"/>
      <c r="E630" s="11"/>
      <c r="F630" s="11"/>
      <c r="G630" s="11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"/>
      <c r="C631" s="9"/>
      <c r="D631" s="9"/>
      <c r="E631" s="11"/>
      <c r="F631" s="11"/>
      <c r="G631" s="11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"/>
      <c r="C632" s="9"/>
      <c r="D632" s="9"/>
      <c r="E632" s="11"/>
      <c r="F632" s="11"/>
      <c r="G632" s="11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"/>
      <c r="C633" s="9"/>
      <c r="D633" s="9"/>
      <c r="E633" s="11"/>
      <c r="F633" s="11"/>
      <c r="G633" s="11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"/>
      <c r="C634" s="9"/>
      <c r="D634" s="9"/>
      <c r="E634" s="11"/>
      <c r="F634" s="11"/>
      <c r="G634" s="11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"/>
      <c r="C635" s="9"/>
      <c r="D635" s="9"/>
      <c r="E635" s="11"/>
      <c r="F635" s="11"/>
      <c r="G635" s="11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"/>
      <c r="C636" s="9"/>
      <c r="D636" s="9"/>
      <c r="E636" s="11"/>
      <c r="F636" s="11"/>
      <c r="G636" s="11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"/>
      <c r="C637" s="9"/>
      <c r="D637" s="9"/>
      <c r="E637" s="11"/>
      <c r="F637" s="11"/>
      <c r="G637" s="11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"/>
      <c r="C638" s="9"/>
      <c r="D638" s="9"/>
      <c r="E638" s="11"/>
      <c r="F638" s="11"/>
      <c r="G638" s="11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"/>
      <c r="C639" s="9"/>
      <c r="D639" s="9"/>
      <c r="E639" s="11"/>
      <c r="F639" s="11"/>
      <c r="G639" s="11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"/>
      <c r="C640" s="9"/>
      <c r="D640" s="9"/>
      <c r="E640" s="11"/>
      <c r="F640" s="11"/>
      <c r="G640" s="11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"/>
      <c r="C641" s="9"/>
      <c r="D641" s="9"/>
      <c r="E641" s="11"/>
      <c r="F641" s="11"/>
      <c r="G641" s="11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"/>
      <c r="C642" s="9"/>
      <c r="D642" s="9"/>
      <c r="E642" s="11"/>
      <c r="F642" s="11"/>
      <c r="G642" s="11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"/>
      <c r="C643" s="9"/>
      <c r="D643" s="9"/>
      <c r="E643" s="11"/>
      <c r="F643" s="11"/>
      <c r="G643" s="11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"/>
      <c r="C644" s="9"/>
      <c r="D644" s="9"/>
      <c r="E644" s="11"/>
      <c r="F644" s="11"/>
      <c r="G644" s="11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"/>
      <c r="C645" s="9"/>
      <c r="D645" s="9"/>
      <c r="E645" s="11"/>
      <c r="F645" s="11"/>
      <c r="G645" s="11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"/>
      <c r="C646" s="9"/>
      <c r="D646" s="9"/>
      <c r="E646" s="11"/>
      <c r="F646" s="11"/>
      <c r="G646" s="11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"/>
      <c r="C647" s="9"/>
      <c r="D647" s="9"/>
      <c r="E647" s="11"/>
      <c r="F647" s="11"/>
      <c r="G647" s="11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"/>
      <c r="C648" s="9"/>
      <c r="D648" s="9"/>
      <c r="E648" s="11"/>
      <c r="F648" s="11"/>
      <c r="G648" s="11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"/>
      <c r="C649" s="9"/>
      <c r="D649" s="9"/>
      <c r="E649" s="11"/>
      <c r="F649" s="11"/>
      <c r="G649" s="11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"/>
      <c r="C650" s="9"/>
      <c r="D650" s="9"/>
      <c r="E650" s="11"/>
      <c r="F650" s="11"/>
      <c r="G650" s="11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"/>
      <c r="C651" s="9"/>
      <c r="D651" s="9"/>
      <c r="E651" s="11"/>
      <c r="F651" s="11"/>
      <c r="G651" s="11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"/>
      <c r="C652" s="9"/>
      <c r="D652" s="9"/>
      <c r="E652" s="11"/>
      <c r="F652" s="11"/>
      <c r="G652" s="11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"/>
      <c r="C653" s="9"/>
      <c r="D653" s="9"/>
      <c r="E653" s="11"/>
      <c r="F653" s="11"/>
      <c r="G653" s="11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"/>
      <c r="C654" s="9"/>
      <c r="D654" s="9"/>
      <c r="E654" s="11"/>
      <c r="F654" s="11"/>
      <c r="G654" s="11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"/>
      <c r="C655" s="9"/>
      <c r="D655" s="9"/>
      <c r="E655" s="11"/>
      <c r="F655" s="11"/>
      <c r="G655" s="11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"/>
      <c r="C656" s="9"/>
      <c r="D656" s="9"/>
      <c r="E656" s="11"/>
      <c r="F656" s="11"/>
      <c r="G656" s="11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"/>
      <c r="C657" s="9"/>
      <c r="D657" s="9"/>
      <c r="E657" s="11"/>
      <c r="F657" s="11"/>
      <c r="G657" s="11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"/>
      <c r="C658" s="9"/>
      <c r="D658" s="9"/>
      <c r="E658" s="11"/>
      <c r="F658" s="11"/>
      <c r="G658" s="11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"/>
      <c r="C659" s="9"/>
      <c r="D659" s="9"/>
      <c r="E659" s="11"/>
      <c r="F659" s="11"/>
      <c r="G659" s="11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"/>
      <c r="C660" s="9"/>
      <c r="D660" s="9"/>
      <c r="E660" s="11"/>
      <c r="F660" s="11"/>
      <c r="G660" s="11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"/>
      <c r="C661" s="9"/>
      <c r="D661" s="9"/>
      <c r="E661" s="11"/>
      <c r="F661" s="11"/>
      <c r="G661" s="11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"/>
      <c r="C662" s="9"/>
      <c r="D662" s="9"/>
      <c r="E662" s="11"/>
      <c r="F662" s="11"/>
      <c r="G662" s="11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"/>
      <c r="C663" s="9"/>
      <c r="D663" s="9"/>
      <c r="E663" s="11"/>
      <c r="F663" s="11"/>
      <c r="G663" s="11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"/>
      <c r="C664" s="9"/>
      <c r="D664" s="9"/>
      <c r="E664" s="11"/>
      <c r="F664" s="11"/>
      <c r="G664" s="11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"/>
      <c r="C665" s="9"/>
      <c r="D665" s="9"/>
      <c r="E665" s="11"/>
      <c r="F665" s="11"/>
      <c r="G665" s="11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"/>
      <c r="C666" s="9"/>
      <c r="D666" s="9"/>
      <c r="E666" s="11"/>
      <c r="F666" s="11"/>
      <c r="G666" s="11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"/>
      <c r="C667" s="9"/>
      <c r="D667" s="9"/>
      <c r="E667" s="11"/>
      <c r="F667" s="11"/>
      <c r="G667" s="11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"/>
      <c r="C668" s="9"/>
      <c r="D668" s="9"/>
      <c r="E668" s="11"/>
      <c r="F668" s="11"/>
      <c r="G668" s="11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"/>
      <c r="C669" s="9"/>
      <c r="D669" s="9"/>
      <c r="E669" s="11"/>
      <c r="F669" s="11"/>
      <c r="G669" s="11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"/>
      <c r="C670" s="9"/>
      <c r="D670" s="9"/>
      <c r="E670" s="11"/>
      <c r="F670" s="11"/>
      <c r="G670" s="11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"/>
      <c r="C671" s="9"/>
      <c r="D671" s="9"/>
      <c r="E671" s="11"/>
      <c r="F671" s="11"/>
      <c r="G671" s="11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"/>
      <c r="C672" s="9"/>
      <c r="D672" s="9"/>
      <c r="E672" s="11"/>
      <c r="F672" s="11"/>
      <c r="G672" s="11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"/>
      <c r="C673" s="9"/>
      <c r="D673" s="9"/>
      <c r="E673" s="11"/>
      <c r="F673" s="11"/>
      <c r="G673" s="11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"/>
      <c r="C674" s="9"/>
      <c r="D674" s="9"/>
      <c r="E674" s="11"/>
      <c r="F674" s="11"/>
      <c r="G674" s="11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"/>
      <c r="C675" s="9"/>
      <c r="D675" s="9"/>
      <c r="E675" s="11"/>
      <c r="F675" s="11"/>
      <c r="G675" s="11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"/>
      <c r="C676" s="9"/>
      <c r="D676" s="9"/>
      <c r="E676" s="11"/>
      <c r="F676" s="11"/>
      <c r="G676" s="11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"/>
      <c r="C677" s="9"/>
      <c r="D677" s="9"/>
      <c r="E677" s="11"/>
      <c r="F677" s="11"/>
      <c r="G677" s="11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"/>
      <c r="C678" s="9"/>
      <c r="D678" s="9"/>
      <c r="E678" s="11"/>
      <c r="F678" s="11"/>
      <c r="G678" s="11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"/>
      <c r="C679" s="9"/>
      <c r="D679" s="9"/>
      <c r="E679" s="11"/>
      <c r="F679" s="11"/>
      <c r="G679" s="11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"/>
      <c r="C680" s="9"/>
      <c r="D680" s="9"/>
      <c r="E680" s="11"/>
      <c r="F680" s="11"/>
      <c r="G680" s="11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"/>
      <c r="C681" s="9"/>
      <c r="D681" s="9"/>
      <c r="E681" s="11"/>
      <c r="F681" s="11"/>
      <c r="G681" s="11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"/>
      <c r="C682" s="9"/>
      <c r="D682" s="9"/>
      <c r="E682" s="11"/>
      <c r="F682" s="11"/>
      <c r="G682" s="11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"/>
      <c r="C683" s="9"/>
      <c r="D683" s="9"/>
      <c r="E683" s="11"/>
      <c r="F683" s="11"/>
      <c r="G683" s="11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"/>
      <c r="C684" s="9"/>
      <c r="D684" s="9"/>
      <c r="E684" s="11"/>
      <c r="F684" s="11"/>
      <c r="G684" s="11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"/>
      <c r="C685" s="9"/>
      <c r="D685" s="9"/>
      <c r="E685" s="11"/>
      <c r="F685" s="11"/>
      <c r="G685" s="11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"/>
      <c r="C686" s="9"/>
      <c r="D686" s="9"/>
      <c r="E686" s="11"/>
      <c r="F686" s="11"/>
      <c r="G686" s="11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"/>
      <c r="C687" s="9"/>
      <c r="D687" s="9"/>
      <c r="E687" s="11"/>
      <c r="F687" s="11"/>
      <c r="G687" s="11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"/>
      <c r="C688" s="9"/>
      <c r="D688" s="9"/>
      <c r="E688" s="11"/>
      <c r="F688" s="11"/>
      <c r="G688" s="11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"/>
      <c r="C689" s="9"/>
      <c r="D689" s="9"/>
      <c r="E689" s="11"/>
      <c r="F689" s="11"/>
      <c r="G689" s="11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"/>
      <c r="C690" s="9"/>
      <c r="D690" s="9"/>
      <c r="E690" s="11"/>
      <c r="F690" s="11"/>
      <c r="G690" s="11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"/>
      <c r="C691" s="9"/>
      <c r="D691" s="9"/>
      <c r="E691" s="11"/>
      <c r="F691" s="11"/>
      <c r="G691" s="11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"/>
      <c r="C692" s="9"/>
      <c r="D692" s="9"/>
      <c r="E692" s="11"/>
      <c r="F692" s="11"/>
      <c r="G692" s="11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"/>
      <c r="C693" s="9"/>
      <c r="D693" s="9"/>
      <c r="E693" s="11"/>
      <c r="F693" s="11"/>
      <c r="G693" s="11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"/>
      <c r="C694" s="9"/>
      <c r="D694" s="9"/>
      <c r="E694" s="11"/>
      <c r="F694" s="11"/>
      <c r="G694" s="11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"/>
      <c r="C695" s="9"/>
      <c r="D695" s="9"/>
      <c r="E695" s="11"/>
      <c r="F695" s="11"/>
      <c r="G695" s="11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"/>
      <c r="C696" s="9"/>
      <c r="D696" s="9"/>
      <c r="E696" s="11"/>
      <c r="F696" s="11"/>
      <c r="G696" s="11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"/>
      <c r="C697" s="9"/>
      <c r="D697" s="9"/>
      <c r="E697" s="11"/>
      <c r="F697" s="11"/>
      <c r="G697" s="11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"/>
      <c r="C698" s="9"/>
      <c r="D698" s="9"/>
      <c r="E698" s="11"/>
      <c r="F698" s="11"/>
      <c r="G698" s="11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"/>
      <c r="C699" s="9"/>
      <c r="D699" s="9"/>
      <c r="E699" s="11"/>
      <c r="F699" s="11"/>
      <c r="G699" s="11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"/>
      <c r="C700" s="9"/>
      <c r="D700" s="9"/>
      <c r="E700" s="11"/>
      <c r="F700" s="11"/>
      <c r="G700" s="11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"/>
      <c r="C701" s="9"/>
      <c r="D701" s="9"/>
      <c r="E701" s="11"/>
      <c r="F701" s="11"/>
      <c r="G701" s="11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"/>
      <c r="C702" s="9"/>
      <c r="D702" s="9"/>
      <c r="E702" s="11"/>
      <c r="F702" s="11"/>
      <c r="G702" s="11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"/>
      <c r="C703" s="9"/>
      <c r="D703" s="9"/>
      <c r="E703" s="11"/>
      <c r="F703" s="11"/>
      <c r="G703" s="11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"/>
      <c r="C704" s="9"/>
      <c r="D704" s="9"/>
      <c r="E704" s="11"/>
      <c r="F704" s="11"/>
      <c r="G704" s="11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"/>
      <c r="C705" s="9"/>
      <c r="D705" s="9"/>
      <c r="E705" s="11"/>
      <c r="F705" s="11"/>
      <c r="G705" s="11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"/>
      <c r="C706" s="9"/>
      <c r="D706" s="9"/>
      <c r="E706" s="11"/>
      <c r="F706" s="11"/>
      <c r="G706" s="11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"/>
      <c r="C707" s="9"/>
      <c r="D707" s="9"/>
      <c r="E707" s="11"/>
      <c r="F707" s="11"/>
      <c r="G707" s="11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"/>
      <c r="C708" s="9"/>
      <c r="D708" s="9"/>
      <c r="E708" s="11"/>
      <c r="F708" s="11"/>
      <c r="G708" s="11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"/>
      <c r="C709" s="9"/>
      <c r="D709" s="9"/>
      <c r="E709" s="11"/>
      <c r="F709" s="11"/>
      <c r="G709" s="11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"/>
      <c r="C710" s="9"/>
      <c r="D710" s="9"/>
      <c r="E710" s="11"/>
      <c r="F710" s="11"/>
      <c r="G710" s="11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"/>
      <c r="C711" s="9"/>
      <c r="D711" s="9"/>
      <c r="E711" s="11"/>
      <c r="F711" s="11"/>
      <c r="G711" s="11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"/>
      <c r="C712" s="9"/>
      <c r="D712" s="9"/>
      <c r="E712" s="11"/>
      <c r="F712" s="11"/>
      <c r="G712" s="11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"/>
      <c r="C713" s="9"/>
      <c r="D713" s="9"/>
      <c r="E713" s="11"/>
      <c r="F713" s="11"/>
      <c r="G713" s="11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"/>
      <c r="C714" s="9"/>
      <c r="D714" s="9"/>
      <c r="E714" s="11"/>
      <c r="F714" s="11"/>
      <c r="G714" s="11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"/>
      <c r="C715" s="9"/>
      <c r="D715" s="9"/>
      <c r="E715" s="11"/>
      <c r="F715" s="11"/>
      <c r="G715" s="11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"/>
      <c r="C716" s="9"/>
      <c r="D716" s="9"/>
      <c r="E716" s="11"/>
      <c r="F716" s="11"/>
      <c r="G716" s="11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"/>
      <c r="C717" s="9"/>
      <c r="D717" s="9"/>
      <c r="E717" s="11"/>
      <c r="F717" s="11"/>
      <c r="G717" s="11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"/>
      <c r="C718" s="9"/>
      <c r="D718" s="9"/>
      <c r="E718" s="11"/>
      <c r="F718" s="11"/>
      <c r="G718" s="11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"/>
      <c r="C719" s="9"/>
      <c r="D719" s="9"/>
      <c r="E719" s="11"/>
      <c r="F719" s="11"/>
      <c r="G719" s="11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"/>
      <c r="C720" s="9"/>
      <c r="D720" s="9"/>
      <c r="E720" s="11"/>
      <c r="F720" s="11"/>
      <c r="G720" s="11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"/>
      <c r="C721" s="9"/>
      <c r="D721" s="9"/>
      <c r="E721" s="11"/>
      <c r="F721" s="11"/>
      <c r="G721" s="11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"/>
      <c r="C722" s="9"/>
      <c r="D722" s="9"/>
      <c r="E722" s="11"/>
      <c r="F722" s="11"/>
      <c r="G722" s="11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"/>
      <c r="C723" s="9"/>
      <c r="D723" s="9"/>
      <c r="E723" s="11"/>
      <c r="F723" s="11"/>
      <c r="G723" s="11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"/>
      <c r="C724" s="9"/>
      <c r="D724" s="9"/>
      <c r="E724" s="11"/>
      <c r="F724" s="11"/>
      <c r="G724" s="11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"/>
      <c r="C725" s="9"/>
      <c r="D725" s="9"/>
      <c r="E725" s="11"/>
      <c r="F725" s="11"/>
      <c r="G725" s="11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"/>
      <c r="C726" s="9"/>
      <c r="D726" s="9"/>
      <c r="E726" s="11"/>
      <c r="F726" s="11"/>
      <c r="G726" s="11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"/>
      <c r="C727" s="9"/>
      <c r="D727" s="9"/>
      <c r="E727" s="11"/>
      <c r="F727" s="11"/>
      <c r="G727" s="11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"/>
      <c r="C728" s="9"/>
      <c r="D728" s="9"/>
      <c r="E728" s="11"/>
      <c r="F728" s="11"/>
      <c r="G728" s="11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"/>
      <c r="C729" s="9"/>
      <c r="D729" s="9"/>
      <c r="E729" s="11"/>
      <c r="F729" s="11"/>
      <c r="G729" s="11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"/>
      <c r="C730" s="9"/>
      <c r="D730" s="9"/>
      <c r="E730" s="11"/>
      <c r="F730" s="11"/>
      <c r="G730" s="11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"/>
      <c r="C731" s="9"/>
      <c r="D731" s="9"/>
      <c r="E731" s="11"/>
      <c r="F731" s="11"/>
      <c r="G731" s="11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"/>
      <c r="C732" s="9"/>
      <c r="D732" s="9"/>
      <c r="E732" s="11"/>
      <c r="F732" s="11"/>
      <c r="G732" s="11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"/>
      <c r="C733" s="9"/>
      <c r="D733" s="9"/>
      <c r="E733" s="11"/>
      <c r="F733" s="11"/>
      <c r="G733" s="11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"/>
      <c r="C734" s="9"/>
      <c r="D734" s="9"/>
      <c r="E734" s="11"/>
      <c r="F734" s="11"/>
      <c r="G734" s="11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"/>
      <c r="C735" s="9"/>
      <c r="D735" s="9"/>
      <c r="E735" s="11"/>
      <c r="F735" s="11"/>
      <c r="G735" s="11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"/>
      <c r="C736" s="9"/>
      <c r="D736" s="9"/>
      <c r="E736" s="11"/>
      <c r="F736" s="11"/>
      <c r="G736" s="11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"/>
      <c r="C737" s="9"/>
      <c r="D737" s="9"/>
      <c r="E737" s="11"/>
      <c r="F737" s="11"/>
      <c r="G737" s="11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"/>
      <c r="C738" s="9"/>
      <c r="D738" s="9"/>
      <c r="E738" s="11"/>
      <c r="F738" s="11"/>
      <c r="G738" s="11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"/>
      <c r="C739" s="9"/>
      <c r="D739" s="9"/>
      <c r="E739" s="11"/>
      <c r="F739" s="11"/>
      <c r="G739" s="11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"/>
      <c r="C740" s="9"/>
      <c r="D740" s="9"/>
      <c r="E740" s="11"/>
      <c r="F740" s="11"/>
      <c r="G740" s="11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"/>
      <c r="C741" s="9"/>
      <c r="D741" s="9"/>
      <c r="E741" s="11"/>
      <c r="F741" s="11"/>
      <c r="G741" s="11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"/>
      <c r="C742" s="9"/>
      <c r="D742" s="9"/>
      <c r="E742" s="11"/>
      <c r="F742" s="11"/>
      <c r="G742" s="11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"/>
      <c r="C743" s="9"/>
      <c r="D743" s="9"/>
      <c r="E743" s="11"/>
      <c r="F743" s="11"/>
      <c r="G743" s="11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"/>
      <c r="C744" s="9"/>
      <c r="D744" s="9"/>
      <c r="E744" s="11"/>
      <c r="F744" s="11"/>
      <c r="G744" s="11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"/>
      <c r="C745" s="9"/>
      <c r="D745" s="9"/>
      <c r="E745" s="11"/>
      <c r="F745" s="11"/>
      <c r="G745" s="11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"/>
      <c r="C746" s="9"/>
      <c r="D746" s="9"/>
      <c r="E746" s="11"/>
      <c r="F746" s="11"/>
      <c r="G746" s="11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"/>
      <c r="C747" s="9"/>
      <c r="D747" s="9"/>
      <c r="E747" s="11"/>
      <c r="F747" s="11"/>
      <c r="G747" s="11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"/>
      <c r="C748" s="9"/>
      <c r="D748" s="9"/>
      <c r="E748" s="11"/>
      <c r="F748" s="11"/>
      <c r="G748" s="11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"/>
      <c r="C749" s="9"/>
      <c r="D749" s="9"/>
      <c r="E749" s="11"/>
      <c r="F749" s="11"/>
      <c r="G749" s="11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"/>
      <c r="C750" s="9"/>
      <c r="D750" s="9"/>
      <c r="E750" s="11"/>
      <c r="F750" s="11"/>
      <c r="G750" s="11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"/>
      <c r="C751" s="9"/>
      <c r="D751" s="9"/>
      <c r="E751" s="11"/>
      <c r="F751" s="11"/>
      <c r="G751" s="11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"/>
      <c r="C752" s="9"/>
      <c r="D752" s="9"/>
      <c r="E752" s="11"/>
      <c r="F752" s="11"/>
      <c r="G752" s="11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"/>
      <c r="C753" s="9"/>
      <c r="D753" s="9"/>
      <c r="E753" s="11"/>
      <c r="F753" s="11"/>
      <c r="G753" s="11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"/>
      <c r="C754" s="9"/>
      <c r="D754" s="9"/>
      <c r="E754" s="11"/>
      <c r="F754" s="11"/>
      <c r="G754" s="11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"/>
      <c r="C755" s="9"/>
      <c r="D755" s="9"/>
      <c r="E755" s="11"/>
      <c r="F755" s="11"/>
      <c r="G755" s="11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"/>
      <c r="C756" s="9"/>
      <c r="D756" s="9"/>
      <c r="E756" s="11"/>
      <c r="F756" s="11"/>
      <c r="G756" s="11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"/>
      <c r="C757" s="9"/>
      <c r="D757" s="9"/>
      <c r="E757" s="11"/>
      <c r="F757" s="11"/>
      <c r="G757" s="11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"/>
      <c r="C758" s="9"/>
      <c r="D758" s="9"/>
      <c r="E758" s="11"/>
      <c r="F758" s="11"/>
      <c r="G758" s="11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"/>
      <c r="C759" s="9"/>
      <c r="D759" s="9"/>
      <c r="E759" s="11"/>
      <c r="F759" s="11"/>
      <c r="G759" s="11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"/>
      <c r="C760" s="9"/>
      <c r="D760" s="9"/>
      <c r="E760" s="11"/>
      <c r="F760" s="11"/>
      <c r="G760" s="11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"/>
      <c r="C761" s="9"/>
      <c r="D761" s="9"/>
      <c r="E761" s="11"/>
      <c r="F761" s="11"/>
      <c r="G761" s="11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"/>
      <c r="C762" s="9"/>
      <c r="D762" s="9"/>
      <c r="E762" s="11"/>
      <c r="F762" s="11"/>
      <c r="G762" s="11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"/>
      <c r="C763" s="9"/>
      <c r="D763" s="9"/>
      <c r="E763" s="11"/>
      <c r="F763" s="11"/>
      <c r="G763" s="11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"/>
      <c r="C764" s="9"/>
      <c r="D764" s="9"/>
      <c r="E764" s="11"/>
      <c r="F764" s="11"/>
      <c r="G764" s="11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"/>
      <c r="C765" s="9"/>
      <c r="D765" s="9"/>
      <c r="E765" s="11"/>
      <c r="F765" s="11"/>
      <c r="G765" s="11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"/>
      <c r="C766" s="9"/>
      <c r="D766" s="9"/>
      <c r="E766" s="11"/>
      <c r="F766" s="11"/>
      <c r="G766" s="11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"/>
      <c r="C767" s="9"/>
      <c r="D767" s="9"/>
      <c r="E767" s="11"/>
      <c r="F767" s="11"/>
      <c r="G767" s="11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"/>
      <c r="C768" s="9"/>
      <c r="D768" s="9"/>
      <c r="E768" s="11"/>
      <c r="F768" s="11"/>
      <c r="G768" s="11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"/>
      <c r="C769" s="9"/>
      <c r="D769" s="9"/>
      <c r="E769" s="11"/>
      <c r="F769" s="11"/>
      <c r="G769" s="11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"/>
      <c r="C770" s="9"/>
      <c r="D770" s="9"/>
      <c r="E770" s="11"/>
      <c r="F770" s="11"/>
      <c r="G770" s="11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"/>
      <c r="C771" s="9"/>
      <c r="D771" s="9"/>
      <c r="E771" s="11"/>
      <c r="F771" s="11"/>
      <c r="G771" s="11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"/>
      <c r="C772" s="9"/>
      <c r="D772" s="9"/>
      <c r="E772" s="11"/>
      <c r="F772" s="11"/>
      <c r="G772" s="11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"/>
      <c r="C773" s="9"/>
      <c r="D773" s="9"/>
      <c r="E773" s="11"/>
      <c r="F773" s="11"/>
      <c r="G773" s="11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"/>
      <c r="C774" s="9"/>
      <c r="D774" s="9"/>
      <c r="E774" s="11"/>
      <c r="F774" s="11"/>
      <c r="G774" s="11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"/>
      <c r="C775" s="9"/>
      <c r="D775" s="9"/>
      <c r="E775" s="11"/>
      <c r="F775" s="11"/>
      <c r="G775" s="11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"/>
      <c r="C776" s="9"/>
      <c r="D776" s="9"/>
      <c r="E776" s="11"/>
      <c r="F776" s="11"/>
      <c r="G776" s="11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"/>
      <c r="C777" s="9"/>
      <c r="D777" s="9"/>
      <c r="E777" s="11"/>
      <c r="F777" s="11"/>
      <c r="G777" s="11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"/>
      <c r="C778" s="9"/>
      <c r="D778" s="9"/>
      <c r="E778" s="11"/>
      <c r="F778" s="11"/>
      <c r="G778" s="11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"/>
      <c r="C779" s="9"/>
      <c r="D779" s="9"/>
      <c r="E779" s="11"/>
      <c r="F779" s="11"/>
      <c r="G779" s="11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"/>
      <c r="C780" s="9"/>
      <c r="D780" s="9"/>
      <c r="E780" s="11"/>
      <c r="F780" s="11"/>
      <c r="G780" s="11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"/>
      <c r="C781" s="9"/>
      <c r="D781" s="9"/>
      <c r="E781" s="11"/>
      <c r="F781" s="11"/>
      <c r="G781" s="11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"/>
      <c r="C782" s="9"/>
      <c r="D782" s="9"/>
      <c r="E782" s="11"/>
      <c r="F782" s="11"/>
      <c r="G782" s="11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"/>
      <c r="C783" s="9"/>
      <c r="D783" s="9"/>
      <c r="E783" s="11"/>
      <c r="F783" s="11"/>
      <c r="G783" s="11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"/>
      <c r="C784" s="9"/>
      <c r="D784" s="9"/>
      <c r="E784" s="11"/>
      <c r="F784" s="11"/>
      <c r="G784" s="11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"/>
      <c r="C785" s="9"/>
      <c r="D785" s="9"/>
      <c r="E785" s="11"/>
      <c r="F785" s="11"/>
      <c r="G785" s="11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"/>
      <c r="C786" s="9"/>
      <c r="D786" s="9"/>
      <c r="E786" s="11"/>
      <c r="F786" s="11"/>
      <c r="G786" s="11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"/>
      <c r="C787" s="9"/>
      <c r="D787" s="9"/>
      <c r="E787" s="11"/>
      <c r="F787" s="11"/>
      <c r="G787" s="11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"/>
      <c r="C788" s="9"/>
      <c r="D788" s="9"/>
      <c r="E788" s="11"/>
      <c r="F788" s="11"/>
      <c r="G788" s="11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"/>
      <c r="C789" s="9"/>
      <c r="D789" s="9"/>
      <c r="E789" s="11"/>
      <c r="F789" s="11"/>
      <c r="G789" s="11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"/>
      <c r="C790" s="9"/>
      <c r="D790" s="9"/>
      <c r="E790" s="11"/>
      <c r="F790" s="11"/>
      <c r="G790" s="11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"/>
      <c r="C791" s="9"/>
      <c r="D791" s="9"/>
      <c r="E791" s="11"/>
      <c r="F791" s="11"/>
      <c r="G791" s="11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"/>
      <c r="C792" s="9"/>
      <c r="D792" s="9"/>
      <c r="E792" s="11"/>
      <c r="F792" s="11"/>
      <c r="G792" s="11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"/>
      <c r="C793" s="9"/>
      <c r="D793" s="9"/>
      <c r="E793" s="11"/>
      <c r="F793" s="11"/>
      <c r="G793" s="11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"/>
      <c r="C794" s="9"/>
      <c r="D794" s="9"/>
      <c r="E794" s="11"/>
      <c r="F794" s="11"/>
      <c r="G794" s="11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"/>
      <c r="C795" s="9"/>
      <c r="D795" s="9"/>
      <c r="E795" s="11"/>
      <c r="F795" s="11"/>
      <c r="G795" s="11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"/>
      <c r="C796" s="9"/>
      <c r="D796" s="9"/>
      <c r="E796" s="11"/>
      <c r="F796" s="11"/>
      <c r="G796" s="11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"/>
      <c r="C797" s="9"/>
      <c r="D797" s="9"/>
      <c r="E797" s="11"/>
      <c r="F797" s="11"/>
      <c r="G797" s="11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"/>
      <c r="C798" s="9"/>
      <c r="D798" s="9"/>
      <c r="E798" s="11"/>
      <c r="F798" s="11"/>
      <c r="G798" s="11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"/>
      <c r="C799" s="9"/>
      <c r="D799" s="9"/>
      <c r="E799" s="11"/>
      <c r="F799" s="11"/>
      <c r="G799" s="11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"/>
      <c r="C800" s="9"/>
      <c r="D800" s="9"/>
      <c r="E800" s="11"/>
      <c r="F800" s="11"/>
      <c r="G800" s="11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"/>
      <c r="C801" s="9"/>
      <c r="D801" s="9"/>
      <c r="E801" s="11"/>
      <c r="F801" s="11"/>
      <c r="G801" s="11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"/>
      <c r="C802" s="9"/>
      <c r="D802" s="9"/>
      <c r="E802" s="11"/>
      <c r="F802" s="11"/>
      <c r="G802" s="11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"/>
      <c r="C803" s="9"/>
      <c r="D803" s="9"/>
      <c r="E803" s="11"/>
      <c r="F803" s="11"/>
      <c r="G803" s="11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"/>
      <c r="C804" s="9"/>
      <c r="D804" s="9"/>
      <c r="E804" s="11"/>
      <c r="F804" s="11"/>
      <c r="G804" s="11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"/>
      <c r="C805" s="9"/>
      <c r="D805" s="9"/>
      <c r="E805" s="11"/>
      <c r="F805" s="11"/>
      <c r="G805" s="11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"/>
      <c r="C806" s="9"/>
      <c r="D806" s="9"/>
      <c r="E806" s="11"/>
      <c r="F806" s="11"/>
      <c r="G806" s="11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"/>
      <c r="C807" s="9"/>
      <c r="D807" s="9"/>
      <c r="E807" s="11"/>
      <c r="F807" s="11"/>
      <c r="G807" s="11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"/>
      <c r="C808" s="9"/>
      <c r="D808" s="9"/>
      <c r="E808" s="11"/>
      <c r="F808" s="11"/>
      <c r="G808" s="11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"/>
      <c r="C809" s="9"/>
      <c r="D809" s="9"/>
      <c r="E809" s="11"/>
      <c r="F809" s="11"/>
      <c r="G809" s="11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"/>
      <c r="C810" s="9"/>
      <c r="D810" s="9"/>
      <c r="E810" s="11"/>
      <c r="F810" s="11"/>
      <c r="G810" s="11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"/>
      <c r="C811" s="9"/>
      <c r="D811" s="9"/>
      <c r="E811" s="11"/>
      <c r="F811" s="11"/>
      <c r="G811" s="11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"/>
      <c r="C812" s="9"/>
      <c r="D812" s="9"/>
      <c r="E812" s="11"/>
      <c r="F812" s="11"/>
      <c r="G812" s="11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"/>
      <c r="C813" s="9"/>
      <c r="D813" s="9"/>
      <c r="E813" s="11"/>
      <c r="F813" s="11"/>
      <c r="G813" s="11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"/>
      <c r="C814" s="9"/>
      <c r="D814" s="9"/>
      <c r="E814" s="11"/>
      <c r="F814" s="11"/>
      <c r="G814" s="11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"/>
      <c r="C815" s="9"/>
      <c r="D815" s="9"/>
      <c r="E815" s="11"/>
      <c r="F815" s="11"/>
      <c r="G815" s="11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"/>
      <c r="C816" s="9"/>
      <c r="D816" s="9"/>
      <c r="E816" s="11"/>
      <c r="F816" s="11"/>
      <c r="G816" s="11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"/>
      <c r="C817" s="9"/>
      <c r="D817" s="9"/>
      <c r="E817" s="11"/>
      <c r="F817" s="11"/>
      <c r="G817" s="11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"/>
      <c r="C818" s="9"/>
      <c r="D818" s="9"/>
      <c r="E818" s="11"/>
      <c r="F818" s="11"/>
      <c r="G818" s="11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"/>
      <c r="C819" s="9"/>
      <c r="D819" s="9"/>
      <c r="E819" s="11"/>
      <c r="F819" s="11"/>
      <c r="G819" s="11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"/>
      <c r="C820" s="9"/>
      <c r="D820" s="9"/>
      <c r="E820" s="11"/>
      <c r="F820" s="11"/>
      <c r="G820" s="11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"/>
      <c r="C821" s="9"/>
      <c r="D821" s="9"/>
      <c r="E821" s="11"/>
      <c r="F821" s="11"/>
      <c r="G821" s="11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"/>
      <c r="C822" s="9"/>
      <c r="D822" s="9"/>
      <c r="E822" s="11"/>
      <c r="F822" s="11"/>
      <c r="G822" s="11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"/>
      <c r="C823" s="9"/>
      <c r="D823" s="9"/>
      <c r="E823" s="11"/>
      <c r="F823" s="11"/>
      <c r="G823" s="11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"/>
      <c r="C824" s="9"/>
      <c r="D824" s="9"/>
      <c r="E824" s="11"/>
      <c r="F824" s="11"/>
      <c r="G824" s="11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"/>
      <c r="C825" s="9"/>
      <c r="D825" s="9"/>
      <c r="E825" s="11"/>
      <c r="F825" s="11"/>
      <c r="G825" s="11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"/>
      <c r="C826" s="9"/>
      <c r="D826" s="9"/>
      <c r="E826" s="11"/>
      <c r="F826" s="11"/>
      <c r="G826" s="11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"/>
      <c r="C827" s="9"/>
      <c r="D827" s="9"/>
      <c r="E827" s="11"/>
      <c r="F827" s="11"/>
      <c r="G827" s="11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"/>
      <c r="C828" s="9"/>
      <c r="D828" s="9"/>
      <c r="E828" s="11"/>
      <c r="F828" s="11"/>
      <c r="G828" s="11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"/>
      <c r="C829" s="9"/>
      <c r="D829" s="9"/>
      <c r="E829" s="11"/>
      <c r="F829" s="11"/>
      <c r="G829" s="11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"/>
      <c r="C830" s="9"/>
      <c r="D830" s="9"/>
      <c r="E830" s="11"/>
      <c r="F830" s="11"/>
      <c r="G830" s="11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"/>
      <c r="C831" s="9"/>
      <c r="D831" s="9"/>
      <c r="E831" s="11"/>
      <c r="F831" s="11"/>
      <c r="G831" s="11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"/>
      <c r="C832" s="9"/>
      <c r="D832" s="9"/>
      <c r="E832" s="11"/>
      <c r="F832" s="11"/>
      <c r="G832" s="11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"/>
      <c r="C833" s="9"/>
      <c r="D833" s="9"/>
      <c r="E833" s="11"/>
      <c r="F833" s="11"/>
      <c r="G833" s="11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"/>
      <c r="C834" s="9"/>
      <c r="D834" s="9"/>
      <c r="E834" s="11"/>
      <c r="F834" s="11"/>
      <c r="G834" s="11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"/>
      <c r="C835" s="9"/>
      <c r="D835" s="9"/>
      <c r="E835" s="11"/>
      <c r="F835" s="11"/>
      <c r="G835" s="11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"/>
      <c r="C836" s="9"/>
      <c r="D836" s="9"/>
      <c r="E836" s="11"/>
      <c r="F836" s="11"/>
      <c r="G836" s="11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"/>
      <c r="C837" s="9"/>
      <c r="D837" s="9"/>
      <c r="E837" s="11"/>
      <c r="F837" s="11"/>
      <c r="G837" s="11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"/>
      <c r="C838" s="9"/>
      <c r="D838" s="9"/>
      <c r="E838" s="11"/>
      <c r="F838" s="11"/>
      <c r="G838" s="11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"/>
      <c r="C839" s="9"/>
      <c r="D839" s="9"/>
      <c r="E839" s="11"/>
      <c r="F839" s="11"/>
      <c r="G839" s="11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"/>
      <c r="C840" s="9"/>
      <c r="D840" s="9"/>
      <c r="E840" s="11"/>
      <c r="F840" s="11"/>
      <c r="G840" s="11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"/>
      <c r="C841" s="9"/>
      <c r="D841" s="9"/>
      <c r="E841" s="11"/>
      <c r="F841" s="11"/>
      <c r="G841" s="11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"/>
      <c r="C842" s="9"/>
      <c r="D842" s="9"/>
      <c r="E842" s="11"/>
      <c r="F842" s="11"/>
      <c r="G842" s="11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"/>
      <c r="C843" s="9"/>
      <c r="D843" s="9"/>
      <c r="E843" s="11"/>
      <c r="F843" s="11"/>
      <c r="G843" s="11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"/>
      <c r="C844" s="9"/>
      <c r="D844" s="9"/>
      <c r="E844" s="11"/>
      <c r="F844" s="11"/>
      <c r="G844" s="11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"/>
      <c r="C845" s="9"/>
      <c r="D845" s="9"/>
      <c r="E845" s="11"/>
      <c r="F845" s="11"/>
      <c r="G845" s="11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"/>
      <c r="C846" s="9"/>
      <c r="D846" s="9"/>
      <c r="E846" s="11"/>
      <c r="F846" s="11"/>
      <c r="G846" s="11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"/>
      <c r="C847" s="9"/>
      <c r="D847" s="9"/>
      <c r="E847" s="11"/>
      <c r="F847" s="11"/>
      <c r="G847" s="11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"/>
      <c r="C848" s="9"/>
      <c r="D848" s="9"/>
      <c r="E848" s="11"/>
      <c r="F848" s="11"/>
      <c r="G848" s="11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"/>
      <c r="C849" s="9"/>
      <c r="D849" s="9"/>
      <c r="E849" s="11"/>
      <c r="F849" s="11"/>
      <c r="G849" s="11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"/>
      <c r="C850" s="9"/>
      <c r="D850" s="9"/>
      <c r="E850" s="11"/>
      <c r="F850" s="11"/>
      <c r="G850" s="11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"/>
      <c r="C851" s="9"/>
      <c r="D851" s="9"/>
      <c r="E851" s="11"/>
      <c r="F851" s="11"/>
      <c r="G851" s="11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"/>
      <c r="C852" s="9"/>
      <c r="D852" s="9"/>
      <c r="E852" s="11"/>
      <c r="F852" s="11"/>
      <c r="G852" s="11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"/>
      <c r="C853" s="9"/>
      <c r="D853" s="9"/>
      <c r="E853" s="11"/>
      <c r="F853" s="11"/>
      <c r="G853" s="11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"/>
      <c r="C854" s="9"/>
      <c r="D854" s="9"/>
      <c r="E854" s="11"/>
      <c r="F854" s="11"/>
      <c r="G854" s="11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"/>
      <c r="C855" s="9"/>
      <c r="D855" s="9"/>
      <c r="E855" s="11"/>
      <c r="F855" s="11"/>
      <c r="G855" s="11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"/>
      <c r="C856" s="9"/>
      <c r="D856" s="9"/>
      <c r="E856" s="11"/>
      <c r="F856" s="11"/>
      <c r="G856" s="11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"/>
      <c r="C857" s="9"/>
      <c r="D857" s="9"/>
      <c r="E857" s="11"/>
      <c r="F857" s="11"/>
      <c r="G857" s="11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"/>
      <c r="C858" s="9"/>
      <c r="D858" s="9"/>
      <c r="E858" s="11"/>
      <c r="F858" s="11"/>
      <c r="G858" s="11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"/>
      <c r="C859" s="9"/>
      <c r="D859" s="9"/>
      <c r="E859" s="11"/>
      <c r="F859" s="11"/>
      <c r="G859" s="11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"/>
      <c r="C860" s="9"/>
      <c r="D860" s="9"/>
      <c r="E860" s="11"/>
      <c r="F860" s="11"/>
      <c r="G860" s="11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"/>
      <c r="C861" s="9"/>
      <c r="D861" s="9"/>
      <c r="E861" s="11"/>
      <c r="F861" s="11"/>
      <c r="G861" s="11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"/>
      <c r="C862" s="9"/>
      <c r="D862" s="9"/>
      <c r="E862" s="11"/>
      <c r="F862" s="11"/>
      <c r="G862" s="11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"/>
      <c r="C863" s="9"/>
      <c r="D863" s="9"/>
      <c r="E863" s="11"/>
      <c r="F863" s="11"/>
      <c r="G863" s="11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"/>
      <c r="C864" s="9"/>
      <c r="D864" s="9"/>
      <c r="E864" s="11"/>
      <c r="F864" s="11"/>
      <c r="G864" s="11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"/>
      <c r="C865" s="9"/>
      <c r="D865" s="9"/>
      <c r="E865" s="11"/>
      <c r="F865" s="11"/>
      <c r="G865" s="11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"/>
      <c r="C866" s="9"/>
      <c r="D866" s="9"/>
      <c r="E866" s="11"/>
      <c r="F866" s="11"/>
      <c r="G866" s="11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"/>
      <c r="C867" s="9"/>
      <c r="D867" s="9"/>
      <c r="E867" s="11"/>
      <c r="F867" s="11"/>
      <c r="G867" s="11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"/>
      <c r="C868" s="9"/>
      <c r="D868" s="9"/>
      <c r="E868" s="11"/>
      <c r="F868" s="11"/>
      <c r="G868" s="11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"/>
      <c r="C869" s="9"/>
      <c r="D869" s="9"/>
      <c r="E869" s="11"/>
      <c r="F869" s="11"/>
      <c r="G869" s="11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"/>
      <c r="C870" s="9"/>
      <c r="D870" s="9"/>
      <c r="E870" s="11"/>
      <c r="F870" s="11"/>
      <c r="G870" s="11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"/>
      <c r="C871" s="9"/>
      <c r="D871" s="9"/>
      <c r="E871" s="11"/>
      <c r="F871" s="11"/>
      <c r="G871" s="11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"/>
      <c r="C872" s="9"/>
      <c r="D872" s="9"/>
      <c r="E872" s="11"/>
      <c r="F872" s="11"/>
      <c r="G872" s="11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"/>
      <c r="C873" s="9"/>
      <c r="D873" s="9"/>
      <c r="E873" s="11"/>
      <c r="F873" s="11"/>
      <c r="G873" s="11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"/>
      <c r="C874" s="9"/>
      <c r="D874" s="9"/>
      <c r="E874" s="11"/>
      <c r="F874" s="11"/>
      <c r="G874" s="11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"/>
      <c r="C875" s="9"/>
      <c r="D875" s="9"/>
      <c r="E875" s="11"/>
      <c r="F875" s="11"/>
      <c r="G875" s="11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"/>
      <c r="C876" s="9"/>
      <c r="D876" s="9"/>
      <c r="E876" s="11"/>
      <c r="F876" s="11"/>
      <c r="G876" s="11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"/>
      <c r="C877" s="9"/>
      <c r="D877" s="9"/>
      <c r="E877" s="11"/>
      <c r="F877" s="11"/>
      <c r="G877" s="11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"/>
      <c r="C878" s="9"/>
      <c r="D878" s="9"/>
      <c r="E878" s="11"/>
      <c r="F878" s="11"/>
      <c r="G878" s="11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"/>
      <c r="C879" s="9"/>
      <c r="D879" s="9"/>
      <c r="E879" s="11"/>
      <c r="F879" s="11"/>
      <c r="G879" s="11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"/>
      <c r="C880" s="9"/>
      <c r="D880" s="9"/>
      <c r="E880" s="11"/>
      <c r="F880" s="11"/>
      <c r="G880" s="11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"/>
      <c r="C881" s="9"/>
      <c r="D881" s="9"/>
      <c r="E881" s="11"/>
      <c r="F881" s="11"/>
      <c r="G881" s="11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"/>
      <c r="C882" s="9"/>
      <c r="D882" s="9"/>
      <c r="E882" s="11"/>
      <c r="F882" s="11"/>
      <c r="G882" s="11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"/>
      <c r="C883" s="9"/>
      <c r="D883" s="9"/>
      <c r="E883" s="11"/>
      <c r="F883" s="11"/>
      <c r="G883" s="11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"/>
      <c r="C884" s="9"/>
      <c r="D884" s="9"/>
      <c r="E884" s="11"/>
      <c r="F884" s="11"/>
      <c r="G884" s="11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"/>
      <c r="C885" s="9"/>
      <c r="D885" s="9"/>
      <c r="E885" s="11"/>
      <c r="F885" s="11"/>
      <c r="G885" s="11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"/>
      <c r="C886" s="9"/>
      <c r="D886" s="9"/>
      <c r="E886" s="11"/>
      <c r="F886" s="11"/>
      <c r="G886" s="11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"/>
      <c r="C887" s="9"/>
      <c r="D887" s="9"/>
      <c r="E887" s="11"/>
      <c r="F887" s="11"/>
      <c r="G887" s="11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"/>
      <c r="C888" s="9"/>
      <c r="D888" s="9"/>
      <c r="E888" s="11"/>
      <c r="F888" s="11"/>
      <c r="G888" s="11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"/>
      <c r="C889" s="9"/>
      <c r="D889" s="9"/>
      <c r="E889" s="11"/>
      <c r="F889" s="11"/>
      <c r="G889" s="11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"/>
      <c r="C890" s="9"/>
      <c r="D890" s="9"/>
      <c r="E890" s="11"/>
      <c r="F890" s="11"/>
      <c r="G890" s="11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"/>
      <c r="C891" s="9"/>
      <c r="D891" s="9"/>
      <c r="E891" s="11"/>
      <c r="F891" s="11"/>
      <c r="G891" s="11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"/>
      <c r="C892" s="9"/>
      <c r="D892" s="9"/>
      <c r="E892" s="11"/>
      <c r="F892" s="11"/>
      <c r="G892" s="11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"/>
      <c r="C893" s="9"/>
      <c r="D893" s="9"/>
      <c r="E893" s="11"/>
      <c r="F893" s="11"/>
      <c r="G893" s="11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"/>
      <c r="C894" s="9"/>
      <c r="D894" s="9"/>
      <c r="E894" s="11"/>
      <c r="F894" s="11"/>
      <c r="G894" s="11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"/>
      <c r="C895" s="9"/>
      <c r="D895" s="9"/>
      <c r="E895" s="11"/>
      <c r="F895" s="11"/>
      <c r="G895" s="11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"/>
      <c r="C896" s="9"/>
      <c r="D896" s="9"/>
      <c r="E896" s="11"/>
      <c r="F896" s="11"/>
      <c r="G896" s="11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"/>
      <c r="C897" s="9"/>
      <c r="D897" s="9"/>
      <c r="E897" s="11"/>
      <c r="F897" s="11"/>
      <c r="G897" s="11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"/>
      <c r="C898" s="9"/>
      <c r="D898" s="9"/>
      <c r="E898" s="11"/>
      <c r="F898" s="11"/>
      <c r="G898" s="11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"/>
      <c r="C899" s="9"/>
      <c r="D899" s="9"/>
      <c r="E899" s="11"/>
      <c r="F899" s="11"/>
      <c r="G899" s="11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"/>
      <c r="C900" s="9"/>
      <c r="D900" s="9"/>
      <c r="E900" s="11"/>
      <c r="F900" s="11"/>
      <c r="G900" s="11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"/>
      <c r="C901" s="9"/>
      <c r="D901" s="9"/>
      <c r="E901" s="11"/>
      <c r="F901" s="11"/>
      <c r="G901" s="11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"/>
      <c r="C902" s="9"/>
      <c r="D902" s="9"/>
      <c r="E902" s="11"/>
      <c r="F902" s="11"/>
      <c r="G902" s="11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"/>
      <c r="C903" s="9"/>
      <c r="D903" s="9"/>
      <c r="E903" s="11"/>
      <c r="F903" s="11"/>
      <c r="G903" s="11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"/>
      <c r="C904" s="9"/>
      <c r="D904" s="9"/>
      <c r="E904" s="11"/>
      <c r="F904" s="11"/>
      <c r="G904" s="11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"/>
      <c r="C905" s="9"/>
      <c r="D905" s="9"/>
      <c r="E905" s="11"/>
      <c r="F905" s="11"/>
      <c r="G905" s="11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"/>
      <c r="C906" s="9"/>
      <c r="D906" s="9"/>
      <c r="E906" s="11"/>
      <c r="F906" s="11"/>
      <c r="G906" s="11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"/>
      <c r="C907" s="9"/>
      <c r="D907" s="9"/>
      <c r="E907" s="11"/>
      <c r="F907" s="11"/>
      <c r="G907" s="11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"/>
      <c r="C908" s="9"/>
      <c r="D908" s="9"/>
      <c r="E908" s="11"/>
      <c r="F908" s="11"/>
      <c r="G908" s="11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"/>
      <c r="C909" s="9"/>
      <c r="D909" s="9"/>
      <c r="E909" s="11"/>
      <c r="F909" s="11"/>
      <c r="G909" s="11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"/>
      <c r="C910" s="9"/>
      <c r="D910" s="9"/>
      <c r="E910" s="11"/>
      <c r="F910" s="11"/>
      <c r="G910" s="11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"/>
      <c r="C911" s="9"/>
      <c r="D911" s="9"/>
      <c r="E911" s="11"/>
      <c r="F911" s="11"/>
      <c r="G911" s="11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"/>
      <c r="C912" s="9"/>
      <c r="D912" s="9"/>
      <c r="E912" s="11"/>
      <c r="F912" s="11"/>
      <c r="G912" s="11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"/>
      <c r="C913" s="9"/>
      <c r="D913" s="9"/>
      <c r="E913" s="11"/>
      <c r="F913" s="11"/>
      <c r="G913" s="11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"/>
      <c r="C914" s="9"/>
      <c r="D914" s="9"/>
      <c r="E914" s="11"/>
      <c r="F914" s="11"/>
      <c r="G914" s="11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"/>
      <c r="C915" s="9"/>
      <c r="D915" s="9"/>
      <c r="E915" s="11"/>
      <c r="F915" s="11"/>
      <c r="G915" s="11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"/>
      <c r="C916" s="9"/>
      <c r="D916" s="9"/>
      <c r="E916" s="11"/>
      <c r="F916" s="11"/>
      <c r="G916" s="11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"/>
      <c r="C917" s="9"/>
      <c r="D917" s="9"/>
      <c r="E917" s="11"/>
      <c r="F917" s="11"/>
      <c r="G917" s="11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"/>
      <c r="C918" s="9"/>
      <c r="D918" s="9"/>
      <c r="E918" s="11"/>
      <c r="F918" s="11"/>
      <c r="G918" s="11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"/>
      <c r="C919" s="9"/>
      <c r="D919" s="9"/>
      <c r="E919" s="11"/>
      <c r="F919" s="11"/>
      <c r="G919" s="11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"/>
      <c r="C920" s="9"/>
      <c r="D920" s="9"/>
      <c r="E920" s="11"/>
      <c r="F920" s="11"/>
      <c r="G920" s="11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"/>
      <c r="C921" s="9"/>
      <c r="D921" s="9"/>
      <c r="E921" s="11"/>
      <c r="F921" s="11"/>
      <c r="G921" s="11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"/>
      <c r="C922" s="9"/>
      <c r="D922" s="9"/>
      <c r="E922" s="11"/>
      <c r="F922" s="11"/>
      <c r="G922" s="11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"/>
      <c r="C923" s="9"/>
      <c r="D923" s="9"/>
      <c r="E923" s="11"/>
      <c r="F923" s="11"/>
      <c r="G923" s="11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"/>
      <c r="C924" s="9"/>
      <c r="D924" s="9"/>
      <c r="E924" s="11"/>
      <c r="F924" s="11"/>
      <c r="G924" s="11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"/>
      <c r="C925" s="9"/>
      <c r="D925" s="9"/>
      <c r="E925" s="11"/>
      <c r="F925" s="11"/>
      <c r="G925" s="11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"/>
      <c r="C926" s="9"/>
      <c r="D926" s="9"/>
      <c r="E926" s="11"/>
      <c r="F926" s="11"/>
      <c r="G926" s="11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"/>
      <c r="C927" s="9"/>
      <c r="D927" s="9"/>
      <c r="E927" s="11"/>
      <c r="F927" s="11"/>
      <c r="G927" s="11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"/>
      <c r="C928" s="9"/>
      <c r="D928" s="9"/>
      <c r="E928" s="11"/>
      <c r="F928" s="11"/>
      <c r="G928" s="11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"/>
      <c r="C929" s="9"/>
      <c r="D929" s="9"/>
      <c r="E929" s="11"/>
      <c r="F929" s="11"/>
      <c r="G929" s="11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"/>
      <c r="C930" s="9"/>
      <c r="D930" s="9"/>
      <c r="E930" s="11"/>
      <c r="F930" s="11"/>
      <c r="G930" s="11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"/>
      <c r="C931" s="9"/>
      <c r="D931" s="9"/>
      <c r="E931" s="11"/>
      <c r="F931" s="11"/>
      <c r="G931" s="11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"/>
      <c r="C932" s="9"/>
      <c r="D932" s="9"/>
      <c r="E932" s="11"/>
      <c r="F932" s="11"/>
      <c r="G932" s="11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"/>
      <c r="C933" s="9"/>
      <c r="D933" s="9"/>
      <c r="E933" s="11"/>
      <c r="F933" s="11"/>
      <c r="G933" s="11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"/>
      <c r="C934" s="9"/>
      <c r="D934" s="9"/>
      <c r="E934" s="11"/>
      <c r="F934" s="11"/>
      <c r="G934" s="11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"/>
      <c r="C935" s="9"/>
      <c r="D935" s="9"/>
      <c r="E935" s="11"/>
      <c r="F935" s="11"/>
      <c r="G935" s="11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"/>
      <c r="C936" s="9"/>
      <c r="D936" s="9"/>
      <c r="E936" s="11"/>
      <c r="F936" s="11"/>
      <c r="G936" s="11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"/>
      <c r="C937" s="9"/>
      <c r="D937" s="9"/>
      <c r="E937" s="11"/>
      <c r="F937" s="11"/>
      <c r="G937" s="11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"/>
      <c r="C938" s="9"/>
      <c r="D938" s="9"/>
      <c r="E938" s="11"/>
      <c r="F938" s="11"/>
      <c r="G938" s="11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"/>
      <c r="C939" s="9"/>
      <c r="D939" s="9"/>
      <c r="E939" s="11"/>
      <c r="F939" s="11"/>
      <c r="G939" s="11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"/>
      <c r="C940" s="9"/>
      <c r="D940" s="9"/>
      <c r="E940" s="11"/>
      <c r="F940" s="11"/>
      <c r="G940" s="11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"/>
      <c r="C941" s="9"/>
      <c r="D941" s="9"/>
      <c r="E941" s="11"/>
      <c r="F941" s="11"/>
      <c r="G941" s="11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"/>
      <c r="C942" s="9"/>
      <c r="D942" s="9"/>
      <c r="E942" s="11"/>
      <c r="F942" s="11"/>
      <c r="G942" s="11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"/>
      <c r="C943" s="9"/>
      <c r="D943" s="9"/>
      <c r="E943" s="11"/>
      <c r="F943" s="11"/>
      <c r="G943" s="11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"/>
      <c r="C944" s="9"/>
      <c r="D944" s="9"/>
      <c r="E944" s="11"/>
      <c r="F944" s="11"/>
      <c r="G944" s="11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"/>
      <c r="C945" s="9"/>
      <c r="D945" s="9"/>
      <c r="E945" s="11"/>
      <c r="F945" s="11"/>
      <c r="G945" s="11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"/>
      <c r="C946" s="9"/>
      <c r="D946" s="9"/>
      <c r="E946" s="11"/>
      <c r="F946" s="11"/>
      <c r="G946" s="11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"/>
      <c r="C947" s="9"/>
      <c r="D947" s="9"/>
      <c r="E947" s="11"/>
      <c r="F947" s="11"/>
      <c r="G947" s="11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"/>
      <c r="C948" s="9"/>
      <c r="D948" s="9"/>
      <c r="E948" s="11"/>
      <c r="F948" s="11"/>
      <c r="G948" s="11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"/>
      <c r="C949" s="9"/>
      <c r="D949" s="9"/>
      <c r="E949" s="11"/>
      <c r="F949" s="11"/>
      <c r="G949" s="11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"/>
      <c r="C950" s="9"/>
      <c r="D950" s="9"/>
      <c r="E950" s="11"/>
      <c r="F950" s="11"/>
      <c r="G950" s="11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"/>
      <c r="C951" s="9"/>
      <c r="D951" s="9"/>
      <c r="E951" s="11"/>
      <c r="F951" s="11"/>
      <c r="G951" s="11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"/>
      <c r="C952" s="9"/>
      <c r="D952" s="9"/>
      <c r="E952" s="11"/>
      <c r="F952" s="11"/>
      <c r="G952" s="11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"/>
      <c r="C953" s="9"/>
      <c r="D953" s="9"/>
      <c r="E953" s="11"/>
      <c r="F953" s="11"/>
      <c r="G953" s="11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"/>
      <c r="C954" s="9"/>
      <c r="D954" s="9"/>
      <c r="E954" s="11"/>
      <c r="F954" s="11"/>
      <c r="G954" s="11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"/>
      <c r="C955" s="9"/>
      <c r="D955" s="9"/>
      <c r="E955" s="11"/>
      <c r="F955" s="11"/>
      <c r="G955" s="11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"/>
      <c r="C956" s="9"/>
      <c r="D956" s="9"/>
      <c r="E956" s="11"/>
      <c r="F956" s="11"/>
      <c r="G956" s="11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"/>
      <c r="C957" s="9"/>
      <c r="D957" s="9"/>
      <c r="E957" s="11"/>
      <c r="F957" s="11"/>
      <c r="G957" s="11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"/>
      <c r="C958" s="9"/>
      <c r="D958" s="9"/>
      <c r="E958" s="11"/>
      <c r="F958" s="11"/>
      <c r="G958" s="11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"/>
      <c r="C959" s="9"/>
      <c r="D959" s="9"/>
      <c r="E959" s="11"/>
      <c r="F959" s="11"/>
      <c r="G959" s="11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"/>
      <c r="C960" s="9"/>
      <c r="D960" s="9"/>
      <c r="E960" s="11"/>
      <c r="F960" s="11"/>
      <c r="G960" s="11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"/>
      <c r="C961" s="9"/>
      <c r="D961" s="9"/>
      <c r="E961" s="11"/>
      <c r="F961" s="11"/>
      <c r="G961" s="11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"/>
      <c r="C962" s="9"/>
      <c r="D962" s="9"/>
      <c r="E962" s="11"/>
      <c r="F962" s="11"/>
      <c r="G962" s="11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"/>
      <c r="C963" s="9"/>
      <c r="D963" s="9"/>
      <c r="E963" s="11"/>
      <c r="F963" s="11"/>
      <c r="G963" s="11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"/>
      <c r="C964" s="9"/>
      <c r="D964" s="9"/>
      <c r="E964" s="11"/>
      <c r="F964" s="11"/>
      <c r="G964" s="11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"/>
      <c r="C965" s="9"/>
      <c r="D965" s="9"/>
      <c r="E965" s="11"/>
      <c r="F965" s="11"/>
      <c r="G965" s="11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"/>
      <c r="C966" s="9"/>
      <c r="D966" s="9"/>
      <c r="E966" s="11"/>
      <c r="F966" s="11"/>
      <c r="G966" s="11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"/>
      <c r="C967" s="9"/>
      <c r="D967" s="9"/>
      <c r="E967" s="11"/>
      <c r="F967" s="11"/>
      <c r="G967" s="11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"/>
      <c r="C968" s="9"/>
      <c r="D968" s="9"/>
      <c r="E968" s="11"/>
      <c r="F968" s="11"/>
      <c r="G968" s="11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"/>
      <c r="C969" s="9"/>
      <c r="D969" s="9"/>
      <c r="E969" s="11"/>
      <c r="F969" s="11"/>
      <c r="G969" s="11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"/>
      <c r="C970" s="9"/>
      <c r="D970" s="9"/>
      <c r="E970" s="11"/>
      <c r="F970" s="11"/>
      <c r="G970" s="11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"/>
      <c r="C971" s="9"/>
      <c r="D971" s="9"/>
      <c r="E971" s="11"/>
      <c r="F971" s="11"/>
      <c r="G971" s="11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"/>
      <c r="C972" s="9"/>
      <c r="D972" s="9"/>
      <c r="E972" s="11"/>
      <c r="F972" s="11"/>
      <c r="G972" s="11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"/>
      <c r="C973" s="9"/>
      <c r="D973" s="9"/>
      <c r="E973" s="11"/>
      <c r="F973" s="11"/>
      <c r="G973" s="11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"/>
      <c r="C974" s="9"/>
      <c r="D974" s="9"/>
      <c r="E974" s="11"/>
      <c r="F974" s="11"/>
      <c r="G974" s="11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"/>
      <c r="C975" s="9"/>
      <c r="D975" s="9"/>
      <c r="E975" s="11"/>
      <c r="F975" s="11"/>
      <c r="G975" s="11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"/>
      <c r="C976" s="9"/>
      <c r="D976" s="9"/>
      <c r="E976" s="11"/>
      <c r="F976" s="11"/>
      <c r="G976" s="11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"/>
      <c r="C977" s="9"/>
      <c r="D977" s="9"/>
      <c r="E977" s="11"/>
      <c r="F977" s="11"/>
      <c r="G977" s="11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"/>
      <c r="C978" s="9"/>
      <c r="D978" s="9"/>
      <c r="E978" s="11"/>
      <c r="F978" s="11"/>
      <c r="G978" s="11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"/>
      <c r="C979" s="9"/>
      <c r="D979" s="9"/>
      <c r="E979" s="11"/>
      <c r="F979" s="11"/>
      <c r="G979" s="11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"/>
      <c r="C980" s="9"/>
      <c r="D980" s="9"/>
      <c r="E980" s="11"/>
      <c r="F980" s="11"/>
      <c r="G980" s="11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"/>
      <c r="C981" s="9"/>
      <c r="D981" s="9"/>
      <c r="E981" s="11"/>
      <c r="F981" s="11"/>
      <c r="G981" s="11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"/>
      <c r="C982" s="9"/>
      <c r="D982" s="9"/>
      <c r="E982" s="11"/>
      <c r="F982" s="11"/>
      <c r="G982" s="11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"/>
      <c r="C983" s="9"/>
      <c r="D983" s="9"/>
      <c r="E983" s="11"/>
      <c r="F983" s="11"/>
      <c r="G983" s="11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"/>
      <c r="C984" s="9"/>
      <c r="D984" s="9"/>
      <c r="E984" s="11"/>
      <c r="F984" s="11"/>
      <c r="G984" s="11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"/>
      <c r="C985" s="9"/>
      <c r="D985" s="9"/>
      <c r="E985" s="11"/>
      <c r="F985" s="11"/>
      <c r="G985" s="11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"/>
      <c r="C986" s="9"/>
      <c r="D986" s="9"/>
      <c r="E986" s="11"/>
      <c r="F986" s="11"/>
      <c r="G986" s="11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"/>
      <c r="C987" s="9"/>
      <c r="D987" s="9"/>
      <c r="E987" s="11"/>
      <c r="F987" s="11"/>
      <c r="G987" s="11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"/>
      <c r="C988" s="9"/>
      <c r="D988" s="9"/>
      <c r="E988" s="11"/>
      <c r="F988" s="11"/>
      <c r="G988" s="11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"/>
      <c r="C989" s="9"/>
      <c r="D989" s="9"/>
      <c r="E989" s="11"/>
      <c r="F989" s="11"/>
      <c r="G989" s="11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"/>
      <c r="C990" s="9"/>
      <c r="D990" s="9"/>
      <c r="E990" s="11"/>
      <c r="F990" s="11"/>
      <c r="G990" s="11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"/>
      <c r="C991" s="9"/>
      <c r="D991" s="9"/>
      <c r="E991" s="11"/>
      <c r="F991" s="11"/>
      <c r="G991" s="11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0">
    <mergeCell ref="C30:D30"/>
    <mergeCell ref="E35:F35"/>
    <mergeCell ref="G35:H35"/>
    <mergeCell ref="B1:H1"/>
    <mergeCell ref="B2:H2"/>
    <mergeCell ref="B3:H3"/>
    <mergeCell ref="B7:D7"/>
    <mergeCell ref="C9:C24"/>
    <mergeCell ref="C25:C27"/>
    <mergeCell ref="B28:F28"/>
  </mergeCells>
  <printOptions/>
  <pageMargins bottom="0.25" footer="0.0" header="0.0" left="0.7" right="0.2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9.57"/>
    <col customWidth="1" min="3" max="3" width="15.71"/>
    <col customWidth="1" min="4" max="4" width="9.57"/>
    <col customWidth="1" min="5" max="5" width="17.14"/>
    <col customWidth="1" min="6" max="6" width="17.0"/>
    <col customWidth="1" min="7" max="7" width="15.57"/>
    <col customWidth="1" min="8" max="8" width="13.57"/>
    <col customWidth="1" min="9" max="9" width="16.0"/>
    <col customWidth="1" min="10" max="10" width="21.57"/>
    <col customWidth="1" min="11" max="12" width="17.0"/>
    <col customWidth="1" min="13" max="13" width="72.57"/>
    <col customWidth="1" min="14" max="14" width="62.43"/>
    <col customWidth="1" min="15" max="15" width="15.0"/>
    <col customWidth="1" min="16" max="18" width="9.14"/>
    <col customWidth="1" min="19" max="26" width="8.71"/>
  </cols>
  <sheetData>
    <row r="1" ht="21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6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2" t="s">
        <v>6</v>
      </c>
      <c r="C4" s="11"/>
      <c r="D4" s="9"/>
      <c r="E4" s="9"/>
      <c r="F4" s="19"/>
      <c r="G4" s="19"/>
      <c r="H4" s="19"/>
      <c r="I4" s="19"/>
      <c r="J4" s="19"/>
      <c r="K4" s="19"/>
      <c r="L4" s="19"/>
      <c r="M4" s="19"/>
      <c r="N4" s="19"/>
      <c r="O4" s="1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9"/>
      <c r="B5" s="22">
        <f>TODAY()</f>
        <v>46291</v>
      </c>
      <c r="C5" s="11"/>
      <c r="D5" s="9"/>
      <c r="E5" s="9"/>
      <c r="F5" s="26"/>
      <c r="G5" s="26"/>
      <c r="H5" s="26"/>
      <c r="I5" s="26"/>
      <c r="J5" s="26"/>
      <c r="K5" s="26"/>
      <c r="L5" s="26"/>
      <c r="M5" s="26"/>
      <c r="N5" s="26"/>
      <c r="O5" s="2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30" t="s">
        <v>8</v>
      </c>
      <c r="B6" s="59" t="s">
        <v>17</v>
      </c>
      <c r="C6" s="61" t="s">
        <v>18</v>
      </c>
      <c r="D6" s="59" t="s">
        <v>19</v>
      </c>
      <c r="E6" s="62" t="s">
        <v>22</v>
      </c>
      <c r="F6" s="59" t="s">
        <v>78</v>
      </c>
      <c r="G6" s="68" t="s">
        <v>79</v>
      </c>
      <c r="H6" s="68" t="s">
        <v>81</v>
      </c>
      <c r="I6" s="68" t="s">
        <v>82</v>
      </c>
      <c r="J6" s="68" t="s">
        <v>83</v>
      </c>
      <c r="K6" s="68" t="s">
        <v>84</v>
      </c>
      <c r="L6" s="68" t="s">
        <v>85</v>
      </c>
      <c r="M6" s="68" t="s">
        <v>86</v>
      </c>
      <c r="N6" s="68" t="s">
        <v>87</v>
      </c>
      <c r="O6" s="68" t="s">
        <v>88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69" t="s">
        <v>16</v>
      </c>
      <c r="B7" s="70" t="s">
        <v>23</v>
      </c>
      <c r="C7" s="71" t="s">
        <v>89</v>
      </c>
      <c r="D7" s="72">
        <v>6179.0</v>
      </c>
      <c r="E7" s="73" t="s">
        <v>25</v>
      </c>
      <c r="F7" s="73" t="s">
        <v>90</v>
      </c>
      <c r="G7" s="74">
        <v>45791.0</v>
      </c>
      <c r="H7" s="77" t="str">
        <f t="shared" ref="H7:H22" si="1">DATEDIF(G7,$B$5,"y")&amp;"y-"&amp;DATEDIF(G7,$B$5,"ym")&amp;"m-"&amp;DATEDIF(G7,$B$5,"md")&amp;"d"</f>
        <v>1y-4m-12d</v>
      </c>
      <c r="I7" s="82">
        <v>45971.0</v>
      </c>
      <c r="J7" s="77" t="str">
        <f t="shared" ref="J7:J22" si="2">DATEDIF(I7,$B$5,"y")&amp;"y-"&amp;DATEDIF(I7,$B$5,"ym")&amp;"m-"&amp;DATEDIF(I7,$B$5,"md")&amp;"d"</f>
        <v>0y-10m-16d</v>
      </c>
      <c r="K7" s="87">
        <v>29312.0</v>
      </c>
      <c r="L7" s="91"/>
      <c r="M7" s="93"/>
      <c r="N7" s="93"/>
      <c r="O7" s="87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69" t="s">
        <v>26</v>
      </c>
      <c r="B8" s="93" t="s">
        <v>98</v>
      </c>
      <c r="C8" s="98" t="s">
        <v>39</v>
      </c>
      <c r="D8" s="91">
        <v>6182.0</v>
      </c>
      <c r="E8" s="73" t="s">
        <v>107</v>
      </c>
      <c r="F8" s="73" t="s">
        <v>108</v>
      </c>
      <c r="G8" s="74">
        <v>45792.0</v>
      </c>
      <c r="H8" s="77" t="str">
        <f t="shared" si="1"/>
        <v>1y-4m-11d</v>
      </c>
      <c r="I8" s="104">
        <v>45987.0</v>
      </c>
      <c r="J8" s="77" t="str">
        <f t="shared" si="2"/>
        <v>0y-10m-0d</v>
      </c>
      <c r="K8" s="87">
        <v>33887.0</v>
      </c>
      <c r="L8" s="73" t="s">
        <v>109</v>
      </c>
      <c r="M8" s="111" t="s">
        <v>110</v>
      </c>
      <c r="N8" s="111" t="s">
        <v>111</v>
      </c>
      <c r="O8" s="87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69" t="s">
        <v>29</v>
      </c>
      <c r="B9" s="113" t="s">
        <v>112</v>
      </c>
      <c r="C9" s="115" t="s">
        <v>54</v>
      </c>
      <c r="D9" s="116">
        <v>6214.0</v>
      </c>
      <c r="E9" s="120" t="s">
        <v>113</v>
      </c>
      <c r="F9" s="120" t="s">
        <v>114</v>
      </c>
      <c r="G9" s="122">
        <v>45871.0</v>
      </c>
      <c r="H9" s="128" t="str">
        <f t="shared" si="1"/>
        <v>1y-1m-24d</v>
      </c>
      <c r="I9" s="130">
        <v>45955.0</v>
      </c>
      <c r="J9" s="128" t="str">
        <f t="shared" si="2"/>
        <v>0y-11m-1d</v>
      </c>
      <c r="K9" s="122"/>
      <c r="L9" s="137"/>
      <c r="M9" s="138"/>
      <c r="N9" s="138"/>
      <c r="O9" s="122"/>
      <c r="P9" s="1"/>
      <c r="Q9" s="1"/>
      <c r="R9" s="141" t="str">
        <f>DATEDIF(O7,$F$5,"Y")&amp;"years,"&amp;DATEDIF(O7,$F$5,"ym")&amp;"months,"&amp;DATEDIF(O7,$F$5,"md")&amp;"days"</f>
        <v>0years,0months,0days</v>
      </c>
      <c r="S9" s="1"/>
      <c r="T9" s="1"/>
      <c r="U9" s="1"/>
      <c r="V9" s="1"/>
      <c r="W9" s="1"/>
      <c r="X9" s="1"/>
      <c r="Y9" s="1"/>
      <c r="Z9" s="1"/>
    </row>
    <row r="10" ht="15.75" customHeight="1">
      <c r="A10" s="69" t="s">
        <v>33</v>
      </c>
      <c r="B10" s="134" t="s">
        <v>50</v>
      </c>
      <c r="C10" s="145" t="s">
        <v>104</v>
      </c>
      <c r="D10" s="116">
        <v>6215.0</v>
      </c>
      <c r="E10" s="120" t="s">
        <v>51</v>
      </c>
      <c r="F10" s="120" t="s">
        <v>114</v>
      </c>
      <c r="G10" s="122">
        <v>45871.0</v>
      </c>
      <c r="H10" s="128" t="str">
        <f t="shared" si="1"/>
        <v>1y-1m-24d</v>
      </c>
      <c r="I10" s="130">
        <v>45997.0</v>
      </c>
      <c r="J10" s="128" t="str">
        <f t="shared" si="2"/>
        <v>0y-9m-20d</v>
      </c>
      <c r="K10" s="122"/>
      <c r="L10" s="137"/>
      <c r="M10" s="138"/>
      <c r="N10" s="138"/>
      <c r="O10" s="12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69" t="s">
        <v>37</v>
      </c>
      <c r="B11" s="113" t="s">
        <v>122</v>
      </c>
      <c r="C11" s="115" t="s">
        <v>58</v>
      </c>
      <c r="D11" s="140">
        <v>6259.0</v>
      </c>
      <c r="E11" s="120" t="s">
        <v>123</v>
      </c>
      <c r="F11" s="120" t="s">
        <v>124</v>
      </c>
      <c r="G11" s="122">
        <v>45972.0</v>
      </c>
      <c r="H11" s="128" t="str">
        <f t="shared" si="1"/>
        <v>0y-10m-15d</v>
      </c>
      <c r="I11" s="130">
        <v>46000.0</v>
      </c>
      <c r="J11" s="128" t="str">
        <f t="shared" si="2"/>
        <v>0y-9m-17d</v>
      </c>
      <c r="K11" s="122">
        <v>35948.0</v>
      </c>
      <c r="L11" s="120" t="s">
        <v>125</v>
      </c>
      <c r="M11" s="153" t="s">
        <v>126</v>
      </c>
      <c r="N11" s="153" t="s">
        <v>127</v>
      </c>
      <c r="O11" s="12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69" t="s">
        <v>41</v>
      </c>
      <c r="B12" s="53" t="s">
        <v>128</v>
      </c>
      <c r="C12" s="145" t="s">
        <v>104</v>
      </c>
      <c r="D12" s="152">
        <v>6213.0</v>
      </c>
      <c r="E12" s="120" t="s">
        <v>129</v>
      </c>
      <c r="F12" s="157" t="s">
        <v>130</v>
      </c>
      <c r="G12" s="122">
        <v>45879.0</v>
      </c>
      <c r="H12" s="128" t="str">
        <f t="shared" si="1"/>
        <v>1y-1m-16d</v>
      </c>
      <c r="I12" s="130"/>
      <c r="J12" s="128" t="str">
        <f t="shared" si="2"/>
        <v>126y-8m-27d</v>
      </c>
      <c r="K12" s="122">
        <v>34427.0</v>
      </c>
      <c r="L12" s="137"/>
      <c r="M12" s="138"/>
      <c r="N12" s="138"/>
      <c r="O12" s="12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69" t="s">
        <v>45</v>
      </c>
      <c r="B13" s="145" t="s">
        <v>132</v>
      </c>
      <c r="C13" s="145" t="s">
        <v>104</v>
      </c>
      <c r="D13" s="152"/>
      <c r="E13" s="120" t="s">
        <v>133</v>
      </c>
      <c r="F13" s="120" t="s">
        <v>114</v>
      </c>
      <c r="G13" s="122">
        <v>45901.0</v>
      </c>
      <c r="H13" s="128" t="str">
        <f t="shared" si="1"/>
        <v>1y-0m-25d</v>
      </c>
      <c r="I13" s="130"/>
      <c r="J13" s="128" t="str">
        <f t="shared" si="2"/>
        <v>126y-8m-27d</v>
      </c>
      <c r="K13" s="122"/>
      <c r="L13" s="137"/>
      <c r="M13" s="138"/>
      <c r="N13" s="138"/>
      <c r="O13" s="1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69" t="s">
        <v>49</v>
      </c>
      <c r="B14" s="145" t="s">
        <v>135</v>
      </c>
      <c r="C14" s="145" t="s">
        <v>104</v>
      </c>
      <c r="D14" s="152"/>
      <c r="E14" s="120" t="s">
        <v>136</v>
      </c>
      <c r="F14" s="120" t="s">
        <v>114</v>
      </c>
      <c r="G14" s="122">
        <v>45901.0</v>
      </c>
      <c r="H14" s="128" t="str">
        <f t="shared" si="1"/>
        <v>1y-0m-25d</v>
      </c>
      <c r="I14" s="130"/>
      <c r="J14" s="128" t="str">
        <f t="shared" si="2"/>
        <v>126y-8m-27d</v>
      </c>
      <c r="K14" s="122">
        <v>34017.0</v>
      </c>
      <c r="L14" s="137"/>
      <c r="M14" s="138"/>
      <c r="N14" s="138"/>
      <c r="O14" s="1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69" t="s">
        <v>52</v>
      </c>
      <c r="B15" s="134" t="s">
        <v>137</v>
      </c>
      <c r="C15" s="145" t="s">
        <v>104</v>
      </c>
      <c r="D15" s="152">
        <v>6262.0</v>
      </c>
      <c r="E15" s="120" t="s">
        <v>138</v>
      </c>
      <c r="F15" s="120" t="s">
        <v>114</v>
      </c>
      <c r="G15" s="122">
        <v>45973.0</v>
      </c>
      <c r="H15" s="128" t="str">
        <f t="shared" si="1"/>
        <v>0y-10m-14d</v>
      </c>
      <c r="I15" s="130"/>
      <c r="J15" s="128" t="str">
        <f t="shared" si="2"/>
        <v>126y-8m-27d</v>
      </c>
      <c r="K15" s="122"/>
      <c r="L15" s="137"/>
      <c r="M15" s="138"/>
      <c r="N15" s="138"/>
      <c r="O15" s="1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69" t="s">
        <v>56</v>
      </c>
      <c r="B16" s="134" t="s">
        <v>64</v>
      </c>
      <c r="C16" s="115" t="s">
        <v>71</v>
      </c>
      <c r="D16" s="116">
        <v>6176.0</v>
      </c>
      <c r="E16" s="120" t="s">
        <v>65</v>
      </c>
      <c r="F16" s="120" t="s">
        <v>114</v>
      </c>
      <c r="G16" s="122">
        <v>45787.0</v>
      </c>
      <c r="H16" s="128" t="str">
        <f t="shared" si="1"/>
        <v>1y-4m-16d</v>
      </c>
      <c r="I16" s="130">
        <v>45977.0</v>
      </c>
      <c r="J16" s="128" t="str">
        <f t="shared" si="2"/>
        <v>0y-10m-10d</v>
      </c>
      <c r="K16" s="122">
        <v>36428.0</v>
      </c>
      <c r="L16" s="137"/>
      <c r="M16" s="138"/>
      <c r="N16" s="138"/>
      <c r="O16" s="1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69" t="s">
        <v>60</v>
      </c>
      <c r="B17" s="113" t="s">
        <v>67</v>
      </c>
      <c r="C17" s="115" t="s">
        <v>71</v>
      </c>
      <c r="D17" s="116">
        <v>2922.0</v>
      </c>
      <c r="E17" s="120" t="s">
        <v>68</v>
      </c>
      <c r="F17" s="120" t="s">
        <v>141</v>
      </c>
      <c r="G17" s="122">
        <v>45823.0</v>
      </c>
      <c r="H17" s="128" t="str">
        <f t="shared" si="1"/>
        <v>1y-3m-11d</v>
      </c>
      <c r="I17" s="130"/>
      <c r="J17" s="128" t="str">
        <f t="shared" si="2"/>
        <v>126y-8m-27d</v>
      </c>
      <c r="K17" s="122">
        <v>36601.0</v>
      </c>
      <c r="L17" s="137"/>
      <c r="M17" s="138"/>
      <c r="N17" s="138"/>
      <c r="O17" s="1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69" t="s">
        <v>63</v>
      </c>
      <c r="B18" s="145" t="s">
        <v>145</v>
      </c>
      <c r="C18" s="115" t="s">
        <v>71</v>
      </c>
      <c r="D18" s="116">
        <v>6238.0</v>
      </c>
      <c r="E18" s="120" t="s">
        <v>146</v>
      </c>
      <c r="F18" s="120" t="s">
        <v>147</v>
      </c>
      <c r="G18" s="122">
        <v>45901.0</v>
      </c>
      <c r="H18" s="128" t="str">
        <f t="shared" si="1"/>
        <v>1y-0m-25d</v>
      </c>
      <c r="I18" s="130"/>
      <c r="J18" s="128" t="str">
        <f t="shared" si="2"/>
        <v>126y-8m-27d</v>
      </c>
      <c r="K18" s="122">
        <v>38026.0</v>
      </c>
      <c r="L18" s="175" t="s">
        <v>149</v>
      </c>
      <c r="M18" s="153" t="s">
        <v>150</v>
      </c>
      <c r="N18" s="153" t="s">
        <v>151</v>
      </c>
      <c r="O18" s="12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69" t="s">
        <v>66</v>
      </c>
      <c r="B19" s="113" t="s">
        <v>152</v>
      </c>
      <c r="C19" s="115" t="s">
        <v>71</v>
      </c>
      <c r="D19" s="116">
        <v>6203.0</v>
      </c>
      <c r="E19" s="120" t="s">
        <v>55</v>
      </c>
      <c r="F19" s="120" t="s">
        <v>114</v>
      </c>
      <c r="G19" s="122">
        <v>45859.0</v>
      </c>
      <c r="H19" s="128" t="str">
        <f t="shared" si="1"/>
        <v>1y-2m-5d</v>
      </c>
      <c r="I19" s="130"/>
      <c r="J19" s="128" t="str">
        <f t="shared" si="2"/>
        <v>126y-8m-27d</v>
      </c>
      <c r="K19" s="122">
        <v>35795.0</v>
      </c>
      <c r="L19" s="137"/>
      <c r="M19" s="138"/>
      <c r="N19" s="138"/>
      <c r="O19" s="12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9" t="s">
        <v>69</v>
      </c>
      <c r="B20" s="113" t="s">
        <v>153</v>
      </c>
      <c r="C20" s="115" t="s">
        <v>71</v>
      </c>
      <c r="D20" s="116">
        <v>9182.0</v>
      </c>
      <c r="E20" s="120" t="s">
        <v>154</v>
      </c>
      <c r="F20" s="120" t="s">
        <v>155</v>
      </c>
      <c r="G20" s="122">
        <v>45879.0</v>
      </c>
      <c r="H20" s="128" t="str">
        <f t="shared" si="1"/>
        <v>1y-1m-16d</v>
      </c>
      <c r="I20" s="130"/>
      <c r="J20" s="128" t="str">
        <f t="shared" si="2"/>
        <v>126y-8m-27d</v>
      </c>
      <c r="K20" s="122">
        <v>35170.0</v>
      </c>
      <c r="L20" s="137"/>
      <c r="M20" s="138"/>
      <c r="N20" s="138"/>
      <c r="O20" s="12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9" t="s">
        <v>73</v>
      </c>
      <c r="B21" s="145" t="s">
        <v>157</v>
      </c>
      <c r="C21" s="115" t="s">
        <v>71</v>
      </c>
      <c r="D21" s="116">
        <v>6257.0</v>
      </c>
      <c r="E21" s="120" t="s">
        <v>158</v>
      </c>
      <c r="F21" s="137"/>
      <c r="G21" s="122">
        <v>45971.0</v>
      </c>
      <c r="H21" s="128" t="str">
        <f t="shared" si="1"/>
        <v>0y-10m-16d</v>
      </c>
      <c r="I21" s="130"/>
      <c r="J21" s="128" t="str">
        <f t="shared" si="2"/>
        <v>126y-8m-27d</v>
      </c>
      <c r="K21" s="122"/>
      <c r="L21" s="137"/>
      <c r="M21" s="138"/>
      <c r="N21" s="138"/>
      <c r="O21" s="12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9" t="s">
        <v>76</v>
      </c>
      <c r="B22" s="145" t="s">
        <v>74</v>
      </c>
      <c r="C22" s="115" t="s">
        <v>71</v>
      </c>
      <c r="D22" s="140">
        <v>6282.0</v>
      </c>
      <c r="E22" s="120" t="s">
        <v>75</v>
      </c>
      <c r="F22" s="120" t="s">
        <v>162</v>
      </c>
      <c r="G22" s="122">
        <v>45997.0</v>
      </c>
      <c r="H22" s="128" t="str">
        <f t="shared" si="1"/>
        <v>0y-9m-20d</v>
      </c>
      <c r="I22" s="130"/>
      <c r="J22" s="128" t="str">
        <f t="shared" si="2"/>
        <v>126y-8m-27d</v>
      </c>
      <c r="K22" s="122"/>
      <c r="L22" s="137"/>
      <c r="M22" s="138"/>
      <c r="N22" s="138"/>
      <c r="O22" s="12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9" t="s">
        <v>94</v>
      </c>
      <c r="B23" s="145" t="s">
        <v>163</v>
      </c>
      <c r="C23" s="115" t="s">
        <v>71</v>
      </c>
      <c r="D23" s="116"/>
      <c r="E23" s="137"/>
      <c r="F23" s="120" t="s">
        <v>164</v>
      </c>
      <c r="G23" s="122">
        <v>46009.0</v>
      </c>
      <c r="H23" s="158" t="s">
        <v>165</v>
      </c>
      <c r="I23" s="130">
        <v>46009.0</v>
      </c>
      <c r="J23" s="158" t="s">
        <v>165</v>
      </c>
      <c r="K23" s="122">
        <v>45932.0</v>
      </c>
      <c r="L23" s="120" t="s">
        <v>109</v>
      </c>
      <c r="M23" s="153" t="s">
        <v>166</v>
      </c>
      <c r="N23" s="153" t="s">
        <v>167</v>
      </c>
      <c r="O23" s="12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9" t="s">
        <v>99</v>
      </c>
      <c r="B24" s="113" t="s">
        <v>168</v>
      </c>
      <c r="C24" s="115" t="s">
        <v>43</v>
      </c>
      <c r="D24" s="140">
        <v>6289.0</v>
      </c>
      <c r="E24" s="137"/>
      <c r="F24" s="175" t="s">
        <v>169</v>
      </c>
      <c r="G24" s="142">
        <v>46023.0</v>
      </c>
      <c r="H24" s="128" t="str">
        <f t="shared" ref="H24:H43" si="3">DATEDIF(G24,$B$5,"y")&amp;"y-"&amp;DATEDIF(G24,$B$5,"ym")&amp;"m-"&amp;DATEDIF(G24,$B$5,"md")&amp;"d"</f>
        <v>0y-8m-25d</v>
      </c>
      <c r="I24" s="179"/>
      <c r="J24" s="128" t="str">
        <f t="shared" ref="J24:J37" si="4">DATEDIF(I24,$B$5,"y")&amp;"y-"&amp;DATEDIF(I24,$B$5,"ym")&amp;"m-"&amp;DATEDIF(I24,$B$5,"md")&amp;"d"</f>
        <v>126y-8m-27d</v>
      </c>
      <c r="K24" s="122">
        <v>26665.0</v>
      </c>
      <c r="L24" s="175" t="s">
        <v>173</v>
      </c>
      <c r="M24" s="174" t="s">
        <v>174</v>
      </c>
      <c r="N24" s="174" t="s">
        <v>175</v>
      </c>
      <c r="O24" s="12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96" t="s">
        <v>102</v>
      </c>
      <c r="B25" s="197" t="s">
        <v>176</v>
      </c>
      <c r="C25" s="198" t="s">
        <v>177</v>
      </c>
      <c r="D25" s="199">
        <v>6171.0</v>
      </c>
      <c r="E25" s="200" t="s">
        <v>178</v>
      </c>
      <c r="F25" s="201" t="s">
        <v>114</v>
      </c>
      <c r="G25" s="202">
        <v>45704.0</v>
      </c>
      <c r="H25" s="128" t="str">
        <f t="shared" si="3"/>
        <v>1y-7m-10d</v>
      </c>
      <c r="I25" s="204"/>
      <c r="J25" s="128" t="str">
        <f t="shared" si="4"/>
        <v>126y-8m-27d</v>
      </c>
      <c r="K25" s="122">
        <v>32813.0</v>
      </c>
      <c r="L25" s="205"/>
      <c r="M25" s="198"/>
      <c r="N25" s="198"/>
      <c r="O25" s="122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15.75" customHeight="1">
      <c r="A26" s="69" t="s">
        <v>181</v>
      </c>
      <c r="B26" s="210" t="s">
        <v>46</v>
      </c>
      <c r="C26" s="115" t="s">
        <v>54</v>
      </c>
      <c r="D26" s="116">
        <v>6181.0</v>
      </c>
      <c r="E26" s="120" t="s">
        <v>48</v>
      </c>
      <c r="F26" s="175" t="s">
        <v>114</v>
      </c>
      <c r="G26" s="142">
        <v>45792.0</v>
      </c>
      <c r="H26" s="128" t="str">
        <f t="shared" si="3"/>
        <v>1y-4m-11d</v>
      </c>
      <c r="I26" s="179"/>
      <c r="J26" s="128" t="str">
        <f t="shared" si="4"/>
        <v>126y-8m-27d</v>
      </c>
      <c r="K26" s="122">
        <v>33946.0</v>
      </c>
      <c r="L26" s="212"/>
      <c r="M26" s="214"/>
      <c r="N26" s="214"/>
      <c r="O26" s="12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9" t="s">
        <v>182</v>
      </c>
      <c r="B27" s="42" t="s">
        <v>184</v>
      </c>
      <c r="C27" s="115" t="s">
        <v>58</v>
      </c>
      <c r="D27" s="116">
        <v>6174.0</v>
      </c>
      <c r="E27" s="120" t="s">
        <v>186</v>
      </c>
      <c r="F27" s="175" t="s">
        <v>114</v>
      </c>
      <c r="G27" s="142">
        <v>45710.0</v>
      </c>
      <c r="H27" s="128" t="str">
        <f t="shared" si="3"/>
        <v>1y-7m-4d</v>
      </c>
      <c r="I27" s="179">
        <v>45872.0</v>
      </c>
      <c r="J27" s="128" t="str">
        <f t="shared" si="4"/>
        <v>1y-1m-23d</v>
      </c>
      <c r="K27" s="122">
        <v>34837.0</v>
      </c>
      <c r="L27" s="212"/>
      <c r="M27" s="214"/>
      <c r="N27" s="214"/>
      <c r="O27" s="12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9" t="s">
        <v>190</v>
      </c>
      <c r="B28" s="214" t="s">
        <v>191</v>
      </c>
      <c r="C28" s="145" t="s">
        <v>104</v>
      </c>
      <c r="D28" s="152">
        <v>6234.0</v>
      </c>
      <c r="E28" s="120" t="s">
        <v>192</v>
      </c>
      <c r="F28" s="175" t="s">
        <v>114</v>
      </c>
      <c r="G28" s="142">
        <v>45890.0</v>
      </c>
      <c r="H28" s="128" t="str">
        <f t="shared" si="3"/>
        <v>1y-1m-5d</v>
      </c>
      <c r="I28" s="179"/>
      <c r="J28" s="128" t="str">
        <f t="shared" si="4"/>
        <v>126y-8m-27d</v>
      </c>
      <c r="K28" s="122"/>
      <c r="L28" s="212"/>
      <c r="M28" s="214"/>
      <c r="N28" s="214"/>
      <c r="O28" s="12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9" t="s">
        <v>193</v>
      </c>
      <c r="B29" s="53" t="s">
        <v>194</v>
      </c>
      <c r="C29" s="145" t="s">
        <v>104</v>
      </c>
      <c r="D29" s="152">
        <v>6228.0</v>
      </c>
      <c r="E29" s="120" t="s">
        <v>195</v>
      </c>
      <c r="F29" s="175" t="s">
        <v>114</v>
      </c>
      <c r="G29" s="142">
        <v>45886.0</v>
      </c>
      <c r="H29" s="128" t="str">
        <f t="shared" si="3"/>
        <v>1y-1m-9d</v>
      </c>
      <c r="I29" s="179"/>
      <c r="J29" s="128" t="str">
        <f t="shared" si="4"/>
        <v>126y-8m-27d</v>
      </c>
      <c r="K29" s="122">
        <v>35364.0</v>
      </c>
      <c r="L29" s="212"/>
      <c r="M29" s="214"/>
      <c r="N29" s="214"/>
      <c r="O29" s="12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9" t="s">
        <v>196</v>
      </c>
      <c r="B30" s="217" t="s">
        <v>197</v>
      </c>
      <c r="C30" s="145" t="s">
        <v>104</v>
      </c>
      <c r="D30" s="152">
        <v>6232.0</v>
      </c>
      <c r="E30" s="120" t="s">
        <v>198</v>
      </c>
      <c r="F30" s="175" t="s">
        <v>114</v>
      </c>
      <c r="G30" s="142">
        <v>45889.0</v>
      </c>
      <c r="H30" s="128" t="str">
        <f t="shared" si="3"/>
        <v>1y-1m-6d</v>
      </c>
      <c r="I30" s="179"/>
      <c r="J30" s="128" t="str">
        <f t="shared" si="4"/>
        <v>126y-8m-27d</v>
      </c>
      <c r="K30" s="122">
        <v>36029.0</v>
      </c>
      <c r="L30" s="212"/>
      <c r="M30" s="214"/>
      <c r="N30" s="214"/>
      <c r="O30" s="12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9" t="s">
        <v>202</v>
      </c>
      <c r="B31" s="134" t="s">
        <v>203</v>
      </c>
      <c r="C31" s="145" t="s">
        <v>104</v>
      </c>
      <c r="D31" s="152">
        <v>6244.0</v>
      </c>
      <c r="E31" s="120" t="s">
        <v>204</v>
      </c>
      <c r="F31" s="175" t="s">
        <v>114</v>
      </c>
      <c r="G31" s="142">
        <v>45916.0</v>
      </c>
      <c r="H31" s="128" t="str">
        <f t="shared" si="3"/>
        <v>1y-0m-10d</v>
      </c>
      <c r="I31" s="179"/>
      <c r="J31" s="128" t="str">
        <f t="shared" si="4"/>
        <v>126y-8m-27d</v>
      </c>
      <c r="K31" s="122">
        <v>37391.0</v>
      </c>
      <c r="L31" s="212"/>
      <c r="M31" s="214"/>
      <c r="N31" s="214"/>
      <c r="O31" s="12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9" t="s">
        <v>205</v>
      </c>
      <c r="B32" s="53" t="s">
        <v>206</v>
      </c>
      <c r="C32" s="145" t="s">
        <v>104</v>
      </c>
      <c r="D32" s="152">
        <v>6222.0</v>
      </c>
      <c r="E32" s="120" t="s">
        <v>207</v>
      </c>
      <c r="F32" s="184" t="s">
        <v>208</v>
      </c>
      <c r="G32" s="142">
        <v>45871.0</v>
      </c>
      <c r="H32" s="128" t="str">
        <f t="shared" si="3"/>
        <v>1y-1m-24d</v>
      </c>
      <c r="I32" s="179"/>
      <c r="J32" s="128" t="str">
        <f t="shared" si="4"/>
        <v>126y-8m-27d</v>
      </c>
      <c r="K32" s="122">
        <v>35389.0</v>
      </c>
      <c r="L32" s="212"/>
      <c r="M32" s="214"/>
      <c r="N32" s="214"/>
      <c r="O32" s="12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9" t="s">
        <v>210</v>
      </c>
      <c r="B33" s="42" t="s">
        <v>211</v>
      </c>
      <c r="C33" s="115" t="s">
        <v>71</v>
      </c>
      <c r="D33" s="116">
        <v>6194.0</v>
      </c>
      <c r="E33" s="120" t="s">
        <v>212</v>
      </c>
      <c r="F33" s="184" t="s">
        <v>213</v>
      </c>
      <c r="G33" s="142">
        <v>45840.0</v>
      </c>
      <c r="H33" s="128" t="str">
        <f t="shared" si="3"/>
        <v>1y-2m-24d</v>
      </c>
      <c r="I33" s="142">
        <v>45840.0</v>
      </c>
      <c r="J33" s="128" t="str">
        <f t="shared" si="4"/>
        <v>1y-2m-24d</v>
      </c>
      <c r="K33" s="122">
        <v>36047.0</v>
      </c>
      <c r="L33" s="212"/>
      <c r="M33" s="214"/>
      <c r="N33" s="214"/>
      <c r="O33" s="12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9" t="s">
        <v>216</v>
      </c>
      <c r="B34" s="42" t="s">
        <v>217</v>
      </c>
      <c r="C34" s="115" t="s">
        <v>71</v>
      </c>
      <c r="D34" s="116">
        <v>6202.0</v>
      </c>
      <c r="E34" s="120" t="s">
        <v>218</v>
      </c>
      <c r="F34" s="175" t="s">
        <v>114</v>
      </c>
      <c r="G34" s="142">
        <v>45859.0</v>
      </c>
      <c r="H34" s="128" t="str">
        <f t="shared" si="3"/>
        <v>1y-2m-5d</v>
      </c>
      <c r="I34" s="179"/>
      <c r="J34" s="128" t="str">
        <f t="shared" si="4"/>
        <v>126y-8m-27d</v>
      </c>
      <c r="K34" s="122">
        <v>36281.0</v>
      </c>
      <c r="L34" s="212"/>
      <c r="M34" s="214"/>
      <c r="N34" s="214"/>
      <c r="O34" s="12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9" t="s">
        <v>219</v>
      </c>
      <c r="B35" s="113" t="s">
        <v>220</v>
      </c>
      <c r="C35" s="115" t="s">
        <v>71</v>
      </c>
      <c r="D35" s="116">
        <v>6252.0</v>
      </c>
      <c r="E35" s="120" t="s">
        <v>221</v>
      </c>
      <c r="F35" s="175" t="s">
        <v>114</v>
      </c>
      <c r="G35" s="142">
        <v>45943.0</v>
      </c>
      <c r="H35" s="128" t="str">
        <f t="shared" si="3"/>
        <v>0y-11m-13d</v>
      </c>
      <c r="I35" s="179"/>
      <c r="J35" s="128" t="str">
        <f t="shared" si="4"/>
        <v>126y-8m-27d</v>
      </c>
      <c r="K35" s="122"/>
      <c r="L35" s="212"/>
      <c r="M35" s="214"/>
      <c r="N35" s="214"/>
      <c r="O35" s="12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9" t="s">
        <v>223</v>
      </c>
      <c r="B36" s="113" t="s">
        <v>224</v>
      </c>
      <c r="C36" s="115" t="s">
        <v>71</v>
      </c>
      <c r="D36" s="116">
        <v>6256.0</v>
      </c>
      <c r="E36" s="120" t="s">
        <v>225</v>
      </c>
      <c r="F36" s="175" t="s">
        <v>114</v>
      </c>
      <c r="G36" s="142">
        <v>45971.0</v>
      </c>
      <c r="H36" s="128" t="str">
        <f t="shared" si="3"/>
        <v>0y-10m-16d</v>
      </c>
      <c r="I36" s="179"/>
      <c r="J36" s="128" t="str">
        <f t="shared" si="4"/>
        <v>126y-8m-27d</v>
      </c>
      <c r="K36" s="122"/>
      <c r="L36" s="212"/>
      <c r="M36" s="214"/>
      <c r="N36" s="214"/>
      <c r="O36" s="12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9" t="s">
        <v>227</v>
      </c>
      <c r="B37" s="113" t="s">
        <v>70</v>
      </c>
      <c r="C37" s="115" t="s">
        <v>71</v>
      </c>
      <c r="D37" s="116">
        <v>6260.0</v>
      </c>
      <c r="E37" s="120" t="s">
        <v>72</v>
      </c>
      <c r="F37" s="175" t="s">
        <v>114</v>
      </c>
      <c r="G37" s="142">
        <v>45972.0</v>
      </c>
      <c r="H37" s="128" t="str">
        <f t="shared" si="3"/>
        <v>0y-10m-15d</v>
      </c>
      <c r="I37" s="179"/>
      <c r="J37" s="128" t="str">
        <f t="shared" si="4"/>
        <v>126y-8m-27d</v>
      </c>
      <c r="K37" s="122"/>
      <c r="L37" s="212"/>
      <c r="M37" s="214"/>
      <c r="N37" s="214"/>
      <c r="O37" s="12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9" t="s">
        <v>231</v>
      </c>
      <c r="B38" s="113" t="s">
        <v>232</v>
      </c>
      <c r="C38" s="115" t="s">
        <v>71</v>
      </c>
      <c r="D38" s="116"/>
      <c r="E38" s="137"/>
      <c r="F38" s="175" t="s">
        <v>233</v>
      </c>
      <c r="G38" s="142">
        <v>46001.0</v>
      </c>
      <c r="H38" s="128" t="str">
        <f t="shared" si="3"/>
        <v>0y-9m-16d</v>
      </c>
      <c r="I38" s="179"/>
      <c r="J38" s="128"/>
      <c r="K38" s="122">
        <v>35773.0</v>
      </c>
      <c r="L38" s="175" t="s">
        <v>125</v>
      </c>
      <c r="M38" s="174" t="s">
        <v>234</v>
      </c>
      <c r="N38" s="219" t="s">
        <v>235</v>
      </c>
      <c r="O38" s="12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9" t="s">
        <v>236</v>
      </c>
      <c r="B39" s="113" t="s">
        <v>237</v>
      </c>
      <c r="C39" s="115" t="s">
        <v>71</v>
      </c>
      <c r="D39" s="116">
        <v>6263.0</v>
      </c>
      <c r="E39" s="137"/>
      <c r="F39" s="175" t="s">
        <v>114</v>
      </c>
      <c r="G39" s="142">
        <v>45973.0</v>
      </c>
      <c r="H39" s="128" t="str">
        <f t="shared" si="3"/>
        <v>0y-10m-14d</v>
      </c>
      <c r="I39" s="179"/>
      <c r="J39" s="128" t="str">
        <f t="shared" ref="J39:J55" si="5">DATEDIF(I39,$B$5,"y")&amp;"y-"&amp;DATEDIF(I39,$B$5,"ym")&amp;"m-"&amp;DATEDIF(I39,$B$5,"md")&amp;"d"</f>
        <v>126y-8m-27d</v>
      </c>
      <c r="K39" s="122"/>
      <c r="L39" s="212"/>
      <c r="M39" s="214"/>
      <c r="N39" s="214"/>
      <c r="O39" s="12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9" t="s">
        <v>238</v>
      </c>
      <c r="B40" s="113" t="s">
        <v>239</v>
      </c>
      <c r="C40" s="115" t="s">
        <v>71</v>
      </c>
      <c r="D40" s="116"/>
      <c r="E40" s="120" t="s">
        <v>133</v>
      </c>
      <c r="F40" s="175" t="s">
        <v>240</v>
      </c>
      <c r="G40" s="142">
        <v>46011.0</v>
      </c>
      <c r="H40" s="128" t="str">
        <f t="shared" si="3"/>
        <v>0y-9m-6d</v>
      </c>
      <c r="I40" s="179"/>
      <c r="J40" s="128" t="str">
        <f t="shared" si="5"/>
        <v>126y-8m-27d</v>
      </c>
      <c r="K40" s="122">
        <v>36504.0</v>
      </c>
      <c r="L40" s="175" t="s">
        <v>109</v>
      </c>
      <c r="M40" s="174" t="s">
        <v>241</v>
      </c>
      <c r="N40" s="174" t="s">
        <v>242</v>
      </c>
      <c r="O40" s="12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24" t="s">
        <v>243</v>
      </c>
      <c r="B41" s="113" t="s">
        <v>244</v>
      </c>
      <c r="C41" s="115" t="s">
        <v>71</v>
      </c>
      <c r="D41" s="116"/>
      <c r="E41" s="120" t="s">
        <v>138</v>
      </c>
      <c r="F41" s="175" t="s">
        <v>245</v>
      </c>
      <c r="G41" s="142">
        <v>46023.0</v>
      </c>
      <c r="H41" s="128" t="str">
        <f t="shared" si="3"/>
        <v>0y-8m-25d</v>
      </c>
      <c r="I41" s="179"/>
      <c r="J41" s="128" t="str">
        <f t="shared" si="5"/>
        <v>126y-8m-27d</v>
      </c>
      <c r="K41" s="122">
        <v>36084.0</v>
      </c>
      <c r="L41" s="175" t="s">
        <v>173</v>
      </c>
      <c r="M41" s="174" t="s">
        <v>246</v>
      </c>
      <c r="N41" s="174" t="s">
        <v>247</v>
      </c>
      <c r="O41" s="12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24" t="s">
        <v>248</v>
      </c>
      <c r="B42" s="113" t="s">
        <v>100</v>
      </c>
      <c r="C42" s="115" t="s">
        <v>58</v>
      </c>
      <c r="D42" s="140">
        <v>6291.0</v>
      </c>
      <c r="E42" s="120" t="s">
        <v>101</v>
      </c>
      <c r="F42" s="175" t="s">
        <v>249</v>
      </c>
      <c r="G42" s="142">
        <v>46023.0</v>
      </c>
      <c r="H42" s="128" t="str">
        <f t="shared" si="3"/>
        <v>0y-8m-25d</v>
      </c>
      <c r="I42" s="179"/>
      <c r="J42" s="128" t="str">
        <f t="shared" si="5"/>
        <v>126y-8m-27d</v>
      </c>
      <c r="K42" s="122">
        <v>33090.0</v>
      </c>
      <c r="L42" s="175" t="s">
        <v>109</v>
      </c>
      <c r="M42" s="174" t="s">
        <v>253</v>
      </c>
      <c r="N42" s="174" t="s">
        <v>254</v>
      </c>
      <c r="O42" s="12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24" t="s">
        <v>255</v>
      </c>
      <c r="B43" s="226" t="s">
        <v>53</v>
      </c>
      <c r="C43" s="227" t="s">
        <v>54</v>
      </c>
      <c r="D43" s="164">
        <v>6287.0</v>
      </c>
      <c r="E43" s="120" t="s">
        <v>55</v>
      </c>
      <c r="F43" s="228" t="s">
        <v>134</v>
      </c>
      <c r="G43" s="229">
        <v>46023.0</v>
      </c>
      <c r="H43" s="231" t="str">
        <f t="shared" si="3"/>
        <v>0y-8m-25d</v>
      </c>
      <c r="I43" s="232"/>
      <c r="J43" s="128" t="str">
        <f t="shared" si="5"/>
        <v>126y-8m-27d</v>
      </c>
      <c r="K43" s="237">
        <v>29587.0</v>
      </c>
      <c r="L43" s="172" t="s">
        <v>142</v>
      </c>
      <c r="M43" s="239" t="s">
        <v>144</v>
      </c>
      <c r="N43" s="239" t="s">
        <v>148</v>
      </c>
      <c r="O43" s="23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24" t="s">
        <v>261</v>
      </c>
      <c r="B44" s="113" t="s">
        <v>262</v>
      </c>
      <c r="C44" s="115" t="s">
        <v>58</v>
      </c>
      <c r="D44" s="140">
        <v>6285.0</v>
      </c>
      <c r="E44" s="120" t="s">
        <v>263</v>
      </c>
      <c r="F44" s="175" t="s">
        <v>264</v>
      </c>
      <c r="G44" s="142">
        <v>46025.0</v>
      </c>
      <c r="H44" s="128" t="str">
        <f>DATEDIF(G44,'Total Manpower'!$B$5,"y")&amp;"y-"&amp;DATEDIF(G44,'Total Manpower'!$B$5,"ym")&amp;"m-"&amp;DATEDIF(G44,'Total Manpower'!$B$5,"md")&amp;"d"</f>
        <v>0y-8m-23d</v>
      </c>
      <c r="I44" s="179"/>
      <c r="J44" s="128" t="str">
        <f t="shared" si="5"/>
        <v>126y-8m-27d</v>
      </c>
      <c r="K44" s="122">
        <v>35009.0</v>
      </c>
      <c r="L44" s="175" t="s">
        <v>125</v>
      </c>
      <c r="M44" s="174" t="s">
        <v>265</v>
      </c>
      <c r="N44" s="174" t="s">
        <v>266</v>
      </c>
      <c r="O44" s="12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24" t="s">
        <v>267</v>
      </c>
      <c r="B45" s="113" t="s">
        <v>268</v>
      </c>
      <c r="C45" s="115" t="s">
        <v>71</v>
      </c>
      <c r="D45" s="140">
        <v>6292.0</v>
      </c>
      <c r="E45" s="120" t="s">
        <v>269</v>
      </c>
      <c r="F45" s="175" t="s">
        <v>270</v>
      </c>
      <c r="G45" s="142">
        <v>46026.0</v>
      </c>
      <c r="H45" s="128" t="str">
        <f>DATEDIF(G45,'Total Manpower'!$B$5,"y")&amp;"y-"&amp;DATEDIF(G45,'Total Manpower'!$B$5,"ym")&amp;"m-"&amp;DATEDIF(G45,'Total Manpower'!$B$5,"md")&amp;"d"</f>
        <v>0y-8m-22d</v>
      </c>
      <c r="I45" s="179"/>
      <c r="J45" s="128" t="str">
        <f t="shared" si="5"/>
        <v>126y-8m-27d</v>
      </c>
      <c r="K45" s="122">
        <v>35548.0</v>
      </c>
      <c r="L45" s="175" t="s">
        <v>109</v>
      </c>
      <c r="M45" s="174" t="s">
        <v>273</v>
      </c>
      <c r="N45" s="174" t="s">
        <v>274</v>
      </c>
      <c r="O45" s="12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24" t="s">
        <v>275</v>
      </c>
      <c r="B46" s="113" t="s">
        <v>276</v>
      </c>
      <c r="C46" s="227" t="s">
        <v>54</v>
      </c>
      <c r="D46" s="116"/>
      <c r="E46" s="120" t="s">
        <v>158</v>
      </c>
      <c r="F46" s="175" t="s">
        <v>277</v>
      </c>
      <c r="G46" s="142">
        <v>46030.0</v>
      </c>
      <c r="H46" s="128" t="str">
        <f>DATEDIF(G46,'Total Manpower'!$B$5,"y")&amp;"y-"&amp;DATEDIF(G46,'Total Manpower'!$B$5,"ym")&amp;"m-"&amp;DATEDIF(G46,'Total Manpower'!$B$5,"md")&amp;"d"</f>
        <v>0y-8m-18d</v>
      </c>
      <c r="I46" s="179"/>
      <c r="J46" s="128" t="str">
        <f t="shared" si="5"/>
        <v>126y-8m-27d</v>
      </c>
      <c r="K46" s="122">
        <v>36280.0</v>
      </c>
      <c r="L46" s="175" t="s">
        <v>109</v>
      </c>
      <c r="M46" s="174" t="s">
        <v>285</v>
      </c>
      <c r="N46" s="174" t="s">
        <v>286</v>
      </c>
      <c r="O46" s="12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24" t="s">
        <v>289</v>
      </c>
      <c r="B47" s="113" t="s">
        <v>290</v>
      </c>
      <c r="C47" s="145" t="s">
        <v>104</v>
      </c>
      <c r="D47" s="116"/>
      <c r="E47" s="120" t="s">
        <v>291</v>
      </c>
      <c r="F47" s="175" t="s">
        <v>292</v>
      </c>
      <c r="G47" s="142">
        <v>46032.0</v>
      </c>
      <c r="H47" s="128" t="str">
        <f>DATEDIF(G47,'Total Manpower'!$B$5,"y")&amp;"y-"&amp;DATEDIF(G47,'Total Manpower'!$B$5,"ym")&amp;"m-"&amp;DATEDIF(G47,'Total Manpower'!$B$5,"md")&amp;"d"</f>
        <v>0y-8m-16d</v>
      </c>
      <c r="I47" s="179"/>
      <c r="J47" s="128" t="str">
        <f t="shared" si="5"/>
        <v>126y-8m-27d</v>
      </c>
      <c r="K47" s="122">
        <v>35730.0</v>
      </c>
      <c r="L47" s="175" t="s">
        <v>109</v>
      </c>
      <c r="M47" s="174" t="s">
        <v>296</v>
      </c>
      <c r="N47" s="174" t="s">
        <v>298</v>
      </c>
      <c r="O47" s="12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24" t="s">
        <v>299</v>
      </c>
      <c r="B48" s="243" t="s">
        <v>183</v>
      </c>
      <c r="C48" s="145" t="s">
        <v>104</v>
      </c>
      <c r="D48" s="140">
        <v>6299.0</v>
      </c>
      <c r="E48" s="120" t="s">
        <v>185</v>
      </c>
      <c r="F48" s="175" t="s">
        <v>187</v>
      </c>
      <c r="G48" s="142">
        <v>46032.0</v>
      </c>
      <c r="H48" s="128" t="str">
        <f>DATEDIF(G48,'Total Manpower'!$B$5,"y")&amp;"y-"&amp;DATEDIF(G48,'Total Manpower'!$B$5,"ym")&amp;"m-"&amp;DATEDIF(G48,'Total Manpower'!$B$5,"md")&amp;"d"</f>
        <v>0y-8m-16d</v>
      </c>
      <c r="I48" s="179"/>
      <c r="J48" s="128" t="str">
        <f t="shared" si="5"/>
        <v>126y-8m-27d</v>
      </c>
      <c r="K48" s="122">
        <v>38650.0</v>
      </c>
      <c r="L48" s="175" t="s">
        <v>125</v>
      </c>
      <c r="M48" s="174" t="s">
        <v>188</v>
      </c>
      <c r="N48" s="174" t="s">
        <v>189</v>
      </c>
      <c r="O48" s="12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24" t="s">
        <v>303</v>
      </c>
      <c r="B49" s="113" t="s">
        <v>304</v>
      </c>
      <c r="C49" s="145" t="s">
        <v>104</v>
      </c>
      <c r="D49" s="116"/>
      <c r="E49" s="120" t="s">
        <v>305</v>
      </c>
      <c r="F49" s="175" t="s">
        <v>306</v>
      </c>
      <c r="G49" s="142">
        <v>46032.0</v>
      </c>
      <c r="H49" s="128" t="str">
        <f>DATEDIF(G49,'Total Manpower'!$B$5,"y")&amp;"y-"&amp;DATEDIF(G49,'Total Manpower'!$B$5,"ym")&amp;"m-"&amp;DATEDIF(G49,'Total Manpower'!$B$5,"md")&amp;"d"</f>
        <v>0y-8m-16d</v>
      </c>
      <c r="I49" s="179"/>
      <c r="J49" s="128" t="str">
        <f t="shared" si="5"/>
        <v>126y-8m-27d</v>
      </c>
      <c r="K49" s="122">
        <v>36180.0</v>
      </c>
      <c r="L49" s="175" t="s">
        <v>125</v>
      </c>
      <c r="M49" s="174" t="s">
        <v>309</v>
      </c>
      <c r="N49" s="174" t="s">
        <v>310</v>
      </c>
      <c r="O49" s="12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24" t="s">
        <v>311</v>
      </c>
      <c r="B50" s="113" t="s">
        <v>312</v>
      </c>
      <c r="C50" s="227" t="s">
        <v>54</v>
      </c>
      <c r="D50" s="116"/>
      <c r="E50" s="137"/>
      <c r="F50" s="175" t="s">
        <v>313</v>
      </c>
      <c r="G50" s="142">
        <v>46046.0</v>
      </c>
      <c r="H50" s="128" t="str">
        <f>DATEDIF(G50,'Total Manpower'!$B$5,"y")&amp;"y-"&amp;DATEDIF(G50,'Total Manpower'!$B$5,"ym")&amp;"m-"&amp;DATEDIF(G50,'Total Manpower'!$B$5,"md")&amp;"d"</f>
        <v>0y-8m-2d</v>
      </c>
      <c r="I50" s="142">
        <v>46046.0</v>
      </c>
      <c r="J50" s="128" t="str">
        <f t="shared" si="5"/>
        <v>0y-8m-2d</v>
      </c>
      <c r="K50" s="122">
        <v>34289.0</v>
      </c>
      <c r="L50" s="175" t="s">
        <v>199</v>
      </c>
      <c r="M50" s="174" t="s">
        <v>317</v>
      </c>
      <c r="N50" s="174" t="s">
        <v>318</v>
      </c>
      <c r="O50" s="12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24" t="s">
        <v>319</v>
      </c>
      <c r="B51" s="113" t="s">
        <v>320</v>
      </c>
      <c r="C51" s="227" t="s">
        <v>39</v>
      </c>
      <c r="D51" s="116"/>
      <c r="E51" s="137"/>
      <c r="F51" s="175" t="s">
        <v>321</v>
      </c>
      <c r="G51" s="142">
        <v>46047.0</v>
      </c>
      <c r="H51" s="128" t="str">
        <f>DATEDIF(G51,'Total Manpower'!$B$5,"y")&amp;"y-"&amp;DATEDIF(G51,'Total Manpower'!$B$5,"ym")&amp;"m-"&amp;DATEDIF(G51,'Total Manpower'!$B$5,"md")&amp;"d"</f>
        <v>0y-8m-1d</v>
      </c>
      <c r="I51" s="142">
        <v>46047.0</v>
      </c>
      <c r="J51" s="128" t="str">
        <f t="shared" si="5"/>
        <v>0y-8m-1d</v>
      </c>
      <c r="K51" s="122">
        <v>34097.0</v>
      </c>
      <c r="L51" s="175" t="s">
        <v>199</v>
      </c>
      <c r="M51" s="174" t="s">
        <v>322</v>
      </c>
      <c r="N51" s="214"/>
      <c r="O51" s="12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24" t="s">
        <v>323</v>
      </c>
      <c r="B52" s="113" t="s">
        <v>324</v>
      </c>
      <c r="C52" s="145" t="s">
        <v>104</v>
      </c>
      <c r="D52" s="140">
        <v>6304.0</v>
      </c>
      <c r="E52" s="120" t="s">
        <v>325</v>
      </c>
      <c r="F52" s="175" t="s">
        <v>326</v>
      </c>
      <c r="G52" s="142">
        <v>46055.0</v>
      </c>
      <c r="H52" s="128" t="str">
        <f>DATEDIF(G52,'Total Manpower'!$B$5,"y")&amp;"y-"&amp;DATEDIF(G52,'Total Manpower'!$B$5,"ym")&amp;"m-"&amp;DATEDIF(G52,'Total Manpower'!$B$5,"md")&amp;"d"</f>
        <v>0y-7m-24d</v>
      </c>
      <c r="I52" s="142">
        <v>46055.0</v>
      </c>
      <c r="J52" s="128" t="str">
        <f t="shared" si="5"/>
        <v>0y-7m-24d</v>
      </c>
      <c r="K52" s="122">
        <v>36139.0</v>
      </c>
      <c r="L52" s="175" t="s">
        <v>109</v>
      </c>
      <c r="M52" s="174" t="s">
        <v>327</v>
      </c>
      <c r="N52" s="174" t="s">
        <v>328</v>
      </c>
      <c r="O52" s="12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24" t="s">
        <v>329</v>
      </c>
      <c r="B53" s="113" t="s">
        <v>330</v>
      </c>
      <c r="C53" s="115" t="s">
        <v>43</v>
      </c>
      <c r="D53" s="140">
        <v>6307.0</v>
      </c>
      <c r="E53" s="120" t="s">
        <v>178</v>
      </c>
      <c r="F53" s="175" t="s">
        <v>331</v>
      </c>
      <c r="G53" s="142">
        <v>46054.0</v>
      </c>
      <c r="H53" s="128" t="str">
        <f>DATEDIF(G53,'Total Manpower'!$B$5,"y")&amp;"y-"&amp;DATEDIF(G53,'Total Manpower'!$B$5,"ym")&amp;"m-"&amp;DATEDIF(G53,'Total Manpower'!$B$5,"md")&amp;"d"</f>
        <v>0y-7m-25d</v>
      </c>
      <c r="I53" s="142">
        <v>46054.0</v>
      </c>
      <c r="J53" s="128" t="str">
        <f t="shared" si="5"/>
        <v>0y-7m-25d</v>
      </c>
      <c r="K53" s="122">
        <v>29205.0</v>
      </c>
      <c r="L53" s="172" t="s">
        <v>142</v>
      </c>
      <c r="M53" s="174" t="s">
        <v>332</v>
      </c>
      <c r="N53" s="174" t="s">
        <v>333</v>
      </c>
      <c r="O53" s="12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24" t="s">
        <v>334</v>
      </c>
      <c r="B54" s="113" t="s">
        <v>312</v>
      </c>
      <c r="C54" s="115" t="s">
        <v>31</v>
      </c>
      <c r="D54" s="116"/>
      <c r="E54" s="120" t="s">
        <v>107</v>
      </c>
      <c r="F54" s="175" t="s">
        <v>335</v>
      </c>
      <c r="G54" s="142">
        <v>46067.0</v>
      </c>
      <c r="H54" s="128" t="str">
        <f>DATEDIF(G54,'Total Manpower'!$B$5,"y")&amp;"y-"&amp;DATEDIF(G54,'Total Manpower'!$B$5,"ym")&amp;"m-"&amp;DATEDIF(G54,'Total Manpower'!$B$5,"md")&amp;"d"</f>
        <v>0y-7m-12d</v>
      </c>
      <c r="I54" s="142">
        <v>46067.0</v>
      </c>
      <c r="J54" s="128" t="str">
        <f t="shared" si="5"/>
        <v>0y-7m-12d</v>
      </c>
      <c r="K54" s="122">
        <v>32963.0</v>
      </c>
      <c r="L54" s="175" t="s">
        <v>199</v>
      </c>
      <c r="M54" s="174" t="s">
        <v>336</v>
      </c>
      <c r="N54" s="174" t="s">
        <v>337</v>
      </c>
      <c r="O54" s="12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24" t="s">
        <v>338</v>
      </c>
      <c r="B55" s="113" t="s">
        <v>339</v>
      </c>
      <c r="C55" s="145" t="s">
        <v>71</v>
      </c>
      <c r="D55" s="116"/>
      <c r="E55" s="120" t="s">
        <v>340</v>
      </c>
      <c r="F55" s="175" t="s">
        <v>341</v>
      </c>
      <c r="G55" s="142">
        <v>45962.0</v>
      </c>
      <c r="H55" s="128" t="str">
        <f>DATEDIF(G55,'Total Manpower'!$B$5,"y")&amp;"y-"&amp;DATEDIF(G55,'Total Manpower'!$B$5,"ym")&amp;"m-"&amp;DATEDIF(G55,'Total Manpower'!$B$5,"md")&amp;"d"</f>
        <v>0y-10m-25d</v>
      </c>
      <c r="I55" s="142">
        <v>45962.0</v>
      </c>
      <c r="J55" s="128" t="str">
        <f t="shared" si="5"/>
        <v>0y-10m-25d</v>
      </c>
      <c r="K55" s="122">
        <v>38158.0</v>
      </c>
      <c r="L55" s="175" t="s">
        <v>125</v>
      </c>
      <c r="M55" s="174" t="s">
        <v>342</v>
      </c>
      <c r="N55" s="174" t="s">
        <v>342</v>
      </c>
      <c r="O55" s="12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24" t="s">
        <v>343</v>
      </c>
      <c r="B56" s="113" t="s">
        <v>38</v>
      </c>
      <c r="C56" s="115" t="s">
        <v>43</v>
      </c>
      <c r="D56" s="249" t="s">
        <v>143</v>
      </c>
      <c r="E56" s="120" t="s">
        <v>40</v>
      </c>
      <c r="F56" s="212"/>
      <c r="G56" s="173">
        <v>44251.0</v>
      </c>
      <c r="H56" s="128" t="str">
        <f>DATEDIF(G56,'Total Manpower'!$B$5,"y")&amp;"y-"&amp;DATEDIF(G56,'Total Manpower'!$B$5,"ym")&amp;"m-"&amp;DATEDIF(G56,'Total Manpower'!$B$5,"md")&amp;"d"</f>
        <v>5y-7m-2d</v>
      </c>
      <c r="I56" s="142"/>
      <c r="J56" s="128"/>
      <c r="K56" s="122"/>
      <c r="L56" s="250"/>
      <c r="M56" s="214"/>
      <c r="N56" s="214"/>
      <c r="O56" s="12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24" t="s">
        <v>344</v>
      </c>
      <c r="B57" s="113" t="s">
        <v>42</v>
      </c>
      <c r="C57" s="115" t="s">
        <v>43</v>
      </c>
      <c r="D57" s="116">
        <v>2882.0</v>
      </c>
      <c r="E57" s="120" t="s">
        <v>44</v>
      </c>
      <c r="F57" s="212"/>
      <c r="G57" s="142">
        <v>45787.0</v>
      </c>
      <c r="H57" s="128" t="str">
        <f>DATEDIF(G57,'Total Manpower'!$B$5,"y")&amp;"y-"&amp;DATEDIF(G57,'Total Manpower'!$B$5,"ym")&amp;"m-"&amp;DATEDIF(G57,'Total Manpower'!$B$5,"md")&amp;"d"</f>
        <v>1y-4m-16d</v>
      </c>
      <c r="I57" s="142"/>
      <c r="J57" s="128"/>
      <c r="K57" s="122"/>
      <c r="L57" s="250"/>
      <c r="M57" s="214"/>
      <c r="N57" s="214"/>
      <c r="O57" s="12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24" t="s">
        <v>345</v>
      </c>
      <c r="B58" s="113" t="s">
        <v>346</v>
      </c>
      <c r="C58" s="115" t="s">
        <v>58</v>
      </c>
      <c r="D58" s="116">
        <v>2941.0</v>
      </c>
      <c r="E58" s="120" t="s">
        <v>347</v>
      </c>
      <c r="F58" s="212"/>
      <c r="G58" s="142"/>
      <c r="H58" s="128" t="str">
        <f>DATEDIF(G58,'Total Manpower'!$B$5,"y")&amp;"y-"&amp;DATEDIF(G58,'Total Manpower'!$B$5,"ym")&amp;"m-"&amp;DATEDIF(G58,'Total Manpower'!$B$5,"md")&amp;"d"</f>
        <v>126y-8m-27d</v>
      </c>
      <c r="I58" s="142"/>
      <c r="J58" s="128"/>
      <c r="K58" s="122"/>
      <c r="L58" s="250"/>
      <c r="M58" s="214"/>
      <c r="N58" s="214"/>
      <c r="O58" s="12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24" t="s">
        <v>348</v>
      </c>
      <c r="B59" s="113" t="s">
        <v>349</v>
      </c>
      <c r="C59" s="115" t="s">
        <v>104</v>
      </c>
      <c r="D59" s="116">
        <v>20020.0</v>
      </c>
      <c r="E59" s="120" t="s">
        <v>350</v>
      </c>
      <c r="F59" s="212"/>
      <c r="G59" s="142"/>
      <c r="H59" s="128" t="str">
        <f>DATEDIF(G59,'Total Manpower'!$B$5,"y")&amp;"y-"&amp;DATEDIF(G59,'Total Manpower'!$B$5,"ym")&amp;"m-"&amp;DATEDIF(G59,'Total Manpower'!$B$5,"md")&amp;"d"</f>
        <v>126y-8m-27d</v>
      </c>
      <c r="I59" s="142"/>
      <c r="J59" s="128"/>
      <c r="K59" s="122"/>
      <c r="L59" s="250"/>
      <c r="M59" s="214"/>
      <c r="N59" s="214"/>
      <c r="O59" s="12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24" t="s">
        <v>351</v>
      </c>
      <c r="B60" s="113" t="s">
        <v>352</v>
      </c>
      <c r="C60" s="115" t="s">
        <v>71</v>
      </c>
      <c r="D60" s="116">
        <v>2939.0</v>
      </c>
      <c r="E60" s="120" t="s">
        <v>353</v>
      </c>
      <c r="F60" s="212"/>
      <c r="G60" s="142"/>
      <c r="H60" s="128" t="str">
        <f>DATEDIF(G60,'Total Manpower'!$B$5,"y")&amp;"y-"&amp;DATEDIF(G60,'Total Manpower'!$B$5,"ym")&amp;"m-"&amp;DATEDIF(G60,'Total Manpower'!$B$5,"md")&amp;"d"</f>
        <v>126y-8m-27d</v>
      </c>
      <c r="I60" s="142"/>
      <c r="J60" s="128"/>
      <c r="K60" s="122"/>
      <c r="L60" s="250"/>
      <c r="M60" s="214"/>
      <c r="N60" s="214"/>
      <c r="O60" s="12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24" t="s">
        <v>354</v>
      </c>
      <c r="B61" s="113" t="s">
        <v>355</v>
      </c>
      <c r="C61" s="115" t="s">
        <v>71</v>
      </c>
      <c r="D61" s="116">
        <v>20217.0</v>
      </c>
      <c r="E61" s="120" t="s">
        <v>356</v>
      </c>
      <c r="F61" s="212"/>
      <c r="G61" s="142"/>
      <c r="H61" s="128" t="str">
        <f>DATEDIF(G61,'Total Manpower'!$B$5,"y")&amp;"y-"&amp;DATEDIF(G61,'Total Manpower'!$B$5,"ym")&amp;"m-"&amp;DATEDIF(G61,'Total Manpower'!$B$5,"md")&amp;"d"</f>
        <v>126y-8m-27d</v>
      </c>
      <c r="I61" s="142"/>
      <c r="J61" s="128"/>
      <c r="K61" s="122"/>
      <c r="L61" s="250"/>
      <c r="M61" s="214"/>
      <c r="N61" s="214"/>
      <c r="O61" s="12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24" t="s">
        <v>357</v>
      </c>
      <c r="B62" s="113" t="s">
        <v>358</v>
      </c>
      <c r="C62" s="115" t="s">
        <v>104</v>
      </c>
      <c r="D62" s="116">
        <v>6314.0</v>
      </c>
      <c r="E62" s="120" t="s">
        <v>225</v>
      </c>
      <c r="F62" s="175" t="s">
        <v>359</v>
      </c>
      <c r="G62" s="142">
        <v>46113.0</v>
      </c>
      <c r="H62" s="128" t="str">
        <f>DATEDIF(G62,'Total Manpower'!$B$5,"y")&amp;"y-"&amp;DATEDIF(G62,'Total Manpower'!$B$5,"ym")&amp;"m-"&amp;DATEDIF(G62,'Total Manpower'!$B$5,"md")&amp;"d"</f>
        <v>0y-5m-25d</v>
      </c>
      <c r="I62" s="142">
        <v>46113.0</v>
      </c>
      <c r="J62" s="128" t="str">
        <f>DATEDIF(I62,'Total Manpower'!$B$5,"y")&amp;"y-"&amp;DATEDIF(I62,'Total Manpower'!$B$5,"ym")&amp;"m-"&amp;DATEDIF(I62,'Total Manpower'!$B$5,"md")&amp;"d"</f>
        <v>0y-5m-25d</v>
      </c>
      <c r="K62" s="122">
        <v>46358.0</v>
      </c>
      <c r="L62" s="175" t="s">
        <v>109</v>
      </c>
      <c r="M62" s="174" t="s">
        <v>360</v>
      </c>
      <c r="N62" s="174" t="s">
        <v>360</v>
      </c>
      <c r="O62" s="12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24" t="s">
        <v>361</v>
      </c>
      <c r="B63" s="113" t="s">
        <v>362</v>
      </c>
      <c r="C63" s="115" t="s">
        <v>177</v>
      </c>
      <c r="D63" s="116">
        <v>20398.0</v>
      </c>
      <c r="E63" s="120" t="s">
        <v>363</v>
      </c>
      <c r="F63" s="175" t="s">
        <v>364</v>
      </c>
      <c r="G63" s="142">
        <v>46054.0</v>
      </c>
      <c r="H63" s="128" t="str">
        <f>DATEDIF(G63,'Total Manpower'!$B$5,"y")&amp;"y-"&amp;DATEDIF(G63,'Total Manpower'!$B$5,"ym")&amp;"m-"&amp;DATEDIF(G63,'Total Manpower'!$B$5,"md")&amp;"d"</f>
        <v>0y-7m-25d</v>
      </c>
      <c r="I63" s="142">
        <v>46054.0</v>
      </c>
      <c r="J63" s="128" t="str">
        <f>DATEDIF(I63,'Total Manpower'!$B$5,"y")&amp;"y-"&amp;DATEDIF(I63,'Total Manpower'!$B$5,"ym")&amp;"m-"&amp;DATEDIF(I63,'Total Manpower'!$B$5,"md")&amp;"d"</f>
        <v>0y-7m-25d</v>
      </c>
      <c r="K63" s="122">
        <v>28763.0</v>
      </c>
      <c r="L63" s="175" t="s">
        <v>109</v>
      </c>
      <c r="M63" s="174" t="s">
        <v>365</v>
      </c>
      <c r="N63" s="174" t="s">
        <v>366</v>
      </c>
      <c r="O63" s="12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24" t="s">
        <v>367</v>
      </c>
      <c r="B64" s="113" t="s">
        <v>368</v>
      </c>
      <c r="C64" s="115" t="s">
        <v>58</v>
      </c>
      <c r="D64" s="116">
        <v>2987.0</v>
      </c>
      <c r="E64" s="120" t="s">
        <v>369</v>
      </c>
      <c r="F64" s="175" t="s">
        <v>370</v>
      </c>
      <c r="G64" s="142">
        <v>45846.0</v>
      </c>
      <c r="H64" s="128" t="str">
        <f>DATEDIF(G64,'Total Manpower'!$B$5,"y")&amp;"y-"&amp;DATEDIF(G64,'Total Manpower'!$B$5,"ym")&amp;"m-"&amp;DATEDIF(G64,'Total Manpower'!$B$5,"md")&amp;"d"</f>
        <v>1y-2m-18d</v>
      </c>
      <c r="I64" s="142">
        <v>46121.0</v>
      </c>
      <c r="J64" s="128" t="str">
        <f>DATEDIF(I64,'Total Manpower'!$B$5,"y")&amp;"y-"&amp;DATEDIF(I64,'Total Manpower'!$B$5,"ym")&amp;"m-"&amp;DATEDIF(I64,'Total Manpower'!$B$5,"md")&amp;"d"</f>
        <v>0y-5m-17d</v>
      </c>
      <c r="K64" s="122">
        <v>29281.0</v>
      </c>
      <c r="L64" s="175" t="s">
        <v>109</v>
      </c>
      <c r="M64" s="174" t="s">
        <v>332</v>
      </c>
      <c r="N64" s="174" t="s">
        <v>371</v>
      </c>
      <c r="O64" s="12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24" t="s">
        <v>372</v>
      </c>
      <c r="B65" s="113" t="s">
        <v>373</v>
      </c>
      <c r="C65" s="227" t="s">
        <v>54</v>
      </c>
      <c r="D65" s="116">
        <v>20427.0</v>
      </c>
      <c r="E65" s="120" t="s">
        <v>374</v>
      </c>
      <c r="F65" s="175" t="s">
        <v>375</v>
      </c>
      <c r="G65" s="142">
        <v>46082.0</v>
      </c>
      <c r="H65" s="128" t="str">
        <f>DATEDIF(G65,'Total Manpower'!$B$5,"y")&amp;"y-"&amp;DATEDIF(G65,'Total Manpower'!$B$5,"ym")&amp;"m-"&amp;DATEDIF(G65,'Total Manpower'!$B$5,"md")&amp;"d"</f>
        <v>0y-6m-25d</v>
      </c>
      <c r="I65" s="142">
        <v>46082.0</v>
      </c>
      <c r="J65" s="128" t="str">
        <f>DATEDIF(I65,'Total Manpower'!$B$5,"y")&amp;"y-"&amp;DATEDIF(I65,'Total Manpower'!$B$5,"ym")&amp;"m-"&amp;DATEDIF(I65,'Total Manpower'!$B$5,"md")&amp;"d"</f>
        <v>0y-6m-25d</v>
      </c>
      <c r="K65" s="122">
        <v>32600.0</v>
      </c>
      <c r="L65" s="175" t="s">
        <v>109</v>
      </c>
      <c r="M65" s="174" t="s">
        <v>376</v>
      </c>
      <c r="N65" s="174" t="s">
        <v>377</v>
      </c>
      <c r="O65" s="12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24" t="s">
        <v>378</v>
      </c>
      <c r="B66" s="113" t="s">
        <v>379</v>
      </c>
      <c r="C66" s="115" t="s">
        <v>54</v>
      </c>
      <c r="D66" s="116">
        <v>2450.0</v>
      </c>
      <c r="E66" s="120" t="s">
        <v>380</v>
      </c>
      <c r="F66" s="212"/>
      <c r="G66" s="142">
        <v>45200.0</v>
      </c>
      <c r="H66" s="128" t="str">
        <f>DATEDIF(G66,'Total Manpower'!$B$5,"y")&amp;"y-"&amp;DATEDIF(G66,'Total Manpower'!$B$5,"ym")&amp;"m-"&amp;DATEDIF(G66,'Total Manpower'!$B$5,"md")&amp;"d"</f>
        <v>2y-11m-25d</v>
      </c>
      <c r="I66" s="142"/>
      <c r="J66" s="128"/>
      <c r="K66" s="122"/>
      <c r="L66" s="250"/>
      <c r="M66" s="214"/>
      <c r="N66" s="214"/>
      <c r="O66" s="12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24" t="s">
        <v>381</v>
      </c>
      <c r="B67" s="113" t="s">
        <v>382</v>
      </c>
      <c r="C67" s="115" t="s">
        <v>104</v>
      </c>
      <c r="D67" s="140">
        <v>6321.0</v>
      </c>
      <c r="E67" s="157" t="s">
        <v>383</v>
      </c>
      <c r="F67" s="175" t="s">
        <v>384</v>
      </c>
      <c r="G67" s="142">
        <v>46144.0</v>
      </c>
      <c r="H67" s="128" t="str">
        <f>DATEDIF(G67,'Total Manpower'!$B$5,"y")&amp;"y-"&amp;DATEDIF(G67,'Total Manpower'!$B$5,"ym")&amp;"m-"&amp;DATEDIF(G67,'Total Manpower'!$B$5,"md")&amp;"d"</f>
        <v>0y-4m-24d</v>
      </c>
      <c r="I67" s="142">
        <v>46144.0</v>
      </c>
      <c r="J67" s="128" t="str">
        <f>DATEDIF(I67,'Total Manpower'!$B$5,"y")&amp;"y-"&amp;DATEDIF(I67,'Total Manpower'!$B$5,"ym")&amp;"m-"&amp;DATEDIF(I67,'Total Manpower'!$B$5,"md")&amp;"d"</f>
        <v>0y-4m-24d</v>
      </c>
      <c r="K67" s="122">
        <v>38560.0</v>
      </c>
      <c r="L67" s="175" t="s">
        <v>125</v>
      </c>
      <c r="M67" s="174" t="s">
        <v>385</v>
      </c>
      <c r="N67" s="174" t="s">
        <v>386</v>
      </c>
      <c r="O67" s="12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24" t="s">
        <v>387</v>
      </c>
      <c r="B68" s="113" t="s">
        <v>388</v>
      </c>
      <c r="C68" s="115" t="s">
        <v>71</v>
      </c>
      <c r="D68" s="140">
        <v>6320.0</v>
      </c>
      <c r="E68" s="157" t="s">
        <v>389</v>
      </c>
      <c r="F68" s="175" t="s">
        <v>390</v>
      </c>
      <c r="G68" s="142">
        <v>46144.0</v>
      </c>
      <c r="H68" s="128" t="str">
        <f>DATEDIF(G68,'Total Manpower'!$B$5,"y")&amp;"y-"&amp;DATEDIF(G68,'Total Manpower'!$B$5,"ym")&amp;"m-"&amp;DATEDIF(G68,'Total Manpower'!$B$5,"md")&amp;"d"</f>
        <v>0y-4m-24d</v>
      </c>
      <c r="I68" s="142">
        <v>46144.0</v>
      </c>
      <c r="J68" s="128" t="str">
        <f>DATEDIF(I68,'Total Manpower'!$B$5,"y")&amp;"y-"&amp;DATEDIF(I68,'Total Manpower'!$B$5,"ym")&amp;"m-"&amp;DATEDIF(I68,'Total Manpower'!$B$5,"md")&amp;"d"</f>
        <v>0y-4m-24d</v>
      </c>
      <c r="K68" s="122">
        <v>36300.0</v>
      </c>
      <c r="L68" s="175" t="s">
        <v>199</v>
      </c>
      <c r="M68" s="174" t="s">
        <v>391</v>
      </c>
      <c r="N68" s="174" t="s">
        <v>391</v>
      </c>
      <c r="O68" s="12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24" t="s">
        <v>392</v>
      </c>
      <c r="B69" s="113" t="s">
        <v>393</v>
      </c>
      <c r="C69" s="115" t="s">
        <v>71</v>
      </c>
      <c r="D69" s="140">
        <v>6325.0</v>
      </c>
      <c r="E69" s="157" t="s">
        <v>394</v>
      </c>
      <c r="F69" s="175" t="s">
        <v>395</v>
      </c>
      <c r="G69" s="142">
        <v>46144.0</v>
      </c>
      <c r="H69" s="128" t="str">
        <f>DATEDIF(G69,'Total Manpower'!$B$5,"y")&amp;"y-"&amp;DATEDIF(G69,'Total Manpower'!$B$5,"ym")&amp;"m-"&amp;DATEDIF(G69,'Total Manpower'!$B$5,"md")&amp;"d"</f>
        <v>0y-4m-24d</v>
      </c>
      <c r="I69" s="142">
        <v>46144.0</v>
      </c>
      <c r="J69" s="128" t="str">
        <f>DATEDIF(I69,'Total Manpower'!$B$5,"y")&amp;"y-"&amp;DATEDIF(I69,'Total Manpower'!$B$5,"ym")&amp;"m-"&amp;DATEDIF(I69,'Total Manpower'!$B$5,"md")&amp;"d"</f>
        <v>0y-4m-24d</v>
      </c>
      <c r="K69" s="122">
        <v>37375.0</v>
      </c>
      <c r="L69" s="175" t="s">
        <v>125</v>
      </c>
      <c r="M69" s="174" t="s">
        <v>396</v>
      </c>
      <c r="N69" s="174" t="s">
        <v>397</v>
      </c>
      <c r="O69" s="12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24" t="s">
        <v>398</v>
      </c>
      <c r="B70" s="251" t="s">
        <v>34</v>
      </c>
      <c r="C70" s="115" t="s">
        <v>43</v>
      </c>
      <c r="D70" s="249" t="s">
        <v>139</v>
      </c>
      <c r="E70" s="140" t="s">
        <v>36</v>
      </c>
      <c r="F70" s="116"/>
      <c r="G70" s="252">
        <v>43822.0</v>
      </c>
      <c r="H70" s="128" t="str">
        <f>DATEDIF(G70,'Total Manpower'!$B$5,"y")&amp;"y-"&amp;DATEDIF(G70,'Total Manpower'!$B$5,"ym")&amp;"m-"&amp;DATEDIF(G70,'Total Manpower'!$B$5,"md")&amp;"d"</f>
        <v>6y-9m-3d</v>
      </c>
      <c r="I70" s="142"/>
      <c r="J70" s="128"/>
      <c r="K70" s="193">
        <v>35164.0</v>
      </c>
      <c r="L70" s="175" t="s">
        <v>109</v>
      </c>
      <c r="M70" s="194" t="s">
        <v>399</v>
      </c>
      <c r="N70" s="194" t="s">
        <v>400</v>
      </c>
      <c r="O70" s="12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24" t="s">
        <v>401</v>
      </c>
      <c r="B71" s="180" t="s">
        <v>250</v>
      </c>
      <c r="C71" s="115" t="s">
        <v>104</v>
      </c>
      <c r="D71" s="140">
        <v>6329.0</v>
      </c>
      <c r="E71" s="157" t="s">
        <v>251</v>
      </c>
      <c r="F71" s="184" t="s">
        <v>252</v>
      </c>
      <c r="G71" s="186">
        <v>46152.0</v>
      </c>
      <c r="H71" s="128" t="str">
        <f>DATEDIF(G71,'Total Manpower'!$B$5,"y")&amp;"y-"&amp;DATEDIF(G71,'Total Manpower'!$B$5,"ym")&amp;"m-"&amp;DATEDIF(G71,'Total Manpower'!$B$5,"md")&amp;"d"</f>
        <v>0y-4m-16d</v>
      </c>
      <c r="I71" s="179"/>
      <c r="J71" s="128"/>
      <c r="K71" s="193">
        <v>33984.0</v>
      </c>
      <c r="L71" s="175" t="s">
        <v>199</v>
      </c>
      <c r="M71" s="194" t="s">
        <v>256</v>
      </c>
      <c r="N71" s="194" t="s">
        <v>257</v>
      </c>
      <c r="O71" s="12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24" t="s">
        <v>402</v>
      </c>
      <c r="B72" s="215" t="s">
        <v>57</v>
      </c>
      <c r="C72" s="115" t="s">
        <v>104</v>
      </c>
      <c r="D72" s="154">
        <v>20039.0</v>
      </c>
      <c r="E72" s="253" t="s">
        <v>59</v>
      </c>
      <c r="F72" s="212"/>
      <c r="G72" s="186">
        <v>45854.0</v>
      </c>
      <c r="H72" s="128" t="str">
        <f>DATEDIF(G72,'Total Manpower'!$B$5,"y")&amp;"y-"&amp;DATEDIF(G72,'Total Manpower'!$B$5,"ym")&amp;"m-"&amp;DATEDIF(G72,'Total Manpower'!$B$5,"md")&amp;"d"</f>
        <v>1y-2m-10d</v>
      </c>
      <c r="I72" s="179"/>
      <c r="J72" s="128"/>
      <c r="K72" s="193">
        <v>36916.0</v>
      </c>
      <c r="L72" s="175" t="s">
        <v>199</v>
      </c>
      <c r="M72" s="194" t="s">
        <v>200</v>
      </c>
      <c r="N72" s="194" t="s">
        <v>201</v>
      </c>
      <c r="O72" s="12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24" t="s">
        <v>403</v>
      </c>
      <c r="B73" s="215" t="s">
        <v>61</v>
      </c>
      <c r="C73" s="145" t="s">
        <v>71</v>
      </c>
      <c r="D73" s="154">
        <v>20164.0</v>
      </c>
      <c r="E73" s="157" t="s">
        <v>62</v>
      </c>
      <c r="F73" s="212"/>
      <c r="G73" s="186">
        <v>45910.0</v>
      </c>
      <c r="H73" s="128" t="str">
        <f>DATEDIF(G73,'Total Manpower'!$B$5,"y")&amp;"y-"&amp;DATEDIF(G73,'Total Manpower'!$B$5,"ym")&amp;"m-"&amp;DATEDIF(G73,'Total Manpower'!$B$5,"md")&amp;"d"</f>
        <v>1y-0m-16d</v>
      </c>
      <c r="I73" s="179"/>
      <c r="J73" s="128"/>
      <c r="K73" s="193">
        <v>35619.0</v>
      </c>
      <c r="L73" s="254"/>
      <c r="M73" s="214"/>
      <c r="N73" s="214"/>
      <c r="O73" s="12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24" t="s">
        <v>404</v>
      </c>
      <c r="B74" s="251" t="s">
        <v>27</v>
      </c>
      <c r="C74" s="135" t="s">
        <v>24</v>
      </c>
      <c r="D74" s="140">
        <v>20241.0</v>
      </c>
      <c r="E74" s="140" t="s">
        <v>28</v>
      </c>
      <c r="F74" s="212"/>
      <c r="G74" s="186">
        <v>45945.0</v>
      </c>
      <c r="H74" s="128" t="str">
        <f>DATEDIF(G74,'Total Manpower'!$B$5,"y")&amp;"y-"&amp;DATEDIF(G74,'Total Manpower'!$B$5,"ym")&amp;"m-"&amp;DATEDIF(G74,'Total Manpower'!$B$5,"md")&amp;"d"</f>
        <v>0y-11m-11d</v>
      </c>
      <c r="I74" s="179"/>
      <c r="J74" s="128"/>
      <c r="K74" s="193">
        <v>29632.0</v>
      </c>
      <c r="L74" s="250"/>
      <c r="M74" s="194" t="s">
        <v>116</v>
      </c>
      <c r="N74" s="214"/>
      <c r="O74" s="12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24" t="s">
        <v>405</v>
      </c>
      <c r="B75" s="215" t="s">
        <v>80</v>
      </c>
      <c r="C75" s="145" t="s">
        <v>71</v>
      </c>
      <c r="D75" s="154">
        <v>6195.0</v>
      </c>
      <c r="E75" s="157" t="s">
        <v>92</v>
      </c>
      <c r="F75" s="184" t="s">
        <v>209</v>
      </c>
      <c r="G75" s="186">
        <v>45857.0</v>
      </c>
      <c r="H75" s="128" t="str">
        <f>DATEDIF(G75,'Total Manpower'!$B$5,"y")&amp;"y-"&amp;DATEDIF(G75,'Total Manpower'!$B$5,"ym")&amp;"m-"&amp;DATEDIF(G75,'Total Manpower'!$B$5,"md")&amp;"d"</f>
        <v>1y-2m-7d</v>
      </c>
      <c r="I75" s="142"/>
      <c r="J75" s="213"/>
      <c r="K75" s="193">
        <v>38353.0</v>
      </c>
      <c r="L75" s="166" t="s">
        <v>109</v>
      </c>
      <c r="M75" s="194" t="s">
        <v>214</v>
      </c>
      <c r="N75" s="194" t="s">
        <v>215</v>
      </c>
      <c r="O75" s="12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24" t="s">
        <v>406</v>
      </c>
      <c r="B76" s="180" t="s">
        <v>407</v>
      </c>
      <c r="C76" s="135" t="s">
        <v>408</v>
      </c>
      <c r="D76" s="140">
        <v>6162.0</v>
      </c>
      <c r="E76" s="157" t="s">
        <v>409</v>
      </c>
      <c r="F76" s="212"/>
      <c r="G76" s="186">
        <v>45678.0</v>
      </c>
      <c r="H76" s="128" t="str">
        <f>DATEDIF(G76,'Total Manpower'!$B$5,"y")&amp;"y-"&amp;DATEDIF(G76,'Total Manpower'!$B$5,"ym")&amp;"m-"&amp;DATEDIF(G76,'Total Manpower'!$B$5,"md")&amp;"d"</f>
        <v>1y-8m-5d</v>
      </c>
      <c r="I76" s="179"/>
      <c r="J76" s="128"/>
      <c r="K76" s="193">
        <v>32509.0</v>
      </c>
      <c r="L76" s="250"/>
      <c r="M76" s="214"/>
      <c r="N76" s="214"/>
      <c r="O76" s="12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24" t="s">
        <v>410</v>
      </c>
      <c r="B77" s="180" t="s">
        <v>159</v>
      </c>
      <c r="C77" s="115" t="s">
        <v>104</v>
      </c>
      <c r="D77" s="140">
        <v>6332.0</v>
      </c>
      <c r="E77" s="157" t="s">
        <v>160</v>
      </c>
      <c r="F77" s="184" t="s">
        <v>161</v>
      </c>
      <c r="G77" s="186">
        <v>46204.0</v>
      </c>
      <c r="H77" s="128" t="str">
        <f>DATEDIF(G77,'Total Manpower'!$B$5,"y")&amp;"y-"&amp;DATEDIF(G77,'Total Manpower'!$B$5,"ym")&amp;"m-"&amp;DATEDIF(G77,'Total Manpower'!$B$5,"md")&amp;"d"</f>
        <v>0y-2m-25d</v>
      </c>
      <c r="I77" s="179"/>
      <c r="J77" s="128"/>
      <c r="K77" s="193">
        <v>34299.0</v>
      </c>
      <c r="L77" s="166" t="s">
        <v>109</v>
      </c>
      <c r="M77" s="194" t="s">
        <v>170</v>
      </c>
      <c r="N77" s="194" t="s">
        <v>172</v>
      </c>
      <c r="O77" s="12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24" t="s">
        <v>411</v>
      </c>
      <c r="B78" s="180" t="s">
        <v>30</v>
      </c>
      <c r="C78" s="135" t="s">
        <v>31</v>
      </c>
      <c r="D78" s="140">
        <v>6247.0</v>
      </c>
      <c r="E78" s="157" t="s">
        <v>32</v>
      </c>
      <c r="F78" s="184" t="s">
        <v>226</v>
      </c>
      <c r="G78" s="186">
        <v>45931.0</v>
      </c>
      <c r="H78" s="128" t="str">
        <f>DATEDIF(G78,'Total Manpower'!$B$5,"y")&amp;"y-"&amp;DATEDIF(G78,'Total Manpower'!$B$5,"ym")&amp;"m-"&amp;DATEDIF(G78,'Total Manpower'!$B$5,"md")&amp;"d"</f>
        <v>0y-11m-25d</v>
      </c>
      <c r="I78" s="179"/>
      <c r="J78" s="128"/>
      <c r="K78" s="193">
        <v>27942.0</v>
      </c>
      <c r="L78" s="218" t="s">
        <v>228</v>
      </c>
      <c r="M78" s="194" t="s">
        <v>229</v>
      </c>
      <c r="N78" s="194" t="s">
        <v>230</v>
      </c>
      <c r="O78" s="12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24" t="s">
        <v>412</v>
      </c>
      <c r="B79" s="113"/>
      <c r="C79" s="115"/>
      <c r="D79" s="116"/>
      <c r="E79" s="137"/>
      <c r="F79" s="212"/>
      <c r="G79" s="142"/>
      <c r="H79" s="128"/>
      <c r="I79" s="179"/>
      <c r="J79" s="128"/>
      <c r="K79" s="122"/>
      <c r="L79" s="250"/>
      <c r="M79" s="214"/>
      <c r="N79" s="214"/>
      <c r="O79" s="12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24" t="s">
        <v>413</v>
      </c>
      <c r="B80" s="113"/>
      <c r="C80" s="115"/>
      <c r="D80" s="116"/>
      <c r="E80" s="137"/>
      <c r="F80" s="212"/>
      <c r="G80" s="142"/>
      <c r="H80" s="128"/>
      <c r="I80" s="179"/>
      <c r="J80" s="128"/>
      <c r="K80" s="122"/>
      <c r="L80" s="250"/>
      <c r="M80" s="214"/>
      <c r="N80" s="214"/>
      <c r="O80" s="12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24" t="s">
        <v>414</v>
      </c>
      <c r="B81" s="113"/>
      <c r="C81" s="115"/>
      <c r="D81" s="116"/>
      <c r="E81" s="137"/>
      <c r="F81" s="212"/>
      <c r="G81" s="142"/>
      <c r="H81" s="128"/>
      <c r="I81" s="179"/>
      <c r="J81" s="128"/>
      <c r="K81" s="122"/>
      <c r="L81" s="250"/>
      <c r="M81" s="214"/>
      <c r="N81" s="214"/>
      <c r="O81" s="12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24" t="s">
        <v>415</v>
      </c>
      <c r="B82" s="113"/>
      <c r="C82" s="115"/>
      <c r="D82" s="116"/>
      <c r="E82" s="137"/>
      <c r="F82" s="212"/>
      <c r="G82" s="142"/>
      <c r="H82" s="128"/>
      <c r="I82" s="179"/>
      <c r="J82" s="128"/>
      <c r="K82" s="122"/>
      <c r="L82" s="250"/>
      <c r="M82" s="214"/>
      <c r="N82" s="214"/>
      <c r="O82" s="12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24" t="s">
        <v>416</v>
      </c>
      <c r="B83" s="113"/>
      <c r="C83" s="115"/>
      <c r="D83" s="116"/>
      <c r="E83" s="137"/>
      <c r="F83" s="212"/>
      <c r="G83" s="142"/>
      <c r="H83" s="128" t="str">
        <f>DATEDIF(G83,'Total Manpower'!$B$5,"y")&amp;"y-"&amp;DATEDIF(G83,'Total Manpower'!$B$5,"ym")&amp;"m-"&amp;DATEDIF(G83,'Total Manpower'!$B$5,"md")&amp;"d"</f>
        <v>126y-8m-27d</v>
      </c>
      <c r="I83" s="179"/>
      <c r="J83" s="128"/>
      <c r="K83" s="122"/>
      <c r="L83" s="212"/>
      <c r="M83" s="214"/>
      <c r="N83" s="214"/>
      <c r="O83" s="12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4.5" customHeight="1">
      <c r="A84" s="224" t="s">
        <v>417</v>
      </c>
      <c r="B84" s="255" t="s">
        <v>96</v>
      </c>
      <c r="C84" s="256" t="s">
        <v>418</v>
      </c>
      <c r="D84" s="72"/>
      <c r="E84" s="257" t="s">
        <v>260</v>
      </c>
      <c r="F84" s="258" t="s">
        <v>97</v>
      </c>
      <c r="G84" s="259">
        <v>45783.0</v>
      </c>
      <c r="H84" s="77" t="str">
        <f>DATEDIF(G84,$B$5,"y")&amp;"y-"&amp;DATEDIF(G84,$B$5,"ym")&amp;"m-"&amp;DATEDIF(G84,$B$5,"md")&amp;"d"</f>
        <v>1y-4m-20d</v>
      </c>
      <c r="I84" s="260"/>
      <c r="J84" s="261"/>
      <c r="K84" s="74">
        <v>35531.0</v>
      </c>
      <c r="L84" s="258" t="s">
        <v>125</v>
      </c>
      <c r="M84" s="262"/>
      <c r="N84" s="262"/>
      <c r="O84" s="7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24" t="s">
        <v>419</v>
      </c>
      <c r="B85" s="113" t="s">
        <v>420</v>
      </c>
      <c r="C85" s="115" t="s">
        <v>117</v>
      </c>
      <c r="D85" s="116"/>
      <c r="E85" s="120" t="s">
        <v>421</v>
      </c>
      <c r="F85" s="120" t="s">
        <v>422</v>
      </c>
      <c r="G85" s="122">
        <v>45971.0</v>
      </c>
      <c r="H85" s="128" t="str">
        <f>DATEDIF(G85,'Total Manpower'!$B$5,"y")&amp;"y-"&amp;DATEDIF(G85,'Total Manpower'!$B$5,"ym")&amp;"m-"&amp;DATEDIF(G85,'Total Manpower'!$B$5,"md")&amp;"d"</f>
        <v>0y-10m-16d</v>
      </c>
      <c r="I85" s="130"/>
      <c r="J85" s="137"/>
      <c r="K85" s="122">
        <v>35736.0</v>
      </c>
      <c r="L85" s="120" t="s">
        <v>142</v>
      </c>
      <c r="M85" s="153" t="s">
        <v>423</v>
      </c>
      <c r="N85" s="153" t="s">
        <v>424</v>
      </c>
      <c r="O85" s="12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24" t="s">
        <v>425</v>
      </c>
      <c r="B86" s="113" t="s">
        <v>103</v>
      </c>
      <c r="C86" s="115" t="s">
        <v>271</v>
      </c>
      <c r="D86" s="116">
        <v>6246.0</v>
      </c>
      <c r="E86" s="120" t="s">
        <v>105</v>
      </c>
      <c r="F86" s="120" t="s">
        <v>272</v>
      </c>
      <c r="G86" s="122">
        <v>45934.0</v>
      </c>
      <c r="H86" s="128" t="str">
        <f>DATEDIF(G86,'Total Manpower'!$B$5,"y")&amp;"y-"&amp;DATEDIF(G86,'Total Manpower'!$B$5,"ym")&amp;"m-"&amp;DATEDIF(G86,'Total Manpower'!$B$5,"md")&amp;"d"</f>
        <v>0y-11m-22d</v>
      </c>
      <c r="I86" s="130"/>
      <c r="J86" s="137"/>
      <c r="K86" s="122">
        <v>38480.0</v>
      </c>
      <c r="L86" s="120" t="s">
        <v>199</v>
      </c>
      <c r="M86" s="153" t="s">
        <v>278</v>
      </c>
      <c r="N86" s="153" t="s">
        <v>279</v>
      </c>
      <c r="O86" s="12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24" t="s">
        <v>426</v>
      </c>
      <c r="B87" s="113" t="s">
        <v>280</v>
      </c>
      <c r="C87" s="115" t="s">
        <v>71</v>
      </c>
      <c r="D87" s="116"/>
      <c r="E87" s="137"/>
      <c r="F87" s="120" t="s">
        <v>282</v>
      </c>
      <c r="G87" s="122">
        <v>46033.0</v>
      </c>
      <c r="H87" s="128" t="str">
        <f>DATEDIF(G87,'Total Manpower'!$B$5,"y")&amp;"y-"&amp;DATEDIF(G87,'Total Manpower'!$B$5,"ym")&amp;"m-"&amp;DATEDIF(G87,'Total Manpower'!$B$5,"md")&amp;"d"</f>
        <v>0y-8m-15d</v>
      </c>
      <c r="I87" s="130"/>
      <c r="J87" s="137"/>
      <c r="K87" s="122">
        <v>29609.0</v>
      </c>
      <c r="L87" s="120" t="s">
        <v>125</v>
      </c>
      <c r="M87" s="153" t="s">
        <v>283</v>
      </c>
      <c r="N87" s="153" t="s">
        <v>427</v>
      </c>
      <c r="O87" s="12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24" t="s">
        <v>428</v>
      </c>
      <c r="B88" s="113" t="s">
        <v>287</v>
      </c>
      <c r="C88" s="115" t="s">
        <v>288</v>
      </c>
      <c r="D88" s="116"/>
      <c r="E88" s="137"/>
      <c r="F88" s="120" t="s">
        <v>293</v>
      </c>
      <c r="G88" s="122">
        <v>45783.0</v>
      </c>
      <c r="H88" s="128" t="str">
        <f>DATEDIF(G88,'Total Manpower'!$B$5,"y")&amp;"y-"&amp;DATEDIF(G88,'Total Manpower'!$B$5,"ym")&amp;"m-"&amp;DATEDIF(G88,'Total Manpower'!$B$5,"md")&amp;"d"</f>
        <v>1y-4m-20d</v>
      </c>
      <c r="I88" s="137"/>
      <c r="J88" s="137"/>
      <c r="K88" s="122">
        <v>36330.0</v>
      </c>
      <c r="L88" s="137"/>
      <c r="M88" s="138"/>
      <c r="N88" s="138"/>
      <c r="O88" s="12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24" t="s">
        <v>429</v>
      </c>
      <c r="B89" s="113" t="s">
        <v>430</v>
      </c>
      <c r="C89" s="115" t="s">
        <v>295</v>
      </c>
      <c r="D89" s="116"/>
      <c r="E89" s="137"/>
      <c r="F89" s="120" t="s">
        <v>431</v>
      </c>
      <c r="G89" s="122">
        <v>45763.0</v>
      </c>
      <c r="H89" s="128" t="str">
        <f>DATEDIF(G89,'Total Manpower'!$B$5,"y")&amp;"y-"&amp;DATEDIF(G89,'Total Manpower'!$B$5,"ym")&amp;"m-"&amp;DATEDIF(G89,'Total Manpower'!$B$5,"md")&amp;"d"</f>
        <v>1y-5m-10d</v>
      </c>
      <c r="I89" s="137"/>
      <c r="J89" s="137"/>
      <c r="K89" s="122">
        <v>32252.0</v>
      </c>
      <c r="L89" s="166" t="s">
        <v>125</v>
      </c>
      <c r="M89" s="138"/>
      <c r="N89" s="153" t="s">
        <v>432</v>
      </c>
      <c r="O89" s="12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24" t="s">
        <v>433</v>
      </c>
      <c r="B90" s="113" t="s">
        <v>294</v>
      </c>
      <c r="C90" s="115" t="s">
        <v>295</v>
      </c>
      <c r="D90" s="116"/>
      <c r="E90" s="137"/>
      <c r="F90" s="120" t="s">
        <v>297</v>
      </c>
      <c r="G90" s="242">
        <v>45773.0</v>
      </c>
      <c r="H90" s="128" t="str">
        <f>DATEDIF(G90,'Total Manpower'!$B$5,"y")&amp;"y-"&amp;DATEDIF(G90,'Total Manpower'!$B$5,"ym")&amp;"m-"&amp;DATEDIF(G90,'Total Manpower'!$B$5,"md")&amp;"d"</f>
        <v>1y-5m-0d</v>
      </c>
      <c r="I90" s="245"/>
      <c r="J90" s="245"/>
      <c r="K90" s="122">
        <v>39066.0</v>
      </c>
      <c r="L90" s="245"/>
      <c r="M90" s="58"/>
      <c r="N90" s="58"/>
      <c r="O90" s="12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24" t="s">
        <v>434</v>
      </c>
      <c r="B91" s="113" t="s">
        <v>300</v>
      </c>
      <c r="C91" s="115" t="s">
        <v>301</v>
      </c>
      <c r="D91" s="116"/>
      <c r="E91" s="137"/>
      <c r="F91" s="120" t="s">
        <v>302</v>
      </c>
      <c r="G91" s="242">
        <v>44992.0</v>
      </c>
      <c r="H91" s="128" t="str">
        <f>DATEDIF(G91,'Total Manpower'!$B$5,"y")&amp;"y-"&amp;DATEDIF(G91,'Total Manpower'!$B$5,"ym")&amp;"m-"&amp;DATEDIF(G91,'Total Manpower'!$B$5,"md")&amp;"d"</f>
        <v>3y-6m-19d</v>
      </c>
      <c r="I91" s="245"/>
      <c r="J91" s="245"/>
      <c r="K91" s="122">
        <v>31413.0</v>
      </c>
      <c r="L91" s="120" t="s">
        <v>199</v>
      </c>
      <c r="M91" s="58"/>
      <c r="N91" s="58"/>
      <c r="O91" s="12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24" t="s">
        <v>435</v>
      </c>
      <c r="B92" s="113" t="s">
        <v>436</v>
      </c>
      <c r="C92" s="145" t="s">
        <v>104</v>
      </c>
      <c r="D92" s="116" t="s">
        <v>437</v>
      </c>
      <c r="E92" s="137"/>
      <c r="F92" s="175" t="s">
        <v>438</v>
      </c>
      <c r="G92" s="142">
        <v>46068.0</v>
      </c>
      <c r="H92" s="128" t="str">
        <f>DATEDIF(G92,'Total Manpower'!$B$5,"y")&amp;"y-"&amp;DATEDIF(G92,'Total Manpower'!$B$5,"ym")&amp;"m-"&amp;DATEDIF(G92,'Total Manpower'!$B$5,"md")&amp;"d"</f>
        <v>0y-7m-11d</v>
      </c>
      <c r="I92" s="142">
        <v>46068.0</v>
      </c>
      <c r="J92" s="128" t="str">
        <f t="shared" ref="J92:J93" si="6">DATEDIF(I92,$B$5,"y")&amp;"y-"&amp;DATEDIF(I92,$B$5,"ym")&amp;"m-"&amp;DATEDIF(I92,$B$5,"md")&amp;"d"</f>
        <v>0y-7m-11d</v>
      </c>
      <c r="K92" s="122">
        <v>34012.0</v>
      </c>
      <c r="L92" s="175" t="s">
        <v>125</v>
      </c>
      <c r="M92" s="174" t="s">
        <v>439</v>
      </c>
      <c r="N92" s="174" t="s">
        <v>440</v>
      </c>
      <c r="O92" s="12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24" t="s">
        <v>441</v>
      </c>
      <c r="B93" s="113" t="s">
        <v>442</v>
      </c>
      <c r="C93" s="145" t="s">
        <v>71</v>
      </c>
      <c r="D93" s="116" t="s">
        <v>437</v>
      </c>
      <c r="E93" s="137"/>
      <c r="F93" s="175" t="s">
        <v>443</v>
      </c>
      <c r="G93" s="142">
        <v>46068.0</v>
      </c>
      <c r="H93" s="128" t="str">
        <f>DATEDIF(G93,'Total Manpower'!$B$5,"y")&amp;"y-"&amp;DATEDIF(G93,'Total Manpower'!$B$5,"ym")&amp;"m-"&amp;DATEDIF(G93,'Total Manpower'!$B$5,"md")&amp;"d"</f>
        <v>0y-7m-11d</v>
      </c>
      <c r="I93" s="142">
        <v>46068.0</v>
      </c>
      <c r="J93" s="128" t="str">
        <f t="shared" si="6"/>
        <v>0y-7m-11d</v>
      </c>
      <c r="K93" s="122">
        <v>35954.0</v>
      </c>
      <c r="L93" s="175" t="s">
        <v>125</v>
      </c>
      <c r="M93" s="174" t="s">
        <v>444</v>
      </c>
      <c r="N93" s="174" t="s">
        <v>445</v>
      </c>
      <c r="O93" s="12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24" t="s">
        <v>446</v>
      </c>
      <c r="B94" s="113" t="s">
        <v>447</v>
      </c>
      <c r="C94" s="115" t="s">
        <v>295</v>
      </c>
      <c r="D94" s="116">
        <v>7259.0</v>
      </c>
      <c r="E94" s="137"/>
      <c r="F94" s="120" t="s">
        <v>448</v>
      </c>
      <c r="G94" s="242">
        <v>46113.0</v>
      </c>
      <c r="H94" s="128" t="str">
        <f>DATEDIF(G94,'Total Manpower'!$B$5,"y")&amp;"y-"&amp;DATEDIF(G94,'Total Manpower'!$B$5,"ym")&amp;"m-"&amp;DATEDIF(G94,'Total Manpower'!$B$5,"md")&amp;"d"</f>
        <v>0y-5m-25d</v>
      </c>
      <c r="I94" s="245"/>
      <c r="J94" s="245"/>
      <c r="K94" s="122">
        <v>39049.0</v>
      </c>
      <c r="L94" s="166" t="s">
        <v>109</v>
      </c>
      <c r="M94" s="58"/>
      <c r="N94" s="219" t="s">
        <v>449</v>
      </c>
      <c r="O94" s="12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24" t="s">
        <v>450</v>
      </c>
      <c r="B95" s="113" t="s">
        <v>451</v>
      </c>
      <c r="C95" s="115" t="s">
        <v>301</v>
      </c>
      <c r="D95" s="116"/>
      <c r="E95" s="137"/>
      <c r="F95" s="175" t="s">
        <v>452</v>
      </c>
      <c r="G95" s="142">
        <v>46118.0</v>
      </c>
      <c r="H95" s="128" t="str">
        <f>DATEDIF(G95,'Total Manpower'!$B$5,"y")&amp;"y-"&amp;DATEDIF(G95,'Total Manpower'!$B$5,"ym")&amp;"m-"&amp;DATEDIF(G95,'Total Manpower'!$B$5,"md")&amp;"d"</f>
        <v>0y-5m-20d</v>
      </c>
      <c r="I95" s="142"/>
      <c r="J95" s="128"/>
      <c r="K95" s="122">
        <v>31519.0</v>
      </c>
      <c r="L95" s="175" t="s">
        <v>125</v>
      </c>
      <c r="M95" s="174" t="s">
        <v>453</v>
      </c>
      <c r="N95" s="58"/>
      <c r="O95" s="12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24" t="s">
        <v>454</v>
      </c>
      <c r="B96" s="113" t="s">
        <v>455</v>
      </c>
      <c r="C96" s="115" t="s">
        <v>301</v>
      </c>
      <c r="D96" s="116"/>
      <c r="E96" s="137"/>
      <c r="F96" s="175" t="s">
        <v>456</v>
      </c>
      <c r="G96" s="142">
        <v>46126.0</v>
      </c>
      <c r="H96" s="128" t="str">
        <f>DATEDIF(G96,'Total Manpower'!$B$5,"y")&amp;"y-"&amp;DATEDIF(G96,'Total Manpower'!$B$5,"ym")&amp;"m-"&amp;DATEDIF(G96,'Total Manpower'!$B$5,"md")&amp;"d"</f>
        <v>0y-5m-12d</v>
      </c>
      <c r="I96" s="142"/>
      <c r="J96" s="128"/>
      <c r="K96" s="122">
        <v>36526.0</v>
      </c>
      <c r="L96" s="212"/>
      <c r="M96" s="214"/>
      <c r="N96" s="219" t="s">
        <v>457</v>
      </c>
      <c r="O96" s="12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4"/>
      <c r="B97" s="113"/>
      <c r="C97" s="145"/>
      <c r="D97" s="116"/>
      <c r="E97" s="137"/>
      <c r="F97" s="212"/>
      <c r="G97" s="142"/>
      <c r="H97" s="128"/>
      <c r="I97" s="142"/>
      <c r="J97" s="128"/>
      <c r="K97" s="122"/>
      <c r="L97" s="212"/>
      <c r="M97" s="214"/>
      <c r="N97" s="214"/>
      <c r="O97" s="12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9"/>
      <c r="B98" s="9"/>
      <c r="C98" s="11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9"/>
      <c r="B99" s="9"/>
      <c r="C99" s="11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"/>
      <c r="B100" s="9"/>
      <c r="C100" s="11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"/>
      <c r="B101" s="9"/>
      <c r="C101" s="11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9"/>
      <c r="B102" s="9"/>
      <c r="C102" s="11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9"/>
      <c r="B103" s="9"/>
      <c r="C103" s="11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9"/>
      <c r="B104" s="9"/>
      <c r="C104" s="11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9"/>
      <c r="B105" s="9"/>
      <c r="C105" s="1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9"/>
      <c r="B106" s="9"/>
      <c r="C106" s="1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9"/>
      <c r="B107" s="9"/>
      <c r="C107" s="1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9"/>
      <c r="B108" s="9"/>
      <c r="C108" s="11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9"/>
      <c r="B109" s="9"/>
      <c r="C109" s="11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9"/>
      <c r="B110" s="9"/>
      <c r="C110" s="11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9"/>
      <c r="B111" s="9"/>
      <c r="C111" s="1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9"/>
      <c r="B112" s="9"/>
      <c r="C112" s="1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9"/>
      <c r="B113" s="9"/>
      <c r="C113" s="1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9"/>
      <c r="B114" s="9"/>
      <c r="C114" s="1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9"/>
      <c r="B115" s="9"/>
      <c r="C115" s="11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9"/>
      <c r="B116" s="9"/>
      <c r="C116" s="11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9"/>
      <c r="B117" s="9"/>
      <c r="C117" s="11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9"/>
      <c r="B118" s="9"/>
      <c r="C118" s="1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9"/>
      <c r="B119" s="9"/>
      <c r="C119" s="11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9"/>
      <c r="B120" s="9"/>
      <c r="C120" s="11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9"/>
      <c r="B121" s="9"/>
      <c r="C121" s="11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9"/>
      <c r="B122" s="9"/>
      <c r="C122" s="1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9"/>
      <c r="B123" s="9"/>
      <c r="C123" s="1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9"/>
      <c r="B124" s="9"/>
      <c r="C124" s="11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9"/>
      <c r="B125" s="9"/>
      <c r="C125" s="1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9"/>
      <c r="B126" s="9"/>
      <c r="C126" s="11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9"/>
      <c r="B127" s="9"/>
      <c r="C127" s="11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9"/>
      <c r="B128" s="9"/>
      <c r="C128" s="11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9"/>
      <c r="B129" s="9"/>
      <c r="C129" s="11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9"/>
      <c r="B130" s="9"/>
      <c r="C130" s="11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9"/>
      <c r="B131" s="9"/>
      <c r="C131" s="1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9"/>
      <c r="B132" s="9"/>
      <c r="C132" s="1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9"/>
      <c r="B133" s="9"/>
      <c r="C133" s="1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9"/>
      <c r="B134" s="9"/>
      <c r="C134" s="1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9"/>
      <c r="B135" s="9"/>
      <c r="C135" s="1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9"/>
      <c r="B136" s="9"/>
      <c r="C136" s="1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9"/>
      <c r="B137" s="9"/>
      <c r="C137" s="1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9"/>
      <c r="B138" s="9"/>
      <c r="C138" s="1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9"/>
      <c r="B139" s="9"/>
      <c r="C139" s="1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9"/>
      <c r="B140" s="9"/>
      <c r="C140" s="1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9"/>
      <c r="B141" s="9"/>
      <c r="C141" s="1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9"/>
      <c r="B142" s="9"/>
      <c r="C142" s="1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9"/>
      <c r="B143" s="9"/>
      <c r="C143" s="1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9"/>
      <c r="B144" s="9"/>
      <c r="C144" s="1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9"/>
      <c r="B145" s="9"/>
      <c r="C145" s="1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9"/>
      <c r="B146" s="9"/>
      <c r="C146" s="1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9"/>
      <c r="B147" s="9"/>
      <c r="C147" s="1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9"/>
      <c r="B148" s="9"/>
      <c r="C148" s="1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9"/>
      <c r="B149" s="9"/>
      <c r="C149" s="1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9"/>
      <c r="B150" s="9"/>
      <c r="C150" s="1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9"/>
      <c r="B151" s="9"/>
      <c r="C151" s="1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9"/>
      <c r="B152" s="9"/>
      <c r="C152" s="1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9"/>
      <c r="B153" s="9"/>
      <c r="C153" s="1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9"/>
      <c r="B154" s="9"/>
      <c r="C154" s="1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9"/>
      <c r="B155" s="9"/>
      <c r="C155" s="1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9"/>
      <c r="B156" s="9"/>
      <c r="C156" s="1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9"/>
      <c r="B157" s="9"/>
      <c r="C157" s="1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9"/>
      <c r="B158" s="9"/>
      <c r="C158" s="1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9"/>
      <c r="B159" s="9"/>
      <c r="C159" s="1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9"/>
      <c r="B160" s="9"/>
      <c r="C160" s="1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9"/>
      <c r="B161" s="9"/>
      <c r="C161" s="1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9"/>
      <c r="B162" s="9"/>
      <c r="C162" s="1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9"/>
      <c r="B163" s="9"/>
      <c r="C163" s="1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9"/>
      <c r="B164" s="9"/>
      <c r="C164" s="1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9"/>
      <c r="B165" s="9"/>
      <c r="C165" s="1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9"/>
      <c r="B166" s="9"/>
      <c r="C166" s="1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9"/>
      <c r="B167" s="9"/>
      <c r="C167" s="1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9"/>
      <c r="B168" s="9"/>
      <c r="C168" s="1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9"/>
      <c r="B169" s="9"/>
      <c r="C169" s="1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9"/>
      <c r="B170" s="9"/>
      <c r="C170" s="1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9"/>
      <c r="B171" s="9"/>
      <c r="C171" s="1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9"/>
      <c r="B172" s="9"/>
      <c r="C172" s="1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9"/>
      <c r="B173" s="9"/>
      <c r="C173" s="1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9"/>
      <c r="B174" s="9"/>
      <c r="C174" s="1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9"/>
      <c r="B175" s="9"/>
      <c r="C175" s="1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9"/>
      <c r="B176" s="9"/>
      <c r="C176" s="1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9"/>
      <c r="B177" s="9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9"/>
      <c r="B178" s="9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9"/>
      <c r="B179" s="9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9"/>
      <c r="B180" s="9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9"/>
      <c r="B181" s="9"/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9"/>
      <c r="B182" s="9"/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9"/>
      <c r="B183" s="9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9"/>
      <c r="B184" s="9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9"/>
      <c r="B185" s="9"/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9"/>
      <c r="B186" s="9"/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9"/>
      <c r="B187" s="9"/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9"/>
      <c r="B188" s="9"/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9"/>
      <c r="B189" s="9"/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9"/>
      <c r="B190" s="9"/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9"/>
      <c r="B191" s="9"/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9"/>
      <c r="B192" s="9"/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9"/>
      <c r="B193" s="9"/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9"/>
      <c r="B194" s="9"/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9"/>
      <c r="B195" s="9"/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9"/>
      <c r="B196" s="9"/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9"/>
      <c r="B197" s="9"/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9"/>
      <c r="B198" s="9"/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9"/>
      <c r="B199" s="9"/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9"/>
      <c r="B200" s="9"/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9"/>
      <c r="B201" s="9"/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9"/>
      <c r="B202" s="9"/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9"/>
      <c r="B203" s="9"/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9"/>
      <c r="B204" s="9"/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9"/>
      <c r="B205" s="9"/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9"/>
      <c r="B206" s="9"/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9"/>
      <c r="B207" s="9"/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9"/>
      <c r="B208" s="9"/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9"/>
      <c r="B209" s="9"/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9"/>
      <c r="B210" s="9"/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9"/>
      <c r="B211" s="9"/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9"/>
      <c r="B212" s="9"/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9"/>
      <c r="B213" s="9"/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9"/>
      <c r="B214" s="9"/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9"/>
      <c r="B215" s="9"/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9"/>
      <c r="B216" s="9"/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9"/>
      <c r="B217" s="9"/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9"/>
      <c r="B218" s="9"/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9"/>
      <c r="B219" s="9"/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9"/>
      <c r="B220" s="9"/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9"/>
      <c r="B221" s="9"/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9"/>
      <c r="B222" s="9"/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9"/>
      <c r="B223" s="9"/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9"/>
      <c r="B224" s="9"/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9"/>
      <c r="B225" s="9"/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9"/>
      <c r="B226" s="9"/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9"/>
      <c r="B227" s="9"/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9"/>
      <c r="B228" s="9"/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9"/>
      <c r="B229" s="9"/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9"/>
      <c r="B230" s="9"/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9"/>
      <c r="B231" s="9"/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9"/>
      <c r="B232" s="9"/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9"/>
      <c r="B233" s="9"/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9"/>
      <c r="B234" s="9"/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9"/>
      <c r="B235" s="9"/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9"/>
      <c r="B236" s="9"/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9"/>
      <c r="B237" s="9"/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9"/>
      <c r="B238" s="9"/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9"/>
      <c r="B239" s="9"/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9"/>
      <c r="B240" s="9"/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9"/>
      <c r="B241" s="9"/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9"/>
      <c r="B242" s="9"/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9"/>
      <c r="B243" s="9"/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9"/>
      <c r="B244" s="9"/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9"/>
      <c r="B245" s="9"/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9"/>
      <c r="B246" s="9"/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9"/>
      <c r="B247" s="9"/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9"/>
      <c r="B248" s="9"/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9"/>
      <c r="B249" s="9"/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9"/>
      <c r="B250" s="9"/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9"/>
      <c r="B251" s="9"/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9"/>
      <c r="B252" s="9"/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9"/>
      <c r="B253" s="9"/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9"/>
      <c r="B254" s="9"/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9"/>
      <c r="B255" s="9"/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9"/>
      <c r="B256" s="9"/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9"/>
      <c r="B257" s="9"/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9"/>
      <c r="B258" s="9"/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9"/>
      <c r="B259" s="9"/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9"/>
      <c r="B260" s="9"/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9"/>
      <c r="B261" s="9"/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9"/>
      <c r="B262" s="9"/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9"/>
      <c r="B263" s="9"/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9"/>
      <c r="B264" s="9"/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9"/>
      <c r="B265" s="9"/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9"/>
      <c r="B266" s="9"/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9"/>
      <c r="B267" s="9"/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9"/>
      <c r="B268" s="9"/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9"/>
      <c r="B269" s="9"/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9"/>
      <c r="B270" s="9"/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9"/>
      <c r="B271" s="9"/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9"/>
      <c r="B272" s="9"/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9"/>
      <c r="B273" s="9"/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9"/>
      <c r="B274" s="9"/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9"/>
      <c r="B275" s="9"/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9"/>
      <c r="B276" s="9"/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9"/>
      <c r="B277" s="9"/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9"/>
      <c r="B278" s="9"/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9"/>
      <c r="B279" s="9"/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9"/>
      <c r="B280" s="9"/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9"/>
      <c r="B281" s="9"/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9"/>
      <c r="B282" s="9"/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9"/>
      <c r="B283" s="9"/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9"/>
      <c r="B284" s="9"/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9"/>
      <c r="B285" s="9"/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9"/>
      <c r="B286" s="9"/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9"/>
      <c r="B287" s="9"/>
      <c r="C287" s="11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9"/>
      <c r="B288" s="9"/>
      <c r="C288" s="11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9"/>
      <c r="B289" s="9"/>
      <c r="C289" s="11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9"/>
      <c r="B290" s="9"/>
      <c r="C290" s="11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9"/>
      <c r="B291" s="9"/>
      <c r="C291" s="11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9"/>
      <c r="B292" s="9"/>
      <c r="C292" s="11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9"/>
      <c r="B293" s="9"/>
      <c r="C293" s="11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9"/>
      <c r="B294" s="9"/>
      <c r="C294" s="11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9"/>
      <c r="B295" s="9"/>
      <c r="C295" s="11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9"/>
      <c r="B296" s="9"/>
      <c r="C296" s="11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9"/>
      <c r="B297" s="9"/>
      <c r="C297" s="11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9"/>
      <c r="B298" s="9"/>
      <c r="C298" s="11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9"/>
      <c r="B299" s="9"/>
      <c r="C299" s="11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9"/>
      <c r="B300" s="9"/>
      <c r="C300" s="11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9"/>
      <c r="B301" s="9"/>
      <c r="C301" s="11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9"/>
      <c r="B302" s="9"/>
      <c r="C302" s="11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9"/>
      <c r="B303" s="9"/>
      <c r="C303" s="11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9"/>
      <c r="B304" s="9"/>
      <c r="C304" s="11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9"/>
      <c r="B305" s="9"/>
      <c r="C305" s="11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9"/>
      <c r="B306" s="9"/>
      <c r="C306" s="11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9"/>
      <c r="B307" s="9"/>
      <c r="C307" s="11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9"/>
      <c r="B308" s="9"/>
      <c r="C308" s="11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9"/>
      <c r="B309" s="9"/>
      <c r="C309" s="11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9"/>
      <c r="B310" s="9"/>
      <c r="C310" s="11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9"/>
      <c r="B311" s="9"/>
      <c r="C311" s="11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9"/>
      <c r="B312" s="9"/>
      <c r="C312" s="11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9"/>
      <c r="B313" s="9"/>
      <c r="C313" s="11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9"/>
      <c r="B314" s="9"/>
      <c r="C314" s="11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9"/>
      <c r="B315" s="9"/>
      <c r="C315" s="11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9"/>
      <c r="B316" s="9"/>
      <c r="C316" s="11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9"/>
      <c r="B317" s="9"/>
      <c r="C317" s="11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9"/>
      <c r="B318" s="9"/>
      <c r="C318" s="11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9"/>
      <c r="B319" s="9"/>
      <c r="C319" s="11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9"/>
      <c r="B320" s="9"/>
      <c r="C320" s="11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9"/>
      <c r="B321" s="9"/>
      <c r="C321" s="11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9"/>
      <c r="B322" s="9"/>
      <c r="C322" s="11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9"/>
      <c r="B323" s="9"/>
      <c r="C323" s="11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9"/>
      <c r="B324" s="9"/>
      <c r="C324" s="11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9"/>
      <c r="B325" s="9"/>
      <c r="C325" s="11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9"/>
      <c r="B326" s="9"/>
      <c r="C326" s="11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9"/>
      <c r="B327" s="9"/>
      <c r="C327" s="11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9"/>
      <c r="B328" s="9"/>
      <c r="C328" s="11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9"/>
      <c r="B329" s="9"/>
      <c r="C329" s="11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9"/>
      <c r="B330" s="9"/>
      <c r="C330" s="11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9"/>
      <c r="B331" s="9"/>
      <c r="C331" s="11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9"/>
      <c r="B332" s="9"/>
      <c r="C332" s="11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9"/>
      <c r="B333" s="9"/>
      <c r="C333" s="11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9"/>
      <c r="B334" s="9"/>
      <c r="C334" s="11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9"/>
      <c r="B335" s="9"/>
      <c r="C335" s="11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9"/>
      <c r="B336" s="9"/>
      <c r="C336" s="11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9"/>
      <c r="B337" s="9"/>
      <c r="C337" s="11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9"/>
      <c r="B338" s="9"/>
      <c r="C338" s="11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9"/>
      <c r="B339" s="9"/>
      <c r="C339" s="11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9"/>
      <c r="B340" s="9"/>
      <c r="C340" s="11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9"/>
      <c r="B341" s="9"/>
      <c r="C341" s="11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9"/>
      <c r="B342" s="9"/>
      <c r="C342" s="11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9"/>
      <c r="B343" s="9"/>
      <c r="C343" s="11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9"/>
      <c r="B344" s="9"/>
      <c r="C344" s="11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9"/>
      <c r="B345" s="9"/>
      <c r="C345" s="11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9"/>
      <c r="B346" s="9"/>
      <c r="C346" s="11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9"/>
      <c r="B347" s="9"/>
      <c r="C347" s="11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9"/>
      <c r="B348" s="9"/>
      <c r="C348" s="11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9"/>
      <c r="B349" s="9"/>
      <c r="C349" s="11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9"/>
      <c r="B350" s="9"/>
      <c r="C350" s="11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9"/>
      <c r="B351" s="9"/>
      <c r="C351" s="11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9"/>
      <c r="B352" s="9"/>
      <c r="C352" s="11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9"/>
      <c r="B353" s="9"/>
      <c r="C353" s="11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9"/>
      <c r="B354" s="9"/>
      <c r="C354" s="11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9"/>
      <c r="B355" s="9"/>
      <c r="C355" s="11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9"/>
      <c r="B356" s="9"/>
      <c r="C356" s="11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9"/>
      <c r="B357" s="9"/>
      <c r="C357" s="11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9"/>
      <c r="B358" s="9"/>
      <c r="C358" s="11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9"/>
      <c r="B359" s="9"/>
      <c r="C359" s="11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9"/>
      <c r="B360" s="9"/>
      <c r="C360" s="11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9"/>
      <c r="B361" s="9"/>
      <c r="C361" s="11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9"/>
      <c r="B362" s="9"/>
      <c r="C362" s="11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9"/>
      <c r="B363" s="9"/>
      <c r="C363" s="11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9"/>
      <c r="B364" s="9"/>
      <c r="C364" s="11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9"/>
      <c r="B365" s="9"/>
      <c r="C365" s="11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9"/>
      <c r="B366" s="9"/>
      <c r="C366" s="11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9"/>
      <c r="B367" s="9"/>
      <c r="C367" s="11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9"/>
      <c r="B368" s="9"/>
      <c r="C368" s="11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9"/>
      <c r="B369" s="9"/>
      <c r="C369" s="11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9"/>
      <c r="B370" s="9"/>
      <c r="C370" s="11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9"/>
      <c r="B371" s="9"/>
      <c r="C371" s="11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9"/>
      <c r="B372" s="9"/>
      <c r="C372" s="11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9"/>
      <c r="B373" s="9"/>
      <c r="C373" s="11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9"/>
      <c r="B374" s="9"/>
      <c r="C374" s="11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9"/>
      <c r="B375" s="9"/>
      <c r="C375" s="11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9"/>
      <c r="B376" s="9"/>
      <c r="C376" s="11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9"/>
      <c r="B377" s="9"/>
      <c r="C377" s="11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9"/>
      <c r="B378" s="9"/>
      <c r="C378" s="11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9"/>
      <c r="B379" s="9"/>
      <c r="C379" s="11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9"/>
      <c r="B380" s="9"/>
      <c r="C380" s="11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9"/>
      <c r="B381" s="9"/>
      <c r="C381" s="11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9"/>
      <c r="B382" s="9"/>
      <c r="C382" s="11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9"/>
      <c r="B383" s="9"/>
      <c r="C383" s="11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9"/>
      <c r="B384" s="9"/>
      <c r="C384" s="11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9"/>
      <c r="B385" s="9"/>
      <c r="C385" s="11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9"/>
      <c r="B386" s="9"/>
      <c r="C386" s="11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9"/>
      <c r="B387" s="9"/>
      <c r="C387" s="11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9"/>
      <c r="B388" s="9"/>
      <c r="C388" s="11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9"/>
      <c r="B389" s="9"/>
      <c r="C389" s="11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9"/>
      <c r="B390" s="9"/>
      <c r="C390" s="11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9"/>
      <c r="B391" s="9"/>
      <c r="C391" s="11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9"/>
      <c r="B392" s="9"/>
      <c r="C392" s="11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9"/>
      <c r="B393" s="9"/>
      <c r="C393" s="11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9"/>
      <c r="B394" s="9"/>
      <c r="C394" s="11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9"/>
      <c r="B395" s="9"/>
      <c r="C395" s="11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9"/>
      <c r="B396" s="9"/>
      <c r="C396" s="11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9"/>
      <c r="B397" s="9"/>
      <c r="C397" s="11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9"/>
      <c r="B398" s="9"/>
      <c r="C398" s="11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9"/>
      <c r="B399" s="9"/>
      <c r="C399" s="11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9"/>
      <c r="B400" s="9"/>
      <c r="C400" s="11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9"/>
      <c r="B401" s="9"/>
      <c r="C401" s="11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9"/>
      <c r="B402" s="9"/>
      <c r="C402" s="11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9"/>
      <c r="B403" s="9"/>
      <c r="C403" s="11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9"/>
      <c r="B404" s="9"/>
      <c r="C404" s="11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9"/>
      <c r="B405" s="9"/>
      <c r="C405" s="11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9"/>
      <c r="B406" s="9"/>
      <c r="C406" s="11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9"/>
      <c r="B407" s="9"/>
      <c r="C407" s="11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9"/>
      <c r="B408" s="9"/>
      <c r="C408" s="11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9"/>
      <c r="B409" s="9"/>
      <c r="C409" s="11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9"/>
      <c r="B410" s="9"/>
      <c r="C410" s="11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9"/>
      <c r="B411" s="9"/>
      <c r="C411" s="11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9"/>
      <c r="B412" s="9"/>
      <c r="C412" s="11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9"/>
      <c r="B413" s="9"/>
      <c r="C413" s="11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9"/>
      <c r="B414" s="9"/>
      <c r="C414" s="11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9"/>
      <c r="B415" s="9"/>
      <c r="C415" s="11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9"/>
      <c r="B416" s="9"/>
      <c r="C416" s="11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9"/>
      <c r="B417" s="9"/>
      <c r="C417" s="11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9"/>
      <c r="B418" s="9"/>
      <c r="C418" s="11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9"/>
      <c r="B419" s="9"/>
      <c r="C419" s="11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9"/>
      <c r="B420" s="9"/>
      <c r="C420" s="11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9"/>
      <c r="B421" s="9"/>
      <c r="C421" s="11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9"/>
      <c r="B422" s="9"/>
      <c r="C422" s="11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9"/>
      <c r="B423" s="9"/>
      <c r="C423" s="11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9"/>
      <c r="B424" s="9"/>
      <c r="C424" s="11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9"/>
      <c r="B425" s="9"/>
      <c r="C425" s="11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9"/>
      <c r="B426" s="9"/>
      <c r="C426" s="11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9"/>
      <c r="B427" s="9"/>
      <c r="C427" s="11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9"/>
      <c r="B428" s="9"/>
      <c r="C428" s="11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9"/>
      <c r="B429" s="9"/>
      <c r="C429" s="11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9"/>
      <c r="B430" s="9"/>
      <c r="C430" s="11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9"/>
      <c r="B431" s="9"/>
      <c r="C431" s="11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9"/>
      <c r="B432" s="9"/>
      <c r="C432" s="11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9"/>
      <c r="B433" s="9"/>
      <c r="C433" s="11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9"/>
      <c r="B434" s="9"/>
      <c r="C434" s="11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9"/>
      <c r="B435" s="9"/>
      <c r="C435" s="11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9"/>
      <c r="B436" s="9"/>
      <c r="C436" s="11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9"/>
      <c r="B437" s="9"/>
      <c r="C437" s="11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9"/>
      <c r="B438" s="9"/>
      <c r="C438" s="11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9"/>
      <c r="B439" s="9"/>
      <c r="C439" s="11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9"/>
      <c r="B440" s="9"/>
      <c r="C440" s="11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9"/>
      <c r="B441" s="9"/>
      <c r="C441" s="11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9"/>
      <c r="B442" s="9"/>
      <c r="C442" s="11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9"/>
      <c r="B443" s="9"/>
      <c r="C443" s="11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9"/>
      <c r="B444" s="9"/>
      <c r="C444" s="11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9"/>
      <c r="B445" s="9"/>
      <c r="C445" s="11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9"/>
      <c r="B446" s="9"/>
      <c r="C446" s="11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9"/>
      <c r="B447" s="9"/>
      <c r="C447" s="11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9"/>
      <c r="B448" s="9"/>
      <c r="C448" s="11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9"/>
      <c r="B449" s="9"/>
      <c r="C449" s="11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9"/>
      <c r="B450" s="9"/>
      <c r="C450" s="11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9"/>
      <c r="B451" s="9"/>
      <c r="C451" s="11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9"/>
      <c r="B452" s="9"/>
      <c r="C452" s="11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9"/>
      <c r="B453" s="9"/>
      <c r="C453" s="11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9"/>
      <c r="B454" s="9"/>
      <c r="C454" s="11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9"/>
      <c r="B455" s="9"/>
      <c r="C455" s="11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9"/>
      <c r="B456" s="9"/>
      <c r="C456" s="11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9"/>
      <c r="B457" s="9"/>
      <c r="C457" s="11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9"/>
      <c r="B458" s="9"/>
      <c r="C458" s="11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9"/>
      <c r="B459" s="9"/>
      <c r="C459" s="11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9"/>
      <c r="B460" s="9"/>
      <c r="C460" s="11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9"/>
      <c r="B461" s="9"/>
      <c r="C461" s="11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9"/>
      <c r="B462" s="9"/>
      <c r="C462" s="11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9"/>
      <c r="B463" s="9"/>
      <c r="C463" s="11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9"/>
      <c r="B464" s="9"/>
      <c r="C464" s="11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9"/>
      <c r="B465" s="9"/>
      <c r="C465" s="11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9"/>
      <c r="B466" s="9"/>
      <c r="C466" s="11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9"/>
      <c r="B467" s="9"/>
      <c r="C467" s="11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9"/>
      <c r="B468" s="9"/>
      <c r="C468" s="11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9"/>
      <c r="B469" s="9"/>
      <c r="C469" s="11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9"/>
      <c r="B470" s="9"/>
      <c r="C470" s="11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9"/>
      <c r="B471" s="9"/>
      <c r="C471" s="11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9"/>
      <c r="B472" s="9"/>
      <c r="C472" s="11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9"/>
      <c r="B473" s="9"/>
      <c r="C473" s="11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9"/>
      <c r="B474" s="9"/>
      <c r="C474" s="11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9"/>
      <c r="B475" s="9"/>
      <c r="C475" s="11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9"/>
      <c r="B476" s="9"/>
      <c r="C476" s="11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9"/>
      <c r="B477" s="9"/>
      <c r="C477" s="11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9"/>
      <c r="B478" s="9"/>
      <c r="C478" s="11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9"/>
      <c r="B479" s="9"/>
      <c r="C479" s="11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9"/>
      <c r="B480" s="9"/>
      <c r="C480" s="11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9"/>
      <c r="B481" s="9"/>
      <c r="C481" s="11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9"/>
      <c r="B482" s="9"/>
      <c r="C482" s="11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9"/>
      <c r="B483" s="9"/>
      <c r="C483" s="11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9"/>
      <c r="B484" s="9"/>
      <c r="C484" s="11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9"/>
      <c r="B485" s="9"/>
      <c r="C485" s="11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9"/>
      <c r="B486" s="9"/>
      <c r="C486" s="11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9"/>
      <c r="B487" s="9"/>
      <c r="C487" s="11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9"/>
      <c r="B488" s="9"/>
      <c r="C488" s="11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9"/>
      <c r="B489" s="9"/>
      <c r="C489" s="11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9"/>
      <c r="B490" s="9"/>
      <c r="C490" s="11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9"/>
      <c r="B491" s="9"/>
      <c r="C491" s="11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9"/>
      <c r="B492" s="9"/>
      <c r="C492" s="11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9"/>
      <c r="B493" s="9"/>
      <c r="C493" s="11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9"/>
      <c r="B494" s="9"/>
      <c r="C494" s="11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9"/>
      <c r="B495" s="9"/>
      <c r="C495" s="11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9"/>
      <c r="B496" s="9"/>
      <c r="C496" s="11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9"/>
      <c r="B497" s="9"/>
      <c r="C497" s="11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9"/>
      <c r="B498" s="9"/>
      <c r="C498" s="11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9"/>
      <c r="B499" s="9"/>
      <c r="C499" s="11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9"/>
      <c r="B500" s="9"/>
      <c r="C500" s="11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9"/>
      <c r="B501" s="9"/>
      <c r="C501" s="11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9"/>
      <c r="B502" s="9"/>
      <c r="C502" s="11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9"/>
      <c r="B503" s="9"/>
      <c r="C503" s="11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9"/>
      <c r="B504" s="9"/>
      <c r="C504" s="11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9"/>
      <c r="B505" s="9"/>
      <c r="C505" s="11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9"/>
      <c r="B506" s="9"/>
      <c r="C506" s="11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9"/>
      <c r="B507" s="9"/>
      <c r="C507" s="11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9"/>
      <c r="B508" s="9"/>
      <c r="C508" s="11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9"/>
      <c r="B509" s="9"/>
      <c r="C509" s="11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9"/>
      <c r="B510" s="9"/>
      <c r="C510" s="11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9"/>
      <c r="B511" s="9"/>
      <c r="C511" s="11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9"/>
      <c r="B512" s="9"/>
      <c r="C512" s="11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9"/>
      <c r="B513" s="9"/>
      <c r="C513" s="11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9"/>
      <c r="B514" s="9"/>
      <c r="C514" s="11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9"/>
      <c r="B515" s="9"/>
      <c r="C515" s="11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9"/>
      <c r="B516" s="9"/>
      <c r="C516" s="11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9"/>
      <c r="B517" s="9"/>
      <c r="C517" s="11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9"/>
      <c r="B518" s="9"/>
      <c r="C518" s="11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9"/>
      <c r="B519" s="9"/>
      <c r="C519" s="11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9"/>
      <c r="B520" s="9"/>
      <c r="C520" s="11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9"/>
      <c r="B521" s="9"/>
      <c r="C521" s="11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9"/>
      <c r="B522" s="9"/>
      <c r="C522" s="11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9"/>
      <c r="B523" s="9"/>
      <c r="C523" s="11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9"/>
      <c r="B524" s="9"/>
      <c r="C524" s="11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9"/>
      <c r="B525" s="9"/>
      <c r="C525" s="11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9"/>
      <c r="B526" s="9"/>
      <c r="C526" s="11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9"/>
      <c r="B527" s="9"/>
      <c r="C527" s="11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9"/>
      <c r="B528" s="9"/>
      <c r="C528" s="11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9"/>
      <c r="B529" s="9"/>
      <c r="C529" s="11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9"/>
      <c r="B530" s="9"/>
      <c r="C530" s="11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9"/>
      <c r="B531" s="9"/>
      <c r="C531" s="11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9"/>
      <c r="B532" s="9"/>
      <c r="C532" s="11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9"/>
      <c r="B533" s="9"/>
      <c r="C533" s="11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9"/>
      <c r="B534" s="9"/>
      <c r="C534" s="11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9"/>
      <c r="B535" s="9"/>
      <c r="C535" s="11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9"/>
      <c r="B536" s="9"/>
      <c r="C536" s="11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9"/>
      <c r="B537" s="9"/>
      <c r="C537" s="11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9"/>
      <c r="B538" s="9"/>
      <c r="C538" s="11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9"/>
      <c r="B539" s="9"/>
      <c r="C539" s="11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9"/>
      <c r="B540" s="9"/>
      <c r="C540" s="11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9"/>
      <c r="B541" s="9"/>
      <c r="C541" s="11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9"/>
      <c r="B542" s="9"/>
      <c r="C542" s="11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9"/>
      <c r="B543" s="9"/>
      <c r="C543" s="11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9"/>
      <c r="B544" s="9"/>
      <c r="C544" s="11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9"/>
      <c r="B545" s="9"/>
      <c r="C545" s="11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9"/>
      <c r="B546" s="9"/>
      <c r="C546" s="11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9"/>
      <c r="B547" s="9"/>
      <c r="C547" s="11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9"/>
      <c r="B548" s="9"/>
      <c r="C548" s="11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9"/>
      <c r="B549" s="9"/>
      <c r="C549" s="11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9"/>
      <c r="B550" s="9"/>
      <c r="C550" s="11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9"/>
      <c r="B551" s="9"/>
      <c r="C551" s="11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9"/>
      <c r="B552" s="9"/>
      <c r="C552" s="11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9"/>
      <c r="B553" s="9"/>
      <c r="C553" s="11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9"/>
      <c r="B554" s="9"/>
      <c r="C554" s="11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9"/>
      <c r="B555" s="9"/>
      <c r="C555" s="11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9"/>
      <c r="B556" s="9"/>
      <c r="C556" s="11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9"/>
      <c r="B557" s="9"/>
      <c r="C557" s="11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9"/>
      <c r="B558" s="9"/>
      <c r="C558" s="11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9"/>
      <c r="B559" s="9"/>
      <c r="C559" s="11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9"/>
      <c r="B560" s="9"/>
      <c r="C560" s="11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9"/>
      <c r="B561" s="9"/>
      <c r="C561" s="11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9"/>
      <c r="B562" s="9"/>
      <c r="C562" s="11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9"/>
      <c r="B563" s="9"/>
      <c r="C563" s="11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9"/>
      <c r="B564" s="9"/>
      <c r="C564" s="11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9"/>
      <c r="B565" s="9"/>
      <c r="C565" s="11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9"/>
      <c r="B566" s="9"/>
      <c r="C566" s="11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9"/>
      <c r="B567" s="9"/>
      <c r="C567" s="11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9"/>
      <c r="B568" s="9"/>
      <c r="C568" s="11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9"/>
      <c r="B569" s="9"/>
      <c r="C569" s="11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9"/>
      <c r="B570" s="9"/>
      <c r="C570" s="11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9"/>
      <c r="B571" s="9"/>
      <c r="C571" s="11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9"/>
      <c r="B572" s="9"/>
      <c r="C572" s="11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9"/>
      <c r="B573" s="9"/>
      <c r="C573" s="11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9"/>
      <c r="B574" s="9"/>
      <c r="C574" s="11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9"/>
      <c r="B575" s="9"/>
      <c r="C575" s="11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9"/>
      <c r="B576" s="9"/>
      <c r="C576" s="11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9"/>
      <c r="B577" s="9"/>
      <c r="C577" s="11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9"/>
      <c r="B578" s="9"/>
      <c r="C578" s="11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9"/>
      <c r="B579" s="9"/>
      <c r="C579" s="11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9"/>
      <c r="B580" s="9"/>
      <c r="C580" s="11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9"/>
      <c r="B581" s="9"/>
      <c r="C581" s="11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9"/>
      <c r="B582" s="9"/>
      <c r="C582" s="11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9"/>
      <c r="B583" s="9"/>
      <c r="C583" s="11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9"/>
      <c r="B584" s="9"/>
      <c r="C584" s="11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9"/>
      <c r="B585" s="9"/>
      <c r="C585" s="11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9"/>
      <c r="B586" s="9"/>
      <c r="C586" s="11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9"/>
      <c r="B587" s="9"/>
      <c r="C587" s="11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9"/>
      <c r="B588" s="9"/>
      <c r="C588" s="11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9"/>
      <c r="B589" s="9"/>
      <c r="C589" s="11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9"/>
      <c r="B590" s="9"/>
      <c r="C590" s="11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9"/>
      <c r="B591" s="9"/>
      <c r="C591" s="11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9"/>
      <c r="B592" s="9"/>
      <c r="C592" s="11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9"/>
      <c r="B593" s="9"/>
      <c r="C593" s="11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9"/>
      <c r="B594" s="9"/>
      <c r="C594" s="11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9"/>
      <c r="B595" s="9"/>
      <c r="C595" s="11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9"/>
      <c r="B596" s="9"/>
      <c r="C596" s="11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9"/>
      <c r="B597" s="9"/>
      <c r="C597" s="11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9"/>
      <c r="B598" s="9"/>
      <c r="C598" s="11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9"/>
      <c r="B599" s="9"/>
      <c r="C599" s="11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9"/>
      <c r="B600" s="9"/>
      <c r="C600" s="11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9"/>
      <c r="B601" s="9"/>
      <c r="C601" s="11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9"/>
      <c r="B602" s="9"/>
      <c r="C602" s="11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9"/>
      <c r="B603" s="9"/>
      <c r="C603" s="11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9"/>
      <c r="B604" s="9"/>
      <c r="C604" s="11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9"/>
      <c r="B605" s="9"/>
      <c r="C605" s="11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9"/>
      <c r="B606" s="9"/>
      <c r="C606" s="11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9"/>
      <c r="B607" s="9"/>
      <c r="C607" s="11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9"/>
      <c r="B608" s="9"/>
      <c r="C608" s="11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9"/>
      <c r="B609" s="9"/>
      <c r="C609" s="11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9"/>
      <c r="B610" s="9"/>
      <c r="C610" s="11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9"/>
      <c r="B611" s="9"/>
      <c r="C611" s="11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9"/>
      <c r="B612" s="9"/>
      <c r="C612" s="11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9"/>
      <c r="B613" s="9"/>
      <c r="C613" s="11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9"/>
      <c r="B614" s="9"/>
      <c r="C614" s="11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9"/>
      <c r="B615" s="9"/>
      <c r="C615" s="11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9"/>
      <c r="B616" s="9"/>
      <c r="C616" s="11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9"/>
      <c r="B617" s="9"/>
      <c r="C617" s="11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9"/>
      <c r="B618" s="9"/>
      <c r="C618" s="11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9"/>
      <c r="B619" s="9"/>
      <c r="C619" s="11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9"/>
      <c r="B620" s="9"/>
      <c r="C620" s="11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9"/>
      <c r="B621" s="9"/>
      <c r="C621" s="11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9"/>
      <c r="B622" s="9"/>
      <c r="C622" s="11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9"/>
      <c r="B623" s="9"/>
      <c r="C623" s="11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9"/>
      <c r="B624" s="9"/>
      <c r="C624" s="11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9"/>
      <c r="B625" s="9"/>
      <c r="C625" s="11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9"/>
      <c r="B626" s="9"/>
      <c r="C626" s="11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9"/>
      <c r="B627" s="9"/>
      <c r="C627" s="11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9"/>
      <c r="B628" s="9"/>
      <c r="C628" s="11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9"/>
      <c r="B629" s="9"/>
      <c r="C629" s="11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9"/>
      <c r="B630" s="9"/>
      <c r="C630" s="11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9"/>
      <c r="B631" s="9"/>
      <c r="C631" s="11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9"/>
      <c r="B632" s="9"/>
      <c r="C632" s="11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9"/>
      <c r="B633" s="9"/>
      <c r="C633" s="11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9"/>
      <c r="B634" s="9"/>
      <c r="C634" s="11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9"/>
      <c r="B635" s="9"/>
      <c r="C635" s="11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9"/>
      <c r="B636" s="9"/>
      <c r="C636" s="11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9"/>
      <c r="B637" s="9"/>
      <c r="C637" s="11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9"/>
      <c r="B638" s="9"/>
      <c r="C638" s="11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9"/>
      <c r="B639" s="9"/>
      <c r="C639" s="11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9"/>
      <c r="B640" s="9"/>
      <c r="C640" s="11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9"/>
      <c r="B641" s="9"/>
      <c r="C641" s="11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9"/>
      <c r="B642" s="9"/>
      <c r="C642" s="11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9"/>
      <c r="B643" s="9"/>
      <c r="C643" s="11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9"/>
      <c r="B644" s="9"/>
      <c r="C644" s="11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9"/>
      <c r="B645" s="9"/>
      <c r="C645" s="11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9"/>
      <c r="B646" s="9"/>
      <c r="C646" s="11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9"/>
      <c r="B647" s="9"/>
      <c r="C647" s="11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9"/>
      <c r="B648" s="9"/>
      <c r="C648" s="11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9"/>
      <c r="B649" s="9"/>
      <c r="C649" s="11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9"/>
      <c r="B650" s="9"/>
      <c r="C650" s="11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9"/>
      <c r="B651" s="9"/>
      <c r="C651" s="11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9"/>
      <c r="B652" s="9"/>
      <c r="C652" s="11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9"/>
      <c r="B653" s="9"/>
      <c r="C653" s="11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9"/>
      <c r="B654" s="9"/>
      <c r="C654" s="11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9"/>
      <c r="B655" s="9"/>
      <c r="C655" s="11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9"/>
      <c r="B656" s="9"/>
      <c r="C656" s="11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9"/>
      <c r="B657" s="9"/>
      <c r="C657" s="11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9"/>
      <c r="B658" s="9"/>
      <c r="C658" s="11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9"/>
      <c r="B659" s="9"/>
      <c r="C659" s="11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9"/>
      <c r="B660" s="9"/>
      <c r="C660" s="11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9"/>
      <c r="B661" s="9"/>
      <c r="C661" s="11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9"/>
      <c r="B662" s="9"/>
      <c r="C662" s="11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9"/>
      <c r="B663" s="9"/>
      <c r="C663" s="11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9"/>
      <c r="B664" s="9"/>
      <c r="C664" s="11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9"/>
      <c r="B665" s="9"/>
      <c r="C665" s="11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9"/>
      <c r="B666" s="9"/>
      <c r="C666" s="11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9"/>
      <c r="B667" s="9"/>
      <c r="C667" s="11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9"/>
      <c r="B668" s="9"/>
      <c r="C668" s="11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9"/>
      <c r="B669" s="9"/>
      <c r="C669" s="11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9"/>
      <c r="B670" s="9"/>
      <c r="C670" s="11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9"/>
      <c r="B671" s="9"/>
      <c r="C671" s="11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9"/>
      <c r="B672" s="9"/>
      <c r="C672" s="11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9"/>
      <c r="B673" s="9"/>
      <c r="C673" s="11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9"/>
      <c r="B674" s="9"/>
      <c r="C674" s="11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9"/>
      <c r="B675" s="9"/>
      <c r="C675" s="11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9"/>
      <c r="B676" s="9"/>
      <c r="C676" s="11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9"/>
      <c r="B677" s="9"/>
      <c r="C677" s="11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9"/>
      <c r="B678" s="9"/>
      <c r="C678" s="11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9"/>
      <c r="B679" s="9"/>
      <c r="C679" s="11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9"/>
      <c r="B680" s="9"/>
      <c r="C680" s="11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9"/>
      <c r="B681" s="9"/>
      <c r="C681" s="11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9"/>
      <c r="B682" s="9"/>
      <c r="C682" s="11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9"/>
      <c r="B683" s="9"/>
      <c r="C683" s="11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9"/>
      <c r="B684" s="9"/>
      <c r="C684" s="11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9"/>
      <c r="B685" s="9"/>
      <c r="C685" s="11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9"/>
      <c r="B686" s="9"/>
      <c r="C686" s="11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9"/>
      <c r="B687" s="9"/>
      <c r="C687" s="11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9"/>
      <c r="B688" s="9"/>
      <c r="C688" s="11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9"/>
      <c r="B689" s="9"/>
      <c r="C689" s="11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9"/>
      <c r="B690" s="9"/>
      <c r="C690" s="11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9"/>
      <c r="B691" s="9"/>
      <c r="C691" s="11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9"/>
      <c r="B692" s="9"/>
      <c r="C692" s="11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9"/>
      <c r="B693" s="9"/>
      <c r="C693" s="11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9"/>
      <c r="B694" s="9"/>
      <c r="C694" s="11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9"/>
      <c r="B695" s="9"/>
      <c r="C695" s="11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9"/>
      <c r="B696" s="9"/>
      <c r="C696" s="11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9"/>
      <c r="B697" s="9"/>
      <c r="C697" s="11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9"/>
      <c r="B698" s="9"/>
      <c r="C698" s="11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9"/>
      <c r="B699" s="9"/>
      <c r="C699" s="11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9"/>
      <c r="B700" s="9"/>
      <c r="C700" s="11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9"/>
      <c r="B701" s="9"/>
      <c r="C701" s="11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9"/>
      <c r="B702" s="9"/>
      <c r="C702" s="11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9"/>
      <c r="B703" s="9"/>
      <c r="C703" s="11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9"/>
      <c r="B704" s="9"/>
      <c r="C704" s="11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9"/>
      <c r="B705" s="9"/>
      <c r="C705" s="11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9"/>
      <c r="B706" s="9"/>
      <c r="C706" s="11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9"/>
      <c r="B707" s="9"/>
      <c r="C707" s="11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9"/>
      <c r="B708" s="9"/>
      <c r="C708" s="11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9"/>
      <c r="B709" s="9"/>
      <c r="C709" s="11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9"/>
      <c r="B710" s="9"/>
      <c r="C710" s="11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9"/>
      <c r="B711" s="9"/>
      <c r="C711" s="11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9"/>
      <c r="B712" s="9"/>
      <c r="C712" s="11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9"/>
      <c r="B713" s="9"/>
      <c r="C713" s="11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9"/>
      <c r="B714" s="9"/>
      <c r="C714" s="11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9"/>
      <c r="B715" s="9"/>
      <c r="C715" s="11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9"/>
      <c r="B716" s="9"/>
      <c r="C716" s="11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9"/>
      <c r="B717" s="9"/>
      <c r="C717" s="11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9"/>
      <c r="B718" s="9"/>
      <c r="C718" s="11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9"/>
      <c r="B719" s="9"/>
      <c r="C719" s="11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9"/>
      <c r="B720" s="9"/>
      <c r="C720" s="11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9"/>
      <c r="B721" s="9"/>
      <c r="C721" s="11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9"/>
      <c r="B722" s="9"/>
      <c r="C722" s="11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9"/>
      <c r="B723" s="9"/>
      <c r="C723" s="11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9"/>
      <c r="B724" s="9"/>
      <c r="C724" s="11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9"/>
      <c r="B725" s="9"/>
      <c r="C725" s="11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9"/>
      <c r="B726" s="9"/>
      <c r="C726" s="11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9"/>
      <c r="B727" s="9"/>
      <c r="C727" s="11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9"/>
      <c r="B728" s="9"/>
      <c r="C728" s="11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9"/>
      <c r="B729" s="9"/>
      <c r="C729" s="11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9"/>
      <c r="B730" s="9"/>
      <c r="C730" s="11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9"/>
      <c r="B731" s="9"/>
      <c r="C731" s="11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9"/>
      <c r="B732" s="9"/>
      <c r="C732" s="11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9"/>
      <c r="B733" s="9"/>
      <c r="C733" s="11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9"/>
      <c r="B734" s="9"/>
      <c r="C734" s="11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9"/>
      <c r="B735" s="9"/>
      <c r="C735" s="11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9"/>
      <c r="B736" s="9"/>
      <c r="C736" s="11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9"/>
      <c r="B737" s="9"/>
      <c r="C737" s="11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9"/>
      <c r="B738" s="9"/>
      <c r="C738" s="11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9"/>
      <c r="B739" s="9"/>
      <c r="C739" s="11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9"/>
      <c r="B740" s="9"/>
      <c r="C740" s="11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9"/>
      <c r="B741" s="9"/>
      <c r="C741" s="11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9"/>
      <c r="B742" s="9"/>
      <c r="C742" s="11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9"/>
      <c r="B743" s="9"/>
      <c r="C743" s="11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9"/>
      <c r="B744" s="9"/>
      <c r="C744" s="11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9"/>
      <c r="B745" s="9"/>
      <c r="C745" s="11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9"/>
      <c r="B746" s="9"/>
      <c r="C746" s="11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9"/>
      <c r="B747" s="9"/>
      <c r="C747" s="11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9"/>
      <c r="B748" s="9"/>
      <c r="C748" s="11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9"/>
      <c r="B749" s="9"/>
      <c r="C749" s="11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9"/>
      <c r="B750" s="9"/>
      <c r="C750" s="11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9"/>
      <c r="B751" s="9"/>
      <c r="C751" s="11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9"/>
      <c r="B752" s="9"/>
      <c r="C752" s="11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9"/>
      <c r="B753" s="9"/>
      <c r="C753" s="11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9"/>
      <c r="B754" s="9"/>
      <c r="C754" s="11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9"/>
      <c r="B755" s="9"/>
      <c r="C755" s="11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9"/>
      <c r="B756" s="9"/>
      <c r="C756" s="11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9"/>
      <c r="B757" s="9"/>
      <c r="C757" s="11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9"/>
      <c r="B758" s="9"/>
      <c r="C758" s="11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9"/>
      <c r="B759" s="9"/>
      <c r="C759" s="11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9"/>
      <c r="B760" s="9"/>
      <c r="C760" s="11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9"/>
      <c r="B761" s="9"/>
      <c r="C761" s="11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9"/>
      <c r="B762" s="9"/>
      <c r="C762" s="11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9"/>
      <c r="B763" s="9"/>
      <c r="C763" s="11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9"/>
      <c r="B764" s="9"/>
      <c r="C764" s="11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9"/>
      <c r="B765" s="9"/>
      <c r="C765" s="11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9"/>
      <c r="B766" s="9"/>
      <c r="C766" s="11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9"/>
      <c r="B767" s="9"/>
      <c r="C767" s="11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9"/>
      <c r="B768" s="9"/>
      <c r="C768" s="11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9"/>
      <c r="B769" s="9"/>
      <c r="C769" s="11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9"/>
      <c r="B770" s="9"/>
      <c r="C770" s="11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9"/>
      <c r="B771" s="9"/>
      <c r="C771" s="11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9"/>
      <c r="B772" s="9"/>
      <c r="C772" s="11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9"/>
      <c r="B773" s="9"/>
      <c r="C773" s="11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9"/>
      <c r="B774" s="9"/>
      <c r="C774" s="11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9"/>
      <c r="B775" s="9"/>
      <c r="C775" s="11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9"/>
      <c r="B776" s="9"/>
      <c r="C776" s="11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9"/>
      <c r="B777" s="9"/>
      <c r="C777" s="11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9"/>
      <c r="B778" s="9"/>
      <c r="C778" s="11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9"/>
      <c r="B779" s="9"/>
      <c r="C779" s="11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9"/>
      <c r="B780" s="9"/>
      <c r="C780" s="11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9"/>
      <c r="B781" s="9"/>
      <c r="C781" s="11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9"/>
      <c r="B782" s="9"/>
      <c r="C782" s="11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9"/>
      <c r="B783" s="9"/>
      <c r="C783" s="11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9"/>
      <c r="B784" s="9"/>
      <c r="C784" s="11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9"/>
      <c r="B785" s="9"/>
      <c r="C785" s="11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9"/>
      <c r="B786" s="9"/>
      <c r="C786" s="11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9"/>
      <c r="B787" s="9"/>
      <c r="C787" s="11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9"/>
      <c r="B788" s="9"/>
      <c r="C788" s="11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9"/>
      <c r="B789" s="9"/>
      <c r="C789" s="11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9"/>
      <c r="B790" s="9"/>
      <c r="C790" s="11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9"/>
      <c r="B791" s="9"/>
      <c r="C791" s="11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9"/>
      <c r="B792" s="9"/>
      <c r="C792" s="11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9"/>
      <c r="B793" s="9"/>
      <c r="C793" s="11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9"/>
      <c r="B794" s="9"/>
      <c r="C794" s="11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9"/>
      <c r="B795" s="9"/>
      <c r="C795" s="11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9"/>
      <c r="B796" s="9"/>
      <c r="C796" s="11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9"/>
      <c r="B797" s="9"/>
      <c r="C797" s="11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9"/>
      <c r="B798" s="9"/>
      <c r="C798" s="11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9"/>
      <c r="B799" s="9"/>
      <c r="C799" s="11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9"/>
      <c r="B800" s="9"/>
      <c r="C800" s="11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9"/>
      <c r="B801" s="9"/>
      <c r="C801" s="11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9"/>
      <c r="B802" s="9"/>
      <c r="C802" s="11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9"/>
      <c r="B803" s="9"/>
      <c r="C803" s="11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9"/>
      <c r="B804" s="9"/>
      <c r="C804" s="11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9"/>
      <c r="B805" s="9"/>
      <c r="C805" s="11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9"/>
      <c r="B806" s="9"/>
      <c r="C806" s="11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9"/>
      <c r="B807" s="9"/>
      <c r="C807" s="11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9"/>
      <c r="B808" s="9"/>
      <c r="C808" s="11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9"/>
      <c r="B809" s="9"/>
      <c r="C809" s="11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9"/>
      <c r="B810" s="9"/>
      <c r="C810" s="11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9"/>
      <c r="B811" s="9"/>
      <c r="C811" s="11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9"/>
      <c r="B812" s="9"/>
      <c r="C812" s="11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9"/>
      <c r="B813" s="9"/>
      <c r="C813" s="11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9"/>
      <c r="B814" s="9"/>
      <c r="C814" s="11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9"/>
      <c r="B815" s="9"/>
      <c r="C815" s="11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9"/>
      <c r="B816" s="9"/>
      <c r="C816" s="11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9"/>
      <c r="B817" s="9"/>
      <c r="C817" s="11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9"/>
      <c r="B818" s="9"/>
      <c r="C818" s="11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9"/>
      <c r="B819" s="9"/>
      <c r="C819" s="11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9"/>
      <c r="B820" s="9"/>
      <c r="C820" s="11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9"/>
      <c r="B821" s="9"/>
      <c r="C821" s="11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9"/>
      <c r="B822" s="9"/>
      <c r="C822" s="11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9"/>
      <c r="B823" s="9"/>
      <c r="C823" s="11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9"/>
      <c r="B824" s="9"/>
      <c r="C824" s="11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9"/>
      <c r="B825" s="9"/>
      <c r="C825" s="11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9"/>
      <c r="B826" s="9"/>
      <c r="C826" s="11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9"/>
      <c r="B827" s="9"/>
      <c r="C827" s="11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9"/>
      <c r="B828" s="9"/>
      <c r="C828" s="11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9"/>
      <c r="B829" s="9"/>
      <c r="C829" s="11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9"/>
      <c r="B830" s="9"/>
      <c r="C830" s="11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9"/>
      <c r="B831" s="9"/>
      <c r="C831" s="11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9"/>
      <c r="B832" s="9"/>
      <c r="C832" s="11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9"/>
      <c r="B833" s="9"/>
      <c r="C833" s="11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9"/>
      <c r="B834" s="9"/>
      <c r="C834" s="11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9"/>
      <c r="B835" s="9"/>
      <c r="C835" s="11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9"/>
      <c r="B836" s="9"/>
      <c r="C836" s="11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9"/>
      <c r="B837" s="9"/>
      <c r="C837" s="11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9"/>
      <c r="B838" s="9"/>
      <c r="C838" s="11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9"/>
      <c r="B839" s="9"/>
      <c r="C839" s="11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9"/>
      <c r="B840" s="9"/>
      <c r="C840" s="11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9"/>
      <c r="B841" s="9"/>
      <c r="C841" s="11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9"/>
      <c r="B842" s="9"/>
      <c r="C842" s="11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9"/>
      <c r="B843" s="9"/>
      <c r="C843" s="11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9"/>
      <c r="B844" s="9"/>
      <c r="C844" s="11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9"/>
      <c r="B845" s="9"/>
      <c r="C845" s="11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9"/>
      <c r="B846" s="9"/>
      <c r="C846" s="11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9"/>
      <c r="B847" s="9"/>
      <c r="C847" s="11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9"/>
      <c r="B848" s="9"/>
      <c r="C848" s="11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9"/>
      <c r="B849" s="9"/>
      <c r="C849" s="11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9"/>
      <c r="B850" s="9"/>
      <c r="C850" s="11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9"/>
      <c r="B851" s="9"/>
      <c r="C851" s="11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9"/>
      <c r="B852" s="9"/>
      <c r="C852" s="11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9"/>
      <c r="B853" s="9"/>
      <c r="C853" s="11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9"/>
      <c r="B854" s="9"/>
      <c r="C854" s="11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9"/>
      <c r="B855" s="9"/>
      <c r="C855" s="11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9"/>
      <c r="B856" s="9"/>
      <c r="C856" s="11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9"/>
      <c r="B857" s="9"/>
      <c r="C857" s="11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9"/>
      <c r="B858" s="9"/>
      <c r="C858" s="11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9"/>
      <c r="B859" s="9"/>
      <c r="C859" s="11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9"/>
      <c r="B860" s="9"/>
      <c r="C860" s="11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9"/>
      <c r="B861" s="9"/>
      <c r="C861" s="11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9"/>
      <c r="B862" s="9"/>
      <c r="C862" s="11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9"/>
      <c r="B863" s="9"/>
      <c r="C863" s="11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9"/>
      <c r="B864" s="9"/>
      <c r="C864" s="11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9"/>
      <c r="B865" s="9"/>
      <c r="C865" s="11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9"/>
      <c r="B866" s="9"/>
      <c r="C866" s="11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9"/>
      <c r="B867" s="9"/>
      <c r="C867" s="11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9"/>
      <c r="B868" s="9"/>
      <c r="C868" s="11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9"/>
      <c r="B869" s="9"/>
      <c r="C869" s="11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9"/>
      <c r="B870" s="9"/>
      <c r="C870" s="11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9"/>
      <c r="B871" s="9"/>
      <c r="C871" s="11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9"/>
      <c r="B872" s="9"/>
      <c r="C872" s="11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9"/>
      <c r="B873" s="9"/>
      <c r="C873" s="11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9"/>
      <c r="B874" s="9"/>
      <c r="C874" s="11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9"/>
      <c r="B875" s="9"/>
      <c r="C875" s="11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9"/>
      <c r="B876" s="9"/>
      <c r="C876" s="11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9"/>
      <c r="B877" s="9"/>
      <c r="C877" s="11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9"/>
      <c r="B878" s="9"/>
      <c r="C878" s="11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9"/>
      <c r="B879" s="9"/>
      <c r="C879" s="11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9"/>
      <c r="B880" s="9"/>
      <c r="C880" s="11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9"/>
      <c r="B881" s="9"/>
      <c r="C881" s="11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9"/>
      <c r="B882" s="9"/>
      <c r="C882" s="11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9"/>
      <c r="B883" s="9"/>
      <c r="C883" s="11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9"/>
      <c r="B884" s="9"/>
      <c r="C884" s="11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9"/>
      <c r="B885" s="9"/>
      <c r="C885" s="11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9"/>
      <c r="B886" s="9"/>
      <c r="C886" s="11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9"/>
      <c r="B887" s="9"/>
      <c r="C887" s="11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9"/>
      <c r="B888" s="9"/>
      <c r="C888" s="11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9"/>
      <c r="B889" s="9"/>
      <c r="C889" s="11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9"/>
      <c r="B890" s="9"/>
      <c r="C890" s="11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9"/>
      <c r="B891" s="9"/>
      <c r="C891" s="11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9"/>
      <c r="B892" s="9"/>
      <c r="C892" s="11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9"/>
      <c r="B893" s="9"/>
      <c r="C893" s="11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9"/>
      <c r="B894" s="9"/>
      <c r="C894" s="11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9"/>
      <c r="B895" s="9"/>
      <c r="C895" s="11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9"/>
      <c r="B896" s="9"/>
      <c r="C896" s="11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9"/>
      <c r="B897" s="9"/>
      <c r="C897" s="11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9"/>
      <c r="B898" s="9"/>
      <c r="C898" s="11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9"/>
      <c r="B899" s="9"/>
      <c r="C899" s="11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9"/>
      <c r="B900" s="9"/>
      <c r="C900" s="11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9"/>
      <c r="B901" s="9"/>
      <c r="C901" s="11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9"/>
      <c r="B902" s="9"/>
      <c r="C902" s="11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9"/>
      <c r="B903" s="9"/>
      <c r="C903" s="11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9"/>
      <c r="B904" s="9"/>
      <c r="C904" s="11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9"/>
      <c r="B905" s="9"/>
      <c r="C905" s="11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9"/>
      <c r="B906" s="9"/>
      <c r="C906" s="11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9"/>
      <c r="B907" s="9"/>
      <c r="C907" s="11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9"/>
      <c r="B908" s="9"/>
      <c r="C908" s="11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9"/>
      <c r="B909" s="9"/>
      <c r="C909" s="11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9"/>
      <c r="B910" s="9"/>
      <c r="C910" s="11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9"/>
      <c r="B911" s="9"/>
      <c r="C911" s="11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9"/>
      <c r="B912" s="9"/>
      <c r="C912" s="11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9"/>
      <c r="B913" s="9"/>
      <c r="C913" s="11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9"/>
      <c r="B914" s="9"/>
      <c r="C914" s="11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9"/>
      <c r="B915" s="9"/>
      <c r="C915" s="11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9"/>
      <c r="B916" s="9"/>
      <c r="C916" s="11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9"/>
      <c r="B917" s="9"/>
      <c r="C917" s="11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9"/>
      <c r="B918" s="9"/>
      <c r="C918" s="11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9"/>
      <c r="B919" s="9"/>
      <c r="C919" s="11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9"/>
      <c r="B920" s="9"/>
      <c r="C920" s="11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9"/>
      <c r="B921" s="9"/>
      <c r="C921" s="11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9"/>
      <c r="B922" s="9"/>
      <c r="C922" s="11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9"/>
      <c r="B923" s="9"/>
      <c r="C923" s="11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9"/>
      <c r="B924" s="9"/>
      <c r="C924" s="11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9"/>
      <c r="B925" s="9"/>
      <c r="C925" s="11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9"/>
      <c r="B926" s="9"/>
      <c r="C926" s="11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9"/>
      <c r="B927" s="9"/>
      <c r="C927" s="11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9"/>
      <c r="B928" s="9"/>
      <c r="C928" s="11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9"/>
      <c r="B929" s="9"/>
      <c r="C929" s="11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9"/>
      <c r="B930" s="9"/>
      <c r="C930" s="11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9"/>
      <c r="B931" s="9"/>
      <c r="C931" s="11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9"/>
      <c r="B932" s="9"/>
      <c r="C932" s="11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9"/>
      <c r="B933" s="9"/>
      <c r="C933" s="11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9"/>
      <c r="B934" s="9"/>
      <c r="C934" s="11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9"/>
      <c r="B935" s="9"/>
      <c r="C935" s="11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9"/>
      <c r="B936" s="9"/>
      <c r="C936" s="11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9"/>
      <c r="B937" s="9"/>
      <c r="C937" s="11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9"/>
      <c r="B938" s="9"/>
      <c r="C938" s="11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9"/>
      <c r="B939" s="9"/>
      <c r="C939" s="11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9"/>
      <c r="B940" s="9"/>
      <c r="C940" s="11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9"/>
      <c r="B941" s="9"/>
      <c r="C941" s="11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9"/>
      <c r="B942" s="9"/>
      <c r="C942" s="11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9"/>
      <c r="B943" s="9"/>
      <c r="C943" s="11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9"/>
      <c r="B944" s="9"/>
      <c r="C944" s="11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9"/>
      <c r="B945" s="9"/>
      <c r="C945" s="11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9"/>
      <c r="B946" s="9"/>
      <c r="C946" s="11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9"/>
      <c r="B947" s="9"/>
      <c r="C947" s="11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9"/>
      <c r="B948" s="9"/>
      <c r="C948" s="11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9"/>
      <c r="B949" s="9"/>
      <c r="C949" s="11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9"/>
      <c r="B950" s="9"/>
      <c r="C950" s="11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9"/>
      <c r="B951" s="9"/>
      <c r="C951" s="11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9"/>
      <c r="B952" s="9"/>
      <c r="C952" s="11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9"/>
      <c r="B953" s="9"/>
      <c r="C953" s="11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9"/>
      <c r="B954" s="9"/>
      <c r="C954" s="11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9"/>
      <c r="B955" s="9"/>
      <c r="C955" s="11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9"/>
      <c r="B956" s="9"/>
      <c r="C956" s="11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9"/>
      <c r="B957" s="9"/>
      <c r="C957" s="11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9"/>
      <c r="B958" s="9"/>
      <c r="C958" s="11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9"/>
      <c r="B959" s="9"/>
      <c r="C959" s="11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9"/>
      <c r="B960" s="9"/>
      <c r="C960" s="11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9"/>
      <c r="B961" s="9"/>
      <c r="C961" s="11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9"/>
      <c r="B962" s="9"/>
      <c r="C962" s="11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9"/>
      <c r="B963" s="9"/>
      <c r="C963" s="11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9"/>
      <c r="B964" s="9"/>
      <c r="C964" s="11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9"/>
      <c r="B965" s="9"/>
      <c r="C965" s="11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9"/>
      <c r="B966" s="9"/>
      <c r="C966" s="11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9"/>
      <c r="B967" s="9"/>
      <c r="C967" s="11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9"/>
      <c r="B968" s="9"/>
      <c r="C968" s="11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9"/>
      <c r="B969" s="9"/>
      <c r="C969" s="11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9"/>
      <c r="B970" s="9"/>
      <c r="C970" s="11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9"/>
      <c r="B971" s="9"/>
      <c r="C971" s="11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9"/>
      <c r="B972" s="9"/>
      <c r="C972" s="11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9"/>
      <c r="B973" s="9"/>
      <c r="C973" s="11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9"/>
      <c r="B974" s="9"/>
      <c r="C974" s="11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9"/>
      <c r="B975" s="9"/>
      <c r="C975" s="11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9"/>
      <c r="B976" s="9"/>
      <c r="C976" s="11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9"/>
      <c r="B977" s="9"/>
      <c r="C977" s="11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9"/>
      <c r="B978" s="9"/>
      <c r="C978" s="11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9"/>
      <c r="B979" s="9"/>
      <c r="C979" s="11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9"/>
      <c r="B980" s="9"/>
      <c r="C980" s="11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9"/>
      <c r="B981" s="9"/>
      <c r="C981" s="11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9"/>
      <c r="B982" s="9"/>
      <c r="C982" s="11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9"/>
      <c r="B983" s="9"/>
      <c r="C983" s="11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9"/>
      <c r="B984" s="9"/>
      <c r="C984" s="11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9"/>
      <c r="B985" s="9"/>
      <c r="C985" s="11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9"/>
      <c r="B986" s="9"/>
      <c r="C986" s="11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9"/>
      <c r="B987" s="9"/>
      <c r="C987" s="11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9"/>
      <c r="B988" s="9"/>
      <c r="C988" s="11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9"/>
      <c r="B989" s="9"/>
      <c r="C989" s="11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9"/>
      <c r="B990" s="9"/>
      <c r="C990" s="11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9"/>
      <c r="B991" s="9"/>
      <c r="C991" s="11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9"/>
      <c r="B992" s="9"/>
      <c r="C992" s="11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9"/>
      <c r="B993" s="9"/>
      <c r="C993" s="11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9"/>
      <c r="B994" s="9"/>
      <c r="C994" s="11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9"/>
      <c r="B995" s="9"/>
      <c r="C995" s="11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9"/>
      <c r="B996" s="9"/>
      <c r="C996" s="11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9"/>
      <c r="B997" s="9"/>
      <c r="C997" s="11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9"/>
      <c r="B998" s="9"/>
      <c r="C998" s="11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9"/>
      <c r="B999" s="9"/>
      <c r="C999" s="11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9"/>
      <c r="B1000" s="9"/>
      <c r="C1000" s="11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9"/>
      <c r="B1001" s="9"/>
      <c r="C1001" s="11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9"/>
      <c r="B1002" s="9"/>
      <c r="C1002" s="11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9"/>
      <c r="B1003" s="9"/>
      <c r="C1003" s="11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9"/>
      <c r="B1004" s="9"/>
      <c r="C1004" s="11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9"/>
      <c r="B1005" s="9"/>
      <c r="C1005" s="11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9"/>
      <c r="B1006" s="9"/>
      <c r="C1006" s="11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9"/>
      <c r="B1007" s="9"/>
      <c r="C1007" s="11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9"/>
      <c r="B1008" s="9"/>
      <c r="C1008" s="11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9"/>
      <c r="B1009" s="9"/>
      <c r="C1009" s="11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9"/>
      <c r="B1010" s="9"/>
      <c r="C1010" s="11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autoFilter ref="$B$6:$O$97"/>
  <mergeCells count="3">
    <mergeCell ref="A1:O1"/>
    <mergeCell ref="A2:O2"/>
    <mergeCell ref="A3:O3"/>
  </mergeCells>
  <printOptions/>
  <pageMargins bottom="0.75" footer="0.0" header="0.0" left="0.7" right="0.2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4.71"/>
    <col customWidth="1" min="3" max="3" width="7.71"/>
    <col customWidth="1" min="4" max="4" width="28.0"/>
    <col customWidth="1" min="5" max="5" width="15.0"/>
    <col customWidth="1" min="6" max="6" width="17.14"/>
    <col customWidth="1" min="7" max="7" width="21.57"/>
    <col customWidth="1" min="8" max="26" width="8.71"/>
  </cols>
  <sheetData>
    <row r="1" ht="21.0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458</v>
      </c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9"/>
      <c r="C4" s="9"/>
      <c r="D4" s="9"/>
      <c r="E4" s="11"/>
      <c r="F4" s="11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263" t="s">
        <v>459</v>
      </c>
      <c r="C5" s="264"/>
      <c r="D5" s="265"/>
      <c r="E5" s="11"/>
      <c r="F5" s="11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9"/>
      <c r="B6" s="266" t="s">
        <v>8</v>
      </c>
      <c r="C6" s="267" t="s">
        <v>15</v>
      </c>
      <c r="D6" s="267" t="s">
        <v>17</v>
      </c>
      <c r="E6" s="267" t="s">
        <v>18</v>
      </c>
      <c r="F6" s="68" t="s">
        <v>460</v>
      </c>
      <c r="G6" s="68" t="s">
        <v>14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75" customHeight="1">
      <c r="A7" s="9"/>
      <c r="B7" s="268">
        <v>1.0</v>
      </c>
      <c r="C7" s="269"/>
      <c r="D7" s="113" t="s">
        <v>112</v>
      </c>
      <c r="E7" s="115" t="s">
        <v>54</v>
      </c>
      <c r="F7" s="270"/>
      <c r="G7" s="13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75" customHeight="1">
      <c r="A8" s="9"/>
      <c r="B8" s="268">
        <v>2.0</v>
      </c>
      <c r="C8" s="41"/>
      <c r="D8" s="113" t="s">
        <v>50</v>
      </c>
      <c r="E8" s="115" t="s">
        <v>54</v>
      </c>
      <c r="F8" s="270"/>
      <c r="G8" s="13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75" customHeight="1">
      <c r="A9" s="9"/>
      <c r="B9" s="268">
        <v>3.0</v>
      </c>
      <c r="C9" s="41"/>
      <c r="D9" s="113" t="s">
        <v>128</v>
      </c>
      <c r="E9" s="115" t="s">
        <v>104</v>
      </c>
      <c r="F9" s="270"/>
      <c r="G9" s="13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75" customHeight="1">
      <c r="A10" s="9"/>
      <c r="B10" s="268">
        <v>4.0</v>
      </c>
      <c r="C10" s="41"/>
      <c r="D10" s="113" t="s">
        <v>191</v>
      </c>
      <c r="E10" s="115" t="s">
        <v>104</v>
      </c>
      <c r="F10" s="270"/>
      <c r="G10" s="13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75" customHeight="1">
      <c r="A11" s="9"/>
      <c r="B11" s="268">
        <v>5.0</v>
      </c>
      <c r="C11" s="41"/>
      <c r="D11" s="113" t="s">
        <v>64</v>
      </c>
      <c r="E11" s="115" t="s">
        <v>71</v>
      </c>
      <c r="F11" s="270"/>
      <c r="G11" s="13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75" customHeight="1">
      <c r="A12" s="1"/>
      <c r="B12" s="268">
        <v>6.0</v>
      </c>
      <c r="C12" s="41"/>
      <c r="D12" s="113" t="s">
        <v>67</v>
      </c>
      <c r="E12" s="115" t="s">
        <v>71</v>
      </c>
      <c r="F12" s="270"/>
      <c r="G12" s="1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68">
        <v>7.0</v>
      </c>
      <c r="C13" s="271"/>
      <c r="D13" s="113" t="s">
        <v>217</v>
      </c>
      <c r="E13" s="115" t="s">
        <v>71</v>
      </c>
      <c r="F13" s="270"/>
      <c r="G13" s="13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268">
        <v>8.0</v>
      </c>
      <c r="C14" s="272"/>
      <c r="D14" s="113" t="s">
        <v>46</v>
      </c>
      <c r="E14" s="115" t="s">
        <v>54</v>
      </c>
      <c r="F14" s="270"/>
      <c r="G14" s="13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268">
        <v>9.0</v>
      </c>
      <c r="C15" s="272"/>
      <c r="D15" s="113" t="s">
        <v>194</v>
      </c>
      <c r="E15" s="115" t="s">
        <v>104</v>
      </c>
      <c r="F15" s="270"/>
      <c r="G15" s="13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268">
        <v>10.0</v>
      </c>
      <c r="C16" s="272"/>
      <c r="D16" s="113" t="s">
        <v>206</v>
      </c>
      <c r="E16" s="115" t="s">
        <v>104</v>
      </c>
      <c r="F16" s="270"/>
      <c r="G16" s="13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268">
        <v>11.0</v>
      </c>
      <c r="C17" s="272"/>
      <c r="D17" s="113" t="s">
        <v>211</v>
      </c>
      <c r="E17" s="115" t="s">
        <v>71</v>
      </c>
      <c r="F17" s="270"/>
      <c r="G17" s="13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268">
        <v>12.0</v>
      </c>
      <c r="C18" s="273"/>
      <c r="D18" s="113" t="s">
        <v>346</v>
      </c>
      <c r="E18" s="115" t="s">
        <v>58</v>
      </c>
      <c r="F18" s="270"/>
      <c r="G18" s="13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268">
        <v>13.0</v>
      </c>
      <c r="C19" s="41"/>
      <c r="D19" s="113" t="s">
        <v>349</v>
      </c>
      <c r="E19" s="115" t="s">
        <v>104</v>
      </c>
      <c r="F19" s="270"/>
      <c r="G19" s="1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268">
        <v>14.0</v>
      </c>
      <c r="C20" s="41"/>
      <c r="D20" s="113" t="s">
        <v>352</v>
      </c>
      <c r="E20" s="115" t="s">
        <v>71</v>
      </c>
      <c r="F20" s="270"/>
      <c r="G20" s="13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268">
        <v>15.0</v>
      </c>
      <c r="C21" s="271"/>
      <c r="D21" s="113" t="s">
        <v>355</v>
      </c>
      <c r="E21" s="115" t="s">
        <v>71</v>
      </c>
      <c r="F21" s="270"/>
      <c r="G21" s="13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274" t="s">
        <v>106</v>
      </c>
      <c r="C22" s="275"/>
      <c r="D22" s="275"/>
      <c r="E22" s="146"/>
      <c r="F22" s="276">
        <f>SUM(F7:F21)</f>
        <v>0</v>
      </c>
      <c r="G22" s="27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66.0" customHeight="1">
      <c r="A23" s="1"/>
      <c r="B23" s="9"/>
      <c r="C23" s="9"/>
      <c r="D23" s="9"/>
      <c r="E23" s="11"/>
      <c r="F23" s="11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"/>
      <c r="C24" s="9"/>
      <c r="D24" s="9"/>
      <c r="E24" s="11"/>
      <c r="F24" s="11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/>
      <c r="C25" s="126"/>
      <c r="D25" s="4"/>
      <c r="E25" s="11"/>
      <c r="F25" s="11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9"/>
      <c r="C26" s="9"/>
      <c r="D26" s="9"/>
      <c r="E26" s="11"/>
      <c r="F26" s="11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9"/>
      <c r="C27" s="9"/>
      <c r="D27" s="9"/>
      <c r="E27" s="11"/>
      <c r="F27" s="11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9"/>
      <c r="C28" s="9"/>
      <c r="D28" s="9"/>
      <c r="E28" s="11"/>
      <c r="F28" s="1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9"/>
      <c r="C29" s="9"/>
      <c r="D29" s="9"/>
      <c r="E29" s="11"/>
      <c r="F29" s="11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"/>
      <c r="C30" s="9"/>
      <c r="D30" s="9"/>
      <c r="E30" s="11"/>
      <c r="F30" s="11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/>
      <c r="C31" s="9"/>
      <c r="D31" s="9"/>
      <c r="E31" s="11"/>
      <c r="F31" s="1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9"/>
      <c r="C32" s="9"/>
      <c r="D32" s="9"/>
      <c r="E32" s="11"/>
      <c r="F32" s="1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/>
      <c r="C33" s="9"/>
      <c r="D33" s="9"/>
      <c r="E33" s="11"/>
      <c r="F33" s="1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/>
      <c r="C34" s="9"/>
      <c r="D34" s="9"/>
      <c r="E34" s="11"/>
      <c r="F34" s="1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"/>
      <c r="C35" s="9"/>
      <c r="D35" s="9"/>
      <c r="E35" s="11"/>
      <c r="F35" s="1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/>
      <c r="D36" s="9"/>
      <c r="E36" s="11"/>
      <c r="F36" s="1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/>
      <c r="C37" s="9"/>
      <c r="D37" s="9"/>
      <c r="E37" s="11"/>
      <c r="F37" s="1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/>
      <c r="C38" s="9"/>
      <c r="D38" s="9"/>
      <c r="E38" s="11"/>
      <c r="F38" s="1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/>
      <c r="C39" s="9"/>
      <c r="D39" s="9"/>
      <c r="E39" s="11"/>
      <c r="F39" s="1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"/>
      <c r="C40" s="9"/>
      <c r="D40" s="9"/>
      <c r="E40" s="11"/>
      <c r="F40" s="1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/>
      <c r="C41" s="9"/>
      <c r="D41" s="9"/>
      <c r="E41" s="11"/>
      <c r="F41" s="1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/>
      <c r="C42" s="9"/>
      <c r="D42" s="9"/>
      <c r="E42" s="11"/>
      <c r="F42" s="1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/>
      <c r="C43" s="9"/>
      <c r="D43" s="9"/>
      <c r="E43" s="11"/>
      <c r="F43" s="1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"/>
      <c r="C44" s="9"/>
      <c r="D44" s="9"/>
      <c r="E44" s="11"/>
      <c r="F44" s="1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/>
      <c r="C45" s="9"/>
      <c r="D45" s="9"/>
      <c r="E45" s="11"/>
      <c r="F45" s="1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"/>
      <c r="C46" s="9"/>
      <c r="D46" s="9"/>
      <c r="E46" s="11"/>
      <c r="F46" s="1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"/>
      <c r="C47" s="9"/>
      <c r="D47" s="9"/>
      <c r="E47" s="11"/>
      <c r="F47" s="1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"/>
      <c r="C48" s="9"/>
      <c r="D48" s="9"/>
      <c r="E48" s="11"/>
      <c r="F48" s="1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/>
      <c r="C49" s="9"/>
      <c r="D49" s="9"/>
      <c r="E49" s="11"/>
      <c r="F49" s="1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/>
      <c r="C50" s="9"/>
      <c r="D50" s="9"/>
      <c r="E50" s="11"/>
      <c r="F50" s="1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"/>
      <c r="C51" s="9"/>
      <c r="D51" s="9"/>
      <c r="E51" s="11"/>
      <c r="F51" s="1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"/>
      <c r="C52" s="9"/>
      <c r="D52" s="9"/>
      <c r="E52" s="11"/>
      <c r="F52" s="1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"/>
      <c r="C53" s="9"/>
      <c r="D53" s="9"/>
      <c r="E53" s="11"/>
      <c r="F53" s="1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/>
      <c r="C54" s="9"/>
      <c r="D54" s="9"/>
      <c r="E54" s="11"/>
      <c r="F54" s="1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"/>
      <c r="C55" s="9"/>
      <c r="D55" s="9"/>
      <c r="E55" s="11"/>
      <c r="F55" s="1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"/>
      <c r="C56" s="9"/>
      <c r="D56" s="9"/>
      <c r="E56" s="11"/>
      <c r="F56" s="1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/>
      <c r="C57" s="9"/>
      <c r="D57" s="9"/>
      <c r="E57" s="11"/>
      <c r="F57" s="1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9"/>
      <c r="D58" s="9"/>
      <c r="E58" s="11"/>
      <c r="F58" s="1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"/>
      <c r="C59" s="9"/>
      <c r="D59" s="9"/>
      <c r="E59" s="11"/>
      <c r="F59" s="1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/>
      <c r="C60" s="9"/>
      <c r="D60" s="9"/>
      <c r="E60" s="11"/>
      <c r="F60" s="1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/>
      <c r="C61" s="9"/>
      <c r="D61" s="9"/>
      <c r="E61" s="11"/>
      <c r="F61" s="1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9"/>
      <c r="E62" s="11"/>
      <c r="F62" s="1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/>
      <c r="C63" s="9"/>
      <c r="D63" s="9"/>
      <c r="E63" s="11"/>
      <c r="F63" s="1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/>
      <c r="C64" s="9"/>
      <c r="D64" s="9"/>
      <c r="E64" s="11"/>
      <c r="F64" s="1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/>
      <c r="C65" s="9"/>
      <c r="D65" s="9"/>
      <c r="E65" s="11"/>
      <c r="F65" s="1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9"/>
      <c r="E66" s="11"/>
      <c r="F66" s="1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/>
      <c r="C67" s="9"/>
      <c r="D67" s="9"/>
      <c r="E67" s="11"/>
      <c r="F67" s="1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/>
      <c r="C68" s="9"/>
      <c r="D68" s="9"/>
      <c r="E68" s="11"/>
      <c r="F68" s="1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/>
      <c r="C69" s="9"/>
      <c r="D69" s="9"/>
      <c r="E69" s="11"/>
      <c r="F69" s="1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9"/>
      <c r="E70" s="11"/>
      <c r="F70" s="1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/>
      <c r="C71" s="9"/>
      <c r="D71" s="9"/>
      <c r="E71" s="11"/>
      <c r="F71" s="1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/>
      <c r="C72" s="9"/>
      <c r="D72" s="9"/>
      <c r="E72" s="11"/>
      <c r="F72" s="1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/>
      <c r="C73" s="9"/>
      <c r="D73" s="9"/>
      <c r="E73" s="11"/>
      <c r="F73" s="1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9"/>
      <c r="E74" s="11"/>
      <c r="F74" s="1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"/>
      <c r="C75" s="9"/>
      <c r="D75" s="9"/>
      <c r="E75" s="11"/>
      <c r="F75" s="1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/>
      <c r="C76" s="9"/>
      <c r="D76" s="9"/>
      <c r="E76" s="11"/>
      <c r="F76" s="1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/>
      <c r="C77" s="9"/>
      <c r="D77" s="9"/>
      <c r="E77" s="11"/>
      <c r="F77" s="1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9"/>
      <c r="E78" s="11"/>
      <c r="F78" s="1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/>
      <c r="C79" s="9"/>
      <c r="D79" s="9"/>
      <c r="E79" s="11"/>
      <c r="F79" s="1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/>
      <c r="C80" s="9"/>
      <c r="D80" s="9"/>
      <c r="E80" s="11"/>
      <c r="F80" s="1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/>
      <c r="C81" s="9"/>
      <c r="D81" s="9"/>
      <c r="E81" s="11"/>
      <c r="F81" s="1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/>
      <c r="C82" s="9"/>
      <c r="D82" s="9"/>
      <c r="E82" s="11"/>
      <c r="F82" s="1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/>
      <c r="C83" s="9"/>
      <c r="D83" s="9"/>
      <c r="E83" s="11"/>
      <c r="F83" s="1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/>
      <c r="C84" s="9"/>
      <c r="D84" s="9"/>
      <c r="E84" s="11"/>
      <c r="F84" s="1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/>
      <c r="C85" s="9"/>
      <c r="D85" s="9"/>
      <c r="E85" s="11"/>
      <c r="F85" s="1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/>
      <c r="C86" s="9"/>
      <c r="D86" s="9"/>
      <c r="E86" s="11"/>
      <c r="F86" s="1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/>
      <c r="C87" s="9"/>
      <c r="D87" s="9"/>
      <c r="E87" s="11"/>
      <c r="F87" s="1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/>
      <c r="C88" s="9"/>
      <c r="D88" s="9"/>
      <c r="E88" s="11"/>
      <c r="F88" s="1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"/>
      <c r="C89" s="9"/>
      <c r="D89" s="9"/>
      <c r="E89" s="11"/>
      <c r="F89" s="1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"/>
      <c r="C90" s="9"/>
      <c r="D90" s="9"/>
      <c r="E90" s="11"/>
      <c r="F90" s="1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"/>
      <c r="C91" s="9"/>
      <c r="D91" s="9"/>
      <c r="E91" s="11"/>
      <c r="F91" s="1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/>
      <c r="C92" s="9"/>
      <c r="D92" s="9"/>
      <c r="E92" s="11"/>
      <c r="F92" s="1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/>
      <c r="C93" s="9"/>
      <c r="D93" s="9"/>
      <c r="E93" s="11"/>
      <c r="F93" s="1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/>
      <c r="C94" s="9"/>
      <c r="D94" s="9"/>
      <c r="E94" s="11"/>
      <c r="F94" s="1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/>
      <c r="C95" s="9"/>
      <c r="D95" s="9"/>
      <c r="E95" s="11"/>
      <c r="F95" s="1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/>
      <c r="C96" s="9"/>
      <c r="D96" s="9"/>
      <c r="E96" s="11"/>
      <c r="F96" s="1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/>
      <c r="C97" s="9"/>
      <c r="D97" s="9"/>
      <c r="E97" s="11"/>
      <c r="F97" s="1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/>
      <c r="C98" s="9"/>
      <c r="D98" s="9"/>
      <c r="E98" s="11"/>
      <c r="F98" s="1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/>
      <c r="C99" s="9"/>
      <c r="D99" s="9"/>
      <c r="E99" s="11"/>
      <c r="F99" s="1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/>
      <c r="C100" s="9"/>
      <c r="D100" s="9"/>
      <c r="E100" s="11"/>
      <c r="F100" s="1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/>
      <c r="C101" s="9"/>
      <c r="D101" s="9"/>
      <c r="E101" s="11"/>
      <c r="F101" s="1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/>
      <c r="C102" s="9"/>
      <c r="D102" s="9"/>
      <c r="E102" s="11"/>
      <c r="F102" s="1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"/>
      <c r="C103" s="9"/>
      <c r="D103" s="9"/>
      <c r="E103" s="11"/>
      <c r="F103" s="1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"/>
      <c r="C104" s="9"/>
      <c r="D104" s="9"/>
      <c r="E104" s="11"/>
      <c r="F104" s="1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"/>
      <c r="C105" s="9"/>
      <c r="D105" s="9"/>
      <c r="E105" s="11"/>
      <c r="F105" s="1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/>
      <c r="C106" s="9"/>
      <c r="D106" s="9"/>
      <c r="E106" s="11"/>
      <c r="F106" s="1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/>
      <c r="C107" s="9"/>
      <c r="D107" s="9"/>
      <c r="E107" s="11"/>
      <c r="F107" s="1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/>
      <c r="C108" s="9"/>
      <c r="D108" s="9"/>
      <c r="E108" s="11"/>
      <c r="F108" s="1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/>
      <c r="C109" s="9"/>
      <c r="D109" s="9"/>
      <c r="E109" s="11"/>
      <c r="F109" s="1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/>
      <c r="C110" s="9"/>
      <c r="D110" s="9"/>
      <c r="E110" s="11"/>
      <c r="F110" s="1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/>
      <c r="C111" s="9"/>
      <c r="D111" s="9"/>
      <c r="E111" s="11"/>
      <c r="F111" s="1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/>
      <c r="C112" s="9"/>
      <c r="D112" s="9"/>
      <c r="E112" s="11"/>
      <c r="F112" s="1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/>
      <c r="C113" s="9"/>
      <c r="D113" s="9"/>
      <c r="E113" s="11"/>
      <c r="F113" s="1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/>
      <c r="C114" s="9"/>
      <c r="D114" s="9"/>
      <c r="E114" s="11"/>
      <c r="F114" s="1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/>
      <c r="C115" s="9"/>
      <c r="D115" s="9"/>
      <c r="E115" s="11"/>
      <c r="F115" s="1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/>
      <c r="C116" s="9"/>
      <c r="D116" s="9"/>
      <c r="E116" s="11"/>
      <c r="F116" s="1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"/>
      <c r="C117" s="9"/>
      <c r="D117" s="9"/>
      <c r="E117" s="11"/>
      <c r="F117" s="1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"/>
      <c r="C118" s="9"/>
      <c r="D118" s="9"/>
      <c r="E118" s="11"/>
      <c r="F118" s="1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"/>
      <c r="C119" s="9"/>
      <c r="D119" s="9"/>
      <c r="E119" s="11"/>
      <c r="F119" s="1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/>
      <c r="C120" s="9"/>
      <c r="D120" s="9"/>
      <c r="E120" s="11"/>
      <c r="F120" s="1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/>
      <c r="C121" s="9"/>
      <c r="D121" s="9"/>
      <c r="E121" s="11"/>
      <c r="F121" s="1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/>
      <c r="C122" s="9"/>
      <c r="D122" s="9"/>
      <c r="E122" s="11"/>
      <c r="F122" s="1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/>
      <c r="C123" s="9"/>
      <c r="D123" s="9"/>
      <c r="E123" s="11"/>
      <c r="F123" s="1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/>
      <c r="C124" s="9"/>
      <c r="D124" s="9"/>
      <c r="E124" s="11"/>
      <c r="F124" s="1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/>
      <c r="C125" s="9"/>
      <c r="D125" s="9"/>
      <c r="E125" s="11"/>
      <c r="F125" s="1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"/>
      <c r="C126" s="9"/>
      <c r="D126" s="9"/>
      <c r="E126" s="11"/>
      <c r="F126" s="1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"/>
      <c r="C127" s="9"/>
      <c r="D127" s="9"/>
      <c r="E127" s="11"/>
      <c r="F127" s="1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/>
      <c r="C128" s="9"/>
      <c r="D128" s="9"/>
      <c r="E128" s="11"/>
      <c r="F128" s="1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/>
      <c r="C129" s="9"/>
      <c r="D129" s="9"/>
      <c r="E129" s="11"/>
      <c r="F129" s="1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/>
      <c r="C130" s="9"/>
      <c r="D130" s="9"/>
      <c r="E130" s="11"/>
      <c r="F130" s="1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/>
      <c r="C131" s="9"/>
      <c r="D131" s="9"/>
      <c r="E131" s="11"/>
      <c r="F131" s="1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/>
      <c r="C132" s="9"/>
      <c r="D132" s="9"/>
      <c r="E132" s="11"/>
      <c r="F132" s="1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/>
      <c r="C133" s="9"/>
      <c r="D133" s="9"/>
      <c r="E133" s="11"/>
      <c r="F133" s="1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/>
      <c r="C134" s="9"/>
      <c r="D134" s="9"/>
      <c r="E134" s="11"/>
      <c r="F134" s="1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/>
      <c r="C135" s="9"/>
      <c r="D135" s="9"/>
      <c r="E135" s="11"/>
      <c r="F135" s="1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/>
      <c r="C136" s="9"/>
      <c r="D136" s="9"/>
      <c r="E136" s="11"/>
      <c r="F136" s="1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"/>
      <c r="C137" s="9"/>
      <c r="D137" s="9"/>
      <c r="E137" s="11"/>
      <c r="F137" s="1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"/>
      <c r="C138" s="9"/>
      <c r="D138" s="9"/>
      <c r="E138" s="11"/>
      <c r="F138" s="1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/>
      <c r="C139" s="9"/>
      <c r="D139" s="9"/>
      <c r="E139" s="11"/>
      <c r="F139" s="1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/>
      <c r="C140" s="9"/>
      <c r="D140" s="9"/>
      <c r="E140" s="11"/>
      <c r="F140" s="1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/>
      <c r="C141" s="9"/>
      <c r="D141" s="9"/>
      <c r="E141" s="11"/>
      <c r="F141" s="1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/>
      <c r="C142" s="9"/>
      <c r="D142" s="9"/>
      <c r="E142" s="11"/>
      <c r="F142" s="1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"/>
      <c r="C143" s="9"/>
      <c r="D143" s="9"/>
      <c r="E143" s="11"/>
      <c r="F143" s="1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"/>
      <c r="C144" s="9"/>
      <c r="D144" s="9"/>
      <c r="E144" s="11"/>
      <c r="F144" s="1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/>
      <c r="C145" s="9"/>
      <c r="D145" s="9"/>
      <c r="E145" s="11"/>
      <c r="F145" s="1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/>
      <c r="C146" s="9"/>
      <c r="D146" s="9"/>
      <c r="E146" s="11"/>
      <c r="F146" s="1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/>
      <c r="C147" s="9"/>
      <c r="D147" s="9"/>
      <c r="E147" s="11"/>
      <c r="F147" s="1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/>
      <c r="C148" s="9"/>
      <c r="D148" s="9"/>
      <c r="E148" s="11"/>
      <c r="F148" s="1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/>
      <c r="C149" s="9"/>
      <c r="D149" s="9"/>
      <c r="E149" s="11"/>
      <c r="F149" s="1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/>
      <c r="C150" s="9"/>
      <c r="D150" s="9"/>
      <c r="E150" s="11"/>
      <c r="F150" s="1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/>
      <c r="C151" s="9"/>
      <c r="D151" s="9"/>
      <c r="E151" s="11"/>
      <c r="F151" s="1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/>
      <c r="C152" s="9"/>
      <c r="D152" s="9"/>
      <c r="E152" s="11"/>
      <c r="F152" s="1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/>
      <c r="C153" s="9"/>
      <c r="D153" s="9"/>
      <c r="E153" s="11"/>
      <c r="F153" s="1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"/>
      <c r="C154" s="9"/>
      <c r="D154" s="9"/>
      <c r="E154" s="11"/>
      <c r="F154" s="1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"/>
      <c r="C155" s="9"/>
      <c r="D155" s="9"/>
      <c r="E155" s="11"/>
      <c r="F155" s="1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/>
      <c r="C156" s="9"/>
      <c r="D156" s="9"/>
      <c r="E156" s="11"/>
      <c r="F156" s="1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/>
      <c r="C157" s="9"/>
      <c r="D157" s="9"/>
      <c r="E157" s="11"/>
      <c r="F157" s="1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/>
      <c r="C158" s="9"/>
      <c r="D158" s="9"/>
      <c r="E158" s="11"/>
      <c r="F158" s="1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/>
      <c r="C159" s="9"/>
      <c r="D159" s="9"/>
      <c r="E159" s="11"/>
      <c r="F159" s="1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/>
      <c r="C160" s="9"/>
      <c r="D160" s="9"/>
      <c r="E160" s="11"/>
      <c r="F160" s="1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/>
      <c r="C161" s="9"/>
      <c r="D161" s="9"/>
      <c r="E161" s="11"/>
      <c r="F161" s="1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/>
      <c r="C162" s="9"/>
      <c r="D162" s="9"/>
      <c r="E162" s="11"/>
      <c r="F162" s="1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/>
      <c r="C163" s="9"/>
      <c r="D163" s="9"/>
      <c r="E163" s="11"/>
      <c r="F163" s="1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/>
      <c r="C164" s="9"/>
      <c r="D164" s="9"/>
      <c r="E164" s="11"/>
      <c r="F164" s="1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/>
      <c r="C165" s="9"/>
      <c r="D165" s="9"/>
      <c r="E165" s="11"/>
      <c r="F165" s="1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/>
      <c r="C166" s="9"/>
      <c r="D166" s="9"/>
      <c r="E166" s="11"/>
      <c r="F166" s="1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/>
      <c r="C167" s="9"/>
      <c r="D167" s="9"/>
      <c r="E167" s="11"/>
      <c r="F167" s="1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/>
      <c r="C168" s="9"/>
      <c r="D168" s="9"/>
      <c r="E168" s="11"/>
      <c r="F168" s="1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/>
      <c r="C169" s="9"/>
      <c r="D169" s="9"/>
      <c r="E169" s="11"/>
      <c r="F169" s="1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/>
      <c r="C170" s="9"/>
      <c r="D170" s="9"/>
      <c r="E170" s="11"/>
      <c r="F170" s="1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/>
      <c r="C171" s="9"/>
      <c r="D171" s="9"/>
      <c r="E171" s="11"/>
      <c r="F171" s="1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/>
      <c r="C172" s="9"/>
      <c r="D172" s="9"/>
      <c r="E172" s="11"/>
      <c r="F172" s="1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/>
      <c r="C173" s="9"/>
      <c r="D173" s="9"/>
      <c r="E173" s="11"/>
      <c r="F173" s="1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/>
      <c r="C174" s="9"/>
      <c r="D174" s="9"/>
      <c r="E174" s="11"/>
      <c r="F174" s="1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"/>
      <c r="C175" s="9"/>
      <c r="D175" s="9"/>
      <c r="E175" s="11"/>
      <c r="F175" s="1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"/>
      <c r="C176" s="9"/>
      <c r="D176" s="9"/>
      <c r="E176" s="11"/>
      <c r="F176" s="1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"/>
      <c r="C177" s="9"/>
      <c r="D177" s="9"/>
      <c r="E177" s="11"/>
      <c r="F177" s="1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"/>
      <c r="C178" s="9"/>
      <c r="D178" s="9"/>
      <c r="E178" s="11"/>
      <c r="F178" s="1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"/>
      <c r="C179" s="9"/>
      <c r="D179" s="9"/>
      <c r="E179" s="11"/>
      <c r="F179" s="1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"/>
      <c r="C180" s="9"/>
      <c r="D180" s="9"/>
      <c r="E180" s="11"/>
      <c r="F180" s="1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"/>
      <c r="C181" s="9"/>
      <c r="D181" s="9"/>
      <c r="E181" s="11"/>
      <c r="F181" s="1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"/>
      <c r="C182" s="9"/>
      <c r="D182" s="9"/>
      <c r="E182" s="11"/>
      <c r="F182" s="1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"/>
      <c r="C183" s="9"/>
      <c r="D183" s="9"/>
      <c r="E183" s="11"/>
      <c r="F183" s="1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"/>
      <c r="C184" s="9"/>
      <c r="D184" s="9"/>
      <c r="E184" s="11"/>
      <c r="F184" s="1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"/>
      <c r="C185" s="9"/>
      <c r="D185" s="9"/>
      <c r="E185" s="11"/>
      <c r="F185" s="1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"/>
      <c r="C186" s="9"/>
      <c r="D186" s="9"/>
      <c r="E186" s="11"/>
      <c r="F186" s="1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"/>
      <c r="C187" s="9"/>
      <c r="D187" s="9"/>
      <c r="E187" s="11"/>
      <c r="F187" s="1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"/>
      <c r="C188" s="9"/>
      <c r="D188" s="9"/>
      <c r="E188" s="11"/>
      <c r="F188" s="1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"/>
      <c r="C189" s="9"/>
      <c r="D189" s="9"/>
      <c r="E189" s="11"/>
      <c r="F189" s="1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"/>
      <c r="C190" s="9"/>
      <c r="D190" s="9"/>
      <c r="E190" s="11"/>
      <c r="F190" s="1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"/>
      <c r="C191" s="9"/>
      <c r="D191" s="9"/>
      <c r="E191" s="11"/>
      <c r="F191" s="1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"/>
      <c r="C192" s="9"/>
      <c r="D192" s="9"/>
      <c r="E192" s="11"/>
      <c r="F192" s="1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"/>
      <c r="C193" s="9"/>
      <c r="D193" s="9"/>
      <c r="E193" s="11"/>
      <c r="F193" s="1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"/>
      <c r="C194" s="9"/>
      <c r="D194" s="9"/>
      <c r="E194" s="11"/>
      <c r="F194" s="1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"/>
      <c r="C195" s="9"/>
      <c r="D195" s="9"/>
      <c r="E195" s="11"/>
      <c r="F195" s="1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"/>
      <c r="C196" s="9"/>
      <c r="D196" s="9"/>
      <c r="E196" s="11"/>
      <c r="F196" s="1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"/>
      <c r="C197" s="9"/>
      <c r="D197" s="9"/>
      <c r="E197" s="11"/>
      <c r="F197" s="1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"/>
      <c r="C198" s="9"/>
      <c r="D198" s="9"/>
      <c r="E198" s="11"/>
      <c r="F198" s="1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"/>
      <c r="C199" s="9"/>
      <c r="D199" s="9"/>
      <c r="E199" s="11"/>
      <c r="F199" s="1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"/>
      <c r="C200" s="9"/>
      <c r="D200" s="9"/>
      <c r="E200" s="11"/>
      <c r="F200" s="1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"/>
      <c r="C201" s="9"/>
      <c r="D201" s="9"/>
      <c r="E201" s="11"/>
      <c r="F201" s="1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"/>
      <c r="C202" s="9"/>
      <c r="D202" s="9"/>
      <c r="E202" s="11"/>
      <c r="F202" s="1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"/>
      <c r="C203" s="9"/>
      <c r="D203" s="9"/>
      <c r="E203" s="11"/>
      <c r="F203" s="1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"/>
      <c r="C204" s="9"/>
      <c r="D204" s="9"/>
      <c r="E204" s="11"/>
      <c r="F204" s="1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"/>
      <c r="C205" s="9"/>
      <c r="D205" s="9"/>
      <c r="E205" s="11"/>
      <c r="F205" s="1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"/>
      <c r="C206" s="9"/>
      <c r="D206" s="9"/>
      <c r="E206" s="11"/>
      <c r="F206" s="1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"/>
      <c r="C207" s="9"/>
      <c r="D207" s="9"/>
      <c r="E207" s="11"/>
      <c r="F207" s="1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"/>
      <c r="C208" s="9"/>
      <c r="D208" s="9"/>
      <c r="E208" s="11"/>
      <c r="F208" s="1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"/>
      <c r="C209" s="9"/>
      <c r="D209" s="9"/>
      <c r="E209" s="11"/>
      <c r="F209" s="1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"/>
      <c r="C210" s="9"/>
      <c r="D210" s="9"/>
      <c r="E210" s="11"/>
      <c r="F210" s="1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"/>
      <c r="C211" s="9"/>
      <c r="D211" s="9"/>
      <c r="E211" s="11"/>
      <c r="F211" s="1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"/>
      <c r="C212" s="9"/>
      <c r="D212" s="9"/>
      <c r="E212" s="11"/>
      <c r="F212" s="1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"/>
      <c r="C213" s="9"/>
      <c r="D213" s="9"/>
      <c r="E213" s="11"/>
      <c r="F213" s="1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"/>
      <c r="C214" s="9"/>
      <c r="D214" s="9"/>
      <c r="E214" s="11"/>
      <c r="F214" s="1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"/>
      <c r="C215" s="9"/>
      <c r="D215" s="9"/>
      <c r="E215" s="11"/>
      <c r="F215" s="1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"/>
      <c r="C216" s="9"/>
      <c r="D216" s="9"/>
      <c r="E216" s="11"/>
      <c r="F216" s="1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"/>
      <c r="C217" s="9"/>
      <c r="D217" s="9"/>
      <c r="E217" s="11"/>
      <c r="F217" s="1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"/>
      <c r="C218" s="9"/>
      <c r="D218" s="9"/>
      <c r="E218" s="11"/>
      <c r="F218" s="1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"/>
      <c r="C219" s="9"/>
      <c r="D219" s="9"/>
      <c r="E219" s="11"/>
      <c r="F219" s="1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"/>
      <c r="C220" s="9"/>
      <c r="D220" s="9"/>
      <c r="E220" s="11"/>
      <c r="F220" s="1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"/>
      <c r="C221" s="9"/>
      <c r="D221" s="9"/>
      <c r="E221" s="11"/>
      <c r="F221" s="1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"/>
      <c r="C222" s="9"/>
      <c r="D222" s="9"/>
      <c r="E222" s="11"/>
      <c r="F222" s="1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"/>
      <c r="C223" s="9"/>
      <c r="D223" s="9"/>
      <c r="E223" s="11"/>
      <c r="F223" s="1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"/>
      <c r="C224" s="9"/>
      <c r="D224" s="9"/>
      <c r="E224" s="11"/>
      <c r="F224" s="1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"/>
      <c r="C225" s="9"/>
      <c r="D225" s="9"/>
      <c r="E225" s="11"/>
      <c r="F225" s="1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"/>
      <c r="C226" s="9"/>
      <c r="D226" s="9"/>
      <c r="E226" s="11"/>
      <c r="F226" s="1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"/>
      <c r="C227" s="9"/>
      <c r="D227" s="9"/>
      <c r="E227" s="11"/>
      <c r="F227" s="1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"/>
      <c r="C228" s="9"/>
      <c r="D228" s="9"/>
      <c r="E228" s="11"/>
      <c r="F228" s="1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"/>
      <c r="C229" s="9"/>
      <c r="D229" s="9"/>
      <c r="E229" s="11"/>
      <c r="F229" s="1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"/>
      <c r="C230" s="9"/>
      <c r="D230" s="9"/>
      <c r="E230" s="11"/>
      <c r="F230" s="1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"/>
      <c r="C231" s="9"/>
      <c r="D231" s="9"/>
      <c r="E231" s="11"/>
      <c r="F231" s="1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"/>
      <c r="C232" s="9"/>
      <c r="D232" s="9"/>
      <c r="E232" s="11"/>
      <c r="F232" s="1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"/>
      <c r="C233" s="9"/>
      <c r="D233" s="9"/>
      <c r="E233" s="11"/>
      <c r="F233" s="1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"/>
      <c r="C234" s="9"/>
      <c r="D234" s="9"/>
      <c r="E234" s="11"/>
      <c r="F234" s="1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"/>
      <c r="C235" s="9"/>
      <c r="D235" s="9"/>
      <c r="E235" s="11"/>
      <c r="F235" s="1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"/>
      <c r="C236" s="9"/>
      <c r="D236" s="9"/>
      <c r="E236" s="11"/>
      <c r="F236" s="1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"/>
      <c r="C237" s="9"/>
      <c r="D237" s="9"/>
      <c r="E237" s="11"/>
      <c r="F237" s="1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"/>
      <c r="C238" s="9"/>
      <c r="D238" s="9"/>
      <c r="E238" s="11"/>
      <c r="F238" s="1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"/>
      <c r="C239" s="9"/>
      <c r="D239" s="9"/>
      <c r="E239" s="11"/>
      <c r="F239" s="1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"/>
      <c r="C240" s="9"/>
      <c r="D240" s="9"/>
      <c r="E240" s="11"/>
      <c r="F240" s="1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"/>
      <c r="C241" s="9"/>
      <c r="D241" s="9"/>
      <c r="E241" s="11"/>
      <c r="F241" s="1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"/>
      <c r="C242" s="9"/>
      <c r="D242" s="9"/>
      <c r="E242" s="11"/>
      <c r="F242" s="1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"/>
      <c r="C243" s="9"/>
      <c r="D243" s="9"/>
      <c r="E243" s="11"/>
      <c r="F243" s="1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"/>
      <c r="C244" s="9"/>
      <c r="D244" s="9"/>
      <c r="E244" s="11"/>
      <c r="F244" s="1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"/>
      <c r="C245" s="9"/>
      <c r="D245" s="9"/>
      <c r="E245" s="11"/>
      <c r="F245" s="1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"/>
      <c r="C246" s="9"/>
      <c r="D246" s="9"/>
      <c r="E246" s="11"/>
      <c r="F246" s="1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"/>
      <c r="C247" s="9"/>
      <c r="D247" s="9"/>
      <c r="E247" s="11"/>
      <c r="F247" s="1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"/>
      <c r="C248" s="9"/>
      <c r="D248" s="9"/>
      <c r="E248" s="11"/>
      <c r="F248" s="1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"/>
      <c r="C249" s="9"/>
      <c r="D249" s="9"/>
      <c r="E249" s="11"/>
      <c r="F249" s="1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"/>
      <c r="C250" s="9"/>
      <c r="D250" s="9"/>
      <c r="E250" s="11"/>
      <c r="F250" s="1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"/>
      <c r="C251" s="9"/>
      <c r="D251" s="9"/>
      <c r="E251" s="11"/>
      <c r="F251" s="1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"/>
      <c r="C252" s="9"/>
      <c r="D252" s="9"/>
      <c r="E252" s="11"/>
      <c r="F252" s="1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"/>
      <c r="C253" s="9"/>
      <c r="D253" s="9"/>
      <c r="E253" s="11"/>
      <c r="F253" s="1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"/>
      <c r="C254" s="9"/>
      <c r="D254" s="9"/>
      <c r="E254" s="11"/>
      <c r="F254" s="1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"/>
      <c r="C255" s="9"/>
      <c r="D255" s="9"/>
      <c r="E255" s="11"/>
      <c r="F255" s="1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"/>
      <c r="C256" s="9"/>
      <c r="D256" s="9"/>
      <c r="E256" s="11"/>
      <c r="F256" s="1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"/>
      <c r="C257" s="9"/>
      <c r="D257" s="9"/>
      <c r="E257" s="11"/>
      <c r="F257" s="1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"/>
      <c r="C258" s="9"/>
      <c r="D258" s="9"/>
      <c r="E258" s="11"/>
      <c r="F258" s="1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"/>
      <c r="C259" s="9"/>
      <c r="D259" s="9"/>
      <c r="E259" s="11"/>
      <c r="F259" s="1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"/>
      <c r="C260" s="9"/>
      <c r="D260" s="9"/>
      <c r="E260" s="11"/>
      <c r="F260" s="1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"/>
      <c r="C261" s="9"/>
      <c r="D261" s="9"/>
      <c r="E261" s="11"/>
      <c r="F261" s="1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"/>
      <c r="C262" s="9"/>
      <c r="D262" s="9"/>
      <c r="E262" s="11"/>
      <c r="F262" s="1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"/>
      <c r="C263" s="9"/>
      <c r="D263" s="9"/>
      <c r="E263" s="11"/>
      <c r="F263" s="1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"/>
      <c r="C264" s="9"/>
      <c r="D264" s="9"/>
      <c r="E264" s="11"/>
      <c r="F264" s="1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"/>
      <c r="C265" s="9"/>
      <c r="D265" s="9"/>
      <c r="E265" s="11"/>
      <c r="F265" s="1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"/>
      <c r="C266" s="9"/>
      <c r="D266" s="9"/>
      <c r="E266" s="11"/>
      <c r="F266" s="1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"/>
      <c r="C267" s="9"/>
      <c r="D267" s="9"/>
      <c r="E267" s="11"/>
      <c r="F267" s="1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"/>
      <c r="C268" s="9"/>
      <c r="D268" s="9"/>
      <c r="E268" s="11"/>
      <c r="F268" s="1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"/>
      <c r="C269" s="9"/>
      <c r="D269" s="9"/>
      <c r="E269" s="11"/>
      <c r="F269" s="1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"/>
      <c r="C270" s="9"/>
      <c r="D270" s="9"/>
      <c r="E270" s="11"/>
      <c r="F270" s="1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"/>
      <c r="C271" s="9"/>
      <c r="D271" s="9"/>
      <c r="E271" s="11"/>
      <c r="F271" s="1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"/>
      <c r="C272" s="9"/>
      <c r="D272" s="9"/>
      <c r="E272" s="11"/>
      <c r="F272" s="1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"/>
      <c r="C273" s="9"/>
      <c r="D273" s="9"/>
      <c r="E273" s="11"/>
      <c r="F273" s="1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"/>
      <c r="C274" s="9"/>
      <c r="D274" s="9"/>
      <c r="E274" s="11"/>
      <c r="F274" s="1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"/>
      <c r="C275" s="9"/>
      <c r="D275" s="9"/>
      <c r="E275" s="11"/>
      <c r="F275" s="1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"/>
      <c r="C276" s="9"/>
      <c r="D276" s="9"/>
      <c r="E276" s="11"/>
      <c r="F276" s="1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"/>
      <c r="C277" s="9"/>
      <c r="D277" s="9"/>
      <c r="E277" s="11"/>
      <c r="F277" s="1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"/>
      <c r="C278" s="9"/>
      <c r="D278" s="9"/>
      <c r="E278" s="11"/>
      <c r="F278" s="1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"/>
      <c r="C279" s="9"/>
      <c r="D279" s="9"/>
      <c r="E279" s="11"/>
      <c r="F279" s="1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"/>
      <c r="C280" s="9"/>
      <c r="D280" s="9"/>
      <c r="E280" s="11"/>
      <c r="F280" s="1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"/>
      <c r="C281" s="9"/>
      <c r="D281" s="9"/>
      <c r="E281" s="11"/>
      <c r="F281" s="1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"/>
      <c r="C282" s="9"/>
      <c r="D282" s="9"/>
      <c r="E282" s="11"/>
      <c r="F282" s="1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"/>
      <c r="C283" s="9"/>
      <c r="D283" s="9"/>
      <c r="E283" s="11"/>
      <c r="F283" s="1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"/>
      <c r="C284" s="9"/>
      <c r="D284" s="9"/>
      <c r="E284" s="11"/>
      <c r="F284" s="1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"/>
      <c r="C285" s="9"/>
      <c r="D285" s="9"/>
      <c r="E285" s="11"/>
      <c r="F285" s="1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"/>
      <c r="C286" s="9"/>
      <c r="D286" s="9"/>
      <c r="E286" s="11"/>
      <c r="F286" s="1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"/>
      <c r="C287" s="9"/>
      <c r="D287" s="9"/>
      <c r="E287" s="11"/>
      <c r="F287" s="1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"/>
      <c r="C288" s="9"/>
      <c r="D288" s="9"/>
      <c r="E288" s="11"/>
      <c r="F288" s="1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"/>
      <c r="C289" s="9"/>
      <c r="D289" s="9"/>
      <c r="E289" s="11"/>
      <c r="F289" s="1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"/>
      <c r="C290" s="9"/>
      <c r="D290" s="9"/>
      <c r="E290" s="11"/>
      <c r="F290" s="1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"/>
      <c r="C291" s="9"/>
      <c r="D291" s="9"/>
      <c r="E291" s="11"/>
      <c r="F291" s="1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"/>
      <c r="C292" s="9"/>
      <c r="D292" s="9"/>
      <c r="E292" s="11"/>
      <c r="F292" s="1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"/>
      <c r="C293" s="9"/>
      <c r="D293" s="9"/>
      <c r="E293" s="11"/>
      <c r="F293" s="1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"/>
      <c r="C294" s="9"/>
      <c r="D294" s="9"/>
      <c r="E294" s="11"/>
      <c r="F294" s="1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"/>
      <c r="C295" s="9"/>
      <c r="D295" s="9"/>
      <c r="E295" s="11"/>
      <c r="F295" s="1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"/>
      <c r="C296" s="9"/>
      <c r="D296" s="9"/>
      <c r="E296" s="11"/>
      <c r="F296" s="1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"/>
      <c r="C297" s="9"/>
      <c r="D297" s="9"/>
      <c r="E297" s="11"/>
      <c r="F297" s="1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"/>
      <c r="C298" s="9"/>
      <c r="D298" s="9"/>
      <c r="E298" s="11"/>
      <c r="F298" s="1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"/>
      <c r="C299" s="9"/>
      <c r="D299" s="9"/>
      <c r="E299" s="11"/>
      <c r="F299" s="1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"/>
      <c r="C300" s="9"/>
      <c r="D300" s="9"/>
      <c r="E300" s="11"/>
      <c r="F300" s="1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"/>
      <c r="C301" s="9"/>
      <c r="D301" s="9"/>
      <c r="E301" s="11"/>
      <c r="F301" s="1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"/>
      <c r="C302" s="9"/>
      <c r="D302" s="9"/>
      <c r="E302" s="11"/>
      <c r="F302" s="1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"/>
      <c r="C303" s="9"/>
      <c r="D303" s="9"/>
      <c r="E303" s="11"/>
      <c r="F303" s="1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"/>
      <c r="C304" s="9"/>
      <c r="D304" s="9"/>
      <c r="E304" s="11"/>
      <c r="F304" s="1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"/>
      <c r="C305" s="9"/>
      <c r="D305" s="9"/>
      <c r="E305" s="11"/>
      <c r="F305" s="1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"/>
      <c r="C306" s="9"/>
      <c r="D306" s="9"/>
      <c r="E306" s="11"/>
      <c r="F306" s="1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"/>
      <c r="C307" s="9"/>
      <c r="D307" s="9"/>
      <c r="E307" s="11"/>
      <c r="F307" s="1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"/>
      <c r="C308" s="9"/>
      <c r="D308" s="9"/>
      <c r="E308" s="11"/>
      <c r="F308" s="1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"/>
      <c r="C309" s="9"/>
      <c r="D309" s="9"/>
      <c r="E309" s="11"/>
      <c r="F309" s="1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"/>
      <c r="C310" s="9"/>
      <c r="D310" s="9"/>
      <c r="E310" s="11"/>
      <c r="F310" s="1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"/>
      <c r="C311" s="9"/>
      <c r="D311" s="9"/>
      <c r="E311" s="11"/>
      <c r="F311" s="1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"/>
      <c r="C312" s="9"/>
      <c r="D312" s="9"/>
      <c r="E312" s="11"/>
      <c r="F312" s="1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"/>
      <c r="C313" s="9"/>
      <c r="D313" s="9"/>
      <c r="E313" s="11"/>
      <c r="F313" s="1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"/>
      <c r="C314" s="9"/>
      <c r="D314" s="9"/>
      <c r="E314" s="11"/>
      <c r="F314" s="1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"/>
      <c r="C315" s="9"/>
      <c r="D315" s="9"/>
      <c r="E315" s="11"/>
      <c r="F315" s="1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"/>
      <c r="C316" s="9"/>
      <c r="D316" s="9"/>
      <c r="E316" s="11"/>
      <c r="F316" s="1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"/>
      <c r="C317" s="9"/>
      <c r="D317" s="9"/>
      <c r="E317" s="11"/>
      <c r="F317" s="1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"/>
      <c r="C318" s="9"/>
      <c r="D318" s="9"/>
      <c r="E318" s="11"/>
      <c r="F318" s="1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"/>
      <c r="C319" s="9"/>
      <c r="D319" s="9"/>
      <c r="E319" s="11"/>
      <c r="F319" s="1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"/>
      <c r="C320" s="9"/>
      <c r="D320" s="9"/>
      <c r="E320" s="11"/>
      <c r="F320" s="1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"/>
      <c r="C321" s="9"/>
      <c r="D321" s="9"/>
      <c r="E321" s="11"/>
      <c r="F321" s="1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"/>
      <c r="C322" s="9"/>
      <c r="D322" s="9"/>
      <c r="E322" s="11"/>
      <c r="F322" s="1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"/>
      <c r="C323" s="9"/>
      <c r="D323" s="9"/>
      <c r="E323" s="11"/>
      <c r="F323" s="1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"/>
      <c r="C324" s="9"/>
      <c r="D324" s="9"/>
      <c r="E324" s="11"/>
      <c r="F324" s="1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"/>
      <c r="C325" s="9"/>
      <c r="D325" s="9"/>
      <c r="E325" s="11"/>
      <c r="F325" s="1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"/>
      <c r="C326" s="9"/>
      <c r="D326" s="9"/>
      <c r="E326" s="11"/>
      <c r="F326" s="1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"/>
      <c r="C327" s="9"/>
      <c r="D327" s="9"/>
      <c r="E327" s="11"/>
      <c r="F327" s="1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"/>
      <c r="C328" s="9"/>
      <c r="D328" s="9"/>
      <c r="E328" s="11"/>
      <c r="F328" s="1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"/>
      <c r="C329" s="9"/>
      <c r="D329" s="9"/>
      <c r="E329" s="11"/>
      <c r="F329" s="1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"/>
      <c r="C330" s="9"/>
      <c r="D330" s="9"/>
      <c r="E330" s="11"/>
      <c r="F330" s="1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"/>
      <c r="C331" s="9"/>
      <c r="D331" s="9"/>
      <c r="E331" s="11"/>
      <c r="F331" s="1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"/>
      <c r="C332" s="9"/>
      <c r="D332" s="9"/>
      <c r="E332" s="11"/>
      <c r="F332" s="1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"/>
      <c r="C333" s="9"/>
      <c r="D333" s="9"/>
      <c r="E333" s="11"/>
      <c r="F333" s="1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"/>
      <c r="C334" s="9"/>
      <c r="D334" s="9"/>
      <c r="E334" s="11"/>
      <c r="F334" s="1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"/>
      <c r="C335" s="9"/>
      <c r="D335" s="9"/>
      <c r="E335" s="11"/>
      <c r="F335" s="1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"/>
      <c r="C336" s="9"/>
      <c r="D336" s="9"/>
      <c r="E336" s="11"/>
      <c r="F336" s="1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"/>
      <c r="C337" s="9"/>
      <c r="D337" s="9"/>
      <c r="E337" s="11"/>
      <c r="F337" s="1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"/>
      <c r="C338" s="9"/>
      <c r="D338" s="9"/>
      <c r="E338" s="11"/>
      <c r="F338" s="1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"/>
      <c r="C339" s="9"/>
      <c r="D339" s="9"/>
      <c r="E339" s="11"/>
      <c r="F339" s="1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"/>
      <c r="C340" s="9"/>
      <c r="D340" s="9"/>
      <c r="E340" s="11"/>
      <c r="F340" s="1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"/>
      <c r="C341" s="9"/>
      <c r="D341" s="9"/>
      <c r="E341" s="11"/>
      <c r="F341" s="1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"/>
      <c r="C342" s="9"/>
      <c r="D342" s="9"/>
      <c r="E342" s="11"/>
      <c r="F342" s="1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"/>
      <c r="C343" s="9"/>
      <c r="D343" s="9"/>
      <c r="E343" s="11"/>
      <c r="F343" s="1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"/>
      <c r="C344" s="9"/>
      <c r="D344" s="9"/>
      <c r="E344" s="11"/>
      <c r="F344" s="1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"/>
      <c r="C345" s="9"/>
      <c r="D345" s="9"/>
      <c r="E345" s="11"/>
      <c r="F345" s="1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"/>
      <c r="C346" s="9"/>
      <c r="D346" s="9"/>
      <c r="E346" s="11"/>
      <c r="F346" s="1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"/>
      <c r="C347" s="9"/>
      <c r="D347" s="9"/>
      <c r="E347" s="11"/>
      <c r="F347" s="1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"/>
      <c r="C348" s="9"/>
      <c r="D348" s="9"/>
      <c r="E348" s="11"/>
      <c r="F348" s="1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"/>
      <c r="C349" s="9"/>
      <c r="D349" s="9"/>
      <c r="E349" s="11"/>
      <c r="F349" s="1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"/>
      <c r="C350" s="9"/>
      <c r="D350" s="9"/>
      <c r="E350" s="11"/>
      <c r="F350" s="1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"/>
      <c r="C351" s="9"/>
      <c r="D351" s="9"/>
      <c r="E351" s="11"/>
      <c r="F351" s="1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"/>
      <c r="C352" s="9"/>
      <c r="D352" s="9"/>
      <c r="E352" s="11"/>
      <c r="F352" s="1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"/>
      <c r="C353" s="9"/>
      <c r="D353" s="9"/>
      <c r="E353" s="11"/>
      <c r="F353" s="1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"/>
      <c r="C354" s="9"/>
      <c r="D354" s="9"/>
      <c r="E354" s="11"/>
      <c r="F354" s="1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"/>
      <c r="C355" s="9"/>
      <c r="D355" s="9"/>
      <c r="E355" s="11"/>
      <c r="F355" s="1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"/>
      <c r="C356" s="9"/>
      <c r="D356" s="9"/>
      <c r="E356" s="11"/>
      <c r="F356" s="1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"/>
      <c r="C357" s="9"/>
      <c r="D357" s="9"/>
      <c r="E357" s="11"/>
      <c r="F357" s="1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"/>
      <c r="C358" s="9"/>
      <c r="D358" s="9"/>
      <c r="E358" s="11"/>
      <c r="F358" s="1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"/>
      <c r="C359" s="9"/>
      <c r="D359" s="9"/>
      <c r="E359" s="11"/>
      <c r="F359" s="1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"/>
      <c r="C360" s="9"/>
      <c r="D360" s="9"/>
      <c r="E360" s="11"/>
      <c r="F360" s="1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"/>
      <c r="C361" s="9"/>
      <c r="D361" s="9"/>
      <c r="E361" s="11"/>
      <c r="F361" s="1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"/>
      <c r="C362" s="9"/>
      <c r="D362" s="9"/>
      <c r="E362" s="11"/>
      <c r="F362" s="1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"/>
      <c r="C363" s="9"/>
      <c r="D363" s="9"/>
      <c r="E363" s="11"/>
      <c r="F363" s="1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"/>
      <c r="C364" s="9"/>
      <c r="D364" s="9"/>
      <c r="E364" s="11"/>
      <c r="F364" s="1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"/>
      <c r="C365" s="9"/>
      <c r="D365" s="9"/>
      <c r="E365" s="11"/>
      <c r="F365" s="1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"/>
      <c r="C366" s="9"/>
      <c r="D366" s="9"/>
      <c r="E366" s="11"/>
      <c r="F366" s="1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"/>
      <c r="C367" s="9"/>
      <c r="D367" s="9"/>
      <c r="E367" s="11"/>
      <c r="F367" s="1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"/>
      <c r="C368" s="9"/>
      <c r="D368" s="9"/>
      <c r="E368" s="11"/>
      <c r="F368" s="1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"/>
      <c r="C369" s="9"/>
      <c r="D369" s="9"/>
      <c r="E369" s="11"/>
      <c r="F369" s="1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"/>
      <c r="C370" s="9"/>
      <c r="D370" s="9"/>
      <c r="E370" s="11"/>
      <c r="F370" s="1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"/>
      <c r="C371" s="9"/>
      <c r="D371" s="9"/>
      <c r="E371" s="11"/>
      <c r="F371" s="1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"/>
      <c r="C372" s="9"/>
      <c r="D372" s="9"/>
      <c r="E372" s="11"/>
      <c r="F372" s="1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"/>
      <c r="C373" s="9"/>
      <c r="D373" s="9"/>
      <c r="E373" s="11"/>
      <c r="F373" s="1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"/>
      <c r="C374" s="9"/>
      <c r="D374" s="9"/>
      <c r="E374" s="11"/>
      <c r="F374" s="1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"/>
      <c r="C375" s="9"/>
      <c r="D375" s="9"/>
      <c r="E375" s="11"/>
      <c r="F375" s="1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"/>
      <c r="C376" s="9"/>
      <c r="D376" s="9"/>
      <c r="E376" s="11"/>
      <c r="F376" s="1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"/>
      <c r="C377" s="9"/>
      <c r="D377" s="9"/>
      <c r="E377" s="11"/>
      <c r="F377" s="1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"/>
      <c r="C378" s="9"/>
      <c r="D378" s="9"/>
      <c r="E378" s="11"/>
      <c r="F378" s="1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"/>
      <c r="C379" s="9"/>
      <c r="D379" s="9"/>
      <c r="E379" s="11"/>
      <c r="F379" s="1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"/>
      <c r="C380" s="9"/>
      <c r="D380" s="9"/>
      <c r="E380" s="11"/>
      <c r="F380" s="1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"/>
      <c r="C381" s="9"/>
      <c r="D381" s="9"/>
      <c r="E381" s="11"/>
      <c r="F381" s="1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"/>
      <c r="C382" s="9"/>
      <c r="D382" s="9"/>
      <c r="E382" s="11"/>
      <c r="F382" s="1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"/>
      <c r="C383" s="9"/>
      <c r="D383" s="9"/>
      <c r="E383" s="11"/>
      <c r="F383" s="1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"/>
      <c r="C384" s="9"/>
      <c r="D384" s="9"/>
      <c r="E384" s="11"/>
      <c r="F384" s="1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"/>
      <c r="C385" s="9"/>
      <c r="D385" s="9"/>
      <c r="E385" s="11"/>
      <c r="F385" s="1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"/>
      <c r="C386" s="9"/>
      <c r="D386" s="9"/>
      <c r="E386" s="11"/>
      <c r="F386" s="1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"/>
      <c r="C387" s="9"/>
      <c r="D387" s="9"/>
      <c r="E387" s="11"/>
      <c r="F387" s="1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"/>
      <c r="C388" s="9"/>
      <c r="D388" s="9"/>
      <c r="E388" s="11"/>
      <c r="F388" s="1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"/>
      <c r="C389" s="9"/>
      <c r="D389" s="9"/>
      <c r="E389" s="11"/>
      <c r="F389" s="1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"/>
      <c r="C390" s="9"/>
      <c r="D390" s="9"/>
      <c r="E390" s="11"/>
      <c r="F390" s="1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"/>
      <c r="C391" s="9"/>
      <c r="D391" s="9"/>
      <c r="E391" s="11"/>
      <c r="F391" s="1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"/>
      <c r="C392" s="9"/>
      <c r="D392" s="9"/>
      <c r="E392" s="11"/>
      <c r="F392" s="1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"/>
      <c r="C393" s="9"/>
      <c r="D393" s="9"/>
      <c r="E393" s="11"/>
      <c r="F393" s="1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"/>
      <c r="C394" s="9"/>
      <c r="D394" s="9"/>
      <c r="E394" s="11"/>
      <c r="F394" s="1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"/>
      <c r="C395" s="9"/>
      <c r="D395" s="9"/>
      <c r="E395" s="11"/>
      <c r="F395" s="1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"/>
      <c r="C396" s="9"/>
      <c r="D396" s="9"/>
      <c r="E396" s="11"/>
      <c r="F396" s="1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"/>
      <c r="C397" s="9"/>
      <c r="D397" s="9"/>
      <c r="E397" s="11"/>
      <c r="F397" s="1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"/>
      <c r="C398" s="9"/>
      <c r="D398" s="9"/>
      <c r="E398" s="11"/>
      <c r="F398" s="1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"/>
      <c r="C399" s="9"/>
      <c r="D399" s="9"/>
      <c r="E399" s="11"/>
      <c r="F399" s="1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"/>
      <c r="C400" s="9"/>
      <c r="D400" s="9"/>
      <c r="E400" s="11"/>
      <c r="F400" s="1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"/>
      <c r="C401" s="9"/>
      <c r="D401" s="9"/>
      <c r="E401" s="11"/>
      <c r="F401" s="1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"/>
      <c r="C402" s="9"/>
      <c r="D402" s="9"/>
      <c r="E402" s="11"/>
      <c r="F402" s="1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"/>
      <c r="C403" s="9"/>
      <c r="D403" s="9"/>
      <c r="E403" s="11"/>
      <c r="F403" s="1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"/>
      <c r="C404" s="9"/>
      <c r="D404" s="9"/>
      <c r="E404" s="11"/>
      <c r="F404" s="1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"/>
      <c r="C405" s="9"/>
      <c r="D405" s="9"/>
      <c r="E405" s="11"/>
      <c r="F405" s="1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"/>
      <c r="C406" s="9"/>
      <c r="D406" s="9"/>
      <c r="E406" s="11"/>
      <c r="F406" s="1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"/>
      <c r="C407" s="9"/>
      <c r="D407" s="9"/>
      <c r="E407" s="11"/>
      <c r="F407" s="1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"/>
      <c r="C408" s="9"/>
      <c r="D408" s="9"/>
      <c r="E408" s="11"/>
      <c r="F408" s="1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"/>
      <c r="C409" s="9"/>
      <c r="D409" s="9"/>
      <c r="E409" s="11"/>
      <c r="F409" s="1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"/>
      <c r="C410" s="9"/>
      <c r="D410" s="9"/>
      <c r="E410" s="11"/>
      <c r="F410" s="1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"/>
      <c r="C411" s="9"/>
      <c r="D411" s="9"/>
      <c r="E411" s="11"/>
      <c r="F411" s="1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"/>
      <c r="C412" s="9"/>
      <c r="D412" s="9"/>
      <c r="E412" s="11"/>
      <c r="F412" s="1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"/>
      <c r="C413" s="9"/>
      <c r="D413" s="9"/>
      <c r="E413" s="11"/>
      <c r="F413" s="1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"/>
      <c r="C414" s="9"/>
      <c r="D414" s="9"/>
      <c r="E414" s="11"/>
      <c r="F414" s="1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"/>
      <c r="C415" s="9"/>
      <c r="D415" s="9"/>
      <c r="E415" s="11"/>
      <c r="F415" s="1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"/>
      <c r="C416" s="9"/>
      <c r="D416" s="9"/>
      <c r="E416" s="11"/>
      <c r="F416" s="1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"/>
      <c r="C417" s="9"/>
      <c r="D417" s="9"/>
      <c r="E417" s="11"/>
      <c r="F417" s="1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"/>
      <c r="C418" s="9"/>
      <c r="D418" s="9"/>
      <c r="E418" s="11"/>
      <c r="F418" s="1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"/>
      <c r="C419" s="9"/>
      <c r="D419" s="9"/>
      <c r="E419" s="11"/>
      <c r="F419" s="1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"/>
      <c r="C420" s="9"/>
      <c r="D420" s="9"/>
      <c r="E420" s="11"/>
      <c r="F420" s="1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"/>
      <c r="C421" s="9"/>
      <c r="D421" s="9"/>
      <c r="E421" s="11"/>
      <c r="F421" s="1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"/>
      <c r="C422" s="9"/>
      <c r="D422" s="9"/>
      <c r="E422" s="11"/>
      <c r="F422" s="1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"/>
      <c r="C423" s="9"/>
      <c r="D423" s="9"/>
      <c r="E423" s="11"/>
      <c r="F423" s="1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"/>
      <c r="C424" s="9"/>
      <c r="D424" s="9"/>
      <c r="E424" s="11"/>
      <c r="F424" s="1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"/>
      <c r="C425" s="9"/>
      <c r="D425" s="9"/>
      <c r="E425" s="11"/>
      <c r="F425" s="1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"/>
      <c r="C426" s="9"/>
      <c r="D426" s="9"/>
      <c r="E426" s="11"/>
      <c r="F426" s="1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"/>
      <c r="C427" s="9"/>
      <c r="D427" s="9"/>
      <c r="E427" s="11"/>
      <c r="F427" s="1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"/>
      <c r="C428" s="9"/>
      <c r="D428" s="9"/>
      <c r="E428" s="11"/>
      <c r="F428" s="1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"/>
      <c r="C429" s="9"/>
      <c r="D429" s="9"/>
      <c r="E429" s="11"/>
      <c r="F429" s="1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"/>
      <c r="C430" s="9"/>
      <c r="D430" s="9"/>
      <c r="E430" s="11"/>
      <c r="F430" s="1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"/>
      <c r="C431" s="9"/>
      <c r="D431" s="9"/>
      <c r="E431" s="11"/>
      <c r="F431" s="1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"/>
      <c r="C432" s="9"/>
      <c r="D432" s="9"/>
      <c r="E432" s="11"/>
      <c r="F432" s="1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"/>
      <c r="C433" s="9"/>
      <c r="D433" s="9"/>
      <c r="E433" s="11"/>
      <c r="F433" s="1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"/>
      <c r="C434" s="9"/>
      <c r="D434" s="9"/>
      <c r="E434" s="11"/>
      <c r="F434" s="1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"/>
      <c r="C435" s="9"/>
      <c r="D435" s="9"/>
      <c r="E435" s="11"/>
      <c r="F435" s="1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"/>
      <c r="C436" s="9"/>
      <c r="D436" s="9"/>
      <c r="E436" s="11"/>
      <c r="F436" s="1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"/>
      <c r="C437" s="9"/>
      <c r="D437" s="9"/>
      <c r="E437" s="11"/>
      <c r="F437" s="1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"/>
      <c r="C438" s="9"/>
      <c r="D438" s="9"/>
      <c r="E438" s="11"/>
      <c r="F438" s="1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"/>
      <c r="C439" s="9"/>
      <c r="D439" s="9"/>
      <c r="E439" s="11"/>
      <c r="F439" s="1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"/>
      <c r="C440" s="9"/>
      <c r="D440" s="9"/>
      <c r="E440" s="11"/>
      <c r="F440" s="1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"/>
      <c r="C441" s="9"/>
      <c r="D441" s="9"/>
      <c r="E441" s="11"/>
      <c r="F441" s="1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"/>
      <c r="C442" s="9"/>
      <c r="D442" s="9"/>
      <c r="E442" s="11"/>
      <c r="F442" s="1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"/>
      <c r="C443" s="9"/>
      <c r="D443" s="9"/>
      <c r="E443" s="11"/>
      <c r="F443" s="1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"/>
      <c r="C444" s="9"/>
      <c r="D444" s="9"/>
      <c r="E444" s="11"/>
      <c r="F444" s="1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"/>
      <c r="C445" s="9"/>
      <c r="D445" s="9"/>
      <c r="E445" s="11"/>
      <c r="F445" s="1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"/>
      <c r="C446" s="9"/>
      <c r="D446" s="9"/>
      <c r="E446" s="11"/>
      <c r="F446" s="1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"/>
      <c r="C447" s="9"/>
      <c r="D447" s="9"/>
      <c r="E447" s="11"/>
      <c r="F447" s="1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"/>
      <c r="C448" s="9"/>
      <c r="D448" s="9"/>
      <c r="E448" s="11"/>
      <c r="F448" s="1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"/>
      <c r="C449" s="9"/>
      <c r="D449" s="9"/>
      <c r="E449" s="11"/>
      <c r="F449" s="1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"/>
      <c r="C450" s="9"/>
      <c r="D450" s="9"/>
      <c r="E450" s="11"/>
      <c r="F450" s="1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"/>
      <c r="C451" s="9"/>
      <c r="D451" s="9"/>
      <c r="E451" s="11"/>
      <c r="F451" s="1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"/>
      <c r="C452" s="9"/>
      <c r="D452" s="9"/>
      <c r="E452" s="11"/>
      <c r="F452" s="1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"/>
      <c r="C453" s="9"/>
      <c r="D453" s="9"/>
      <c r="E453" s="11"/>
      <c r="F453" s="1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"/>
      <c r="C454" s="9"/>
      <c r="D454" s="9"/>
      <c r="E454" s="11"/>
      <c r="F454" s="1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"/>
      <c r="C455" s="9"/>
      <c r="D455" s="9"/>
      <c r="E455" s="11"/>
      <c r="F455" s="1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"/>
      <c r="C456" s="9"/>
      <c r="D456" s="9"/>
      <c r="E456" s="11"/>
      <c r="F456" s="1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"/>
      <c r="C457" s="9"/>
      <c r="D457" s="9"/>
      <c r="E457" s="11"/>
      <c r="F457" s="1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"/>
      <c r="C458" s="9"/>
      <c r="D458" s="9"/>
      <c r="E458" s="11"/>
      <c r="F458" s="1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"/>
      <c r="C459" s="9"/>
      <c r="D459" s="9"/>
      <c r="E459" s="11"/>
      <c r="F459" s="1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"/>
      <c r="C460" s="9"/>
      <c r="D460" s="9"/>
      <c r="E460" s="11"/>
      <c r="F460" s="1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"/>
      <c r="C461" s="9"/>
      <c r="D461" s="9"/>
      <c r="E461" s="11"/>
      <c r="F461" s="1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"/>
      <c r="C462" s="9"/>
      <c r="D462" s="9"/>
      <c r="E462" s="11"/>
      <c r="F462" s="1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"/>
      <c r="C463" s="9"/>
      <c r="D463" s="9"/>
      <c r="E463" s="11"/>
      <c r="F463" s="1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"/>
      <c r="C464" s="9"/>
      <c r="D464" s="9"/>
      <c r="E464" s="11"/>
      <c r="F464" s="1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"/>
      <c r="C465" s="9"/>
      <c r="D465" s="9"/>
      <c r="E465" s="11"/>
      <c r="F465" s="1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"/>
      <c r="C466" s="9"/>
      <c r="D466" s="9"/>
      <c r="E466" s="11"/>
      <c r="F466" s="1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"/>
      <c r="C467" s="9"/>
      <c r="D467" s="9"/>
      <c r="E467" s="11"/>
      <c r="F467" s="1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"/>
      <c r="C468" s="9"/>
      <c r="D468" s="9"/>
      <c r="E468" s="11"/>
      <c r="F468" s="1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"/>
      <c r="C469" s="9"/>
      <c r="D469" s="9"/>
      <c r="E469" s="11"/>
      <c r="F469" s="1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"/>
      <c r="C470" s="9"/>
      <c r="D470" s="9"/>
      <c r="E470" s="11"/>
      <c r="F470" s="1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"/>
      <c r="C471" s="9"/>
      <c r="D471" s="9"/>
      <c r="E471" s="11"/>
      <c r="F471" s="1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"/>
      <c r="C472" s="9"/>
      <c r="D472" s="9"/>
      <c r="E472" s="11"/>
      <c r="F472" s="1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"/>
      <c r="C473" s="9"/>
      <c r="D473" s="9"/>
      <c r="E473" s="11"/>
      <c r="F473" s="1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"/>
      <c r="C474" s="9"/>
      <c r="D474" s="9"/>
      <c r="E474" s="11"/>
      <c r="F474" s="1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"/>
      <c r="C475" s="9"/>
      <c r="D475" s="9"/>
      <c r="E475" s="11"/>
      <c r="F475" s="1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"/>
      <c r="C476" s="9"/>
      <c r="D476" s="9"/>
      <c r="E476" s="11"/>
      <c r="F476" s="1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"/>
      <c r="C477" s="9"/>
      <c r="D477" s="9"/>
      <c r="E477" s="11"/>
      <c r="F477" s="1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"/>
      <c r="C478" s="9"/>
      <c r="D478" s="9"/>
      <c r="E478" s="11"/>
      <c r="F478" s="1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"/>
      <c r="C479" s="9"/>
      <c r="D479" s="9"/>
      <c r="E479" s="11"/>
      <c r="F479" s="1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"/>
      <c r="C480" s="9"/>
      <c r="D480" s="9"/>
      <c r="E480" s="11"/>
      <c r="F480" s="1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"/>
      <c r="C481" s="9"/>
      <c r="D481" s="9"/>
      <c r="E481" s="11"/>
      <c r="F481" s="1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"/>
      <c r="C482" s="9"/>
      <c r="D482" s="9"/>
      <c r="E482" s="11"/>
      <c r="F482" s="1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"/>
      <c r="C483" s="9"/>
      <c r="D483" s="9"/>
      <c r="E483" s="11"/>
      <c r="F483" s="1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"/>
      <c r="C484" s="9"/>
      <c r="D484" s="9"/>
      <c r="E484" s="11"/>
      <c r="F484" s="1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"/>
      <c r="C485" s="9"/>
      <c r="D485" s="9"/>
      <c r="E485" s="11"/>
      <c r="F485" s="1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"/>
      <c r="C486" s="9"/>
      <c r="D486" s="9"/>
      <c r="E486" s="11"/>
      <c r="F486" s="1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"/>
      <c r="C487" s="9"/>
      <c r="D487" s="9"/>
      <c r="E487" s="11"/>
      <c r="F487" s="1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"/>
      <c r="C488" s="9"/>
      <c r="D488" s="9"/>
      <c r="E488" s="11"/>
      <c r="F488" s="1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"/>
      <c r="C489" s="9"/>
      <c r="D489" s="9"/>
      <c r="E489" s="11"/>
      <c r="F489" s="1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"/>
      <c r="C490" s="9"/>
      <c r="D490" s="9"/>
      <c r="E490" s="11"/>
      <c r="F490" s="1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"/>
      <c r="C491" s="9"/>
      <c r="D491" s="9"/>
      <c r="E491" s="11"/>
      <c r="F491" s="1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"/>
      <c r="C492" s="9"/>
      <c r="D492" s="9"/>
      <c r="E492" s="11"/>
      <c r="F492" s="1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"/>
      <c r="C493" s="9"/>
      <c r="D493" s="9"/>
      <c r="E493" s="11"/>
      <c r="F493" s="1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"/>
      <c r="C494" s="9"/>
      <c r="D494" s="9"/>
      <c r="E494" s="11"/>
      <c r="F494" s="1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"/>
      <c r="C495" s="9"/>
      <c r="D495" s="9"/>
      <c r="E495" s="11"/>
      <c r="F495" s="1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"/>
      <c r="C496" s="9"/>
      <c r="D496" s="9"/>
      <c r="E496" s="11"/>
      <c r="F496" s="1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"/>
      <c r="C497" s="9"/>
      <c r="D497" s="9"/>
      <c r="E497" s="11"/>
      <c r="F497" s="1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"/>
      <c r="C498" s="9"/>
      <c r="D498" s="9"/>
      <c r="E498" s="11"/>
      <c r="F498" s="1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"/>
      <c r="C499" s="9"/>
      <c r="D499" s="9"/>
      <c r="E499" s="11"/>
      <c r="F499" s="1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"/>
      <c r="C500" s="9"/>
      <c r="D500" s="9"/>
      <c r="E500" s="11"/>
      <c r="F500" s="1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"/>
      <c r="C501" s="9"/>
      <c r="D501" s="9"/>
      <c r="E501" s="11"/>
      <c r="F501" s="11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"/>
      <c r="C502" s="9"/>
      <c r="D502" s="9"/>
      <c r="E502" s="11"/>
      <c r="F502" s="11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"/>
      <c r="C503" s="9"/>
      <c r="D503" s="9"/>
      <c r="E503" s="11"/>
      <c r="F503" s="11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"/>
      <c r="C504" s="9"/>
      <c r="D504" s="9"/>
      <c r="E504" s="11"/>
      <c r="F504" s="11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"/>
      <c r="C505" s="9"/>
      <c r="D505" s="9"/>
      <c r="E505" s="11"/>
      <c r="F505" s="11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"/>
      <c r="C506" s="9"/>
      <c r="D506" s="9"/>
      <c r="E506" s="11"/>
      <c r="F506" s="11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"/>
      <c r="C507" s="9"/>
      <c r="D507" s="9"/>
      <c r="E507" s="11"/>
      <c r="F507" s="11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"/>
      <c r="C508" s="9"/>
      <c r="D508" s="9"/>
      <c r="E508" s="11"/>
      <c r="F508" s="11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"/>
      <c r="C509" s="9"/>
      <c r="D509" s="9"/>
      <c r="E509" s="11"/>
      <c r="F509" s="11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"/>
      <c r="C510" s="9"/>
      <c r="D510" s="9"/>
      <c r="E510" s="11"/>
      <c r="F510" s="11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"/>
      <c r="C511" s="9"/>
      <c r="D511" s="9"/>
      <c r="E511" s="11"/>
      <c r="F511" s="11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"/>
      <c r="C512" s="9"/>
      <c r="D512" s="9"/>
      <c r="E512" s="11"/>
      <c r="F512" s="11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"/>
      <c r="C513" s="9"/>
      <c r="D513" s="9"/>
      <c r="E513" s="11"/>
      <c r="F513" s="11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"/>
      <c r="C514" s="9"/>
      <c r="D514" s="9"/>
      <c r="E514" s="11"/>
      <c r="F514" s="11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"/>
      <c r="C515" s="9"/>
      <c r="D515" s="9"/>
      <c r="E515" s="11"/>
      <c r="F515" s="11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"/>
      <c r="C516" s="9"/>
      <c r="D516" s="9"/>
      <c r="E516" s="11"/>
      <c r="F516" s="11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"/>
      <c r="C517" s="9"/>
      <c r="D517" s="9"/>
      <c r="E517" s="11"/>
      <c r="F517" s="11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"/>
      <c r="C518" s="9"/>
      <c r="D518" s="9"/>
      <c r="E518" s="11"/>
      <c r="F518" s="11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"/>
      <c r="C519" s="9"/>
      <c r="D519" s="9"/>
      <c r="E519" s="11"/>
      <c r="F519" s="11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"/>
      <c r="C520" s="9"/>
      <c r="D520" s="9"/>
      <c r="E520" s="11"/>
      <c r="F520" s="11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"/>
      <c r="C521" s="9"/>
      <c r="D521" s="9"/>
      <c r="E521" s="11"/>
      <c r="F521" s="11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"/>
      <c r="C522" s="9"/>
      <c r="D522" s="9"/>
      <c r="E522" s="11"/>
      <c r="F522" s="11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"/>
      <c r="C523" s="9"/>
      <c r="D523" s="9"/>
      <c r="E523" s="11"/>
      <c r="F523" s="11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"/>
      <c r="C524" s="9"/>
      <c r="D524" s="9"/>
      <c r="E524" s="11"/>
      <c r="F524" s="11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"/>
      <c r="C525" s="9"/>
      <c r="D525" s="9"/>
      <c r="E525" s="11"/>
      <c r="F525" s="11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"/>
      <c r="C526" s="9"/>
      <c r="D526" s="9"/>
      <c r="E526" s="11"/>
      <c r="F526" s="11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"/>
      <c r="C527" s="9"/>
      <c r="D527" s="9"/>
      <c r="E527" s="11"/>
      <c r="F527" s="11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"/>
      <c r="C528" s="9"/>
      <c r="D528" s="9"/>
      <c r="E528" s="11"/>
      <c r="F528" s="11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"/>
      <c r="C529" s="9"/>
      <c r="D529" s="9"/>
      <c r="E529" s="11"/>
      <c r="F529" s="11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"/>
      <c r="C530" s="9"/>
      <c r="D530" s="9"/>
      <c r="E530" s="11"/>
      <c r="F530" s="11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"/>
      <c r="C531" s="9"/>
      <c r="D531" s="9"/>
      <c r="E531" s="11"/>
      <c r="F531" s="11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"/>
      <c r="C532" s="9"/>
      <c r="D532" s="9"/>
      <c r="E532" s="11"/>
      <c r="F532" s="11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"/>
      <c r="C533" s="9"/>
      <c r="D533" s="9"/>
      <c r="E533" s="11"/>
      <c r="F533" s="11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"/>
      <c r="C534" s="9"/>
      <c r="D534" s="9"/>
      <c r="E534" s="11"/>
      <c r="F534" s="11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"/>
      <c r="C535" s="9"/>
      <c r="D535" s="9"/>
      <c r="E535" s="11"/>
      <c r="F535" s="11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"/>
      <c r="C536" s="9"/>
      <c r="D536" s="9"/>
      <c r="E536" s="11"/>
      <c r="F536" s="11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"/>
      <c r="C537" s="9"/>
      <c r="D537" s="9"/>
      <c r="E537" s="11"/>
      <c r="F537" s="11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"/>
      <c r="C538" s="9"/>
      <c r="D538" s="9"/>
      <c r="E538" s="11"/>
      <c r="F538" s="11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"/>
      <c r="C539" s="9"/>
      <c r="D539" s="9"/>
      <c r="E539" s="11"/>
      <c r="F539" s="11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"/>
      <c r="C540" s="9"/>
      <c r="D540" s="9"/>
      <c r="E540" s="11"/>
      <c r="F540" s="11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"/>
      <c r="C541" s="9"/>
      <c r="D541" s="9"/>
      <c r="E541" s="11"/>
      <c r="F541" s="11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"/>
      <c r="C542" s="9"/>
      <c r="D542" s="9"/>
      <c r="E542" s="11"/>
      <c r="F542" s="11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"/>
      <c r="C543" s="9"/>
      <c r="D543" s="9"/>
      <c r="E543" s="11"/>
      <c r="F543" s="11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"/>
      <c r="C544" s="9"/>
      <c r="D544" s="9"/>
      <c r="E544" s="11"/>
      <c r="F544" s="11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"/>
      <c r="C545" s="9"/>
      <c r="D545" s="9"/>
      <c r="E545" s="11"/>
      <c r="F545" s="11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"/>
      <c r="C546" s="9"/>
      <c r="D546" s="9"/>
      <c r="E546" s="11"/>
      <c r="F546" s="11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"/>
      <c r="C547" s="9"/>
      <c r="D547" s="9"/>
      <c r="E547" s="11"/>
      <c r="F547" s="11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"/>
      <c r="C548" s="9"/>
      <c r="D548" s="9"/>
      <c r="E548" s="11"/>
      <c r="F548" s="11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"/>
      <c r="C549" s="9"/>
      <c r="D549" s="9"/>
      <c r="E549" s="11"/>
      <c r="F549" s="11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"/>
      <c r="C550" s="9"/>
      <c r="D550" s="9"/>
      <c r="E550" s="11"/>
      <c r="F550" s="11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"/>
      <c r="C551" s="9"/>
      <c r="D551" s="9"/>
      <c r="E551" s="11"/>
      <c r="F551" s="11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"/>
      <c r="C552" s="9"/>
      <c r="D552" s="9"/>
      <c r="E552" s="11"/>
      <c r="F552" s="11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"/>
      <c r="C553" s="9"/>
      <c r="D553" s="9"/>
      <c r="E553" s="11"/>
      <c r="F553" s="11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"/>
      <c r="C554" s="9"/>
      <c r="D554" s="9"/>
      <c r="E554" s="11"/>
      <c r="F554" s="11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"/>
      <c r="C555" s="9"/>
      <c r="D555" s="9"/>
      <c r="E555" s="11"/>
      <c r="F555" s="11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"/>
      <c r="C556" s="9"/>
      <c r="D556" s="9"/>
      <c r="E556" s="11"/>
      <c r="F556" s="11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"/>
      <c r="C557" s="9"/>
      <c r="D557" s="9"/>
      <c r="E557" s="11"/>
      <c r="F557" s="11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"/>
      <c r="C558" s="9"/>
      <c r="D558" s="9"/>
      <c r="E558" s="11"/>
      <c r="F558" s="11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"/>
      <c r="C559" s="9"/>
      <c r="D559" s="9"/>
      <c r="E559" s="11"/>
      <c r="F559" s="11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"/>
      <c r="C560" s="9"/>
      <c r="D560" s="9"/>
      <c r="E560" s="11"/>
      <c r="F560" s="11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"/>
      <c r="C561" s="9"/>
      <c r="D561" s="9"/>
      <c r="E561" s="11"/>
      <c r="F561" s="11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"/>
      <c r="C562" s="9"/>
      <c r="D562" s="9"/>
      <c r="E562" s="11"/>
      <c r="F562" s="11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"/>
      <c r="C563" s="9"/>
      <c r="D563" s="9"/>
      <c r="E563" s="11"/>
      <c r="F563" s="11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"/>
      <c r="C564" s="9"/>
      <c r="D564" s="9"/>
      <c r="E564" s="11"/>
      <c r="F564" s="11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"/>
      <c r="C565" s="9"/>
      <c r="D565" s="9"/>
      <c r="E565" s="11"/>
      <c r="F565" s="11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"/>
      <c r="C566" s="9"/>
      <c r="D566" s="9"/>
      <c r="E566" s="11"/>
      <c r="F566" s="11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"/>
      <c r="C567" s="9"/>
      <c r="D567" s="9"/>
      <c r="E567" s="11"/>
      <c r="F567" s="11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"/>
      <c r="C568" s="9"/>
      <c r="D568" s="9"/>
      <c r="E568" s="11"/>
      <c r="F568" s="11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"/>
      <c r="C569" s="9"/>
      <c r="D569" s="9"/>
      <c r="E569" s="11"/>
      <c r="F569" s="11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"/>
      <c r="C570" s="9"/>
      <c r="D570" s="9"/>
      <c r="E570" s="11"/>
      <c r="F570" s="11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"/>
      <c r="C571" s="9"/>
      <c r="D571" s="9"/>
      <c r="E571" s="11"/>
      <c r="F571" s="11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"/>
      <c r="C572" s="9"/>
      <c r="D572" s="9"/>
      <c r="E572" s="11"/>
      <c r="F572" s="11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"/>
      <c r="C573" s="9"/>
      <c r="D573" s="9"/>
      <c r="E573" s="11"/>
      <c r="F573" s="11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"/>
      <c r="C574" s="9"/>
      <c r="D574" s="9"/>
      <c r="E574" s="11"/>
      <c r="F574" s="11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"/>
      <c r="C575" s="9"/>
      <c r="D575" s="9"/>
      <c r="E575" s="11"/>
      <c r="F575" s="11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"/>
      <c r="C576" s="9"/>
      <c r="D576" s="9"/>
      <c r="E576" s="11"/>
      <c r="F576" s="11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"/>
      <c r="C577" s="9"/>
      <c r="D577" s="9"/>
      <c r="E577" s="11"/>
      <c r="F577" s="11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"/>
      <c r="C578" s="9"/>
      <c r="D578" s="9"/>
      <c r="E578" s="11"/>
      <c r="F578" s="11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"/>
      <c r="C579" s="9"/>
      <c r="D579" s="9"/>
      <c r="E579" s="11"/>
      <c r="F579" s="11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"/>
      <c r="C580" s="9"/>
      <c r="D580" s="9"/>
      <c r="E580" s="11"/>
      <c r="F580" s="11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"/>
      <c r="C581" s="9"/>
      <c r="D581" s="9"/>
      <c r="E581" s="11"/>
      <c r="F581" s="11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"/>
      <c r="C582" s="9"/>
      <c r="D582" s="9"/>
      <c r="E582" s="11"/>
      <c r="F582" s="11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"/>
      <c r="C583" s="9"/>
      <c r="D583" s="9"/>
      <c r="E583" s="11"/>
      <c r="F583" s="11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"/>
      <c r="C584" s="9"/>
      <c r="D584" s="9"/>
      <c r="E584" s="11"/>
      <c r="F584" s="11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"/>
      <c r="C585" s="9"/>
      <c r="D585" s="9"/>
      <c r="E585" s="11"/>
      <c r="F585" s="11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"/>
      <c r="C586" s="9"/>
      <c r="D586" s="9"/>
      <c r="E586" s="11"/>
      <c r="F586" s="11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"/>
      <c r="C587" s="9"/>
      <c r="D587" s="9"/>
      <c r="E587" s="11"/>
      <c r="F587" s="11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"/>
      <c r="C588" s="9"/>
      <c r="D588" s="9"/>
      <c r="E588" s="11"/>
      <c r="F588" s="11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"/>
      <c r="C589" s="9"/>
      <c r="D589" s="9"/>
      <c r="E589" s="11"/>
      <c r="F589" s="11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"/>
      <c r="C590" s="9"/>
      <c r="D590" s="9"/>
      <c r="E590" s="11"/>
      <c r="F590" s="11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"/>
      <c r="C591" s="9"/>
      <c r="D591" s="9"/>
      <c r="E591" s="11"/>
      <c r="F591" s="11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"/>
      <c r="C592" s="9"/>
      <c r="D592" s="9"/>
      <c r="E592" s="11"/>
      <c r="F592" s="11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"/>
      <c r="C593" s="9"/>
      <c r="D593" s="9"/>
      <c r="E593" s="11"/>
      <c r="F593" s="11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"/>
      <c r="C594" s="9"/>
      <c r="D594" s="9"/>
      <c r="E594" s="11"/>
      <c r="F594" s="11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"/>
      <c r="C595" s="9"/>
      <c r="D595" s="9"/>
      <c r="E595" s="11"/>
      <c r="F595" s="11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"/>
      <c r="C596" s="9"/>
      <c r="D596" s="9"/>
      <c r="E596" s="11"/>
      <c r="F596" s="11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"/>
      <c r="C597" s="9"/>
      <c r="D597" s="9"/>
      <c r="E597" s="11"/>
      <c r="F597" s="11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"/>
      <c r="C598" s="9"/>
      <c r="D598" s="9"/>
      <c r="E598" s="11"/>
      <c r="F598" s="11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"/>
      <c r="C599" s="9"/>
      <c r="D599" s="9"/>
      <c r="E599" s="11"/>
      <c r="F599" s="11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"/>
      <c r="C600" s="9"/>
      <c r="D600" s="9"/>
      <c r="E600" s="11"/>
      <c r="F600" s="11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"/>
      <c r="C601" s="9"/>
      <c r="D601" s="9"/>
      <c r="E601" s="11"/>
      <c r="F601" s="11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"/>
      <c r="C602" s="9"/>
      <c r="D602" s="9"/>
      <c r="E602" s="11"/>
      <c r="F602" s="11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"/>
      <c r="C603" s="9"/>
      <c r="D603" s="9"/>
      <c r="E603" s="11"/>
      <c r="F603" s="11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"/>
      <c r="C604" s="9"/>
      <c r="D604" s="9"/>
      <c r="E604" s="11"/>
      <c r="F604" s="11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"/>
      <c r="C605" s="9"/>
      <c r="D605" s="9"/>
      <c r="E605" s="11"/>
      <c r="F605" s="11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"/>
      <c r="C606" s="9"/>
      <c r="D606" s="9"/>
      <c r="E606" s="11"/>
      <c r="F606" s="11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"/>
      <c r="C607" s="9"/>
      <c r="D607" s="9"/>
      <c r="E607" s="11"/>
      <c r="F607" s="11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"/>
      <c r="C608" s="9"/>
      <c r="D608" s="9"/>
      <c r="E608" s="11"/>
      <c r="F608" s="11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"/>
      <c r="C609" s="9"/>
      <c r="D609" s="9"/>
      <c r="E609" s="11"/>
      <c r="F609" s="11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"/>
      <c r="C610" s="9"/>
      <c r="D610" s="9"/>
      <c r="E610" s="11"/>
      <c r="F610" s="11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"/>
      <c r="C611" s="9"/>
      <c r="D611" s="9"/>
      <c r="E611" s="11"/>
      <c r="F611" s="11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"/>
      <c r="C612" s="9"/>
      <c r="D612" s="9"/>
      <c r="E612" s="11"/>
      <c r="F612" s="11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"/>
      <c r="C613" s="9"/>
      <c r="D613" s="9"/>
      <c r="E613" s="11"/>
      <c r="F613" s="11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"/>
      <c r="C614" s="9"/>
      <c r="D614" s="9"/>
      <c r="E614" s="11"/>
      <c r="F614" s="11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"/>
      <c r="C615" s="9"/>
      <c r="D615" s="9"/>
      <c r="E615" s="11"/>
      <c r="F615" s="11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"/>
      <c r="C616" s="9"/>
      <c r="D616" s="9"/>
      <c r="E616" s="11"/>
      <c r="F616" s="11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"/>
      <c r="C617" s="9"/>
      <c r="D617" s="9"/>
      <c r="E617" s="11"/>
      <c r="F617" s="11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"/>
      <c r="C618" s="9"/>
      <c r="D618" s="9"/>
      <c r="E618" s="11"/>
      <c r="F618" s="11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"/>
      <c r="C619" s="9"/>
      <c r="D619" s="9"/>
      <c r="E619" s="11"/>
      <c r="F619" s="11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"/>
      <c r="C620" s="9"/>
      <c r="D620" s="9"/>
      <c r="E620" s="11"/>
      <c r="F620" s="11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"/>
      <c r="C621" s="9"/>
      <c r="D621" s="9"/>
      <c r="E621" s="11"/>
      <c r="F621" s="11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"/>
      <c r="C622" s="9"/>
      <c r="D622" s="9"/>
      <c r="E622" s="11"/>
      <c r="F622" s="11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"/>
      <c r="C623" s="9"/>
      <c r="D623" s="9"/>
      <c r="E623" s="11"/>
      <c r="F623" s="11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"/>
      <c r="C624" s="9"/>
      <c r="D624" s="9"/>
      <c r="E624" s="11"/>
      <c r="F624" s="11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"/>
      <c r="C625" s="9"/>
      <c r="D625" s="9"/>
      <c r="E625" s="11"/>
      <c r="F625" s="11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"/>
      <c r="C626" s="9"/>
      <c r="D626" s="9"/>
      <c r="E626" s="11"/>
      <c r="F626" s="11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"/>
      <c r="C627" s="9"/>
      <c r="D627" s="9"/>
      <c r="E627" s="11"/>
      <c r="F627" s="11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"/>
      <c r="C628" s="9"/>
      <c r="D628" s="9"/>
      <c r="E628" s="11"/>
      <c r="F628" s="11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"/>
      <c r="C629" s="9"/>
      <c r="D629" s="9"/>
      <c r="E629" s="11"/>
      <c r="F629" s="11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"/>
      <c r="C630" s="9"/>
      <c r="D630" s="9"/>
      <c r="E630" s="11"/>
      <c r="F630" s="11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"/>
      <c r="C631" s="9"/>
      <c r="D631" s="9"/>
      <c r="E631" s="11"/>
      <c r="F631" s="11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"/>
      <c r="C632" s="9"/>
      <c r="D632" s="9"/>
      <c r="E632" s="11"/>
      <c r="F632" s="11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"/>
      <c r="C633" s="9"/>
      <c r="D633" s="9"/>
      <c r="E633" s="11"/>
      <c r="F633" s="11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"/>
      <c r="C634" s="9"/>
      <c r="D634" s="9"/>
      <c r="E634" s="11"/>
      <c r="F634" s="11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"/>
      <c r="C635" s="9"/>
      <c r="D635" s="9"/>
      <c r="E635" s="11"/>
      <c r="F635" s="11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"/>
      <c r="C636" s="9"/>
      <c r="D636" s="9"/>
      <c r="E636" s="11"/>
      <c r="F636" s="11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"/>
      <c r="C637" s="9"/>
      <c r="D637" s="9"/>
      <c r="E637" s="11"/>
      <c r="F637" s="11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"/>
      <c r="C638" s="9"/>
      <c r="D638" s="9"/>
      <c r="E638" s="11"/>
      <c r="F638" s="11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"/>
      <c r="C639" s="9"/>
      <c r="D639" s="9"/>
      <c r="E639" s="11"/>
      <c r="F639" s="11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"/>
      <c r="C640" s="9"/>
      <c r="D640" s="9"/>
      <c r="E640" s="11"/>
      <c r="F640" s="11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"/>
      <c r="C641" s="9"/>
      <c r="D641" s="9"/>
      <c r="E641" s="11"/>
      <c r="F641" s="11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"/>
      <c r="C642" s="9"/>
      <c r="D642" s="9"/>
      <c r="E642" s="11"/>
      <c r="F642" s="11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"/>
      <c r="C643" s="9"/>
      <c r="D643" s="9"/>
      <c r="E643" s="11"/>
      <c r="F643" s="11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"/>
      <c r="C644" s="9"/>
      <c r="D644" s="9"/>
      <c r="E644" s="11"/>
      <c r="F644" s="11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"/>
      <c r="C645" s="9"/>
      <c r="D645" s="9"/>
      <c r="E645" s="11"/>
      <c r="F645" s="11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"/>
      <c r="C646" s="9"/>
      <c r="D646" s="9"/>
      <c r="E646" s="11"/>
      <c r="F646" s="11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"/>
      <c r="C647" s="9"/>
      <c r="D647" s="9"/>
      <c r="E647" s="11"/>
      <c r="F647" s="11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"/>
      <c r="C648" s="9"/>
      <c r="D648" s="9"/>
      <c r="E648" s="11"/>
      <c r="F648" s="11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"/>
      <c r="C649" s="9"/>
      <c r="D649" s="9"/>
      <c r="E649" s="11"/>
      <c r="F649" s="11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"/>
      <c r="C650" s="9"/>
      <c r="D650" s="9"/>
      <c r="E650" s="11"/>
      <c r="F650" s="11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"/>
      <c r="C651" s="9"/>
      <c r="D651" s="9"/>
      <c r="E651" s="11"/>
      <c r="F651" s="11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"/>
      <c r="C652" s="9"/>
      <c r="D652" s="9"/>
      <c r="E652" s="11"/>
      <c r="F652" s="11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"/>
      <c r="C653" s="9"/>
      <c r="D653" s="9"/>
      <c r="E653" s="11"/>
      <c r="F653" s="11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"/>
      <c r="C654" s="9"/>
      <c r="D654" s="9"/>
      <c r="E654" s="11"/>
      <c r="F654" s="11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"/>
      <c r="C655" s="9"/>
      <c r="D655" s="9"/>
      <c r="E655" s="11"/>
      <c r="F655" s="11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"/>
      <c r="C656" s="9"/>
      <c r="D656" s="9"/>
      <c r="E656" s="11"/>
      <c r="F656" s="11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"/>
      <c r="C657" s="9"/>
      <c r="D657" s="9"/>
      <c r="E657" s="11"/>
      <c r="F657" s="11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"/>
      <c r="C658" s="9"/>
      <c r="D658" s="9"/>
      <c r="E658" s="11"/>
      <c r="F658" s="11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"/>
      <c r="C659" s="9"/>
      <c r="D659" s="9"/>
      <c r="E659" s="11"/>
      <c r="F659" s="11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"/>
      <c r="C660" s="9"/>
      <c r="D660" s="9"/>
      <c r="E660" s="11"/>
      <c r="F660" s="11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"/>
      <c r="C661" s="9"/>
      <c r="D661" s="9"/>
      <c r="E661" s="11"/>
      <c r="F661" s="11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"/>
      <c r="C662" s="9"/>
      <c r="D662" s="9"/>
      <c r="E662" s="11"/>
      <c r="F662" s="11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"/>
      <c r="C663" s="9"/>
      <c r="D663" s="9"/>
      <c r="E663" s="11"/>
      <c r="F663" s="11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"/>
      <c r="C664" s="9"/>
      <c r="D664" s="9"/>
      <c r="E664" s="11"/>
      <c r="F664" s="11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"/>
      <c r="C665" s="9"/>
      <c r="D665" s="9"/>
      <c r="E665" s="11"/>
      <c r="F665" s="11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"/>
      <c r="C666" s="9"/>
      <c r="D666" s="9"/>
      <c r="E666" s="11"/>
      <c r="F666" s="11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"/>
      <c r="C667" s="9"/>
      <c r="D667" s="9"/>
      <c r="E667" s="11"/>
      <c r="F667" s="11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"/>
      <c r="C668" s="9"/>
      <c r="D668" s="9"/>
      <c r="E668" s="11"/>
      <c r="F668" s="11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"/>
      <c r="C669" s="9"/>
      <c r="D669" s="9"/>
      <c r="E669" s="11"/>
      <c r="F669" s="11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"/>
      <c r="C670" s="9"/>
      <c r="D670" s="9"/>
      <c r="E670" s="11"/>
      <c r="F670" s="11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"/>
      <c r="C671" s="9"/>
      <c r="D671" s="9"/>
      <c r="E671" s="11"/>
      <c r="F671" s="11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"/>
      <c r="C672" s="9"/>
      <c r="D672" s="9"/>
      <c r="E672" s="11"/>
      <c r="F672" s="11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"/>
      <c r="C673" s="9"/>
      <c r="D673" s="9"/>
      <c r="E673" s="11"/>
      <c r="F673" s="11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"/>
      <c r="C674" s="9"/>
      <c r="D674" s="9"/>
      <c r="E674" s="11"/>
      <c r="F674" s="11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"/>
      <c r="C675" s="9"/>
      <c r="D675" s="9"/>
      <c r="E675" s="11"/>
      <c r="F675" s="11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"/>
      <c r="C676" s="9"/>
      <c r="D676" s="9"/>
      <c r="E676" s="11"/>
      <c r="F676" s="11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"/>
      <c r="C677" s="9"/>
      <c r="D677" s="9"/>
      <c r="E677" s="11"/>
      <c r="F677" s="11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"/>
      <c r="C678" s="9"/>
      <c r="D678" s="9"/>
      <c r="E678" s="11"/>
      <c r="F678" s="11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"/>
      <c r="C679" s="9"/>
      <c r="D679" s="9"/>
      <c r="E679" s="11"/>
      <c r="F679" s="11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"/>
      <c r="C680" s="9"/>
      <c r="D680" s="9"/>
      <c r="E680" s="11"/>
      <c r="F680" s="11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"/>
      <c r="C681" s="9"/>
      <c r="D681" s="9"/>
      <c r="E681" s="11"/>
      <c r="F681" s="11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"/>
      <c r="C682" s="9"/>
      <c r="D682" s="9"/>
      <c r="E682" s="11"/>
      <c r="F682" s="11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"/>
      <c r="C683" s="9"/>
      <c r="D683" s="9"/>
      <c r="E683" s="11"/>
      <c r="F683" s="11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"/>
      <c r="C684" s="9"/>
      <c r="D684" s="9"/>
      <c r="E684" s="11"/>
      <c r="F684" s="11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"/>
      <c r="C685" s="9"/>
      <c r="D685" s="9"/>
      <c r="E685" s="11"/>
      <c r="F685" s="11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"/>
      <c r="C686" s="9"/>
      <c r="D686" s="9"/>
      <c r="E686" s="11"/>
      <c r="F686" s="11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"/>
      <c r="C687" s="9"/>
      <c r="D687" s="9"/>
      <c r="E687" s="11"/>
      <c r="F687" s="11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"/>
      <c r="C688" s="9"/>
      <c r="D688" s="9"/>
      <c r="E688" s="11"/>
      <c r="F688" s="11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"/>
      <c r="C689" s="9"/>
      <c r="D689" s="9"/>
      <c r="E689" s="11"/>
      <c r="F689" s="11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"/>
      <c r="C690" s="9"/>
      <c r="D690" s="9"/>
      <c r="E690" s="11"/>
      <c r="F690" s="11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"/>
      <c r="C691" s="9"/>
      <c r="D691" s="9"/>
      <c r="E691" s="11"/>
      <c r="F691" s="11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"/>
      <c r="C692" s="9"/>
      <c r="D692" s="9"/>
      <c r="E692" s="11"/>
      <c r="F692" s="11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"/>
      <c r="C693" s="9"/>
      <c r="D693" s="9"/>
      <c r="E693" s="11"/>
      <c r="F693" s="11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"/>
      <c r="C694" s="9"/>
      <c r="D694" s="9"/>
      <c r="E694" s="11"/>
      <c r="F694" s="11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"/>
      <c r="C695" s="9"/>
      <c r="D695" s="9"/>
      <c r="E695" s="11"/>
      <c r="F695" s="11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"/>
      <c r="C696" s="9"/>
      <c r="D696" s="9"/>
      <c r="E696" s="11"/>
      <c r="F696" s="11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"/>
      <c r="C697" s="9"/>
      <c r="D697" s="9"/>
      <c r="E697" s="11"/>
      <c r="F697" s="11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"/>
      <c r="C698" s="9"/>
      <c r="D698" s="9"/>
      <c r="E698" s="11"/>
      <c r="F698" s="11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"/>
      <c r="C699" s="9"/>
      <c r="D699" s="9"/>
      <c r="E699" s="11"/>
      <c r="F699" s="11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"/>
      <c r="C700" s="9"/>
      <c r="D700" s="9"/>
      <c r="E700" s="11"/>
      <c r="F700" s="11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"/>
      <c r="C701" s="9"/>
      <c r="D701" s="9"/>
      <c r="E701" s="11"/>
      <c r="F701" s="11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"/>
      <c r="C702" s="9"/>
      <c r="D702" s="9"/>
      <c r="E702" s="11"/>
      <c r="F702" s="11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"/>
      <c r="C703" s="9"/>
      <c r="D703" s="9"/>
      <c r="E703" s="11"/>
      <c r="F703" s="11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"/>
      <c r="C704" s="9"/>
      <c r="D704" s="9"/>
      <c r="E704" s="11"/>
      <c r="F704" s="11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"/>
      <c r="C705" s="9"/>
      <c r="D705" s="9"/>
      <c r="E705" s="11"/>
      <c r="F705" s="11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"/>
      <c r="C706" s="9"/>
      <c r="D706" s="9"/>
      <c r="E706" s="11"/>
      <c r="F706" s="11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"/>
      <c r="C707" s="9"/>
      <c r="D707" s="9"/>
      <c r="E707" s="11"/>
      <c r="F707" s="11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"/>
      <c r="C708" s="9"/>
      <c r="D708" s="9"/>
      <c r="E708" s="11"/>
      <c r="F708" s="11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"/>
      <c r="C709" s="9"/>
      <c r="D709" s="9"/>
      <c r="E709" s="11"/>
      <c r="F709" s="11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"/>
      <c r="C710" s="9"/>
      <c r="D710" s="9"/>
      <c r="E710" s="11"/>
      <c r="F710" s="11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"/>
      <c r="C711" s="9"/>
      <c r="D711" s="9"/>
      <c r="E711" s="11"/>
      <c r="F711" s="11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"/>
      <c r="C712" s="9"/>
      <c r="D712" s="9"/>
      <c r="E712" s="11"/>
      <c r="F712" s="11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"/>
      <c r="C713" s="9"/>
      <c r="D713" s="9"/>
      <c r="E713" s="11"/>
      <c r="F713" s="11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"/>
      <c r="C714" s="9"/>
      <c r="D714" s="9"/>
      <c r="E714" s="11"/>
      <c r="F714" s="11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"/>
      <c r="C715" s="9"/>
      <c r="D715" s="9"/>
      <c r="E715" s="11"/>
      <c r="F715" s="11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"/>
      <c r="C716" s="9"/>
      <c r="D716" s="9"/>
      <c r="E716" s="11"/>
      <c r="F716" s="11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"/>
      <c r="C717" s="9"/>
      <c r="D717" s="9"/>
      <c r="E717" s="11"/>
      <c r="F717" s="11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"/>
      <c r="C718" s="9"/>
      <c r="D718" s="9"/>
      <c r="E718" s="11"/>
      <c r="F718" s="11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"/>
      <c r="C719" s="9"/>
      <c r="D719" s="9"/>
      <c r="E719" s="11"/>
      <c r="F719" s="11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"/>
      <c r="C720" s="9"/>
      <c r="D720" s="9"/>
      <c r="E720" s="11"/>
      <c r="F720" s="11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"/>
      <c r="C721" s="9"/>
      <c r="D721" s="9"/>
      <c r="E721" s="11"/>
      <c r="F721" s="11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"/>
      <c r="C722" s="9"/>
      <c r="D722" s="9"/>
      <c r="E722" s="11"/>
      <c r="F722" s="11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"/>
      <c r="C723" s="9"/>
      <c r="D723" s="9"/>
      <c r="E723" s="11"/>
      <c r="F723" s="11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"/>
      <c r="C724" s="9"/>
      <c r="D724" s="9"/>
      <c r="E724" s="11"/>
      <c r="F724" s="11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"/>
      <c r="C725" s="9"/>
      <c r="D725" s="9"/>
      <c r="E725" s="11"/>
      <c r="F725" s="11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"/>
      <c r="C726" s="9"/>
      <c r="D726" s="9"/>
      <c r="E726" s="11"/>
      <c r="F726" s="11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"/>
      <c r="C727" s="9"/>
      <c r="D727" s="9"/>
      <c r="E727" s="11"/>
      <c r="F727" s="11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"/>
      <c r="C728" s="9"/>
      <c r="D728" s="9"/>
      <c r="E728" s="11"/>
      <c r="F728" s="11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"/>
      <c r="C729" s="9"/>
      <c r="D729" s="9"/>
      <c r="E729" s="11"/>
      <c r="F729" s="11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"/>
      <c r="C730" s="9"/>
      <c r="D730" s="9"/>
      <c r="E730" s="11"/>
      <c r="F730" s="11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"/>
      <c r="C731" s="9"/>
      <c r="D731" s="9"/>
      <c r="E731" s="11"/>
      <c r="F731" s="11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"/>
      <c r="C732" s="9"/>
      <c r="D732" s="9"/>
      <c r="E732" s="11"/>
      <c r="F732" s="11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"/>
      <c r="C733" s="9"/>
      <c r="D733" s="9"/>
      <c r="E733" s="11"/>
      <c r="F733" s="11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"/>
      <c r="C734" s="9"/>
      <c r="D734" s="9"/>
      <c r="E734" s="11"/>
      <c r="F734" s="11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"/>
      <c r="C735" s="9"/>
      <c r="D735" s="9"/>
      <c r="E735" s="11"/>
      <c r="F735" s="11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"/>
      <c r="C736" s="9"/>
      <c r="D736" s="9"/>
      <c r="E736" s="11"/>
      <c r="F736" s="11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"/>
      <c r="C737" s="9"/>
      <c r="D737" s="9"/>
      <c r="E737" s="11"/>
      <c r="F737" s="11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"/>
      <c r="C738" s="9"/>
      <c r="D738" s="9"/>
      <c r="E738" s="11"/>
      <c r="F738" s="11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"/>
      <c r="C739" s="9"/>
      <c r="D739" s="9"/>
      <c r="E739" s="11"/>
      <c r="F739" s="11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"/>
      <c r="C740" s="9"/>
      <c r="D740" s="9"/>
      <c r="E740" s="11"/>
      <c r="F740" s="11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"/>
      <c r="C741" s="9"/>
      <c r="D741" s="9"/>
      <c r="E741" s="11"/>
      <c r="F741" s="11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"/>
      <c r="C742" s="9"/>
      <c r="D742" s="9"/>
      <c r="E742" s="11"/>
      <c r="F742" s="11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"/>
      <c r="C743" s="9"/>
      <c r="D743" s="9"/>
      <c r="E743" s="11"/>
      <c r="F743" s="11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"/>
      <c r="C744" s="9"/>
      <c r="D744" s="9"/>
      <c r="E744" s="11"/>
      <c r="F744" s="11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"/>
      <c r="C745" s="9"/>
      <c r="D745" s="9"/>
      <c r="E745" s="11"/>
      <c r="F745" s="11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"/>
      <c r="C746" s="9"/>
      <c r="D746" s="9"/>
      <c r="E746" s="11"/>
      <c r="F746" s="11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"/>
      <c r="C747" s="9"/>
      <c r="D747" s="9"/>
      <c r="E747" s="11"/>
      <c r="F747" s="11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"/>
      <c r="C748" s="9"/>
      <c r="D748" s="9"/>
      <c r="E748" s="11"/>
      <c r="F748" s="11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"/>
      <c r="C749" s="9"/>
      <c r="D749" s="9"/>
      <c r="E749" s="11"/>
      <c r="F749" s="11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"/>
      <c r="C750" s="9"/>
      <c r="D750" s="9"/>
      <c r="E750" s="11"/>
      <c r="F750" s="11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"/>
      <c r="C751" s="9"/>
      <c r="D751" s="9"/>
      <c r="E751" s="11"/>
      <c r="F751" s="11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"/>
      <c r="C752" s="9"/>
      <c r="D752" s="9"/>
      <c r="E752" s="11"/>
      <c r="F752" s="11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"/>
      <c r="C753" s="9"/>
      <c r="D753" s="9"/>
      <c r="E753" s="11"/>
      <c r="F753" s="11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"/>
      <c r="C754" s="9"/>
      <c r="D754" s="9"/>
      <c r="E754" s="11"/>
      <c r="F754" s="11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"/>
      <c r="C755" s="9"/>
      <c r="D755" s="9"/>
      <c r="E755" s="11"/>
      <c r="F755" s="11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"/>
      <c r="C756" s="9"/>
      <c r="D756" s="9"/>
      <c r="E756" s="11"/>
      <c r="F756" s="11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"/>
      <c r="C757" s="9"/>
      <c r="D757" s="9"/>
      <c r="E757" s="11"/>
      <c r="F757" s="11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"/>
      <c r="C758" s="9"/>
      <c r="D758" s="9"/>
      <c r="E758" s="11"/>
      <c r="F758" s="11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"/>
      <c r="C759" s="9"/>
      <c r="D759" s="9"/>
      <c r="E759" s="11"/>
      <c r="F759" s="11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"/>
      <c r="C760" s="9"/>
      <c r="D760" s="9"/>
      <c r="E760" s="11"/>
      <c r="F760" s="11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"/>
      <c r="C761" s="9"/>
      <c r="D761" s="9"/>
      <c r="E761" s="11"/>
      <c r="F761" s="11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"/>
      <c r="C762" s="9"/>
      <c r="D762" s="9"/>
      <c r="E762" s="11"/>
      <c r="F762" s="11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"/>
      <c r="C763" s="9"/>
      <c r="D763" s="9"/>
      <c r="E763" s="11"/>
      <c r="F763" s="11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"/>
      <c r="C764" s="9"/>
      <c r="D764" s="9"/>
      <c r="E764" s="11"/>
      <c r="F764" s="11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"/>
      <c r="C765" s="9"/>
      <c r="D765" s="9"/>
      <c r="E765" s="11"/>
      <c r="F765" s="11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"/>
      <c r="C766" s="9"/>
      <c r="D766" s="9"/>
      <c r="E766" s="11"/>
      <c r="F766" s="11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"/>
      <c r="C767" s="9"/>
      <c r="D767" s="9"/>
      <c r="E767" s="11"/>
      <c r="F767" s="11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"/>
      <c r="C768" s="9"/>
      <c r="D768" s="9"/>
      <c r="E768" s="11"/>
      <c r="F768" s="11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"/>
      <c r="C769" s="9"/>
      <c r="D769" s="9"/>
      <c r="E769" s="11"/>
      <c r="F769" s="11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"/>
      <c r="C770" s="9"/>
      <c r="D770" s="9"/>
      <c r="E770" s="11"/>
      <c r="F770" s="11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"/>
      <c r="C771" s="9"/>
      <c r="D771" s="9"/>
      <c r="E771" s="11"/>
      <c r="F771" s="11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"/>
      <c r="C772" s="9"/>
      <c r="D772" s="9"/>
      <c r="E772" s="11"/>
      <c r="F772" s="11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"/>
      <c r="C773" s="9"/>
      <c r="D773" s="9"/>
      <c r="E773" s="11"/>
      <c r="F773" s="11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"/>
      <c r="C774" s="9"/>
      <c r="D774" s="9"/>
      <c r="E774" s="11"/>
      <c r="F774" s="11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"/>
      <c r="C775" s="9"/>
      <c r="D775" s="9"/>
      <c r="E775" s="11"/>
      <c r="F775" s="11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"/>
      <c r="C776" s="9"/>
      <c r="D776" s="9"/>
      <c r="E776" s="11"/>
      <c r="F776" s="11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"/>
      <c r="C777" s="9"/>
      <c r="D777" s="9"/>
      <c r="E777" s="11"/>
      <c r="F777" s="11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"/>
      <c r="C778" s="9"/>
      <c r="D778" s="9"/>
      <c r="E778" s="11"/>
      <c r="F778" s="11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"/>
      <c r="C779" s="9"/>
      <c r="D779" s="9"/>
      <c r="E779" s="11"/>
      <c r="F779" s="11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"/>
      <c r="C780" s="9"/>
      <c r="D780" s="9"/>
      <c r="E780" s="11"/>
      <c r="F780" s="11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"/>
      <c r="C781" s="9"/>
      <c r="D781" s="9"/>
      <c r="E781" s="11"/>
      <c r="F781" s="11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"/>
      <c r="C782" s="9"/>
      <c r="D782" s="9"/>
      <c r="E782" s="11"/>
      <c r="F782" s="11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"/>
      <c r="C783" s="9"/>
      <c r="D783" s="9"/>
      <c r="E783" s="11"/>
      <c r="F783" s="11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"/>
      <c r="C784" s="9"/>
      <c r="D784" s="9"/>
      <c r="E784" s="11"/>
      <c r="F784" s="11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"/>
      <c r="C785" s="9"/>
      <c r="D785" s="9"/>
      <c r="E785" s="11"/>
      <c r="F785" s="11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"/>
      <c r="C786" s="9"/>
      <c r="D786" s="9"/>
      <c r="E786" s="11"/>
      <c r="F786" s="11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"/>
      <c r="C787" s="9"/>
      <c r="D787" s="9"/>
      <c r="E787" s="11"/>
      <c r="F787" s="11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"/>
      <c r="C788" s="9"/>
      <c r="D788" s="9"/>
      <c r="E788" s="11"/>
      <c r="F788" s="11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"/>
      <c r="C789" s="9"/>
      <c r="D789" s="9"/>
      <c r="E789" s="11"/>
      <c r="F789" s="11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"/>
      <c r="C790" s="9"/>
      <c r="D790" s="9"/>
      <c r="E790" s="11"/>
      <c r="F790" s="11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"/>
      <c r="C791" s="9"/>
      <c r="D791" s="9"/>
      <c r="E791" s="11"/>
      <c r="F791" s="11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"/>
      <c r="C792" s="9"/>
      <c r="D792" s="9"/>
      <c r="E792" s="11"/>
      <c r="F792" s="11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"/>
      <c r="C793" s="9"/>
      <c r="D793" s="9"/>
      <c r="E793" s="11"/>
      <c r="F793" s="11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"/>
      <c r="C794" s="9"/>
      <c r="D794" s="9"/>
      <c r="E794" s="11"/>
      <c r="F794" s="11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"/>
      <c r="C795" s="9"/>
      <c r="D795" s="9"/>
      <c r="E795" s="11"/>
      <c r="F795" s="11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"/>
      <c r="C796" s="9"/>
      <c r="D796" s="9"/>
      <c r="E796" s="11"/>
      <c r="F796" s="11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"/>
      <c r="C797" s="9"/>
      <c r="D797" s="9"/>
      <c r="E797" s="11"/>
      <c r="F797" s="11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"/>
      <c r="C798" s="9"/>
      <c r="D798" s="9"/>
      <c r="E798" s="11"/>
      <c r="F798" s="11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"/>
      <c r="C799" s="9"/>
      <c r="D799" s="9"/>
      <c r="E799" s="11"/>
      <c r="F799" s="11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"/>
      <c r="C800" s="9"/>
      <c r="D800" s="9"/>
      <c r="E800" s="11"/>
      <c r="F800" s="11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"/>
      <c r="C801" s="9"/>
      <c r="D801" s="9"/>
      <c r="E801" s="11"/>
      <c r="F801" s="11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"/>
      <c r="C802" s="9"/>
      <c r="D802" s="9"/>
      <c r="E802" s="11"/>
      <c r="F802" s="11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"/>
      <c r="C803" s="9"/>
      <c r="D803" s="9"/>
      <c r="E803" s="11"/>
      <c r="F803" s="11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"/>
      <c r="C804" s="9"/>
      <c r="D804" s="9"/>
      <c r="E804" s="11"/>
      <c r="F804" s="11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"/>
      <c r="C805" s="9"/>
      <c r="D805" s="9"/>
      <c r="E805" s="11"/>
      <c r="F805" s="11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"/>
      <c r="C806" s="9"/>
      <c r="D806" s="9"/>
      <c r="E806" s="11"/>
      <c r="F806" s="11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"/>
      <c r="C807" s="9"/>
      <c r="D807" s="9"/>
      <c r="E807" s="11"/>
      <c r="F807" s="11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"/>
      <c r="C808" s="9"/>
      <c r="D808" s="9"/>
      <c r="E808" s="11"/>
      <c r="F808" s="11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"/>
      <c r="C809" s="9"/>
      <c r="D809" s="9"/>
      <c r="E809" s="11"/>
      <c r="F809" s="11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"/>
      <c r="C810" s="9"/>
      <c r="D810" s="9"/>
      <c r="E810" s="11"/>
      <c r="F810" s="11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"/>
      <c r="C811" s="9"/>
      <c r="D811" s="9"/>
      <c r="E811" s="11"/>
      <c r="F811" s="11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"/>
      <c r="C812" s="9"/>
      <c r="D812" s="9"/>
      <c r="E812" s="11"/>
      <c r="F812" s="11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"/>
      <c r="C813" s="9"/>
      <c r="D813" s="9"/>
      <c r="E813" s="11"/>
      <c r="F813" s="11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"/>
      <c r="C814" s="9"/>
      <c r="D814" s="9"/>
      <c r="E814" s="11"/>
      <c r="F814" s="11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"/>
      <c r="C815" s="9"/>
      <c r="D815" s="9"/>
      <c r="E815" s="11"/>
      <c r="F815" s="11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"/>
      <c r="C816" s="9"/>
      <c r="D816" s="9"/>
      <c r="E816" s="11"/>
      <c r="F816" s="11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"/>
      <c r="C817" s="9"/>
      <c r="D817" s="9"/>
      <c r="E817" s="11"/>
      <c r="F817" s="11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"/>
      <c r="C818" s="9"/>
      <c r="D818" s="9"/>
      <c r="E818" s="11"/>
      <c r="F818" s="11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"/>
      <c r="C819" s="9"/>
      <c r="D819" s="9"/>
      <c r="E819" s="11"/>
      <c r="F819" s="11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"/>
      <c r="C820" s="9"/>
      <c r="D820" s="9"/>
      <c r="E820" s="11"/>
      <c r="F820" s="11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"/>
      <c r="C821" s="9"/>
      <c r="D821" s="9"/>
      <c r="E821" s="11"/>
      <c r="F821" s="11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"/>
      <c r="C822" s="9"/>
      <c r="D822" s="9"/>
      <c r="E822" s="11"/>
      <c r="F822" s="11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"/>
      <c r="C823" s="9"/>
      <c r="D823" s="9"/>
      <c r="E823" s="11"/>
      <c r="F823" s="11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"/>
      <c r="C824" s="9"/>
      <c r="D824" s="9"/>
      <c r="E824" s="11"/>
      <c r="F824" s="11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"/>
      <c r="C825" s="9"/>
      <c r="D825" s="9"/>
      <c r="E825" s="11"/>
      <c r="F825" s="11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"/>
      <c r="C826" s="9"/>
      <c r="D826" s="9"/>
      <c r="E826" s="11"/>
      <c r="F826" s="11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"/>
      <c r="C827" s="9"/>
      <c r="D827" s="9"/>
      <c r="E827" s="11"/>
      <c r="F827" s="11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"/>
      <c r="C828" s="9"/>
      <c r="D828" s="9"/>
      <c r="E828" s="11"/>
      <c r="F828" s="11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"/>
      <c r="C829" s="9"/>
      <c r="D829" s="9"/>
      <c r="E829" s="11"/>
      <c r="F829" s="11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"/>
      <c r="C830" s="9"/>
      <c r="D830" s="9"/>
      <c r="E830" s="11"/>
      <c r="F830" s="11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"/>
      <c r="C831" s="9"/>
      <c r="D831" s="9"/>
      <c r="E831" s="11"/>
      <c r="F831" s="11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"/>
      <c r="C832" s="9"/>
      <c r="D832" s="9"/>
      <c r="E832" s="11"/>
      <c r="F832" s="11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"/>
      <c r="C833" s="9"/>
      <c r="D833" s="9"/>
      <c r="E833" s="11"/>
      <c r="F833" s="11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"/>
      <c r="C834" s="9"/>
      <c r="D834" s="9"/>
      <c r="E834" s="11"/>
      <c r="F834" s="11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"/>
      <c r="C835" s="9"/>
      <c r="D835" s="9"/>
      <c r="E835" s="11"/>
      <c r="F835" s="11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"/>
      <c r="C836" s="9"/>
      <c r="D836" s="9"/>
      <c r="E836" s="11"/>
      <c r="F836" s="11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"/>
      <c r="C837" s="9"/>
      <c r="D837" s="9"/>
      <c r="E837" s="11"/>
      <c r="F837" s="11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"/>
      <c r="C838" s="9"/>
      <c r="D838" s="9"/>
      <c r="E838" s="11"/>
      <c r="F838" s="11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"/>
      <c r="C839" s="9"/>
      <c r="D839" s="9"/>
      <c r="E839" s="11"/>
      <c r="F839" s="11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"/>
      <c r="C840" s="9"/>
      <c r="D840" s="9"/>
      <c r="E840" s="11"/>
      <c r="F840" s="11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"/>
      <c r="C841" s="9"/>
      <c r="D841" s="9"/>
      <c r="E841" s="11"/>
      <c r="F841" s="11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"/>
      <c r="C842" s="9"/>
      <c r="D842" s="9"/>
      <c r="E842" s="11"/>
      <c r="F842" s="11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"/>
      <c r="C843" s="9"/>
      <c r="D843" s="9"/>
      <c r="E843" s="11"/>
      <c r="F843" s="11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"/>
      <c r="C844" s="9"/>
      <c r="D844" s="9"/>
      <c r="E844" s="11"/>
      <c r="F844" s="11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"/>
      <c r="C845" s="9"/>
      <c r="D845" s="9"/>
      <c r="E845" s="11"/>
      <c r="F845" s="11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"/>
      <c r="C846" s="9"/>
      <c r="D846" s="9"/>
      <c r="E846" s="11"/>
      <c r="F846" s="11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"/>
      <c r="C847" s="9"/>
      <c r="D847" s="9"/>
      <c r="E847" s="11"/>
      <c r="F847" s="11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"/>
      <c r="C848" s="9"/>
      <c r="D848" s="9"/>
      <c r="E848" s="11"/>
      <c r="F848" s="11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"/>
      <c r="C849" s="9"/>
      <c r="D849" s="9"/>
      <c r="E849" s="11"/>
      <c r="F849" s="11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"/>
      <c r="C850" s="9"/>
      <c r="D850" s="9"/>
      <c r="E850" s="11"/>
      <c r="F850" s="11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"/>
      <c r="C851" s="9"/>
      <c r="D851" s="9"/>
      <c r="E851" s="11"/>
      <c r="F851" s="11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"/>
      <c r="C852" s="9"/>
      <c r="D852" s="9"/>
      <c r="E852" s="11"/>
      <c r="F852" s="11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"/>
      <c r="C853" s="9"/>
      <c r="D853" s="9"/>
      <c r="E853" s="11"/>
      <c r="F853" s="11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"/>
      <c r="C854" s="9"/>
      <c r="D854" s="9"/>
      <c r="E854" s="11"/>
      <c r="F854" s="11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"/>
      <c r="C855" s="9"/>
      <c r="D855" s="9"/>
      <c r="E855" s="11"/>
      <c r="F855" s="11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"/>
      <c r="C856" s="9"/>
      <c r="D856" s="9"/>
      <c r="E856" s="11"/>
      <c r="F856" s="11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"/>
      <c r="C857" s="9"/>
      <c r="D857" s="9"/>
      <c r="E857" s="11"/>
      <c r="F857" s="11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"/>
      <c r="C858" s="9"/>
      <c r="D858" s="9"/>
      <c r="E858" s="11"/>
      <c r="F858" s="11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"/>
      <c r="C859" s="9"/>
      <c r="D859" s="9"/>
      <c r="E859" s="11"/>
      <c r="F859" s="11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"/>
      <c r="C860" s="9"/>
      <c r="D860" s="9"/>
      <c r="E860" s="11"/>
      <c r="F860" s="11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"/>
      <c r="C861" s="9"/>
      <c r="D861" s="9"/>
      <c r="E861" s="11"/>
      <c r="F861" s="11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"/>
      <c r="C862" s="9"/>
      <c r="D862" s="9"/>
      <c r="E862" s="11"/>
      <c r="F862" s="11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"/>
      <c r="C863" s="9"/>
      <c r="D863" s="9"/>
      <c r="E863" s="11"/>
      <c r="F863" s="11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"/>
      <c r="C864" s="9"/>
      <c r="D864" s="9"/>
      <c r="E864" s="11"/>
      <c r="F864" s="11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"/>
      <c r="C865" s="9"/>
      <c r="D865" s="9"/>
      <c r="E865" s="11"/>
      <c r="F865" s="11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"/>
      <c r="C866" s="9"/>
      <c r="D866" s="9"/>
      <c r="E866" s="11"/>
      <c r="F866" s="11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"/>
      <c r="C867" s="9"/>
      <c r="D867" s="9"/>
      <c r="E867" s="11"/>
      <c r="F867" s="11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"/>
      <c r="C868" s="9"/>
      <c r="D868" s="9"/>
      <c r="E868" s="11"/>
      <c r="F868" s="11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"/>
      <c r="C869" s="9"/>
      <c r="D869" s="9"/>
      <c r="E869" s="11"/>
      <c r="F869" s="11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"/>
      <c r="C870" s="9"/>
      <c r="D870" s="9"/>
      <c r="E870" s="11"/>
      <c r="F870" s="11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"/>
      <c r="C871" s="9"/>
      <c r="D871" s="9"/>
      <c r="E871" s="11"/>
      <c r="F871" s="11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"/>
      <c r="C872" s="9"/>
      <c r="D872" s="9"/>
      <c r="E872" s="11"/>
      <c r="F872" s="11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"/>
      <c r="C873" s="9"/>
      <c r="D873" s="9"/>
      <c r="E873" s="11"/>
      <c r="F873" s="11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"/>
      <c r="C874" s="9"/>
      <c r="D874" s="9"/>
      <c r="E874" s="11"/>
      <c r="F874" s="11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"/>
      <c r="C875" s="9"/>
      <c r="D875" s="9"/>
      <c r="E875" s="11"/>
      <c r="F875" s="11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"/>
      <c r="C876" s="9"/>
      <c r="D876" s="9"/>
      <c r="E876" s="11"/>
      <c r="F876" s="11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"/>
      <c r="C877" s="9"/>
      <c r="D877" s="9"/>
      <c r="E877" s="11"/>
      <c r="F877" s="11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"/>
      <c r="C878" s="9"/>
      <c r="D878" s="9"/>
      <c r="E878" s="11"/>
      <c r="F878" s="11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"/>
      <c r="C879" s="9"/>
      <c r="D879" s="9"/>
      <c r="E879" s="11"/>
      <c r="F879" s="11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"/>
      <c r="C880" s="9"/>
      <c r="D880" s="9"/>
      <c r="E880" s="11"/>
      <c r="F880" s="11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"/>
      <c r="C881" s="9"/>
      <c r="D881" s="9"/>
      <c r="E881" s="11"/>
      <c r="F881" s="11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"/>
      <c r="C882" s="9"/>
      <c r="D882" s="9"/>
      <c r="E882" s="11"/>
      <c r="F882" s="11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"/>
      <c r="C883" s="9"/>
      <c r="D883" s="9"/>
      <c r="E883" s="11"/>
      <c r="F883" s="11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"/>
      <c r="C884" s="9"/>
      <c r="D884" s="9"/>
      <c r="E884" s="11"/>
      <c r="F884" s="11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"/>
      <c r="C885" s="9"/>
      <c r="D885" s="9"/>
      <c r="E885" s="11"/>
      <c r="F885" s="11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"/>
      <c r="C886" s="9"/>
      <c r="D886" s="9"/>
      <c r="E886" s="11"/>
      <c r="F886" s="11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"/>
      <c r="C887" s="9"/>
      <c r="D887" s="9"/>
      <c r="E887" s="11"/>
      <c r="F887" s="11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"/>
      <c r="C888" s="9"/>
      <c r="D888" s="9"/>
      <c r="E888" s="11"/>
      <c r="F888" s="11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"/>
      <c r="C889" s="9"/>
      <c r="D889" s="9"/>
      <c r="E889" s="11"/>
      <c r="F889" s="11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"/>
      <c r="C890" s="9"/>
      <c r="D890" s="9"/>
      <c r="E890" s="11"/>
      <c r="F890" s="11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"/>
      <c r="C891" s="9"/>
      <c r="D891" s="9"/>
      <c r="E891" s="11"/>
      <c r="F891" s="11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"/>
      <c r="C892" s="9"/>
      <c r="D892" s="9"/>
      <c r="E892" s="11"/>
      <c r="F892" s="11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"/>
      <c r="C893" s="9"/>
      <c r="D893" s="9"/>
      <c r="E893" s="11"/>
      <c r="F893" s="11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"/>
      <c r="C894" s="9"/>
      <c r="D894" s="9"/>
      <c r="E894" s="11"/>
      <c r="F894" s="11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"/>
      <c r="C895" s="9"/>
      <c r="D895" s="9"/>
      <c r="E895" s="11"/>
      <c r="F895" s="11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"/>
      <c r="C896" s="9"/>
      <c r="D896" s="9"/>
      <c r="E896" s="11"/>
      <c r="F896" s="11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"/>
      <c r="C897" s="9"/>
      <c r="D897" s="9"/>
      <c r="E897" s="11"/>
      <c r="F897" s="11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"/>
      <c r="C898" s="9"/>
      <c r="D898" s="9"/>
      <c r="E898" s="11"/>
      <c r="F898" s="11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"/>
      <c r="C899" s="9"/>
      <c r="D899" s="9"/>
      <c r="E899" s="11"/>
      <c r="F899" s="11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"/>
      <c r="C900" s="9"/>
      <c r="D900" s="9"/>
      <c r="E900" s="11"/>
      <c r="F900" s="11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"/>
      <c r="C901" s="9"/>
      <c r="D901" s="9"/>
      <c r="E901" s="11"/>
      <c r="F901" s="11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"/>
      <c r="C902" s="9"/>
      <c r="D902" s="9"/>
      <c r="E902" s="11"/>
      <c r="F902" s="11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"/>
      <c r="C903" s="9"/>
      <c r="D903" s="9"/>
      <c r="E903" s="11"/>
      <c r="F903" s="11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"/>
      <c r="C904" s="9"/>
      <c r="D904" s="9"/>
      <c r="E904" s="11"/>
      <c r="F904" s="11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"/>
      <c r="C905" s="9"/>
      <c r="D905" s="9"/>
      <c r="E905" s="11"/>
      <c r="F905" s="11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"/>
      <c r="C906" s="9"/>
      <c r="D906" s="9"/>
      <c r="E906" s="11"/>
      <c r="F906" s="11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"/>
      <c r="C907" s="9"/>
      <c r="D907" s="9"/>
      <c r="E907" s="11"/>
      <c r="F907" s="11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"/>
      <c r="C908" s="9"/>
      <c r="D908" s="9"/>
      <c r="E908" s="11"/>
      <c r="F908" s="11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"/>
      <c r="C909" s="9"/>
      <c r="D909" s="9"/>
      <c r="E909" s="11"/>
      <c r="F909" s="11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"/>
      <c r="C910" s="9"/>
      <c r="D910" s="9"/>
      <c r="E910" s="11"/>
      <c r="F910" s="11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"/>
      <c r="C911" s="9"/>
      <c r="D911" s="9"/>
      <c r="E911" s="11"/>
      <c r="F911" s="11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"/>
      <c r="C912" s="9"/>
      <c r="D912" s="9"/>
      <c r="E912" s="11"/>
      <c r="F912" s="11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"/>
      <c r="C913" s="9"/>
      <c r="D913" s="9"/>
      <c r="E913" s="11"/>
      <c r="F913" s="11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"/>
      <c r="C914" s="9"/>
      <c r="D914" s="9"/>
      <c r="E914" s="11"/>
      <c r="F914" s="11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"/>
      <c r="C915" s="9"/>
      <c r="D915" s="9"/>
      <c r="E915" s="11"/>
      <c r="F915" s="11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"/>
      <c r="C916" s="9"/>
      <c r="D916" s="9"/>
      <c r="E916" s="11"/>
      <c r="F916" s="11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"/>
      <c r="C917" s="9"/>
      <c r="D917" s="9"/>
      <c r="E917" s="11"/>
      <c r="F917" s="11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"/>
      <c r="C918" s="9"/>
      <c r="D918" s="9"/>
      <c r="E918" s="11"/>
      <c r="F918" s="11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"/>
      <c r="C919" s="9"/>
      <c r="D919" s="9"/>
      <c r="E919" s="11"/>
      <c r="F919" s="11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"/>
      <c r="C920" s="9"/>
      <c r="D920" s="9"/>
      <c r="E920" s="11"/>
      <c r="F920" s="11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"/>
      <c r="C921" s="9"/>
      <c r="D921" s="9"/>
      <c r="E921" s="11"/>
      <c r="F921" s="11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"/>
      <c r="C922" s="9"/>
      <c r="D922" s="9"/>
      <c r="E922" s="11"/>
      <c r="F922" s="11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"/>
      <c r="C923" s="9"/>
      <c r="D923" s="9"/>
      <c r="E923" s="11"/>
      <c r="F923" s="11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"/>
      <c r="C924" s="9"/>
      <c r="D924" s="9"/>
      <c r="E924" s="11"/>
      <c r="F924" s="11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"/>
      <c r="C925" s="9"/>
      <c r="D925" s="9"/>
      <c r="E925" s="11"/>
      <c r="F925" s="11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"/>
      <c r="C926" s="9"/>
      <c r="D926" s="9"/>
      <c r="E926" s="11"/>
      <c r="F926" s="11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"/>
      <c r="C927" s="9"/>
      <c r="D927" s="9"/>
      <c r="E927" s="11"/>
      <c r="F927" s="11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"/>
      <c r="C928" s="9"/>
      <c r="D928" s="9"/>
      <c r="E928" s="11"/>
      <c r="F928" s="11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"/>
      <c r="C929" s="9"/>
      <c r="D929" s="9"/>
      <c r="E929" s="11"/>
      <c r="F929" s="11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"/>
      <c r="C930" s="9"/>
      <c r="D930" s="9"/>
      <c r="E930" s="11"/>
      <c r="F930" s="11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"/>
      <c r="C931" s="9"/>
      <c r="D931" s="9"/>
      <c r="E931" s="11"/>
      <c r="F931" s="11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"/>
      <c r="C932" s="9"/>
      <c r="D932" s="9"/>
      <c r="E932" s="11"/>
      <c r="F932" s="11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"/>
      <c r="C933" s="9"/>
      <c r="D933" s="9"/>
      <c r="E933" s="11"/>
      <c r="F933" s="11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"/>
      <c r="C934" s="9"/>
      <c r="D934" s="9"/>
      <c r="E934" s="11"/>
      <c r="F934" s="11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"/>
      <c r="C935" s="9"/>
      <c r="D935" s="9"/>
      <c r="E935" s="11"/>
      <c r="F935" s="11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"/>
      <c r="C936" s="9"/>
      <c r="D936" s="9"/>
      <c r="E936" s="11"/>
      <c r="F936" s="11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"/>
      <c r="C937" s="9"/>
      <c r="D937" s="9"/>
      <c r="E937" s="11"/>
      <c r="F937" s="11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"/>
      <c r="C938" s="9"/>
      <c r="D938" s="9"/>
      <c r="E938" s="11"/>
      <c r="F938" s="11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"/>
      <c r="C939" s="9"/>
      <c r="D939" s="9"/>
      <c r="E939" s="11"/>
      <c r="F939" s="11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"/>
      <c r="C940" s="9"/>
      <c r="D940" s="9"/>
      <c r="E940" s="11"/>
      <c r="F940" s="11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"/>
      <c r="C941" s="9"/>
      <c r="D941" s="9"/>
      <c r="E941" s="11"/>
      <c r="F941" s="11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"/>
      <c r="C942" s="9"/>
      <c r="D942" s="9"/>
      <c r="E942" s="11"/>
      <c r="F942" s="11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"/>
      <c r="C943" s="9"/>
      <c r="D943" s="9"/>
      <c r="E943" s="11"/>
      <c r="F943" s="11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"/>
      <c r="C944" s="9"/>
      <c r="D944" s="9"/>
      <c r="E944" s="11"/>
      <c r="F944" s="11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"/>
      <c r="C945" s="9"/>
      <c r="D945" s="9"/>
      <c r="E945" s="11"/>
      <c r="F945" s="11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"/>
      <c r="C946" s="9"/>
      <c r="D946" s="9"/>
      <c r="E946" s="11"/>
      <c r="F946" s="11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"/>
      <c r="C947" s="9"/>
      <c r="D947" s="9"/>
      <c r="E947" s="11"/>
      <c r="F947" s="11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"/>
      <c r="C948" s="9"/>
      <c r="D948" s="9"/>
      <c r="E948" s="11"/>
      <c r="F948" s="11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"/>
      <c r="C949" s="9"/>
      <c r="D949" s="9"/>
      <c r="E949" s="11"/>
      <c r="F949" s="11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"/>
      <c r="C950" s="9"/>
      <c r="D950" s="9"/>
      <c r="E950" s="11"/>
      <c r="F950" s="11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"/>
      <c r="C951" s="9"/>
      <c r="D951" s="9"/>
      <c r="E951" s="11"/>
      <c r="F951" s="11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"/>
      <c r="C952" s="9"/>
      <c r="D952" s="9"/>
      <c r="E952" s="11"/>
      <c r="F952" s="11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"/>
      <c r="C953" s="9"/>
      <c r="D953" s="9"/>
      <c r="E953" s="11"/>
      <c r="F953" s="11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"/>
      <c r="C954" s="9"/>
      <c r="D954" s="9"/>
      <c r="E954" s="11"/>
      <c r="F954" s="11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"/>
      <c r="C955" s="9"/>
      <c r="D955" s="9"/>
      <c r="E955" s="11"/>
      <c r="F955" s="11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"/>
      <c r="C956" s="9"/>
      <c r="D956" s="9"/>
      <c r="E956" s="11"/>
      <c r="F956" s="11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"/>
      <c r="C957" s="9"/>
      <c r="D957" s="9"/>
      <c r="E957" s="11"/>
      <c r="F957" s="11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"/>
      <c r="C958" s="9"/>
      <c r="D958" s="9"/>
      <c r="E958" s="11"/>
      <c r="F958" s="11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"/>
      <c r="C959" s="9"/>
      <c r="D959" s="9"/>
      <c r="E959" s="11"/>
      <c r="F959" s="11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"/>
      <c r="C960" s="9"/>
      <c r="D960" s="9"/>
      <c r="E960" s="11"/>
      <c r="F960" s="11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"/>
      <c r="C961" s="9"/>
      <c r="D961" s="9"/>
      <c r="E961" s="11"/>
      <c r="F961" s="11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"/>
      <c r="C962" s="9"/>
      <c r="D962" s="9"/>
      <c r="E962" s="11"/>
      <c r="F962" s="11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"/>
      <c r="C963" s="9"/>
      <c r="D963" s="9"/>
      <c r="E963" s="11"/>
      <c r="F963" s="11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"/>
      <c r="C964" s="9"/>
      <c r="D964" s="9"/>
      <c r="E964" s="11"/>
      <c r="F964" s="11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"/>
      <c r="C965" s="9"/>
      <c r="D965" s="9"/>
      <c r="E965" s="11"/>
      <c r="F965" s="11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"/>
      <c r="C966" s="9"/>
      <c r="D966" s="9"/>
      <c r="E966" s="11"/>
      <c r="F966" s="11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"/>
      <c r="C967" s="9"/>
      <c r="D967" s="9"/>
      <c r="E967" s="11"/>
      <c r="F967" s="11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"/>
      <c r="C968" s="9"/>
      <c r="D968" s="9"/>
      <c r="E968" s="11"/>
      <c r="F968" s="11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"/>
      <c r="C969" s="9"/>
      <c r="D969" s="9"/>
      <c r="E969" s="11"/>
      <c r="F969" s="11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"/>
      <c r="C970" s="9"/>
      <c r="D970" s="9"/>
      <c r="E970" s="11"/>
      <c r="F970" s="11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"/>
      <c r="C971" s="9"/>
      <c r="D971" s="9"/>
      <c r="E971" s="11"/>
      <c r="F971" s="11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"/>
      <c r="C972" s="9"/>
      <c r="D972" s="9"/>
      <c r="E972" s="11"/>
      <c r="F972" s="11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"/>
      <c r="C973" s="9"/>
      <c r="D973" s="9"/>
      <c r="E973" s="11"/>
      <c r="F973" s="11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"/>
      <c r="C974" s="9"/>
      <c r="D974" s="9"/>
      <c r="E974" s="11"/>
      <c r="F974" s="11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"/>
      <c r="C975" s="9"/>
      <c r="D975" s="9"/>
      <c r="E975" s="11"/>
      <c r="F975" s="11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"/>
      <c r="C976" s="9"/>
      <c r="D976" s="9"/>
      <c r="E976" s="11"/>
      <c r="F976" s="11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"/>
      <c r="C977" s="9"/>
      <c r="D977" s="9"/>
      <c r="E977" s="11"/>
      <c r="F977" s="11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"/>
      <c r="C978" s="9"/>
      <c r="D978" s="9"/>
      <c r="E978" s="11"/>
      <c r="F978" s="11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"/>
      <c r="C979" s="9"/>
      <c r="D979" s="9"/>
      <c r="E979" s="11"/>
      <c r="F979" s="11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"/>
      <c r="C980" s="9"/>
      <c r="D980" s="9"/>
      <c r="E980" s="11"/>
      <c r="F980" s="11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"/>
      <c r="C981" s="9"/>
      <c r="D981" s="9"/>
      <c r="E981" s="11"/>
      <c r="F981" s="11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"/>
      <c r="C982" s="9"/>
      <c r="D982" s="9"/>
      <c r="E982" s="11"/>
      <c r="F982" s="11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"/>
      <c r="C983" s="9"/>
      <c r="D983" s="9"/>
      <c r="E983" s="11"/>
      <c r="F983" s="11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"/>
      <c r="C984" s="9"/>
      <c r="D984" s="9"/>
      <c r="E984" s="11"/>
      <c r="F984" s="11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"/>
      <c r="C985" s="9"/>
      <c r="D985" s="9"/>
      <c r="E985" s="11"/>
      <c r="F985" s="11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"/>
      <c r="C986" s="9"/>
      <c r="D986" s="9"/>
      <c r="E986" s="11"/>
      <c r="F986" s="11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"/>
      <c r="C987" s="9"/>
      <c r="D987" s="9"/>
      <c r="E987" s="11"/>
      <c r="F987" s="11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"/>
      <c r="C988" s="9"/>
      <c r="D988" s="9"/>
      <c r="E988" s="11"/>
      <c r="F988" s="11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"/>
      <c r="C989" s="9"/>
      <c r="D989" s="9"/>
      <c r="E989" s="11"/>
      <c r="F989" s="11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"/>
      <c r="C990" s="9"/>
      <c r="D990" s="9"/>
      <c r="E990" s="11"/>
      <c r="F990" s="11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"/>
      <c r="C991" s="9"/>
      <c r="D991" s="9"/>
      <c r="E991" s="11"/>
      <c r="F991" s="11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9"/>
      <c r="C992" s="9"/>
      <c r="D992" s="9"/>
      <c r="E992" s="11"/>
      <c r="F992" s="11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9"/>
      <c r="C993" s="9"/>
      <c r="D993" s="9"/>
      <c r="E993" s="11"/>
      <c r="F993" s="11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9"/>
      <c r="C994" s="9"/>
      <c r="D994" s="9"/>
      <c r="E994" s="11"/>
      <c r="F994" s="11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9"/>
      <c r="C995" s="9"/>
      <c r="D995" s="9"/>
      <c r="E995" s="11"/>
      <c r="F995" s="11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9"/>
      <c r="C996" s="9"/>
      <c r="D996" s="9"/>
      <c r="E996" s="11"/>
      <c r="F996" s="11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9"/>
      <c r="C997" s="9"/>
      <c r="D997" s="9"/>
      <c r="E997" s="11"/>
      <c r="F997" s="11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9"/>
      <c r="C998" s="9"/>
      <c r="D998" s="9"/>
      <c r="E998" s="11"/>
      <c r="F998" s="11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9"/>
      <c r="C999" s="9"/>
      <c r="D999" s="9"/>
      <c r="E999" s="11"/>
      <c r="F999" s="11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9"/>
      <c r="C1000" s="9"/>
      <c r="D1000" s="9"/>
      <c r="E1000" s="11"/>
      <c r="F1000" s="11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3:G3"/>
    <mergeCell ref="B5:D5"/>
    <mergeCell ref="C7:C13"/>
    <mergeCell ref="C18:C21"/>
    <mergeCell ref="B22:E22"/>
    <mergeCell ref="C25:D25"/>
  </mergeCells>
  <printOptions/>
  <pageMargins bottom="0.25" footer="0.0" header="0.0" left="0.7" right="0.2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4.71"/>
    <col customWidth="1" min="3" max="3" width="28.71"/>
    <col customWidth="1" min="4" max="4" width="18.14"/>
    <col customWidth="1" min="5" max="5" width="17.14"/>
    <col customWidth="1" min="6" max="6" width="22.29"/>
    <col customWidth="1" min="7" max="26" width="8.71"/>
  </cols>
  <sheetData>
    <row r="1" ht="21.0" customHeight="1">
      <c r="A1" s="1"/>
      <c r="B1" s="2" t="s">
        <v>0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461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9"/>
      <c r="C4" s="9"/>
      <c r="D4" s="11"/>
      <c r="E4" s="11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1"/>
      <c r="B5" s="9"/>
      <c r="C5" s="9"/>
      <c r="D5" s="11"/>
      <c r="E5" s="11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63"/>
      <c r="C6" s="265"/>
      <c r="D6" s="11"/>
      <c r="E6" s="278" t="s">
        <v>462</v>
      </c>
      <c r="F6" s="279">
        <v>46126.0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9"/>
      <c r="B7" s="266" t="s">
        <v>8</v>
      </c>
      <c r="C7" s="267" t="s">
        <v>17</v>
      </c>
      <c r="D7" s="267" t="s">
        <v>18</v>
      </c>
      <c r="E7" s="68" t="s">
        <v>460</v>
      </c>
      <c r="F7" s="68" t="s">
        <v>14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75" customHeight="1">
      <c r="A8" s="1"/>
      <c r="B8" s="280">
        <v>1.0</v>
      </c>
      <c r="C8" s="233" t="s">
        <v>96</v>
      </c>
      <c r="D8" s="71" t="s">
        <v>463</v>
      </c>
      <c r="E8" s="281">
        <v>1500.0</v>
      </c>
      <c r="F8" s="28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80">
        <v>2.0</v>
      </c>
      <c r="C9" s="113" t="s">
        <v>287</v>
      </c>
      <c r="D9" s="115" t="s">
        <v>288</v>
      </c>
      <c r="E9" s="270">
        <v>1000.0</v>
      </c>
      <c r="F9" s="18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80">
        <v>3.0</v>
      </c>
      <c r="C10" s="113" t="s">
        <v>430</v>
      </c>
      <c r="D10" s="115" t="s">
        <v>295</v>
      </c>
      <c r="E10" s="270">
        <v>1000.0</v>
      </c>
      <c r="F10" s="18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280">
        <v>4.0</v>
      </c>
      <c r="C11" s="113" t="s">
        <v>294</v>
      </c>
      <c r="D11" s="115" t="s">
        <v>295</v>
      </c>
      <c r="E11" s="270">
        <v>1000.0</v>
      </c>
      <c r="F11" s="18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280">
        <v>5.0</v>
      </c>
      <c r="C12" s="113" t="s">
        <v>300</v>
      </c>
      <c r="D12" s="115" t="s">
        <v>301</v>
      </c>
      <c r="E12" s="270">
        <v>1000.0</v>
      </c>
      <c r="F12" s="18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83" t="s">
        <v>106</v>
      </c>
      <c r="C13" s="102"/>
      <c r="D13" s="106"/>
      <c r="E13" s="284">
        <f>SUM(E8:E12)</f>
        <v>5500</v>
      </c>
      <c r="F13" s="28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6.0" customHeight="1">
      <c r="A14" s="1"/>
      <c r="B14" s="9"/>
      <c r="C14" s="9"/>
      <c r="D14" s="11"/>
      <c r="E14" s="11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/>
      <c r="C15" s="9"/>
      <c r="D15" s="11"/>
      <c r="E15" s="11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/>
      <c r="C16" s="11"/>
      <c r="D16" s="11"/>
      <c r="E16" s="11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/>
      <c r="C17" s="11"/>
      <c r="D17" s="11"/>
      <c r="E17" s="11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/>
      <c r="C18" s="11"/>
      <c r="D18" s="11"/>
      <c r="E18" s="11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11"/>
      <c r="D19" s="11"/>
      <c r="E19" s="11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/>
      <c r="C20" s="11"/>
      <c r="D20" s="11"/>
      <c r="E20" s="11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/>
      <c r="C21" s="11"/>
      <c r="D21" s="11"/>
      <c r="E21" s="11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/>
      <c r="C22" s="11"/>
      <c r="D22" s="11"/>
      <c r="E22" s="11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/>
      <c r="C23" s="11"/>
      <c r="D23" s="11"/>
      <c r="E23" s="11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"/>
      <c r="C24" s="11"/>
      <c r="D24" s="11"/>
      <c r="E24" s="11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/>
      <c r="C25" s="11"/>
      <c r="D25" s="11"/>
      <c r="E25" s="11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9"/>
      <c r="C26" s="11"/>
      <c r="D26" s="11"/>
      <c r="E26" s="11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9"/>
      <c r="C27" s="11"/>
      <c r="D27" s="11"/>
      <c r="E27" s="11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9"/>
      <c r="C28" s="11"/>
      <c r="D28" s="11"/>
      <c r="E28" s="11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9"/>
      <c r="C29" s="9"/>
      <c r="D29" s="11"/>
      <c r="E29" s="11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"/>
      <c r="C30" s="9"/>
      <c r="D30" s="11"/>
      <c r="E30" s="11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/>
      <c r="C31" s="9"/>
      <c r="D31" s="11"/>
      <c r="E31" s="11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9"/>
      <c r="C32" s="9"/>
      <c r="D32" s="11"/>
      <c r="E32" s="11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/>
      <c r="C33" s="9"/>
      <c r="D33" s="11"/>
      <c r="E33" s="11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/>
      <c r="C34" s="9"/>
      <c r="D34" s="11"/>
      <c r="E34" s="11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"/>
      <c r="C35" s="9"/>
      <c r="D35" s="11"/>
      <c r="E35" s="11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/>
      <c r="D36" s="11"/>
      <c r="E36" s="11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/>
      <c r="C37" s="9"/>
      <c r="D37" s="11"/>
      <c r="E37" s="1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/>
      <c r="C38" s="9"/>
      <c r="D38" s="11"/>
      <c r="E38" s="11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/>
      <c r="C39" s="9"/>
      <c r="D39" s="11"/>
      <c r="E39" s="1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"/>
      <c r="C40" s="9" t="s">
        <v>115</v>
      </c>
      <c r="D40" s="286" t="s">
        <v>117</v>
      </c>
      <c r="E40" s="11"/>
      <c r="F40" s="206" t="s">
        <v>119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/>
      <c r="C41" s="9"/>
      <c r="D41" s="11"/>
      <c r="E41" s="11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/>
      <c r="C42" s="9"/>
      <c r="D42" s="11"/>
      <c r="E42" s="11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/>
      <c r="C43" s="9"/>
      <c r="D43" s="11"/>
      <c r="E43" s="11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"/>
      <c r="C44" s="9"/>
      <c r="D44" s="11"/>
      <c r="E44" s="11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/>
      <c r="C45" s="9"/>
      <c r="D45" s="11"/>
      <c r="E45" s="11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"/>
      <c r="C46" s="9"/>
      <c r="D46" s="11"/>
      <c r="E46" s="1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"/>
      <c r="C47" s="9"/>
      <c r="D47" s="11"/>
      <c r="E47" s="1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"/>
      <c r="C48" s="9"/>
      <c r="D48" s="11"/>
      <c r="E48" s="1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/>
      <c r="C49" s="9"/>
      <c r="D49" s="11"/>
      <c r="E49" s="1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/>
      <c r="C50" s="9"/>
      <c r="D50" s="11"/>
      <c r="E50" s="1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"/>
      <c r="C51" s="9"/>
      <c r="D51" s="11"/>
      <c r="E51" s="1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"/>
      <c r="C52" s="9"/>
      <c r="D52" s="11"/>
      <c r="E52" s="1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"/>
      <c r="C53" s="9"/>
      <c r="D53" s="11"/>
      <c r="E53" s="1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/>
      <c r="C54" s="9"/>
      <c r="D54" s="11"/>
      <c r="E54" s="1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"/>
      <c r="C55" s="9"/>
      <c r="D55" s="11"/>
      <c r="E55" s="1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"/>
      <c r="C56" s="9"/>
      <c r="D56" s="11"/>
      <c r="E56" s="1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/>
      <c r="C57" s="9"/>
      <c r="D57" s="11"/>
      <c r="E57" s="1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9"/>
      <c r="D58" s="11"/>
      <c r="E58" s="1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"/>
      <c r="C59" s="9"/>
      <c r="D59" s="11"/>
      <c r="E59" s="1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/>
      <c r="C60" s="9"/>
      <c r="D60" s="11"/>
      <c r="E60" s="1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/>
      <c r="C61" s="9"/>
      <c r="D61" s="11"/>
      <c r="E61" s="1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11"/>
      <c r="E62" s="1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/>
      <c r="C63" s="9"/>
      <c r="D63" s="11"/>
      <c r="E63" s="1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/>
      <c r="C64" s="9"/>
      <c r="D64" s="11"/>
      <c r="E64" s="1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/>
      <c r="C65" s="9"/>
      <c r="D65" s="11"/>
      <c r="E65" s="1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11"/>
      <c r="E66" s="1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/>
      <c r="C67" s="9"/>
      <c r="D67" s="11"/>
      <c r="E67" s="1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/>
      <c r="C68" s="9"/>
      <c r="D68" s="11"/>
      <c r="E68" s="1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/>
      <c r="C69" s="9"/>
      <c r="D69" s="11"/>
      <c r="E69" s="1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11"/>
      <c r="E70" s="1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/>
      <c r="C71" s="9"/>
      <c r="D71" s="11"/>
      <c r="E71" s="1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/>
      <c r="C72" s="9"/>
      <c r="D72" s="11"/>
      <c r="E72" s="1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/>
      <c r="C73" s="9"/>
      <c r="D73" s="11"/>
      <c r="E73" s="1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11"/>
      <c r="E74" s="1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"/>
      <c r="C75" s="9"/>
      <c r="D75" s="11"/>
      <c r="E75" s="1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/>
      <c r="C76" s="9"/>
      <c r="D76" s="11"/>
      <c r="E76" s="1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/>
      <c r="C77" s="9"/>
      <c r="D77" s="11"/>
      <c r="E77" s="1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11"/>
      <c r="E78" s="1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/>
      <c r="C79" s="9"/>
      <c r="D79" s="11"/>
      <c r="E79" s="1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/>
      <c r="C80" s="9"/>
      <c r="D80" s="11"/>
      <c r="E80" s="1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/>
      <c r="C81" s="9"/>
      <c r="D81" s="11"/>
      <c r="E81" s="1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/>
      <c r="C82" s="9"/>
      <c r="D82" s="11"/>
      <c r="E82" s="1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/>
      <c r="C83" s="9"/>
      <c r="D83" s="11"/>
      <c r="E83" s="1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/>
      <c r="C84" s="9"/>
      <c r="D84" s="11"/>
      <c r="E84" s="1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/>
      <c r="C85" s="9"/>
      <c r="D85" s="11"/>
      <c r="E85" s="1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/>
      <c r="C86" s="9"/>
      <c r="D86" s="11"/>
      <c r="E86" s="1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/>
      <c r="C87" s="9"/>
      <c r="D87" s="11"/>
      <c r="E87" s="1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/>
      <c r="C88" s="9"/>
      <c r="D88" s="11"/>
      <c r="E88" s="1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"/>
      <c r="C89" s="9"/>
      <c r="D89" s="11"/>
      <c r="E89" s="1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"/>
      <c r="C90" s="9"/>
      <c r="D90" s="11"/>
      <c r="E90" s="1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"/>
      <c r="C91" s="9"/>
      <c r="D91" s="11"/>
      <c r="E91" s="1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/>
      <c r="C92" s="9"/>
      <c r="D92" s="11"/>
      <c r="E92" s="1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/>
      <c r="C93" s="9"/>
      <c r="D93" s="11"/>
      <c r="E93" s="1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/>
      <c r="C94" s="9"/>
      <c r="D94" s="11"/>
      <c r="E94" s="1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/>
      <c r="C95" s="9"/>
      <c r="D95" s="11"/>
      <c r="E95" s="1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/>
      <c r="C96" s="9"/>
      <c r="D96" s="11"/>
      <c r="E96" s="1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/>
      <c r="C97" s="9"/>
      <c r="D97" s="11"/>
      <c r="E97" s="1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/>
      <c r="C98" s="9"/>
      <c r="D98" s="11"/>
      <c r="E98" s="1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/>
      <c r="C99" s="9"/>
      <c r="D99" s="11"/>
      <c r="E99" s="1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/>
      <c r="C100" s="9"/>
      <c r="D100" s="11"/>
      <c r="E100" s="1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/>
      <c r="C101" s="9"/>
      <c r="D101" s="11"/>
      <c r="E101" s="1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/>
      <c r="C102" s="9"/>
      <c r="D102" s="11"/>
      <c r="E102" s="1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"/>
      <c r="C103" s="9"/>
      <c r="D103" s="11"/>
      <c r="E103" s="1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"/>
      <c r="C104" s="9"/>
      <c r="D104" s="11"/>
      <c r="E104" s="1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"/>
      <c r="C105" s="9"/>
      <c r="D105" s="11"/>
      <c r="E105" s="1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/>
      <c r="C106" s="9"/>
      <c r="D106" s="11"/>
      <c r="E106" s="1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/>
      <c r="C107" s="9"/>
      <c r="D107" s="11"/>
      <c r="E107" s="1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/>
      <c r="C108" s="9"/>
      <c r="D108" s="11"/>
      <c r="E108" s="1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/>
      <c r="C109" s="9"/>
      <c r="D109" s="11"/>
      <c r="E109" s="1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/>
      <c r="C110" s="9"/>
      <c r="D110" s="11"/>
      <c r="E110" s="1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/>
      <c r="C111" s="9"/>
      <c r="D111" s="11"/>
      <c r="E111" s="1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/>
      <c r="C112" s="9"/>
      <c r="D112" s="11"/>
      <c r="E112" s="1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/>
      <c r="C113" s="9"/>
      <c r="D113" s="11"/>
      <c r="E113" s="1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/>
      <c r="C114" s="9"/>
      <c r="D114" s="11"/>
      <c r="E114" s="1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/>
      <c r="C115" s="9"/>
      <c r="D115" s="11"/>
      <c r="E115" s="1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/>
      <c r="C116" s="9"/>
      <c r="D116" s="11"/>
      <c r="E116" s="1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"/>
      <c r="C117" s="9"/>
      <c r="D117" s="11"/>
      <c r="E117" s="1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"/>
      <c r="C118" s="9"/>
      <c r="D118" s="11"/>
      <c r="E118" s="1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"/>
      <c r="C119" s="9"/>
      <c r="D119" s="11"/>
      <c r="E119" s="1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/>
      <c r="C120" s="9"/>
      <c r="D120" s="11"/>
      <c r="E120" s="1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/>
      <c r="C121" s="9"/>
      <c r="D121" s="11"/>
      <c r="E121" s="1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/>
      <c r="C122" s="9"/>
      <c r="D122" s="11"/>
      <c r="E122" s="1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/>
      <c r="C123" s="9"/>
      <c r="D123" s="11"/>
      <c r="E123" s="1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/>
      <c r="C124" s="9"/>
      <c r="D124" s="11"/>
      <c r="E124" s="1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/>
      <c r="C125" s="9"/>
      <c r="D125" s="11"/>
      <c r="E125" s="1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"/>
      <c r="C126" s="9"/>
      <c r="D126" s="11"/>
      <c r="E126" s="1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"/>
      <c r="C127" s="9"/>
      <c r="D127" s="11"/>
      <c r="E127" s="1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/>
      <c r="C128" s="9"/>
      <c r="D128" s="11"/>
      <c r="E128" s="1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/>
      <c r="C129" s="9"/>
      <c r="D129" s="11"/>
      <c r="E129" s="1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/>
      <c r="C130" s="9"/>
      <c r="D130" s="11"/>
      <c r="E130" s="1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/>
      <c r="C131" s="9"/>
      <c r="D131" s="11"/>
      <c r="E131" s="1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/>
      <c r="C132" s="9"/>
      <c r="D132" s="11"/>
      <c r="E132" s="1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/>
      <c r="C133" s="9"/>
      <c r="D133" s="11"/>
      <c r="E133" s="1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/>
      <c r="C134" s="9"/>
      <c r="D134" s="11"/>
      <c r="E134" s="1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/>
      <c r="C135" s="9"/>
      <c r="D135" s="11"/>
      <c r="E135" s="1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/>
      <c r="C136" s="9"/>
      <c r="D136" s="11"/>
      <c r="E136" s="1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"/>
      <c r="C137" s="9"/>
      <c r="D137" s="11"/>
      <c r="E137" s="1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"/>
      <c r="C138" s="9"/>
      <c r="D138" s="11"/>
      <c r="E138" s="1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/>
      <c r="C139" s="9"/>
      <c r="D139" s="11"/>
      <c r="E139" s="1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/>
      <c r="C140" s="9"/>
      <c r="D140" s="11"/>
      <c r="E140" s="1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/>
      <c r="C141" s="9"/>
      <c r="D141" s="11"/>
      <c r="E141" s="1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/>
      <c r="C142" s="9"/>
      <c r="D142" s="11"/>
      <c r="E142" s="1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"/>
      <c r="C143" s="9"/>
      <c r="D143" s="11"/>
      <c r="E143" s="1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"/>
      <c r="C144" s="9"/>
      <c r="D144" s="11"/>
      <c r="E144" s="1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/>
      <c r="C145" s="9"/>
      <c r="D145" s="11"/>
      <c r="E145" s="1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/>
      <c r="C146" s="9"/>
      <c r="D146" s="11"/>
      <c r="E146" s="1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/>
      <c r="C147" s="9"/>
      <c r="D147" s="11"/>
      <c r="E147" s="1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/>
      <c r="C148" s="9"/>
      <c r="D148" s="11"/>
      <c r="E148" s="1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/>
      <c r="C149" s="9"/>
      <c r="D149" s="11"/>
      <c r="E149" s="1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/>
      <c r="C150" s="9"/>
      <c r="D150" s="11"/>
      <c r="E150" s="1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/>
      <c r="C151" s="9"/>
      <c r="D151" s="11"/>
      <c r="E151" s="1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/>
      <c r="C152" s="9"/>
      <c r="D152" s="11"/>
      <c r="E152" s="1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/>
      <c r="C153" s="9"/>
      <c r="D153" s="11"/>
      <c r="E153" s="1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"/>
      <c r="C154" s="9"/>
      <c r="D154" s="11"/>
      <c r="E154" s="1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"/>
      <c r="C155" s="9"/>
      <c r="D155" s="11"/>
      <c r="E155" s="1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/>
      <c r="C156" s="9"/>
      <c r="D156" s="11"/>
      <c r="E156" s="1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/>
      <c r="C157" s="9"/>
      <c r="D157" s="11"/>
      <c r="E157" s="1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/>
      <c r="C158" s="9"/>
      <c r="D158" s="11"/>
      <c r="E158" s="1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/>
      <c r="C159" s="9"/>
      <c r="D159" s="11"/>
      <c r="E159" s="1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/>
      <c r="C160" s="9"/>
      <c r="D160" s="11"/>
      <c r="E160" s="1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/>
      <c r="C161" s="9"/>
      <c r="D161" s="11"/>
      <c r="E161" s="1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/>
      <c r="C162" s="9"/>
      <c r="D162" s="11"/>
      <c r="E162" s="1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/>
      <c r="C163" s="9"/>
      <c r="D163" s="11"/>
      <c r="E163" s="1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/>
      <c r="C164" s="9"/>
      <c r="D164" s="11"/>
      <c r="E164" s="1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/>
      <c r="C165" s="9"/>
      <c r="D165" s="11"/>
      <c r="E165" s="1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/>
      <c r="C166" s="9"/>
      <c r="D166" s="11"/>
      <c r="E166" s="1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/>
      <c r="C167" s="9"/>
      <c r="D167" s="11"/>
      <c r="E167" s="1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/>
      <c r="C168" s="9"/>
      <c r="D168" s="11"/>
      <c r="E168" s="1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/>
      <c r="C169" s="9"/>
      <c r="D169" s="11"/>
      <c r="E169" s="1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/>
      <c r="C170" s="9"/>
      <c r="D170" s="11"/>
      <c r="E170" s="1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/>
      <c r="C171" s="9"/>
      <c r="D171" s="11"/>
      <c r="E171" s="1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/>
      <c r="C172" s="9"/>
      <c r="D172" s="11"/>
      <c r="E172" s="1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/>
      <c r="C173" s="9"/>
      <c r="D173" s="11"/>
      <c r="E173" s="1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/>
      <c r="C174" s="9"/>
      <c r="D174" s="11"/>
      <c r="E174" s="1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"/>
      <c r="C175" s="9"/>
      <c r="D175" s="11"/>
      <c r="E175" s="1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"/>
      <c r="C176" s="9"/>
      <c r="D176" s="11"/>
      <c r="E176" s="1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"/>
      <c r="C177" s="9"/>
      <c r="D177" s="11"/>
      <c r="E177" s="1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"/>
      <c r="C178" s="9"/>
      <c r="D178" s="11"/>
      <c r="E178" s="1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"/>
      <c r="C179" s="9"/>
      <c r="D179" s="11"/>
      <c r="E179" s="1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"/>
      <c r="C180" s="9"/>
      <c r="D180" s="11"/>
      <c r="E180" s="1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"/>
      <c r="C181" s="9"/>
      <c r="D181" s="11"/>
      <c r="E181" s="1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"/>
      <c r="C182" s="9"/>
      <c r="D182" s="11"/>
      <c r="E182" s="1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"/>
      <c r="C183" s="9"/>
      <c r="D183" s="11"/>
      <c r="E183" s="1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"/>
      <c r="C184" s="9"/>
      <c r="D184" s="11"/>
      <c r="E184" s="1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"/>
      <c r="C185" s="9"/>
      <c r="D185" s="11"/>
      <c r="E185" s="1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"/>
      <c r="C186" s="9"/>
      <c r="D186" s="11"/>
      <c r="E186" s="1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"/>
      <c r="C187" s="9"/>
      <c r="D187" s="11"/>
      <c r="E187" s="1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"/>
      <c r="C188" s="9"/>
      <c r="D188" s="11"/>
      <c r="E188" s="1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"/>
      <c r="C189" s="9"/>
      <c r="D189" s="11"/>
      <c r="E189" s="1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"/>
      <c r="C190" s="9"/>
      <c r="D190" s="11"/>
      <c r="E190" s="1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"/>
      <c r="C191" s="9"/>
      <c r="D191" s="11"/>
      <c r="E191" s="1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"/>
      <c r="C192" s="9"/>
      <c r="D192" s="11"/>
      <c r="E192" s="1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"/>
      <c r="C193" s="9"/>
      <c r="D193" s="11"/>
      <c r="E193" s="1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"/>
      <c r="C194" s="9"/>
      <c r="D194" s="11"/>
      <c r="E194" s="1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"/>
      <c r="C195" s="9"/>
      <c r="D195" s="11"/>
      <c r="E195" s="1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"/>
      <c r="C196" s="9"/>
      <c r="D196" s="11"/>
      <c r="E196" s="1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"/>
      <c r="C197" s="9"/>
      <c r="D197" s="11"/>
      <c r="E197" s="1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"/>
      <c r="C198" s="9"/>
      <c r="D198" s="11"/>
      <c r="E198" s="1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"/>
      <c r="C199" s="9"/>
      <c r="D199" s="11"/>
      <c r="E199" s="1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"/>
      <c r="C200" s="9"/>
      <c r="D200" s="11"/>
      <c r="E200" s="1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"/>
      <c r="C201" s="9"/>
      <c r="D201" s="11"/>
      <c r="E201" s="1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"/>
      <c r="C202" s="9"/>
      <c r="D202" s="11"/>
      <c r="E202" s="1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"/>
      <c r="C203" s="9"/>
      <c r="D203" s="11"/>
      <c r="E203" s="1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"/>
      <c r="C204" s="9"/>
      <c r="D204" s="11"/>
      <c r="E204" s="1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"/>
      <c r="C205" s="9"/>
      <c r="D205" s="11"/>
      <c r="E205" s="1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"/>
      <c r="C206" s="9"/>
      <c r="D206" s="11"/>
      <c r="E206" s="1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"/>
      <c r="C207" s="9"/>
      <c r="D207" s="11"/>
      <c r="E207" s="1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"/>
      <c r="C208" s="9"/>
      <c r="D208" s="11"/>
      <c r="E208" s="1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"/>
      <c r="C209" s="9"/>
      <c r="D209" s="11"/>
      <c r="E209" s="1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"/>
      <c r="C210" s="9"/>
      <c r="D210" s="11"/>
      <c r="E210" s="1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"/>
      <c r="C211" s="9"/>
      <c r="D211" s="11"/>
      <c r="E211" s="1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"/>
      <c r="C212" s="9"/>
      <c r="D212" s="11"/>
      <c r="E212" s="1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"/>
      <c r="C213" s="9"/>
      <c r="D213" s="11"/>
      <c r="E213" s="1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"/>
      <c r="C214" s="9"/>
      <c r="D214" s="11"/>
      <c r="E214" s="1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"/>
      <c r="C215" s="9"/>
      <c r="D215" s="11"/>
      <c r="E215" s="1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"/>
      <c r="C216" s="9"/>
      <c r="D216" s="11"/>
      <c r="E216" s="1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"/>
      <c r="C217" s="9"/>
      <c r="D217" s="11"/>
      <c r="E217" s="1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"/>
      <c r="C218" s="9"/>
      <c r="D218" s="11"/>
      <c r="E218" s="1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"/>
      <c r="C219" s="9"/>
      <c r="D219" s="11"/>
      <c r="E219" s="1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"/>
      <c r="C220" s="9"/>
      <c r="D220" s="11"/>
      <c r="E220" s="1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"/>
      <c r="C221" s="9"/>
      <c r="D221" s="11"/>
      <c r="E221" s="1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"/>
      <c r="C222" s="9"/>
      <c r="D222" s="11"/>
      <c r="E222" s="1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"/>
      <c r="C223" s="9"/>
      <c r="D223" s="11"/>
      <c r="E223" s="1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"/>
      <c r="C224" s="9"/>
      <c r="D224" s="11"/>
      <c r="E224" s="1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"/>
      <c r="C225" s="9"/>
      <c r="D225" s="11"/>
      <c r="E225" s="1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"/>
      <c r="C226" s="9"/>
      <c r="D226" s="11"/>
      <c r="E226" s="1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"/>
      <c r="C227" s="9"/>
      <c r="D227" s="11"/>
      <c r="E227" s="1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"/>
      <c r="C228" s="9"/>
      <c r="D228" s="11"/>
      <c r="E228" s="1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"/>
      <c r="C229" s="9"/>
      <c r="D229" s="11"/>
      <c r="E229" s="1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"/>
      <c r="C230" s="9"/>
      <c r="D230" s="11"/>
      <c r="E230" s="1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"/>
      <c r="C231" s="9"/>
      <c r="D231" s="11"/>
      <c r="E231" s="1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"/>
      <c r="C232" s="9"/>
      <c r="D232" s="11"/>
      <c r="E232" s="1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"/>
      <c r="C233" s="9"/>
      <c r="D233" s="11"/>
      <c r="E233" s="1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"/>
      <c r="C234" s="9"/>
      <c r="D234" s="11"/>
      <c r="E234" s="1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"/>
      <c r="C235" s="9"/>
      <c r="D235" s="11"/>
      <c r="E235" s="1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"/>
      <c r="C236" s="9"/>
      <c r="D236" s="11"/>
      <c r="E236" s="1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"/>
      <c r="C237" s="9"/>
      <c r="D237" s="11"/>
      <c r="E237" s="1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"/>
      <c r="C238" s="9"/>
      <c r="D238" s="11"/>
      <c r="E238" s="1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"/>
      <c r="C239" s="9"/>
      <c r="D239" s="11"/>
      <c r="E239" s="1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"/>
      <c r="C240" s="9"/>
      <c r="D240" s="11"/>
      <c r="E240" s="1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"/>
      <c r="C241" s="9"/>
      <c r="D241" s="11"/>
      <c r="E241" s="1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"/>
      <c r="C242" s="9"/>
      <c r="D242" s="11"/>
      <c r="E242" s="1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"/>
      <c r="C243" s="9"/>
      <c r="D243" s="11"/>
      <c r="E243" s="1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"/>
      <c r="C244" s="9"/>
      <c r="D244" s="11"/>
      <c r="E244" s="1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"/>
      <c r="C245" s="9"/>
      <c r="D245" s="11"/>
      <c r="E245" s="11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"/>
      <c r="C246" s="9"/>
      <c r="D246" s="11"/>
      <c r="E246" s="11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"/>
      <c r="C247" s="9"/>
      <c r="D247" s="11"/>
      <c r="E247" s="11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"/>
      <c r="C248" s="9"/>
      <c r="D248" s="11"/>
      <c r="E248" s="11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"/>
      <c r="C249" s="9"/>
      <c r="D249" s="11"/>
      <c r="E249" s="11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"/>
      <c r="C250" s="9"/>
      <c r="D250" s="11"/>
      <c r="E250" s="11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"/>
      <c r="C251" s="9"/>
      <c r="D251" s="11"/>
      <c r="E251" s="11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"/>
      <c r="C252" s="9"/>
      <c r="D252" s="11"/>
      <c r="E252" s="11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"/>
      <c r="C253" s="9"/>
      <c r="D253" s="11"/>
      <c r="E253" s="11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"/>
      <c r="C254" s="9"/>
      <c r="D254" s="11"/>
      <c r="E254" s="11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"/>
      <c r="C255" s="9"/>
      <c r="D255" s="11"/>
      <c r="E255" s="11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"/>
      <c r="C256" s="9"/>
      <c r="D256" s="11"/>
      <c r="E256" s="11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"/>
      <c r="C257" s="9"/>
      <c r="D257" s="11"/>
      <c r="E257" s="11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"/>
      <c r="C258" s="9"/>
      <c r="D258" s="11"/>
      <c r="E258" s="11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"/>
      <c r="C259" s="9"/>
      <c r="D259" s="11"/>
      <c r="E259" s="11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"/>
      <c r="C260" s="9"/>
      <c r="D260" s="11"/>
      <c r="E260" s="11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"/>
      <c r="C261" s="9"/>
      <c r="D261" s="11"/>
      <c r="E261" s="11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"/>
      <c r="C262" s="9"/>
      <c r="D262" s="11"/>
      <c r="E262" s="11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"/>
      <c r="C263" s="9"/>
      <c r="D263" s="11"/>
      <c r="E263" s="11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"/>
      <c r="C264" s="9"/>
      <c r="D264" s="11"/>
      <c r="E264" s="11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"/>
      <c r="C265" s="9"/>
      <c r="D265" s="11"/>
      <c r="E265" s="11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"/>
      <c r="C266" s="9"/>
      <c r="D266" s="11"/>
      <c r="E266" s="11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"/>
      <c r="C267" s="9"/>
      <c r="D267" s="11"/>
      <c r="E267" s="11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"/>
      <c r="C268" s="9"/>
      <c r="D268" s="11"/>
      <c r="E268" s="11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"/>
      <c r="C269" s="9"/>
      <c r="D269" s="11"/>
      <c r="E269" s="11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"/>
      <c r="C270" s="9"/>
      <c r="D270" s="11"/>
      <c r="E270" s="11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"/>
      <c r="C271" s="9"/>
      <c r="D271" s="11"/>
      <c r="E271" s="11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"/>
      <c r="C272" s="9"/>
      <c r="D272" s="11"/>
      <c r="E272" s="11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"/>
      <c r="C273" s="9"/>
      <c r="D273" s="11"/>
      <c r="E273" s="11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"/>
      <c r="C274" s="9"/>
      <c r="D274" s="11"/>
      <c r="E274" s="11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"/>
      <c r="C275" s="9"/>
      <c r="D275" s="11"/>
      <c r="E275" s="11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"/>
      <c r="C276" s="9"/>
      <c r="D276" s="11"/>
      <c r="E276" s="11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"/>
      <c r="C277" s="9"/>
      <c r="D277" s="11"/>
      <c r="E277" s="11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"/>
      <c r="C278" s="9"/>
      <c r="D278" s="11"/>
      <c r="E278" s="11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"/>
      <c r="C279" s="9"/>
      <c r="D279" s="11"/>
      <c r="E279" s="11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"/>
      <c r="C280" s="9"/>
      <c r="D280" s="11"/>
      <c r="E280" s="11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"/>
      <c r="C281" s="9"/>
      <c r="D281" s="11"/>
      <c r="E281" s="11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"/>
      <c r="C282" s="9"/>
      <c r="D282" s="11"/>
      <c r="E282" s="11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"/>
      <c r="C283" s="9"/>
      <c r="D283" s="11"/>
      <c r="E283" s="11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"/>
      <c r="C284" s="9"/>
      <c r="D284" s="11"/>
      <c r="E284" s="11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"/>
      <c r="C285" s="9"/>
      <c r="D285" s="11"/>
      <c r="E285" s="11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"/>
      <c r="C286" s="9"/>
      <c r="D286" s="11"/>
      <c r="E286" s="11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"/>
      <c r="C287" s="9"/>
      <c r="D287" s="11"/>
      <c r="E287" s="11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"/>
      <c r="C288" s="9"/>
      <c r="D288" s="11"/>
      <c r="E288" s="11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"/>
      <c r="C289" s="9"/>
      <c r="D289" s="11"/>
      <c r="E289" s="11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"/>
      <c r="C290" s="9"/>
      <c r="D290" s="11"/>
      <c r="E290" s="11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"/>
      <c r="C291" s="9"/>
      <c r="D291" s="11"/>
      <c r="E291" s="11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"/>
      <c r="C292" s="9"/>
      <c r="D292" s="11"/>
      <c r="E292" s="11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"/>
      <c r="C293" s="9"/>
      <c r="D293" s="11"/>
      <c r="E293" s="11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"/>
      <c r="C294" s="9"/>
      <c r="D294" s="11"/>
      <c r="E294" s="11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"/>
      <c r="C295" s="9"/>
      <c r="D295" s="11"/>
      <c r="E295" s="11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"/>
      <c r="C296" s="9"/>
      <c r="D296" s="11"/>
      <c r="E296" s="11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"/>
      <c r="C297" s="9"/>
      <c r="D297" s="11"/>
      <c r="E297" s="11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"/>
      <c r="C298" s="9"/>
      <c r="D298" s="11"/>
      <c r="E298" s="11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"/>
      <c r="C299" s="9"/>
      <c r="D299" s="11"/>
      <c r="E299" s="11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"/>
      <c r="C300" s="9"/>
      <c r="D300" s="11"/>
      <c r="E300" s="11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"/>
      <c r="C301" s="9"/>
      <c r="D301" s="11"/>
      <c r="E301" s="11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"/>
      <c r="C302" s="9"/>
      <c r="D302" s="11"/>
      <c r="E302" s="11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"/>
      <c r="C303" s="9"/>
      <c r="D303" s="11"/>
      <c r="E303" s="11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"/>
      <c r="C304" s="9"/>
      <c r="D304" s="11"/>
      <c r="E304" s="11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"/>
      <c r="C305" s="9"/>
      <c r="D305" s="11"/>
      <c r="E305" s="11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"/>
      <c r="C306" s="9"/>
      <c r="D306" s="11"/>
      <c r="E306" s="11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"/>
      <c r="C307" s="9"/>
      <c r="D307" s="11"/>
      <c r="E307" s="11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"/>
      <c r="C308" s="9"/>
      <c r="D308" s="11"/>
      <c r="E308" s="11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"/>
      <c r="C309" s="9"/>
      <c r="D309" s="11"/>
      <c r="E309" s="11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"/>
      <c r="C310" s="9"/>
      <c r="D310" s="11"/>
      <c r="E310" s="11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"/>
      <c r="C311" s="9"/>
      <c r="D311" s="11"/>
      <c r="E311" s="11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"/>
      <c r="C312" s="9"/>
      <c r="D312" s="11"/>
      <c r="E312" s="11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"/>
      <c r="C313" s="9"/>
      <c r="D313" s="11"/>
      <c r="E313" s="11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"/>
      <c r="C314" s="9"/>
      <c r="D314" s="11"/>
      <c r="E314" s="11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"/>
      <c r="C315" s="9"/>
      <c r="D315" s="11"/>
      <c r="E315" s="11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"/>
      <c r="C316" s="9"/>
      <c r="D316" s="11"/>
      <c r="E316" s="11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"/>
      <c r="C317" s="9"/>
      <c r="D317" s="11"/>
      <c r="E317" s="11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"/>
      <c r="C318" s="9"/>
      <c r="D318" s="11"/>
      <c r="E318" s="11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"/>
      <c r="C319" s="9"/>
      <c r="D319" s="11"/>
      <c r="E319" s="11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"/>
      <c r="C320" s="9"/>
      <c r="D320" s="11"/>
      <c r="E320" s="11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"/>
      <c r="C321" s="9"/>
      <c r="D321" s="11"/>
      <c r="E321" s="11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"/>
      <c r="C322" s="9"/>
      <c r="D322" s="11"/>
      <c r="E322" s="11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"/>
      <c r="C323" s="9"/>
      <c r="D323" s="11"/>
      <c r="E323" s="11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"/>
      <c r="C324" s="9"/>
      <c r="D324" s="11"/>
      <c r="E324" s="11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"/>
      <c r="C325" s="9"/>
      <c r="D325" s="11"/>
      <c r="E325" s="11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"/>
      <c r="C326" s="9"/>
      <c r="D326" s="11"/>
      <c r="E326" s="11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"/>
      <c r="C327" s="9"/>
      <c r="D327" s="11"/>
      <c r="E327" s="11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"/>
      <c r="C328" s="9"/>
      <c r="D328" s="11"/>
      <c r="E328" s="11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"/>
      <c r="C329" s="9"/>
      <c r="D329" s="11"/>
      <c r="E329" s="11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"/>
      <c r="C330" s="9"/>
      <c r="D330" s="11"/>
      <c r="E330" s="11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"/>
      <c r="C331" s="9"/>
      <c r="D331" s="11"/>
      <c r="E331" s="11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"/>
      <c r="C332" s="9"/>
      <c r="D332" s="11"/>
      <c r="E332" s="11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"/>
      <c r="C333" s="9"/>
      <c r="D333" s="11"/>
      <c r="E333" s="11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"/>
      <c r="C334" s="9"/>
      <c r="D334" s="11"/>
      <c r="E334" s="11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"/>
      <c r="C335" s="9"/>
      <c r="D335" s="11"/>
      <c r="E335" s="11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"/>
      <c r="C336" s="9"/>
      <c r="D336" s="11"/>
      <c r="E336" s="11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"/>
      <c r="C337" s="9"/>
      <c r="D337" s="11"/>
      <c r="E337" s="11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"/>
      <c r="C338" s="9"/>
      <c r="D338" s="11"/>
      <c r="E338" s="11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"/>
      <c r="C339" s="9"/>
      <c r="D339" s="11"/>
      <c r="E339" s="11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"/>
      <c r="C340" s="9"/>
      <c r="D340" s="11"/>
      <c r="E340" s="11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"/>
      <c r="C341" s="9"/>
      <c r="D341" s="11"/>
      <c r="E341" s="11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"/>
      <c r="C342" s="9"/>
      <c r="D342" s="11"/>
      <c r="E342" s="11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"/>
      <c r="C343" s="9"/>
      <c r="D343" s="11"/>
      <c r="E343" s="11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"/>
      <c r="C344" s="9"/>
      <c r="D344" s="11"/>
      <c r="E344" s="11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"/>
      <c r="C345" s="9"/>
      <c r="D345" s="11"/>
      <c r="E345" s="11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"/>
      <c r="C346" s="9"/>
      <c r="D346" s="11"/>
      <c r="E346" s="11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"/>
      <c r="C347" s="9"/>
      <c r="D347" s="11"/>
      <c r="E347" s="11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"/>
      <c r="C348" s="9"/>
      <c r="D348" s="11"/>
      <c r="E348" s="11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"/>
      <c r="C349" s="9"/>
      <c r="D349" s="11"/>
      <c r="E349" s="11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"/>
      <c r="C350" s="9"/>
      <c r="D350" s="11"/>
      <c r="E350" s="11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"/>
      <c r="C351" s="9"/>
      <c r="D351" s="11"/>
      <c r="E351" s="11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"/>
      <c r="C352" s="9"/>
      <c r="D352" s="11"/>
      <c r="E352" s="11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"/>
      <c r="C353" s="9"/>
      <c r="D353" s="11"/>
      <c r="E353" s="11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"/>
      <c r="C354" s="9"/>
      <c r="D354" s="11"/>
      <c r="E354" s="11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"/>
      <c r="C355" s="9"/>
      <c r="D355" s="11"/>
      <c r="E355" s="11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"/>
      <c r="C356" s="9"/>
      <c r="D356" s="11"/>
      <c r="E356" s="11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"/>
      <c r="C357" s="9"/>
      <c r="D357" s="11"/>
      <c r="E357" s="11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"/>
      <c r="C358" s="9"/>
      <c r="D358" s="11"/>
      <c r="E358" s="11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"/>
      <c r="C359" s="9"/>
      <c r="D359" s="11"/>
      <c r="E359" s="11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"/>
      <c r="C360" s="9"/>
      <c r="D360" s="11"/>
      <c r="E360" s="11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"/>
      <c r="C361" s="9"/>
      <c r="D361" s="11"/>
      <c r="E361" s="11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"/>
      <c r="C362" s="9"/>
      <c r="D362" s="11"/>
      <c r="E362" s="11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"/>
      <c r="C363" s="9"/>
      <c r="D363" s="11"/>
      <c r="E363" s="11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"/>
      <c r="C364" s="9"/>
      <c r="D364" s="11"/>
      <c r="E364" s="11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"/>
      <c r="C365" s="9"/>
      <c r="D365" s="11"/>
      <c r="E365" s="11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"/>
      <c r="C366" s="9"/>
      <c r="D366" s="11"/>
      <c r="E366" s="11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"/>
      <c r="C367" s="9"/>
      <c r="D367" s="11"/>
      <c r="E367" s="11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"/>
      <c r="C368" s="9"/>
      <c r="D368" s="11"/>
      <c r="E368" s="11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"/>
      <c r="C369" s="9"/>
      <c r="D369" s="11"/>
      <c r="E369" s="11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"/>
      <c r="C370" s="9"/>
      <c r="D370" s="11"/>
      <c r="E370" s="11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"/>
      <c r="C371" s="9"/>
      <c r="D371" s="11"/>
      <c r="E371" s="11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"/>
      <c r="C372" s="9"/>
      <c r="D372" s="11"/>
      <c r="E372" s="11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"/>
      <c r="C373" s="9"/>
      <c r="D373" s="11"/>
      <c r="E373" s="11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"/>
      <c r="C374" s="9"/>
      <c r="D374" s="11"/>
      <c r="E374" s="11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"/>
      <c r="C375" s="9"/>
      <c r="D375" s="11"/>
      <c r="E375" s="11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"/>
      <c r="C376" s="9"/>
      <c r="D376" s="11"/>
      <c r="E376" s="11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"/>
      <c r="C377" s="9"/>
      <c r="D377" s="11"/>
      <c r="E377" s="11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"/>
      <c r="C378" s="9"/>
      <c r="D378" s="11"/>
      <c r="E378" s="11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"/>
      <c r="C379" s="9"/>
      <c r="D379" s="11"/>
      <c r="E379" s="11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"/>
      <c r="C380" s="9"/>
      <c r="D380" s="11"/>
      <c r="E380" s="11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"/>
      <c r="C381" s="9"/>
      <c r="D381" s="11"/>
      <c r="E381" s="11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"/>
      <c r="C382" s="9"/>
      <c r="D382" s="11"/>
      <c r="E382" s="11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"/>
      <c r="C383" s="9"/>
      <c r="D383" s="11"/>
      <c r="E383" s="11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"/>
      <c r="C384" s="9"/>
      <c r="D384" s="11"/>
      <c r="E384" s="11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"/>
      <c r="C385" s="9"/>
      <c r="D385" s="11"/>
      <c r="E385" s="11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"/>
      <c r="C386" s="9"/>
      <c r="D386" s="11"/>
      <c r="E386" s="11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"/>
      <c r="C387" s="9"/>
      <c r="D387" s="11"/>
      <c r="E387" s="11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"/>
      <c r="C388" s="9"/>
      <c r="D388" s="11"/>
      <c r="E388" s="11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"/>
      <c r="C389" s="9"/>
      <c r="D389" s="11"/>
      <c r="E389" s="11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"/>
      <c r="C390" s="9"/>
      <c r="D390" s="11"/>
      <c r="E390" s="11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"/>
      <c r="C391" s="9"/>
      <c r="D391" s="11"/>
      <c r="E391" s="11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"/>
      <c r="C392" s="9"/>
      <c r="D392" s="11"/>
      <c r="E392" s="11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"/>
      <c r="C393" s="9"/>
      <c r="D393" s="11"/>
      <c r="E393" s="11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"/>
      <c r="C394" s="9"/>
      <c r="D394" s="11"/>
      <c r="E394" s="11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"/>
      <c r="C395" s="9"/>
      <c r="D395" s="11"/>
      <c r="E395" s="11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"/>
      <c r="C396" s="9"/>
      <c r="D396" s="11"/>
      <c r="E396" s="11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"/>
      <c r="C397" s="9"/>
      <c r="D397" s="11"/>
      <c r="E397" s="11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"/>
      <c r="C398" s="9"/>
      <c r="D398" s="11"/>
      <c r="E398" s="11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"/>
      <c r="C399" s="9"/>
      <c r="D399" s="11"/>
      <c r="E399" s="11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"/>
      <c r="C400" s="9"/>
      <c r="D400" s="11"/>
      <c r="E400" s="11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"/>
      <c r="C401" s="9"/>
      <c r="D401" s="11"/>
      <c r="E401" s="11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"/>
      <c r="C402" s="9"/>
      <c r="D402" s="11"/>
      <c r="E402" s="11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"/>
      <c r="C403" s="9"/>
      <c r="D403" s="11"/>
      <c r="E403" s="11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"/>
      <c r="C404" s="9"/>
      <c r="D404" s="11"/>
      <c r="E404" s="11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"/>
      <c r="C405" s="9"/>
      <c r="D405" s="11"/>
      <c r="E405" s="11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"/>
      <c r="C406" s="9"/>
      <c r="D406" s="11"/>
      <c r="E406" s="11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"/>
      <c r="C407" s="9"/>
      <c r="D407" s="11"/>
      <c r="E407" s="11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"/>
      <c r="C408" s="9"/>
      <c r="D408" s="11"/>
      <c r="E408" s="11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"/>
      <c r="C409" s="9"/>
      <c r="D409" s="11"/>
      <c r="E409" s="11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"/>
      <c r="C410" s="9"/>
      <c r="D410" s="11"/>
      <c r="E410" s="11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"/>
      <c r="C411" s="9"/>
      <c r="D411" s="11"/>
      <c r="E411" s="11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"/>
      <c r="C412" s="9"/>
      <c r="D412" s="11"/>
      <c r="E412" s="11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"/>
      <c r="C413" s="9"/>
      <c r="D413" s="11"/>
      <c r="E413" s="11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"/>
      <c r="C414" s="9"/>
      <c r="D414" s="11"/>
      <c r="E414" s="11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"/>
      <c r="C415" s="9"/>
      <c r="D415" s="11"/>
      <c r="E415" s="11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"/>
      <c r="C416" s="9"/>
      <c r="D416" s="11"/>
      <c r="E416" s="11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"/>
      <c r="C417" s="9"/>
      <c r="D417" s="11"/>
      <c r="E417" s="11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"/>
      <c r="C418" s="9"/>
      <c r="D418" s="11"/>
      <c r="E418" s="11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"/>
      <c r="C419" s="9"/>
      <c r="D419" s="11"/>
      <c r="E419" s="11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"/>
      <c r="C420" s="9"/>
      <c r="D420" s="11"/>
      <c r="E420" s="11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"/>
      <c r="C421" s="9"/>
      <c r="D421" s="11"/>
      <c r="E421" s="11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"/>
      <c r="C422" s="9"/>
      <c r="D422" s="11"/>
      <c r="E422" s="11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"/>
      <c r="C423" s="9"/>
      <c r="D423" s="11"/>
      <c r="E423" s="11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"/>
      <c r="C424" s="9"/>
      <c r="D424" s="11"/>
      <c r="E424" s="11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"/>
      <c r="C425" s="9"/>
      <c r="D425" s="11"/>
      <c r="E425" s="11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"/>
      <c r="C426" s="9"/>
      <c r="D426" s="11"/>
      <c r="E426" s="11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"/>
      <c r="C427" s="9"/>
      <c r="D427" s="11"/>
      <c r="E427" s="11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"/>
      <c r="C428" s="9"/>
      <c r="D428" s="11"/>
      <c r="E428" s="11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"/>
      <c r="C429" s="9"/>
      <c r="D429" s="11"/>
      <c r="E429" s="11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"/>
      <c r="C430" s="9"/>
      <c r="D430" s="11"/>
      <c r="E430" s="11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"/>
      <c r="C431" s="9"/>
      <c r="D431" s="11"/>
      <c r="E431" s="11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"/>
      <c r="C432" s="9"/>
      <c r="D432" s="11"/>
      <c r="E432" s="11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"/>
      <c r="C433" s="9"/>
      <c r="D433" s="11"/>
      <c r="E433" s="11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"/>
      <c r="C434" s="9"/>
      <c r="D434" s="11"/>
      <c r="E434" s="11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"/>
      <c r="C435" s="9"/>
      <c r="D435" s="11"/>
      <c r="E435" s="11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"/>
      <c r="C436" s="9"/>
      <c r="D436" s="11"/>
      <c r="E436" s="11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"/>
      <c r="C437" s="9"/>
      <c r="D437" s="11"/>
      <c r="E437" s="11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"/>
      <c r="C438" s="9"/>
      <c r="D438" s="11"/>
      <c r="E438" s="11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"/>
      <c r="C439" s="9"/>
      <c r="D439" s="11"/>
      <c r="E439" s="11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"/>
      <c r="C440" s="9"/>
      <c r="D440" s="11"/>
      <c r="E440" s="11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"/>
      <c r="C441" s="9"/>
      <c r="D441" s="11"/>
      <c r="E441" s="11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"/>
      <c r="C442" s="9"/>
      <c r="D442" s="11"/>
      <c r="E442" s="11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"/>
      <c r="C443" s="9"/>
      <c r="D443" s="11"/>
      <c r="E443" s="11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"/>
      <c r="C444" s="9"/>
      <c r="D444" s="11"/>
      <c r="E444" s="11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"/>
      <c r="C445" s="9"/>
      <c r="D445" s="11"/>
      <c r="E445" s="11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"/>
      <c r="C446" s="9"/>
      <c r="D446" s="11"/>
      <c r="E446" s="11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"/>
      <c r="C447" s="9"/>
      <c r="D447" s="11"/>
      <c r="E447" s="11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"/>
      <c r="C448" s="9"/>
      <c r="D448" s="11"/>
      <c r="E448" s="11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"/>
      <c r="C449" s="9"/>
      <c r="D449" s="11"/>
      <c r="E449" s="11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"/>
      <c r="C450" s="9"/>
      <c r="D450" s="11"/>
      <c r="E450" s="11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"/>
      <c r="C451" s="9"/>
      <c r="D451" s="11"/>
      <c r="E451" s="11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"/>
      <c r="C452" s="9"/>
      <c r="D452" s="11"/>
      <c r="E452" s="11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"/>
      <c r="C453" s="9"/>
      <c r="D453" s="11"/>
      <c r="E453" s="11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"/>
      <c r="C454" s="9"/>
      <c r="D454" s="11"/>
      <c r="E454" s="11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"/>
      <c r="C455" s="9"/>
      <c r="D455" s="11"/>
      <c r="E455" s="11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"/>
      <c r="C456" s="9"/>
      <c r="D456" s="11"/>
      <c r="E456" s="11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"/>
      <c r="C457" s="9"/>
      <c r="D457" s="11"/>
      <c r="E457" s="11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"/>
      <c r="C458" s="9"/>
      <c r="D458" s="11"/>
      <c r="E458" s="11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"/>
      <c r="C459" s="9"/>
      <c r="D459" s="11"/>
      <c r="E459" s="11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"/>
      <c r="C460" s="9"/>
      <c r="D460" s="11"/>
      <c r="E460" s="11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"/>
      <c r="C461" s="9"/>
      <c r="D461" s="11"/>
      <c r="E461" s="11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"/>
      <c r="C462" s="9"/>
      <c r="D462" s="11"/>
      <c r="E462" s="11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"/>
      <c r="C463" s="9"/>
      <c r="D463" s="11"/>
      <c r="E463" s="11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"/>
      <c r="C464" s="9"/>
      <c r="D464" s="11"/>
      <c r="E464" s="11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"/>
      <c r="C465" s="9"/>
      <c r="D465" s="11"/>
      <c r="E465" s="11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"/>
      <c r="C466" s="9"/>
      <c r="D466" s="11"/>
      <c r="E466" s="11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"/>
      <c r="C467" s="9"/>
      <c r="D467" s="11"/>
      <c r="E467" s="11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"/>
      <c r="C468" s="9"/>
      <c r="D468" s="11"/>
      <c r="E468" s="11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"/>
      <c r="C469" s="9"/>
      <c r="D469" s="11"/>
      <c r="E469" s="11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"/>
      <c r="C470" s="9"/>
      <c r="D470" s="11"/>
      <c r="E470" s="11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"/>
      <c r="C471" s="9"/>
      <c r="D471" s="11"/>
      <c r="E471" s="11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"/>
      <c r="C472" s="9"/>
      <c r="D472" s="11"/>
      <c r="E472" s="11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"/>
      <c r="C473" s="9"/>
      <c r="D473" s="11"/>
      <c r="E473" s="11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"/>
      <c r="C474" s="9"/>
      <c r="D474" s="11"/>
      <c r="E474" s="11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"/>
      <c r="C475" s="9"/>
      <c r="D475" s="11"/>
      <c r="E475" s="11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"/>
      <c r="C476" s="9"/>
      <c r="D476" s="11"/>
      <c r="E476" s="11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"/>
      <c r="C477" s="9"/>
      <c r="D477" s="11"/>
      <c r="E477" s="11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"/>
      <c r="C478" s="9"/>
      <c r="D478" s="11"/>
      <c r="E478" s="11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"/>
      <c r="C479" s="9"/>
      <c r="D479" s="11"/>
      <c r="E479" s="11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"/>
      <c r="C480" s="9"/>
      <c r="D480" s="11"/>
      <c r="E480" s="11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"/>
      <c r="C481" s="9"/>
      <c r="D481" s="11"/>
      <c r="E481" s="11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"/>
      <c r="C482" s="9"/>
      <c r="D482" s="11"/>
      <c r="E482" s="11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"/>
      <c r="C483" s="9"/>
      <c r="D483" s="11"/>
      <c r="E483" s="11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"/>
      <c r="C484" s="9"/>
      <c r="D484" s="11"/>
      <c r="E484" s="11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"/>
      <c r="C485" s="9"/>
      <c r="D485" s="11"/>
      <c r="E485" s="11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"/>
      <c r="C486" s="9"/>
      <c r="D486" s="11"/>
      <c r="E486" s="11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"/>
      <c r="C487" s="9"/>
      <c r="D487" s="11"/>
      <c r="E487" s="11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"/>
      <c r="C488" s="9"/>
      <c r="D488" s="11"/>
      <c r="E488" s="11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"/>
      <c r="C489" s="9"/>
      <c r="D489" s="11"/>
      <c r="E489" s="11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"/>
      <c r="C490" s="9"/>
      <c r="D490" s="11"/>
      <c r="E490" s="11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"/>
      <c r="C491" s="9"/>
      <c r="D491" s="11"/>
      <c r="E491" s="11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"/>
      <c r="C492" s="9"/>
      <c r="D492" s="11"/>
      <c r="E492" s="11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"/>
      <c r="C493" s="9"/>
      <c r="D493" s="11"/>
      <c r="E493" s="11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"/>
      <c r="C494" s="9"/>
      <c r="D494" s="11"/>
      <c r="E494" s="11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"/>
      <c r="C495" s="9"/>
      <c r="D495" s="11"/>
      <c r="E495" s="11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"/>
      <c r="C496" s="9"/>
      <c r="D496" s="11"/>
      <c r="E496" s="11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"/>
      <c r="C497" s="9"/>
      <c r="D497" s="11"/>
      <c r="E497" s="11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"/>
      <c r="C498" s="9"/>
      <c r="D498" s="11"/>
      <c r="E498" s="11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"/>
      <c r="C499" s="9"/>
      <c r="D499" s="11"/>
      <c r="E499" s="11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"/>
      <c r="C500" s="9"/>
      <c r="D500" s="11"/>
      <c r="E500" s="11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"/>
      <c r="C501" s="9"/>
      <c r="D501" s="11"/>
      <c r="E501" s="11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"/>
      <c r="C502" s="9"/>
      <c r="D502" s="11"/>
      <c r="E502" s="11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"/>
      <c r="C503" s="9"/>
      <c r="D503" s="11"/>
      <c r="E503" s="11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"/>
      <c r="C504" s="9"/>
      <c r="D504" s="11"/>
      <c r="E504" s="11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"/>
      <c r="C505" s="9"/>
      <c r="D505" s="11"/>
      <c r="E505" s="11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"/>
      <c r="C506" s="9"/>
      <c r="D506" s="11"/>
      <c r="E506" s="11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"/>
      <c r="C507" s="9"/>
      <c r="D507" s="11"/>
      <c r="E507" s="11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"/>
      <c r="C508" s="9"/>
      <c r="D508" s="11"/>
      <c r="E508" s="11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"/>
      <c r="C509" s="9"/>
      <c r="D509" s="11"/>
      <c r="E509" s="11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"/>
      <c r="C510" s="9"/>
      <c r="D510" s="11"/>
      <c r="E510" s="11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"/>
      <c r="C511" s="9"/>
      <c r="D511" s="11"/>
      <c r="E511" s="11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"/>
      <c r="C512" s="9"/>
      <c r="D512" s="11"/>
      <c r="E512" s="11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"/>
      <c r="C513" s="9"/>
      <c r="D513" s="11"/>
      <c r="E513" s="11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"/>
      <c r="C514" s="9"/>
      <c r="D514" s="11"/>
      <c r="E514" s="11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"/>
      <c r="C515" s="9"/>
      <c r="D515" s="11"/>
      <c r="E515" s="11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"/>
      <c r="C516" s="9"/>
      <c r="D516" s="11"/>
      <c r="E516" s="11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"/>
      <c r="C517" s="9"/>
      <c r="D517" s="11"/>
      <c r="E517" s="11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"/>
      <c r="C518" s="9"/>
      <c r="D518" s="11"/>
      <c r="E518" s="11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"/>
      <c r="C519" s="9"/>
      <c r="D519" s="11"/>
      <c r="E519" s="11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"/>
      <c r="C520" s="9"/>
      <c r="D520" s="11"/>
      <c r="E520" s="11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"/>
      <c r="C521" s="9"/>
      <c r="D521" s="11"/>
      <c r="E521" s="11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"/>
      <c r="C522" s="9"/>
      <c r="D522" s="11"/>
      <c r="E522" s="11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"/>
      <c r="C523" s="9"/>
      <c r="D523" s="11"/>
      <c r="E523" s="11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"/>
      <c r="C524" s="9"/>
      <c r="D524" s="11"/>
      <c r="E524" s="11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"/>
      <c r="C525" s="9"/>
      <c r="D525" s="11"/>
      <c r="E525" s="11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"/>
      <c r="C526" s="9"/>
      <c r="D526" s="11"/>
      <c r="E526" s="11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"/>
      <c r="C527" s="9"/>
      <c r="D527" s="11"/>
      <c r="E527" s="11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"/>
      <c r="C528" s="9"/>
      <c r="D528" s="11"/>
      <c r="E528" s="11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"/>
      <c r="C529" s="9"/>
      <c r="D529" s="11"/>
      <c r="E529" s="11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"/>
      <c r="C530" s="9"/>
      <c r="D530" s="11"/>
      <c r="E530" s="11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"/>
      <c r="C531" s="9"/>
      <c r="D531" s="11"/>
      <c r="E531" s="11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"/>
      <c r="C532" s="9"/>
      <c r="D532" s="11"/>
      <c r="E532" s="11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"/>
      <c r="C533" s="9"/>
      <c r="D533" s="11"/>
      <c r="E533" s="11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"/>
      <c r="C534" s="9"/>
      <c r="D534" s="11"/>
      <c r="E534" s="11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"/>
      <c r="C535" s="9"/>
      <c r="D535" s="11"/>
      <c r="E535" s="11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"/>
      <c r="C536" s="9"/>
      <c r="D536" s="11"/>
      <c r="E536" s="11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"/>
      <c r="C537" s="9"/>
      <c r="D537" s="11"/>
      <c r="E537" s="11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"/>
      <c r="C538" s="9"/>
      <c r="D538" s="11"/>
      <c r="E538" s="11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"/>
      <c r="C539" s="9"/>
      <c r="D539" s="11"/>
      <c r="E539" s="11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"/>
      <c r="C540" s="9"/>
      <c r="D540" s="11"/>
      <c r="E540" s="11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"/>
      <c r="C541" s="9"/>
      <c r="D541" s="11"/>
      <c r="E541" s="11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"/>
      <c r="C542" s="9"/>
      <c r="D542" s="11"/>
      <c r="E542" s="11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"/>
      <c r="C543" s="9"/>
      <c r="D543" s="11"/>
      <c r="E543" s="11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"/>
      <c r="C544" s="9"/>
      <c r="D544" s="11"/>
      <c r="E544" s="11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"/>
      <c r="C545" s="9"/>
      <c r="D545" s="11"/>
      <c r="E545" s="11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"/>
      <c r="C546" s="9"/>
      <c r="D546" s="11"/>
      <c r="E546" s="11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"/>
      <c r="C547" s="9"/>
      <c r="D547" s="11"/>
      <c r="E547" s="11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"/>
      <c r="C548" s="9"/>
      <c r="D548" s="11"/>
      <c r="E548" s="11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"/>
      <c r="C549" s="9"/>
      <c r="D549" s="11"/>
      <c r="E549" s="11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"/>
      <c r="C550" s="9"/>
      <c r="D550" s="11"/>
      <c r="E550" s="11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"/>
      <c r="C551" s="9"/>
      <c r="D551" s="11"/>
      <c r="E551" s="11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"/>
      <c r="C552" s="9"/>
      <c r="D552" s="11"/>
      <c r="E552" s="11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"/>
      <c r="C553" s="9"/>
      <c r="D553" s="11"/>
      <c r="E553" s="11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"/>
      <c r="C554" s="9"/>
      <c r="D554" s="11"/>
      <c r="E554" s="11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"/>
      <c r="C555" s="9"/>
      <c r="D555" s="11"/>
      <c r="E555" s="11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"/>
      <c r="C556" s="9"/>
      <c r="D556" s="11"/>
      <c r="E556" s="11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"/>
      <c r="C557" s="9"/>
      <c r="D557" s="11"/>
      <c r="E557" s="11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"/>
      <c r="C558" s="9"/>
      <c r="D558" s="11"/>
      <c r="E558" s="11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"/>
      <c r="C559" s="9"/>
      <c r="D559" s="11"/>
      <c r="E559" s="11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"/>
      <c r="C560" s="9"/>
      <c r="D560" s="11"/>
      <c r="E560" s="11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"/>
      <c r="C561" s="9"/>
      <c r="D561" s="11"/>
      <c r="E561" s="11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"/>
      <c r="C562" s="9"/>
      <c r="D562" s="11"/>
      <c r="E562" s="11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"/>
      <c r="C563" s="9"/>
      <c r="D563" s="11"/>
      <c r="E563" s="11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"/>
      <c r="C564" s="9"/>
      <c r="D564" s="11"/>
      <c r="E564" s="11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"/>
      <c r="C565" s="9"/>
      <c r="D565" s="11"/>
      <c r="E565" s="11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"/>
      <c r="C566" s="9"/>
      <c r="D566" s="11"/>
      <c r="E566" s="11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"/>
      <c r="C567" s="9"/>
      <c r="D567" s="11"/>
      <c r="E567" s="11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"/>
      <c r="C568" s="9"/>
      <c r="D568" s="11"/>
      <c r="E568" s="11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"/>
      <c r="C569" s="9"/>
      <c r="D569" s="11"/>
      <c r="E569" s="11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"/>
      <c r="C570" s="9"/>
      <c r="D570" s="11"/>
      <c r="E570" s="11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"/>
      <c r="C571" s="9"/>
      <c r="D571" s="11"/>
      <c r="E571" s="11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"/>
      <c r="C572" s="9"/>
      <c r="D572" s="11"/>
      <c r="E572" s="11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"/>
      <c r="C573" s="9"/>
      <c r="D573" s="11"/>
      <c r="E573" s="11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"/>
      <c r="C574" s="9"/>
      <c r="D574" s="11"/>
      <c r="E574" s="11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"/>
      <c r="C575" s="9"/>
      <c r="D575" s="11"/>
      <c r="E575" s="11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"/>
      <c r="C576" s="9"/>
      <c r="D576" s="11"/>
      <c r="E576" s="11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"/>
      <c r="C577" s="9"/>
      <c r="D577" s="11"/>
      <c r="E577" s="11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"/>
      <c r="C578" s="9"/>
      <c r="D578" s="11"/>
      <c r="E578" s="11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"/>
      <c r="C579" s="9"/>
      <c r="D579" s="11"/>
      <c r="E579" s="11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"/>
      <c r="C580" s="9"/>
      <c r="D580" s="11"/>
      <c r="E580" s="11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"/>
      <c r="C581" s="9"/>
      <c r="D581" s="11"/>
      <c r="E581" s="11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"/>
      <c r="C582" s="9"/>
      <c r="D582" s="11"/>
      <c r="E582" s="11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"/>
      <c r="C583" s="9"/>
      <c r="D583" s="11"/>
      <c r="E583" s="11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"/>
      <c r="C584" s="9"/>
      <c r="D584" s="11"/>
      <c r="E584" s="11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"/>
      <c r="C585" s="9"/>
      <c r="D585" s="11"/>
      <c r="E585" s="11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"/>
      <c r="C586" s="9"/>
      <c r="D586" s="11"/>
      <c r="E586" s="11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"/>
      <c r="C587" s="9"/>
      <c r="D587" s="11"/>
      <c r="E587" s="11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"/>
      <c r="C588" s="9"/>
      <c r="D588" s="11"/>
      <c r="E588" s="11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"/>
      <c r="C589" s="9"/>
      <c r="D589" s="11"/>
      <c r="E589" s="11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"/>
      <c r="C590" s="9"/>
      <c r="D590" s="11"/>
      <c r="E590" s="11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"/>
      <c r="C591" s="9"/>
      <c r="D591" s="11"/>
      <c r="E591" s="11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"/>
      <c r="C592" s="9"/>
      <c r="D592" s="11"/>
      <c r="E592" s="11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"/>
      <c r="C593" s="9"/>
      <c r="D593" s="11"/>
      <c r="E593" s="11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"/>
      <c r="C594" s="9"/>
      <c r="D594" s="11"/>
      <c r="E594" s="11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"/>
      <c r="C595" s="9"/>
      <c r="D595" s="11"/>
      <c r="E595" s="11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"/>
      <c r="C596" s="9"/>
      <c r="D596" s="11"/>
      <c r="E596" s="11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"/>
      <c r="C597" s="9"/>
      <c r="D597" s="11"/>
      <c r="E597" s="11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"/>
      <c r="C598" s="9"/>
      <c r="D598" s="11"/>
      <c r="E598" s="11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"/>
      <c r="C599" s="9"/>
      <c r="D599" s="11"/>
      <c r="E599" s="11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"/>
      <c r="C600" s="9"/>
      <c r="D600" s="11"/>
      <c r="E600" s="11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"/>
      <c r="C601" s="9"/>
      <c r="D601" s="11"/>
      <c r="E601" s="11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"/>
      <c r="C602" s="9"/>
      <c r="D602" s="11"/>
      <c r="E602" s="11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"/>
      <c r="C603" s="9"/>
      <c r="D603" s="11"/>
      <c r="E603" s="11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"/>
      <c r="C604" s="9"/>
      <c r="D604" s="11"/>
      <c r="E604" s="11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"/>
      <c r="C605" s="9"/>
      <c r="D605" s="11"/>
      <c r="E605" s="11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"/>
      <c r="C606" s="9"/>
      <c r="D606" s="11"/>
      <c r="E606" s="11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"/>
      <c r="C607" s="9"/>
      <c r="D607" s="11"/>
      <c r="E607" s="11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"/>
      <c r="C608" s="9"/>
      <c r="D608" s="11"/>
      <c r="E608" s="11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"/>
      <c r="C609" s="9"/>
      <c r="D609" s="11"/>
      <c r="E609" s="11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"/>
      <c r="C610" s="9"/>
      <c r="D610" s="11"/>
      <c r="E610" s="11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"/>
      <c r="C611" s="9"/>
      <c r="D611" s="11"/>
      <c r="E611" s="11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"/>
      <c r="C612" s="9"/>
      <c r="D612" s="11"/>
      <c r="E612" s="11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"/>
      <c r="C613" s="9"/>
      <c r="D613" s="11"/>
      <c r="E613" s="11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"/>
      <c r="C614" s="9"/>
      <c r="D614" s="11"/>
      <c r="E614" s="11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"/>
      <c r="C615" s="9"/>
      <c r="D615" s="11"/>
      <c r="E615" s="11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"/>
      <c r="C616" s="9"/>
      <c r="D616" s="11"/>
      <c r="E616" s="11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"/>
      <c r="C617" s="9"/>
      <c r="D617" s="11"/>
      <c r="E617" s="11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"/>
      <c r="C618" s="9"/>
      <c r="D618" s="11"/>
      <c r="E618" s="11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"/>
      <c r="C619" s="9"/>
      <c r="D619" s="11"/>
      <c r="E619" s="11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"/>
      <c r="C620" s="9"/>
      <c r="D620" s="11"/>
      <c r="E620" s="11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"/>
      <c r="C621" s="9"/>
      <c r="D621" s="11"/>
      <c r="E621" s="11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"/>
      <c r="C622" s="9"/>
      <c r="D622" s="11"/>
      <c r="E622" s="11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"/>
      <c r="C623" s="9"/>
      <c r="D623" s="11"/>
      <c r="E623" s="11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"/>
      <c r="C624" s="9"/>
      <c r="D624" s="11"/>
      <c r="E624" s="11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"/>
      <c r="C625" s="9"/>
      <c r="D625" s="11"/>
      <c r="E625" s="11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"/>
      <c r="C626" s="9"/>
      <c r="D626" s="11"/>
      <c r="E626" s="11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"/>
      <c r="C627" s="9"/>
      <c r="D627" s="11"/>
      <c r="E627" s="11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"/>
      <c r="C628" s="9"/>
      <c r="D628" s="11"/>
      <c r="E628" s="11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"/>
      <c r="C629" s="9"/>
      <c r="D629" s="11"/>
      <c r="E629" s="11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"/>
      <c r="C630" s="9"/>
      <c r="D630" s="11"/>
      <c r="E630" s="11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"/>
      <c r="C631" s="9"/>
      <c r="D631" s="11"/>
      <c r="E631" s="11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"/>
      <c r="C632" s="9"/>
      <c r="D632" s="11"/>
      <c r="E632" s="11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"/>
      <c r="C633" s="9"/>
      <c r="D633" s="11"/>
      <c r="E633" s="11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"/>
      <c r="C634" s="9"/>
      <c r="D634" s="11"/>
      <c r="E634" s="11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"/>
      <c r="C635" s="9"/>
      <c r="D635" s="11"/>
      <c r="E635" s="11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"/>
      <c r="C636" s="9"/>
      <c r="D636" s="11"/>
      <c r="E636" s="11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"/>
      <c r="C637" s="9"/>
      <c r="D637" s="11"/>
      <c r="E637" s="11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"/>
      <c r="C638" s="9"/>
      <c r="D638" s="11"/>
      <c r="E638" s="11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"/>
      <c r="C639" s="9"/>
      <c r="D639" s="11"/>
      <c r="E639" s="11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"/>
      <c r="C640" s="9"/>
      <c r="D640" s="11"/>
      <c r="E640" s="11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"/>
      <c r="C641" s="9"/>
      <c r="D641" s="11"/>
      <c r="E641" s="11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"/>
      <c r="C642" s="9"/>
      <c r="D642" s="11"/>
      <c r="E642" s="11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"/>
      <c r="C643" s="9"/>
      <c r="D643" s="11"/>
      <c r="E643" s="11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"/>
      <c r="C644" s="9"/>
      <c r="D644" s="11"/>
      <c r="E644" s="11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"/>
      <c r="C645" s="9"/>
      <c r="D645" s="11"/>
      <c r="E645" s="11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"/>
      <c r="C646" s="9"/>
      <c r="D646" s="11"/>
      <c r="E646" s="11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"/>
      <c r="C647" s="9"/>
      <c r="D647" s="11"/>
      <c r="E647" s="11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"/>
      <c r="C648" s="9"/>
      <c r="D648" s="11"/>
      <c r="E648" s="11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"/>
      <c r="C649" s="9"/>
      <c r="D649" s="11"/>
      <c r="E649" s="11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"/>
      <c r="C650" s="9"/>
      <c r="D650" s="11"/>
      <c r="E650" s="11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"/>
      <c r="C651" s="9"/>
      <c r="D651" s="11"/>
      <c r="E651" s="11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"/>
      <c r="C652" s="9"/>
      <c r="D652" s="11"/>
      <c r="E652" s="11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"/>
      <c r="C653" s="9"/>
      <c r="D653" s="11"/>
      <c r="E653" s="11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"/>
      <c r="C654" s="9"/>
      <c r="D654" s="11"/>
      <c r="E654" s="11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"/>
      <c r="C655" s="9"/>
      <c r="D655" s="11"/>
      <c r="E655" s="11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"/>
      <c r="C656" s="9"/>
      <c r="D656" s="11"/>
      <c r="E656" s="11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"/>
      <c r="C657" s="9"/>
      <c r="D657" s="11"/>
      <c r="E657" s="11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"/>
      <c r="C658" s="9"/>
      <c r="D658" s="11"/>
      <c r="E658" s="11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"/>
      <c r="C659" s="9"/>
      <c r="D659" s="11"/>
      <c r="E659" s="11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"/>
      <c r="C660" s="9"/>
      <c r="D660" s="11"/>
      <c r="E660" s="11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"/>
      <c r="C661" s="9"/>
      <c r="D661" s="11"/>
      <c r="E661" s="11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"/>
      <c r="C662" s="9"/>
      <c r="D662" s="11"/>
      <c r="E662" s="11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"/>
      <c r="C663" s="9"/>
      <c r="D663" s="11"/>
      <c r="E663" s="11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"/>
      <c r="C664" s="9"/>
      <c r="D664" s="11"/>
      <c r="E664" s="11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"/>
      <c r="C665" s="9"/>
      <c r="D665" s="11"/>
      <c r="E665" s="11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"/>
      <c r="C666" s="9"/>
      <c r="D666" s="11"/>
      <c r="E666" s="11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"/>
      <c r="C667" s="9"/>
      <c r="D667" s="11"/>
      <c r="E667" s="11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"/>
      <c r="C668" s="9"/>
      <c r="D668" s="11"/>
      <c r="E668" s="11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"/>
      <c r="C669" s="9"/>
      <c r="D669" s="11"/>
      <c r="E669" s="11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"/>
      <c r="C670" s="9"/>
      <c r="D670" s="11"/>
      <c r="E670" s="11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"/>
      <c r="C671" s="9"/>
      <c r="D671" s="11"/>
      <c r="E671" s="11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"/>
      <c r="C672" s="9"/>
      <c r="D672" s="11"/>
      <c r="E672" s="11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"/>
      <c r="C673" s="9"/>
      <c r="D673" s="11"/>
      <c r="E673" s="11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"/>
      <c r="C674" s="9"/>
      <c r="D674" s="11"/>
      <c r="E674" s="11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"/>
      <c r="C675" s="9"/>
      <c r="D675" s="11"/>
      <c r="E675" s="11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"/>
      <c r="C676" s="9"/>
      <c r="D676" s="11"/>
      <c r="E676" s="11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"/>
      <c r="C677" s="9"/>
      <c r="D677" s="11"/>
      <c r="E677" s="11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"/>
      <c r="C678" s="9"/>
      <c r="D678" s="11"/>
      <c r="E678" s="11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"/>
      <c r="C679" s="9"/>
      <c r="D679" s="11"/>
      <c r="E679" s="11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"/>
      <c r="C680" s="9"/>
      <c r="D680" s="11"/>
      <c r="E680" s="11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"/>
      <c r="C681" s="9"/>
      <c r="D681" s="11"/>
      <c r="E681" s="11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"/>
      <c r="C682" s="9"/>
      <c r="D682" s="11"/>
      <c r="E682" s="11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"/>
      <c r="C683" s="9"/>
      <c r="D683" s="11"/>
      <c r="E683" s="11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"/>
      <c r="C684" s="9"/>
      <c r="D684" s="11"/>
      <c r="E684" s="11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"/>
      <c r="C685" s="9"/>
      <c r="D685" s="11"/>
      <c r="E685" s="11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"/>
      <c r="C686" s="9"/>
      <c r="D686" s="11"/>
      <c r="E686" s="11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"/>
      <c r="C687" s="9"/>
      <c r="D687" s="11"/>
      <c r="E687" s="11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"/>
      <c r="C688" s="9"/>
      <c r="D688" s="11"/>
      <c r="E688" s="11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"/>
      <c r="C689" s="9"/>
      <c r="D689" s="11"/>
      <c r="E689" s="11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"/>
      <c r="C690" s="9"/>
      <c r="D690" s="11"/>
      <c r="E690" s="11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"/>
      <c r="C691" s="9"/>
      <c r="D691" s="11"/>
      <c r="E691" s="11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"/>
      <c r="C692" s="9"/>
      <c r="D692" s="11"/>
      <c r="E692" s="11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"/>
      <c r="C693" s="9"/>
      <c r="D693" s="11"/>
      <c r="E693" s="11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"/>
      <c r="C694" s="9"/>
      <c r="D694" s="11"/>
      <c r="E694" s="11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"/>
      <c r="C695" s="9"/>
      <c r="D695" s="11"/>
      <c r="E695" s="11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"/>
      <c r="C696" s="9"/>
      <c r="D696" s="11"/>
      <c r="E696" s="11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"/>
      <c r="C697" s="9"/>
      <c r="D697" s="11"/>
      <c r="E697" s="11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"/>
      <c r="C698" s="9"/>
      <c r="D698" s="11"/>
      <c r="E698" s="11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"/>
      <c r="C699" s="9"/>
      <c r="D699" s="11"/>
      <c r="E699" s="11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"/>
      <c r="C700" s="9"/>
      <c r="D700" s="11"/>
      <c r="E700" s="11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"/>
      <c r="C701" s="9"/>
      <c r="D701" s="11"/>
      <c r="E701" s="11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"/>
      <c r="C702" s="9"/>
      <c r="D702" s="11"/>
      <c r="E702" s="11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"/>
      <c r="C703" s="9"/>
      <c r="D703" s="11"/>
      <c r="E703" s="11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"/>
      <c r="C704" s="9"/>
      <c r="D704" s="11"/>
      <c r="E704" s="11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"/>
      <c r="C705" s="9"/>
      <c r="D705" s="11"/>
      <c r="E705" s="11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"/>
      <c r="C706" s="9"/>
      <c r="D706" s="11"/>
      <c r="E706" s="11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"/>
      <c r="C707" s="9"/>
      <c r="D707" s="11"/>
      <c r="E707" s="11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"/>
      <c r="C708" s="9"/>
      <c r="D708" s="11"/>
      <c r="E708" s="11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"/>
      <c r="C709" s="9"/>
      <c r="D709" s="11"/>
      <c r="E709" s="11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"/>
      <c r="C710" s="9"/>
      <c r="D710" s="11"/>
      <c r="E710" s="11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"/>
      <c r="C711" s="9"/>
      <c r="D711" s="11"/>
      <c r="E711" s="11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"/>
      <c r="C712" s="9"/>
      <c r="D712" s="11"/>
      <c r="E712" s="11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"/>
      <c r="C713" s="9"/>
      <c r="D713" s="11"/>
      <c r="E713" s="11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"/>
      <c r="C714" s="9"/>
      <c r="D714" s="11"/>
      <c r="E714" s="11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"/>
      <c r="C715" s="9"/>
      <c r="D715" s="11"/>
      <c r="E715" s="11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"/>
      <c r="C716" s="9"/>
      <c r="D716" s="11"/>
      <c r="E716" s="11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"/>
      <c r="C717" s="9"/>
      <c r="D717" s="11"/>
      <c r="E717" s="11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"/>
      <c r="C718" s="9"/>
      <c r="D718" s="11"/>
      <c r="E718" s="11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"/>
      <c r="C719" s="9"/>
      <c r="D719" s="11"/>
      <c r="E719" s="11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"/>
      <c r="C720" s="9"/>
      <c r="D720" s="11"/>
      <c r="E720" s="11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"/>
      <c r="C721" s="9"/>
      <c r="D721" s="11"/>
      <c r="E721" s="11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"/>
      <c r="C722" s="9"/>
      <c r="D722" s="11"/>
      <c r="E722" s="11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"/>
      <c r="C723" s="9"/>
      <c r="D723" s="11"/>
      <c r="E723" s="11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"/>
      <c r="C724" s="9"/>
      <c r="D724" s="11"/>
      <c r="E724" s="11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"/>
      <c r="C725" s="9"/>
      <c r="D725" s="11"/>
      <c r="E725" s="11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"/>
      <c r="C726" s="9"/>
      <c r="D726" s="11"/>
      <c r="E726" s="11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"/>
      <c r="C727" s="9"/>
      <c r="D727" s="11"/>
      <c r="E727" s="11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"/>
      <c r="C728" s="9"/>
      <c r="D728" s="11"/>
      <c r="E728" s="11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"/>
      <c r="C729" s="9"/>
      <c r="D729" s="11"/>
      <c r="E729" s="11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"/>
      <c r="C730" s="9"/>
      <c r="D730" s="11"/>
      <c r="E730" s="11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"/>
      <c r="C731" s="9"/>
      <c r="D731" s="11"/>
      <c r="E731" s="11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"/>
      <c r="C732" s="9"/>
      <c r="D732" s="11"/>
      <c r="E732" s="11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"/>
      <c r="C733" s="9"/>
      <c r="D733" s="11"/>
      <c r="E733" s="11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"/>
      <c r="C734" s="9"/>
      <c r="D734" s="11"/>
      <c r="E734" s="11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"/>
      <c r="C735" s="9"/>
      <c r="D735" s="11"/>
      <c r="E735" s="11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"/>
      <c r="C736" s="9"/>
      <c r="D736" s="11"/>
      <c r="E736" s="11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"/>
      <c r="C737" s="9"/>
      <c r="D737" s="11"/>
      <c r="E737" s="11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"/>
      <c r="C738" s="9"/>
      <c r="D738" s="11"/>
      <c r="E738" s="11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"/>
      <c r="C739" s="9"/>
      <c r="D739" s="11"/>
      <c r="E739" s="11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"/>
      <c r="C740" s="9"/>
      <c r="D740" s="11"/>
      <c r="E740" s="11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"/>
      <c r="C741" s="9"/>
      <c r="D741" s="11"/>
      <c r="E741" s="11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"/>
      <c r="C742" s="9"/>
      <c r="D742" s="11"/>
      <c r="E742" s="11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"/>
      <c r="C743" s="9"/>
      <c r="D743" s="11"/>
      <c r="E743" s="11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"/>
      <c r="C744" s="9"/>
      <c r="D744" s="11"/>
      <c r="E744" s="11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"/>
      <c r="C745" s="9"/>
      <c r="D745" s="11"/>
      <c r="E745" s="11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"/>
      <c r="C746" s="9"/>
      <c r="D746" s="11"/>
      <c r="E746" s="11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"/>
      <c r="C747" s="9"/>
      <c r="D747" s="11"/>
      <c r="E747" s="11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"/>
      <c r="C748" s="9"/>
      <c r="D748" s="11"/>
      <c r="E748" s="11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"/>
      <c r="C749" s="9"/>
      <c r="D749" s="11"/>
      <c r="E749" s="11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"/>
      <c r="C750" s="9"/>
      <c r="D750" s="11"/>
      <c r="E750" s="11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"/>
      <c r="C751" s="9"/>
      <c r="D751" s="11"/>
      <c r="E751" s="11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"/>
      <c r="C752" s="9"/>
      <c r="D752" s="11"/>
      <c r="E752" s="11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"/>
      <c r="C753" s="9"/>
      <c r="D753" s="11"/>
      <c r="E753" s="11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"/>
      <c r="C754" s="9"/>
      <c r="D754" s="11"/>
      <c r="E754" s="11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"/>
      <c r="C755" s="9"/>
      <c r="D755" s="11"/>
      <c r="E755" s="11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"/>
      <c r="C756" s="9"/>
      <c r="D756" s="11"/>
      <c r="E756" s="11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"/>
      <c r="C757" s="9"/>
      <c r="D757" s="11"/>
      <c r="E757" s="11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"/>
      <c r="C758" s="9"/>
      <c r="D758" s="11"/>
      <c r="E758" s="11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"/>
      <c r="C759" s="9"/>
      <c r="D759" s="11"/>
      <c r="E759" s="11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"/>
      <c r="C760" s="9"/>
      <c r="D760" s="11"/>
      <c r="E760" s="11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"/>
      <c r="C761" s="9"/>
      <c r="D761" s="11"/>
      <c r="E761" s="11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"/>
      <c r="C762" s="9"/>
      <c r="D762" s="11"/>
      <c r="E762" s="11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"/>
      <c r="C763" s="9"/>
      <c r="D763" s="11"/>
      <c r="E763" s="11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"/>
      <c r="C764" s="9"/>
      <c r="D764" s="11"/>
      <c r="E764" s="11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"/>
      <c r="C765" s="9"/>
      <c r="D765" s="11"/>
      <c r="E765" s="11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"/>
      <c r="C766" s="9"/>
      <c r="D766" s="11"/>
      <c r="E766" s="11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"/>
      <c r="C767" s="9"/>
      <c r="D767" s="11"/>
      <c r="E767" s="11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"/>
      <c r="C768" s="9"/>
      <c r="D768" s="11"/>
      <c r="E768" s="11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"/>
      <c r="C769" s="9"/>
      <c r="D769" s="11"/>
      <c r="E769" s="11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"/>
      <c r="C770" s="9"/>
      <c r="D770" s="11"/>
      <c r="E770" s="11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"/>
      <c r="C771" s="9"/>
      <c r="D771" s="11"/>
      <c r="E771" s="11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"/>
      <c r="C772" s="9"/>
      <c r="D772" s="11"/>
      <c r="E772" s="11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"/>
      <c r="C773" s="9"/>
      <c r="D773" s="11"/>
      <c r="E773" s="11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"/>
      <c r="C774" s="9"/>
      <c r="D774" s="11"/>
      <c r="E774" s="11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"/>
      <c r="C775" s="9"/>
      <c r="D775" s="11"/>
      <c r="E775" s="11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"/>
      <c r="C776" s="9"/>
      <c r="D776" s="11"/>
      <c r="E776" s="11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"/>
      <c r="C777" s="9"/>
      <c r="D777" s="11"/>
      <c r="E777" s="11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"/>
      <c r="C778" s="9"/>
      <c r="D778" s="11"/>
      <c r="E778" s="11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"/>
      <c r="C779" s="9"/>
      <c r="D779" s="11"/>
      <c r="E779" s="11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"/>
      <c r="C780" s="9"/>
      <c r="D780" s="11"/>
      <c r="E780" s="11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"/>
      <c r="C781" s="9"/>
      <c r="D781" s="11"/>
      <c r="E781" s="11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"/>
      <c r="C782" s="9"/>
      <c r="D782" s="11"/>
      <c r="E782" s="11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"/>
      <c r="C783" s="9"/>
      <c r="D783" s="11"/>
      <c r="E783" s="11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"/>
      <c r="C784" s="9"/>
      <c r="D784" s="11"/>
      <c r="E784" s="11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"/>
      <c r="C785" s="9"/>
      <c r="D785" s="11"/>
      <c r="E785" s="11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"/>
      <c r="C786" s="9"/>
      <c r="D786" s="11"/>
      <c r="E786" s="11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"/>
      <c r="C787" s="9"/>
      <c r="D787" s="11"/>
      <c r="E787" s="11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"/>
      <c r="C788" s="9"/>
      <c r="D788" s="11"/>
      <c r="E788" s="11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"/>
      <c r="C789" s="9"/>
      <c r="D789" s="11"/>
      <c r="E789" s="11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"/>
      <c r="C790" s="9"/>
      <c r="D790" s="11"/>
      <c r="E790" s="11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"/>
      <c r="C791" s="9"/>
      <c r="D791" s="11"/>
      <c r="E791" s="11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"/>
      <c r="C792" s="9"/>
      <c r="D792" s="11"/>
      <c r="E792" s="11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"/>
      <c r="C793" s="9"/>
      <c r="D793" s="11"/>
      <c r="E793" s="11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"/>
      <c r="C794" s="9"/>
      <c r="D794" s="11"/>
      <c r="E794" s="11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"/>
      <c r="C795" s="9"/>
      <c r="D795" s="11"/>
      <c r="E795" s="11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"/>
      <c r="C796" s="9"/>
      <c r="D796" s="11"/>
      <c r="E796" s="11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"/>
      <c r="C797" s="9"/>
      <c r="D797" s="11"/>
      <c r="E797" s="11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"/>
      <c r="C798" s="9"/>
      <c r="D798" s="11"/>
      <c r="E798" s="11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"/>
      <c r="C799" s="9"/>
      <c r="D799" s="11"/>
      <c r="E799" s="11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"/>
      <c r="C800" s="9"/>
      <c r="D800" s="11"/>
      <c r="E800" s="11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"/>
      <c r="C801" s="9"/>
      <c r="D801" s="11"/>
      <c r="E801" s="11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"/>
      <c r="C802" s="9"/>
      <c r="D802" s="11"/>
      <c r="E802" s="11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"/>
      <c r="C803" s="9"/>
      <c r="D803" s="11"/>
      <c r="E803" s="11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"/>
      <c r="C804" s="9"/>
      <c r="D804" s="11"/>
      <c r="E804" s="11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"/>
      <c r="C805" s="9"/>
      <c r="D805" s="11"/>
      <c r="E805" s="11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"/>
      <c r="C806" s="9"/>
      <c r="D806" s="11"/>
      <c r="E806" s="11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"/>
      <c r="C807" s="9"/>
      <c r="D807" s="11"/>
      <c r="E807" s="11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"/>
      <c r="C808" s="9"/>
      <c r="D808" s="11"/>
      <c r="E808" s="11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"/>
      <c r="C809" s="9"/>
      <c r="D809" s="11"/>
      <c r="E809" s="11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"/>
      <c r="C810" s="9"/>
      <c r="D810" s="11"/>
      <c r="E810" s="11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"/>
      <c r="C811" s="9"/>
      <c r="D811" s="11"/>
      <c r="E811" s="11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"/>
      <c r="C812" s="9"/>
      <c r="D812" s="11"/>
      <c r="E812" s="11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"/>
      <c r="C813" s="9"/>
      <c r="D813" s="11"/>
      <c r="E813" s="11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"/>
      <c r="C814" s="9"/>
      <c r="D814" s="11"/>
      <c r="E814" s="11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"/>
      <c r="C815" s="9"/>
      <c r="D815" s="11"/>
      <c r="E815" s="11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"/>
      <c r="C816" s="9"/>
      <c r="D816" s="11"/>
      <c r="E816" s="11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"/>
      <c r="C817" s="9"/>
      <c r="D817" s="11"/>
      <c r="E817" s="11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"/>
      <c r="C818" s="9"/>
      <c r="D818" s="11"/>
      <c r="E818" s="11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"/>
      <c r="C819" s="9"/>
      <c r="D819" s="11"/>
      <c r="E819" s="11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"/>
      <c r="C820" s="9"/>
      <c r="D820" s="11"/>
      <c r="E820" s="11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"/>
      <c r="C821" s="9"/>
      <c r="D821" s="11"/>
      <c r="E821" s="11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"/>
      <c r="C822" s="9"/>
      <c r="D822" s="11"/>
      <c r="E822" s="11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"/>
      <c r="C823" s="9"/>
      <c r="D823" s="11"/>
      <c r="E823" s="11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"/>
      <c r="C824" s="9"/>
      <c r="D824" s="11"/>
      <c r="E824" s="11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"/>
      <c r="C825" s="9"/>
      <c r="D825" s="11"/>
      <c r="E825" s="11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"/>
      <c r="C826" s="9"/>
      <c r="D826" s="11"/>
      <c r="E826" s="11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"/>
      <c r="C827" s="9"/>
      <c r="D827" s="11"/>
      <c r="E827" s="11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"/>
      <c r="C828" s="9"/>
      <c r="D828" s="11"/>
      <c r="E828" s="11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"/>
      <c r="C829" s="9"/>
      <c r="D829" s="11"/>
      <c r="E829" s="11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"/>
      <c r="C830" s="9"/>
      <c r="D830" s="11"/>
      <c r="E830" s="11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"/>
      <c r="C831" s="9"/>
      <c r="D831" s="11"/>
      <c r="E831" s="11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"/>
      <c r="C832" s="9"/>
      <c r="D832" s="11"/>
      <c r="E832" s="11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"/>
      <c r="C833" s="9"/>
      <c r="D833" s="11"/>
      <c r="E833" s="11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"/>
      <c r="C834" s="9"/>
      <c r="D834" s="11"/>
      <c r="E834" s="11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"/>
      <c r="C835" s="9"/>
      <c r="D835" s="11"/>
      <c r="E835" s="11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"/>
      <c r="C836" s="9"/>
      <c r="D836" s="11"/>
      <c r="E836" s="11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"/>
      <c r="C837" s="9"/>
      <c r="D837" s="11"/>
      <c r="E837" s="11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"/>
      <c r="C838" s="9"/>
      <c r="D838" s="11"/>
      <c r="E838" s="11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"/>
      <c r="C839" s="9"/>
      <c r="D839" s="11"/>
      <c r="E839" s="11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"/>
      <c r="C840" s="9"/>
      <c r="D840" s="11"/>
      <c r="E840" s="11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"/>
      <c r="C841" s="9"/>
      <c r="D841" s="11"/>
      <c r="E841" s="11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"/>
      <c r="C842" s="9"/>
      <c r="D842" s="11"/>
      <c r="E842" s="11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"/>
      <c r="C843" s="9"/>
      <c r="D843" s="11"/>
      <c r="E843" s="11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"/>
      <c r="C844" s="9"/>
      <c r="D844" s="11"/>
      <c r="E844" s="11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"/>
      <c r="C845" s="9"/>
      <c r="D845" s="11"/>
      <c r="E845" s="11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"/>
      <c r="C846" s="9"/>
      <c r="D846" s="11"/>
      <c r="E846" s="11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"/>
      <c r="C847" s="9"/>
      <c r="D847" s="11"/>
      <c r="E847" s="11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"/>
      <c r="C848" s="9"/>
      <c r="D848" s="11"/>
      <c r="E848" s="11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"/>
      <c r="C849" s="9"/>
      <c r="D849" s="11"/>
      <c r="E849" s="11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"/>
      <c r="C850" s="9"/>
      <c r="D850" s="11"/>
      <c r="E850" s="11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"/>
      <c r="C851" s="9"/>
      <c r="D851" s="11"/>
      <c r="E851" s="11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"/>
      <c r="C852" s="9"/>
      <c r="D852" s="11"/>
      <c r="E852" s="11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"/>
      <c r="C853" s="9"/>
      <c r="D853" s="11"/>
      <c r="E853" s="11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"/>
      <c r="C854" s="9"/>
      <c r="D854" s="11"/>
      <c r="E854" s="11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"/>
      <c r="C855" s="9"/>
      <c r="D855" s="11"/>
      <c r="E855" s="11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"/>
      <c r="C856" s="9"/>
      <c r="D856" s="11"/>
      <c r="E856" s="11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"/>
      <c r="C857" s="9"/>
      <c r="D857" s="11"/>
      <c r="E857" s="11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"/>
      <c r="C858" s="9"/>
      <c r="D858" s="11"/>
      <c r="E858" s="11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"/>
      <c r="C859" s="9"/>
      <c r="D859" s="11"/>
      <c r="E859" s="11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"/>
      <c r="C860" s="9"/>
      <c r="D860" s="11"/>
      <c r="E860" s="11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"/>
      <c r="C861" s="9"/>
      <c r="D861" s="11"/>
      <c r="E861" s="11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"/>
      <c r="C862" s="9"/>
      <c r="D862" s="11"/>
      <c r="E862" s="11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"/>
      <c r="C863" s="9"/>
      <c r="D863" s="11"/>
      <c r="E863" s="11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"/>
      <c r="C864" s="9"/>
      <c r="D864" s="11"/>
      <c r="E864" s="11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"/>
      <c r="C865" s="9"/>
      <c r="D865" s="11"/>
      <c r="E865" s="11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"/>
      <c r="C866" s="9"/>
      <c r="D866" s="11"/>
      <c r="E866" s="11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"/>
      <c r="C867" s="9"/>
      <c r="D867" s="11"/>
      <c r="E867" s="11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"/>
      <c r="C868" s="9"/>
      <c r="D868" s="11"/>
      <c r="E868" s="11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"/>
      <c r="C869" s="9"/>
      <c r="D869" s="11"/>
      <c r="E869" s="11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"/>
      <c r="C870" s="9"/>
      <c r="D870" s="11"/>
      <c r="E870" s="11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"/>
      <c r="C871" s="9"/>
      <c r="D871" s="11"/>
      <c r="E871" s="11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"/>
      <c r="C872" s="9"/>
      <c r="D872" s="11"/>
      <c r="E872" s="11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"/>
      <c r="C873" s="9"/>
      <c r="D873" s="11"/>
      <c r="E873" s="11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"/>
      <c r="C874" s="9"/>
      <c r="D874" s="11"/>
      <c r="E874" s="11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"/>
      <c r="C875" s="9"/>
      <c r="D875" s="11"/>
      <c r="E875" s="11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"/>
      <c r="C876" s="9"/>
      <c r="D876" s="11"/>
      <c r="E876" s="11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"/>
      <c r="C877" s="9"/>
      <c r="D877" s="11"/>
      <c r="E877" s="11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"/>
      <c r="C878" s="9"/>
      <c r="D878" s="11"/>
      <c r="E878" s="11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"/>
      <c r="C879" s="9"/>
      <c r="D879" s="11"/>
      <c r="E879" s="11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"/>
      <c r="C880" s="9"/>
      <c r="D880" s="11"/>
      <c r="E880" s="11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"/>
      <c r="C881" s="9"/>
      <c r="D881" s="11"/>
      <c r="E881" s="11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"/>
      <c r="C882" s="9"/>
      <c r="D882" s="11"/>
      <c r="E882" s="11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"/>
      <c r="C883" s="9"/>
      <c r="D883" s="11"/>
      <c r="E883" s="11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"/>
      <c r="C884" s="9"/>
      <c r="D884" s="11"/>
      <c r="E884" s="11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"/>
      <c r="C885" s="9"/>
      <c r="D885" s="11"/>
      <c r="E885" s="11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"/>
      <c r="C886" s="9"/>
      <c r="D886" s="11"/>
      <c r="E886" s="11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"/>
      <c r="C887" s="9"/>
      <c r="D887" s="11"/>
      <c r="E887" s="11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"/>
      <c r="C888" s="9"/>
      <c r="D888" s="11"/>
      <c r="E888" s="11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"/>
      <c r="C889" s="9"/>
      <c r="D889" s="11"/>
      <c r="E889" s="11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"/>
      <c r="C890" s="9"/>
      <c r="D890" s="11"/>
      <c r="E890" s="11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"/>
      <c r="C891" s="9"/>
      <c r="D891" s="11"/>
      <c r="E891" s="11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"/>
      <c r="C892" s="9"/>
      <c r="D892" s="11"/>
      <c r="E892" s="11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"/>
      <c r="C893" s="9"/>
      <c r="D893" s="11"/>
      <c r="E893" s="11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"/>
      <c r="C894" s="9"/>
      <c r="D894" s="11"/>
      <c r="E894" s="11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"/>
      <c r="C895" s="9"/>
      <c r="D895" s="11"/>
      <c r="E895" s="11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"/>
      <c r="C896" s="9"/>
      <c r="D896" s="11"/>
      <c r="E896" s="11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"/>
      <c r="C897" s="9"/>
      <c r="D897" s="11"/>
      <c r="E897" s="11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"/>
      <c r="C898" s="9"/>
      <c r="D898" s="11"/>
      <c r="E898" s="11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"/>
      <c r="C899" s="9"/>
      <c r="D899" s="11"/>
      <c r="E899" s="11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"/>
      <c r="C900" s="9"/>
      <c r="D900" s="11"/>
      <c r="E900" s="11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"/>
      <c r="C901" s="9"/>
      <c r="D901" s="11"/>
      <c r="E901" s="11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"/>
      <c r="C902" s="9"/>
      <c r="D902" s="11"/>
      <c r="E902" s="11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"/>
      <c r="C903" s="9"/>
      <c r="D903" s="11"/>
      <c r="E903" s="11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"/>
      <c r="C904" s="9"/>
      <c r="D904" s="11"/>
      <c r="E904" s="11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"/>
      <c r="C905" s="9"/>
      <c r="D905" s="11"/>
      <c r="E905" s="11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"/>
      <c r="C906" s="9"/>
      <c r="D906" s="11"/>
      <c r="E906" s="11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"/>
      <c r="C907" s="9"/>
      <c r="D907" s="11"/>
      <c r="E907" s="11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"/>
      <c r="C908" s="9"/>
      <c r="D908" s="11"/>
      <c r="E908" s="11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"/>
      <c r="C909" s="9"/>
      <c r="D909" s="11"/>
      <c r="E909" s="11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"/>
      <c r="C910" s="9"/>
      <c r="D910" s="11"/>
      <c r="E910" s="11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"/>
      <c r="C911" s="9"/>
      <c r="D911" s="11"/>
      <c r="E911" s="11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"/>
      <c r="C912" s="9"/>
      <c r="D912" s="11"/>
      <c r="E912" s="11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"/>
      <c r="C913" s="9"/>
      <c r="D913" s="11"/>
      <c r="E913" s="11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"/>
      <c r="C914" s="9"/>
      <c r="D914" s="11"/>
      <c r="E914" s="11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"/>
      <c r="C915" s="9"/>
      <c r="D915" s="11"/>
      <c r="E915" s="11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"/>
      <c r="C916" s="9"/>
      <c r="D916" s="11"/>
      <c r="E916" s="11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"/>
      <c r="C917" s="9"/>
      <c r="D917" s="11"/>
      <c r="E917" s="11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"/>
      <c r="C918" s="9"/>
      <c r="D918" s="11"/>
      <c r="E918" s="11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"/>
      <c r="C919" s="9"/>
      <c r="D919" s="11"/>
      <c r="E919" s="11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"/>
      <c r="C920" s="9"/>
      <c r="D920" s="11"/>
      <c r="E920" s="11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"/>
      <c r="C921" s="9"/>
      <c r="D921" s="11"/>
      <c r="E921" s="11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"/>
      <c r="C922" s="9"/>
      <c r="D922" s="11"/>
      <c r="E922" s="11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"/>
      <c r="C923" s="9"/>
      <c r="D923" s="11"/>
      <c r="E923" s="11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"/>
      <c r="C924" s="9"/>
      <c r="D924" s="11"/>
      <c r="E924" s="11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"/>
      <c r="C925" s="9"/>
      <c r="D925" s="11"/>
      <c r="E925" s="11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"/>
      <c r="C926" s="9"/>
      <c r="D926" s="11"/>
      <c r="E926" s="11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"/>
      <c r="C927" s="9"/>
      <c r="D927" s="11"/>
      <c r="E927" s="11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"/>
      <c r="C928" s="9"/>
      <c r="D928" s="11"/>
      <c r="E928" s="11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"/>
      <c r="C929" s="9"/>
      <c r="D929" s="11"/>
      <c r="E929" s="11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"/>
      <c r="C930" s="9"/>
      <c r="D930" s="11"/>
      <c r="E930" s="11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"/>
      <c r="C931" s="9"/>
      <c r="D931" s="11"/>
      <c r="E931" s="11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"/>
      <c r="C932" s="9"/>
      <c r="D932" s="11"/>
      <c r="E932" s="11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"/>
      <c r="C933" s="9"/>
      <c r="D933" s="11"/>
      <c r="E933" s="11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"/>
      <c r="C934" s="9"/>
      <c r="D934" s="11"/>
      <c r="E934" s="11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"/>
      <c r="C935" s="9"/>
      <c r="D935" s="11"/>
      <c r="E935" s="11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"/>
      <c r="C936" s="9"/>
      <c r="D936" s="11"/>
      <c r="E936" s="11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"/>
      <c r="C937" s="9"/>
      <c r="D937" s="11"/>
      <c r="E937" s="11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"/>
      <c r="C938" s="9"/>
      <c r="D938" s="11"/>
      <c r="E938" s="11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"/>
      <c r="C939" s="9"/>
      <c r="D939" s="11"/>
      <c r="E939" s="11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"/>
      <c r="C940" s="9"/>
      <c r="D940" s="11"/>
      <c r="E940" s="11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"/>
      <c r="C941" s="9"/>
      <c r="D941" s="11"/>
      <c r="E941" s="11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"/>
      <c r="C942" s="9"/>
      <c r="D942" s="11"/>
      <c r="E942" s="11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"/>
      <c r="C943" s="9"/>
      <c r="D943" s="11"/>
      <c r="E943" s="11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"/>
      <c r="C944" s="9"/>
      <c r="D944" s="11"/>
      <c r="E944" s="11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"/>
      <c r="C945" s="9"/>
      <c r="D945" s="11"/>
      <c r="E945" s="11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"/>
      <c r="C946" s="9"/>
      <c r="D946" s="11"/>
      <c r="E946" s="11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"/>
      <c r="C947" s="9"/>
      <c r="D947" s="11"/>
      <c r="E947" s="11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"/>
      <c r="C948" s="9"/>
      <c r="D948" s="11"/>
      <c r="E948" s="11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"/>
      <c r="C949" s="9"/>
      <c r="D949" s="11"/>
      <c r="E949" s="11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"/>
      <c r="C950" s="9"/>
      <c r="D950" s="11"/>
      <c r="E950" s="11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"/>
      <c r="C951" s="9"/>
      <c r="D951" s="11"/>
      <c r="E951" s="11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"/>
      <c r="C952" s="9"/>
      <c r="D952" s="11"/>
      <c r="E952" s="11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"/>
      <c r="C953" s="9"/>
      <c r="D953" s="11"/>
      <c r="E953" s="11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"/>
      <c r="C954" s="9"/>
      <c r="D954" s="11"/>
      <c r="E954" s="11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"/>
      <c r="C955" s="9"/>
      <c r="D955" s="11"/>
      <c r="E955" s="11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"/>
      <c r="C956" s="9"/>
      <c r="D956" s="11"/>
      <c r="E956" s="11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"/>
      <c r="C957" s="9"/>
      <c r="D957" s="11"/>
      <c r="E957" s="11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"/>
      <c r="C958" s="9"/>
      <c r="D958" s="11"/>
      <c r="E958" s="11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"/>
      <c r="C959" s="9"/>
      <c r="D959" s="11"/>
      <c r="E959" s="11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"/>
      <c r="C960" s="9"/>
      <c r="D960" s="11"/>
      <c r="E960" s="11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"/>
      <c r="C961" s="9"/>
      <c r="D961" s="11"/>
      <c r="E961" s="11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"/>
      <c r="C962" s="9"/>
      <c r="D962" s="11"/>
      <c r="E962" s="11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"/>
      <c r="C963" s="9"/>
      <c r="D963" s="11"/>
      <c r="E963" s="11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"/>
      <c r="C964" s="9"/>
      <c r="D964" s="11"/>
      <c r="E964" s="11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"/>
      <c r="C965" s="9"/>
      <c r="D965" s="11"/>
      <c r="E965" s="11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"/>
      <c r="C966" s="9"/>
      <c r="D966" s="11"/>
      <c r="E966" s="11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"/>
      <c r="C967" s="9"/>
      <c r="D967" s="11"/>
      <c r="E967" s="11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"/>
      <c r="C968" s="9"/>
      <c r="D968" s="11"/>
      <c r="E968" s="11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"/>
      <c r="C969" s="9"/>
      <c r="D969" s="11"/>
      <c r="E969" s="11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"/>
      <c r="C970" s="9"/>
      <c r="D970" s="11"/>
      <c r="E970" s="11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"/>
      <c r="C971" s="9"/>
      <c r="D971" s="11"/>
      <c r="E971" s="11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"/>
      <c r="C972" s="9"/>
      <c r="D972" s="11"/>
      <c r="E972" s="11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"/>
      <c r="C973" s="9"/>
      <c r="D973" s="11"/>
      <c r="E973" s="11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"/>
      <c r="C974" s="9"/>
      <c r="D974" s="11"/>
      <c r="E974" s="11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"/>
      <c r="C975" s="9"/>
      <c r="D975" s="11"/>
      <c r="E975" s="11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"/>
      <c r="C976" s="9"/>
      <c r="D976" s="11"/>
      <c r="E976" s="11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"/>
      <c r="C977" s="9"/>
      <c r="D977" s="11"/>
      <c r="E977" s="11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"/>
      <c r="C978" s="9"/>
      <c r="D978" s="11"/>
      <c r="E978" s="11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"/>
      <c r="C979" s="9"/>
      <c r="D979" s="11"/>
      <c r="E979" s="11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"/>
      <c r="C980" s="9"/>
      <c r="D980" s="11"/>
      <c r="E980" s="11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"/>
      <c r="C981" s="9"/>
      <c r="D981" s="11"/>
      <c r="E981" s="11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"/>
      <c r="C982" s="9"/>
      <c r="D982" s="11"/>
      <c r="E982" s="11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"/>
      <c r="C983" s="9"/>
      <c r="D983" s="11"/>
      <c r="E983" s="11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"/>
      <c r="C984" s="9"/>
      <c r="D984" s="11"/>
      <c r="E984" s="11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"/>
      <c r="C985" s="9"/>
      <c r="D985" s="11"/>
      <c r="E985" s="11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"/>
      <c r="C986" s="9"/>
      <c r="D986" s="11"/>
      <c r="E986" s="11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"/>
      <c r="C987" s="9"/>
      <c r="D987" s="11"/>
      <c r="E987" s="11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"/>
      <c r="C988" s="9"/>
      <c r="D988" s="11"/>
      <c r="E988" s="11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"/>
      <c r="C989" s="9"/>
      <c r="D989" s="11"/>
      <c r="E989" s="11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"/>
      <c r="C990" s="9"/>
      <c r="D990" s="11"/>
      <c r="E990" s="11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"/>
      <c r="C991" s="9"/>
      <c r="D991" s="11"/>
      <c r="E991" s="11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9"/>
      <c r="C992" s="9"/>
      <c r="D992" s="11"/>
      <c r="E992" s="11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9"/>
      <c r="C993" s="9"/>
      <c r="D993" s="11"/>
      <c r="E993" s="11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9"/>
      <c r="C994" s="9"/>
      <c r="D994" s="11"/>
      <c r="E994" s="11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9"/>
      <c r="C995" s="9"/>
      <c r="D995" s="11"/>
      <c r="E995" s="11"/>
      <c r="F995" s="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9"/>
      <c r="C996" s="9"/>
      <c r="D996" s="11"/>
      <c r="E996" s="11"/>
      <c r="F996" s="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9"/>
      <c r="C997" s="9"/>
      <c r="D997" s="11"/>
      <c r="E997" s="11"/>
      <c r="F997" s="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9"/>
      <c r="C998" s="9"/>
      <c r="D998" s="11"/>
      <c r="E998" s="11"/>
      <c r="F998" s="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9"/>
      <c r="C999" s="9"/>
      <c r="D999" s="11"/>
      <c r="E999" s="11"/>
      <c r="F999" s="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9"/>
      <c r="C1000" s="9"/>
      <c r="D1000" s="11"/>
      <c r="E1000" s="11"/>
      <c r="F1000" s="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F1"/>
    <mergeCell ref="B2:F2"/>
    <mergeCell ref="B3:F3"/>
    <mergeCell ref="B6:C6"/>
    <mergeCell ref="B13:D13"/>
  </mergeCells>
  <printOptions/>
  <pageMargins bottom="0.25" footer="0.0" header="0.0" left="0.7" right="0.2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4.71"/>
    <col customWidth="1" min="3" max="3" width="7.71"/>
    <col customWidth="1" min="4" max="4" width="28.0"/>
    <col customWidth="1" min="5" max="5" width="15.0"/>
    <col customWidth="1" min="6" max="6" width="17.14"/>
    <col customWidth="1" min="7" max="7" width="21.57"/>
    <col customWidth="1" min="8" max="26" width="8.71"/>
  </cols>
  <sheetData>
    <row r="1" ht="21.0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464</v>
      </c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9"/>
      <c r="C4" s="9"/>
      <c r="D4" s="9"/>
      <c r="E4" s="11"/>
      <c r="F4" s="11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263" t="s">
        <v>465</v>
      </c>
      <c r="C5" s="264"/>
      <c r="D5" s="265"/>
      <c r="E5" s="11"/>
      <c r="F5" s="11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9"/>
      <c r="B6" s="266" t="s">
        <v>8</v>
      </c>
      <c r="C6" s="267" t="s">
        <v>15</v>
      </c>
      <c r="D6" s="267" t="s">
        <v>17</v>
      </c>
      <c r="E6" s="267" t="s">
        <v>18</v>
      </c>
      <c r="F6" s="68" t="s">
        <v>460</v>
      </c>
      <c r="G6" s="68" t="s">
        <v>14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75" customHeight="1">
      <c r="A7" s="9"/>
      <c r="B7" s="268">
        <v>1.0</v>
      </c>
      <c r="C7" s="269" t="s">
        <v>466</v>
      </c>
      <c r="D7" s="70" t="s">
        <v>23</v>
      </c>
      <c r="E7" s="71" t="s">
        <v>89</v>
      </c>
      <c r="F7" s="281">
        <v>5000.0</v>
      </c>
      <c r="G7" s="9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75" customHeight="1">
      <c r="A8" s="9"/>
      <c r="B8" s="268">
        <v>2.0</v>
      </c>
      <c r="C8" s="41"/>
      <c r="D8" s="113" t="s">
        <v>467</v>
      </c>
      <c r="E8" s="115" t="s">
        <v>31</v>
      </c>
      <c r="F8" s="270">
        <v>3000.0</v>
      </c>
      <c r="G8" s="13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75" customHeight="1">
      <c r="A9" s="9"/>
      <c r="B9" s="268">
        <v>3.0</v>
      </c>
      <c r="C9" s="41"/>
      <c r="D9" s="113" t="s">
        <v>38</v>
      </c>
      <c r="E9" s="115" t="s">
        <v>43</v>
      </c>
      <c r="F9" s="270">
        <v>2000.0</v>
      </c>
      <c r="G9" s="13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75" customHeight="1">
      <c r="A10" s="9"/>
      <c r="B10" s="268">
        <v>4.0</v>
      </c>
      <c r="C10" s="41"/>
      <c r="D10" s="113" t="s">
        <v>50</v>
      </c>
      <c r="E10" s="115" t="s">
        <v>54</v>
      </c>
      <c r="F10" s="270">
        <v>3000.0</v>
      </c>
      <c r="G10" s="13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75" customHeight="1">
      <c r="A11" s="9"/>
      <c r="B11" s="268">
        <v>5.0</v>
      </c>
      <c r="C11" s="41"/>
      <c r="D11" s="113" t="s">
        <v>53</v>
      </c>
      <c r="E11" s="115" t="s">
        <v>54</v>
      </c>
      <c r="F11" s="270">
        <v>2000.0</v>
      </c>
      <c r="G11" s="13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75" customHeight="1">
      <c r="A12" s="9"/>
      <c r="B12" s="268">
        <v>6.0</v>
      </c>
      <c r="C12" s="41"/>
      <c r="D12" s="113" t="s">
        <v>122</v>
      </c>
      <c r="E12" s="115" t="s">
        <v>58</v>
      </c>
      <c r="F12" s="270">
        <v>3000.0</v>
      </c>
      <c r="G12" s="13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75" customHeight="1">
      <c r="A13" s="9"/>
      <c r="B13" s="268">
        <v>7.0</v>
      </c>
      <c r="C13" s="41"/>
      <c r="D13" s="113" t="s">
        <v>128</v>
      </c>
      <c r="E13" s="115" t="s">
        <v>104</v>
      </c>
      <c r="F13" s="270">
        <v>1500.0</v>
      </c>
      <c r="G13" s="13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75" customHeight="1">
      <c r="A14" s="1"/>
      <c r="B14" s="268">
        <v>8.0</v>
      </c>
      <c r="C14" s="41"/>
      <c r="D14" s="113" t="s">
        <v>64</v>
      </c>
      <c r="E14" s="115" t="s">
        <v>71</v>
      </c>
      <c r="F14" s="270">
        <v>1000.0</v>
      </c>
      <c r="G14" s="13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268">
        <v>9.0</v>
      </c>
      <c r="C15" s="271"/>
      <c r="D15" s="113" t="s">
        <v>67</v>
      </c>
      <c r="E15" s="115" t="s">
        <v>71</v>
      </c>
      <c r="F15" s="270">
        <v>1500.0</v>
      </c>
      <c r="G15" s="13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268">
        <v>10.0</v>
      </c>
      <c r="C16" s="230" t="s">
        <v>468</v>
      </c>
      <c r="D16" s="71" t="s">
        <v>469</v>
      </c>
      <c r="E16" s="76" t="s">
        <v>43</v>
      </c>
      <c r="F16" s="281">
        <v>5000.0</v>
      </c>
      <c r="G16" s="9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268">
        <v>11.0</v>
      </c>
      <c r="C17" s="41"/>
      <c r="D17" s="113" t="s">
        <v>346</v>
      </c>
      <c r="E17" s="115" t="s">
        <v>58</v>
      </c>
      <c r="F17" s="270">
        <v>1500.0</v>
      </c>
      <c r="G17" s="13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268">
        <v>12.0</v>
      </c>
      <c r="C18" s="41"/>
      <c r="D18" s="113" t="s">
        <v>304</v>
      </c>
      <c r="E18" s="115" t="s">
        <v>104</v>
      </c>
      <c r="F18" s="270">
        <v>1500.0</v>
      </c>
      <c r="G18" s="13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268">
        <v>13.0</v>
      </c>
      <c r="C19" s="41"/>
      <c r="D19" s="113" t="s">
        <v>220</v>
      </c>
      <c r="E19" s="115" t="s">
        <v>71</v>
      </c>
      <c r="F19" s="270">
        <v>1500.0</v>
      </c>
      <c r="G19" s="1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268">
        <v>14.0</v>
      </c>
      <c r="C20" s="41"/>
      <c r="D20" s="113" t="s">
        <v>70</v>
      </c>
      <c r="E20" s="115" t="s">
        <v>71</v>
      </c>
      <c r="F20" s="270">
        <v>1500.0</v>
      </c>
      <c r="G20" s="13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268">
        <v>15.0</v>
      </c>
      <c r="C21" s="41"/>
      <c r="D21" s="113" t="s">
        <v>74</v>
      </c>
      <c r="E21" s="115" t="s">
        <v>71</v>
      </c>
      <c r="F21" s="270">
        <v>1500.0</v>
      </c>
      <c r="G21" s="13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268">
        <v>16.0</v>
      </c>
      <c r="C22" s="41"/>
      <c r="D22" s="113" t="s">
        <v>244</v>
      </c>
      <c r="E22" s="115" t="s">
        <v>71</v>
      </c>
      <c r="F22" s="270">
        <v>1500.0</v>
      </c>
      <c r="G22" s="13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268">
        <v>17.0</v>
      </c>
      <c r="C23" s="41"/>
      <c r="D23" s="134" t="s">
        <v>339</v>
      </c>
      <c r="E23" s="145" t="s">
        <v>71</v>
      </c>
      <c r="F23" s="270">
        <v>1500.0</v>
      </c>
      <c r="G23" s="13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268">
        <v>18.0</v>
      </c>
      <c r="C24" s="271"/>
      <c r="D24" s="113" t="s">
        <v>352</v>
      </c>
      <c r="E24" s="115" t="s">
        <v>71</v>
      </c>
      <c r="F24" s="270">
        <v>1500.0</v>
      </c>
      <c r="G24" s="13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268">
        <v>19.0</v>
      </c>
      <c r="C25" s="230" t="s">
        <v>258</v>
      </c>
      <c r="D25" s="233" t="s">
        <v>96</v>
      </c>
      <c r="E25" s="287" t="s">
        <v>418</v>
      </c>
      <c r="F25" s="281">
        <v>3000.0</v>
      </c>
      <c r="G25" s="28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268">
        <v>20.0</v>
      </c>
      <c r="C26" s="41"/>
      <c r="D26" s="113" t="s">
        <v>470</v>
      </c>
      <c r="E26" s="115" t="s">
        <v>71</v>
      </c>
      <c r="F26" s="270">
        <v>1500.0</v>
      </c>
      <c r="G26" s="13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268">
        <v>21.0</v>
      </c>
      <c r="C27" s="41"/>
      <c r="D27" s="113" t="s">
        <v>287</v>
      </c>
      <c r="E27" s="115" t="s">
        <v>288</v>
      </c>
      <c r="F27" s="270">
        <v>1500.0</v>
      </c>
      <c r="G27" s="13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268">
        <v>22.0</v>
      </c>
      <c r="C28" s="41"/>
      <c r="D28" s="113" t="s">
        <v>430</v>
      </c>
      <c r="E28" s="115" t="s">
        <v>295</v>
      </c>
      <c r="F28" s="270">
        <v>1500.0</v>
      </c>
      <c r="G28" s="13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268">
        <v>23.0</v>
      </c>
      <c r="C29" s="41"/>
      <c r="D29" s="113" t="s">
        <v>294</v>
      </c>
      <c r="E29" s="115" t="s">
        <v>295</v>
      </c>
      <c r="F29" s="270">
        <v>1500.0</v>
      </c>
      <c r="G29" s="13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268">
        <v>24.0</v>
      </c>
      <c r="C30" s="271"/>
      <c r="D30" s="113" t="s">
        <v>300</v>
      </c>
      <c r="E30" s="115" t="s">
        <v>301</v>
      </c>
      <c r="F30" s="270">
        <v>1000.0</v>
      </c>
      <c r="G30" s="13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274" t="s">
        <v>106</v>
      </c>
      <c r="C31" s="275"/>
      <c r="D31" s="275"/>
      <c r="E31" s="146"/>
      <c r="F31" s="276">
        <f>SUM(F7:F30)</f>
        <v>49000</v>
      </c>
      <c r="G31" s="27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66.0" customHeight="1">
      <c r="A32" s="1"/>
      <c r="B32" s="9"/>
      <c r="C32" s="9"/>
      <c r="D32" s="9"/>
      <c r="E32" s="11"/>
      <c r="F32" s="1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/>
      <c r="C33" s="9"/>
      <c r="D33" s="9"/>
      <c r="E33" s="11"/>
      <c r="F33" s="1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/>
      <c r="C34" s="126"/>
      <c r="D34" s="4"/>
      <c r="E34" s="11"/>
      <c r="F34" s="1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"/>
      <c r="C35" s="9"/>
      <c r="D35" s="9"/>
      <c r="E35" s="11"/>
      <c r="F35" s="1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/>
      <c r="D36" s="9"/>
      <c r="E36" s="11"/>
      <c r="F36" s="1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/>
      <c r="C37" s="9"/>
      <c r="D37" s="9"/>
      <c r="E37" s="11"/>
      <c r="F37" s="1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/>
      <c r="C38" s="9"/>
      <c r="D38" s="9"/>
      <c r="E38" s="11"/>
      <c r="F38" s="1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/>
      <c r="C39" s="9"/>
      <c r="D39" s="9"/>
      <c r="E39" s="11"/>
      <c r="F39" s="1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"/>
      <c r="C40" s="9"/>
      <c r="D40" s="9"/>
      <c r="E40" s="11"/>
      <c r="F40" s="1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/>
      <c r="C41" s="9"/>
      <c r="D41" s="9"/>
      <c r="E41" s="11"/>
      <c r="F41" s="1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/>
      <c r="C42" s="9"/>
      <c r="D42" s="9"/>
      <c r="E42" s="11"/>
      <c r="F42" s="1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/>
      <c r="C43" s="9"/>
      <c r="D43" s="9"/>
      <c r="E43" s="11"/>
      <c r="F43" s="1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"/>
      <c r="C44" s="9"/>
      <c r="D44" s="9"/>
      <c r="E44" s="11"/>
      <c r="F44" s="1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/>
      <c r="C45" s="9"/>
      <c r="D45" s="9"/>
      <c r="E45" s="11"/>
      <c r="F45" s="1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"/>
      <c r="C46" s="9"/>
      <c r="D46" s="9"/>
      <c r="E46" s="11"/>
      <c r="F46" s="1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"/>
      <c r="C47" s="9"/>
      <c r="D47" s="9"/>
      <c r="E47" s="11"/>
      <c r="F47" s="1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"/>
      <c r="C48" s="9"/>
      <c r="D48" s="9"/>
      <c r="E48" s="11"/>
      <c r="F48" s="1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/>
      <c r="C49" s="9"/>
      <c r="D49" s="9"/>
      <c r="E49" s="11"/>
      <c r="F49" s="1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/>
      <c r="C50" s="9"/>
      <c r="D50" s="9"/>
      <c r="E50" s="11"/>
      <c r="F50" s="1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"/>
      <c r="C51" s="9"/>
      <c r="D51" s="9"/>
      <c r="E51" s="11"/>
      <c r="F51" s="1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"/>
      <c r="C52" s="9"/>
      <c r="D52" s="9"/>
      <c r="E52" s="11"/>
      <c r="F52" s="1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"/>
      <c r="C53" s="9"/>
      <c r="D53" s="9"/>
      <c r="E53" s="11"/>
      <c r="F53" s="1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/>
      <c r="C54" s="9"/>
      <c r="D54" s="9"/>
      <c r="E54" s="11"/>
      <c r="F54" s="1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"/>
      <c r="C55" s="9"/>
      <c r="D55" s="9"/>
      <c r="E55" s="11"/>
      <c r="F55" s="1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"/>
      <c r="C56" s="9"/>
      <c r="D56" s="9"/>
      <c r="E56" s="11"/>
      <c r="F56" s="1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/>
      <c r="C57" s="9"/>
      <c r="D57" s="9"/>
      <c r="E57" s="11"/>
      <c r="F57" s="1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9"/>
      <c r="D58" s="9"/>
      <c r="E58" s="11"/>
      <c r="F58" s="1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"/>
      <c r="C59" s="9"/>
      <c r="D59" s="9"/>
      <c r="E59" s="11"/>
      <c r="F59" s="1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/>
      <c r="C60" s="9"/>
      <c r="D60" s="9"/>
      <c r="E60" s="11"/>
      <c r="F60" s="1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/>
      <c r="C61" s="9"/>
      <c r="D61" s="9"/>
      <c r="E61" s="11"/>
      <c r="F61" s="1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9"/>
      <c r="E62" s="11"/>
      <c r="F62" s="1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/>
      <c r="C63" s="9"/>
      <c r="D63" s="9"/>
      <c r="E63" s="11"/>
      <c r="F63" s="1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/>
      <c r="C64" s="9"/>
      <c r="D64" s="9"/>
      <c r="E64" s="11"/>
      <c r="F64" s="1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/>
      <c r="C65" s="9"/>
      <c r="D65" s="9"/>
      <c r="E65" s="11"/>
      <c r="F65" s="1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9"/>
      <c r="E66" s="11"/>
      <c r="F66" s="1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/>
      <c r="C67" s="9"/>
      <c r="D67" s="9"/>
      <c r="E67" s="11"/>
      <c r="F67" s="1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/>
      <c r="C68" s="9"/>
      <c r="D68" s="9"/>
      <c r="E68" s="11"/>
      <c r="F68" s="1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/>
      <c r="C69" s="9"/>
      <c r="D69" s="9"/>
      <c r="E69" s="11"/>
      <c r="F69" s="1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9"/>
      <c r="E70" s="11"/>
      <c r="F70" s="1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/>
      <c r="C71" s="9"/>
      <c r="D71" s="9"/>
      <c r="E71" s="11"/>
      <c r="F71" s="1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/>
      <c r="C72" s="9"/>
      <c r="D72" s="9"/>
      <c r="E72" s="11"/>
      <c r="F72" s="1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/>
      <c r="C73" s="9"/>
      <c r="D73" s="9"/>
      <c r="E73" s="11"/>
      <c r="F73" s="1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9"/>
      <c r="E74" s="11"/>
      <c r="F74" s="1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"/>
      <c r="C75" s="9"/>
      <c r="D75" s="9"/>
      <c r="E75" s="11"/>
      <c r="F75" s="1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/>
      <c r="C76" s="9"/>
      <c r="D76" s="9"/>
      <c r="E76" s="11"/>
      <c r="F76" s="1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/>
      <c r="C77" s="9"/>
      <c r="D77" s="9"/>
      <c r="E77" s="11"/>
      <c r="F77" s="1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9"/>
      <c r="E78" s="11"/>
      <c r="F78" s="1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/>
      <c r="C79" s="9"/>
      <c r="D79" s="9"/>
      <c r="E79" s="11"/>
      <c r="F79" s="1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/>
      <c r="C80" s="9"/>
      <c r="D80" s="9"/>
      <c r="E80" s="11"/>
      <c r="F80" s="1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/>
      <c r="C81" s="9"/>
      <c r="D81" s="9"/>
      <c r="E81" s="11"/>
      <c r="F81" s="1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/>
      <c r="C82" s="9"/>
      <c r="D82" s="9"/>
      <c r="E82" s="11"/>
      <c r="F82" s="1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/>
      <c r="C83" s="9"/>
      <c r="D83" s="9"/>
      <c r="E83" s="11"/>
      <c r="F83" s="1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/>
      <c r="C84" s="9"/>
      <c r="D84" s="9"/>
      <c r="E84" s="11"/>
      <c r="F84" s="1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/>
      <c r="C85" s="9"/>
      <c r="D85" s="9"/>
      <c r="E85" s="11"/>
      <c r="F85" s="1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/>
      <c r="C86" s="9"/>
      <c r="D86" s="9"/>
      <c r="E86" s="11"/>
      <c r="F86" s="1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/>
      <c r="C87" s="9"/>
      <c r="D87" s="9"/>
      <c r="E87" s="11"/>
      <c r="F87" s="1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/>
      <c r="C88" s="9"/>
      <c r="D88" s="9"/>
      <c r="E88" s="11"/>
      <c r="F88" s="1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"/>
      <c r="C89" s="9"/>
      <c r="D89" s="9"/>
      <c r="E89" s="11"/>
      <c r="F89" s="1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"/>
      <c r="C90" s="9"/>
      <c r="D90" s="9"/>
      <c r="E90" s="11"/>
      <c r="F90" s="1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"/>
      <c r="C91" s="9"/>
      <c r="D91" s="9"/>
      <c r="E91" s="11"/>
      <c r="F91" s="1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/>
      <c r="C92" s="9"/>
      <c r="D92" s="9"/>
      <c r="E92" s="11"/>
      <c r="F92" s="1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/>
      <c r="C93" s="9"/>
      <c r="D93" s="9"/>
      <c r="E93" s="11"/>
      <c r="F93" s="1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/>
      <c r="C94" s="9"/>
      <c r="D94" s="9"/>
      <c r="E94" s="11"/>
      <c r="F94" s="1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/>
      <c r="C95" s="9"/>
      <c r="D95" s="9"/>
      <c r="E95" s="11"/>
      <c r="F95" s="1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/>
      <c r="C96" s="9"/>
      <c r="D96" s="9"/>
      <c r="E96" s="11"/>
      <c r="F96" s="1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/>
      <c r="C97" s="9"/>
      <c r="D97" s="9"/>
      <c r="E97" s="11"/>
      <c r="F97" s="1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/>
      <c r="C98" s="9"/>
      <c r="D98" s="9"/>
      <c r="E98" s="11"/>
      <c r="F98" s="1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/>
      <c r="C99" s="9"/>
      <c r="D99" s="9"/>
      <c r="E99" s="11"/>
      <c r="F99" s="1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/>
      <c r="C100" s="9"/>
      <c r="D100" s="9"/>
      <c r="E100" s="11"/>
      <c r="F100" s="1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/>
      <c r="C101" s="9"/>
      <c r="D101" s="9"/>
      <c r="E101" s="11"/>
      <c r="F101" s="1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/>
      <c r="C102" s="9"/>
      <c r="D102" s="9"/>
      <c r="E102" s="11"/>
      <c r="F102" s="1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"/>
      <c r="C103" s="9"/>
      <c r="D103" s="9"/>
      <c r="E103" s="11"/>
      <c r="F103" s="1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"/>
      <c r="C104" s="9"/>
      <c r="D104" s="9"/>
      <c r="E104" s="11"/>
      <c r="F104" s="1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"/>
      <c r="C105" s="9"/>
      <c r="D105" s="9"/>
      <c r="E105" s="11"/>
      <c r="F105" s="1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/>
      <c r="C106" s="9"/>
      <c r="D106" s="9"/>
      <c r="E106" s="11"/>
      <c r="F106" s="1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/>
      <c r="C107" s="9"/>
      <c r="D107" s="9"/>
      <c r="E107" s="11"/>
      <c r="F107" s="1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/>
      <c r="C108" s="9"/>
      <c r="D108" s="9"/>
      <c r="E108" s="11"/>
      <c r="F108" s="1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/>
      <c r="C109" s="9"/>
      <c r="D109" s="9"/>
      <c r="E109" s="11"/>
      <c r="F109" s="1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/>
      <c r="C110" s="9"/>
      <c r="D110" s="9"/>
      <c r="E110" s="11"/>
      <c r="F110" s="1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/>
      <c r="C111" s="9"/>
      <c r="D111" s="9"/>
      <c r="E111" s="11"/>
      <c r="F111" s="1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/>
      <c r="C112" s="9"/>
      <c r="D112" s="9"/>
      <c r="E112" s="11"/>
      <c r="F112" s="1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/>
      <c r="C113" s="9"/>
      <c r="D113" s="9"/>
      <c r="E113" s="11"/>
      <c r="F113" s="1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/>
      <c r="C114" s="9"/>
      <c r="D114" s="9"/>
      <c r="E114" s="11"/>
      <c r="F114" s="1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/>
      <c r="C115" s="9"/>
      <c r="D115" s="9"/>
      <c r="E115" s="11"/>
      <c r="F115" s="1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/>
      <c r="C116" s="9"/>
      <c r="D116" s="9"/>
      <c r="E116" s="11"/>
      <c r="F116" s="1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"/>
      <c r="C117" s="9"/>
      <c r="D117" s="9"/>
      <c r="E117" s="11"/>
      <c r="F117" s="1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"/>
      <c r="C118" s="9"/>
      <c r="D118" s="9"/>
      <c r="E118" s="11"/>
      <c r="F118" s="1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"/>
      <c r="C119" s="9"/>
      <c r="D119" s="9"/>
      <c r="E119" s="11"/>
      <c r="F119" s="1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/>
      <c r="C120" s="9"/>
      <c r="D120" s="9"/>
      <c r="E120" s="11"/>
      <c r="F120" s="1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/>
      <c r="C121" s="9"/>
      <c r="D121" s="9"/>
      <c r="E121" s="11"/>
      <c r="F121" s="1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/>
      <c r="C122" s="9"/>
      <c r="D122" s="9"/>
      <c r="E122" s="11"/>
      <c r="F122" s="1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/>
      <c r="C123" s="9"/>
      <c r="D123" s="9"/>
      <c r="E123" s="11"/>
      <c r="F123" s="1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/>
      <c r="C124" s="9"/>
      <c r="D124" s="9"/>
      <c r="E124" s="11"/>
      <c r="F124" s="1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/>
      <c r="C125" s="9"/>
      <c r="D125" s="9"/>
      <c r="E125" s="11"/>
      <c r="F125" s="1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"/>
      <c r="C126" s="9"/>
      <c r="D126" s="9"/>
      <c r="E126" s="11"/>
      <c r="F126" s="1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"/>
      <c r="C127" s="9"/>
      <c r="D127" s="9"/>
      <c r="E127" s="11"/>
      <c r="F127" s="1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/>
      <c r="C128" s="9"/>
      <c r="D128" s="9"/>
      <c r="E128" s="11"/>
      <c r="F128" s="1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/>
      <c r="C129" s="9"/>
      <c r="D129" s="9"/>
      <c r="E129" s="11"/>
      <c r="F129" s="1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/>
      <c r="C130" s="9"/>
      <c r="D130" s="9"/>
      <c r="E130" s="11"/>
      <c r="F130" s="1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/>
      <c r="C131" s="9"/>
      <c r="D131" s="9"/>
      <c r="E131" s="11"/>
      <c r="F131" s="1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/>
      <c r="C132" s="9"/>
      <c r="D132" s="9"/>
      <c r="E132" s="11"/>
      <c r="F132" s="1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/>
      <c r="C133" s="9"/>
      <c r="D133" s="9"/>
      <c r="E133" s="11"/>
      <c r="F133" s="1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/>
      <c r="C134" s="9"/>
      <c r="D134" s="9"/>
      <c r="E134" s="11"/>
      <c r="F134" s="1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/>
      <c r="C135" s="9"/>
      <c r="D135" s="9"/>
      <c r="E135" s="11"/>
      <c r="F135" s="1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/>
      <c r="C136" s="9"/>
      <c r="D136" s="9"/>
      <c r="E136" s="11"/>
      <c r="F136" s="1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"/>
      <c r="C137" s="9"/>
      <c r="D137" s="9"/>
      <c r="E137" s="11"/>
      <c r="F137" s="1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"/>
      <c r="C138" s="9"/>
      <c r="D138" s="9"/>
      <c r="E138" s="11"/>
      <c r="F138" s="1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/>
      <c r="C139" s="9"/>
      <c r="D139" s="9"/>
      <c r="E139" s="11"/>
      <c r="F139" s="1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/>
      <c r="C140" s="9"/>
      <c r="D140" s="9"/>
      <c r="E140" s="11"/>
      <c r="F140" s="1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/>
      <c r="C141" s="9"/>
      <c r="D141" s="9"/>
      <c r="E141" s="11"/>
      <c r="F141" s="1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/>
      <c r="C142" s="9"/>
      <c r="D142" s="9"/>
      <c r="E142" s="11"/>
      <c r="F142" s="1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"/>
      <c r="C143" s="9"/>
      <c r="D143" s="9"/>
      <c r="E143" s="11"/>
      <c r="F143" s="1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"/>
      <c r="C144" s="9"/>
      <c r="D144" s="9"/>
      <c r="E144" s="11"/>
      <c r="F144" s="1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/>
      <c r="C145" s="9"/>
      <c r="D145" s="9"/>
      <c r="E145" s="11"/>
      <c r="F145" s="1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/>
      <c r="C146" s="9"/>
      <c r="D146" s="9"/>
      <c r="E146" s="11"/>
      <c r="F146" s="1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/>
      <c r="C147" s="9"/>
      <c r="D147" s="9"/>
      <c r="E147" s="11"/>
      <c r="F147" s="1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/>
      <c r="C148" s="9"/>
      <c r="D148" s="9"/>
      <c r="E148" s="11"/>
      <c r="F148" s="1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/>
      <c r="C149" s="9"/>
      <c r="D149" s="9"/>
      <c r="E149" s="11"/>
      <c r="F149" s="1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/>
      <c r="C150" s="9"/>
      <c r="D150" s="9"/>
      <c r="E150" s="11"/>
      <c r="F150" s="1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/>
      <c r="C151" s="9"/>
      <c r="D151" s="9"/>
      <c r="E151" s="11"/>
      <c r="F151" s="1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/>
      <c r="C152" s="9"/>
      <c r="D152" s="9"/>
      <c r="E152" s="11"/>
      <c r="F152" s="1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/>
      <c r="C153" s="9"/>
      <c r="D153" s="9"/>
      <c r="E153" s="11"/>
      <c r="F153" s="1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"/>
      <c r="C154" s="9"/>
      <c r="D154" s="9"/>
      <c r="E154" s="11"/>
      <c r="F154" s="1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"/>
      <c r="C155" s="9"/>
      <c r="D155" s="9"/>
      <c r="E155" s="11"/>
      <c r="F155" s="1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/>
      <c r="C156" s="9"/>
      <c r="D156" s="9"/>
      <c r="E156" s="11"/>
      <c r="F156" s="1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/>
      <c r="C157" s="9"/>
      <c r="D157" s="9"/>
      <c r="E157" s="11"/>
      <c r="F157" s="1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/>
      <c r="C158" s="9"/>
      <c r="D158" s="9"/>
      <c r="E158" s="11"/>
      <c r="F158" s="1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/>
      <c r="C159" s="9"/>
      <c r="D159" s="9"/>
      <c r="E159" s="11"/>
      <c r="F159" s="1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/>
      <c r="C160" s="9"/>
      <c r="D160" s="9"/>
      <c r="E160" s="11"/>
      <c r="F160" s="1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/>
      <c r="C161" s="9"/>
      <c r="D161" s="9"/>
      <c r="E161" s="11"/>
      <c r="F161" s="1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/>
      <c r="C162" s="9"/>
      <c r="D162" s="9"/>
      <c r="E162" s="11"/>
      <c r="F162" s="1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/>
      <c r="C163" s="9"/>
      <c r="D163" s="9"/>
      <c r="E163" s="11"/>
      <c r="F163" s="1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/>
      <c r="C164" s="9"/>
      <c r="D164" s="9"/>
      <c r="E164" s="11"/>
      <c r="F164" s="1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/>
      <c r="C165" s="9"/>
      <c r="D165" s="9"/>
      <c r="E165" s="11"/>
      <c r="F165" s="1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/>
      <c r="C166" s="9"/>
      <c r="D166" s="9"/>
      <c r="E166" s="11"/>
      <c r="F166" s="1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/>
      <c r="C167" s="9"/>
      <c r="D167" s="9"/>
      <c r="E167" s="11"/>
      <c r="F167" s="1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/>
      <c r="C168" s="9"/>
      <c r="D168" s="9"/>
      <c r="E168" s="11"/>
      <c r="F168" s="1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/>
      <c r="C169" s="9"/>
      <c r="D169" s="9"/>
      <c r="E169" s="11"/>
      <c r="F169" s="1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/>
      <c r="C170" s="9"/>
      <c r="D170" s="9"/>
      <c r="E170" s="11"/>
      <c r="F170" s="1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/>
      <c r="C171" s="9"/>
      <c r="D171" s="9"/>
      <c r="E171" s="11"/>
      <c r="F171" s="1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/>
      <c r="C172" s="9"/>
      <c r="D172" s="9"/>
      <c r="E172" s="11"/>
      <c r="F172" s="1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/>
      <c r="C173" s="9"/>
      <c r="D173" s="9"/>
      <c r="E173" s="11"/>
      <c r="F173" s="1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/>
      <c r="C174" s="9"/>
      <c r="D174" s="9"/>
      <c r="E174" s="11"/>
      <c r="F174" s="1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"/>
      <c r="C175" s="9"/>
      <c r="D175" s="9"/>
      <c r="E175" s="11"/>
      <c r="F175" s="1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"/>
      <c r="C176" s="9"/>
      <c r="D176" s="9"/>
      <c r="E176" s="11"/>
      <c r="F176" s="1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"/>
      <c r="C177" s="9"/>
      <c r="D177" s="9"/>
      <c r="E177" s="11"/>
      <c r="F177" s="1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"/>
      <c r="C178" s="9"/>
      <c r="D178" s="9"/>
      <c r="E178" s="11"/>
      <c r="F178" s="1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"/>
      <c r="C179" s="9"/>
      <c r="D179" s="9"/>
      <c r="E179" s="11"/>
      <c r="F179" s="1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"/>
      <c r="C180" s="9"/>
      <c r="D180" s="9"/>
      <c r="E180" s="11"/>
      <c r="F180" s="1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"/>
      <c r="C181" s="9"/>
      <c r="D181" s="9"/>
      <c r="E181" s="11"/>
      <c r="F181" s="1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"/>
      <c r="C182" s="9"/>
      <c r="D182" s="9"/>
      <c r="E182" s="11"/>
      <c r="F182" s="1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"/>
      <c r="C183" s="9"/>
      <c r="D183" s="9"/>
      <c r="E183" s="11"/>
      <c r="F183" s="1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"/>
      <c r="C184" s="9"/>
      <c r="D184" s="9"/>
      <c r="E184" s="11"/>
      <c r="F184" s="1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"/>
      <c r="C185" s="9"/>
      <c r="D185" s="9"/>
      <c r="E185" s="11"/>
      <c r="F185" s="1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"/>
      <c r="C186" s="9"/>
      <c r="D186" s="9"/>
      <c r="E186" s="11"/>
      <c r="F186" s="1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"/>
      <c r="C187" s="9"/>
      <c r="D187" s="9"/>
      <c r="E187" s="11"/>
      <c r="F187" s="1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"/>
      <c r="C188" s="9"/>
      <c r="D188" s="9"/>
      <c r="E188" s="11"/>
      <c r="F188" s="1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"/>
      <c r="C189" s="9"/>
      <c r="D189" s="9"/>
      <c r="E189" s="11"/>
      <c r="F189" s="1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"/>
      <c r="C190" s="9"/>
      <c r="D190" s="9"/>
      <c r="E190" s="11"/>
      <c r="F190" s="1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"/>
      <c r="C191" s="9"/>
      <c r="D191" s="9"/>
      <c r="E191" s="11"/>
      <c r="F191" s="1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"/>
      <c r="C192" s="9"/>
      <c r="D192" s="9"/>
      <c r="E192" s="11"/>
      <c r="F192" s="1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"/>
      <c r="C193" s="9"/>
      <c r="D193" s="9"/>
      <c r="E193" s="11"/>
      <c r="F193" s="1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"/>
      <c r="C194" s="9"/>
      <c r="D194" s="9"/>
      <c r="E194" s="11"/>
      <c r="F194" s="1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"/>
      <c r="C195" s="9"/>
      <c r="D195" s="9"/>
      <c r="E195" s="11"/>
      <c r="F195" s="1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"/>
      <c r="C196" s="9"/>
      <c r="D196" s="9"/>
      <c r="E196" s="11"/>
      <c r="F196" s="1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"/>
      <c r="C197" s="9"/>
      <c r="D197" s="9"/>
      <c r="E197" s="11"/>
      <c r="F197" s="1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"/>
      <c r="C198" s="9"/>
      <c r="D198" s="9"/>
      <c r="E198" s="11"/>
      <c r="F198" s="1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"/>
      <c r="C199" s="9"/>
      <c r="D199" s="9"/>
      <c r="E199" s="11"/>
      <c r="F199" s="1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"/>
      <c r="C200" s="9"/>
      <c r="D200" s="9"/>
      <c r="E200" s="11"/>
      <c r="F200" s="1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"/>
      <c r="C201" s="9"/>
      <c r="D201" s="9"/>
      <c r="E201" s="11"/>
      <c r="F201" s="1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"/>
      <c r="C202" s="9"/>
      <c r="D202" s="9"/>
      <c r="E202" s="11"/>
      <c r="F202" s="1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"/>
      <c r="C203" s="9"/>
      <c r="D203" s="9"/>
      <c r="E203" s="11"/>
      <c r="F203" s="1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"/>
      <c r="C204" s="9"/>
      <c r="D204" s="9"/>
      <c r="E204" s="11"/>
      <c r="F204" s="1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"/>
      <c r="C205" s="9"/>
      <c r="D205" s="9"/>
      <c r="E205" s="11"/>
      <c r="F205" s="1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"/>
      <c r="C206" s="9"/>
      <c r="D206" s="9"/>
      <c r="E206" s="11"/>
      <c r="F206" s="1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"/>
      <c r="C207" s="9"/>
      <c r="D207" s="9"/>
      <c r="E207" s="11"/>
      <c r="F207" s="1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"/>
      <c r="C208" s="9"/>
      <c r="D208" s="9"/>
      <c r="E208" s="11"/>
      <c r="F208" s="1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"/>
      <c r="C209" s="9"/>
      <c r="D209" s="9"/>
      <c r="E209" s="11"/>
      <c r="F209" s="1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"/>
      <c r="C210" s="9"/>
      <c r="D210" s="9"/>
      <c r="E210" s="11"/>
      <c r="F210" s="1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"/>
      <c r="C211" s="9"/>
      <c r="D211" s="9"/>
      <c r="E211" s="11"/>
      <c r="F211" s="1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"/>
      <c r="C212" s="9"/>
      <c r="D212" s="9"/>
      <c r="E212" s="11"/>
      <c r="F212" s="1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"/>
      <c r="C213" s="9"/>
      <c r="D213" s="9"/>
      <c r="E213" s="11"/>
      <c r="F213" s="1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"/>
      <c r="C214" s="9"/>
      <c r="D214" s="9"/>
      <c r="E214" s="11"/>
      <c r="F214" s="1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"/>
      <c r="C215" s="9"/>
      <c r="D215" s="9"/>
      <c r="E215" s="11"/>
      <c r="F215" s="1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"/>
      <c r="C216" s="9"/>
      <c r="D216" s="9"/>
      <c r="E216" s="11"/>
      <c r="F216" s="1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"/>
      <c r="C217" s="9"/>
      <c r="D217" s="9"/>
      <c r="E217" s="11"/>
      <c r="F217" s="1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"/>
      <c r="C218" s="9"/>
      <c r="D218" s="9"/>
      <c r="E218" s="11"/>
      <c r="F218" s="1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"/>
      <c r="C219" s="9"/>
      <c r="D219" s="9"/>
      <c r="E219" s="11"/>
      <c r="F219" s="1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"/>
      <c r="C220" s="9"/>
      <c r="D220" s="9"/>
      <c r="E220" s="11"/>
      <c r="F220" s="1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"/>
      <c r="C221" s="9"/>
      <c r="D221" s="9"/>
      <c r="E221" s="11"/>
      <c r="F221" s="1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"/>
      <c r="C222" s="9"/>
      <c r="D222" s="9"/>
      <c r="E222" s="11"/>
      <c r="F222" s="1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"/>
      <c r="C223" s="9"/>
      <c r="D223" s="9"/>
      <c r="E223" s="11"/>
      <c r="F223" s="1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"/>
      <c r="C224" s="9"/>
      <c r="D224" s="9"/>
      <c r="E224" s="11"/>
      <c r="F224" s="1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"/>
      <c r="C225" s="9"/>
      <c r="D225" s="9"/>
      <c r="E225" s="11"/>
      <c r="F225" s="1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"/>
      <c r="C226" s="9"/>
      <c r="D226" s="9"/>
      <c r="E226" s="11"/>
      <c r="F226" s="1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"/>
      <c r="C227" s="9"/>
      <c r="D227" s="9"/>
      <c r="E227" s="11"/>
      <c r="F227" s="1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"/>
      <c r="C228" s="9"/>
      <c r="D228" s="9"/>
      <c r="E228" s="11"/>
      <c r="F228" s="1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"/>
      <c r="C229" s="9"/>
      <c r="D229" s="9"/>
      <c r="E229" s="11"/>
      <c r="F229" s="1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"/>
      <c r="C230" s="9"/>
      <c r="D230" s="9"/>
      <c r="E230" s="11"/>
      <c r="F230" s="1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"/>
      <c r="C231" s="9"/>
      <c r="D231" s="9"/>
      <c r="E231" s="11"/>
      <c r="F231" s="1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"/>
      <c r="C232" s="9"/>
      <c r="D232" s="9"/>
      <c r="E232" s="11"/>
      <c r="F232" s="1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"/>
      <c r="C233" s="9"/>
      <c r="D233" s="9"/>
      <c r="E233" s="11"/>
      <c r="F233" s="1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"/>
      <c r="C234" s="9"/>
      <c r="D234" s="9"/>
      <c r="E234" s="11"/>
      <c r="F234" s="1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"/>
      <c r="C235" s="9"/>
      <c r="D235" s="9"/>
      <c r="E235" s="11"/>
      <c r="F235" s="1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"/>
      <c r="C236" s="9"/>
      <c r="D236" s="9"/>
      <c r="E236" s="11"/>
      <c r="F236" s="1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"/>
      <c r="C237" s="9"/>
      <c r="D237" s="9"/>
      <c r="E237" s="11"/>
      <c r="F237" s="1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"/>
      <c r="C238" s="9"/>
      <c r="D238" s="9"/>
      <c r="E238" s="11"/>
      <c r="F238" s="1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"/>
      <c r="C239" s="9"/>
      <c r="D239" s="9"/>
      <c r="E239" s="11"/>
      <c r="F239" s="1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"/>
      <c r="C240" s="9"/>
      <c r="D240" s="9"/>
      <c r="E240" s="11"/>
      <c r="F240" s="1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"/>
      <c r="C241" s="9"/>
      <c r="D241" s="9"/>
      <c r="E241" s="11"/>
      <c r="F241" s="1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"/>
      <c r="C242" s="9"/>
      <c r="D242" s="9"/>
      <c r="E242" s="11"/>
      <c r="F242" s="1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"/>
      <c r="C243" s="9"/>
      <c r="D243" s="9"/>
      <c r="E243" s="11"/>
      <c r="F243" s="1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"/>
      <c r="C244" s="9"/>
      <c r="D244" s="9"/>
      <c r="E244" s="11"/>
      <c r="F244" s="1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"/>
      <c r="C245" s="9"/>
      <c r="D245" s="9"/>
      <c r="E245" s="11"/>
      <c r="F245" s="1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"/>
      <c r="C246" s="9"/>
      <c r="D246" s="9"/>
      <c r="E246" s="11"/>
      <c r="F246" s="1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"/>
      <c r="C247" s="9"/>
      <c r="D247" s="9"/>
      <c r="E247" s="11"/>
      <c r="F247" s="1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"/>
      <c r="C248" s="9"/>
      <c r="D248" s="9"/>
      <c r="E248" s="11"/>
      <c r="F248" s="1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"/>
      <c r="C249" s="9"/>
      <c r="D249" s="9"/>
      <c r="E249" s="11"/>
      <c r="F249" s="1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"/>
      <c r="C250" s="9"/>
      <c r="D250" s="9"/>
      <c r="E250" s="11"/>
      <c r="F250" s="1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"/>
      <c r="C251" s="9"/>
      <c r="D251" s="9"/>
      <c r="E251" s="11"/>
      <c r="F251" s="1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"/>
      <c r="C252" s="9"/>
      <c r="D252" s="9"/>
      <c r="E252" s="11"/>
      <c r="F252" s="1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"/>
      <c r="C253" s="9"/>
      <c r="D253" s="9"/>
      <c r="E253" s="11"/>
      <c r="F253" s="1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"/>
      <c r="C254" s="9"/>
      <c r="D254" s="9"/>
      <c r="E254" s="11"/>
      <c r="F254" s="1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"/>
      <c r="C255" s="9"/>
      <c r="D255" s="9"/>
      <c r="E255" s="11"/>
      <c r="F255" s="1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"/>
      <c r="C256" s="9"/>
      <c r="D256" s="9"/>
      <c r="E256" s="11"/>
      <c r="F256" s="1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"/>
      <c r="C257" s="9"/>
      <c r="D257" s="9"/>
      <c r="E257" s="11"/>
      <c r="F257" s="1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"/>
      <c r="C258" s="9"/>
      <c r="D258" s="9"/>
      <c r="E258" s="11"/>
      <c r="F258" s="1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"/>
      <c r="C259" s="9"/>
      <c r="D259" s="9"/>
      <c r="E259" s="11"/>
      <c r="F259" s="1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"/>
      <c r="C260" s="9"/>
      <c r="D260" s="9"/>
      <c r="E260" s="11"/>
      <c r="F260" s="1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"/>
      <c r="C261" s="9"/>
      <c r="D261" s="9"/>
      <c r="E261" s="11"/>
      <c r="F261" s="1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"/>
      <c r="C262" s="9"/>
      <c r="D262" s="9"/>
      <c r="E262" s="11"/>
      <c r="F262" s="1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"/>
      <c r="C263" s="9"/>
      <c r="D263" s="9"/>
      <c r="E263" s="11"/>
      <c r="F263" s="1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"/>
      <c r="C264" s="9"/>
      <c r="D264" s="9"/>
      <c r="E264" s="11"/>
      <c r="F264" s="1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"/>
      <c r="C265" s="9"/>
      <c r="D265" s="9"/>
      <c r="E265" s="11"/>
      <c r="F265" s="1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"/>
      <c r="C266" s="9"/>
      <c r="D266" s="9"/>
      <c r="E266" s="11"/>
      <c r="F266" s="1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"/>
      <c r="C267" s="9"/>
      <c r="D267" s="9"/>
      <c r="E267" s="11"/>
      <c r="F267" s="1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"/>
      <c r="C268" s="9"/>
      <c r="D268" s="9"/>
      <c r="E268" s="11"/>
      <c r="F268" s="1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"/>
      <c r="C269" s="9"/>
      <c r="D269" s="9"/>
      <c r="E269" s="11"/>
      <c r="F269" s="1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"/>
      <c r="C270" s="9"/>
      <c r="D270" s="9"/>
      <c r="E270" s="11"/>
      <c r="F270" s="1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"/>
      <c r="C271" s="9"/>
      <c r="D271" s="9"/>
      <c r="E271" s="11"/>
      <c r="F271" s="1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"/>
      <c r="C272" s="9"/>
      <c r="D272" s="9"/>
      <c r="E272" s="11"/>
      <c r="F272" s="1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"/>
      <c r="C273" s="9"/>
      <c r="D273" s="9"/>
      <c r="E273" s="11"/>
      <c r="F273" s="1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"/>
      <c r="C274" s="9"/>
      <c r="D274" s="9"/>
      <c r="E274" s="11"/>
      <c r="F274" s="1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"/>
      <c r="C275" s="9"/>
      <c r="D275" s="9"/>
      <c r="E275" s="11"/>
      <c r="F275" s="1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"/>
      <c r="C276" s="9"/>
      <c r="D276" s="9"/>
      <c r="E276" s="11"/>
      <c r="F276" s="1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"/>
      <c r="C277" s="9"/>
      <c r="D277" s="9"/>
      <c r="E277" s="11"/>
      <c r="F277" s="1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"/>
      <c r="C278" s="9"/>
      <c r="D278" s="9"/>
      <c r="E278" s="11"/>
      <c r="F278" s="1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"/>
      <c r="C279" s="9"/>
      <c r="D279" s="9"/>
      <c r="E279" s="11"/>
      <c r="F279" s="1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"/>
      <c r="C280" s="9"/>
      <c r="D280" s="9"/>
      <c r="E280" s="11"/>
      <c r="F280" s="1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"/>
      <c r="C281" s="9"/>
      <c r="D281" s="9"/>
      <c r="E281" s="11"/>
      <c r="F281" s="1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"/>
      <c r="C282" s="9"/>
      <c r="D282" s="9"/>
      <c r="E282" s="11"/>
      <c r="F282" s="1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"/>
      <c r="C283" s="9"/>
      <c r="D283" s="9"/>
      <c r="E283" s="11"/>
      <c r="F283" s="1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"/>
      <c r="C284" s="9"/>
      <c r="D284" s="9"/>
      <c r="E284" s="11"/>
      <c r="F284" s="1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"/>
      <c r="C285" s="9"/>
      <c r="D285" s="9"/>
      <c r="E285" s="11"/>
      <c r="F285" s="1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"/>
      <c r="C286" s="9"/>
      <c r="D286" s="9"/>
      <c r="E286" s="11"/>
      <c r="F286" s="1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"/>
      <c r="C287" s="9"/>
      <c r="D287" s="9"/>
      <c r="E287" s="11"/>
      <c r="F287" s="1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"/>
      <c r="C288" s="9"/>
      <c r="D288" s="9"/>
      <c r="E288" s="11"/>
      <c r="F288" s="1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"/>
      <c r="C289" s="9"/>
      <c r="D289" s="9"/>
      <c r="E289" s="11"/>
      <c r="F289" s="1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"/>
      <c r="C290" s="9"/>
      <c r="D290" s="9"/>
      <c r="E290" s="11"/>
      <c r="F290" s="1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"/>
      <c r="C291" s="9"/>
      <c r="D291" s="9"/>
      <c r="E291" s="11"/>
      <c r="F291" s="1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"/>
      <c r="C292" s="9"/>
      <c r="D292" s="9"/>
      <c r="E292" s="11"/>
      <c r="F292" s="1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"/>
      <c r="C293" s="9"/>
      <c r="D293" s="9"/>
      <c r="E293" s="11"/>
      <c r="F293" s="1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"/>
      <c r="C294" s="9"/>
      <c r="D294" s="9"/>
      <c r="E294" s="11"/>
      <c r="F294" s="1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"/>
      <c r="C295" s="9"/>
      <c r="D295" s="9"/>
      <c r="E295" s="11"/>
      <c r="F295" s="1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"/>
      <c r="C296" s="9"/>
      <c r="D296" s="9"/>
      <c r="E296" s="11"/>
      <c r="F296" s="1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"/>
      <c r="C297" s="9"/>
      <c r="D297" s="9"/>
      <c r="E297" s="11"/>
      <c r="F297" s="1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"/>
      <c r="C298" s="9"/>
      <c r="D298" s="9"/>
      <c r="E298" s="11"/>
      <c r="F298" s="1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"/>
      <c r="C299" s="9"/>
      <c r="D299" s="9"/>
      <c r="E299" s="11"/>
      <c r="F299" s="1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"/>
      <c r="C300" s="9"/>
      <c r="D300" s="9"/>
      <c r="E300" s="11"/>
      <c r="F300" s="1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"/>
      <c r="C301" s="9"/>
      <c r="D301" s="9"/>
      <c r="E301" s="11"/>
      <c r="F301" s="1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"/>
      <c r="C302" s="9"/>
      <c r="D302" s="9"/>
      <c r="E302" s="11"/>
      <c r="F302" s="1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"/>
      <c r="C303" s="9"/>
      <c r="D303" s="9"/>
      <c r="E303" s="11"/>
      <c r="F303" s="1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"/>
      <c r="C304" s="9"/>
      <c r="D304" s="9"/>
      <c r="E304" s="11"/>
      <c r="F304" s="1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"/>
      <c r="C305" s="9"/>
      <c r="D305" s="9"/>
      <c r="E305" s="11"/>
      <c r="F305" s="1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"/>
      <c r="C306" s="9"/>
      <c r="D306" s="9"/>
      <c r="E306" s="11"/>
      <c r="F306" s="1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"/>
      <c r="C307" s="9"/>
      <c r="D307" s="9"/>
      <c r="E307" s="11"/>
      <c r="F307" s="1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"/>
      <c r="C308" s="9"/>
      <c r="D308" s="9"/>
      <c r="E308" s="11"/>
      <c r="F308" s="1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"/>
      <c r="C309" s="9"/>
      <c r="D309" s="9"/>
      <c r="E309" s="11"/>
      <c r="F309" s="1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"/>
      <c r="C310" s="9"/>
      <c r="D310" s="9"/>
      <c r="E310" s="11"/>
      <c r="F310" s="1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"/>
      <c r="C311" s="9"/>
      <c r="D311" s="9"/>
      <c r="E311" s="11"/>
      <c r="F311" s="1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"/>
      <c r="C312" s="9"/>
      <c r="D312" s="9"/>
      <c r="E312" s="11"/>
      <c r="F312" s="1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"/>
      <c r="C313" s="9"/>
      <c r="D313" s="9"/>
      <c r="E313" s="11"/>
      <c r="F313" s="1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"/>
      <c r="C314" s="9"/>
      <c r="D314" s="9"/>
      <c r="E314" s="11"/>
      <c r="F314" s="1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"/>
      <c r="C315" s="9"/>
      <c r="D315" s="9"/>
      <c r="E315" s="11"/>
      <c r="F315" s="1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"/>
      <c r="C316" s="9"/>
      <c r="D316" s="9"/>
      <c r="E316" s="11"/>
      <c r="F316" s="1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"/>
      <c r="C317" s="9"/>
      <c r="D317" s="9"/>
      <c r="E317" s="11"/>
      <c r="F317" s="1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"/>
      <c r="C318" s="9"/>
      <c r="D318" s="9"/>
      <c r="E318" s="11"/>
      <c r="F318" s="1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"/>
      <c r="C319" s="9"/>
      <c r="D319" s="9"/>
      <c r="E319" s="11"/>
      <c r="F319" s="1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"/>
      <c r="C320" s="9"/>
      <c r="D320" s="9"/>
      <c r="E320" s="11"/>
      <c r="F320" s="1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"/>
      <c r="C321" s="9"/>
      <c r="D321" s="9"/>
      <c r="E321" s="11"/>
      <c r="F321" s="1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"/>
      <c r="C322" s="9"/>
      <c r="D322" s="9"/>
      <c r="E322" s="11"/>
      <c r="F322" s="1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"/>
      <c r="C323" s="9"/>
      <c r="D323" s="9"/>
      <c r="E323" s="11"/>
      <c r="F323" s="1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"/>
      <c r="C324" s="9"/>
      <c r="D324" s="9"/>
      <c r="E324" s="11"/>
      <c r="F324" s="1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"/>
      <c r="C325" s="9"/>
      <c r="D325" s="9"/>
      <c r="E325" s="11"/>
      <c r="F325" s="1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"/>
      <c r="C326" s="9"/>
      <c r="D326" s="9"/>
      <c r="E326" s="11"/>
      <c r="F326" s="1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"/>
      <c r="C327" s="9"/>
      <c r="D327" s="9"/>
      <c r="E327" s="11"/>
      <c r="F327" s="1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"/>
      <c r="C328" s="9"/>
      <c r="D328" s="9"/>
      <c r="E328" s="11"/>
      <c r="F328" s="1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"/>
      <c r="C329" s="9"/>
      <c r="D329" s="9"/>
      <c r="E329" s="11"/>
      <c r="F329" s="1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"/>
      <c r="C330" s="9"/>
      <c r="D330" s="9"/>
      <c r="E330" s="11"/>
      <c r="F330" s="1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"/>
      <c r="C331" s="9"/>
      <c r="D331" s="9"/>
      <c r="E331" s="11"/>
      <c r="F331" s="1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"/>
      <c r="C332" s="9"/>
      <c r="D332" s="9"/>
      <c r="E332" s="11"/>
      <c r="F332" s="1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"/>
      <c r="C333" s="9"/>
      <c r="D333" s="9"/>
      <c r="E333" s="11"/>
      <c r="F333" s="1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"/>
      <c r="C334" s="9"/>
      <c r="D334" s="9"/>
      <c r="E334" s="11"/>
      <c r="F334" s="1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"/>
      <c r="C335" s="9"/>
      <c r="D335" s="9"/>
      <c r="E335" s="11"/>
      <c r="F335" s="1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"/>
      <c r="C336" s="9"/>
      <c r="D336" s="9"/>
      <c r="E336" s="11"/>
      <c r="F336" s="1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"/>
      <c r="C337" s="9"/>
      <c r="D337" s="9"/>
      <c r="E337" s="11"/>
      <c r="F337" s="1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"/>
      <c r="C338" s="9"/>
      <c r="D338" s="9"/>
      <c r="E338" s="11"/>
      <c r="F338" s="1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"/>
      <c r="C339" s="9"/>
      <c r="D339" s="9"/>
      <c r="E339" s="11"/>
      <c r="F339" s="1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"/>
      <c r="C340" s="9"/>
      <c r="D340" s="9"/>
      <c r="E340" s="11"/>
      <c r="F340" s="1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"/>
      <c r="C341" s="9"/>
      <c r="D341" s="9"/>
      <c r="E341" s="11"/>
      <c r="F341" s="1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"/>
      <c r="C342" s="9"/>
      <c r="D342" s="9"/>
      <c r="E342" s="11"/>
      <c r="F342" s="1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"/>
      <c r="C343" s="9"/>
      <c r="D343" s="9"/>
      <c r="E343" s="11"/>
      <c r="F343" s="1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"/>
      <c r="C344" s="9"/>
      <c r="D344" s="9"/>
      <c r="E344" s="11"/>
      <c r="F344" s="1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"/>
      <c r="C345" s="9"/>
      <c r="D345" s="9"/>
      <c r="E345" s="11"/>
      <c r="F345" s="1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"/>
      <c r="C346" s="9"/>
      <c r="D346" s="9"/>
      <c r="E346" s="11"/>
      <c r="F346" s="1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"/>
      <c r="C347" s="9"/>
      <c r="D347" s="9"/>
      <c r="E347" s="11"/>
      <c r="F347" s="1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"/>
      <c r="C348" s="9"/>
      <c r="D348" s="9"/>
      <c r="E348" s="11"/>
      <c r="F348" s="1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"/>
      <c r="C349" s="9"/>
      <c r="D349" s="9"/>
      <c r="E349" s="11"/>
      <c r="F349" s="1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"/>
      <c r="C350" s="9"/>
      <c r="D350" s="9"/>
      <c r="E350" s="11"/>
      <c r="F350" s="1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"/>
      <c r="C351" s="9"/>
      <c r="D351" s="9"/>
      <c r="E351" s="11"/>
      <c r="F351" s="1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"/>
      <c r="C352" s="9"/>
      <c r="D352" s="9"/>
      <c r="E352" s="11"/>
      <c r="F352" s="1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"/>
      <c r="C353" s="9"/>
      <c r="D353" s="9"/>
      <c r="E353" s="11"/>
      <c r="F353" s="1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"/>
      <c r="C354" s="9"/>
      <c r="D354" s="9"/>
      <c r="E354" s="11"/>
      <c r="F354" s="1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"/>
      <c r="C355" s="9"/>
      <c r="D355" s="9"/>
      <c r="E355" s="11"/>
      <c r="F355" s="1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"/>
      <c r="C356" s="9"/>
      <c r="D356" s="9"/>
      <c r="E356" s="11"/>
      <c r="F356" s="1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"/>
      <c r="C357" s="9"/>
      <c r="D357" s="9"/>
      <c r="E357" s="11"/>
      <c r="F357" s="1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"/>
      <c r="C358" s="9"/>
      <c r="D358" s="9"/>
      <c r="E358" s="11"/>
      <c r="F358" s="1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"/>
      <c r="C359" s="9"/>
      <c r="D359" s="9"/>
      <c r="E359" s="11"/>
      <c r="F359" s="1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"/>
      <c r="C360" s="9"/>
      <c r="D360" s="9"/>
      <c r="E360" s="11"/>
      <c r="F360" s="1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"/>
      <c r="C361" s="9"/>
      <c r="D361" s="9"/>
      <c r="E361" s="11"/>
      <c r="F361" s="1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"/>
      <c r="C362" s="9"/>
      <c r="D362" s="9"/>
      <c r="E362" s="11"/>
      <c r="F362" s="1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"/>
      <c r="C363" s="9"/>
      <c r="D363" s="9"/>
      <c r="E363" s="11"/>
      <c r="F363" s="1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"/>
      <c r="C364" s="9"/>
      <c r="D364" s="9"/>
      <c r="E364" s="11"/>
      <c r="F364" s="1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"/>
      <c r="C365" s="9"/>
      <c r="D365" s="9"/>
      <c r="E365" s="11"/>
      <c r="F365" s="1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"/>
      <c r="C366" s="9"/>
      <c r="D366" s="9"/>
      <c r="E366" s="11"/>
      <c r="F366" s="1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"/>
      <c r="C367" s="9"/>
      <c r="D367" s="9"/>
      <c r="E367" s="11"/>
      <c r="F367" s="1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"/>
      <c r="C368" s="9"/>
      <c r="D368" s="9"/>
      <c r="E368" s="11"/>
      <c r="F368" s="1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"/>
      <c r="C369" s="9"/>
      <c r="D369" s="9"/>
      <c r="E369" s="11"/>
      <c r="F369" s="1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"/>
      <c r="C370" s="9"/>
      <c r="D370" s="9"/>
      <c r="E370" s="11"/>
      <c r="F370" s="1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"/>
      <c r="C371" s="9"/>
      <c r="D371" s="9"/>
      <c r="E371" s="11"/>
      <c r="F371" s="1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"/>
      <c r="C372" s="9"/>
      <c r="D372" s="9"/>
      <c r="E372" s="11"/>
      <c r="F372" s="1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"/>
      <c r="C373" s="9"/>
      <c r="D373" s="9"/>
      <c r="E373" s="11"/>
      <c r="F373" s="1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"/>
      <c r="C374" s="9"/>
      <c r="D374" s="9"/>
      <c r="E374" s="11"/>
      <c r="F374" s="1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"/>
      <c r="C375" s="9"/>
      <c r="D375" s="9"/>
      <c r="E375" s="11"/>
      <c r="F375" s="1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"/>
      <c r="C376" s="9"/>
      <c r="D376" s="9"/>
      <c r="E376" s="11"/>
      <c r="F376" s="1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"/>
      <c r="C377" s="9"/>
      <c r="D377" s="9"/>
      <c r="E377" s="11"/>
      <c r="F377" s="1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"/>
      <c r="C378" s="9"/>
      <c r="D378" s="9"/>
      <c r="E378" s="11"/>
      <c r="F378" s="1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"/>
      <c r="C379" s="9"/>
      <c r="D379" s="9"/>
      <c r="E379" s="11"/>
      <c r="F379" s="1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"/>
      <c r="C380" s="9"/>
      <c r="D380" s="9"/>
      <c r="E380" s="11"/>
      <c r="F380" s="1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"/>
      <c r="C381" s="9"/>
      <c r="D381" s="9"/>
      <c r="E381" s="11"/>
      <c r="F381" s="1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"/>
      <c r="C382" s="9"/>
      <c r="D382" s="9"/>
      <c r="E382" s="11"/>
      <c r="F382" s="1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"/>
      <c r="C383" s="9"/>
      <c r="D383" s="9"/>
      <c r="E383" s="11"/>
      <c r="F383" s="1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"/>
      <c r="C384" s="9"/>
      <c r="D384" s="9"/>
      <c r="E384" s="11"/>
      <c r="F384" s="1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"/>
      <c r="C385" s="9"/>
      <c r="D385" s="9"/>
      <c r="E385" s="11"/>
      <c r="F385" s="1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"/>
      <c r="C386" s="9"/>
      <c r="D386" s="9"/>
      <c r="E386" s="11"/>
      <c r="F386" s="1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"/>
      <c r="C387" s="9"/>
      <c r="D387" s="9"/>
      <c r="E387" s="11"/>
      <c r="F387" s="1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"/>
      <c r="C388" s="9"/>
      <c r="D388" s="9"/>
      <c r="E388" s="11"/>
      <c r="F388" s="1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"/>
      <c r="C389" s="9"/>
      <c r="D389" s="9"/>
      <c r="E389" s="11"/>
      <c r="F389" s="1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"/>
      <c r="C390" s="9"/>
      <c r="D390" s="9"/>
      <c r="E390" s="11"/>
      <c r="F390" s="1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"/>
      <c r="C391" s="9"/>
      <c r="D391" s="9"/>
      <c r="E391" s="11"/>
      <c r="F391" s="1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"/>
      <c r="C392" s="9"/>
      <c r="D392" s="9"/>
      <c r="E392" s="11"/>
      <c r="F392" s="1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"/>
      <c r="C393" s="9"/>
      <c r="D393" s="9"/>
      <c r="E393" s="11"/>
      <c r="F393" s="1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"/>
      <c r="C394" s="9"/>
      <c r="D394" s="9"/>
      <c r="E394" s="11"/>
      <c r="F394" s="1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"/>
      <c r="C395" s="9"/>
      <c r="D395" s="9"/>
      <c r="E395" s="11"/>
      <c r="F395" s="1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"/>
      <c r="C396" s="9"/>
      <c r="D396" s="9"/>
      <c r="E396" s="11"/>
      <c r="F396" s="1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"/>
      <c r="C397" s="9"/>
      <c r="D397" s="9"/>
      <c r="E397" s="11"/>
      <c r="F397" s="1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"/>
      <c r="C398" s="9"/>
      <c r="D398" s="9"/>
      <c r="E398" s="11"/>
      <c r="F398" s="1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"/>
      <c r="C399" s="9"/>
      <c r="D399" s="9"/>
      <c r="E399" s="11"/>
      <c r="F399" s="1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"/>
      <c r="C400" s="9"/>
      <c r="D400" s="9"/>
      <c r="E400" s="11"/>
      <c r="F400" s="1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"/>
      <c r="C401" s="9"/>
      <c r="D401" s="9"/>
      <c r="E401" s="11"/>
      <c r="F401" s="1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"/>
      <c r="C402" s="9"/>
      <c r="D402" s="9"/>
      <c r="E402" s="11"/>
      <c r="F402" s="1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"/>
      <c r="C403" s="9"/>
      <c r="D403" s="9"/>
      <c r="E403" s="11"/>
      <c r="F403" s="1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"/>
      <c r="C404" s="9"/>
      <c r="D404" s="9"/>
      <c r="E404" s="11"/>
      <c r="F404" s="1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"/>
      <c r="C405" s="9"/>
      <c r="D405" s="9"/>
      <c r="E405" s="11"/>
      <c r="F405" s="1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"/>
      <c r="C406" s="9"/>
      <c r="D406" s="9"/>
      <c r="E406" s="11"/>
      <c r="F406" s="1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"/>
      <c r="C407" s="9"/>
      <c r="D407" s="9"/>
      <c r="E407" s="11"/>
      <c r="F407" s="1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"/>
      <c r="C408" s="9"/>
      <c r="D408" s="9"/>
      <c r="E408" s="11"/>
      <c r="F408" s="1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"/>
      <c r="C409" s="9"/>
      <c r="D409" s="9"/>
      <c r="E409" s="11"/>
      <c r="F409" s="1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"/>
      <c r="C410" s="9"/>
      <c r="D410" s="9"/>
      <c r="E410" s="11"/>
      <c r="F410" s="1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"/>
      <c r="C411" s="9"/>
      <c r="D411" s="9"/>
      <c r="E411" s="11"/>
      <c r="F411" s="1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"/>
      <c r="C412" s="9"/>
      <c r="D412" s="9"/>
      <c r="E412" s="11"/>
      <c r="F412" s="1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"/>
      <c r="C413" s="9"/>
      <c r="D413" s="9"/>
      <c r="E413" s="11"/>
      <c r="F413" s="1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"/>
      <c r="C414" s="9"/>
      <c r="D414" s="9"/>
      <c r="E414" s="11"/>
      <c r="F414" s="1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"/>
      <c r="C415" s="9"/>
      <c r="D415" s="9"/>
      <c r="E415" s="11"/>
      <c r="F415" s="1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"/>
      <c r="C416" s="9"/>
      <c r="D416" s="9"/>
      <c r="E416" s="11"/>
      <c r="F416" s="1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"/>
      <c r="C417" s="9"/>
      <c r="D417" s="9"/>
      <c r="E417" s="11"/>
      <c r="F417" s="1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"/>
      <c r="C418" s="9"/>
      <c r="D418" s="9"/>
      <c r="E418" s="11"/>
      <c r="F418" s="1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"/>
      <c r="C419" s="9"/>
      <c r="D419" s="9"/>
      <c r="E419" s="11"/>
      <c r="F419" s="1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"/>
      <c r="C420" s="9"/>
      <c r="D420" s="9"/>
      <c r="E420" s="11"/>
      <c r="F420" s="1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"/>
      <c r="C421" s="9"/>
      <c r="D421" s="9"/>
      <c r="E421" s="11"/>
      <c r="F421" s="1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"/>
      <c r="C422" s="9"/>
      <c r="D422" s="9"/>
      <c r="E422" s="11"/>
      <c r="F422" s="1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"/>
      <c r="C423" s="9"/>
      <c r="D423" s="9"/>
      <c r="E423" s="11"/>
      <c r="F423" s="1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"/>
      <c r="C424" s="9"/>
      <c r="D424" s="9"/>
      <c r="E424" s="11"/>
      <c r="F424" s="1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"/>
      <c r="C425" s="9"/>
      <c r="D425" s="9"/>
      <c r="E425" s="11"/>
      <c r="F425" s="1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"/>
      <c r="C426" s="9"/>
      <c r="D426" s="9"/>
      <c r="E426" s="11"/>
      <c r="F426" s="1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"/>
      <c r="C427" s="9"/>
      <c r="D427" s="9"/>
      <c r="E427" s="11"/>
      <c r="F427" s="1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"/>
      <c r="C428" s="9"/>
      <c r="D428" s="9"/>
      <c r="E428" s="11"/>
      <c r="F428" s="1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"/>
      <c r="C429" s="9"/>
      <c r="D429" s="9"/>
      <c r="E429" s="11"/>
      <c r="F429" s="1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"/>
      <c r="C430" s="9"/>
      <c r="D430" s="9"/>
      <c r="E430" s="11"/>
      <c r="F430" s="1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"/>
      <c r="C431" s="9"/>
      <c r="D431" s="9"/>
      <c r="E431" s="11"/>
      <c r="F431" s="1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"/>
      <c r="C432" s="9"/>
      <c r="D432" s="9"/>
      <c r="E432" s="11"/>
      <c r="F432" s="1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"/>
      <c r="C433" s="9"/>
      <c r="D433" s="9"/>
      <c r="E433" s="11"/>
      <c r="F433" s="1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"/>
      <c r="C434" s="9"/>
      <c r="D434" s="9"/>
      <c r="E434" s="11"/>
      <c r="F434" s="1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"/>
      <c r="C435" s="9"/>
      <c r="D435" s="9"/>
      <c r="E435" s="11"/>
      <c r="F435" s="1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"/>
      <c r="C436" s="9"/>
      <c r="D436" s="9"/>
      <c r="E436" s="11"/>
      <c r="F436" s="1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"/>
      <c r="C437" s="9"/>
      <c r="D437" s="9"/>
      <c r="E437" s="11"/>
      <c r="F437" s="1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"/>
      <c r="C438" s="9"/>
      <c r="D438" s="9"/>
      <c r="E438" s="11"/>
      <c r="F438" s="1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"/>
      <c r="C439" s="9"/>
      <c r="D439" s="9"/>
      <c r="E439" s="11"/>
      <c r="F439" s="1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"/>
      <c r="C440" s="9"/>
      <c r="D440" s="9"/>
      <c r="E440" s="11"/>
      <c r="F440" s="1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"/>
      <c r="C441" s="9"/>
      <c r="D441" s="9"/>
      <c r="E441" s="11"/>
      <c r="F441" s="1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"/>
      <c r="C442" s="9"/>
      <c r="D442" s="9"/>
      <c r="E442" s="11"/>
      <c r="F442" s="1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"/>
      <c r="C443" s="9"/>
      <c r="D443" s="9"/>
      <c r="E443" s="11"/>
      <c r="F443" s="1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"/>
      <c r="C444" s="9"/>
      <c r="D444" s="9"/>
      <c r="E444" s="11"/>
      <c r="F444" s="1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"/>
      <c r="C445" s="9"/>
      <c r="D445" s="9"/>
      <c r="E445" s="11"/>
      <c r="F445" s="1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"/>
      <c r="C446" s="9"/>
      <c r="D446" s="9"/>
      <c r="E446" s="11"/>
      <c r="F446" s="1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"/>
      <c r="C447" s="9"/>
      <c r="D447" s="9"/>
      <c r="E447" s="11"/>
      <c r="F447" s="1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"/>
      <c r="C448" s="9"/>
      <c r="D448" s="9"/>
      <c r="E448" s="11"/>
      <c r="F448" s="1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"/>
      <c r="C449" s="9"/>
      <c r="D449" s="9"/>
      <c r="E449" s="11"/>
      <c r="F449" s="1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"/>
      <c r="C450" s="9"/>
      <c r="D450" s="9"/>
      <c r="E450" s="11"/>
      <c r="F450" s="1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"/>
      <c r="C451" s="9"/>
      <c r="D451" s="9"/>
      <c r="E451" s="11"/>
      <c r="F451" s="1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"/>
      <c r="C452" s="9"/>
      <c r="D452" s="9"/>
      <c r="E452" s="11"/>
      <c r="F452" s="1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"/>
      <c r="C453" s="9"/>
      <c r="D453" s="9"/>
      <c r="E453" s="11"/>
      <c r="F453" s="1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"/>
      <c r="C454" s="9"/>
      <c r="D454" s="9"/>
      <c r="E454" s="11"/>
      <c r="F454" s="1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"/>
      <c r="C455" s="9"/>
      <c r="D455" s="9"/>
      <c r="E455" s="11"/>
      <c r="F455" s="1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"/>
      <c r="C456" s="9"/>
      <c r="D456" s="9"/>
      <c r="E456" s="11"/>
      <c r="F456" s="1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"/>
      <c r="C457" s="9"/>
      <c r="D457" s="9"/>
      <c r="E457" s="11"/>
      <c r="F457" s="1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"/>
      <c r="C458" s="9"/>
      <c r="D458" s="9"/>
      <c r="E458" s="11"/>
      <c r="F458" s="1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"/>
      <c r="C459" s="9"/>
      <c r="D459" s="9"/>
      <c r="E459" s="11"/>
      <c r="F459" s="1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"/>
      <c r="C460" s="9"/>
      <c r="D460" s="9"/>
      <c r="E460" s="11"/>
      <c r="F460" s="1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"/>
      <c r="C461" s="9"/>
      <c r="D461" s="9"/>
      <c r="E461" s="11"/>
      <c r="F461" s="1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"/>
      <c r="C462" s="9"/>
      <c r="D462" s="9"/>
      <c r="E462" s="11"/>
      <c r="F462" s="1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"/>
      <c r="C463" s="9"/>
      <c r="D463" s="9"/>
      <c r="E463" s="11"/>
      <c r="F463" s="1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"/>
      <c r="C464" s="9"/>
      <c r="D464" s="9"/>
      <c r="E464" s="11"/>
      <c r="F464" s="1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"/>
      <c r="C465" s="9"/>
      <c r="D465" s="9"/>
      <c r="E465" s="11"/>
      <c r="F465" s="1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"/>
      <c r="C466" s="9"/>
      <c r="D466" s="9"/>
      <c r="E466" s="11"/>
      <c r="F466" s="1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"/>
      <c r="C467" s="9"/>
      <c r="D467" s="9"/>
      <c r="E467" s="11"/>
      <c r="F467" s="1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"/>
      <c r="C468" s="9"/>
      <c r="D468" s="9"/>
      <c r="E468" s="11"/>
      <c r="F468" s="1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"/>
      <c r="C469" s="9"/>
      <c r="D469" s="9"/>
      <c r="E469" s="11"/>
      <c r="F469" s="1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"/>
      <c r="C470" s="9"/>
      <c r="D470" s="9"/>
      <c r="E470" s="11"/>
      <c r="F470" s="1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"/>
      <c r="C471" s="9"/>
      <c r="D471" s="9"/>
      <c r="E471" s="11"/>
      <c r="F471" s="1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"/>
      <c r="C472" s="9"/>
      <c r="D472" s="9"/>
      <c r="E472" s="11"/>
      <c r="F472" s="1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"/>
      <c r="C473" s="9"/>
      <c r="D473" s="9"/>
      <c r="E473" s="11"/>
      <c r="F473" s="1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"/>
      <c r="C474" s="9"/>
      <c r="D474" s="9"/>
      <c r="E474" s="11"/>
      <c r="F474" s="1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"/>
      <c r="C475" s="9"/>
      <c r="D475" s="9"/>
      <c r="E475" s="11"/>
      <c r="F475" s="1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"/>
      <c r="C476" s="9"/>
      <c r="D476" s="9"/>
      <c r="E476" s="11"/>
      <c r="F476" s="1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"/>
      <c r="C477" s="9"/>
      <c r="D477" s="9"/>
      <c r="E477" s="11"/>
      <c r="F477" s="1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"/>
      <c r="C478" s="9"/>
      <c r="D478" s="9"/>
      <c r="E478" s="11"/>
      <c r="F478" s="1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"/>
      <c r="C479" s="9"/>
      <c r="D479" s="9"/>
      <c r="E479" s="11"/>
      <c r="F479" s="1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"/>
      <c r="C480" s="9"/>
      <c r="D480" s="9"/>
      <c r="E480" s="11"/>
      <c r="F480" s="1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"/>
      <c r="C481" s="9"/>
      <c r="D481" s="9"/>
      <c r="E481" s="11"/>
      <c r="F481" s="1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"/>
      <c r="C482" s="9"/>
      <c r="D482" s="9"/>
      <c r="E482" s="11"/>
      <c r="F482" s="1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"/>
      <c r="C483" s="9"/>
      <c r="D483" s="9"/>
      <c r="E483" s="11"/>
      <c r="F483" s="1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"/>
      <c r="C484" s="9"/>
      <c r="D484" s="9"/>
      <c r="E484" s="11"/>
      <c r="F484" s="1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"/>
      <c r="C485" s="9"/>
      <c r="D485" s="9"/>
      <c r="E485" s="11"/>
      <c r="F485" s="1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"/>
      <c r="C486" s="9"/>
      <c r="D486" s="9"/>
      <c r="E486" s="11"/>
      <c r="F486" s="1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"/>
      <c r="C487" s="9"/>
      <c r="D487" s="9"/>
      <c r="E487" s="11"/>
      <c r="F487" s="1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"/>
      <c r="C488" s="9"/>
      <c r="D488" s="9"/>
      <c r="E488" s="11"/>
      <c r="F488" s="1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"/>
      <c r="C489" s="9"/>
      <c r="D489" s="9"/>
      <c r="E489" s="11"/>
      <c r="F489" s="1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"/>
      <c r="C490" s="9"/>
      <c r="D490" s="9"/>
      <c r="E490" s="11"/>
      <c r="F490" s="1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"/>
      <c r="C491" s="9"/>
      <c r="D491" s="9"/>
      <c r="E491" s="11"/>
      <c r="F491" s="1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"/>
      <c r="C492" s="9"/>
      <c r="D492" s="9"/>
      <c r="E492" s="11"/>
      <c r="F492" s="1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"/>
      <c r="C493" s="9"/>
      <c r="D493" s="9"/>
      <c r="E493" s="11"/>
      <c r="F493" s="1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"/>
      <c r="C494" s="9"/>
      <c r="D494" s="9"/>
      <c r="E494" s="11"/>
      <c r="F494" s="1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"/>
      <c r="C495" s="9"/>
      <c r="D495" s="9"/>
      <c r="E495" s="11"/>
      <c r="F495" s="1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"/>
      <c r="C496" s="9"/>
      <c r="D496" s="9"/>
      <c r="E496" s="11"/>
      <c r="F496" s="1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"/>
      <c r="C497" s="9"/>
      <c r="D497" s="9"/>
      <c r="E497" s="11"/>
      <c r="F497" s="1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"/>
      <c r="C498" s="9"/>
      <c r="D498" s="9"/>
      <c r="E498" s="11"/>
      <c r="F498" s="1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"/>
      <c r="C499" s="9"/>
      <c r="D499" s="9"/>
      <c r="E499" s="11"/>
      <c r="F499" s="1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"/>
      <c r="C500" s="9"/>
      <c r="D500" s="9"/>
      <c r="E500" s="11"/>
      <c r="F500" s="1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"/>
      <c r="C501" s="9"/>
      <c r="D501" s="9"/>
      <c r="E501" s="11"/>
      <c r="F501" s="11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"/>
      <c r="C502" s="9"/>
      <c r="D502" s="9"/>
      <c r="E502" s="11"/>
      <c r="F502" s="11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"/>
      <c r="C503" s="9"/>
      <c r="D503" s="9"/>
      <c r="E503" s="11"/>
      <c r="F503" s="11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"/>
      <c r="C504" s="9"/>
      <c r="D504" s="9"/>
      <c r="E504" s="11"/>
      <c r="F504" s="11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"/>
      <c r="C505" s="9"/>
      <c r="D505" s="9"/>
      <c r="E505" s="11"/>
      <c r="F505" s="11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"/>
      <c r="C506" s="9"/>
      <c r="D506" s="9"/>
      <c r="E506" s="11"/>
      <c r="F506" s="11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"/>
      <c r="C507" s="9"/>
      <c r="D507" s="9"/>
      <c r="E507" s="11"/>
      <c r="F507" s="11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"/>
      <c r="C508" s="9"/>
      <c r="D508" s="9"/>
      <c r="E508" s="11"/>
      <c r="F508" s="11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"/>
      <c r="C509" s="9"/>
      <c r="D509" s="9"/>
      <c r="E509" s="11"/>
      <c r="F509" s="11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"/>
      <c r="C510" s="9"/>
      <c r="D510" s="9"/>
      <c r="E510" s="11"/>
      <c r="F510" s="11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"/>
      <c r="C511" s="9"/>
      <c r="D511" s="9"/>
      <c r="E511" s="11"/>
      <c r="F511" s="11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"/>
      <c r="C512" s="9"/>
      <c r="D512" s="9"/>
      <c r="E512" s="11"/>
      <c r="F512" s="11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"/>
      <c r="C513" s="9"/>
      <c r="D513" s="9"/>
      <c r="E513" s="11"/>
      <c r="F513" s="11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"/>
      <c r="C514" s="9"/>
      <c r="D514" s="9"/>
      <c r="E514" s="11"/>
      <c r="F514" s="11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"/>
      <c r="C515" s="9"/>
      <c r="D515" s="9"/>
      <c r="E515" s="11"/>
      <c r="F515" s="11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"/>
      <c r="C516" s="9"/>
      <c r="D516" s="9"/>
      <c r="E516" s="11"/>
      <c r="F516" s="11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"/>
      <c r="C517" s="9"/>
      <c r="D517" s="9"/>
      <c r="E517" s="11"/>
      <c r="F517" s="11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"/>
      <c r="C518" s="9"/>
      <c r="D518" s="9"/>
      <c r="E518" s="11"/>
      <c r="F518" s="11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"/>
      <c r="C519" s="9"/>
      <c r="D519" s="9"/>
      <c r="E519" s="11"/>
      <c r="F519" s="11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"/>
      <c r="C520" s="9"/>
      <c r="D520" s="9"/>
      <c r="E520" s="11"/>
      <c r="F520" s="11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"/>
      <c r="C521" s="9"/>
      <c r="D521" s="9"/>
      <c r="E521" s="11"/>
      <c r="F521" s="11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"/>
      <c r="C522" s="9"/>
      <c r="D522" s="9"/>
      <c r="E522" s="11"/>
      <c r="F522" s="11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"/>
      <c r="C523" s="9"/>
      <c r="D523" s="9"/>
      <c r="E523" s="11"/>
      <c r="F523" s="11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"/>
      <c r="C524" s="9"/>
      <c r="D524" s="9"/>
      <c r="E524" s="11"/>
      <c r="F524" s="11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"/>
      <c r="C525" s="9"/>
      <c r="D525" s="9"/>
      <c r="E525" s="11"/>
      <c r="F525" s="11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"/>
      <c r="C526" s="9"/>
      <c r="D526" s="9"/>
      <c r="E526" s="11"/>
      <c r="F526" s="11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"/>
      <c r="C527" s="9"/>
      <c r="D527" s="9"/>
      <c r="E527" s="11"/>
      <c r="F527" s="11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"/>
      <c r="C528" s="9"/>
      <c r="D528" s="9"/>
      <c r="E528" s="11"/>
      <c r="F528" s="11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"/>
      <c r="C529" s="9"/>
      <c r="D529" s="9"/>
      <c r="E529" s="11"/>
      <c r="F529" s="11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"/>
      <c r="C530" s="9"/>
      <c r="D530" s="9"/>
      <c r="E530" s="11"/>
      <c r="F530" s="11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"/>
      <c r="C531" s="9"/>
      <c r="D531" s="9"/>
      <c r="E531" s="11"/>
      <c r="F531" s="11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"/>
      <c r="C532" s="9"/>
      <c r="D532" s="9"/>
      <c r="E532" s="11"/>
      <c r="F532" s="11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"/>
      <c r="C533" s="9"/>
      <c r="D533" s="9"/>
      <c r="E533" s="11"/>
      <c r="F533" s="11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"/>
      <c r="C534" s="9"/>
      <c r="D534" s="9"/>
      <c r="E534" s="11"/>
      <c r="F534" s="11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"/>
      <c r="C535" s="9"/>
      <c r="D535" s="9"/>
      <c r="E535" s="11"/>
      <c r="F535" s="11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"/>
      <c r="C536" s="9"/>
      <c r="D536" s="9"/>
      <c r="E536" s="11"/>
      <c r="F536" s="11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"/>
      <c r="C537" s="9"/>
      <c r="D537" s="9"/>
      <c r="E537" s="11"/>
      <c r="F537" s="11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"/>
      <c r="C538" s="9"/>
      <c r="D538" s="9"/>
      <c r="E538" s="11"/>
      <c r="F538" s="11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"/>
      <c r="C539" s="9"/>
      <c r="D539" s="9"/>
      <c r="E539" s="11"/>
      <c r="F539" s="11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"/>
      <c r="C540" s="9"/>
      <c r="D540" s="9"/>
      <c r="E540" s="11"/>
      <c r="F540" s="11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"/>
      <c r="C541" s="9"/>
      <c r="D541" s="9"/>
      <c r="E541" s="11"/>
      <c r="F541" s="11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"/>
      <c r="C542" s="9"/>
      <c r="D542" s="9"/>
      <c r="E542" s="11"/>
      <c r="F542" s="11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"/>
      <c r="C543" s="9"/>
      <c r="D543" s="9"/>
      <c r="E543" s="11"/>
      <c r="F543" s="11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"/>
      <c r="C544" s="9"/>
      <c r="D544" s="9"/>
      <c r="E544" s="11"/>
      <c r="F544" s="11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"/>
      <c r="C545" s="9"/>
      <c r="D545" s="9"/>
      <c r="E545" s="11"/>
      <c r="F545" s="11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"/>
      <c r="C546" s="9"/>
      <c r="D546" s="9"/>
      <c r="E546" s="11"/>
      <c r="F546" s="11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"/>
      <c r="C547" s="9"/>
      <c r="D547" s="9"/>
      <c r="E547" s="11"/>
      <c r="F547" s="11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"/>
      <c r="C548" s="9"/>
      <c r="D548" s="9"/>
      <c r="E548" s="11"/>
      <c r="F548" s="11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"/>
      <c r="C549" s="9"/>
      <c r="D549" s="9"/>
      <c r="E549" s="11"/>
      <c r="F549" s="11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"/>
      <c r="C550" s="9"/>
      <c r="D550" s="9"/>
      <c r="E550" s="11"/>
      <c r="F550" s="11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"/>
      <c r="C551" s="9"/>
      <c r="D551" s="9"/>
      <c r="E551" s="11"/>
      <c r="F551" s="11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"/>
      <c r="C552" s="9"/>
      <c r="D552" s="9"/>
      <c r="E552" s="11"/>
      <c r="F552" s="11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"/>
      <c r="C553" s="9"/>
      <c r="D553" s="9"/>
      <c r="E553" s="11"/>
      <c r="F553" s="11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"/>
      <c r="C554" s="9"/>
      <c r="D554" s="9"/>
      <c r="E554" s="11"/>
      <c r="F554" s="11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"/>
      <c r="C555" s="9"/>
      <c r="D555" s="9"/>
      <c r="E555" s="11"/>
      <c r="F555" s="11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"/>
      <c r="C556" s="9"/>
      <c r="D556" s="9"/>
      <c r="E556" s="11"/>
      <c r="F556" s="11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"/>
      <c r="C557" s="9"/>
      <c r="D557" s="9"/>
      <c r="E557" s="11"/>
      <c r="F557" s="11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"/>
      <c r="C558" s="9"/>
      <c r="D558" s="9"/>
      <c r="E558" s="11"/>
      <c r="F558" s="11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"/>
      <c r="C559" s="9"/>
      <c r="D559" s="9"/>
      <c r="E559" s="11"/>
      <c r="F559" s="11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"/>
      <c r="C560" s="9"/>
      <c r="D560" s="9"/>
      <c r="E560" s="11"/>
      <c r="F560" s="11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"/>
      <c r="C561" s="9"/>
      <c r="D561" s="9"/>
      <c r="E561" s="11"/>
      <c r="F561" s="11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"/>
      <c r="C562" s="9"/>
      <c r="D562" s="9"/>
      <c r="E562" s="11"/>
      <c r="F562" s="11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"/>
      <c r="C563" s="9"/>
      <c r="D563" s="9"/>
      <c r="E563" s="11"/>
      <c r="F563" s="11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"/>
      <c r="C564" s="9"/>
      <c r="D564" s="9"/>
      <c r="E564" s="11"/>
      <c r="F564" s="11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"/>
      <c r="C565" s="9"/>
      <c r="D565" s="9"/>
      <c r="E565" s="11"/>
      <c r="F565" s="11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"/>
      <c r="C566" s="9"/>
      <c r="D566" s="9"/>
      <c r="E566" s="11"/>
      <c r="F566" s="11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"/>
      <c r="C567" s="9"/>
      <c r="D567" s="9"/>
      <c r="E567" s="11"/>
      <c r="F567" s="11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"/>
      <c r="C568" s="9"/>
      <c r="D568" s="9"/>
      <c r="E568" s="11"/>
      <c r="F568" s="11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"/>
      <c r="C569" s="9"/>
      <c r="D569" s="9"/>
      <c r="E569" s="11"/>
      <c r="F569" s="11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"/>
      <c r="C570" s="9"/>
      <c r="D570" s="9"/>
      <c r="E570" s="11"/>
      <c r="F570" s="11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"/>
      <c r="C571" s="9"/>
      <c r="D571" s="9"/>
      <c r="E571" s="11"/>
      <c r="F571" s="11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"/>
      <c r="C572" s="9"/>
      <c r="D572" s="9"/>
      <c r="E572" s="11"/>
      <c r="F572" s="11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"/>
      <c r="C573" s="9"/>
      <c r="D573" s="9"/>
      <c r="E573" s="11"/>
      <c r="F573" s="11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"/>
      <c r="C574" s="9"/>
      <c r="D574" s="9"/>
      <c r="E574" s="11"/>
      <c r="F574" s="11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"/>
      <c r="C575" s="9"/>
      <c r="D575" s="9"/>
      <c r="E575" s="11"/>
      <c r="F575" s="11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"/>
      <c r="C576" s="9"/>
      <c r="D576" s="9"/>
      <c r="E576" s="11"/>
      <c r="F576" s="11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"/>
      <c r="C577" s="9"/>
      <c r="D577" s="9"/>
      <c r="E577" s="11"/>
      <c r="F577" s="11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"/>
      <c r="C578" s="9"/>
      <c r="D578" s="9"/>
      <c r="E578" s="11"/>
      <c r="F578" s="11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"/>
      <c r="C579" s="9"/>
      <c r="D579" s="9"/>
      <c r="E579" s="11"/>
      <c r="F579" s="11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"/>
      <c r="C580" s="9"/>
      <c r="D580" s="9"/>
      <c r="E580" s="11"/>
      <c r="F580" s="11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"/>
      <c r="C581" s="9"/>
      <c r="D581" s="9"/>
      <c r="E581" s="11"/>
      <c r="F581" s="11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"/>
      <c r="C582" s="9"/>
      <c r="D582" s="9"/>
      <c r="E582" s="11"/>
      <c r="F582" s="11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"/>
      <c r="C583" s="9"/>
      <c r="D583" s="9"/>
      <c r="E583" s="11"/>
      <c r="F583" s="11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"/>
      <c r="C584" s="9"/>
      <c r="D584" s="9"/>
      <c r="E584" s="11"/>
      <c r="F584" s="11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"/>
      <c r="C585" s="9"/>
      <c r="D585" s="9"/>
      <c r="E585" s="11"/>
      <c r="F585" s="11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"/>
      <c r="C586" s="9"/>
      <c r="D586" s="9"/>
      <c r="E586" s="11"/>
      <c r="F586" s="11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"/>
      <c r="C587" s="9"/>
      <c r="D587" s="9"/>
      <c r="E587" s="11"/>
      <c r="F587" s="11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"/>
      <c r="C588" s="9"/>
      <c r="D588" s="9"/>
      <c r="E588" s="11"/>
      <c r="F588" s="11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"/>
      <c r="C589" s="9"/>
      <c r="D589" s="9"/>
      <c r="E589" s="11"/>
      <c r="F589" s="11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"/>
      <c r="C590" s="9"/>
      <c r="D590" s="9"/>
      <c r="E590" s="11"/>
      <c r="F590" s="11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"/>
      <c r="C591" s="9"/>
      <c r="D591" s="9"/>
      <c r="E591" s="11"/>
      <c r="F591" s="11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"/>
      <c r="C592" s="9"/>
      <c r="D592" s="9"/>
      <c r="E592" s="11"/>
      <c r="F592" s="11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"/>
      <c r="C593" s="9"/>
      <c r="D593" s="9"/>
      <c r="E593" s="11"/>
      <c r="F593" s="11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"/>
      <c r="C594" s="9"/>
      <c r="D594" s="9"/>
      <c r="E594" s="11"/>
      <c r="F594" s="11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"/>
      <c r="C595" s="9"/>
      <c r="D595" s="9"/>
      <c r="E595" s="11"/>
      <c r="F595" s="11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"/>
      <c r="C596" s="9"/>
      <c r="D596" s="9"/>
      <c r="E596" s="11"/>
      <c r="F596" s="11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"/>
      <c r="C597" s="9"/>
      <c r="D597" s="9"/>
      <c r="E597" s="11"/>
      <c r="F597" s="11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"/>
      <c r="C598" s="9"/>
      <c r="D598" s="9"/>
      <c r="E598" s="11"/>
      <c r="F598" s="11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"/>
      <c r="C599" s="9"/>
      <c r="D599" s="9"/>
      <c r="E599" s="11"/>
      <c r="F599" s="11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"/>
      <c r="C600" s="9"/>
      <c r="D600" s="9"/>
      <c r="E600" s="11"/>
      <c r="F600" s="11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"/>
      <c r="C601" s="9"/>
      <c r="D601" s="9"/>
      <c r="E601" s="11"/>
      <c r="F601" s="11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"/>
      <c r="C602" s="9"/>
      <c r="D602" s="9"/>
      <c r="E602" s="11"/>
      <c r="F602" s="11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"/>
      <c r="C603" s="9"/>
      <c r="D603" s="9"/>
      <c r="E603" s="11"/>
      <c r="F603" s="11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"/>
      <c r="C604" s="9"/>
      <c r="D604" s="9"/>
      <c r="E604" s="11"/>
      <c r="F604" s="11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"/>
      <c r="C605" s="9"/>
      <c r="D605" s="9"/>
      <c r="E605" s="11"/>
      <c r="F605" s="11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"/>
      <c r="C606" s="9"/>
      <c r="D606" s="9"/>
      <c r="E606" s="11"/>
      <c r="F606" s="11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"/>
      <c r="C607" s="9"/>
      <c r="D607" s="9"/>
      <c r="E607" s="11"/>
      <c r="F607" s="11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"/>
      <c r="C608" s="9"/>
      <c r="D608" s="9"/>
      <c r="E608" s="11"/>
      <c r="F608" s="11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"/>
      <c r="C609" s="9"/>
      <c r="D609" s="9"/>
      <c r="E609" s="11"/>
      <c r="F609" s="11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"/>
      <c r="C610" s="9"/>
      <c r="D610" s="9"/>
      <c r="E610" s="11"/>
      <c r="F610" s="11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"/>
      <c r="C611" s="9"/>
      <c r="D611" s="9"/>
      <c r="E611" s="11"/>
      <c r="F611" s="11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"/>
      <c r="C612" s="9"/>
      <c r="D612" s="9"/>
      <c r="E612" s="11"/>
      <c r="F612" s="11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"/>
      <c r="C613" s="9"/>
      <c r="D613" s="9"/>
      <c r="E613" s="11"/>
      <c r="F613" s="11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"/>
      <c r="C614" s="9"/>
      <c r="D614" s="9"/>
      <c r="E614" s="11"/>
      <c r="F614" s="11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"/>
      <c r="C615" s="9"/>
      <c r="D615" s="9"/>
      <c r="E615" s="11"/>
      <c r="F615" s="11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"/>
      <c r="C616" s="9"/>
      <c r="D616" s="9"/>
      <c r="E616" s="11"/>
      <c r="F616" s="11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"/>
      <c r="C617" s="9"/>
      <c r="D617" s="9"/>
      <c r="E617" s="11"/>
      <c r="F617" s="11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"/>
      <c r="C618" s="9"/>
      <c r="D618" s="9"/>
      <c r="E618" s="11"/>
      <c r="F618" s="11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"/>
      <c r="C619" s="9"/>
      <c r="D619" s="9"/>
      <c r="E619" s="11"/>
      <c r="F619" s="11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"/>
      <c r="C620" s="9"/>
      <c r="D620" s="9"/>
      <c r="E620" s="11"/>
      <c r="F620" s="11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"/>
      <c r="C621" s="9"/>
      <c r="D621" s="9"/>
      <c r="E621" s="11"/>
      <c r="F621" s="11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"/>
      <c r="C622" s="9"/>
      <c r="D622" s="9"/>
      <c r="E622" s="11"/>
      <c r="F622" s="11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"/>
      <c r="C623" s="9"/>
      <c r="D623" s="9"/>
      <c r="E623" s="11"/>
      <c r="F623" s="11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"/>
      <c r="C624" s="9"/>
      <c r="D624" s="9"/>
      <c r="E624" s="11"/>
      <c r="F624" s="11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"/>
      <c r="C625" s="9"/>
      <c r="D625" s="9"/>
      <c r="E625" s="11"/>
      <c r="F625" s="11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"/>
      <c r="C626" s="9"/>
      <c r="D626" s="9"/>
      <c r="E626" s="11"/>
      <c r="F626" s="11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"/>
      <c r="C627" s="9"/>
      <c r="D627" s="9"/>
      <c r="E627" s="11"/>
      <c r="F627" s="11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"/>
      <c r="C628" s="9"/>
      <c r="D628" s="9"/>
      <c r="E628" s="11"/>
      <c r="F628" s="11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"/>
      <c r="C629" s="9"/>
      <c r="D629" s="9"/>
      <c r="E629" s="11"/>
      <c r="F629" s="11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"/>
      <c r="C630" s="9"/>
      <c r="D630" s="9"/>
      <c r="E630" s="11"/>
      <c r="F630" s="11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"/>
      <c r="C631" s="9"/>
      <c r="D631" s="9"/>
      <c r="E631" s="11"/>
      <c r="F631" s="11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"/>
      <c r="C632" s="9"/>
      <c r="D632" s="9"/>
      <c r="E632" s="11"/>
      <c r="F632" s="11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"/>
      <c r="C633" s="9"/>
      <c r="D633" s="9"/>
      <c r="E633" s="11"/>
      <c r="F633" s="11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"/>
      <c r="C634" s="9"/>
      <c r="D634" s="9"/>
      <c r="E634" s="11"/>
      <c r="F634" s="11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"/>
      <c r="C635" s="9"/>
      <c r="D635" s="9"/>
      <c r="E635" s="11"/>
      <c r="F635" s="11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"/>
      <c r="C636" s="9"/>
      <c r="D636" s="9"/>
      <c r="E636" s="11"/>
      <c r="F636" s="11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"/>
      <c r="C637" s="9"/>
      <c r="D637" s="9"/>
      <c r="E637" s="11"/>
      <c r="F637" s="11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"/>
      <c r="C638" s="9"/>
      <c r="D638" s="9"/>
      <c r="E638" s="11"/>
      <c r="F638" s="11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"/>
      <c r="C639" s="9"/>
      <c r="D639" s="9"/>
      <c r="E639" s="11"/>
      <c r="F639" s="11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"/>
      <c r="C640" s="9"/>
      <c r="D640" s="9"/>
      <c r="E640" s="11"/>
      <c r="F640" s="11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"/>
      <c r="C641" s="9"/>
      <c r="D641" s="9"/>
      <c r="E641" s="11"/>
      <c r="F641" s="11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"/>
      <c r="C642" s="9"/>
      <c r="D642" s="9"/>
      <c r="E642" s="11"/>
      <c r="F642" s="11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"/>
      <c r="C643" s="9"/>
      <c r="D643" s="9"/>
      <c r="E643" s="11"/>
      <c r="F643" s="11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"/>
      <c r="C644" s="9"/>
      <c r="D644" s="9"/>
      <c r="E644" s="11"/>
      <c r="F644" s="11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"/>
      <c r="C645" s="9"/>
      <c r="D645" s="9"/>
      <c r="E645" s="11"/>
      <c r="F645" s="11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"/>
      <c r="C646" s="9"/>
      <c r="D646" s="9"/>
      <c r="E646" s="11"/>
      <c r="F646" s="11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"/>
      <c r="C647" s="9"/>
      <c r="D647" s="9"/>
      <c r="E647" s="11"/>
      <c r="F647" s="11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"/>
      <c r="C648" s="9"/>
      <c r="D648" s="9"/>
      <c r="E648" s="11"/>
      <c r="F648" s="11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"/>
      <c r="C649" s="9"/>
      <c r="D649" s="9"/>
      <c r="E649" s="11"/>
      <c r="F649" s="11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"/>
      <c r="C650" s="9"/>
      <c r="D650" s="9"/>
      <c r="E650" s="11"/>
      <c r="F650" s="11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"/>
      <c r="C651" s="9"/>
      <c r="D651" s="9"/>
      <c r="E651" s="11"/>
      <c r="F651" s="11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"/>
      <c r="C652" s="9"/>
      <c r="D652" s="9"/>
      <c r="E652" s="11"/>
      <c r="F652" s="11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"/>
      <c r="C653" s="9"/>
      <c r="D653" s="9"/>
      <c r="E653" s="11"/>
      <c r="F653" s="11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"/>
      <c r="C654" s="9"/>
      <c r="D654" s="9"/>
      <c r="E654" s="11"/>
      <c r="F654" s="11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"/>
      <c r="C655" s="9"/>
      <c r="D655" s="9"/>
      <c r="E655" s="11"/>
      <c r="F655" s="11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"/>
      <c r="C656" s="9"/>
      <c r="D656" s="9"/>
      <c r="E656" s="11"/>
      <c r="F656" s="11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"/>
      <c r="C657" s="9"/>
      <c r="D657" s="9"/>
      <c r="E657" s="11"/>
      <c r="F657" s="11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"/>
      <c r="C658" s="9"/>
      <c r="D658" s="9"/>
      <c r="E658" s="11"/>
      <c r="F658" s="11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"/>
      <c r="C659" s="9"/>
      <c r="D659" s="9"/>
      <c r="E659" s="11"/>
      <c r="F659" s="11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"/>
      <c r="C660" s="9"/>
      <c r="D660" s="9"/>
      <c r="E660" s="11"/>
      <c r="F660" s="11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"/>
      <c r="C661" s="9"/>
      <c r="D661" s="9"/>
      <c r="E661" s="11"/>
      <c r="F661" s="11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"/>
      <c r="C662" s="9"/>
      <c r="D662" s="9"/>
      <c r="E662" s="11"/>
      <c r="F662" s="11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"/>
      <c r="C663" s="9"/>
      <c r="D663" s="9"/>
      <c r="E663" s="11"/>
      <c r="F663" s="11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"/>
      <c r="C664" s="9"/>
      <c r="D664" s="9"/>
      <c r="E664" s="11"/>
      <c r="F664" s="11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"/>
      <c r="C665" s="9"/>
      <c r="D665" s="9"/>
      <c r="E665" s="11"/>
      <c r="F665" s="11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"/>
      <c r="C666" s="9"/>
      <c r="D666" s="9"/>
      <c r="E666" s="11"/>
      <c r="F666" s="11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"/>
      <c r="C667" s="9"/>
      <c r="D667" s="9"/>
      <c r="E667" s="11"/>
      <c r="F667" s="11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"/>
      <c r="C668" s="9"/>
      <c r="D668" s="9"/>
      <c r="E668" s="11"/>
      <c r="F668" s="11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"/>
      <c r="C669" s="9"/>
      <c r="D669" s="9"/>
      <c r="E669" s="11"/>
      <c r="F669" s="11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"/>
      <c r="C670" s="9"/>
      <c r="D670" s="9"/>
      <c r="E670" s="11"/>
      <c r="F670" s="11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"/>
      <c r="C671" s="9"/>
      <c r="D671" s="9"/>
      <c r="E671" s="11"/>
      <c r="F671" s="11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"/>
      <c r="C672" s="9"/>
      <c r="D672" s="9"/>
      <c r="E672" s="11"/>
      <c r="F672" s="11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"/>
      <c r="C673" s="9"/>
      <c r="D673" s="9"/>
      <c r="E673" s="11"/>
      <c r="F673" s="11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"/>
      <c r="C674" s="9"/>
      <c r="D674" s="9"/>
      <c r="E674" s="11"/>
      <c r="F674" s="11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"/>
      <c r="C675" s="9"/>
      <c r="D675" s="9"/>
      <c r="E675" s="11"/>
      <c r="F675" s="11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"/>
      <c r="C676" s="9"/>
      <c r="D676" s="9"/>
      <c r="E676" s="11"/>
      <c r="F676" s="11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"/>
      <c r="C677" s="9"/>
      <c r="D677" s="9"/>
      <c r="E677" s="11"/>
      <c r="F677" s="11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"/>
      <c r="C678" s="9"/>
      <c r="D678" s="9"/>
      <c r="E678" s="11"/>
      <c r="F678" s="11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"/>
      <c r="C679" s="9"/>
      <c r="D679" s="9"/>
      <c r="E679" s="11"/>
      <c r="F679" s="11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"/>
      <c r="C680" s="9"/>
      <c r="D680" s="9"/>
      <c r="E680" s="11"/>
      <c r="F680" s="11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"/>
      <c r="C681" s="9"/>
      <c r="D681" s="9"/>
      <c r="E681" s="11"/>
      <c r="F681" s="11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"/>
      <c r="C682" s="9"/>
      <c r="D682" s="9"/>
      <c r="E682" s="11"/>
      <c r="F682" s="11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"/>
      <c r="C683" s="9"/>
      <c r="D683" s="9"/>
      <c r="E683" s="11"/>
      <c r="F683" s="11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"/>
      <c r="C684" s="9"/>
      <c r="D684" s="9"/>
      <c r="E684" s="11"/>
      <c r="F684" s="11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"/>
      <c r="C685" s="9"/>
      <c r="D685" s="9"/>
      <c r="E685" s="11"/>
      <c r="F685" s="11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"/>
      <c r="C686" s="9"/>
      <c r="D686" s="9"/>
      <c r="E686" s="11"/>
      <c r="F686" s="11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"/>
      <c r="C687" s="9"/>
      <c r="D687" s="9"/>
      <c r="E687" s="11"/>
      <c r="F687" s="11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"/>
      <c r="C688" s="9"/>
      <c r="D688" s="9"/>
      <c r="E688" s="11"/>
      <c r="F688" s="11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"/>
      <c r="C689" s="9"/>
      <c r="D689" s="9"/>
      <c r="E689" s="11"/>
      <c r="F689" s="11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"/>
      <c r="C690" s="9"/>
      <c r="D690" s="9"/>
      <c r="E690" s="11"/>
      <c r="F690" s="11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"/>
      <c r="C691" s="9"/>
      <c r="D691" s="9"/>
      <c r="E691" s="11"/>
      <c r="F691" s="11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"/>
      <c r="C692" s="9"/>
      <c r="D692" s="9"/>
      <c r="E692" s="11"/>
      <c r="F692" s="11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"/>
      <c r="C693" s="9"/>
      <c r="D693" s="9"/>
      <c r="E693" s="11"/>
      <c r="F693" s="11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"/>
      <c r="C694" s="9"/>
      <c r="D694" s="9"/>
      <c r="E694" s="11"/>
      <c r="F694" s="11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"/>
      <c r="C695" s="9"/>
      <c r="D695" s="9"/>
      <c r="E695" s="11"/>
      <c r="F695" s="11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"/>
      <c r="C696" s="9"/>
      <c r="D696" s="9"/>
      <c r="E696" s="11"/>
      <c r="F696" s="11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"/>
      <c r="C697" s="9"/>
      <c r="D697" s="9"/>
      <c r="E697" s="11"/>
      <c r="F697" s="11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"/>
      <c r="C698" s="9"/>
      <c r="D698" s="9"/>
      <c r="E698" s="11"/>
      <c r="F698" s="11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"/>
      <c r="C699" s="9"/>
      <c r="D699" s="9"/>
      <c r="E699" s="11"/>
      <c r="F699" s="11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"/>
      <c r="C700" s="9"/>
      <c r="D700" s="9"/>
      <c r="E700" s="11"/>
      <c r="F700" s="11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"/>
      <c r="C701" s="9"/>
      <c r="D701" s="9"/>
      <c r="E701" s="11"/>
      <c r="F701" s="11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"/>
      <c r="C702" s="9"/>
      <c r="D702" s="9"/>
      <c r="E702" s="11"/>
      <c r="F702" s="11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"/>
      <c r="C703" s="9"/>
      <c r="D703" s="9"/>
      <c r="E703" s="11"/>
      <c r="F703" s="11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"/>
      <c r="C704" s="9"/>
      <c r="D704" s="9"/>
      <c r="E704" s="11"/>
      <c r="F704" s="11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"/>
      <c r="C705" s="9"/>
      <c r="D705" s="9"/>
      <c r="E705" s="11"/>
      <c r="F705" s="11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"/>
      <c r="C706" s="9"/>
      <c r="D706" s="9"/>
      <c r="E706" s="11"/>
      <c r="F706" s="11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"/>
      <c r="C707" s="9"/>
      <c r="D707" s="9"/>
      <c r="E707" s="11"/>
      <c r="F707" s="11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"/>
      <c r="C708" s="9"/>
      <c r="D708" s="9"/>
      <c r="E708" s="11"/>
      <c r="F708" s="11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"/>
      <c r="C709" s="9"/>
      <c r="D709" s="9"/>
      <c r="E709" s="11"/>
      <c r="F709" s="11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"/>
      <c r="C710" s="9"/>
      <c r="D710" s="9"/>
      <c r="E710" s="11"/>
      <c r="F710" s="11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"/>
      <c r="C711" s="9"/>
      <c r="D711" s="9"/>
      <c r="E711" s="11"/>
      <c r="F711" s="11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"/>
      <c r="C712" s="9"/>
      <c r="D712" s="9"/>
      <c r="E712" s="11"/>
      <c r="F712" s="11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"/>
      <c r="C713" s="9"/>
      <c r="D713" s="9"/>
      <c r="E713" s="11"/>
      <c r="F713" s="11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"/>
      <c r="C714" s="9"/>
      <c r="D714" s="9"/>
      <c r="E714" s="11"/>
      <c r="F714" s="11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"/>
      <c r="C715" s="9"/>
      <c r="D715" s="9"/>
      <c r="E715" s="11"/>
      <c r="F715" s="11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"/>
      <c r="C716" s="9"/>
      <c r="D716" s="9"/>
      <c r="E716" s="11"/>
      <c r="F716" s="11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"/>
      <c r="C717" s="9"/>
      <c r="D717" s="9"/>
      <c r="E717" s="11"/>
      <c r="F717" s="11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"/>
      <c r="C718" s="9"/>
      <c r="D718" s="9"/>
      <c r="E718" s="11"/>
      <c r="F718" s="11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"/>
      <c r="C719" s="9"/>
      <c r="D719" s="9"/>
      <c r="E719" s="11"/>
      <c r="F719" s="11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"/>
      <c r="C720" s="9"/>
      <c r="D720" s="9"/>
      <c r="E720" s="11"/>
      <c r="F720" s="11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"/>
      <c r="C721" s="9"/>
      <c r="D721" s="9"/>
      <c r="E721" s="11"/>
      <c r="F721" s="11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"/>
      <c r="C722" s="9"/>
      <c r="D722" s="9"/>
      <c r="E722" s="11"/>
      <c r="F722" s="11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"/>
      <c r="C723" s="9"/>
      <c r="D723" s="9"/>
      <c r="E723" s="11"/>
      <c r="F723" s="11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"/>
      <c r="C724" s="9"/>
      <c r="D724" s="9"/>
      <c r="E724" s="11"/>
      <c r="F724" s="11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"/>
      <c r="C725" s="9"/>
      <c r="D725" s="9"/>
      <c r="E725" s="11"/>
      <c r="F725" s="11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"/>
      <c r="C726" s="9"/>
      <c r="D726" s="9"/>
      <c r="E726" s="11"/>
      <c r="F726" s="11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"/>
      <c r="C727" s="9"/>
      <c r="D727" s="9"/>
      <c r="E727" s="11"/>
      <c r="F727" s="11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"/>
      <c r="C728" s="9"/>
      <c r="D728" s="9"/>
      <c r="E728" s="11"/>
      <c r="F728" s="11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"/>
      <c r="C729" s="9"/>
      <c r="D729" s="9"/>
      <c r="E729" s="11"/>
      <c r="F729" s="11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"/>
      <c r="C730" s="9"/>
      <c r="D730" s="9"/>
      <c r="E730" s="11"/>
      <c r="F730" s="11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"/>
      <c r="C731" s="9"/>
      <c r="D731" s="9"/>
      <c r="E731" s="11"/>
      <c r="F731" s="11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"/>
      <c r="C732" s="9"/>
      <c r="D732" s="9"/>
      <c r="E732" s="11"/>
      <c r="F732" s="11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"/>
      <c r="C733" s="9"/>
      <c r="D733" s="9"/>
      <c r="E733" s="11"/>
      <c r="F733" s="11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"/>
      <c r="C734" s="9"/>
      <c r="D734" s="9"/>
      <c r="E734" s="11"/>
      <c r="F734" s="11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"/>
      <c r="C735" s="9"/>
      <c r="D735" s="9"/>
      <c r="E735" s="11"/>
      <c r="F735" s="11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"/>
      <c r="C736" s="9"/>
      <c r="D736" s="9"/>
      <c r="E736" s="11"/>
      <c r="F736" s="11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"/>
      <c r="C737" s="9"/>
      <c r="D737" s="9"/>
      <c r="E737" s="11"/>
      <c r="F737" s="11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"/>
      <c r="C738" s="9"/>
      <c r="D738" s="9"/>
      <c r="E738" s="11"/>
      <c r="F738" s="11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"/>
      <c r="C739" s="9"/>
      <c r="D739" s="9"/>
      <c r="E739" s="11"/>
      <c r="F739" s="11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"/>
      <c r="C740" s="9"/>
      <c r="D740" s="9"/>
      <c r="E740" s="11"/>
      <c r="F740" s="11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"/>
      <c r="C741" s="9"/>
      <c r="D741" s="9"/>
      <c r="E741" s="11"/>
      <c r="F741" s="11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"/>
      <c r="C742" s="9"/>
      <c r="D742" s="9"/>
      <c r="E742" s="11"/>
      <c r="F742" s="11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"/>
      <c r="C743" s="9"/>
      <c r="D743" s="9"/>
      <c r="E743" s="11"/>
      <c r="F743" s="11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"/>
      <c r="C744" s="9"/>
      <c r="D744" s="9"/>
      <c r="E744" s="11"/>
      <c r="F744" s="11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"/>
      <c r="C745" s="9"/>
      <c r="D745" s="9"/>
      <c r="E745" s="11"/>
      <c r="F745" s="11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"/>
      <c r="C746" s="9"/>
      <c r="D746" s="9"/>
      <c r="E746" s="11"/>
      <c r="F746" s="11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"/>
      <c r="C747" s="9"/>
      <c r="D747" s="9"/>
      <c r="E747" s="11"/>
      <c r="F747" s="11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"/>
      <c r="C748" s="9"/>
      <c r="D748" s="9"/>
      <c r="E748" s="11"/>
      <c r="F748" s="11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"/>
      <c r="C749" s="9"/>
      <c r="D749" s="9"/>
      <c r="E749" s="11"/>
      <c r="F749" s="11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"/>
      <c r="C750" s="9"/>
      <c r="D750" s="9"/>
      <c r="E750" s="11"/>
      <c r="F750" s="11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"/>
      <c r="C751" s="9"/>
      <c r="D751" s="9"/>
      <c r="E751" s="11"/>
      <c r="F751" s="11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"/>
      <c r="C752" s="9"/>
      <c r="D752" s="9"/>
      <c r="E752" s="11"/>
      <c r="F752" s="11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"/>
      <c r="C753" s="9"/>
      <c r="D753" s="9"/>
      <c r="E753" s="11"/>
      <c r="F753" s="11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"/>
      <c r="C754" s="9"/>
      <c r="D754" s="9"/>
      <c r="E754" s="11"/>
      <c r="F754" s="11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"/>
      <c r="C755" s="9"/>
      <c r="D755" s="9"/>
      <c r="E755" s="11"/>
      <c r="F755" s="11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"/>
      <c r="C756" s="9"/>
      <c r="D756" s="9"/>
      <c r="E756" s="11"/>
      <c r="F756" s="11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"/>
      <c r="C757" s="9"/>
      <c r="D757" s="9"/>
      <c r="E757" s="11"/>
      <c r="F757" s="11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"/>
      <c r="C758" s="9"/>
      <c r="D758" s="9"/>
      <c r="E758" s="11"/>
      <c r="F758" s="11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"/>
      <c r="C759" s="9"/>
      <c r="D759" s="9"/>
      <c r="E759" s="11"/>
      <c r="F759" s="11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"/>
      <c r="C760" s="9"/>
      <c r="D760" s="9"/>
      <c r="E760" s="11"/>
      <c r="F760" s="11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"/>
      <c r="C761" s="9"/>
      <c r="D761" s="9"/>
      <c r="E761" s="11"/>
      <c r="F761" s="11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"/>
      <c r="C762" s="9"/>
      <c r="D762" s="9"/>
      <c r="E762" s="11"/>
      <c r="F762" s="11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"/>
      <c r="C763" s="9"/>
      <c r="D763" s="9"/>
      <c r="E763" s="11"/>
      <c r="F763" s="11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"/>
      <c r="C764" s="9"/>
      <c r="D764" s="9"/>
      <c r="E764" s="11"/>
      <c r="F764" s="11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"/>
      <c r="C765" s="9"/>
      <c r="D765" s="9"/>
      <c r="E765" s="11"/>
      <c r="F765" s="11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"/>
      <c r="C766" s="9"/>
      <c r="D766" s="9"/>
      <c r="E766" s="11"/>
      <c r="F766" s="11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"/>
      <c r="C767" s="9"/>
      <c r="D767" s="9"/>
      <c r="E767" s="11"/>
      <c r="F767" s="11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"/>
      <c r="C768" s="9"/>
      <c r="D768" s="9"/>
      <c r="E768" s="11"/>
      <c r="F768" s="11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"/>
      <c r="C769" s="9"/>
      <c r="D769" s="9"/>
      <c r="E769" s="11"/>
      <c r="F769" s="11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"/>
      <c r="C770" s="9"/>
      <c r="D770" s="9"/>
      <c r="E770" s="11"/>
      <c r="F770" s="11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"/>
      <c r="C771" s="9"/>
      <c r="D771" s="9"/>
      <c r="E771" s="11"/>
      <c r="F771" s="11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"/>
      <c r="C772" s="9"/>
      <c r="D772" s="9"/>
      <c r="E772" s="11"/>
      <c r="F772" s="11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"/>
      <c r="C773" s="9"/>
      <c r="D773" s="9"/>
      <c r="E773" s="11"/>
      <c r="F773" s="11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"/>
      <c r="C774" s="9"/>
      <c r="D774" s="9"/>
      <c r="E774" s="11"/>
      <c r="F774" s="11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"/>
      <c r="C775" s="9"/>
      <c r="D775" s="9"/>
      <c r="E775" s="11"/>
      <c r="F775" s="11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"/>
      <c r="C776" s="9"/>
      <c r="D776" s="9"/>
      <c r="E776" s="11"/>
      <c r="F776" s="11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"/>
      <c r="C777" s="9"/>
      <c r="D777" s="9"/>
      <c r="E777" s="11"/>
      <c r="F777" s="11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"/>
      <c r="C778" s="9"/>
      <c r="D778" s="9"/>
      <c r="E778" s="11"/>
      <c r="F778" s="11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"/>
      <c r="C779" s="9"/>
      <c r="D779" s="9"/>
      <c r="E779" s="11"/>
      <c r="F779" s="11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"/>
      <c r="C780" s="9"/>
      <c r="D780" s="9"/>
      <c r="E780" s="11"/>
      <c r="F780" s="11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"/>
      <c r="C781" s="9"/>
      <c r="D781" s="9"/>
      <c r="E781" s="11"/>
      <c r="F781" s="11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"/>
      <c r="C782" s="9"/>
      <c r="D782" s="9"/>
      <c r="E782" s="11"/>
      <c r="F782" s="11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"/>
      <c r="C783" s="9"/>
      <c r="D783" s="9"/>
      <c r="E783" s="11"/>
      <c r="F783" s="11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"/>
      <c r="C784" s="9"/>
      <c r="D784" s="9"/>
      <c r="E784" s="11"/>
      <c r="F784" s="11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"/>
      <c r="C785" s="9"/>
      <c r="D785" s="9"/>
      <c r="E785" s="11"/>
      <c r="F785" s="11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"/>
      <c r="C786" s="9"/>
      <c r="D786" s="9"/>
      <c r="E786" s="11"/>
      <c r="F786" s="11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"/>
      <c r="C787" s="9"/>
      <c r="D787" s="9"/>
      <c r="E787" s="11"/>
      <c r="F787" s="11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"/>
      <c r="C788" s="9"/>
      <c r="D788" s="9"/>
      <c r="E788" s="11"/>
      <c r="F788" s="11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"/>
      <c r="C789" s="9"/>
      <c r="D789" s="9"/>
      <c r="E789" s="11"/>
      <c r="F789" s="11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"/>
      <c r="C790" s="9"/>
      <c r="D790" s="9"/>
      <c r="E790" s="11"/>
      <c r="F790" s="11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"/>
      <c r="C791" s="9"/>
      <c r="D791" s="9"/>
      <c r="E791" s="11"/>
      <c r="F791" s="11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"/>
      <c r="C792" s="9"/>
      <c r="D792" s="9"/>
      <c r="E792" s="11"/>
      <c r="F792" s="11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"/>
      <c r="C793" s="9"/>
      <c r="D793" s="9"/>
      <c r="E793" s="11"/>
      <c r="F793" s="11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"/>
      <c r="C794" s="9"/>
      <c r="D794" s="9"/>
      <c r="E794" s="11"/>
      <c r="F794" s="11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"/>
      <c r="C795" s="9"/>
      <c r="D795" s="9"/>
      <c r="E795" s="11"/>
      <c r="F795" s="11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"/>
      <c r="C796" s="9"/>
      <c r="D796" s="9"/>
      <c r="E796" s="11"/>
      <c r="F796" s="11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"/>
      <c r="C797" s="9"/>
      <c r="D797" s="9"/>
      <c r="E797" s="11"/>
      <c r="F797" s="11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"/>
      <c r="C798" s="9"/>
      <c r="D798" s="9"/>
      <c r="E798" s="11"/>
      <c r="F798" s="11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"/>
      <c r="C799" s="9"/>
      <c r="D799" s="9"/>
      <c r="E799" s="11"/>
      <c r="F799" s="11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"/>
      <c r="C800" s="9"/>
      <c r="D800" s="9"/>
      <c r="E800" s="11"/>
      <c r="F800" s="11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"/>
      <c r="C801" s="9"/>
      <c r="D801" s="9"/>
      <c r="E801" s="11"/>
      <c r="F801" s="11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"/>
      <c r="C802" s="9"/>
      <c r="D802" s="9"/>
      <c r="E802" s="11"/>
      <c r="F802" s="11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"/>
      <c r="C803" s="9"/>
      <c r="D803" s="9"/>
      <c r="E803" s="11"/>
      <c r="F803" s="11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"/>
      <c r="C804" s="9"/>
      <c r="D804" s="9"/>
      <c r="E804" s="11"/>
      <c r="F804" s="11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"/>
      <c r="C805" s="9"/>
      <c r="D805" s="9"/>
      <c r="E805" s="11"/>
      <c r="F805" s="11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"/>
      <c r="C806" s="9"/>
      <c r="D806" s="9"/>
      <c r="E806" s="11"/>
      <c r="F806" s="11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"/>
      <c r="C807" s="9"/>
      <c r="D807" s="9"/>
      <c r="E807" s="11"/>
      <c r="F807" s="11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"/>
      <c r="C808" s="9"/>
      <c r="D808" s="9"/>
      <c r="E808" s="11"/>
      <c r="F808" s="11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"/>
      <c r="C809" s="9"/>
      <c r="D809" s="9"/>
      <c r="E809" s="11"/>
      <c r="F809" s="11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"/>
      <c r="C810" s="9"/>
      <c r="D810" s="9"/>
      <c r="E810" s="11"/>
      <c r="F810" s="11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"/>
      <c r="C811" s="9"/>
      <c r="D811" s="9"/>
      <c r="E811" s="11"/>
      <c r="F811" s="11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"/>
      <c r="C812" s="9"/>
      <c r="D812" s="9"/>
      <c r="E812" s="11"/>
      <c r="F812" s="11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"/>
      <c r="C813" s="9"/>
      <c r="D813" s="9"/>
      <c r="E813" s="11"/>
      <c r="F813" s="11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"/>
      <c r="C814" s="9"/>
      <c r="D814" s="9"/>
      <c r="E814" s="11"/>
      <c r="F814" s="11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"/>
      <c r="C815" s="9"/>
      <c r="D815" s="9"/>
      <c r="E815" s="11"/>
      <c r="F815" s="11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"/>
      <c r="C816" s="9"/>
      <c r="D816" s="9"/>
      <c r="E816" s="11"/>
      <c r="F816" s="11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"/>
      <c r="C817" s="9"/>
      <c r="D817" s="9"/>
      <c r="E817" s="11"/>
      <c r="F817" s="11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"/>
      <c r="C818" s="9"/>
      <c r="D818" s="9"/>
      <c r="E818" s="11"/>
      <c r="F818" s="11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"/>
      <c r="C819" s="9"/>
      <c r="D819" s="9"/>
      <c r="E819" s="11"/>
      <c r="F819" s="11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"/>
      <c r="C820" s="9"/>
      <c r="D820" s="9"/>
      <c r="E820" s="11"/>
      <c r="F820" s="11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"/>
      <c r="C821" s="9"/>
      <c r="D821" s="9"/>
      <c r="E821" s="11"/>
      <c r="F821" s="11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"/>
      <c r="C822" s="9"/>
      <c r="D822" s="9"/>
      <c r="E822" s="11"/>
      <c r="F822" s="11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"/>
      <c r="C823" s="9"/>
      <c r="D823" s="9"/>
      <c r="E823" s="11"/>
      <c r="F823" s="11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"/>
      <c r="C824" s="9"/>
      <c r="D824" s="9"/>
      <c r="E824" s="11"/>
      <c r="F824" s="11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"/>
      <c r="C825" s="9"/>
      <c r="D825" s="9"/>
      <c r="E825" s="11"/>
      <c r="F825" s="11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"/>
      <c r="C826" s="9"/>
      <c r="D826" s="9"/>
      <c r="E826" s="11"/>
      <c r="F826" s="11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"/>
      <c r="C827" s="9"/>
      <c r="D827" s="9"/>
      <c r="E827" s="11"/>
      <c r="F827" s="11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"/>
      <c r="C828" s="9"/>
      <c r="D828" s="9"/>
      <c r="E828" s="11"/>
      <c r="F828" s="11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"/>
      <c r="C829" s="9"/>
      <c r="D829" s="9"/>
      <c r="E829" s="11"/>
      <c r="F829" s="11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"/>
      <c r="C830" s="9"/>
      <c r="D830" s="9"/>
      <c r="E830" s="11"/>
      <c r="F830" s="11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"/>
      <c r="C831" s="9"/>
      <c r="D831" s="9"/>
      <c r="E831" s="11"/>
      <c r="F831" s="11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"/>
      <c r="C832" s="9"/>
      <c r="D832" s="9"/>
      <c r="E832" s="11"/>
      <c r="F832" s="11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"/>
      <c r="C833" s="9"/>
      <c r="D833" s="9"/>
      <c r="E833" s="11"/>
      <c r="F833" s="11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"/>
      <c r="C834" s="9"/>
      <c r="D834" s="9"/>
      <c r="E834" s="11"/>
      <c r="F834" s="11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"/>
      <c r="C835" s="9"/>
      <c r="D835" s="9"/>
      <c r="E835" s="11"/>
      <c r="F835" s="11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"/>
      <c r="C836" s="9"/>
      <c r="D836" s="9"/>
      <c r="E836" s="11"/>
      <c r="F836" s="11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"/>
      <c r="C837" s="9"/>
      <c r="D837" s="9"/>
      <c r="E837" s="11"/>
      <c r="F837" s="11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"/>
      <c r="C838" s="9"/>
      <c r="D838" s="9"/>
      <c r="E838" s="11"/>
      <c r="F838" s="11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"/>
      <c r="C839" s="9"/>
      <c r="D839" s="9"/>
      <c r="E839" s="11"/>
      <c r="F839" s="11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"/>
      <c r="C840" s="9"/>
      <c r="D840" s="9"/>
      <c r="E840" s="11"/>
      <c r="F840" s="11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"/>
      <c r="C841" s="9"/>
      <c r="D841" s="9"/>
      <c r="E841" s="11"/>
      <c r="F841" s="11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"/>
      <c r="C842" s="9"/>
      <c r="D842" s="9"/>
      <c r="E842" s="11"/>
      <c r="F842" s="11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"/>
      <c r="C843" s="9"/>
      <c r="D843" s="9"/>
      <c r="E843" s="11"/>
      <c r="F843" s="11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"/>
      <c r="C844" s="9"/>
      <c r="D844" s="9"/>
      <c r="E844" s="11"/>
      <c r="F844" s="11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"/>
      <c r="C845" s="9"/>
      <c r="D845" s="9"/>
      <c r="E845" s="11"/>
      <c r="F845" s="11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"/>
      <c r="C846" s="9"/>
      <c r="D846" s="9"/>
      <c r="E846" s="11"/>
      <c r="F846" s="11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"/>
      <c r="C847" s="9"/>
      <c r="D847" s="9"/>
      <c r="E847" s="11"/>
      <c r="F847" s="11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"/>
      <c r="C848" s="9"/>
      <c r="D848" s="9"/>
      <c r="E848" s="11"/>
      <c r="F848" s="11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"/>
      <c r="C849" s="9"/>
      <c r="D849" s="9"/>
      <c r="E849" s="11"/>
      <c r="F849" s="11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"/>
      <c r="C850" s="9"/>
      <c r="D850" s="9"/>
      <c r="E850" s="11"/>
      <c r="F850" s="11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"/>
      <c r="C851" s="9"/>
      <c r="D851" s="9"/>
      <c r="E851" s="11"/>
      <c r="F851" s="11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"/>
      <c r="C852" s="9"/>
      <c r="D852" s="9"/>
      <c r="E852" s="11"/>
      <c r="F852" s="11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"/>
      <c r="C853" s="9"/>
      <c r="D853" s="9"/>
      <c r="E853" s="11"/>
      <c r="F853" s="11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"/>
      <c r="C854" s="9"/>
      <c r="D854" s="9"/>
      <c r="E854" s="11"/>
      <c r="F854" s="11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"/>
      <c r="C855" s="9"/>
      <c r="D855" s="9"/>
      <c r="E855" s="11"/>
      <c r="F855" s="11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"/>
      <c r="C856" s="9"/>
      <c r="D856" s="9"/>
      <c r="E856" s="11"/>
      <c r="F856" s="11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"/>
      <c r="C857" s="9"/>
      <c r="D857" s="9"/>
      <c r="E857" s="11"/>
      <c r="F857" s="11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"/>
      <c r="C858" s="9"/>
      <c r="D858" s="9"/>
      <c r="E858" s="11"/>
      <c r="F858" s="11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"/>
      <c r="C859" s="9"/>
      <c r="D859" s="9"/>
      <c r="E859" s="11"/>
      <c r="F859" s="11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"/>
      <c r="C860" s="9"/>
      <c r="D860" s="9"/>
      <c r="E860" s="11"/>
      <c r="F860" s="11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"/>
      <c r="C861" s="9"/>
      <c r="D861" s="9"/>
      <c r="E861" s="11"/>
      <c r="F861" s="11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"/>
      <c r="C862" s="9"/>
      <c r="D862" s="9"/>
      <c r="E862" s="11"/>
      <c r="F862" s="11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"/>
      <c r="C863" s="9"/>
      <c r="D863" s="9"/>
      <c r="E863" s="11"/>
      <c r="F863" s="11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"/>
      <c r="C864" s="9"/>
      <c r="D864" s="9"/>
      <c r="E864" s="11"/>
      <c r="F864" s="11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"/>
      <c r="C865" s="9"/>
      <c r="D865" s="9"/>
      <c r="E865" s="11"/>
      <c r="F865" s="11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"/>
      <c r="C866" s="9"/>
      <c r="D866" s="9"/>
      <c r="E866" s="11"/>
      <c r="F866" s="11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"/>
      <c r="C867" s="9"/>
      <c r="D867" s="9"/>
      <c r="E867" s="11"/>
      <c r="F867" s="11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"/>
      <c r="C868" s="9"/>
      <c r="D868" s="9"/>
      <c r="E868" s="11"/>
      <c r="F868" s="11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"/>
      <c r="C869" s="9"/>
      <c r="D869" s="9"/>
      <c r="E869" s="11"/>
      <c r="F869" s="11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"/>
      <c r="C870" s="9"/>
      <c r="D870" s="9"/>
      <c r="E870" s="11"/>
      <c r="F870" s="11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"/>
      <c r="C871" s="9"/>
      <c r="D871" s="9"/>
      <c r="E871" s="11"/>
      <c r="F871" s="11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"/>
      <c r="C872" s="9"/>
      <c r="D872" s="9"/>
      <c r="E872" s="11"/>
      <c r="F872" s="11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"/>
      <c r="C873" s="9"/>
      <c r="D873" s="9"/>
      <c r="E873" s="11"/>
      <c r="F873" s="11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"/>
      <c r="C874" s="9"/>
      <c r="D874" s="9"/>
      <c r="E874" s="11"/>
      <c r="F874" s="11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"/>
      <c r="C875" s="9"/>
      <c r="D875" s="9"/>
      <c r="E875" s="11"/>
      <c r="F875" s="11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"/>
      <c r="C876" s="9"/>
      <c r="D876" s="9"/>
      <c r="E876" s="11"/>
      <c r="F876" s="11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"/>
      <c r="C877" s="9"/>
      <c r="D877" s="9"/>
      <c r="E877" s="11"/>
      <c r="F877" s="11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"/>
      <c r="C878" s="9"/>
      <c r="D878" s="9"/>
      <c r="E878" s="11"/>
      <c r="F878" s="11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"/>
      <c r="C879" s="9"/>
      <c r="D879" s="9"/>
      <c r="E879" s="11"/>
      <c r="F879" s="11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"/>
      <c r="C880" s="9"/>
      <c r="D880" s="9"/>
      <c r="E880" s="11"/>
      <c r="F880" s="11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"/>
      <c r="C881" s="9"/>
      <c r="D881" s="9"/>
      <c r="E881" s="11"/>
      <c r="F881" s="11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"/>
      <c r="C882" s="9"/>
      <c r="D882" s="9"/>
      <c r="E882" s="11"/>
      <c r="F882" s="11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"/>
      <c r="C883" s="9"/>
      <c r="D883" s="9"/>
      <c r="E883" s="11"/>
      <c r="F883" s="11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"/>
      <c r="C884" s="9"/>
      <c r="D884" s="9"/>
      <c r="E884" s="11"/>
      <c r="F884" s="11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"/>
      <c r="C885" s="9"/>
      <c r="D885" s="9"/>
      <c r="E885" s="11"/>
      <c r="F885" s="11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"/>
      <c r="C886" s="9"/>
      <c r="D886" s="9"/>
      <c r="E886" s="11"/>
      <c r="F886" s="11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"/>
      <c r="C887" s="9"/>
      <c r="D887" s="9"/>
      <c r="E887" s="11"/>
      <c r="F887" s="11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"/>
      <c r="C888" s="9"/>
      <c r="D888" s="9"/>
      <c r="E888" s="11"/>
      <c r="F888" s="11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"/>
      <c r="C889" s="9"/>
      <c r="D889" s="9"/>
      <c r="E889" s="11"/>
      <c r="F889" s="11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"/>
      <c r="C890" s="9"/>
      <c r="D890" s="9"/>
      <c r="E890" s="11"/>
      <c r="F890" s="11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"/>
      <c r="C891" s="9"/>
      <c r="D891" s="9"/>
      <c r="E891" s="11"/>
      <c r="F891" s="11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"/>
      <c r="C892" s="9"/>
      <c r="D892" s="9"/>
      <c r="E892" s="11"/>
      <c r="F892" s="11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"/>
      <c r="C893" s="9"/>
      <c r="D893" s="9"/>
      <c r="E893" s="11"/>
      <c r="F893" s="11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"/>
      <c r="C894" s="9"/>
      <c r="D894" s="9"/>
      <c r="E894" s="11"/>
      <c r="F894" s="11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"/>
      <c r="C895" s="9"/>
      <c r="D895" s="9"/>
      <c r="E895" s="11"/>
      <c r="F895" s="11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"/>
      <c r="C896" s="9"/>
      <c r="D896" s="9"/>
      <c r="E896" s="11"/>
      <c r="F896" s="11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"/>
      <c r="C897" s="9"/>
      <c r="D897" s="9"/>
      <c r="E897" s="11"/>
      <c r="F897" s="11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"/>
      <c r="C898" s="9"/>
      <c r="D898" s="9"/>
      <c r="E898" s="11"/>
      <c r="F898" s="11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"/>
      <c r="C899" s="9"/>
      <c r="D899" s="9"/>
      <c r="E899" s="11"/>
      <c r="F899" s="11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"/>
      <c r="C900" s="9"/>
      <c r="D900" s="9"/>
      <c r="E900" s="11"/>
      <c r="F900" s="11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"/>
      <c r="C901" s="9"/>
      <c r="D901" s="9"/>
      <c r="E901" s="11"/>
      <c r="F901" s="11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"/>
      <c r="C902" s="9"/>
      <c r="D902" s="9"/>
      <c r="E902" s="11"/>
      <c r="F902" s="11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"/>
      <c r="C903" s="9"/>
      <c r="D903" s="9"/>
      <c r="E903" s="11"/>
      <c r="F903" s="11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"/>
      <c r="C904" s="9"/>
      <c r="D904" s="9"/>
      <c r="E904" s="11"/>
      <c r="F904" s="11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"/>
      <c r="C905" s="9"/>
      <c r="D905" s="9"/>
      <c r="E905" s="11"/>
      <c r="F905" s="11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"/>
      <c r="C906" s="9"/>
      <c r="D906" s="9"/>
      <c r="E906" s="11"/>
      <c r="F906" s="11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"/>
      <c r="C907" s="9"/>
      <c r="D907" s="9"/>
      <c r="E907" s="11"/>
      <c r="F907" s="11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"/>
      <c r="C908" s="9"/>
      <c r="D908" s="9"/>
      <c r="E908" s="11"/>
      <c r="F908" s="11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"/>
      <c r="C909" s="9"/>
      <c r="D909" s="9"/>
      <c r="E909" s="11"/>
      <c r="F909" s="11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"/>
      <c r="C910" s="9"/>
      <c r="D910" s="9"/>
      <c r="E910" s="11"/>
      <c r="F910" s="11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"/>
      <c r="C911" s="9"/>
      <c r="D911" s="9"/>
      <c r="E911" s="11"/>
      <c r="F911" s="11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"/>
      <c r="C912" s="9"/>
      <c r="D912" s="9"/>
      <c r="E912" s="11"/>
      <c r="F912" s="11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"/>
      <c r="C913" s="9"/>
      <c r="D913" s="9"/>
      <c r="E913" s="11"/>
      <c r="F913" s="11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"/>
      <c r="C914" s="9"/>
      <c r="D914" s="9"/>
      <c r="E914" s="11"/>
      <c r="F914" s="11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"/>
      <c r="C915" s="9"/>
      <c r="D915" s="9"/>
      <c r="E915" s="11"/>
      <c r="F915" s="11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"/>
      <c r="C916" s="9"/>
      <c r="D916" s="9"/>
      <c r="E916" s="11"/>
      <c r="F916" s="11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"/>
      <c r="C917" s="9"/>
      <c r="D917" s="9"/>
      <c r="E917" s="11"/>
      <c r="F917" s="11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"/>
      <c r="C918" s="9"/>
      <c r="D918" s="9"/>
      <c r="E918" s="11"/>
      <c r="F918" s="11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"/>
      <c r="C919" s="9"/>
      <c r="D919" s="9"/>
      <c r="E919" s="11"/>
      <c r="F919" s="11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"/>
      <c r="C920" s="9"/>
      <c r="D920" s="9"/>
      <c r="E920" s="11"/>
      <c r="F920" s="11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"/>
      <c r="C921" s="9"/>
      <c r="D921" s="9"/>
      <c r="E921" s="11"/>
      <c r="F921" s="11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"/>
      <c r="C922" s="9"/>
      <c r="D922" s="9"/>
      <c r="E922" s="11"/>
      <c r="F922" s="11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"/>
      <c r="C923" s="9"/>
      <c r="D923" s="9"/>
      <c r="E923" s="11"/>
      <c r="F923" s="11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"/>
      <c r="C924" s="9"/>
      <c r="D924" s="9"/>
      <c r="E924" s="11"/>
      <c r="F924" s="11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"/>
      <c r="C925" s="9"/>
      <c r="D925" s="9"/>
      <c r="E925" s="11"/>
      <c r="F925" s="11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"/>
      <c r="C926" s="9"/>
      <c r="D926" s="9"/>
      <c r="E926" s="11"/>
      <c r="F926" s="11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"/>
      <c r="C927" s="9"/>
      <c r="D927" s="9"/>
      <c r="E927" s="11"/>
      <c r="F927" s="11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"/>
      <c r="C928" s="9"/>
      <c r="D928" s="9"/>
      <c r="E928" s="11"/>
      <c r="F928" s="11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"/>
      <c r="C929" s="9"/>
      <c r="D929" s="9"/>
      <c r="E929" s="11"/>
      <c r="F929" s="11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"/>
      <c r="C930" s="9"/>
      <c r="D930" s="9"/>
      <c r="E930" s="11"/>
      <c r="F930" s="11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"/>
      <c r="C931" s="9"/>
      <c r="D931" s="9"/>
      <c r="E931" s="11"/>
      <c r="F931" s="11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"/>
      <c r="C932" s="9"/>
      <c r="D932" s="9"/>
      <c r="E932" s="11"/>
      <c r="F932" s="11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"/>
      <c r="C933" s="9"/>
      <c r="D933" s="9"/>
      <c r="E933" s="11"/>
      <c r="F933" s="11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"/>
      <c r="C934" s="9"/>
      <c r="D934" s="9"/>
      <c r="E934" s="11"/>
      <c r="F934" s="11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"/>
      <c r="C935" s="9"/>
      <c r="D935" s="9"/>
      <c r="E935" s="11"/>
      <c r="F935" s="11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"/>
      <c r="C936" s="9"/>
      <c r="D936" s="9"/>
      <c r="E936" s="11"/>
      <c r="F936" s="11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"/>
      <c r="C937" s="9"/>
      <c r="D937" s="9"/>
      <c r="E937" s="11"/>
      <c r="F937" s="11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"/>
      <c r="C938" s="9"/>
      <c r="D938" s="9"/>
      <c r="E938" s="11"/>
      <c r="F938" s="11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"/>
      <c r="C939" s="9"/>
      <c r="D939" s="9"/>
      <c r="E939" s="11"/>
      <c r="F939" s="11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"/>
      <c r="C940" s="9"/>
      <c r="D940" s="9"/>
      <c r="E940" s="11"/>
      <c r="F940" s="11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"/>
      <c r="C941" s="9"/>
      <c r="D941" s="9"/>
      <c r="E941" s="11"/>
      <c r="F941" s="11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"/>
      <c r="C942" s="9"/>
      <c r="D942" s="9"/>
      <c r="E942" s="11"/>
      <c r="F942" s="11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"/>
      <c r="C943" s="9"/>
      <c r="D943" s="9"/>
      <c r="E943" s="11"/>
      <c r="F943" s="11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"/>
      <c r="C944" s="9"/>
      <c r="D944" s="9"/>
      <c r="E944" s="11"/>
      <c r="F944" s="11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"/>
      <c r="C945" s="9"/>
      <c r="D945" s="9"/>
      <c r="E945" s="11"/>
      <c r="F945" s="11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"/>
      <c r="C946" s="9"/>
      <c r="D946" s="9"/>
      <c r="E946" s="11"/>
      <c r="F946" s="11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"/>
      <c r="C947" s="9"/>
      <c r="D947" s="9"/>
      <c r="E947" s="11"/>
      <c r="F947" s="11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"/>
      <c r="C948" s="9"/>
      <c r="D948" s="9"/>
      <c r="E948" s="11"/>
      <c r="F948" s="11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"/>
      <c r="C949" s="9"/>
      <c r="D949" s="9"/>
      <c r="E949" s="11"/>
      <c r="F949" s="11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"/>
      <c r="C950" s="9"/>
      <c r="D950" s="9"/>
      <c r="E950" s="11"/>
      <c r="F950" s="11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"/>
      <c r="C951" s="9"/>
      <c r="D951" s="9"/>
      <c r="E951" s="11"/>
      <c r="F951" s="11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"/>
      <c r="C952" s="9"/>
      <c r="D952" s="9"/>
      <c r="E952" s="11"/>
      <c r="F952" s="11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"/>
      <c r="C953" s="9"/>
      <c r="D953" s="9"/>
      <c r="E953" s="11"/>
      <c r="F953" s="11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"/>
      <c r="C954" s="9"/>
      <c r="D954" s="9"/>
      <c r="E954" s="11"/>
      <c r="F954" s="11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"/>
      <c r="C955" s="9"/>
      <c r="D955" s="9"/>
      <c r="E955" s="11"/>
      <c r="F955" s="11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"/>
      <c r="C956" s="9"/>
      <c r="D956" s="9"/>
      <c r="E956" s="11"/>
      <c r="F956" s="11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"/>
      <c r="C957" s="9"/>
      <c r="D957" s="9"/>
      <c r="E957" s="11"/>
      <c r="F957" s="11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"/>
      <c r="C958" s="9"/>
      <c r="D958" s="9"/>
      <c r="E958" s="11"/>
      <c r="F958" s="11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"/>
      <c r="C959" s="9"/>
      <c r="D959" s="9"/>
      <c r="E959" s="11"/>
      <c r="F959" s="11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"/>
      <c r="C960" s="9"/>
      <c r="D960" s="9"/>
      <c r="E960" s="11"/>
      <c r="F960" s="11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"/>
      <c r="C961" s="9"/>
      <c r="D961" s="9"/>
      <c r="E961" s="11"/>
      <c r="F961" s="11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"/>
      <c r="C962" s="9"/>
      <c r="D962" s="9"/>
      <c r="E962" s="11"/>
      <c r="F962" s="11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"/>
      <c r="C963" s="9"/>
      <c r="D963" s="9"/>
      <c r="E963" s="11"/>
      <c r="F963" s="11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"/>
      <c r="C964" s="9"/>
      <c r="D964" s="9"/>
      <c r="E964" s="11"/>
      <c r="F964" s="11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"/>
      <c r="C965" s="9"/>
      <c r="D965" s="9"/>
      <c r="E965" s="11"/>
      <c r="F965" s="11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"/>
      <c r="C966" s="9"/>
      <c r="D966" s="9"/>
      <c r="E966" s="11"/>
      <c r="F966" s="11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"/>
      <c r="C967" s="9"/>
      <c r="D967" s="9"/>
      <c r="E967" s="11"/>
      <c r="F967" s="11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"/>
      <c r="C968" s="9"/>
      <c r="D968" s="9"/>
      <c r="E968" s="11"/>
      <c r="F968" s="11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"/>
      <c r="C969" s="9"/>
      <c r="D969" s="9"/>
      <c r="E969" s="11"/>
      <c r="F969" s="11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"/>
      <c r="C970" s="9"/>
      <c r="D970" s="9"/>
      <c r="E970" s="11"/>
      <c r="F970" s="11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"/>
      <c r="C971" s="9"/>
      <c r="D971" s="9"/>
      <c r="E971" s="11"/>
      <c r="F971" s="11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"/>
      <c r="C972" s="9"/>
      <c r="D972" s="9"/>
      <c r="E972" s="11"/>
      <c r="F972" s="11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"/>
      <c r="C973" s="9"/>
      <c r="D973" s="9"/>
      <c r="E973" s="11"/>
      <c r="F973" s="11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"/>
      <c r="C974" s="9"/>
      <c r="D974" s="9"/>
      <c r="E974" s="11"/>
      <c r="F974" s="11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"/>
      <c r="C975" s="9"/>
      <c r="D975" s="9"/>
      <c r="E975" s="11"/>
      <c r="F975" s="11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"/>
      <c r="C976" s="9"/>
      <c r="D976" s="9"/>
      <c r="E976" s="11"/>
      <c r="F976" s="11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"/>
      <c r="C977" s="9"/>
      <c r="D977" s="9"/>
      <c r="E977" s="11"/>
      <c r="F977" s="11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"/>
      <c r="C978" s="9"/>
      <c r="D978" s="9"/>
      <c r="E978" s="11"/>
      <c r="F978" s="11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"/>
      <c r="C979" s="9"/>
      <c r="D979" s="9"/>
      <c r="E979" s="11"/>
      <c r="F979" s="11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"/>
      <c r="C980" s="9"/>
      <c r="D980" s="9"/>
      <c r="E980" s="11"/>
      <c r="F980" s="11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"/>
      <c r="C981" s="9"/>
      <c r="D981" s="9"/>
      <c r="E981" s="11"/>
      <c r="F981" s="11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"/>
      <c r="C982" s="9"/>
      <c r="D982" s="9"/>
      <c r="E982" s="11"/>
      <c r="F982" s="11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"/>
      <c r="C983" s="9"/>
      <c r="D983" s="9"/>
      <c r="E983" s="11"/>
      <c r="F983" s="11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"/>
      <c r="C984" s="9"/>
      <c r="D984" s="9"/>
      <c r="E984" s="11"/>
      <c r="F984" s="11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"/>
      <c r="C985" s="9"/>
      <c r="D985" s="9"/>
      <c r="E985" s="11"/>
      <c r="F985" s="11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"/>
      <c r="C986" s="9"/>
      <c r="D986" s="9"/>
      <c r="E986" s="11"/>
      <c r="F986" s="11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"/>
      <c r="C987" s="9"/>
      <c r="D987" s="9"/>
      <c r="E987" s="11"/>
      <c r="F987" s="11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"/>
      <c r="C988" s="9"/>
      <c r="D988" s="9"/>
      <c r="E988" s="11"/>
      <c r="F988" s="11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"/>
      <c r="C989" s="9"/>
      <c r="D989" s="9"/>
      <c r="E989" s="11"/>
      <c r="F989" s="11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"/>
      <c r="C990" s="9"/>
      <c r="D990" s="9"/>
      <c r="E990" s="11"/>
      <c r="F990" s="11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"/>
      <c r="C991" s="9"/>
      <c r="D991" s="9"/>
      <c r="E991" s="11"/>
      <c r="F991" s="11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9"/>
      <c r="C992" s="9"/>
      <c r="D992" s="9"/>
      <c r="E992" s="11"/>
      <c r="F992" s="11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9"/>
      <c r="C993" s="9"/>
      <c r="D993" s="9"/>
      <c r="E993" s="11"/>
      <c r="F993" s="11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9"/>
      <c r="C994" s="9"/>
      <c r="D994" s="9"/>
      <c r="E994" s="11"/>
      <c r="F994" s="11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9"/>
      <c r="C995" s="9"/>
      <c r="D995" s="9"/>
      <c r="E995" s="11"/>
      <c r="F995" s="11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9"/>
      <c r="C996" s="9"/>
      <c r="D996" s="9"/>
      <c r="E996" s="11"/>
      <c r="F996" s="11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9"/>
      <c r="C997" s="9"/>
      <c r="D997" s="9"/>
      <c r="E997" s="11"/>
      <c r="F997" s="11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9"/>
      <c r="C998" s="9"/>
      <c r="D998" s="9"/>
      <c r="E998" s="11"/>
      <c r="F998" s="11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9"/>
      <c r="C999" s="9"/>
      <c r="D999" s="9"/>
      <c r="E999" s="11"/>
      <c r="F999" s="11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9"/>
      <c r="C1000" s="9"/>
      <c r="D1000" s="9"/>
      <c r="E1000" s="11"/>
      <c r="F1000" s="11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31:E31"/>
    <mergeCell ref="C34:D34"/>
    <mergeCell ref="B1:G1"/>
    <mergeCell ref="B2:G2"/>
    <mergeCell ref="B3:G3"/>
    <mergeCell ref="B5:D5"/>
    <mergeCell ref="C7:C15"/>
    <mergeCell ref="C16:C24"/>
    <mergeCell ref="C25:C30"/>
  </mergeCells>
  <printOptions/>
  <pageMargins bottom="0.25" footer="0.0" header="0.0" left="0.7" right="0.2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4.71"/>
    <col customWidth="1" min="3" max="3" width="7.71"/>
    <col customWidth="1" min="4" max="4" width="28.0"/>
    <col customWidth="1" min="5" max="5" width="15.0"/>
    <col customWidth="1" min="6" max="6" width="17.14"/>
    <col customWidth="1" min="7" max="7" width="21.57"/>
    <col customWidth="1" min="8" max="26" width="8.71"/>
  </cols>
  <sheetData>
    <row r="1" ht="21.0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471</v>
      </c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/>
      <c r="C4" s="9"/>
      <c r="D4" s="9"/>
      <c r="E4" s="11"/>
      <c r="F4" s="11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63" t="s">
        <v>462</v>
      </c>
      <c r="C5" s="264"/>
      <c r="D5" s="265"/>
      <c r="E5" s="11"/>
      <c r="F5" s="11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9"/>
      <c r="B6" s="266" t="s">
        <v>8</v>
      </c>
      <c r="C6" s="267" t="s">
        <v>15</v>
      </c>
      <c r="D6" s="267" t="s">
        <v>17</v>
      </c>
      <c r="E6" s="267" t="s">
        <v>18</v>
      </c>
      <c r="F6" s="68" t="s">
        <v>22</v>
      </c>
      <c r="G6" s="68" t="s">
        <v>14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9"/>
      <c r="B7" s="268">
        <v>1.0</v>
      </c>
      <c r="C7" s="269" t="s">
        <v>466</v>
      </c>
      <c r="D7" s="70" t="s">
        <v>23</v>
      </c>
      <c r="E7" s="71" t="s">
        <v>89</v>
      </c>
      <c r="F7" s="73" t="s">
        <v>25</v>
      </c>
      <c r="G7" s="9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9"/>
      <c r="B8" s="268">
        <v>2.0</v>
      </c>
      <c r="C8" s="41"/>
      <c r="D8" s="113" t="s">
        <v>312</v>
      </c>
      <c r="E8" s="115" t="s">
        <v>31</v>
      </c>
      <c r="F8" s="120" t="s">
        <v>107</v>
      </c>
      <c r="G8" s="13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9"/>
      <c r="B9" s="268">
        <v>3.0</v>
      </c>
      <c r="C9" s="41"/>
      <c r="D9" s="113" t="s">
        <v>168</v>
      </c>
      <c r="E9" s="115" t="s">
        <v>43</v>
      </c>
      <c r="F9" s="120" t="s">
        <v>198</v>
      </c>
      <c r="G9" s="13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9"/>
      <c r="B10" s="268">
        <v>4.0</v>
      </c>
      <c r="C10" s="41"/>
      <c r="D10" s="113" t="s">
        <v>38</v>
      </c>
      <c r="E10" s="115" t="s">
        <v>43</v>
      </c>
      <c r="F10" s="120" t="s">
        <v>40</v>
      </c>
      <c r="G10" s="13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"/>
      <c r="B11" s="268">
        <v>5.0</v>
      </c>
      <c r="C11" s="41"/>
      <c r="D11" s="113" t="s">
        <v>330</v>
      </c>
      <c r="E11" s="115" t="s">
        <v>43</v>
      </c>
      <c r="F11" s="120" t="s">
        <v>178</v>
      </c>
      <c r="G11" s="13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268">
        <v>6.0</v>
      </c>
      <c r="C12" s="41"/>
      <c r="D12" s="113" t="s">
        <v>112</v>
      </c>
      <c r="E12" s="115" t="s">
        <v>54</v>
      </c>
      <c r="F12" s="120" t="s">
        <v>113</v>
      </c>
      <c r="G12" s="1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268">
        <v>7.0</v>
      </c>
      <c r="C13" s="41"/>
      <c r="D13" s="134" t="s">
        <v>50</v>
      </c>
      <c r="E13" s="115" t="s">
        <v>54</v>
      </c>
      <c r="F13" s="120" t="s">
        <v>51</v>
      </c>
      <c r="G13" s="13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268">
        <v>8.0</v>
      </c>
      <c r="C14" s="41"/>
      <c r="D14" s="113" t="s">
        <v>53</v>
      </c>
      <c r="E14" s="115" t="s">
        <v>54</v>
      </c>
      <c r="F14" s="120" t="s">
        <v>55</v>
      </c>
      <c r="G14" s="13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68">
        <v>9.0</v>
      </c>
      <c r="C15" s="41"/>
      <c r="D15" s="113" t="s">
        <v>184</v>
      </c>
      <c r="E15" s="115" t="s">
        <v>58</v>
      </c>
      <c r="F15" s="120" t="s">
        <v>186</v>
      </c>
      <c r="G15" s="13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68">
        <v>10.0</v>
      </c>
      <c r="C16" s="41"/>
      <c r="D16" s="113" t="s">
        <v>122</v>
      </c>
      <c r="E16" s="115" t="s">
        <v>58</v>
      </c>
      <c r="F16" s="120" t="s">
        <v>123</v>
      </c>
      <c r="G16" s="13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68">
        <v>11.0</v>
      </c>
      <c r="C17" s="41"/>
      <c r="D17" s="134" t="s">
        <v>128</v>
      </c>
      <c r="E17" s="145" t="s">
        <v>104</v>
      </c>
      <c r="F17" s="120" t="s">
        <v>129</v>
      </c>
      <c r="G17" s="13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268">
        <v>12.0</v>
      </c>
      <c r="C18" s="41"/>
      <c r="D18" s="145" t="s">
        <v>191</v>
      </c>
      <c r="E18" s="145" t="s">
        <v>104</v>
      </c>
      <c r="F18" s="120" t="s">
        <v>192</v>
      </c>
      <c r="G18" s="13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268">
        <v>13.0</v>
      </c>
      <c r="C19" s="41"/>
      <c r="D19" s="113" t="s">
        <v>290</v>
      </c>
      <c r="E19" s="145" t="s">
        <v>104</v>
      </c>
      <c r="F19" s="120" t="s">
        <v>291</v>
      </c>
      <c r="G19" s="1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268">
        <v>14.0</v>
      </c>
      <c r="C20" s="41"/>
      <c r="D20" s="243" t="s">
        <v>183</v>
      </c>
      <c r="E20" s="145" t="s">
        <v>104</v>
      </c>
      <c r="F20" s="175" t="s">
        <v>185</v>
      </c>
      <c r="G20" s="2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268">
        <v>15.0</v>
      </c>
      <c r="C21" s="41"/>
      <c r="D21" s="113" t="s">
        <v>324</v>
      </c>
      <c r="E21" s="145" t="s">
        <v>104</v>
      </c>
      <c r="F21" s="120" t="s">
        <v>325</v>
      </c>
      <c r="G21" s="13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68">
        <v>16.0</v>
      </c>
      <c r="C22" s="41"/>
      <c r="D22" s="134" t="s">
        <v>64</v>
      </c>
      <c r="E22" s="115" t="s">
        <v>71</v>
      </c>
      <c r="F22" s="120" t="s">
        <v>472</v>
      </c>
      <c r="G22" s="13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68">
        <v>17.0</v>
      </c>
      <c r="C23" s="41"/>
      <c r="D23" s="113" t="s">
        <v>67</v>
      </c>
      <c r="E23" s="115" t="s">
        <v>71</v>
      </c>
      <c r="F23" s="120" t="s">
        <v>473</v>
      </c>
      <c r="G23" s="13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68">
        <v>18.0</v>
      </c>
      <c r="C24" s="41"/>
      <c r="D24" s="113" t="s">
        <v>217</v>
      </c>
      <c r="E24" s="115" t="s">
        <v>71</v>
      </c>
      <c r="F24" s="120" t="s">
        <v>383</v>
      </c>
      <c r="G24" s="13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268">
        <v>19.0</v>
      </c>
      <c r="C25" s="41"/>
      <c r="D25" s="145" t="s">
        <v>145</v>
      </c>
      <c r="E25" s="115" t="s">
        <v>71</v>
      </c>
      <c r="F25" s="120" t="s">
        <v>251</v>
      </c>
      <c r="G25" s="13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68">
        <v>20.0</v>
      </c>
      <c r="C26" s="271"/>
      <c r="D26" s="113" t="s">
        <v>474</v>
      </c>
      <c r="E26" s="115" t="s">
        <v>71</v>
      </c>
      <c r="F26" s="120" t="s">
        <v>475</v>
      </c>
      <c r="G26" s="13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268">
        <v>21.0</v>
      </c>
      <c r="C27" s="230" t="s">
        <v>468</v>
      </c>
      <c r="D27" s="71" t="s">
        <v>469</v>
      </c>
      <c r="E27" s="71" t="s">
        <v>43</v>
      </c>
      <c r="F27" s="73" t="s">
        <v>476</v>
      </c>
      <c r="G27" s="9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68">
        <v>22.0</v>
      </c>
      <c r="C28" s="41"/>
      <c r="D28" s="289" t="s">
        <v>42</v>
      </c>
      <c r="E28" s="115" t="s">
        <v>43</v>
      </c>
      <c r="F28" s="120" t="s">
        <v>44</v>
      </c>
      <c r="G28" s="13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8">
        <v>23.0</v>
      </c>
      <c r="C29" s="41"/>
      <c r="D29" s="289" t="s">
        <v>46</v>
      </c>
      <c r="E29" s="115" t="s">
        <v>54</v>
      </c>
      <c r="F29" s="120" t="s">
        <v>477</v>
      </c>
      <c r="G29" s="13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68">
        <v>24.0</v>
      </c>
      <c r="C30" s="41"/>
      <c r="D30" s="113" t="s">
        <v>100</v>
      </c>
      <c r="E30" s="115" t="s">
        <v>58</v>
      </c>
      <c r="F30" s="120" t="s">
        <v>478</v>
      </c>
      <c r="G30" s="13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68">
        <v>25.0</v>
      </c>
      <c r="C31" s="41"/>
      <c r="D31" s="113" t="s">
        <v>262</v>
      </c>
      <c r="E31" s="115" t="s">
        <v>58</v>
      </c>
      <c r="F31" s="120" t="s">
        <v>479</v>
      </c>
      <c r="G31" s="13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68">
        <v>26.0</v>
      </c>
      <c r="C32" s="41"/>
      <c r="D32" s="113" t="s">
        <v>346</v>
      </c>
      <c r="E32" s="115" t="s">
        <v>58</v>
      </c>
      <c r="F32" s="120" t="s">
        <v>347</v>
      </c>
      <c r="G32" s="13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68">
        <v>27.0</v>
      </c>
      <c r="C33" s="41"/>
      <c r="D33" s="134" t="s">
        <v>194</v>
      </c>
      <c r="E33" s="145" t="s">
        <v>104</v>
      </c>
      <c r="F33" s="120" t="s">
        <v>195</v>
      </c>
      <c r="G33" s="13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268">
        <v>28.0</v>
      </c>
      <c r="C34" s="41"/>
      <c r="D34" s="134" t="s">
        <v>206</v>
      </c>
      <c r="E34" s="145" t="s">
        <v>104</v>
      </c>
      <c r="F34" s="120" t="s">
        <v>207</v>
      </c>
      <c r="G34" s="13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268">
        <v>29.0</v>
      </c>
      <c r="C35" s="41"/>
      <c r="D35" s="113" t="s">
        <v>304</v>
      </c>
      <c r="E35" s="145" t="s">
        <v>104</v>
      </c>
      <c r="F35" s="120" t="s">
        <v>305</v>
      </c>
      <c r="G35" s="13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68">
        <v>30.0</v>
      </c>
      <c r="C36" s="41"/>
      <c r="D36" s="113" t="s">
        <v>349</v>
      </c>
      <c r="E36" s="145" t="s">
        <v>104</v>
      </c>
      <c r="F36" s="120" t="s">
        <v>350</v>
      </c>
      <c r="G36" s="13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268">
        <v>31.0</v>
      </c>
      <c r="C37" s="41"/>
      <c r="D37" s="113" t="s">
        <v>211</v>
      </c>
      <c r="E37" s="115" t="s">
        <v>71</v>
      </c>
      <c r="F37" s="120" t="s">
        <v>212</v>
      </c>
      <c r="G37" s="13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268">
        <v>32.0</v>
      </c>
      <c r="C38" s="41"/>
      <c r="D38" s="113" t="s">
        <v>220</v>
      </c>
      <c r="E38" s="115" t="s">
        <v>71</v>
      </c>
      <c r="F38" s="120" t="s">
        <v>221</v>
      </c>
      <c r="G38" s="13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68">
        <v>33.0</v>
      </c>
      <c r="C39" s="41"/>
      <c r="D39" s="113" t="s">
        <v>224</v>
      </c>
      <c r="E39" s="115" t="s">
        <v>71</v>
      </c>
      <c r="F39" s="120" t="s">
        <v>225</v>
      </c>
      <c r="G39" s="1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68">
        <v>34.0</v>
      </c>
      <c r="C40" s="41"/>
      <c r="D40" s="113" t="s">
        <v>70</v>
      </c>
      <c r="E40" s="115" t="s">
        <v>71</v>
      </c>
      <c r="F40" s="120" t="s">
        <v>72</v>
      </c>
      <c r="G40" s="13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268">
        <v>35.0</v>
      </c>
      <c r="C41" s="41"/>
      <c r="D41" s="145" t="s">
        <v>74</v>
      </c>
      <c r="E41" s="115" t="s">
        <v>71</v>
      </c>
      <c r="F41" s="120" t="s">
        <v>75</v>
      </c>
      <c r="G41" s="13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268">
        <v>36.0</v>
      </c>
      <c r="C42" s="41"/>
      <c r="D42" s="113" t="s">
        <v>244</v>
      </c>
      <c r="E42" s="115" t="s">
        <v>71</v>
      </c>
      <c r="F42" s="120" t="s">
        <v>138</v>
      </c>
      <c r="G42" s="13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68">
        <v>37.0</v>
      </c>
      <c r="C43" s="41"/>
      <c r="D43" s="113" t="s">
        <v>268</v>
      </c>
      <c r="E43" s="115" t="s">
        <v>71</v>
      </c>
      <c r="F43" s="120" t="s">
        <v>269</v>
      </c>
      <c r="G43" s="13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268">
        <v>38.0</v>
      </c>
      <c r="C44" s="41"/>
      <c r="D44" s="113" t="s">
        <v>339</v>
      </c>
      <c r="E44" s="145" t="s">
        <v>71</v>
      </c>
      <c r="F44" s="120" t="s">
        <v>340</v>
      </c>
      <c r="G44" s="13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268">
        <v>39.0</v>
      </c>
      <c r="C45" s="41"/>
      <c r="D45" s="113" t="s">
        <v>352</v>
      </c>
      <c r="E45" s="145" t="s">
        <v>71</v>
      </c>
      <c r="F45" s="120" t="s">
        <v>353</v>
      </c>
      <c r="G45" s="13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68">
        <v>40.0</v>
      </c>
      <c r="C46" s="65"/>
      <c r="D46" s="113" t="s">
        <v>355</v>
      </c>
      <c r="E46" s="145" t="s">
        <v>71</v>
      </c>
      <c r="F46" s="120" t="s">
        <v>356</v>
      </c>
      <c r="G46" s="13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68">
        <v>41.0</v>
      </c>
      <c r="C47" s="230" t="s">
        <v>258</v>
      </c>
      <c r="D47" s="233" t="s">
        <v>96</v>
      </c>
      <c r="E47" s="287" t="s">
        <v>418</v>
      </c>
      <c r="F47" s="290" t="s">
        <v>260</v>
      </c>
      <c r="G47" s="28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68">
        <v>42.0</v>
      </c>
      <c r="C48" s="41"/>
      <c r="D48" s="113" t="s">
        <v>420</v>
      </c>
      <c r="E48" s="115" t="s">
        <v>117</v>
      </c>
      <c r="F48" s="120" t="s">
        <v>421</v>
      </c>
      <c r="G48" s="1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68">
        <v>43.0</v>
      </c>
      <c r="C49" s="41"/>
      <c r="D49" s="113" t="s">
        <v>103</v>
      </c>
      <c r="E49" s="115" t="s">
        <v>271</v>
      </c>
      <c r="F49" s="120" t="s">
        <v>105</v>
      </c>
      <c r="G49" s="13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68">
        <v>44.0</v>
      </c>
      <c r="C50" s="41"/>
      <c r="D50" s="113" t="s">
        <v>287</v>
      </c>
      <c r="E50" s="115" t="s">
        <v>288</v>
      </c>
      <c r="F50" s="137"/>
      <c r="G50" s="13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68">
        <v>45.0</v>
      </c>
      <c r="C51" s="41"/>
      <c r="D51" s="113" t="s">
        <v>430</v>
      </c>
      <c r="E51" s="115" t="s">
        <v>295</v>
      </c>
      <c r="F51" s="137"/>
      <c r="G51" s="13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68">
        <v>46.0</v>
      </c>
      <c r="C52" s="41"/>
      <c r="D52" s="113" t="s">
        <v>294</v>
      </c>
      <c r="E52" s="115" t="s">
        <v>295</v>
      </c>
      <c r="F52" s="137"/>
      <c r="G52" s="13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68">
        <v>47.0</v>
      </c>
      <c r="C53" s="65"/>
      <c r="D53" s="113" t="s">
        <v>300</v>
      </c>
      <c r="E53" s="115" t="s">
        <v>301</v>
      </c>
      <c r="F53" s="137"/>
      <c r="G53" s="13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8">
        <v>48.0</v>
      </c>
      <c r="C54" s="291" t="s">
        <v>437</v>
      </c>
      <c r="D54" s="113" t="s">
        <v>436</v>
      </c>
      <c r="E54" s="145" t="s">
        <v>104</v>
      </c>
      <c r="F54" s="212"/>
      <c r="G54" s="1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68">
        <v>49.0</v>
      </c>
      <c r="C55" s="65"/>
      <c r="D55" s="113" t="s">
        <v>442</v>
      </c>
      <c r="E55" s="145" t="s">
        <v>71</v>
      </c>
      <c r="F55" s="212"/>
      <c r="G55" s="1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66.0" customHeight="1">
      <c r="A56" s="1"/>
      <c r="B56" s="9"/>
      <c r="C56" s="9"/>
      <c r="D56" s="9"/>
      <c r="E56" s="11"/>
      <c r="F56" s="1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/>
      <c r="C57" s="9"/>
      <c r="D57" s="9"/>
      <c r="E57" s="11"/>
      <c r="F57" s="1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126"/>
      <c r="D58" s="4"/>
      <c r="E58" s="11"/>
      <c r="F58" s="1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"/>
      <c r="C59" s="9"/>
      <c r="D59" s="9"/>
      <c r="E59" s="11"/>
      <c r="F59" s="1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/>
      <c r="C60" s="9"/>
      <c r="D60" s="9"/>
      <c r="E60" s="11"/>
      <c r="F60" s="1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/>
      <c r="C61" s="9"/>
      <c r="D61" s="9"/>
      <c r="E61" s="11"/>
      <c r="F61" s="1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9"/>
      <c r="E62" s="11"/>
      <c r="F62" s="1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/>
      <c r="C63" s="9"/>
      <c r="D63" s="9"/>
      <c r="E63" s="11"/>
      <c r="F63" s="1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/>
      <c r="C64" s="9"/>
      <c r="D64" s="9"/>
      <c r="E64" s="11"/>
      <c r="F64" s="1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/>
      <c r="C65" s="9"/>
      <c r="D65" s="9"/>
      <c r="E65" s="11"/>
      <c r="F65" s="1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9"/>
      <c r="E66" s="11"/>
      <c r="F66" s="1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/>
      <c r="C67" s="9"/>
      <c r="D67" s="9"/>
      <c r="E67" s="11"/>
      <c r="F67" s="1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/>
      <c r="C68" s="9"/>
      <c r="D68" s="9"/>
      <c r="E68" s="11"/>
      <c r="F68" s="1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/>
      <c r="C69" s="9"/>
      <c r="D69" s="9"/>
      <c r="E69" s="11"/>
      <c r="F69" s="1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9"/>
      <c r="E70" s="11"/>
      <c r="F70" s="1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/>
      <c r="C71" s="9"/>
      <c r="D71" s="9"/>
      <c r="E71" s="11"/>
      <c r="F71" s="1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/>
      <c r="C72" s="9"/>
      <c r="D72" s="9"/>
      <c r="E72" s="11"/>
      <c r="F72" s="1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/>
      <c r="C73" s="9"/>
      <c r="D73" s="9"/>
      <c r="E73" s="11"/>
      <c r="F73" s="1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9"/>
      <c r="E74" s="11"/>
      <c r="F74" s="1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"/>
      <c r="C75" s="9"/>
      <c r="D75" s="9"/>
      <c r="E75" s="11"/>
      <c r="F75" s="1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/>
      <c r="C76" s="9"/>
      <c r="D76" s="9"/>
      <c r="E76" s="11"/>
      <c r="F76" s="1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/>
      <c r="C77" s="9"/>
      <c r="D77" s="9"/>
      <c r="E77" s="11"/>
      <c r="F77" s="1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9"/>
      <c r="E78" s="11"/>
      <c r="F78" s="1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/>
      <c r="C79" s="9"/>
      <c r="D79" s="9"/>
      <c r="E79" s="11"/>
      <c r="F79" s="1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/>
      <c r="C80" s="9"/>
      <c r="D80" s="9"/>
      <c r="E80" s="11"/>
      <c r="F80" s="1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/>
      <c r="C81" s="9"/>
      <c r="D81" s="9"/>
      <c r="E81" s="11"/>
      <c r="F81" s="1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/>
      <c r="C82" s="9"/>
      <c r="D82" s="9"/>
      <c r="E82" s="11"/>
      <c r="F82" s="1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/>
      <c r="C83" s="9"/>
      <c r="D83" s="9"/>
      <c r="E83" s="11"/>
      <c r="F83" s="1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/>
      <c r="C84" s="9"/>
      <c r="D84" s="9"/>
      <c r="E84" s="11"/>
      <c r="F84" s="1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/>
      <c r="C85" s="9"/>
      <c r="D85" s="9"/>
      <c r="E85" s="11"/>
      <c r="F85" s="1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/>
      <c r="C86" s="9"/>
      <c r="D86" s="9"/>
      <c r="E86" s="11"/>
      <c r="F86" s="1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/>
      <c r="C87" s="9"/>
      <c r="D87" s="9"/>
      <c r="E87" s="11"/>
      <c r="F87" s="1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/>
      <c r="C88" s="9"/>
      <c r="D88" s="9"/>
      <c r="E88" s="11"/>
      <c r="F88" s="1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"/>
      <c r="C89" s="9"/>
      <c r="D89" s="9"/>
      <c r="E89" s="11"/>
      <c r="F89" s="1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"/>
      <c r="C90" s="9"/>
      <c r="D90" s="9"/>
      <c r="E90" s="11"/>
      <c r="F90" s="1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"/>
      <c r="C91" s="9"/>
      <c r="D91" s="9"/>
      <c r="E91" s="11"/>
      <c r="F91" s="1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/>
      <c r="C92" s="9"/>
      <c r="D92" s="9"/>
      <c r="E92" s="11"/>
      <c r="F92" s="1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/>
      <c r="C93" s="9"/>
      <c r="D93" s="9"/>
      <c r="E93" s="11"/>
      <c r="F93" s="1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/>
      <c r="C94" s="9"/>
      <c r="D94" s="9"/>
      <c r="E94" s="11"/>
      <c r="F94" s="1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/>
      <c r="C95" s="9"/>
      <c r="D95" s="9"/>
      <c r="E95" s="11"/>
      <c r="F95" s="1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/>
      <c r="C96" s="9"/>
      <c r="D96" s="9"/>
      <c r="E96" s="11"/>
      <c r="F96" s="1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/>
      <c r="C97" s="9"/>
      <c r="D97" s="9"/>
      <c r="E97" s="11"/>
      <c r="F97" s="1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/>
      <c r="C98" s="9"/>
      <c r="D98" s="9"/>
      <c r="E98" s="11"/>
      <c r="F98" s="1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/>
      <c r="C99" s="9"/>
      <c r="D99" s="9"/>
      <c r="E99" s="11"/>
      <c r="F99" s="1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/>
      <c r="C100" s="9"/>
      <c r="D100" s="9"/>
      <c r="E100" s="11"/>
      <c r="F100" s="1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/>
      <c r="C101" s="9"/>
      <c r="D101" s="9"/>
      <c r="E101" s="11"/>
      <c r="F101" s="1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/>
      <c r="C102" s="9"/>
      <c r="D102" s="9"/>
      <c r="E102" s="11"/>
      <c r="F102" s="1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"/>
      <c r="C103" s="9"/>
      <c r="D103" s="9"/>
      <c r="E103" s="11"/>
      <c r="F103" s="1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"/>
      <c r="C104" s="9"/>
      <c r="D104" s="9"/>
      <c r="E104" s="11"/>
      <c r="F104" s="1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"/>
      <c r="C105" s="9"/>
      <c r="D105" s="9"/>
      <c r="E105" s="11"/>
      <c r="F105" s="1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/>
      <c r="C106" s="9"/>
      <c r="D106" s="9"/>
      <c r="E106" s="11"/>
      <c r="F106" s="1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/>
      <c r="C107" s="9"/>
      <c r="D107" s="9"/>
      <c r="E107" s="11"/>
      <c r="F107" s="1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/>
      <c r="C108" s="9"/>
      <c r="D108" s="9"/>
      <c r="E108" s="11"/>
      <c r="F108" s="1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/>
      <c r="C109" s="9"/>
      <c r="D109" s="9"/>
      <c r="E109" s="11"/>
      <c r="F109" s="1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/>
      <c r="C110" s="9"/>
      <c r="D110" s="9"/>
      <c r="E110" s="11"/>
      <c r="F110" s="1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/>
      <c r="C111" s="9"/>
      <c r="D111" s="9"/>
      <c r="E111" s="11"/>
      <c r="F111" s="1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/>
      <c r="C112" s="9"/>
      <c r="D112" s="9"/>
      <c r="E112" s="11"/>
      <c r="F112" s="1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/>
      <c r="C113" s="9"/>
      <c r="D113" s="9"/>
      <c r="E113" s="11"/>
      <c r="F113" s="1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/>
      <c r="C114" s="9"/>
      <c r="D114" s="9"/>
      <c r="E114" s="11"/>
      <c r="F114" s="1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/>
      <c r="C115" s="9"/>
      <c r="D115" s="9"/>
      <c r="E115" s="11"/>
      <c r="F115" s="1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/>
      <c r="C116" s="9"/>
      <c r="D116" s="9"/>
      <c r="E116" s="11"/>
      <c r="F116" s="1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"/>
      <c r="C117" s="9"/>
      <c r="D117" s="9"/>
      <c r="E117" s="11"/>
      <c r="F117" s="1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"/>
      <c r="C118" s="9"/>
      <c r="D118" s="9"/>
      <c r="E118" s="11"/>
      <c r="F118" s="1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"/>
      <c r="C119" s="9"/>
      <c r="D119" s="9"/>
      <c r="E119" s="11"/>
      <c r="F119" s="1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/>
      <c r="C120" s="9"/>
      <c r="D120" s="9"/>
      <c r="E120" s="11"/>
      <c r="F120" s="1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/>
      <c r="C121" s="9"/>
      <c r="D121" s="9"/>
      <c r="E121" s="11"/>
      <c r="F121" s="1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/>
      <c r="C122" s="9"/>
      <c r="D122" s="9"/>
      <c r="E122" s="11"/>
      <c r="F122" s="1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/>
      <c r="C123" s="9"/>
      <c r="D123" s="9"/>
      <c r="E123" s="11"/>
      <c r="F123" s="1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/>
      <c r="C124" s="9"/>
      <c r="D124" s="9"/>
      <c r="E124" s="11"/>
      <c r="F124" s="1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/>
      <c r="C125" s="9"/>
      <c r="D125" s="9"/>
      <c r="E125" s="11"/>
      <c r="F125" s="1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"/>
      <c r="C126" s="9"/>
      <c r="D126" s="9"/>
      <c r="E126" s="11"/>
      <c r="F126" s="1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"/>
      <c r="C127" s="9"/>
      <c r="D127" s="9"/>
      <c r="E127" s="11"/>
      <c r="F127" s="1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/>
      <c r="C128" s="9"/>
      <c r="D128" s="9"/>
      <c r="E128" s="11"/>
      <c r="F128" s="1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/>
      <c r="C129" s="9"/>
      <c r="D129" s="9"/>
      <c r="E129" s="11"/>
      <c r="F129" s="1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/>
      <c r="C130" s="9"/>
      <c r="D130" s="9"/>
      <c r="E130" s="11"/>
      <c r="F130" s="1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/>
      <c r="C131" s="9"/>
      <c r="D131" s="9"/>
      <c r="E131" s="11"/>
      <c r="F131" s="1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/>
      <c r="C132" s="9"/>
      <c r="D132" s="9"/>
      <c r="E132" s="11"/>
      <c r="F132" s="1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/>
      <c r="C133" s="9"/>
      <c r="D133" s="9"/>
      <c r="E133" s="11"/>
      <c r="F133" s="1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/>
      <c r="C134" s="9"/>
      <c r="D134" s="9"/>
      <c r="E134" s="11"/>
      <c r="F134" s="1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/>
      <c r="C135" s="9"/>
      <c r="D135" s="9"/>
      <c r="E135" s="11"/>
      <c r="F135" s="1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/>
      <c r="C136" s="9"/>
      <c r="D136" s="9"/>
      <c r="E136" s="11"/>
      <c r="F136" s="1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"/>
      <c r="C137" s="9"/>
      <c r="D137" s="9"/>
      <c r="E137" s="11"/>
      <c r="F137" s="1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"/>
      <c r="C138" s="9"/>
      <c r="D138" s="9"/>
      <c r="E138" s="11"/>
      <c r="F138" s="1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/>
      <c r="C139" s="9"/>
      <c r="D139" s="9"/>
      <c r="E139" s="11"/>
      <c r="F139" s="1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/>
      <c r="C140" s="9"/>
      <c r="D140" s="9"/>
      <c r="E140" s="11"/>
      <c r="F140" s="1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/>
      <c r="C141" s="9"/>
      <c r="D141" s="9"/>
      <c r="E141" s="11"/>
      <c r="F141" s="1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/>
      <c r="C142" s="9"/>
      <c r="D142" s="9"/>
      <c r="E142" s="11"/>
      <c r="F142" s="1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"/>
      <c r="C143" s="9"/>
      <c r="D143" s="9"/>
      <c r="E143" s="11"/>
      <c r="F143" s="1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"/>
      <c r="C144" s="9"/>
      <c r="D144" s="9"/>
      <c r="E144" s="11"/>
      <c r="F144" s="1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/>
      <c r="C145" s="9"/>
      <c r="D145" s="9"/>
      <c r="E145" s="11"/>
      <c r="F145" s="1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/>
      <c r="C146" s="9"/>
      <c r="D146" s="9"/>
      <c r="E146" s="11"/>
      <c r="F146" s="1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/>
      <c r="C147" s="9"/>
      <c r="D147" s="9"/>
      <c r="E147" s="11"/>
      <c r="F147" s="1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/>
      <c r="C148" s="9"/>
      <c r="D148" s="9"/>
      <c r="E148" s="11"/>
      <c r="F148" s="1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/>
      <c r="C149" s="9"/>
      <c r="D149" s="9"/>
      <c r="E149" s="11"/>
      <c r="F149" s="1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/>
      <c r="C150" s="9"/>
      <c r="D150" s="9"/>
      <c r="E150" s="11"/>
      <c r="F150" s="1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/>
      <c r="C151" s="9"/>
      <c r="D151" s="9"/>
      <c r="E151" s="11"/>
      <c r="F151" s="1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/>
      <c r="C152" s="9"/>
      <c r="D152" s="9"/>
      <c r="E152" s="11"/>
      <c r="F152" s="1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/>
      <c r="C153" s="9"/>
      <c r="D153" s="9"/>
      <c r="E153" s="11"/>
      <c r="F153" s="1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"/>
      <c r="C154" s="9"/>
      <c r="D154" s="9"/>
      <c r="E154" s="11"/>
      <c r="F154" s="1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"/>
      <c r="C155" s="9"/>
      <c r="D155" s="9"/>
      <c r="E155" s="11"/>
      <c r="F155" s="1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/>
      <c r="C156" s="9"/>
      <c r="D156" s="9"/>
      <c r="E156" s="11"/>
      <c r="F156" s="1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/>
      <c r="C157" s="9"/>
      <c r="D157" s="9"/>
      <c r="E157" s="11"/>
      <c r="F157" s="1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/>
      <c r="C158" s="9"/>
      <c r="D158" s="9"/>
      <c r="E158" s="11"/>
      <c r="F158" s="1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/>
      <c r="C159" s="9"/>
      <c r="D159" s="9"/>
      <c r="E159" s="11"/>
      <c r="F159" s="1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/>
      <c r="C160" s="9"/>
      <c r="D160" s="9"/>
      <c r="E160" s="11"/>
      <c r="F160" s="1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/>
      <c r="C161" s="9"/>
      <c r="D161" s="9"/>
      <c r="E161" s="11"/>
      <c r="F161" s="1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/>
      <c r="C162" s="9"/>
      <c r="D162" s="9"/>
      <c r="E162" s="11"/>
      <c r="F162" s="1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/>
      <c r="C163" s="9"/>
      <c r="D163" s="9"/>
      <c r="E163" s="11"/>
      <c r="F163" s="1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/>
      <c r="C164" s="9"/>
      <c r="D164" s="9"/>
      <c r="E164" s="11"/>
      <c r="F164" s="1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/>
      <c r="C165" s="9"/>
      <c r="D165" s="9"/>
      <c r="E165" s="11"/>
      <c r="F165" s="1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/>
      <c r="C166" s="9"/>
      <c r="D166" s="9"/>
      <c r="E166" s="11"/>
      <c r="F166" s="1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/>
      <c r="C167" s="9"/>
      <c r="D167" s="9"/>
      <c r="E167" s="11"/>
      <c r="F167" s="1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/>
      <c r="C168" s="9"/>
      <c r="D168" s="9"/>
      <c r="E168" s="11"/>
      <c r="F168" s="1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/>
      <c r="C169" s="9"/>
      <c r="D169" s="9"/>
      <c r="E169" s="11"/>
      <c r="F169" s="1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/>
      <c r="C170" s="9"/>
      <c r="D170" s="9"/>
      <c r="E170" s="11"/>
      <c r="F170" s="1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/>
      <c r="C171" s="9"/>
      <c r="D171" s="9"/>
      <c r="E171" s="11"/>
      <c r="F171" s="1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/>
      <c r="C172" s="9"/>
      <c r="D172" s="9"/>
      <c r="E172" s="11"/>
      <c r="F172" s="1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/>
      <c r="C173" s="9"/>
      <c r="D173" s="9"/>
      <c r="E173" s="11"/>
      <c r="F173" s="1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/>
      <c r="C174" s="9"/>
      <c r="D174" s="9"/>
      <c r="E174" s="11"/>
      <c r="F174" s="1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"/>
      <c r="C175" s="9"/>
      <c r="D175" s="9"/>
      <c r="E175" s="11"/>
      <c r="F175" s="1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"/>
      <c r="C176" s="9"/>
      <c r="D176" s="9"/>
      <c r="E176" s="11"/>
      <c r="F176" s="1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"/>
      <c r="C177" s="9"/>
      <c r="D177" s="9"/>
      <c r="E177" s="11"/>
      <c r="F177" s="1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"/>
      <c r="C178" s="9"/>
      <c r="D178" s="9"/>
      <c r="E178" s="11"/>
      <c r="F178" s="1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"/>
      <c r="C179" s="9"/>
      <c r="D179" s="9"/>
      <c r="E179" s="11"/>
      <c r="F179" s="1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"/>
      <c r="C180" s="9"/>
      <c r="D180" s="9"/>
      <c r="E180" s="11"/>
      <c r="F180" s="1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"/>
      <c r="C181" s="9"/>
      <c r="D181" s="9"/>
      <c r="E181" s="11"/>
      <c r="F181" s="1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"/>
      <c r="C182" s="9"/>
      <c r="D182" s="9"/>
      <c r="E182" s="11"/>
      <c r="F182" s="1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"/>
      <c r="C183" s="9"/>
      <c r="D183" s="9"/>
      <c r="E183" s="11"/>
      <c r="F183" s="1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"/>
      <c r="C184" s="9"/>
      <c r="D184" s="9"/>
      <c r="E184" s="11"/>
      <c r="F184" s="1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"/>
      <c r="C185" s="9"/>
      <c r="D185" s="9"/>
      <c r="E185" s="11"/>
      <c r="F185" s="1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"/>
      <c r="C186" s="9"/>
      <c r="D186" s="9"/>
      <c r="E186" s="11"/>
      <c r="F186" s="1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"/>
      <c r="C187" s="9"/>
      <c r="D187" s="9"/>
      <c r="E187" s="11"/>
      <c r="F187" s="1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"/>
      <c r="C188" s="9"/>
      <c r="D188" s="9"/>
      <c r="E188" s="11"/>
      <c r="F188" s="1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"/>
      <c r="C189" s="9"/>
      <c r="D189" s="9"/>
      <c r="E189" s="11"/>
      <c r="F189" s="1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"/>
      <c r="C190" s="9"/>
      <c r="D190" s="9"/>
      <c r="E190" s="11"/>
      <c r="F190" s="1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"/>
      <c r="C191" s="9"/>
      <c r="D191" s="9"/>
      <c r="E191" s="11"/>
      <c r="F191" s="1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"/>
      <c r="C192" s="9"/>
      <c r="D192" s="9"/>
      <c r="E192" s="11"/>
      <c r="F192" s="1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"/>
      <c r="C193" s="9"/>
      <c r="D193" s="9"/>
      <c r="E193" s="11"/>
      <c r="F193" s="1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"/>
      <c r="C194" s="9"/>
      <c r="D194" s="9"/>
      <c r="E194" s="11"/>
      <c r="F194" s="1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"/>
      <c r="C195" s="9"/>
      <c r="D195" s="9"/>
      <c r="E195" s="11"/>
      <c r="F195" s="1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"/>
      <c r="C196" s="9"/>
      <c r="D196" s="9"/>
      <c r="E196" s="11"/>
      <c r="F196" s="1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"/>
      <c r="C197" s="9"/>
      <c r="D197" s="9"/>
      <c r="E197" s="11"/>
      <c r="F197" s="1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"/>
      <c r="C198" s="9"/>
      <c r="D198" s="9"/>
      <c r="E198" s="11"/>
      <c r="F198" s="1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"/>
      <c r="C199" s="9"/>
      <c r="D199" s="9"/>
      <c r="E199" s="11"/>
      <c r="F199" s="1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"/>
      <c r="C200" s="9"/>
      <c r="D200" s="9"/>
      <c r="E200" s="11"/>
      <c r="F200" s="1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"/>
      <c r="C201" s="9"/>
      <c r="D201" s="9"/>
      <c r="E201" s="11"/>
      <c r="F201" s="1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"/>
      <c r="C202" s="9"/>
      <c r="D202" s="9"/>
      <c r="E202" s="11"/>
      <c r="F202" s="1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"/>
      <c r="C203" s="9"/>
      <c r="D203" s="9"/>
      <c r="E203" s="11"/>
      <c r="F203" s="1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"/>
      <c r="C204" s="9"/>
      <c r="D204" s="9"/>
      <c r="E204" s="11"/>
      <c r="F204" s="1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"/>
      <c r="C205" s="9"/>
      <c r="D205" s="9"/>
      <c r="E205" s="11"/>
      <c r="F205" s="1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"/>
      <c r="C206" s="9"/>
      <c r="D206" s="9"/>
      <c r="E206" s="11"/>
      <c r="F206" s="1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"/>
      <c r="C207" s="9"/>
      <c r="D207" s="9"/>
      <c r="E207" s="11"/>
      <c r="F207" s="1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"/>
      <c r="C208" s="9"/>
      <c r="D208" s="9"/>
      <c r="E208" s="11"/>
      <c r="F208" s="1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"/>
      <c r="C209" s="9"/>
      <c r="D209" s="9"/>
      <c r="E209" s="11"/>
      <c r="F209" s="1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"/>
      <c r="C210" s="9"/>
      <c r="D210" s="9"/>
      <c r="E210" s="11"/>
      <c r="F210" s="1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"/>
      <c r="C211" s="9"/>
      <c r="D211" s="9"/>
      <c r="E211" s="11"/>
      <c r="F211" s="1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"/>
      <c r="C212" s="9"/>
      <c r="D212" s="9"/>
      <c r="E212" s="11"/>
      <c r="F212" s="1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"/>
      <c r="C213" s="9"/>
      <c r="D213" s="9"/>
      <c r="E213" s="11"/>
      <c r="F213" s="1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"/>
      <c r="C214" s="9"/>
      <c r="D214" s="9"/>
      <c r="E214" s="11"/>
      <c r="F214" s="1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"/>
      <c r="C215" s="9"/>
      <c r="D215" s="9"/>
      <c r="E215" s="11"/>
      <c r="F215" s="1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"/>
      <c r="C216" s="9"/>
      <c r="D216" s="9"/>
      <c r="E216" s="11"/>
      <c r="F216" s="1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"/>
      <c r="C217" s="9"/>
      <c r="D217" s="9"/>
      <c r="E217" s="11"/>
      <c r="F217" s="1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"/>
      <c r="C218" s="9"/>
      <c r="D218" s="9"/>
      <c r="E218" s="11"/>
      <c r="F218" s="1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"/>
      <c r="C219" s="9"/>
      <c r="D219" s="9"/>
      <c r="E219" s="11"/>
      <c r="F219" s="1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"/>
      <c r="C220" s="9"/>
      <c r="D220" s="9"/>
      <c r="E220" s="11"/>
      <c r="F220" s="1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"/>
      <c r="C221" s="9"/>
      <c r="D221" s="9"/>
      <c r="E221" s="11"/>
      <c r="F221" s="1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"/>
      <c r="C222" s="9"/>
      <c r="D222" s="9"/>
      <c r="E222" s="11"/>
      <c r="F222" s="1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"/>
      <c r="C223" s="9"/>
      <c r="D223" s="9"/>
      <c r="E223" s="11"/>
      <c r="F223" s="1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"/>
      <c r="C224" s="9"/>
      <c r="D224" s="9"/>
      <c r="E224" s="11"/>
      <c r="F224" s="1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"/>
      <c r="C225" s="9"/>
      <c r="D225" s="9"/>
      <c r="E225" s="11"/>
      <c r="F225" s="1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"/>
      <c r="C226" s="9"/>
      <c r="D226" s="9"/>
      <c r="E226" s="11"/>
      <c r="F226" s="1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"/>
      <c r="C227" s="9"/>
      <c r="D227" s="9"/>
      <c r="E227" s="11"/>
      <c r="F227" s="1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"/>
      <c r="C228" s="9"/>
      <c r="D228" s="9"/>
      <c r="E228" s="11"/>
      <c r="F228" s="1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"/>
      <c r="C229" s="9"/>
      <c r="D229" s="9"/>
      <c r="E229" s="11"/>
      <c r="F229" s="1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"/>
      <c r="C230" s="9"/>
      <c r="D230" s="9"/>
      <c r="E230" s="11"/>
      <c r="F230" s="1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"/>
      <c r="C231" s="9"/>
      <c r="D231" s="9"/>
      <c r="E231" s="11"/>
      <c r="F231" s="1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"/>
      <c r="C232" s="9"/>
      <c r="D232" s="9"/>
      <c r="E232" s="11"/>
      <c r="F232" s="1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"/>
      <c r="C233" s="9"/>
      <c r="D233" s="9"/>
      <c r="E233" s="11"/>
      <c r="F233" s="1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"/>
      <c r="C234" s="9"/>
      <c r="D234" s="9"/>
      <c r="E234" s="11"/>
      <c r="F234" s="1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"/>
      <c r="C235" s="9"/>
      <c r="D235" s="9"/>
      <c r="E235" s="11"/>
      <c r="F235" s="1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"/>
      <c r="C236" s="9"/>
      <c r="D236" s="9"/>
      <c r="E236" s="11"/>
      <c r="F236" s="1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"/>
      <c r="C237" s="9"/>
      <c r="D237" s="9"/>
      <c r="E237" s="11"/>
      <c r="F237" s="1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"/>
      <c r="C238" s="9"/>
      <c r="D238" s="9"/>
      <c r="E238" s="11"/>
      <c r="F238" s="1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"/>
      <c r="C239" s="9"/>
      <c r="D239" s="9"/>
      <c r="E239" s="11"/>
      <c r="F239" s="1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"/>
      <c r="C240" s="9"/>
      <c r="D240" s="9"/>
      <c r="E240" s="11"/>
      <c r="F240" s="1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"/>
      <c r="C241" s="9"/>
      <c r="D241" s="9"/>
      <c r="E241" s="11"/>
      <c r="F241" s="1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"/>
      <c r="C242" s="9"/>
      <c r="D242" s="9"/>
      <c r="E242" s="11"/>
      <c r="F242" s="1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"/>
      <c r="C243" s="9"/>
      <c r="D243" s="9"/>
      <c r="E243" s="11"/>
      <c r="F243" s="1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"/>
      <c r="C244" s="9"/>
      <c r="D244" s="9"/>
      <c r="E244" s="11"/>
      <c r="F244" s="1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"/>
      <c r="C245" s="9"/>
      <c r="D245" s="9"/>
      <c r="E245" s="11"/>
      <c r="F245" s="1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"/>
      <c r="C246" s="9"/>
      <c r="D246" s="9"/>
      <c r="E246" s="11"/>
      <c r="F246" s="1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"/>
      <c r="C247" s="9"/>
      <c r="D247" s="9"/>
      <c r="E247" s="11"/>
      <c r="F247" s="1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"/>
      <c r="C248" s="9"/>
      <c r="D248" s="9"/>
      <c r="E248" s="11"/>
      <c r="F248" s="1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"/>
      <c r="C249" s="9"/>
      <c r="D249" s="9"/>
      <c r="E249" s="11"/>
      <c r="F249" s="1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"/>
      <c r="C250" s="9"/>
      <c r="D250" s="9"/>
      <c r="E250" s="11"/>
      <c r="F250" s="1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"/>
      <c r="C251" s="9"/>
      <c r="D251" s="9"/>
      <c r="E251" s="11"/>
      <c r="F251" s="1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"/>
      <c r="C252" s="9"/>
      <c r="D252" s="9"/>
      <c r="E252" s="11"/>
      <c r="F252" s="1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"/>
      <c r="C253" s="9"/>
      <c r="D253" s="9"/>
      <c r="E253" s="11"/>
      <c r="F253" s="1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"/>
      <c r="C254" s="9"/>
      <c r="D254" s="9"/>
      <c r="E254" s="11"/>
      <c r="F254" s="1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"/>
      <c r="C255" s="9"/>
      <c r="D255" s="9"/>
      <c r="E255" s="11"/>
      <c r="F255" s="1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"/>
      <c r="C256" s="9"/>
      <c r="D256" s="9"/>
      <c r="E256" s="11"/>
      <c r="F256" s="1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"/>
      <c r="C257" s="9"/>
      <c r="D257" s="9"/>
      <c r="E257" s="11"/>
      <c r="F257" s="1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"/>
      <c r="C258" s="9"/>
      <c r="D258" s="9"/>
      <c r="E258" s="11"/>
      <c r="F258" s="1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"/>
      <c r="C259" s="9"/>
      <c r="D259" s="9"/>
      <c r="E259" s="11"/>
      <c r="F259" s="1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"/>
      <c r="C260" s="9"/>
      <c r="D260" s="9"/>
      <c r="E260" s="11"/>
      <c r="F260" s="1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"/>
      <c r="C261" s="9"/>
      <c r="D261" s="9"/>
      <c r="E261" s="11"/>
      <c r="F261" s="1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"/>
      <c r="C262" s="9"/>
      <c r="D262" s="9"/>
      <c r="E262" s="11"/>
      <c r="F262" s="1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"/>
      <c r="C263" s="9"/>
      <c r="D263" s="9"/>
      <c r="E263" s="11"/>
      <c r="F263" s="1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"/>
      <c r="C264" s="9"/>
      <c r="D264" s="9"/>
      <c r="E264" s="11"/>
      <c r="F264" s="1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"/>
      <c r="C265" s="9"/>
      <c r="D265" s="9"/>
      <c r="E265" s="11"/>
      <c r="F265" s="1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"/>
      <c r="C266" s="9"/>
      <c r="D266" s="9"/>
      <c r="E266" s="11"/>
      <c r="F266" s="1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"/>
      <c r="C267" s="9"/>
      <c r="D267" s="9"/>
      <c r="E267" s="11"/>
      <c r="F267" s="1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"/>
      <c r="C268" s="9"/>
      <c r="D268" s="9"/>
      <c r="E268" s="11"/>
      <c r="F268" s="1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"/>
      <c r="C269" s="9"/>
      <c r="D269" s="9"/>
      <c r="E269" s="11"/>
      <c r="F269" s="1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"/>
      <c r="C270" s="9"/>
      <c r="D270" s="9"/>
      <c r="E270" s="11"/>
      <c r="F270" s="1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"/>
      <c r="C271" s="9"/>
      <c r="D271" s="9"/>
      <c r="E271" s="11"/>
      <c r="F271" s="1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"/>
      <c r="C272" s="9"/>
      <c r="D272" s="9"/>
      <c r="E272" s="11"/>
      <c r="F272" s="1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"/>
      <c r="C273" s="9"/>
      <c r="D273" s="9"/>
      <c r="E273" s="11"/>
      <c r="F273" s="1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"/>
      <c r="C274" s="9"/>
      <c r="D274" s="9"/>
      <c r="E274" s="11"/>
      <c r="F274" s="1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"/>
      <c r="C275" s="9"/>
      <c r="D275" s="9"/>
      <c r="E275" s="11"/>
      <c r="F275" s="1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"/>
      <c r="C276" s="9"/>
      <c r="D276" s="9"/>
      <c r="E276" s="11"/>
      <c r="F276" s="1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"/>
      <c r="C277" s="9"/>
      <c r="D277" s="9"/>
      <c r="E277" s="11"/>
      <c r="F277" s="1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"/>
      <c r="C278" s="9"/>
      <c r="D278" s="9"/>
      <c r="E278" s="11"/>
      <c r="F278" s="1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"/>
      <c r="C279" s="9"/>
      <c r="D279" s="9"/>
      <c r="E279" s="11"/>
      <c r="F279" s="1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"/>
      <c r="C280" s="9"/>
      <c r="D280" s="9"/>
      <c r="E280" s="11"/>
      <c r="F280" s="1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"/>
      <c r="C281" s="9"/>
      <c r="D281" s="9"/>
      <c r="E281" s="11"/>
      <c r="F281" s="1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"/>
      <c r="C282" s="9"/>
      <c r="D282" s="9"/>
      <c r="E282" s="11"/>
      <c r="F282" s="1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"/>
      <c r="C283" s="9"/>
      <c r="D283" s="9"/>
      <c r="E283" s="11"/>
      <c r="F283" s="1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"/>
      <c r="C284" s="9"/>
      <c r="D284" s="9"/>
      <c r="E284" s="11"/>
      <c r="F284" s="1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"/>
      <c r="C285" s="9"/>
      <c r="D285" s="9"/>
      <c r="E285" s="11"/>
      <c r="F285" s="1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"/>
      <c r="C286" s="9"/>
      <c r="D286" s="9"/>
      <c r="E286" s="11"/>
      <c r="F286" s="1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"/>
      <c r="C287" s="9"/>
      <c r="D287" s="9"/>
      <c r="E287" s="11"/>
      <c r="F287" s="1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"/>
      <c r="C288" s="9"/>
      <c r="D288" s="9"/>
      <c r="E288" s="11"/>
      <c r="F288" s="1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"/>
      <c r="C289" s="9"/>
      <c r="D289" s="9"/>
      <c r="E289" s="11"/>
      <c r="F289" s="1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"/>
      <c r="C290" s="9"/>
      <c r="D290" s="9"/>
      <c r="E290" s="11"/>
      <c r="F290" s="1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"/>
      <c r="C291" s="9"/>
      <c r="D291" s="9"/>
      <c r="E291" s="11"/>
      <c r="F291" s="1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"/>
      <c r="C292" s="9"/>
      <c r="D292" s="9"/>
      <c r="E292" s="11"/>
      <c r="F292" s="1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"/>
      <c r="C293" s="9"/>
      <c r="D293" s="9"/>
      <c r="E293" s="11"/>
      <c r="F293" s="1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"/>
      <c r="C294" s="9"/>
      <c r="D294" s="9"/>
      <c r="E294" s="11"/>
      <c r="F294" s="1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"/>
      <c r="C295" s="9"/>
      <c r="D295" s="9"/>
      <c r="E295" s="11"/>
      <c r="F295" s="1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"/>
      <c r="C296" s="9"/>
      <c r="D296" s="9"/>
      <c r="E296" s="11"/>
      <c r="F296" s="1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"/>
      <c r="C297" s="9"/>
      <c r="D297" s="9"/>
      <c r="E297" s="11"/>
      <c r="F297" s="1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"/>
      <c r="C298" s="9"/>
      <c r="D298" s="9"/>
      <c r="E298" s="11"/>
      <c r="F298" s="1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"/>
      <c r="C299" s="9"/>
      <c r="D299" s="9"/>
      <c r="E299" s="11"/>
      <c r="F299" s="1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"/>
      <c r="C300" s="9"/>
      <c r="D300" s="9"/>
      <c r="E300" s="11"/>
      <c r="F300" s="1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"/>
      <c r="C301" s="9"/>
      <c r="D301" s="9"/>
      <c r="E301" s="11"/>
      <c r="F301" s="1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"/>
      <c r="C302" s="9"/>
      <c r="D302" s="9"/>
      <c r="E302" s="11"/>
      <c r="F302" s="1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"/>
      <c r="C303" s="9"/>
      <c r="D303" s="9"/>
      <c r="E303" s="11"/>
      <c r="F303" s="1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"/>
      <c r="C304" s="9"/>
      <c r="D304" s="9"/>
      <c r="E304" s="11"/>
      <c r="F304" s="1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"/>
      <c r="C305" s="9"/>
      <c r="D305" s="9"/>
      <c r="E305" s="11"/>
      <c r="F305" s="1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"/>
      <c r="C306" s="9"/>
      <c r="D306" s="9"/>
      <c r="E306" s="11"/>
      <c r="F306" s="1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"/>
      <c r="C307" s="9"/>
      <c r="D307" s="9"/>
      <c r="E307" s="11"/>
      <c r="F307" s="1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"/>
      <c r="C308" s="9"/>
      <c r="D308" s="9"/>
      <c r="E308" s="11"/>
      <c r="F308" s="1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"/>
      <c r="C309" s="9"/>
      <c r="D309" s="9"/>
      <c r="E309" s="11"/>
      <c r="F309" s="1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"/>
      <c r="C310" s="9"/>
      <c r="D310" s="9"/>
      <c r="E310" s="11"/>
      <c r="F310" s="1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"/>
      <c r="C311" s="9"/>
      <c r="D311" s="9"/>
      <c r="E311" s="11"/>
      <c r="F311" s="1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"/>
      <c r="C312" s="9"/>
      <c r="D312" s="9"/>
      <c r="E312" s="11"/>
      <c r="F312" s="1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"/>
      <c r="C313" s="9"/>
      <c r="D313" s="9"/>
      <c r="E313" s="11"/>
      <c r="F313" s="1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"/>
      <c r="C314" s="9"/>
      <c r="D314" s="9"/>
      <c r="E314" s="11"/>
      <c r="F314" s="1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"/>
      <c r="C315" s="9"/>
      <c r="D315" s="9"/>
      <c r="E315" s="11"/>
      <c r="F315" s="1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"/>
      <c r="C316" s="9"/>
      <c r="D316" s="9"/>
      <c r="E316" s="11"/>
      <c r="F316" s="1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"/>
      <c r="C317" s="9"/>
      <c r="D317" s="9"/>
      <c r="E317" s="11"/>
      <c r="F317" s="1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"/>
      <c r="C318" s="9"/>
      <c r="D318" s="9"/>
      <c r="E318" s="11"/>
      <c r="F318" s="1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"/>
      <c r="C319" s="9"/>
      <c r="D319" s="9"/>
      <c r="E319" s="11"/>
      <c r="F319" s="1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"/>
      <c r="C320" s="9"/>
      <c r="D320" s="9"/>
      <c r="E320" s="11"/>
      <c r="F320" s="1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"/>
      <c r="C321" s="9"/>
      <c r="D321" s="9"/>
      <c r="E321" s="11"/>
      <c r="F321" s="1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"/>
      <c r="C322" s="9"/>
      <c r="D322" s="9"/>
      <c r="E322" s="11"/>
      <c r="F322" s="1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"/>
      <c r="C323" s="9"/>
      <c r="D323" s="9"/>
      <c r="E323" s="11"/>
      <c r="F323" s="1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"/>
      <c r="C324" s="9"/>
      <c r="D324" s="9"/>
      <c r="E324" s="11"/>
      <c r="F324" s="1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"/>
      <c r="C325" s="9"/>
      <c r="D325" s="9"/>
      <c r="E325" s="11"/>
      <c r="F325" s="1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"/>
      <c r="C326" s="9"/>
      <c r="D326" s="9"/>
      <c r="E326" s="11"/>
      <c r="F326" s="1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"/>
      <c r="C327" s="9"/>
      <c r="D327" s="9"/>
      <c r="E327" s="11"/>
      <c r="F327" s="1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"/>
      <c r="C328" s="9"/>
      <c r="D328" s="9"/>
      <c r="E328" s="11"/>
      <c r="F328" s="1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"/>
      <c r="C329" s="9"/>
      <c r="D329" s="9"/>
      <c r="E329" s="11"/>
      <c r="F329" s="1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"/>
      <c r="C330" s="9"/>
      <c r="D330" s="9"/>
      <c r="E330" s="11"/>
      <c r="F330" s="1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"/>
      <c r="C331" s="9"/>
      <c r="D331" s="9"/>
      <c r="E331" s="11"/>
      <c r="F331" s="1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"/>
      <c r="C332" s="9"/>
      <c r="D332" s="9"/>
      <c r="E332" s="11"/>
      <c r="F332" s="1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"/>
      <c r="C333" s="9"/>
      <c r="D333" s="9"/>
      <c r="E333" s="11"/>
      <c r="F333" s="1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"/>
      <c r="C334" s="9"/>
      <c r="D334" s="9"/>
      <c r="E334" s="11"/>
      <c r="F334" s="1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"/>
      <c r="C335" s="9"/>
      <c r="D335" s="9"/>
      <c r="E335" s="11"/>
      <c r="F335" s="1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"/>
      <c r="C336" s="9"/>
      <c r="D336" s="9"/>
      <c r="E336" s="11"/>
      <c r="F336" s="1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"/>
      <c r="C337" s="9"/>
      <c r="D337" s="9"/>
      <c r="E337" s="11"/>
      <c r="F337" s="1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"/>
      <c r="C338" s="9"/>
      <c r="D338" s="9"/>
      <c r="E338" s="11"/>
      <c r="F338" s="1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"/>
      <c r="C339" s="9"/>
      <c r="D339" s="9"/>
      <c r="E339" s="11"/>
      <c r="F339" s="1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"/>
      <c r="C340" s="9"/>
      <c r="D340" s="9"/>
      <c r="E340" s="11"/>
      <c r="F340" s="1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"/>
      <c r="C341" s="9"/>
      <c r="D341" s="9"/>
      <c r="E341" s="11"/>
      <c r="F341" s="1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"/>
      <c r="C342" s="9"/>
      <c r="D342" s="9"/>
      <c r="E342" s="11"/>
      <c r="F342" s="1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"/>
      <c r="C343" s="9"/>
      <c r="D343" s="9"/>
      <c r="E343" s="11"/>
      <c r="F343" s="1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"/>
      <c r="C344" s="9"/>
      <c r="D344" s="9"/>
      <c r="E344" s="11"/>
      <c r="F344" s="1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"/>
      <c r="C345" s="9"/>
      <c r="D345" s="9"/>
      <c r="E345" s="11"/>
      <c r="F345" s="1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"/>
      <c r="C346" s="9"/>
      <c r="D346" s="9"/>
      <c r="E346" s="11"/>
      <c r="F346" s="1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"/>
      <c r="C347" s="9"/>
      <c r="D347" s="9"/>
      <c r="E347" s="11"/>
      <c r="F347" s="1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"/>
      <c r="C348" s="9"/>
      <c r="D348" s="9"/>
      <c r="E348" s="11"/>
      <c r="F348" s="1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"/>
      <c r="C349" s="9"/>
      <c r="D349" s="9"/>
      <c r="E349" s="11"/>
      <c r="F349" s="1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"/>
      <c r="C350" s="9"/>
      <c r="D350" s="9"/>
      <c r="E350" s="11"/>
      <c r="F350" s="1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"/>
      <c r="C351" s="9"/>
      <c r="D351" s="9"/>
      <c r="E351" s="11"/>
      <c r="F351" s="1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"/>
      <c r="C352" s="9"/>
      <c r="D352" s="9"/>
      <c r="E352" s="11"/>
      <c r="F352" s="1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"/>
      <c r="C353" s="9"/>
      <c r="D353" s="9"/>
      <c r="E353" s="11"/>
      <c r="F353" s="1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"/>
      <c r="C354" s="9"/>
      <c r="D354" s="9"/>
      <c r="E354" s="11"/>
      <c r="F354" s="1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"/>
      <c r="C355" s="9"/>
      <c r="D355" s="9"/>
      <c r="E355" s="11"/>
      <c r="F355" s="1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"/>
      <c r="C356" s="9"/>
      <c r="D356" s="9"/>
      <c r="E356" s="11"/>
      <c r="F356" s="1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"/>
      <c r="C357" s="9"/>
      <c r="D357" s="9"/>
      <c r="E357" s="11"/>
      <c r="F357" s="1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"/>
      <c r="C358" s="9"/>
      <c r="D358" s="9"/>
      <c r="E358" s="11"/>
      <c r="F358" s="1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"/>
      <c r="C359" s="9"/>
      <c r="D359" s="9"/>
      <c r="E359" s="11"/>
      <c r="F359" s="1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"/>
      <c r="C360" s="9"/>
      <c r="D360" s="9"/>
      <c r="E360" s="11"/>
      <c r="F360" s="1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"/>
      <c r="C361" s="9"/>
      <c r="D361" s="9"/>
      <c r="E361" s="11"/>
      <c r="F361" s="1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"/>
      <c r="C362" s="9"/>
      <c r="D362" s="9"/>
      <c r="E362" s="11"/>
      <c r="F362" s="1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"/>
      <c r="C363" s="9"/>
      <c r="D363" s="9"/>
      <c r="E363" s="11"/>
      <c r="F363" s="1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"/>
      <c r="C364" s="9"/>
      <c r="D364" s="9"/>
      <c r="E364" s="11"/>
      <c r="F364" s="1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"/>
      <c r="C365" s="9"/>
      <c r="D365" s="9"/>
      <c r="E365" s="11"/>
      <c r="F365" s="1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"/>
      <c r="C366" s="9"/>
      <c r="D366" s="9"/>
      <c r="E366" s="11"/>
      <c r="F366" s="1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"/>
      <c r="C367" s="9"/>
      <c r="D367" s="9"/>
      <c r="E367" s="11"/>
      <c r="F367" s="1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"/>
      <c r="C368" s="9"/>
      <c r="D368" s="9"/>
      <c r="E368" s="11"/>
      <c r="F368" s="1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"/>
      <c r="C369" s="9"/>
      <c r="D369" s="9"/>
      <c r="E369" s="11"/>
      <c r="F369" s="1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"/>
      <c r="C370" s="9"/>
      <c r="D370" s="9"/>
      <c r="E370" s="11"/>
      <c r="F370" s="1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"/>
      <c r="C371" s="9"/>
      <c r="D371" s="9"/>
      <c r="E371" s="11"/>
      <c r="F371" s="1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"/>
      <c r="C372" s="9"/>
      <c r="D372" s="9"/>
      <c r="E372" s="11"/>
      <c r="F372" s="1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"/>
      <c r="C373" s="9"/>
      <c r="D373" s="9"/>
      <c r="E373" s="11"/>
      <c r="F373" s="1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"/>
      <c r="C374" s="9"/>
      <c r="D374" s="9"/>
      <c r="E374" s="11"/>
      <c r="F374" s="1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"/>
      <c r="C375" s="9"/>
      <c r="D375" s="9"/>
      <c r="E375" s="11"/>
      <c r="F375" s="1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"/>
      <c r="C376" s="9"/>
      <c r="D376" s="9"/>
      <c r="E376" s="11"/>
      <c r="F376" s="1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"/>
      <c r="C377" s="9"/>
      <c r="D377" s="9"/>
      <c r="E377" s="11"/>
      <c r="F377" s="1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"/>
      <c r="C378" s="9"/>
      <c r="D378" s="9"/>
      <c r="E378" s="11"/>
      <c r="F378" s="1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"/>
      <c r="C379" s="9"/>
      <c r="D379" s="9"/>
      <c r="E379" s="11"/>
      <c r="F379" s="1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"/>
      <c r="C380" s="9"/>
      <c r="D380" s="9"/>
      <c r="E380" s="11"/>
      <c r="F380" s="1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"/>
      <c r="C381" s="9"/>
      <c r="D381" s="9"/>
      <c r="E381" s="11"/>
      <c r="F381" s="1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"/>
      <c r="C382" s="9"/>
      <c r="D382" s="9"/>
      <c r="E382" s="11"/>
      <c r="F382" s="1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"/>
      <c r="C383" s="9"/>
      <c r="D383" s="9"/>
      <c r="E383" s="11"/>
      <c r="F383" s="1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"/>
      <c r="C384" s="9"/>
      <c r="D384" s="9"/>
      <c r="E384" s="11"/>
      <c r="F384" s="1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"/>
      <c r="C385" s="9"/>
      <c r="D385" s="9"/>
      <c r="E385" s="11"/>
      <c r="F385" s="1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"/>
      <c r="C386" s="9"/>
      <c r="D386" s="9"/>
      <c r="E386" s="11"/>
      <c r="F386" s="1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"/>
      <c r="C387" s="9"/>
      <c r="D387" s="9"/>
      <c r="E387" s="11"/>
      <c r="F387" s="1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"/>
      <c r="C388" s="9"/>
      <c r="D388" s="9"/>
      <c r="E388" s="11"/>
      <c r="F388" s="1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"/>
      <c r="C389" s="9"/>
      <c r="D389" s="9"/>
      <c r="E389" s="11"/>
      <c r="F389" s="1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"/>
      <c r="C390" s="9"/>
      <c r="D390" s="9"/>
      <c r="E390" s="11"/>
      <c r="F390" s="1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"/>
      <c r="C391" s="9"/>
      <c r="D391" s="9"/>
      <c r="E391" s="11"/>
      <c r="F391" s="1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"/>
      <c r="C392" s="9"/>
      <c r="D392" s="9"/>
      <c r="E392" s="11"/>
      <c r="F392" s="1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"/>
      <c r="C393" s="9"/>
      <c r="D393" s="9"/>
      <c r="E393" s="11"/>
      <c r="F393" s="1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"/>
      <c r="C394" s="9"/>
      <c r="D394" s="9"/>
      <c r="E394" s="11"/>
      <c r="F394" s="1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"/>
      <c r="C395" s="9"/>
      <c r="D395" s="9"/>
      <c r="E395" s="11"/>
      <c r="F395" s="1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"/>
      <c r="C396" s="9"/>
      <c r="D396" s="9"/>
      <c r="E396" s="11"/>
      <c r="F396" s="1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"/>
      <c r="C397" s="9"/>
      <c r="D397" s="9"/>
      <c r="E397" s="11"/>
      <c r="F397" s="1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"/>
      <c r="C398" s="9"/>
      <c r="D398" s="9"/>
      <c r="E398" s="11"/>
      <c r="F398" s="1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"/>
      <c r="C399" s="9"/>
      <c r="D399" s="9"/>
      <c r="E399" s="11"/>
      <c r="F399" s="1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"/>
      <c r="C400" s="9"/>
      <c r="D400" s="9"/>
      <c r="E400" s="11"/>
      <c r="F400" s="1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"/>
      <c r="C401" s="9"/>
      <c r="D401" s="9"/>
      <c r="E401" s="11"/>
      <c r="F401" s="1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"/>
      <c r="C402" s="9"/>
      <c r="D402" s="9"/>
      <c r="E402" s="11"/>
      <c r="F402" s="1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"/>
      <c r="C403" s="9"/>
      <c r="D403" s="9"/>
      <c r="E403" s="11"/>
      <c r="F403" s="1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"/>
      <c r="C404" s="9"/>
      <c r="D404" s="9"/>
      <c r="E404" s="11"/>
      <c r="F404" s="1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"/>
      <c r="C405" s="9"/>
      <c r="D405" s="9"/>
      <c r="E405" s="11"/>
      <c r="F405" s="1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"/>
      <c r="C406" s="9"/>
      <c r="D406" s="9"/>
      <c r="E406" s="11"/>
      <c r="F406" s="1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"/>
      <c r="C407" s="9"/>
      <c r="D407" s="9"/>
      <c r="E407" s="11"/>
      <c r="F407" s="1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"/>
      <c r="C408" s="9"/>
      <c r="D408" s="9"/>
      <c r="E408" s="11"/>
      <c r="F408" s="1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"/>
      <c r="C409" s="9"/>
      <c r="D409" s="9"/>
      <c r="E409" s="11"/>
      <c r="F409" s="1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"/>
      <c r="C410" s="9"/>
      <c r="D410" s="9"/>
      <c r="E410" s="11"/>
      <c r="F410" s="1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"/>
      <c r="C411" s="9"/>
      <c r="D411" s="9"/>
      <c r="E411" s="11"/>
      <c r="F411" s="1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"/>
      <c r="C412" s="9"/>
      <c r="D412" s="9"/>
      <c r="E412" s="11"/>
      <c r="F412" s="1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"/>
      <c r="C413" s="9"/>
      <c r="D413" s="9"/>
      <c r="E413" s="11"/>
      <c r="F413" s="1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"/>
      <c r="C414" s="9"/>
      <c r="D414" s="9"/>
      <c r="E414" s="11"/>
      <c r="F414" s="1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"/>
      <c r="C415" s="9"/>
      <c r="D415" s="9"/>
      <c r="E415" s="11"/>
      <c r="F415" s="1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"/>
      <c r="C416" s="9"/>
      <c r="D416" s="9"/>
      <c r="E416" s="11"/>
      <c r="F416" s="1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"/>
      <c r="C417" s="9"/>
      <c r="D417" s="9"/>
      <c r="E417" s="11"/>
      <c r="F417" s="1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"/>
      <c r="C418" s="9"/>
      <c r="D418" s="9"/>
      <c r="E418" s="11"/>
      <c r="F418" s="1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"/>
      <c r="C419" s="9"/>
      <c r="D419" s="9"/>
      <c r="E419" s="11"/>
      <c r="F419" s="1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"/>
      <c r="C420" s="9"/>
      <c r="D420" s="9"/>
      <c r="E420" s="11"/>
      <c r="F420" s="1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"/>
      <c r="C421" s="9"/>
      <c r="D421" s="9"/>
      <c r="E421" s="11"/>
      <c r="F421" s="1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"/>
      <c r="C422" s="9"/>
      <c r="D422" s="9"/>
      <c r="E422" s="11"/>
      <c r="F422" s="1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"/>
      <c r="C423" s="9"/>
      <c r="D423" s="9"/>
      <c r="E423" s="11"/>
      <c r="F423" s="1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"/>
      <c r="C424" s="9"/>
      <c r="D424" s="9"/>
      <c r="E424" s="11"/>
      <c r="F424" s="1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"/>
      <c r="C425" s="9"/>
      <c r="D425" s="9"/>
      <c r="E425" s="11"/>
      <c r="F425" s="1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"/>
      <c r="C426" s="9"/>
      <c r="D426" s="9"/>
      <c r="E426" s="11"/>
      <c r="F426" s="1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"/>
      <c r="C427" s="9"/>
      <c r="D427" s="9"/>
      <c r="E427" s="11"/>
      <c r="F427" s="1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"/>
      <c r="C428" s="9"/>
      <c r="D428" s="9"/>
      <c r="E428" s="11"/>
      <c r="F428" s="1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"/>
      <c r="C429" s="9"/>
      <c r="D429" s="9"/>
      <c r="E429" s="11"/>
      <c r="F429" s="1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"/>
      <c r="C430" s="9"/>
      <c r="D430" s="9"/>
      <c r="E430" s="11"/>
      <c r="F430" s="1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"/>
      <c r="C431" s="9"/>
      <c r="D431" s="9"/>
      <c r="E431" s="11"/>
      <c r="F431" s="1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"/>
      <c r="C432" s="9"/>
      <c r="D432" s="9"/>
      <c r="E432" s="11"/>
      <c r="F432" s="1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"/>
      <c r="C433" s="9"/>
      <c r="D433" s="9"/>
      <c r="E433" s="11"/>
      <c r="F433" s="1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"/>
      <c r="C434" s="9"/>
      <c r="D434" s="9"/>
      <c r="E434" s="11"/>
      <c r="F434" s="1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"/>
      <c r="C435" s="9"/>
      <c r="D435" s="9"/>
      <c r="E435" s="11"/>
      <c r="F435" s="1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"/>
      <c r="C436" s="9"/>
      <c r="D436" s="9"/>
      <c r="E436" s="11"/>
      <c r="F436" s="1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"/>
      <c r="C437" s="9"/>
      <c r="D437" s="9"/>
      <c r="E437" s="11"/>
      <c r="F437" s="1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"/>
      <c r="C438" s="9"/>
      <c r="D438" s="9"/>
      <c r="E438" s="11"/>
      <c r="F438" s="1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"/>
      <c r="C439" s="9"/>
      <c r="D439" s="9"/>
      <c r="E439" s="11"/>
      <c r="F439" s="1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"/>
      <c r="C440" s="9"/>
      <c r="D440" s="9"/>
      <c r="E440" s="11"/>
      <c r="F440" s="1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"/>
      <c r="C441" s="9"/>
      <c r="D441" s="9"/>
      <c r="E441" s="11"/>
      <c r="F441" s="1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"/>
      <c r="C442" s="9"/>
      <c r="D442" s="9"/>
      <c r="E442" s="11"/>
      <c r="F442" s="1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"/>
      <c r="C443" s="9"/>
      <c r="D443" s="9"/>
      <c r="E443" s="11"/>
      <c r="F443" s="1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"/>
      <c r="C444" s="9"/>
      <c r="D444" s="9"/>
      <c r="E444" s="11"/>
      <c r="F444" s="1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"/>
      <c r="C445" s="9"/>
      <c r="D445" s="9"/>
      <c r="E445" s="11"/>
      <c r="F445" s="1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"/>
      <c r="C446" s="9"/>
      <c r="D446" s="9"/>
      <c r="E446" s="11"/>
      <c r="F446" s="1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"/>
      <c r="C447" s="9"/>
      <c r="D447" s="9"/>
      <c r="E447" s="11"/>
      <c r="F447" s="1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"/>
      <c r="C448" s="9"/>
      <c r="D448" s="9"/>
      <c r="E448" s="11"/>
      <c r="F448" s="1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"/>
      <c r="C449" s="9"/>
      <c r="D449" s="9"/>
      <c r="E449" s="11"/>
      <c r="F449" s="1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"/>
      <c r="C450" s="9"/>
      <c r="D450" s="9"/>
      <c r="E450" s="11"/>
      <c r="F450" s="1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"/>
      <c r="C451" s="9"/>
      <c r="D451" s="9"/>
      <c r="E451" s="11"/>
      <c r="F451" s="1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"/>
      <c r="C452" s="9"/>
      <c r="D452" s="9"/>
      <c r="E452" s="11"/>
      <c r="F452" s="1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"/>
      <c r="C453" s="9"/>
      <c r="D453" s="9"/>
      <c r="E453" s="11"/>
      <c r="F453" s="1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"/>
      <c r="C454" s="9"/>
      <c r="D454" s="9"/>
      <c r="E454" s="11"/>
      <c r="F454" s="1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"/>
      <c r="C455" s="9"/>
      <c r="D455" s="9"/>
      <c r="E455" s="11"/>
      <c r="F455" s="1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"/>
      <c r="C456" s="9"/>
      <c r="D456" s="9"/>
      <c r="E456" s="11"/>
      <c r="F456" s="1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"/>
      <c r="C457" s="9"/>
      <c r="D457" s="9"/>
      <c r="E457" s="11"/>
      <c r="F457" s="1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"/>
      <c r="C458" s="9"/>
      <c r="D458" s="9"/>
      <c r="E458" s="11"/>
      <c r="F458" s="1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"/>
      <c r="C459" s="9"/>
      <c r="D459" s="9"/>
      <c r="E459" s="11"/>
      <c r="F459" s="1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"/>
      <c r="C460" s="9"/>
      <c r="D460" s="9"/>
      <c r="E460" s="11"/>
      <c r="F460" s="1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"/>
      <c r="C461" s="9"/>
      <c r="D461" s="9"/>
      <c r="E461" s="11"/>
      <c r="F461" s="1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"/>
      <c r="C462" s="9"/>
      <c r="D462" s="9"/>
      <c r="E462" s="11"/>
      <c r="F462" s="1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"/>
      <c r="C463" s="9"/>
      <c r="D463" s="9"/>
      <c r="E463" s="11"/>
      <c r="F463" s="1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"/>
      <c r="C464" s="9"/>
      <c r="D464" s="9"/>
      <c r="E464" s="11"/>
      <c r="F464" s="1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"/>
      <c r="C465" s="9"/>
      <c r="D465" s="9"/>
      <c r="E465" s="11"/>
      <c r="F465" s="1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"/>
      <c r="C466" s="9"/>
      <c r="D466" s="9"/>
      <c r="E466" s="11"/>
      <c r="F466" s="1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"/>
      <c r="C467" s="9"/>
      <c r="D467" s="9"/>
      <c r="E467" s="11"/>
      <c r="F467" s="1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"/>
      <c r="C468" s="9"/>
      <c r="D468" s="9"/>
      <c r="E468" s="11"/>
      <c r="F468" s="1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"/>
      <c r="C469" s="9"/>
      <c r="D469" s="9"/>
      <c r="E469" s="11"/>
      <c r="F469" s="1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"/>
      <c r="C470" s="9"/>
      <c r="D470" s="9"/>
      <c r="E470" s="11"/>
      <c r="F470" s="1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"/>
      <c r="C471" s="9"/>
      <c r="D471" s="9"/>
      <c r="E471" s="11"/>
      <c r="F471" s="1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"/>
      <c r="C472" s="9"/>
      <c r="D472" s="9"/>
      <c r="E472" s="11"/>
      <c r="F472" s="1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"/>
      <c r="C473" s="9"/>
      <c r="D473" s="9"/>
      <c r="E473" s="11"/>
      <c r="F473" s="1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"/>
      <c r="C474" s="9"/>
      <c r="D474" s="9"/>
      <c r="E474" s="11"/>
      <c r="F474" s="1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"/>
      <c r="C475" s="9"/>
      <c r="D475" s="9"/>
      <c r="E475" s="11"/>
      <c r="F475" s="1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"/>
      <c r="C476" s="9"/>
      <c r="D476" s="9"/>
      <c r="E476" s="11"/>
      <c r="F476" s="1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"/>
      <c r="C477" s="9"/>
      <c r="D477" s="9"/>
      <c r="E477" s="11"/>
      <c r="F477" s="1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"/>
      <c r="C478" s="9"/>
      <c r="D478" s="9"/>
      <c r="E478" s="11"/>
      <c r="F478" s="1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"/>
      <c r="C479" s="9"/>
      <c r="D479" s="9"/>
      <c r="E479" s="11"/>
      <c r="F479" s="1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"/>
      <c r="C480" s="9"/>
      <c r="D480" s="9"/>
      <c r="E480" s="11"/>
      <c r="F480" s="1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"/>
      <c r="C481" s="9"/>
      <c r="D481" s="9"/>
      <c r="E481" s="11"/>
      <c r="F481" s="1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"/>
      <c r="C482" s="9"/>
      <c r="D482" s="9"/>
      <c r="E482" s="11"/>
      <c r="F482" s="1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"/>
      <c r="C483" s="9"/>
      <c r="D483" s="9"/>
      <c r="E483" s="11"/>
      <c r="F483" s="1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"/>
      <c r="C484" s="9"/>
      <c r="D484" s="9"/>
      <c r="E484" s="11"/>
      <c r="F484" s="1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"/>
      <c r="C485" s="9"/>
      <c r="D485" s="9"/>
      <c r="E485" s="11"/>
      <c r="F485" s="1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"/>
      <c r="C486" s="9"/>
      <c r="D486" s="9"/>
      <c r="E486" s="11"/>
      <c r="F486" s="1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"/>
      <c r="C487" s="9"/>
      <c r="D487" s="9"/>
      <c r="E487" s="11"/>
      <c r="F487" s="1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"/>
      <c r="C488" s="9"/>
      <c r="D488" s="9"/>
      <c r="E488" s="11"/>
      <c r="F488" s="1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"/>
      <c r="C489" s="9"/>
      <c r="D489" s="9"/>
      <c r="E489" s="11"/>
      <c r="F489" s="1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"/>
      <c r="C490" s="9"/>
      <c r="D490" s="9"/>
      <c r="E490" s="11"/>
      <c r="F490" s="1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"/>
      <c r="C491" s="9"/>
      <c r="D491" s="9"/>
      <c r="E491" s="11"/>
      <c r="F491" s="1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"/>
      <c r="C492" s="9"/>
      <c r="D492" s="9"/>
      <c r="E492" s="11"/>
      <c r="F492" s="1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"/>
      <c r="C493" s="9"/>
      <c r="D493" s="9"/>
      <c r="E493" s="11"/>
      <c r="F493" s="1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"/>
      <c r="C494" s="9"/>
      <c r="D494" s="9"/>
      <c r="E494" s="11"/>
      <c r="F494" s="1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"/>
      <c r="C495" s="9"/>
      <c r="D495" s="9"/>
      <c r="E495" s="11"/>
      <c r="F495" s="1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"/>
      <c r="C496" s="9"/>
      <c r="D496" s="9"/>
      <c r="E496" s="11"/>
      <c r="F496" s="1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"/>
      <c r="C497" s="9"/>
      <c r="D497" s="9"/>
      <c r="E497" s="11"/>
      <c r="F497" s="1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"/>
      <c r="C498" s="9"/>
      <c r="D498" s="9"/>
      <c r="E498" s="11"/>
      <c r="F498" s="1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"/>
      <c r="C499" s="9"/>
      <c r="D499" s="9"/>
      <c r="E499" s="11"/>
      <c r="F499" s="1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"/>
      <c r="C500" s="9"/>
      <c r="D500" s="9"/>
      <c r="E500" s="11"/>
      <c r="F500" s="1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"/>
      <c r="C501" s="9"/>
      <c r="D501" s="9"/>
      <c r="E501" s="11"/>
      <c r="F501" s="11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"/>
      <c r="C502" s="9"/>
      <c r="D502" s="9"/>
      <c r="E502" s="11"/>
      <c r="F502" s="11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"/>
      <c r="C503" s="9"/>
      <c r="D503" s="9"/>
      <c r="E503" s="11"/>
      <c r="F503" s="11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"/>
      <c r="C504" s="9"/>
      <c r="D504" s="9"/>
      <c r="E504" s="11"/>
      <c r="F504" s="11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"/>
      <c r="C505" s="9"/>
      <c r="D505" s="9"/>
      <c r="E505" s="11"/>
      <c r="F505" s="11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"/>
      <c r="C506" s="9"/>
      <c r="D506" s="9"/>
      <c r="E506" s="11"/>
      <c r="F506" s="11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"/>
      <c r="C507" s="9"/>
      <c r="D507" s="9"/>
      <c r="E507" s="11"/>
      <c r="F507" s="11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"/>
      <c r="C508" s="9"/>
      <c r="D508" s="9"/>
      <c r="E508" s="11"/>
      <c r="F508" s="11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"/>
      <c r="C509" s="9"/>
      <c r="D509" s="9"/>
      <c r="E509" s="11"/>
      <c r="F509" s="11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"/>
      <c r="C510" s="9"/>
      <c r="D510" s="9"/>
      <c r="E510" s="11"/>
      <c r="F510" s="11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"/>
      <c r="C511" s="9"/>
      <c r="D511" s="9"/>
      <c r="E511" s="11"/>
      <c r="F511" s="11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"/>
      <c r="C512" s="9"/>
      <c r="D512" s="9"/>
      <c r="E512" s="11"/>
      <c r="F512" s="11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"/>
      <c r="C513" s="9"/>
      <c r="D513" s="9"/>
      <c r="E513" s="11"/>
      <c r="F513" s="11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"/>
      <c r="C514" s="9"/>
      <c r="D514" s="9"/>
      <c r="E514" s="11"/>
      <c r="F514" s="11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"/>
      <c r="C515" s="9"/>
      <c r="D515" s="9"/>
      <c r="E515" s="11"/>
      <c r="F515" s="11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"/>
      <c r="C516" s="9"/>
      <c r="D516" s="9"/>
      <c r="E516" s="11"/>
      <c r="F516" s="11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"/>
      <c r="C517" s="9"/>
      <c r="D517" s="9"/>
      <c r="E517" s="11"/>
      <c r="F517" s="11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"/>
      <c r="C518" s="9"/>
      <c r="D518" s="9"/>
      <c r="E518" s="11"/>
      <c r="F518" s="11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"/>
      <c r="C519" s="9"/>
      <c r="D519" s="9"/>
      <c r="E519" s="11"/>
      <c r="F519" s="11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"/>
      <c r="C520" s="9"/>
      <c r="D520" s="9"/>
      <c r="E520" s="11"/>
      <c r="F520" s="11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"/>
      <c r="C521" s="9"/>
      <c r="D521" s="9"/>
      <c r="E521" s="11"/>
      <c r="F521" s="11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"/>
      <c r="C522" s="9"/>
      <c r="D522" s="9"/>
      <c r="E522" s="11"/>
      <c r="F522" s="11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"/>
      <c r="C523" s="9"/>
      <c r="D523" s="9"/>
      <c r="E523" s="11"/>
      <c r="F523" s="11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"/>
      <c r="C524" s="9"/>
      <c r="D524" s="9"/>
      <c r="E524" s="11"/>
      <c r="F524" s="11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"/>
      <c r="C525" s="9"/>
      <c r="D525" s="9"/>
      <c r="E525" s="11"/>
      <c r="F525" s="11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"/>
      <c r="C526" s="9"/>
      <c r="D526" s="9"/>
      <c r="E526" s="11"/>
      <c r="F526" s="11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"/>
      <c r="C527" s="9"/>
      <c r="D527" s="9"/>
      <c r="E527" s="11"/>
      <c r="F527" s="11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"/>
      <c r="C528" s="9"/>
      <c r="D528" s="9"/>
      <c r="E528" s="11"/>
      <c r="F528" s="11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"/>
      <c r="C529" s="9"/>
      <c r="D529" s="9"/>
      <c r="E529" s="11"/>
      <c r="F529" s="11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"/>
      <c r="C530" s="9"/>
      <c r="D530" s="9"/>
      <c r="E530" s="11"/>
      <c r="F530" s="11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"/>
      <c r="C531" s="9"/>
      <c r="D531" s="9"/>
      <c r="E531" s="11"/>
      <c r="F531" s="11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"/>
      <c r="C532" s="9"/>
      <c r="D532" s="9"/>
      <c r="E532" s="11"/>
      <c r="F532" s="11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"/>
      <c r="C533" s="9"/>
      <c r="D533" s="9"/>
      <c r="E533" s="11"/>
      <c r="F533" s="11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"/>
      <c r="C534" s="9"/>
      <c r="D534" s="9"/>
      <c r="E534" s="11"/>
      <c r="F534" s="11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"/>
      <c r="C535" s="9"/>
      <c r="D535" s="9"/>
      <c r="E535" s="11"/>
      <c r="F535" s="11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"/>
      <c r="C536" s="9"/>
      <c r="D536" s="9"/>
      <c r="E536" s="11"/>
      <c r="F536" s="11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"/>
      <c r="C537" s="9"/>
      <c r="D537" s="9"/>
      <c r="E537" s="11"/>
      <c r="F537" s="11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"/>
      <c r="C538" s="9"/>
      <c r="D538" s="9"/>
      <c r="E538" s="11"/>
      <c r="F538" s="11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"/>
      <c r="C539" s="9"/>
      <c r="D539" s="9"/>
      <c r="E539" s="11"/>
      <c r="F539" s="11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"/>
      <c r="C540" s="9"/>
      <c r="D540" s="9"/>
      <c r="E540" s="11"/>
      <c r="F540" s="11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"/>
      <c r="C541" s="9"/>
      <c r="D541" s="9"/>
      <c r="E541" s="11"/>
      <c r="F541" s="11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"/>
      <c r="C542" s="9"/>
      <c r="D542" s="9"/>
      <c r="E542" s="11"/>
      <c r="F542" s="11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"/>
      <c r="C543" s="9"/>
      <c r="D543" s="9"/>
      <c r="E543" s="11"/>
      <c r="F543" s="11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"/>
      <c r="C544" s="9"/>
      <c r="D544" s="9"/>
      <c r="E544" s="11"/>
      <c r="F544" s="11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"/>
      <c r="C545" s="9"/>
      <c r="D545" s="9"/>
      <c r="E545" s="11"/>
      <c r="F545" s="11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"/>
      <c r="C546" s="9"/>
      <c r="D546" s="9"/>
      <c r="E546" s="11"/>
      <c r="F546" s="11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"/>
      <c r="C547" s="9"/>
      <c r="D547" s="9"/>
      <c r="E547" s="11"/>
      <c r="F547" s="11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"/>
      <c r="C548" s="9"/>
      <c r="D548" s="9"/>
      <c r="E548" s="11"/>
      <c r="F548" s="11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"/>
      <c r="C549" s="9"/>
      <c r="D549" s="9"/>
      <c r="E549" s="11"/>
      <c r="F549" s="11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"/>
      <c r="C550" s="9"/>
      <c r="D550" s="9"/>
      <c r="E550" s="11"/>
      <c r="F550" s="11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"/>
      <c r="C551" s="9"/>
      <c r="D551" s="9"/>
      <c r="E551" s="11"/>
      <c r="F551" s="11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"/>
      <c r="C552" s="9"/>
      <c r="D552" s="9"/>
      <c r="E552" s="11"/>
      <c r="F552" s="11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"/>
      <c r="C553" s="9"/>
      <c r="D553" s="9"/>
      <c r="E553" s="11"/>
      <c r="F553" s="11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"/>
      <c r="C554" s="9"/>
      <c r="D554" s="9"/>
      <c r="E554" s="11"/>
      <c r="F554" s="11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"/>
      <c r="C555" s="9"/>
      <c r="D555" s="9"/>
      <c r="E555" s="11"/>
      <c r="F555" s="11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"/>
      <c r="C556" s="9"/>
      <c r="D556" s="9"/>
      <c r="E556" s="11"/>
      <c r="F556" s="11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"/>
      <c r="C557" s="9"/>
      <c r="D557" s="9"/>
      <c r="E557" s="11"/>
      <c r="F557" s="11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"/>
      <c r="C558" s="9"/>
      <c r="D558" s="9"/>
      <c r="E558" s="11"/>
      <c r="F558" s="11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"/>
      <c r="C559" s="9"/>
      <c r="D559" s="9"/>
      <c r="E559" s="11"/>
      <c r="F559" s="11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"/>
      <c r="C560" s="9"/>
      <c r="D560" s="9"/>
      <c r="E560" s="11"/>
      <c r="F560" s="11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"/>
      <c r="C561" s="9"/>
      <c r="D561" s="9"/>
      <c r="E561" s="11"/>
      <c r="F561" s="11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"/>
      <c r="C562" s="9"/>
      <c r="D562" s="9"/>
      <c r="E562" s="11"/>
      <c r="F562" s="11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"/>
      <c r="C563" s="9"/>
      <c r="D563" s="9"/>
      <c r="E563" s="11"/>
      <c r="F563" s="11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"/>
      <c r="C564" s="9"/>
      <c r="D564" s="9"/>
      <c r="E564" s="11"/>
      <c r="F564" s="11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"/>
      <c r="C565" s="9"/>
      <c r="D565" s="9"/>
      <c r="E565" s="11"/>
      <c r="F565" s="11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"/>
      <c r="C566" s="9"/>
      <c r="D566" s="9"/>
      <c r="E566" s="11"/>
      <c r="F566" s="11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"/>
      <c r="C567" s="9"/>
      <c r="D567" s="9"/>
      <c r="E567" s="11"/>
      <c r="F567" s="11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"/>
      <c r="C568" s="9"/>
      <c r="D568" s="9"/>
      <c r="E568" s="11"/>
      <c r="F568" s="11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"/>
      <c r="C569" s="9"/>
      <c r="D569" s="9"/>
      <c r="E569" s="11"/>
      <c r="F569" s="11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"/>
      <c r="C570" s="9"/>
      <c r="D570" s="9"/>
      <c r="E570" s="11"/>
      <c r="F570" s="11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"/>
      <c r="C571" s="9"/>
      <c r="D571" s="9"/>
      <c r="E571" s="11"/>
      <c r="F571" s="11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"/>
      <c r="C572" s="9"/>
      <c r="D572" s="9"/>
      <c r="E572" s="11"/>
      <c r="F572" s="11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"/>
      <c r="C573" s="9"/>
      <c r="D573" s="9"/>
      <c r="E573" s="11"/>
      <c r="F573" s="11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"/>
      <c r="C574" s="9"/>
      <c r="D574" s="9"/>
      <c r="E574" s="11"/>
      <c r="F574" s="11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"/>
      <c r="C575" s="9"/>
      <c r="D575" s="9"/>
      <c r="E575" s="11"/>
      <c r="F575" s="11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"/>
      <c r="C576" s="9"/>
      <c r="D576" s="9"/>
      <c r="E576" s="11"/>
      <c r="F576" s="11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"/>
      <c r="C577" s="9"/>
      <c r="D577" s="9"/>
      <c r="E577" s="11"/>
      <c r="F577" s="11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"/>
      <c r="C578" s="9"/>
      <c r="D578" s="9"/>
      <c r="E578" s="11"/>
      <c r="F578" s="11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"/>
      <c r="C579" s="9"/>
      <c r="D579" s="9"/>
      <c r="E579" s="11"/>
      <c r="F579" s="11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"/>
      <c r="C580" s="9"/>
      <c r="D580" s="9"/>
      <c r="E580" s="11"/>
      <c r="F580" s="11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"/>
      <c r="C581" s="9"/>
      <c r="D581" s="9"/>
      <c r="E581" s="11"/>
      <c r="F581" s="11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"/>
      <c r="C582" s="9"/>
      <c r="D582" s="9"/>
      <c r="E582" s="11"/>
      <c r="F582" s="11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"/>
      <c r="C583" s="9"/>
      <c r="D583" s="9"/>
      <c r="E583" s="11"/>
      <c r="F583" s="11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"/>
      <c r="C584" s="9"/>
      <c r="D584" s="9"/>
      <c r="E584" s="11"/>
      <c r="F584" s="11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"/>
      <c r="C585" s="9"/>
      <c r="D585" s="9"/>
      <c r="E585" s="11"/>
      <c r="F585" s="11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"/>
      <c r="C586" s="9"/>
      <c r="D586" s="9"/>
      <c r="E586" s="11"/>
      <c r="F586" s="11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"/>
      <c r="C587" s="9"/>
      <c r="D587" s="9"/>
      <c r="E587" s="11"/>
      <c r="F587" s="11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"/>
      <c r="C588" s="9"/>
      <c r="D588" s="9"/>
      <c r="E588" s="11"/>
      <c r="F588" s="11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"/>
      <c r="C589" s="9"/>
      <c r="D589" s="9"/>
      <c r="E589" s="11"/>
      <c r="F589" s="11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"/>
      <c r="C590" s="9"/>
      <c r="D590" s="9"/>
      <c r="E590" s="11"/>
      <c r="F590" s="11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"/>
      <c r="C591" s="9"/>
      <c r="D591" s="9"/>
      <c r="E591" s="11"/>
      <c r="F591" s="11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"/>
      <c r="C592" s="9"/>
      <c r="D592" s="9"/>
      <c r="E592" s="11"/>
      <c r="F592" s="11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"/>
      <c r="C593" s="9"/>
      <c r="D593" s="9"/>
      <c r="E593" s="11"/>
      <c r="F593" s="11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"/>
      <c r="C594" s="9"/>
      <c r="D594" s="9"/>
      <c r="E594" s="11"/>
      <c r="F594" s="11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"/>
      <c r="C595" s="9"/>
      <c r="D595" s="9"/>
      <c r="E595" s="11"/>
      <c r="F595" s="11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"/>
      <c r="C596" s="9"/>
      <c r="D596" s="9"/>
      <c r="E596" s="11"/>
      <c r="F596" s="11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"/>
      <c r="C597" s="9"/>
      <c r="D597" s="9"/>
      <c r="E597" s="11"/>
      <c r="F597" s="11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"/>
      <c r="C598" s="9"/>
      <c r="D598" s="9"/>
      <c r="E598" s="11"/>
      <c r="F598" s="11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"/>
      <c r="C599" s="9"/>
      <c r="D599" s="9"/>
      <c r="E599" s="11"/>
      <c r="F599" s="11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"/>
      <c r="C600" s="9"/>
      <c r="D600" s="9"/>
      <c r="E600" s="11"/>
      <c r="F600" s="11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"/>
      <c r="C601" s="9"/>
      <c r="D601" s="9"/>
      <c r="E601" s="11"/>
      <c r="F601" s="11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"/>
      <c r="C602" s="9"/>
      <c r="D602" s="9"/>
      <c r="E602" s="11"/>
      <c r="F602" s="11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"/>
      <c r="C603" s="9"/>
      <c r="D603" s="9"/>
      <c r="E603" s="11"/>
      <c r="F603" s="11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"/>
      <c r="C604" s="9"/>
      <c r="D604" s="9"/>
      <c r="E604" s="11"/>
      <c r="F604" s="11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"/>
      <c r="C605" s="9"/>
      <c r="D605" s="9"/>
      <c r="E605" s="11"/>
      <c r="F605" s="11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"/>
      <c r="C606" s="9"/>
      <c r="D606" s="9"/>
      <c r="E606" s="11"/>
      <c r="F606" s="11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"/>
      <c r="C607" s="9"/>
      <c r="D607" s="9"/>
      <c r="E607" s="11"/>
      <c r="F607" s="11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"/>
      <c r="C608" s="9"/>
      <c r="D608" s="9"/>
      <c r="E608" s="11"/>
      <c r="F608" s="11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"/>
      <c r="C609" s="9"/>
      <c r="D609" s="9"/>
      <c r="E609" s="11"/>
      <c r="F609" s="11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"/>
      <c r="C610" s="9"/>
      <c r="D610" s="9"/>
      <c r="E610" s="11"/>
      <c r="F610" s="11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"/>
      <c r="C611" s="9"/>
      <c r="D611" s="9"/>
      <c r="E611" s="11"/>
      <c r="F611" s="11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"/>
      <c r="C612" s="9"/>
      <c r="D612" s="9"/>
      <c r="E612" s="11"/>
      <c r="F612" s="11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"/>
      <c r="C613" s="9"/>
      <c r="D613" s="9"/>
      <c r="E613" s="11"/>
      <c r="F613" s="11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"/>
      <c r="C614" s="9"/>
      <c r="D614" s="9"/>
      <c r="E614" s="11"/>
      <c r="F614" s="11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"/>
      <c r="C615" s="9"/>
      <c r="D615" s="9"/>
      <c r="E615" s="11"/>
      <c r="F615" s="11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"/>
      <c r="C616" s="9"/>
      <c r="D616" s="9"/>
      <c r="E616" s="11"/>
      <c r="F616" s="11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"/>
      <c r="C617" s="9"/>
      <c r="D617" s="9"/>
      <c r="E617" s="11"/>
      <c r="F617" s="11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"/>
      <c r="C618" s="9"/>
      <c r="D618" s="9"/>
      <c r="E618" s="11"/>
      <c r="F618" s="11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"/>
      <c r="C619" s="9"/>
      <c r="D619" s="9"/>
      <c r="E619" s="11"/>
      <c r="F619" s="11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"/>
      <c r="C620" s="9"/>
      <c r="D620" s="9"/>
      <c r="E620" s="11"/>
      <c r="F620" s="11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"/>
      <c r="C621" s="9"/>
      <c r="D621" s="9"/>
      <c r="E621" s="11"/>
      <c r="F621" s="11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"/>
      <c r="C622" s="9"/>
      <c r="D622" s="9"/>
      <c r="E622" s="11"/>
      <c r="F622" s="11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"/>
      <c r="C623" s="9"/>
      <c r="D623" s="9"/>
      <c r="E623" s="11"/>
      <c r="F623" s="11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"/>
      <c r="C624" s="9"/>
      <c r="D624" s="9"/>
      <c r="E624" s="11"/>
      <c r="F624" s="11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"/>
      <c r="C625" s="9"/>
      <c r="D625" s="9"/>
      <c r="E625" s="11"/>
      <c r="F625" s="11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"/>
      <c r="C626" s="9"/>
      <c r="D626" s="9"/>
      <c r="E626" s="11"/>
      <c r="F626" s="11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"/>
      <c r="C627" s="9"/>
      <c r="D627" s="9"/>
      <c r="E627" s="11"/>
      <c r="F627" s="11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"/>
      <c r="C628" s="9"/>
      <c r="D628" s="9"/>
      <c r="E628" s="11"/>
      <c r="F628" s="11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"/>
      <c r="C629" s="9"/>
      <c r="D629" s="9"/>
      <c r="E629" s="11"/>
      <c r="F629" s="11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"/>
      <c r="C630" s="9"/>
      <c r="D630" s="9"/>
      <c r="E630" s="11"/>
      <c r="F630" s="11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"/>
      <c r="C631" s="9"/>
      <c r="D631" s="9"/>
      <c r="E631" s="11"/>
      <c r="F631" s="11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"/>
      <c r="C632" s="9"/>
      <c r="D632" s="9"/>
      <c r="E632" s="11"/>
      <c r="F632" s="11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"/>
      <c r="C633" s="9"/>
      <c r="D633" s="9"/>
      <c r="E633" s="11"/>
      <c r="F633" s="11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"/>
      <c r="C634" s="9"/>
      <c r="D634" s="9"/>
      <c r="E634" s="11"/>
      <c r="F634" s="11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"/>
      <c r="C635" s="9"/>
      <c r="D635" s="9"/>
      <c r="E635" s="11"/>
      <c r="F635" s="11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"/>
      <c r="C636" s="9"/>
      <c r="D636" s="9"/>
      <c r="E636" s="11"/>
      <c r="F636" s="11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"/>
      <c r="C637" s="9"/>
      <c r="D637" s="9"/>
      <c r="E637" s="11"/>
      <c r="F637" s="11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"/>
      <c r="C638" s="9"/>
      <c r="D638" s="9"/>
      <c r="E638" s="11"/>
      <c r="F638" s="11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"/>
      <c r="C639" s="9"/>
      <c r="D639" s="9"/>
      <c r="E639" s="11"/>
      <c r="F639" s="11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"/>
      <c r="C640" s="9"/>
      <c r="D640" s="9"/>
      <c r="E640" s="11"/>
      <c r="F640" s="11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"/>
      <c r="C641" s="9"/>
      <c r="D641" s="9"/>
      <c r="E641" s="11"/>
      <c r="F641" s="11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"/>
      <c r="C642" s="9"/>
      <c r="D642" s="9"/>
      <c r="E642" s="11"/>
      <c r="F642" s="11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"/>
      <c r="C643" s="9"/>
      <c r="D643" s="9"/>
      <c r="E643" s="11"/>
      <c r="F643" s="11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"/>
      <c r="C644" s="9"/>
      <c r="D644" s="9"/>
      <c r="E644" s="11"/>
      <c r="F644" s="11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"/>
      <c r="C645" s="9"/>
      <c r="D645" s="9"/>
      <c r="E645" s="11"/>
      <c r="F645" s="11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"/>
      <c r="C646" s="9"/>
      <c r="D646" s="9"/>
      <c r="E646" s="11"/>
      <c r="F646" s="11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"/>
      <c r="C647" s="9"/>
      <c r="D647" s="9"/>
      <c r="E647" s="11"/>
      <c r="F647" s="11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"/>
      <c r="C648" s="9"/>
      <c r="D648" s="9"/>
      <c r="E648" s="11"/>
      <c r="F648" s="11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"/>
      <c r="C649" s="9"/>
      <c r="D649" s="9"/>
      <c r="E649" s="11"/>
      <c r="F649" s="11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"/>
      <c r="C650" s="9"/>
      <c r="D650" s="9"/>
      <c r="E650" s="11"/>
      <c r="F650" s="11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"/>
      <c r="C651" s="9"/>
      <c r="D651" s="9"/>
      <c r="E651" s="11"/>
      <c r="F651" s="11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"/>
      <c r="C652" s="9"/>
      <c r="D652" s="9"/>
      <c r="E652" s="11"/>
      <c r="F652" s="11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"/>
      <c r="C653" s="9"/>
      <c r="D653" s="9"/>
      <c r="E653" s="11"/>
      <c r="F653" s="11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"/>
      <c r="C654" s="9"/>
      <c r="D654" s="9"/>
      <c r="E654" s="11"/>
      <c r="F654" s="11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"/>
      <c r="C655" s="9"/>
      <c r="D655" s="9"/>
      <c r="E655" s="11"/>
      <c r="F655" s="11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"/>
      <c r="C656" s="9"/>
      <c r="D656" s="9"/>
      <c r="E656" s="11"/>
      <c r="F656" s="11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"/>
      <c r="C657" s="9"/>
      <c r="D657" s="9"/>
      <c r="E657" s="11"/>
      <c r="F657" s="11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"/>
      <c r="C658" s="9"/>
      <c r="D658" s="9"/>
      <c r="E658" s="11"/>
      <c r="F658" s="11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"/>
      <c r="C659" s="9"/>
      <c r="D659" s="9"/>
      <c r="E659" s="11"/>
      <c r="F659" s="11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"/>
      <c r="C660" s="9"/>
      <c r="D660" s="9"/>
      <c r="E660" s="11"/>
      <c r="F660" s="11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"/>
      <c r="C661" s="9"/>
      <c r="D661" s="9"/>
      <c r="E661" s="11"/>
      <c r="F661" s="11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"/>
      <c r="C662" s="9"/>
      <c r="D662" s="9"/>
      <c r="E662" s="11"/>
      <c r="F662" s="11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"/>
      <c r="C663" s="9"/>
      <c r="D663" s="9"/>
      <c r="E663" s="11"/>
      <c r="F663" s="11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"/>
      <c r="C664" s="9"/>
      <c r="D664" s="9"/>
      <c r="E664" s="11"/>
      <c r="F664" s="11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"/>
      <c r="C665" s="9"/>
      <c r="D665" s="9"/>
      <c r="E665" s="11"/>
      <c r="F665" s="11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"/>
      <c r="C666" s="9"/>
      <c r="D666" s="9"/>
      <c r="E666" s="11"/>
      <c r="F666" s="11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"/>
      <c r="C667" s="9"/>
      <c r="D667" s="9"/>
      <c r="E667" s="11"/>
      <c r="F667" s="11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"/>
      <c r="C668" s="9"/>
      <c r="D668" s="9"/>
      <c r="E668" s="11"/>
      <c r="F668" s="11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"/>
      <c r="C669" s="9"/>
      <c r="D669" s="9"/>
      <c r="E669" s="11"/>
      <c r="F669" s="11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"/>
      <c r="C670" s="9"/>
      <c r="D670" s="9"/>
      <c r="E670" s="11"/>
      <c r="F670" s="11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"/>
      <c r="C671" s="9"/>
      <c r="D671" s="9"/>
      <c r="E671" s="11"/>
      <c r="F671" s="11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"/>
      <c r="C672" s="9"/>
      <c r="D672" s="9"/>
      <c r="E672" s="11"/>
      <c r="F672" s="11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"/>
      <c r="C673" s="9"/>
      <c r="D673" s="9"/>
      <c r="E673" s="11"/>
      <c r="F673" s="11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"/>
      <c r="C674" s="9"/>
      <c r="D674" s="9"/>
      <c r="E674" s="11"/>
      <c r="F674" s="11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"/>
      <c r="C675" s="9"/>
      <c r="D675" s="9"/>
      <c r="E675" s="11"/>
      <c r="F675" s="11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"/>
      <c r="C676" s="9"/>
      <c r="D676" s="9"/>
      <c r="E676" s="11"/>
      <c r="F676" s="11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"/>
      <c r="C677" s="9"/>
      <c r="D677" s="9"/>
      <c r="E677" s="11"/>
      <c r="F677" s="11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"/>
      <c r="C678" s="9"/>
      <c r="D678" s="9"/>
      <c r="E678" s="11"/>
      <c r="F678" s="11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"/>
      <c r="C679" s="9"/>
      <c r="D679" s="9"/>
      <c r="E679" s="11"/>
      <c r="F679" s="11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"/>
      <c r="C680" s="9"/>
      <c r="D680" s="9"/>
      <c r="E680" s="11"/>
      <c r="F680" s="11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"/>
      <c r="C681" s="9"/>
      <c r="D681" s="9"/>
      <c r="E681" s="11"/>
      <c r="F681" s="11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"/>
      <c r="C682" s="9"/>
      <c r="D682" s="9"/>
      <c r="E682" s="11"/>
      <c r="F682" s="11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"/>
      <c r="C683" s="9"/>
      <c r="D683" s="9"/>
      <c r="E683" s="11"/>
      <c r="F683" s="11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"/>
      <c r="C684" s="9"/>
      <c r="D684" s="9"/>
      <c r="E684" s="11"/>
      <c r="F684" s="11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"/>
      <c r="C685" s="9"/>
      <c r="D685" s="9"/>
      <c r="E685" s="11"/>
      <c r="F685" s="11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"/>
      <c r="C686" s="9"/>
      <c r="D686" s="9"/>
      <c r="E686" s="11"/>
      <c r="F686" s="11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"/>
      <c r="C687" s="9"/>
      <c r="D687" s="9"/>
      <c r="E687" s="11"/>
      <c r="F687" s="11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"/>
      <c r="C688" s="9"/>
      <c r="D688" s="9"/>
      <c r="E688" s="11"/>
      <c r="F688" s="11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"/>
      <c r="C689" s="9"/>
      <c r="D689" s="9"/>
      <c r="E689" s="11"/>
      <c r="F689" s="11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"/>
      <c r="C690" s="9"/>
      <c r="D690" s="9"/>
      <c r="E690" s="11"/>
      <c r="F690" s="11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"/>
      <c r="C691" s="9"/>
      <c r="D691" s="9"/>
      <c r="E691" s="11"/>
      <c r="F691" s="11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"/>
      <c r="C692" s="9"/>
      <c r="D692" s="9"/>
      <c r="E692" s="11"/>
      <c r="F692" s="11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"/>
      <c r="C693" s="9"/>
      <c r="D693" s="9"/>
      <c r="E693" s="11"/>
      <c r="F693" s="11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"/>
      <c r="C694" s="9"/>
      <c r="D694" s="9"/>
      <c r="E694" s="11"/>
      <c r="F694" s="11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"/>
      <c r="C695" s="9"/>
      <c r="D695" s="9"/>
      <c r="E695" s="11"/>
      <c r="F695" s="11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"/>
      <c r="C696" s="9"/>
      <c r="D696" s="9"/>
      <c r="E696" s="11"/>
      <c r="F696" s="11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"/>
      <c r="C697" s="9"/>
      <c r="D697" s="9"/>
      <c r="E697" s="11"/>
      <c r="F697" s="11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"/>
      <c r="C698" s="9"/>
      <c r="D698" s="9"/>
      <c r="E698" s="11"/>
      <c r="F698" s="11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"/>
      <c r="C699" s="9"/>
      <c r="D699" s="9"/>
      <c r="E699" s="11"/>
      <c r="F699" s="11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"/>
      <c r="C700" s="9"/>
      <c r="D700" s="9"/>
      <c r="E700" s="11"/>
      <c r="F700" s="11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"/>
      <c r="C701" s="9"/>
      <c r="D701" s="9"/>
      <c r="E701" s="11"/>
      <c r="F701" s="11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"/>
      <c r="C702" s="9"/>
      <c r="D702" s="9"/>
      <c r="E702" s="11"/>
      <c r="F702" s="11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"/>
      <c r="C703" s="9"/>
      <c r="D703" s="9"/>
      <c r="E703" s="11"/>
      <c r="F703" s="11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"/>
      <c r="C704" s="9"/>
      <c r="D704" s="9"/>
      <c r="E704" s="11"/>
      <c r="F704" s="11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"/>
      <c r="C705" s="9"/>
      <c r="D705" s="9"/>
      <c r="E705" s="11"/>
      <c r="F705" s="11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"/>
      <c r="C706" s="9"/>
      <c r="D706" s="9"/>
      <c r="E706" s="11"/>
      <c r="F706" s="11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"/>
      <c r="C707" s="9"/>
      <c r="D707" s="9"/>
      <c r="E707" s="11"/>
      <c r="F707" s="11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"/>
      <c r="C708" s="9"/>
      <c r="D708" s="9"/>
      <c r="E708" s="11"/>
      <c r="F708" s="11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"/>
      <c r="C709" s="9"/>
      <c r="D709" s="9"/>
      <c r="E709" s="11"/>
      <c r="F709" s="11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"/>
      <c r="C710" s="9"/>
      <c r="D710" s="9"/>
      <c r="E710" s="11"/>
      <c r="F710" s="11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"/>
      <c r="C711" s="9"/>
      <c r="D711" s="9"/>
      <c r="E711" s="11"/>
      <c r="F711" s="11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"/>
      <c r="C712" s="9"/>
      <c r="D712" s="9"/>
      <c r="E712" s="11"/>
      <c r="F712" s="11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"/>
      <c r="C713" s="9"/>
      <c r="D713" s="9"/>
      <c r="E713" s="11"/>
      <c r="F713" s="11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"/>
      <c r="C714" s="9"/>
      <c r="D714" s="9"/>
      <c r="E714" s="11"/>
      <c r="F714" s="11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"/>
      <c r="C715" s="9"/>
      <c r="D715" s="9"/>
      <c r="E715" s="11"/>
      <c r="F715" s="11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"/>
      <c r="C716" s="9"/>
      <c r="D716" s="9"/>
      <c r="E716" s="11"/>
      <c r="F716" s="11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"/>
      <c r="C717" s="9"/>
      <c r="D717" s="9"/>
      <c r="E717" s="11"/>
      <c r="F717" s="11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"/>
      <c r="C718" s="9"/>
      <c r="D718" s="9"/>
      <c r="E718" s="11"/>
      <c r="F718" s="11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"/>
      <c r="C719" s="9"/>
      <c r="D719" s="9"/>
      <c r="E719" s="11"/>
      <c r="F719" s="11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"/>
      <c r="C720" s="9"/>
      <c r="D720" s="9"/>
      <c r="E720" s="11"/>
      <c r="F720" s="11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"/>
      <c r="C721" s="9"/>
      <c r="D721" s="9"/>
      <c r="E721" s="11"/>
      <c r="F721" s="11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"/>
      <c r="C722" s="9"/>
      <c r="D722" s="9"/>
      <c r="E722" s="11"/>
      <c r="F722" s="11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"/>
      <c r="C723" s="9"/>
      <c r="D723" s="9"/>
      <c r="E723" s="11"/>
      <c r="F723" s="11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"/>
      <c r="C724" s="9"/>
      <c r="D724" s="9"/>
      <c r="E724" s="11"/>
      <c r="F724" s="11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"/>
      <c r="C725" s="9"/>
      <c r="D725" s="9"/>
      <c r="E725" s="11"/>
      <c r="F725" s="11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"/>
      <c r="C726" s="9"/>
      <c r="D726" s="9"/>
      <c r="E726" s="11"/>
      <c r="F726" s="11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"/>
      <c r="C727" s="9"/>
      <c r="D727" s="9"/>
      <c r="E727" s="11"/>
      <c r="F727" s="11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"/>
      <c r="C728" s="9"/>
      <c r="D728" s="9"/>
      <c r="E728" s="11"/>
      <c r="F728" s="11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"/>
      <c r="C729" s="9"/>
      <c r="D729" s="9"/>
      <c r="E729" s="11"/>
      <c r="F729" s="11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"/>
      <c r="C730" s="9"/>
      <c r="D730" s="9"/>
      <c r="E730" s="11"/>
      <c r="F730" s="11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"/>
      <c r="C731" s="9"/>
      <c r="D731" s="9"/>
      <c r="E731" s="11"/>
      <c r="F731" s="11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"/>
      <c r="C732" s="9"/>
      <c r="D732" s="9"/>
      <c r="E732" s="11"/>
      <c r="F732" s="11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"/>
      <c r="C733" s="9"/>
      <c r="D733" s="9"/>
      <c r="E733" s="11"/>
      <c r="F733" s="11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"/>
      <c r="C734" s="9"/>
      <c r="D734" s="9"/>
      <c r="E734" s="11"/>
      <c r="F734" s="11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"/>
      <c r="C735" s="9"/>
      <c r="D735" s="9"/>
      <c r="E735" s="11"/>
      <c r="F735" s="11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"/>
      <c r="C736" s="9"/>
      <c r="D736" s="9"/>
      <c r="E736" s="11"/>
      <c r="F736" s="11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"/>
      <c r="C737" s="9"/>
      <c r="D737" s="9"/>
      <c r="E737" s="11"/>
      <c r="F737" s="11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"/>
      <c r="C738" s="9"/>
      <c r="D738" s="9"/>
      <c r="E738" s="11"/>
      <c r="F738" s="11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"/>
      <c r="C739" s="9"/>
      <c r="D739" s="9"/>
      <c r="E739" s="11"/>
      <c r="F739" s="11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"/>
      <c r="C740" s="9"/>
      <c r="D740" s="9"/>
      <c r="E740" s="11"/>
      <c r="F740" s="11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"/>
      <c r="C741" s="9"/>
      <c r="D741" s="9"/>
      <c r="E741" s="11"/>
      <c r="F741" s="11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"/>
      <c r="C742" s="9"/>
      <c r="D742" s="9"/>
      <c r="E742" s="11"/>
      <c r="F742" s="11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"/>
      <c r="C743" s="9"/>
      <c r="D743" s="9"/>
      <c r="E743" s="11"/>
      <c r="F743" s="11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"/>
      <c r="C744" s="9"/>
      <c r="D744" s="9"/>
      <c r="E744" s="11"/>
      <c r="F744" s="11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"/>
      <c r="C745" s="9"/>
      <c r="D745" s="9"/>
      <c r="E745" s="11"/>
      <c r="F745" s="11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"/>
      <c r="C746" s="9"/>
      <c r="D746" s="9"/>
      <c r="E746" s="11"/>
      <c r="F746" s="11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"/>
      <c r="C747" s="9"/>
      <c r="D747" s="9"/>
      <c r="E747" s="11"/>
      <c r="F747" s="11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"/>
      <c r="C748" s="9"/>
      <c r="D748" s="9"/>
      <c r="E748" s="11"/>
      <c r="F748" s="11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"/>
      <c r="C749" s="9"/>
      <c r="D749" s="9"/>
      <c r="E749" s="11"/>
      <c r="F749" s="11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"/>
      <c r="C750" s="9"/>
      <c r="D750" s="9"/>
      <c r="E750" s="11"/>
      <c r="F750" s="11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"/>
      <c r="C751" s="9"/>
      <c r="D751" s="9"/>
      <c r="E751" s="11"/>
      <c r="F751" s="11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"/>
      <c r="C752" s="9"/>
      <c r="D752" s="9"/>
      <c r="E752" s="11"/>
      <c r="F752" s="11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"/>
      <c r="C753" s="9"/>
      <c r="D753" s="9"/>
      <c r="E753" s="11"/>
      <c r="F753" s="11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"/>
      <c r="C754" s="9"/>
      <c r="D754" s="9"/>
      <c r="E754" s="11"/>
      <c r="F754" s="11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"/>
      <c r="C755" s="9"/>
      <c r="D755" s="9"/>
      <c r="E755" s="11"/>
      <c r="F755" s="11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"/>
      <c r="C756" s="9"/>
      <c r="D756" s="9"/>
      <c r="E756" s="11"/>
      <c r="F756" s="11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"/>
      <c r="C757" s="9"/>
      <c r="D757" s="9"/>
      <c r="E757" s="11"/>
      <c r="F757" s="11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"/>
      <c r="C758" s="9"/>
      <c r="D758" s="9"/>
      <c r="E758" s="11"/>
      <c r="F758" s="11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"/>
      <c r="C759" s="9"/>
      <c r="D759" s="9"/>
      <c r="E759" s="11"/>
      <c r="F759" s="11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"/>
      <c r="C760" s="9"/>
      <c r="D760" s="9"/>
      <c r="E760" s="11"/>
      <c r="F760" s="11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"/>
      <c r="C761" s="9"/>
      <c r="D761" s="9"/>
      <c r="E761" s="11"/>
      <c r="F761" s="11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"/>
      <c r="C762" s="9"/>
      <c r="D762" s="9"/>
      <c r="E762" s="11"/>
      <c r="F762" s="11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"/>
      <c r="C763" s="9"/>
      <c r="D763" s="9"/>
      <c r="E763" s="11"/>
      <c r="F763" s="11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"/>
      <c r="C764" s="9"/>
      <c r="D764" s="9"/>
      <c r="E764" s="11"/>
      <c r="F764" s="11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"/>
      <c r="C765" s="9"/>
      <c r="D765" s="9"/>
      <c r="E765" s="11"/>
      <c r="F765" s="11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"/>
      <c r="C766" s="9"/>
      <c r="D766" s="9"/>
      <c r="E766" s="11"/>
      <c r="F766" s="11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"/>
      <c r="C767" s="9"/>
      <c r="D767" s="9"/>
      <c r="E767" s="11"/>
      <c r="F767" s="11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"/>
      <c r="C768" s="9"/>
      <c r="D768" s="9"/>
      <c r="E768" s="11"/>
      <c r="F768" s="11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"/>
      <c r="C769" s="9"/>
      <c r="D769" s="9"/>
      <c r="E769" s="11"/>
      <c r="F769" s="11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"/>
      <c r="C770" s="9"/>
      <c r="D770" s="9"/>
      <c r="E770" s="11"/>
      <c r="F770" s="11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"/>
      <c r="C771" s="9"/>
      <c r="D771" s="9"/>
      <c r="E771" s="11"/>
      <c r="F771" s="11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"/>
      <c r="C772" s="9"/>
      <c r="D772" s="9"/>
      <c r="E772" s="11"/>
      <c r="F772" s="11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"/>
      <c r="C773" s="9"/>
      <c r="D773" s="9"/>
      <c r="E773" s="11"/>
      <c r="F773" s="11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"/>
      <c r="C774" s="9"/>
      <c r="D774" s="9"/>
      <c r="E774" s="11"/>
      <c r="F774" s="11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"/>
      <c r="C775" s="9"/>
      <c r="D775" s="9"/>
      <c r="E775" s="11"/>
      <c r="F775" s="11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"/>
      <c r="C776" s="9"/>
      <c r="D776" s="9"/>
      <c r="E776" s="11"/>
      <c r="F776" s="11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"/>
      <c r="C777" s="9"/>
      <c r="D777" s="9"/>
      <c r="E777" s="11"/>
      <c r="F777" s="11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"/>
      <c r="C778" s="9"/>
      <c r="D778" s="9"/>
      <c r="E778" s="11"/>
      <c r="F778" s="11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"/>
      <c r="C779" s="9"/>
      <c r="D779" s="9"/>
      <c r="E779" s="11"/>
      <c r="F779" s="11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"/>
      <c r="C780" s="9"/>
      <c r="D780" s="9"/>
      <c r="E780" s="11"/>
      <c r="F780" s="11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"/>
      <c r="C781" s="9"/>
      <c r="D781" s="9"/>
      <c r="E781" s="11"/>
      <c r="F781" s="11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"/>
      <c r="C782" s="9"/>
      <c r="D782" s="9"/>
      <c r="E782" s="11"/>
      <c r="F782" s="11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"/>
      <c r="C783" s="9"/>
      <c r="D783" s="9"/>
      <c r="E783" s="11"/>
      <c r="F783" s="11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"/>
      <c r="C784" s="9"/>
      <c r="D784" s="9"/>
      <c r="E784" s="11"/>
      <c r="F784" s="11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"/>
      <c r="C785" s="9"/>
      <c r="D785" s="9"/>
      <c r="E785" s="11"/>
      <c r="F785" s="11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"/>
      <c r="C786" s="9"/>
      <c r="D786" s="9"/>
      <c r="E786" s="11"/>
      <c r="F786" s="11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"/>
      <c r="C787" s="9"/>
      <c r="D787" s="9"/>
      <c r="E787" s="11"/>
      <c r="F787" s="11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"/>
      <c r="C788" s="9"/>
      <c r="D788" s="9"/>
      <c r="E788" s="11"/>
      <c r="F788" s="11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"/>
      <c r="C789" s="9"/>
      <c r="D789" s="9"/>
      <c r="E789" s="11"/>
      <c r="F789" s="11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"/>
      <c r="C790" s="9"/>
      <c r="D790" s="9"/>
      <c r="E790" s="11"/>
      <c r="F790" s="11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"/>
      <c r="C791" s="9"/>
      <c r="D791" s="9"/>
      <c r="E791" s="11"/>
      <c r="F791" s="11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"/>
      <c r="C792" s="9"/>
      <c r="D792" s="9"/>
      <c r="E792" s="11"/>
      <c r="F792" s="11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"/>
      <c r="C793" s="9"/>
      <c r="D793" s="9"/>
      <c r="E793" s="11"/>
      <c r="F793" s="11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"/>
      <c r="C794" s="9"/>
      <c r="D794" s="9"/>
      <c r="E794" s="11"/>
      <c r="F794" s="11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"/>
      <c r="C795" s="9"/>
      <c r="D795" s="9"/>
      <c r="E795" s="11"/>
      <c r="F795" s="11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"/>
      <c r="C796" s="9"/>
      <c r="D796" s="9"/>
      <c r="E796" s="11"/>
      <c r="F796" s="11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"/>
      <c r="C797" s="9"/>
      <c r="D797" s="9"/>
      <c r="E797" s="11"/>
      <c r="F797" s="11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"/>
      <c r="C798" s="9"/>
      <c r="D798" s="9"/>
      <c r="E798" s="11"/>
      <c r="F798" s="11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"/>
      <c r="C799" s="9"/>
      <c r="D799" s="9"/>
      <c r="E799" s="11"/>
      <c r="F799" s="11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"/>
      <c r="C800" s="9"/>
      <c r="D800" s="9"/>
      <c r="E800" s="11"/>
      <c r="F800" s="11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"/>
      <c r="C801" s="9"/>
      <c r="D801" s="9"/>
      <c r="E801" s="11"/>
      <c r="F801" s="11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"/>
      <c r="C802" s="9"/>
      <c r="D802" s="9"/>
      <c r="E802" s="11"/>
      <c r="F802" s="11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"/>
      <c r="C803" s="9"/>
      <c r="D803" s="9"/>
      <c r="E803" s="11"/>
      <c r="F803" s="11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"/>
      <c r="C804" s="9"/>
      <c r="D804" s="9"/>
      <c r="E804" s="11"/>
      <c r="F804" s="11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"/>
      <c r="C805" s="9"/>
      <c r="D805" s="9"/>
      <c r="E805" s="11"/>
      <c r="F805" s="11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"/>
      <c r="C806" s="9"/>
      <c r="D806" s="9"/>
      <c r="E806" s="11"/>
      <c r="F806" s="11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"/>
      <c r="C807" s="9"/>
      <c r="D807" s="9"/>
      <c r="E807" s="11"/>
      <c r="F807" s="11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"/>
      <c r="C808" s="9"/>
      <c r="D808" s="9"/>
      <c r="E808" s="11"/>
      <c r="F808" s="11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"/>
      <c r="C809" s="9"/>
      <c r="D809" s="9"/>
      <c r="E809" s="11"/>
      <c r="F809" s="11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"/>
      <c r="C810" s="9"/>
      <c r="D810" s="9"/>
      <c r="E810" s="11"/>
      <c r="F810" s="11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"/>
      <c r="C811" s="9"/>
      <c r="D811" s="9"/>
      <c r="E811" s="11"/>
      <c r="F811" s="11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"/>
      <c r="C812" s="9"/>
      <c r="D812" s="9"/>
      <c r="E812" s="11"/>
      <c r="F812" s="11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"/>
      <c r="C813" s="9"/>
      <c r="D813" s="9"/>
      <c r="E813" s="11"/>
      <c r="F813" s="11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"/>
      <c r="C814" s="9"/>
      <c r="D814" s="9"/>
      <c r="E814" s="11"/>
      <c r="F814" s="11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"/>
      <c r="C815" s="9"/>
      <c r="D815" s="9"/>
      <c r="E815" s="11"/>
      <c r="F815" s="11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"/>
      <c r="C816" s="9"/>
      <c r="D816" s="9"/>
      <c r="E816" s="11"/>
      <c r="F816" s="11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"/>
      <c r="C817" s="9"/>
      <c r="D817" s="9"/>
      <c r="E817" s="11"/>
      <c r="F817" s="11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"/>
      <c r="C818" s="9"/>
      <c r="D818" s="9"/>
      <c r="E818" s="11"/>
      <c r="F818" s="11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"/>
      <c r="C819" s="9"/>
      <c r="D819" s="9"/>
      <c r="E819" s="11"/>
      <c r="F819" s="11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"/>
      <c r="C820" s="9"/>
      <c r="D820" s="9"/>
      <c r="E820" s="11"/>
      <c r="F820" s="11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"/>
      <c r="C821" s="9"/>
      <c r="D821" s="9"/>
      <c r="E821" s="11"/>
      <c r="F821" s="11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"/>
      <c r="C822" s="9"/>
      <c r="D822" s="9"/>
      <c r="E822" s="11"/>
      <c r="F822" s="11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"/>
      <c r="C823" s="9"/>
      <c r="D823" s="9"/>
      <c r="E823" s="11"/>
      <c r="F823" s="11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"/>
      <c r="C824" s="9"/>
      <c r="D824" s="9"/>
      <c r="E824" s="11"/>
      <c r="F824" s="11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"/>
      <c r="C825" s="9"/>
      <c r="D825" s="9"/>
      <c r="E825" s="11"/>
      <c r="F825" s="11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"/>
      <c r="C826" s="9"/>
      <c r="D826" s="9"/>
      <c r="E826" s="11"/>
      <c r="F826" s="11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"/>
      <c r="C827" s="9"/>
      <c r="D827" s="9"/>
      <c r="E827" s="11"/>
      <c r="F827" s="11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"/>
      <c r="C828" s="9"/>
      <c r="D828" s="9"/>
      <c r="E828" s="11"/>
      <c r="F828" s="11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"/>
      <c r="C829" s="9"/>
      <c r="D829" s="9"/>
      <c r="E829" s="11"/>
      <c r="F829" s="11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"/>
      <c r="C830" s="9"/>
      <c r="D830" s="9"/>
      <c r="E830" s="11"/>
      <c r="F830" s="11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"/>
      <c r="C831" s="9"/>
      <c r="D831" s="9"/>
      <c r="E831" s="11"/>
      <c r="F831" s="11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"/>
      <c r="C832" s="9"/>
      <c r="D832" s="9"/>
      <c r="E832" s="11"/>
      <c r="F832" s="11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"/>
      <c r="C833" s="9"/>
      <c r="D833" s="9"/>
      <c r="E833" s="11"/>
      <c r="F833" s="11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"/>
      <c r="C834" s="9"/>
      <c r="D834" s="9"/>
      <c r="E834" s="11"/>
      <c r="F834" s="11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"/>
      <c r="C835" s="9"/>
      <c r="D835" s="9"/>
      <c r="E835" s="11"/>
      <c r="F835" s="11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"/>
      <c r="C836" s="9"/>
      <c r="D836" s="9"/>
      <c r="E836" s="11"/>
      <c r="F836" s="11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"/>
      <c r="C837" s="9"/>
      <c r="D837" s="9"/>
      <c r="E837" s="11"/>
      <c r="F837" s="11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"/>
      <c r="C838" s="9"/>
      <c r="D838" s="9"/>
      <c r="E838" s="11"/>
      <c r="F838" s="11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"/>
      <c r="C839" s="9"/>
      <c r="D839" s="9"/>
      <c r="E839" s="11"/>
      <c r="F839" s="11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"/>
      <c r="C840" s="9"/>
      <c r="D840" s="9"/>
      <c r="E840" s="11"/>
      <c r="F840" s="11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"/>
      <c r="C841" s="9"/>
      <c r="D841" s="9"/>
      <c r="E841" s="11"/>
      <c r="F841" s="11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"/>
      <c r="C842" s="9"/>
      <c r="D842" s="9"/>
      <c r="E842" s="11"/>
      <c r="F842" s="11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"/>
      <c r="C843" s="9"/>
      <c r="D843" s="9"/>
      <c r="E843" s="11"/>
      <c r="F843" s="11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"/>
      <c r="C844" s="9"/>
      <c r="D844" s="9"/>
      <c r="E844" s="11"/>
      <c r="F844" s="11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"/>
      <c r="C845" s="9"/>
      <c r="D845" s="9"/>
      <c r="E845" s="11"/>
      <c r="F845" s="11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"/>
      <c r="C846" s="9"/>
      <c r="D846" s="9"/>
      <c r="E846" s="11"/>
      <c r="F846" s="11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"/>
      <c r="C847" s="9"/>
      <c r="D847" s="9"/>
      <c r="E847" s="11"/>
      <c r="F847" s="11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"/>
      <c r="C848" s="9"/>
      <c r="D848" s="9"/>
      <c r="E848" s="11"/>
      <c r="F848" s="11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"/>
      <c r="C849" s="9"/>
      <c r="D849" s="9"/>
      <c r="E849" s="11"/>
      <c r="F849" s="11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"/>
      <c r="C850" s="9"/>
      <c r="D850" s="9"/>
      <c r="E850" s="11"/>
      <c r="F850" s="11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"/>
      <c r="C851" s="9"/>
      <c r="D851" s="9"/>
      <c r="E851" s="11"/>
      <c r="F851" s="11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"/>
      <c r="C852" s="9"/>
      <c r="D852" s="9"/>
      <c r="E852" s="11"/>
      <c r="F852" s="11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"/>
      <c r="C853" s="9"/>
      <c r="D853" s="9"/>
      <c r="E853" s="11"/>
      <c r="F853" s="11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"/>
      <c r="C854" s="9"/>
      <c r="D854" s="9"/>
      <c r="E854" s="11"/>
      <c r="F854" s="11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"/>
      <c r="C855" s="9"/>
      <c r="D855" s="9"/>
      <c r="E855" s="11"/>
      <c r="F855" s="11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"/>
      <c r="C856" s="9"/>
      <c r="D856" s="9"/>
      <c r="E856" s="11"/>
      <c r="F856" s="11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"/>
      <c r="C857" s="9"/>
      <c r="D857" s="9"/>
      <c r="E857" s="11"/>
      <c r="F857" s="11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"/>
      <c r="C858" s="9"/>
      <c r="D858" s="9"/>
      <c r="E858" s="11"/>
      <c r="F858" s="11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"/>
      <c r="C859" s="9"/>
      <c r="D859" s="9"/>
      <c r="E859" s="11"/>
      <c r="F859" s="11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"/>
      <c r="C860" s="9"/>
      <c r="D860" s="9"/>
      <c r="E860" s="11"/>
      <c r="F860" s="11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"/>
      <c r="C861" s="9"/>
      <c r="D861" s="9"/>
      <c r="E861" s="11"/>
      <c r="F861" s="11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"/>
      <c r="C862" s="9"/>
      <c r="D862" s="9"/>
      <c r="E862" s="11"/>
      <c r="F862" s="11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"/>
      <c r="C863" s="9"/>
      <c r="D863" s="9"/>
      <c r="E863" s="11"/>
      <c r="F863" s="11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"/>
      <c r="C864" s="9"/>
      <c r="D864" s="9"/>
      <c r="E864" s="11"/>
      <c r="F864" s="11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"/>
      <c r="C865" s="9"/>
      <c r="D865" s="9"/>
      <c r="E865" s="11"/>
      <c r="F865" s="11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"/>
      <c r="C866" s="9"/>
      <c r="D866" s="9"/>
      <c r="E866" s="11"/>
      <c r="F866" s="11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"/>
      <c r="C867" s="9"/>
      <c r="D867" s="9"/>
      <c r="E867" s="11"/>
      <c r="F867" s="11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"/>
      <c r="C868" s="9"/>
      <c r="D868" s="9"/>
      <c r="E868" s="11"/>
      <c r="F868" s="11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"/>
      <c r="C869" s="9"/>
      <c r="D869" s="9"/>
      <c r="E869" s="11"/>
      <c r="F869" s="11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"/>
      <c r="C870" s="9"/>
      <c r="D870" s="9"/>
      <c r="E870" s="11"/>
      <c r="F870" s="11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"/>
      <c r="C871" s="9"/>
      <c r="D871" s="9"/>
      <c r="E871" s="11"/>
      <c r="F871" s="11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"/>
      <c r="C872" s="9"/>
      <c r="D872" s="9"/>
      <c r="E872" s="11"/>
      <c r="F872" s="11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"/>
      <c r="C873" s="9"/>
      <c r="D873" s="9"/>
      <c r="E873" s="11"/>
      <c r="F873" s="11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"/>
      <c r="C874" s="9"/>
      <c r="D874" s="9"/>
      <c r="E874" s="11"/>
      <c r="F874" s="11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"/>
      <c r="C875" s="9"/>
      <c r="D875" s="9"/>
      <c r="E875" s="11"/>
      <c r="F875" s="11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"/>
      <c r="C876" s="9"/>
      <c r="D876" s="9"/>
      <c r="E876" s="11"/>
      <c r="F876" s="11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"/>
      <c r="C877" s="9"/>
      <c r="D877" s="9"/>
      <c r="E877" s="11"/>
      <c r="F877" s="11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"/>
      <c r="C878" s="9"/>
      <c r="D878" s="9"/>
      <c r="E878" s="11"/>
      <c r="F878" s="11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"/>
      <c r="C879" s="9"/>
      <c r="D879" s="9"/>
      <c r="E879" s="11"/>
      <c r="F879" s="11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"/>
      <c r="C880" s="9"/>
      <c r="D880" s="9"/>
      <c r="E880" s="11"/>
      <c r="F880" s="11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"/>
      <c r="C881" s="9"/>
      <c r="D881" s="9"/>
      <c r="E881" s="11"/>
      <c r="F881" s="11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"/>
      <c r="C882" s="9"/>
      <c r="D882" s="9"/>
      <c r="E882" s="11"/>
      <c r="F882" s="11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"/>
      <c r="C883" s="9"/>
      <c r="D883" s="9"/>
      <c r="E883" s="11"/>
      <c r="F883" s="11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"/>
      <c r="C884" s="9"/>
      <c r="D884" s="9"/>
      <c r="E884" s="11"/>
      <c r="F884" s="11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"/>
      <c r="C885" s="9"/>
      <c r="D885" s="9"/>
      <c r="E885" s="11"/>
      <c r="F885" s="11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"/>
      <c r="C886" s="9"/>
      <c r="D886" s="9"/>
      <c r="E886" s="11"/>
      <c r="F886" s="11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"/>
      <c r="C887" s="9"/>
      <c r="D887" s="9"/>
      <c r="E887" s="11"/>
      <c r="F887" s="11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"/>
      <c r="C888" s="9"/>
      <c r="D888" s="9"/>
      <c r="E888" s="11"/>
      <c r="F888" s="11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"/>
      <c r="C889" s="9"/>
      <c r="D889" s="9"/>
      <c r="E889" s="11"/>
      <c r="F889" s="11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"/>
      <c r="C890" s="9"/>
      <c r="D890" s="9"/>
      <c r="E890" s="11"/>
      <c r="F890" s="11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"/>
      <c r="C891" s="9"/>
      <c r="D891" s="9"/>
      <c r="E891" s="11"/>
      <c r="F891" s="11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"/>
      <c r="C892" s="9"/>
      <c r="D892" s="9"/>
      <c r="E892" s="11"/>
      <c r="F892" s="11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"/>
      <c r="C893" s="9"/>
      <c r="D893" s="9"/>
      <c r="E893" s="11"/>
      <c r="F893" s="11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"/>
      <c r="C894" s="9"/>
      <c r="D894" s="9"/>
      <c r="E894" s="11"/>
      <c r="F894" s="11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"/>
      <c r="C895" s="9"/>
      <c r="D895" s="9"/>
      <c r="E895" s="11"/>
      <c r="F895" s="11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"/>
      <c r="C896" s="9"/>
      <c r="D896" s="9"/>
      <c r="E896" s="11"/>
      <c r="F896" s="11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"/>
      <c r="C897" s="9"/>
      <c r="D897" s="9"/>
      <c r="E897" s="11"/>
      <c r="F897" s="11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"/>
      <c r="C898" s="9"/>
      <c r="D898" s="9"/>
      <c r="E898" s="11"/>
      <c r="F898" s="11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"/>
      <c r="C899" s="9"/>
      <c r="D899" s="9"/>
      <c r="E899" s="11"/>
      <c r="F899" s="11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"/>
      <c r="C900" s="9"/>
      <c r="D900" s="9"/>
      <c r="E900" s="11"/>
      <c r="F900" s="11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"/>
      <c r="C901" s="9"/>
      <c r="D901" s="9"/>
      <c r="E901" s="11"/>
      <c r="F901" s="11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"/>
      <c r="C902" s="9"/>
      <c r="D902" s="9"/>
      <c r="E902" s="11"/>
      <c r="F902" s="11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"/>
      <c r="C903" s="9"/>
      <c r="D903" s="9"/>
      <c r="E903" s="11"/>
      <c r="F903" s="11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"/>
      <c r="C904" s="9"/>
      <c r="D904" s="9"/>
      <c r="E904" s="11"/>
      <c r="F904" s="11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"/>
      <c r="C905" s="9"/>
      <c r="D905" s="9"/>
      <c r="E905" s="11"/>
      <c r="F905" s="11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"/>
      <c r="C906" s="9"/>
      <c r="D906" s="9"/>
      <c r="E906" s="11"/>
      <c r="F906" s="11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"/>
      <c r="C907" s="9"/>
      <c r="D907" s="9"/>
      <c r="E907" s="11"/>
      <c r="F907" s="11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"/>
      <c r="C908" s="9"/>
      <c r="D908" s="9"/>
      <c r="E908" s="11"/>
      <c r="F908" s="11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"/>
      <c r="C909" s="9"/>
      <c r="D909" s="9"/>
      <c r="E909" s="11"/>
      <c r="F909" s="11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"/>
      <c r="C910" s="9"/>
      <c r="D910" s="9"/>
      <c r="E910" s="11"/>
      <c r="F910" s="11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"/>
      <c r="C911" s="9"/>
      <c r="D911" s="9"/>
      <c r="E911" s="11"/>
      <c r="F911" s="11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"/>
      <c r="C912" s="9"/>
      <c r="D912" s="9"/>
      <c r="E912" s="11"/>
      <c r="F912" s="11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"/>
      <c r="C913" s="9"/>
      <c r="D913" s="9"/>
      <c r="E913" s="11"/>
      <c r="F913" s="11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"/>
      <c r="C914" s="9"/>
      <c r="D914" s="9"/>
      <c r="E914" s="11"/>
      <c r="F914" s="11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"/>
      <c r="C915" s="9"/>
      <c r="D915" s="9"/>
      <c r="E915" s="11"/>
      <c r="F915" s="11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"/>
      <c r="C916" s="9"/>
      <c r="D916" s="9"/>
      <c r="E916" s="11"/>
      <c r="F916" s="11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"/>
      <c r="C917" s="9"/>
      <c r="D917" s="9"/>
      <c r="E917" s="11"/>
      <c r="F917" s="11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"/>
      <c r="C918" s="9"/>
      <c r="D918" s="9"/>
      <c r="E918" s="11"/>
      <c r="F918" s="11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"/>
      <c r="C919" s="9"/>
      <c r="D919" s="9"/>
      <c r="E919" s="11"/>
      <c r="F919" s="11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"/>
      <c r="C920" s="9"/>
      <c r="D920" s="9"/>
      <c r="E920" s="11"/>
      <c r="F920" s="11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"/>
      <c r="C921" s="9"/>
      <c r="D921" s="9"/>
      <c r="E921" s="11"/>
      <c r="F921" s="11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"/>
      <c r="C922" s="9"/>
      <c r="D922" s="9"/>
      <c r="E922" s="11"/>
      <c r="F922" s="11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"/>
      <c r="C923" s="9"/>
      <c r="D923" s="9"/>
      <c r="E923" s="11"/>
      <c r="F923" s="11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"/>
      <c r="C924" s="9"/>
      <c r="D924" s="9"/>
      <c r="E924" s="11"/>
      <c r="F924" s="11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"/>
      <c r="C925" s="9"/>
      <c r="D925" s="9"/>
      <c r="E925" s="11"/>
      <c r="F925" s="11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"/>
      <c r="C926" s="9"/>
      <c r="D926" s="9"/>
      <c r="E926" s="11"/>
      <c r="F926" s="11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"/>
      <c r="C927" s="9"/>
      <c r="D927" s="9"/>
      <c r="E927" s="11"/>
      <c r="F927" s="11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"/>
      <c r="C928" s="9"/>
      <c r="D928" s="9"/>
      <c r="E928" s="11"/>
      <c r="F928" s="11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"/>
      <c r="C929" s="9"/>
      <c r="D929" s="9"/>
      <c r="E929" s="11"/>
      <c r="F929" s="11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"/>
      <c r="C930" s="9"/>
      <c r="D930" s="9"/>
      <c r="E930" s="11"/>
      <c r="F930" s="11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"/>
      <c r="C931" s="9"/>
      <c r="D931" s="9"/>
      <c r="E931" s="11"/>
      <c r="F931" s="11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"/>
      <c r="C932" s="9"/>
      <c r="D932" s="9"/>
      <c r="E932" s="11"/>
      <c r="F932" s="11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"/>
      <c r="C933" s="9"/>
      <c r="D933" s="9"/>
      <c r="E933" s="11"/>
      <c r="F933" s="11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"/>
      <c r="C934" s="9"/>
      <c r="D934" s="9"/>
      <c r="E934" s="11"/>
      <c r="F934" s="11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"/>
      <c r="C935" s="9"/>
      <c r="D935" s="9"/>
      <c r="E935" s="11"/>
      <c r="F935" s="11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"/>
      <c r="C936" s="9"/>
      <c r="D936" s="9"/>
      <c r="E936" s="11"/>
      <c r="F936" s="11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"/>
      <c r="C937" s="9"/>
      <c r="D937" s="9"/>
      <c r="E937" s="11"/>
      <c r="F937" s="11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"/>
      <c r="C938" s="9"/>
      <c r="D938" s="9"/>
      <c r="E938" s="11"/>
      <c r="F938" s="11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"/>
      <c r="C939" s="9"/>
      <c r="D939" s="9"/>
      <c r="E939" s="11"/>
      <c r="F939" s="11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"/>
      <c r="C940" s="9"/>
      <c r="D940" s="9"/>
      <c r="E940" s="11"/>
      <c r="F940" s="11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"/>
      <c r="C941" s="9"/>
      <c r="D941" s="9"/>
      <c r="E941" s="11"/>
      <c r="F941" s="11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"/>
      <c r="C942" s="9"/>
      <c r="D942" s="9"/>
      <c r="E942" s="11"/>
      <c r="F942" s="11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"/>
      <c r="C943" s="9"/>
      <c r="D943" s="9"/>
      <c r="E943" s="11"/>
      <c r="F943" s="11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"/>
      <c r="C944" s="9"/>
      <c r="D944" s="9"/>
      <c r="E944" s="11"/>
      <c r="F944" s="11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"/>
      <c r="C945" s="9"/>
      <c r="D945" s="9"/>
      <c r="E945" s="11"/>
      <c r="F945" s="11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"/>
      <c r="C946" s="9"/>
      <c r="D946" s="9"/>
      <c r="E946" s="11"/>
      <c r="F946" s="11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"/>
      <c r="C947" s="9"/>
      <c r="D947" s="9"/>
      <c r="E947" s="11"/>
      <c r="F947" s="11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"/>
      <c r="C948" s="9"/>
      <c r="D948" s="9"/>
      <c r="E948" s="11"/>
      <c r="F948" s="11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"/>
      <c r="C949" s="9"/>
      <c r="D949" s="9"/>
      <c r="E949" s="11"/>
      <c r="F949" s="11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"/>
      <c r="C950" s="9"/>
      <c r="D950" s="9"/>
      <c r="E950" s="11"/>
      <c r="F950" s="11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"/>
      <c r="C951" s="9"/>
      <c r="D951" s="9"/>
      <c r="E951" s="11"/>
      <c r="F951" s="11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"/>
      <c r="C952" s="9"/>
      <c r="D952" s="9"/>
      <c r="E952" s="11"/>
      <c r="F952" s="11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"/>
      <c r="C953" s="9"/>
      <c r="D953" s="9"/>
      <c r="E953" s="11"/>
      <c r="F953" s="11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"/>
      <c r="C954" s="9"/>
      <c r="D954" s="9"/>
      <c r="E954" s="11"/>
      <c r="F954" s="11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"/>
      <c r="C955" s="9"/>
      <c r="D955" s="9"/>
      <c r="E955" s="11"/>
      <c r="F955" s="11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"/>
      <c r="C956" s="9"/>
      <c r="D956" s="9"/>
      <c r="E956" s="11"/>
      <c r="F956" s="11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"/>
      <c r="C957" s="9"/>
      <c r="D957" s="9"/>
      <c r="E957" s="11"/>
      <c r="F957" s="11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"/>
      <c r="C958" s="9"/>
      <c r="D958" s="9"/>
      <c r="E958" s="11"/>
      <c r="F958" s="11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"/>
      <c r="C959" s="9"/>
      <c r="D959" s="9"/>
      <c r="E959" s="11"/>
      <c r="F959" s="11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"/>
      <c r="C960" s="9"/>
      <c r="D960" s="9"/>
      <c r="E960" s="11"/>
      <c r="F960" s="11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"/>
      <c r="C961" s="9"/>
      <c r="D961" s="9"/>
      <c r="E961" s="11"/>
      <c r="F961" s="11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"/>
      <c r="C962" s="9"/>
      <c r="D962" s="9"/>
      <c r="E962" s="11"/>
      <c r="F962" s="11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"/>
      <c r="C963" s="9"/>
      <c r="D963" s="9"/>
      <c r="E963" s="11"/>
      <c r="F963" s="11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"/>
      <c r="C964" s="9"/>
      <c r="D964" s="9"/>
      <c r="E964" s="11"/>
      <c r="F964" s="11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"/>
      <c r="C965" s="9"/>
      <c r="D965" s="9"/>
      <c r="E965" s="11"/>
      <c r="F965" s="11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"/>
      <c r="C966" s="9"/>
      <c r="D966" s="9"/>
      <c r="E966" s="11"/>
      <c r="F966" s="11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"/>
      <c r="C967" s="9"/>
      <c r="D967" s="9"/>
      <c r="E967" s="11"/>
      <c r="F967" s="11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"/>
      <c r="C968" s="9"/>
      <c r="D968" s="9"/>
      <c r="E968" s="11"/>
      <c r="F968" s="11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"/>
      <c r="C969" s="9"/>
      <c r="D969" s="9"/>
      <c r="E969" s="11"/>
      <c r="F969" s="11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"/>
      <c r="C970" s="9"/>
      <c r="D970" s="9"/>
      <c r="E970" s="11"/>
      <c r="F970" s="11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"/>
      <c r="C971" s="9"/>
      <c r="D971" s="9"/>
      <c r="E971" s="11"/>
      <c r="F971" s="11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"/>
      <c r="C972" s="9"/>
      <c r="D972" s="9"/>
      <c r="E972" s="11"/>
      <c r="F972" s="11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"/>
      <c r="C973" s="9"/>
      <c r="D973" s="9"/>
      <c r="E973" s="11"/>
      <c r="F973" s="11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"/>
      <c r="C974" s="9"/>
      <c r="D974" s="9"/>
      <c r="E974" s="11"/>
      <c r="F974" s="11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"/>
      <c r="C975" s="9"/>
      <c r="D975" s="9"/>
      <c r="E975" s="11"/>
      <c r="F975" s="11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"/>
      <c r="C976" s="9"/>
      <c r="D976" s="9"/>
      <c r="E976" s="11"/>
      <c r="F976" s="11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"/>
      <c r="C977" s="9"/>
      <c r="D977" s="9"/>
      <c r="E977" s="11"/>
      <c r="F977" s="11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"/>
      <c r="C978" s="9"/>
      <c r="D978" s="9"/>
      <c r="E978" s="11"/>
      <c r="F978" s="11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"/>
      <c r="C979" s="9"/>
      <c r="D979" s="9"/>
      <c r="E979" s="11"/>
      <c r="F979" s="11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"/>
      <c r="C980" s="9"/>
      <c r="D980" s="9"/>
      <c r="E980" s="11"/>
      <c r="F980" s="11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"/>
      <c r="C981" s="9"/>
      <c r="D981" s="9"/>
      <c r="E981" s="11"/>
      <c r="F981" s="11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"/>
      <c r="C982" s="9"/>
      <c r="D982" s="9"/>
      <c r="E982" s="11"/>
      <c r="F982" s="11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"/>
      <c r="C983" s="9"/>
      <c r="D983" s="9"/>
      <c r="E983" s="11"/>
      <c r="F983" s="11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"/>
      <c r="C984" s="9"/>
      <c r="D984" s="9"/>
      <c r="E984" s="11"/>
      <c r="F984" s="11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"/>
      <c r="C985" s="9"/>
      <c r="D985" s="9"/>
      <c r="E985" s="11"/>
      <c r="F985" s="11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"/>
      <c r="C986" s="9"/>
      <c r="D986" s="9"/>
      <c r="E986" s="11"/>
      <c r="F986" s="11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"/>
      <c r="C987" s="9"/>
      <c r="D987" s="9"/>
      <c r="E987" s="11"/>
      <c r="F987" s="11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"/>
      <c r="C988" s="9"/>
      <c r="D988" s="9"/>
      <c r="E988" s="11"/>
      <c r="F988" s="11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"/>
      <c r="C989" s="9"/>
      <c r="D989" s="9"/>
      <c r="E989" s="11"/>
      <c r="F989" s="11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"/>
      <c r="C990" s="9"/>
      <c r="D990" s="9"/>
      <c r="E990" s="11"/>
      <c r="F990" s="11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"/>
      <c r="C991" s="9"/>
      <c r="D991" s="9"/>
      <c r="E991" s="11"/>
      <c r="F991" s="11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9"/>
      <c r="C992" s="9"/>
      <c r="D992" s="9"/>
      <c r="E992" s="11"/>
      <c r="F992" s="11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9"/>
      <c r="C993" s="9"/>
      <c r="D993" s="9"/>
      <c r="E993" s="11"/>
      <c r="F993" s="11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9"/>
      <c r="C994" s="9"/>
      <c r="D994" s="9"/>
      <c r="E994" s="11"/>
      <c r="F994" s="11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9"/>
      <c r="C995" s="9"/>
      <c r="D995" s="9"/>
      <c r="E995" s="11"/>
      <c r="F995" s="11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9"/>
      <c r="C996" s="9"/>
      <c r="D996" s="9"/>
      <c r="E996" s="11"/>
      <c r="F996" s="11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9"/>
      <c r="C997" s="9"/>
      <c r="D997" s="9"/>
      <c r="E997" s="11"/>
      <c r="F997" s="11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9"/>
      <c r="C998" s="9"/>
      <c r="D998" s="9"/>
      <c r="E998" s="11"/>
      <c r="F998" s="11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9"/>
      <c r="C999" s="9"/>
      <c r="D999" s="9"/>
      <c r="E999" s="11"/>
      <c r="F999" s="11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9"/>
      <c r="C1000" s="9"/>
      <c r="D1000" s="9"/>
      <c r="E1000" s="11"/>
      <c r="F1000" s="11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54:C55"/>
    <mergeCell ref="C58:D58"/>
    <mergeCell ref="B1:G1"/>
    <mergeCell ref="B2:G2"/>
    <mergeCell ref="B3:G3"/>
    <mergeCell ref="B5:D5"/>
    <mergeCell ref="C7:C26"/>
    <mergeCell ref="C27:C46"/>
    <mergeCell ref="C47:C53"/>
  </mergeCells>
  <printOptions/>
  <pageMargins bottom="0.25" footer="0.0" header="0.0" left="0.7" right="0.2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