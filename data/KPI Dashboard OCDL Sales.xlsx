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KPI Entry Oct26" sheetId="1" r:id="rId5"/>
    <sheet state="visible" name="Working Process Daily KPI Entry" sheetId="2" r:id="rId6"/>
    <sheet state="visible" name="Daily KPI Entry" sheetId="3" r:id="rId7"/>
    <sheet state="visible" name="Daily KPI Entry Sep26" sheetId="4" r:id="rId8"/>
    <sheet state="visible" name="Daily KPI Entry Aug26" sheetId="5" r:id="rId9"/>
    <sheet state="visible" name="Branch Performance-Sep26" sheetId="6" r:id="rId10"/>
    <sheet state="visible" name="KPI Target Setup" sheetId="7" r:id="rId11"/>
  </sheets>
  <definedNames>
    <definedName hidden="1" localSheetId="0" name="_xlnm._FilterDatabase">'Daily KPI Entry Oct26'!$A$2:$W$300</definedName>
    <definedName hidden="1" localSheetId="1" name="_xlnm._FilterDatabase">'Working Process Daily KPI Entry'!$A$2:$W$393</definedName>
    <definedName hidden="1" localSheetId="3" name="_xlnm._FilterDatabase">'Daily KPI Entry Sep26'!$A$2:$W$315</definedName>
    <definedName hidden="1" localSheetId="5" name="_xlnm._FilterDatabase">'Branch Performance-Sep26'!$A$2:$V$6</definedName>
    <definedName hidden="1" localSheetId="4" name="Z_9F9E23BA_F345_4523_AD55_520764DB2F53_.wvu.FilterData">'Daily KPI Entry Aug26'!$A$2:$W$353</definedName>
    <definedName hidden="1" localSheetId="2" name="Z_E8F1DD2B_7BC7_410E_BB6F_1687C0FEC8CE_.wvu.FilterData">'Daily KPI Entry'!$A$2:$W$16</definedName>
    <definedName hidden="1" localSheetId="0" name="Z_E8F1DD2B_7BC7_410E_BB6F_1687C0FEC8CE_.wvu.FilterData">'Daily KPI Entry Oct26'!$A$2:$W$300</definedName>
    <definedName hidden="1" localSheetId="1" name="Z_E8F1DD2B_7BC7_410E_BB6F_1687C0FEC8CE_.wvu.FilterData">'Working Process Daily KPI Entry'!$A$2:$W$393</definedName>
    <definedName hidden="1" localSheetId="3" name="Z_E8F1DD2B_7BC7_410E_BB6F_1687C0FEC8CE_.wvu.FilterData">'Daily KPI Entry Sep26'!$A$2:$W$315</definedName>
    <definedName hidden="1" localSheetId="5" name="Z_E8F1DD2B_7BC7_410E_BB6F_1687C0FEC8CE_.wvu.FilterData">'Branch Performance-Sep26'!$A$2:$V$6</definedName>
  </definedNames>
  <calcPr/>
  <customWorkbookViews>
    <customWorkbookView activeSheetId="0" maximized="1" windowHeight="0" windowWidth="0" guid="{9F9E23BA-F345-4523-AD55-520764DB2F53}" name="DailyKPI filter view"/>
    <customWorkbookView activeSheetId="0" maximized="1" windowHeight="0" windowWidth="0" guid="{E8F1DD2B-7BC7-410E-BB6F-1687C0FEC8CE}" name="DailyKPI5 filter view"/>
  </customWorkbookViews>
</workbook>
</file>

<file path=xl/sharedStrings.xml><?xml version="1.0" encoding="utf-8"?>
<sst xmlns="http://schemas.openxmlformats.org/spreadsheetml/2006/main" count="4343" uniqueCount="102">
  <si>
    <t xml:space="preserve"> </t>
  </si>
  <si>
    <t>Daily KPI Dashboard — OCDL Sales Office : 06-October-2026</t>
  </si>
  <si>
    <t>Date</t>
  </si>
  <si>
    <t>Employee</t>
  </si>
  <si>
    <t>Batch</t>
  </si>
  <si>
    <t>Branch</t>
  </si>
  <si>
    <t>Collection Achv.</t>
  </si>
  <si>
    <t>Collection Point</t>
  </si>
  <si>
    <t>Int. Meeting Achv.</t>
  </si>
  <si>
    <t>Int. Meeting Point</t>
  </si>
  <si>
    <t>Ext. Meeting Achv</t>
  </si>
  <si>
    <t>Ext. Meeting Point</t>
  </si>
  <si>
    <t>Talk Time</t>
  </si>
  <si>
    <t>Client Reach/
Follow-up Achv.</t>
  </si>
  <si>
    <t>Client Reach/
Follow-up Point</t>
  </si>
  <si>
    <t>Appointment Achv.</t>
  </si>
  <si>
    <t>Appointment Point</t>
  </si>
  <si>
    <t>Dig. Marketing Point</t>
  </si>
  <si>
    <t>Att. &amp; Discipline Point</t>
  </si>
  <si>
    <t>KPI Mark Target</t>
  </si>
  <si>
    <t>Total KPI Points</t>
  </si>
  <si>
    <t>KPI Achievement %</t>
  </si>
  <si>
    <t>Gap</t>
  </si>
  <si>
    <t>Status</t>
  </si>
  <si>
    <t>Remarks</t>
  </si>
  <si>
    <t>Abu Sufian Shohag</t>
  </si>
  <si>
    <t>GM (Br. In Charge)</t>
  </si>
  <si>
    <t>OCDL SO</t>
  </si>
  <si>
    <t>Most. Liza Akter</t>
  </si>
  <si>
    <t>Batch-1</t>
  </si>
  <si>
    <t>Nurul Islam Ripon</t>
  </si>
  <si>
    <t>GM</t>
  </si>
  <si>
    <t>Touhidul Islam</t>
  </si>
  <si>
    <t>Sr. AGM</t>
  </si>
  <si>
    <t>Masud Shahriar</t>
  </si>
  <si>
    <t>AGM</t>
  </si>
  <si>
    <t>Jakir Ahammed Noor</t>
  </si>
  <si>
    <t>Anowar Hossain</t>
  </si>
  <si>
    <t>Abrarul Haque Emon</t>
  </si>
  <si>
    <t>Mst Sharmin Akter Nabila</t>
  </si>
  <si>
    <t>Batch-2</t>
  </si>
  <si>
    <t>Afroza Yeasmin Rumi</t>
  </si>
  <si>
    <t>Maria Akter Mim</t>
  </si>
  <si>
    <t>Jahid Hasan E</t>
  </si>
  <si>
    <t>Mahbubur Rahman</t>
  </si>
  <si>
    <t>Safiqul Islam</t>
  </si>
  <si>
    <t>Batch-Ind</t>
  </si>
  <si>
    <t>Omar Sharif Arman</t>
  </si>
  <si>
    <t>Batch-3</t>
  </si>
  <si>
    <t>Manir Sikder</t>
  </si>
  <si>
    <t>Yeasin Rasel</t>
  </si>
  <si>
    <t>Leave</t>
  </si>
  <si>
    <t>visit</t>
  </si>
  <si>
    <t>Soniya Akter Putul</t>
  </si>
  <si>
    <t>Tolat Average=</t>
  </si>
  <si>
    <t>OCDL Sales KPI Dashboard — Target vs Achievement : August'2026</t>
  </si>
  <si>
    <t>Md. Shahinul Islam</t>
  </si>
  <si>
    <t xml:space="preserve">Abrarul Haque Emon </t>
  </si>
  <si>
    <t>Md. Estiak Mahbub</t>
  </si>
  <si>
    <t>Mst. Sharmin Akter Nabila</t>
  </si>
  <si>
    <t>Md. Jahid Hasan</t>
  </si>
  <si>
    <t>Md. Safiqul Islam</t>
  </si>
  <si>
    <t>Md. Manir Sikder</t>
  </si>
  <si>
    <t>Md. Yeasin Rasel</t>
  </si>
  <si>
    <t>Sick</t>
  </si>
  <si>
    <t>BS Visit</t>
  </si>
  <si>
    <t>Fair</t>
  </si>
  <si>
    <t>KPI Parameter</t>
  </si>
  <si>
    <t>Daily Fixed Target</t>
  </si>
  <si>
    <t>KPI Point Rule</t>
  </si>
  <si>
    <t>Counts in KPI Mark?</t>
  </si>
  <si>
    <t>Collection</t>
  </si>
  <si>
    <t>Any collection</t>
  </si>
  <si>
    <t>Any collection = 3 points</t>
  </si>
  <si>
    <t>YES</t>
  </si>
  <si>
    <t>External Meeting</t>
  </si>
  <si>
    <t>1 meeting = 1 point</t>
  </si>
  <si>
    <t>Internal Meeting</t>
  </si>
  <si>
    <t>Talk Time (Min)</t>
  </si>
  <si>
    <t>No KPI point</t>
  </si>
  <si>
    <t>NO</t>
  </si>
  <si>
    <t>Target vs Achievement only</t>
  </si>
  <si>
    <t>Follow-up</t>
  </si>
  <si>
    <t>50 follow-ups = 1 point</t>
  </si>
  <si>
    <t>Completed blocks of 50</t>
  </si>
  <si>
    <t>Appointment</t>
  </si>
  <si>
    <t>3 appointments = 2 points</t>
  </si>
  <si>
    <t>Completed blocks of 3</t>
  </si>
  <si>
    <t>Digital Marketing</t>
  </si>
  <si>
    <t>1 activity = 1 point</t>
  </si>
  <si>
    <t>Attendance &amp; Discipline</t>
  </si>
  <si>
    <t>1 = 1 point</t>
  </si>
  <si>
    <t>KPI Mark</t>
  </si>
  <si>
    <t>Up to 10 points</t>
  </si>
  <si>
    <t>Achievement entered as KPI Mark</t>
  </si>
  <si>
    <t>Important</t>
  </si>
  <si>
    <t>Only YES parameters are included in Total KPI Points. Talk Time contributes 0 points.</t>
  </si>
  <si>
    <t>OCDL Sales Office KPI Dashboard — Target vs Achievement : September'2026
Summary: 01 - 10 September</t>
  </si>
  <si>
    <t>Members</t>
  </si>
  <si>
    <t>Working Days-09</t>
  </si>
  <si>
    <t>Branch Total</t>
  </si>
  <si>
    <t>Visit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</si>
</sst>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d\-mmm\-yy"/>
  </numFmts>
  <fonts count="13">
    <font>
      <sz val="11.0"/>
      <color theme="1"/>
      <name val="Calibri"/>
      <scheme val="minor"/>
    </font>
    <font>
      <b/>
      <u/>
      <sz val="18.0"/>
      <color theme="1"/>
      <name val="Arial"/>
    </font>
    <font/>
    <font>
      <sz val="11.0"/>
      <color theme="1"/>
      <name val="Calibri"/>
    </font>
    <font>
      <b/>
      <sz val="10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b/>
      <u/>
      <sz val="18.0"/>
      <color theme="1"/>
      <name val="Arial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b/>
      <sz val="12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1F4E78"/>
        <bgColor rgb="FF1F4E78"/>
      </patternFill>
    </fill>
    <fill>
      <patternFill patternType="solid">
        <fgColor rgb="FF92CDDC"/>
        <bgColor rgb="FF92CDDC"/>
      </patternFill>
    </fill>
    <fill>
      <patternFill patternType="solid">
        <fgColor rgb="FF00FFFF"/>
        <bgColor rgb="FF00FFFF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BF9000"/>
        <bgColor rgb="FFBF9000"/>
      </patternFill>
    </fill>
    <fill>
      <patternFill patternType="solid">
        <fgColor rgb="FFFABF8F"/>
        <bgColor rgb="FFFABF8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4" numFmtId="0" xfId="0" applyAlignment="1" applyBorder="1" applyFill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4" fillId="4" fontId="3" numFmtId="0" xfId="0" applyAlignment="1" applyBorder="1" applyFill="1" applyFont="1">
      <alignment horizontal="right" readingOrder="0" shrinkToFit="0" vertical="center" wrapText="1"/>
    </xf>
    <xf borderId="4" fillId="4" fontId="3" numFmtId="0" xfId="0" applyAlignment="1" applyBorder="1" applyFill="1" applyFont="1">
      <alignment horizontal="center" readingOrder="0" shrinkToFit="0" vertical="center" wrapText="1"/>
    </xf>
    <xf borderId="4" fillId="0" fontId="3" numFmtId="4" xfId="0" applyAlignment="1" applyBorder="1" applyFont="1" applyNumberFormat="1">
      <alignment horizontal="center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4" fillId="0" fontId="3" numFmtId="2" xfId="0" applyAlignment="1" applyBorder="1" applyFont="1" applyNumberFormat="1">
      <alignment horizontal="center" shrinkToFit="0" vertical="center" wrapText="1"/>
    </xf>
    <xf borderId="4" fillId="4" fontId="3" numFmtId="2" xfId="0" applyAlignment="1" applyBorder="1" applyFill="1" applyFont="1" applyNumberFormat="1">
      <alignment horizontal="center" readingOrder="0" shrinkToFit="0" vertical="center" wrapText="1"/>
    </xf>
    <xf borderId="4" fillId="2" fontId="3" numFmtId="2" xfId="0" applyAlignment="1" applyBorder="1" applyFill="1" applyFont="1" applyNumberFormat="1">
      <alignment horizontal="center" shrinkToFit="0" vertical="center" wrapText="1"/>
    </xf>
    <xf borderId="4" fillId="0" fontId="3" numFmtId="10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4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0"/>
    </xf>
    <xf borderId="4" fillId="4" fontId="3" numFmtId="10" xfId="0" applyAlignment="1" applyBorder="1" applyFill="1" applyFont="1" applyNumberFormat="1">
      <alignment horizontal="center" shrinkToFit="0" vertical="center" wrapText="1"/>
    </xf>
    <xf borderId="4" fillId="5" fontId="3" numFmtId="0" xfId="0" applyAlignment="1" applyBorder="1" applyFill="1" applyFont="1">
      <alignment horizontal="left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right" readingOrder="0" shrinkToFit="0" vertical="center" wrapText="1"/>
    </xf>
    <xf borderId="4" fillId="6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readingOrder="0" shrinkToFit="0" vertical="center" wrapText="1"/>
    </xf>
    <xf borderId="4" fillId="6" fontId="3" numFmtId="10" xfId="0" applyAlignment="1" applyBorder="1" applyFill="1" applyFont="1" applyNumberFormat="1">
      <alignment horizontal="center" shrinkToFit="0" vertical="center" wrapText="1"/>
    </xf>
    <xf borderId="4" fillId="6" fontId="3" numFmtId="2" xfId="0" applyAlignment="1" applyBorder="1" applyFill="1" applyFont="1" applyNumberFormat="1">
      <alignment horizontal="center" shrinkToFit="0" vertical="center" wrapText="1"/>
    </xf>
    <xf borderId="4" fillId="6" fontId="3" numFmtId="2" xfId="0" applyAlignment="1" applyBorder="1" applyFill="1" applyFont="1" applyNumberFormat="1">
      <alignment horizontal="center" readingOrder="0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right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ill="1" applyFont="1">
      <alignment horizontal="center" shrinkToFit="0" vertical="center" wrapText="0"/>
    </xf>
    <xf borderId="4" fillId="2" fontId="5" numFmtId="0" xfId="0" applyAlignment="1" applyBorder="1" applyFill="1" applyFont="1">
      <alignment horizontal="right" shrinkToFit="0" vertical="center" wrapText="0"/>
    </xf>
    <xf borderId="4" fillId="2" fontId="5" numFmtId="4" xfId="0" applyAlignment="1" applyBorder="1" applyFill="1" applyFont="1" applyNumberFormat="1">
      <alignment shrinkToFit="0" vertical="center" wrapText="0"/>
    </xf>
    <xf borderId="4" fillId="2" fontId="5" numFmtId="4" xfId="0" applyAlignment="1" applyBorder="1" applyFill="1" applyFont="1" applyNumberFormat="1">
      <alignment horizontal="center" shrinkToFit="0" vertical="center" wrapText="0"/>
    </xf>
    <xf borderId="4" fillId="2" fontId="5" numFmtId="2" xfId="0" applyAlignment="1" applyBorder="1" applyFill="1" applyFont="1" applyNumberFormat="1">
      <alignment horizontal="center" shrinkToFit="0" vertical="center" wrapText="0"/>
    </xf>
    <xf borderId="4" fillId="2" fontId="5" numFmtId="10" xfId="0" applyAlignment="1" applyBorder="1" applyFill="1" applyFont="1" applyNumberFormat="1">
      <alignment horizontal="center" shrinkToFit="0" vertical="center" wrapText="0"/>
    </xf>
    <xf borderId="4" fillId="2" fontId="6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right"/>
    </xf>
    <xf borderId="0" fillId="0" fontId="7" numFmtId="0" xfId="0" applyFont="1"/>
    <xf borderId="4" fillId="4" fontId="3" numFmtId="2" xfId="0" applyAlignment="1" applyBorder="1" applyFill="1" applyFont="1" applyNumberFormat="1">
      <alignment horizontal="center" shrinkToFit="0" vertical="center" wrapText="1"/>
    </xf>
    <xf borderId="5" fillId="2" fontId="8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4" fillId="3" fontId="9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0"/>
    </xf>
    <xf borderId="4" fillId="8" fontId="3" numFmtId="0" xfId="0" applyAlignment="1" applyBorder="1" applyFill="1" applyFont="1">
      <alignment horizontal="right" readingOrder="0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readingOrder="0" shrinkToFit="0" vertical="center" wrapText="1"/>
    </xf>
    <xf borderId="4" fillId="8" fontId="3" numFmtId="2" xfId="0" applyAlignment="1" applyBorder="1" applyFill="1" applyFont="1" applyNumberFormat="1">
      <alignment horizontal="center" shrinkToFit="0" vertical="center" wrapText="1"/>
    </xf>
    <xf borderId="4" fillId="8" fontId="3" numFmtId="2" xfId="0" applyAlignment="1" applyBorder="1" applyFill="1" applyFont="1" applyNumberFormat="1">
      <alignment horizontal="center" readingOrder="0" shrinkToFit="0" vertical="center" wrapText="1"/>
    </xf>
    <xf borderId="4" fillId="8" fontId="3" numFmtId="10" xfId="0" applyAlignment="1" applyBorder="1" applyFill="1" applyFont="1" applyNumberFormat="1">
      <alignment horizontal="center" shrinkToFit="0" vertical="center" wrapText="1"/>
    </xf>
    <xf borderId="4" fillId="8" fontId="3" numFmtId="0" xfId="0" applyAlignment="1" applyBorder="1" applyFill="1" applyFont="1">
      <alignment horizontal="right" shrinkToFit="0" vertical="center" wrapText="1"/>
    </xf>
    <xf borderId="4" fillId="9" fontId="3" numFmtId="0" xfId="0" applyAlignment="1" applyBorder="1" applyFill="1" applyFont="1">
      <alignment horizontal="center" readingOrder="0" shrinkToFit="0" vertical="center" wrapText="1"/>
    </xf>
    <xf borderId="4" fillId="9" fontId="3" numFmtId="2" xfId="0" applyAlignment="1" applyBorder="1" applyFill="1" applyFont="1" applyNumberFormat="1">
      <alignment horizontal="center" readingOrder="0" shrinkToFit="0" vertical="center" wrapText="1"/>
    </xf>
    <xf borderId="4" fillId="4" fontId="3" numFmtId="3" xfId="0" applyAlignment="1" applyBorder="1" applyFill="1" applyFont="1" applyNumberFormat="1">
      <alignment horizontal="right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10" fontId="10" numFmtId="0" xfId="0" applyAlignment="1" applyBorder="1" applyFill="1" applyFont="1">
      <alignment horizontal="center" readingOrder="0" shrinkToFit="0" vertical="center" wrapText="0"/>
    </xf>
    <xf borderId="4" fillId="2" fontId="5" numFmtId="2" xfId="0" applyAlignment="1" applyBorder="1" applyFill="1" applyFont="1" applyNumberFormat="1">
      <alignment horizontal="center" shrinkToFit="0" vertical="center" wrapText="1"/>
    </xf>
    <xf borderId="4" fillId="0" fontId="5" numFmtId="10" xfId="0" applyAlignment="1" applyBorder="1" applyFont="1" applyNumberFormat="1">
      <alignment horizontal="center" shrinkToFit="0" vertical="center" wrapText="1"/>
    </xf>
    <xf borderId="4" fillId="0" fontId="5" numFmtId="2" xfId="0" applyAlignment="1" applyBorder="1" applyFont="1" applyNumberFormat="1">
      <alignment horizontal="center" shrinkToFit="0" vertical="center" wrapText="1"/>
    </xf>
    <xf borderId="8" fillId="3" fontId="9" numFmtId="0" xfId="0" applyAlignment="1" applyBorder="1" applyFill="1" applyFont="1">
      <alignment horizontal="center" shrinkToFit="0" wrapText="1"/>
    </xf>
    <xf borderId="8" fillId="0" fontId="3" numFmtId="0" xfId="0" applyAlignment="1" applyBorder="1" applyFont="1">
      <alignment shrinkToFit="0" wrapText="1"/>
    </xf>
    <xf borderId="0" fillId="0" fontId="11" numFmtId="0" xfId="0" applyFont="1"/>
    <xf borderId="0" fillId="0" fontId="3" numFmtId="0" xfId="0" applyAlignment="1" applyFont="1">
      <alignment shrinkToFit="0" wrapText="1"/>
    </xf>
    <xf borderId="4" fillId="2" fontId="3" numFmtId="0" xfId="0" applyAlignment="1" applyBorder="1" applyFill="1" applyFont="1">
      <alignment horizontal="center" readingOrder="0" shrinkToFit="0" vertical="center" wrapText="1"/>
    </xf>
    <xf borderId="4" fillId="4" fontId="11" numFmtId="0" xfId="0" applyAlignment="1" applyBorder="1" applyFill="1" applyFont="1">
      <alignment horizontal="right" readingOrder="0" shrinkToFit="0" vertical="center" wrapText="1"/>
    </xf>
    <xf borderId="4" fillId="0" fontId="3" numFmtId="2" xfId="0" applyAlignment="1" applyBorder="1" applyFont="1" applyNumberFormat="1">
      <alignment horizontal="center" readingOrder="0" shrinkToFit="0" vertical="center" wrapText="1"/>
    </xf>
    <xf borderId="4" fillId="2" fontId="3" numFmtId="2" xfId="0" applyAlignment="1" applyBorder="1" applyFill="1" applyFont="1" applyNumberFormat="1">
      <alignment horizontal="center" readingOrder="0" shrinkToFit="0" vertical="center" wrapText="1"/>
    </xf>
    <xf borderId="4" fillId="2" fontId="5" numFmtId="0" xfId="0" applyAlignment="1" applyBorder="1" applyFill="1" applyFont="1">
      <alignment horizontal="center" readingOrder="0" shrinkToFit="0" vertical="center" wrapText="1"/>
    </xf>
    <xf borderId="4" fillId="2" fontId="12" numFmtId="0" xfId="0" applyAlignment="1" applyBorder="1" applyFill="1" applyFont="1">
      <alignment horizontal="center" readingOrder="0" shrinkToFit="0" vertical="center" wrapText="0"/>
    </xf>
    <xf borderId="4" fillId="2" fontId="5" numFmtId="0" xfId="0" applyAlignment="1" applyBorder="1" applyFill="1" applyFont="1">
      <alignment horizontal="center" shrinkToFit="0" vertical="center" wrapText="1"/>
    </xf>
    <xf borderId="4" fillId="2" fontId="5" numFmtId="10" xfId="0" applyAlignment="1" applyBorder="1" applyFill="1" applyFont="1" applyNumberForma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4" fillId="0" fontId="11" numFmtId="164" xfId="0" applyAlignment="1" applyBorder="1" applyFont="1" applyNumberForma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4" fillId="10" fontId="3" numFmtId="0" xfId="0" applyAlignment="1" applyBorder="1" applyFill="1" applyFont="1">
      <alignment horizontal="center" shrinkToFit="0" vertical="center" wrapText="0"/>
    </xf>
    <xf borderId="4" fillId="10" fontId="3" numFmtId="2" xfId="0" applyAlignment="1" applyBorder="1" applyFill="1" applyFont="1" applyNumberFormat="1">
      <alignment horizontal="center" shrinkToFit="0" vertical="center" wrapText="0"/>
    </xf>
    <xf borderId="4" fillId="0" fontId="11" numFmtId="2" xfId="0" applyAlignment="1" applyBorder="1" applyFont="1" applyNumberFormat="1">
      <alignment horizontal="center" shrinkToFit="0" vertical="center" wrapText="1"/>
    </xf>
    <xf borderId="4" fillId="4" fontId="11" numFmtId="0" xfId="0" applyAlignment="1" applyBorder="1" applyFill="1" applyFont="1">
      <alignment horizontal="center" shrinkToFit="0" vertical="center" wrapText="1"/>
    </xf>
    <xf borderId="4" fillId="4" fontId="11" numFmtId="2" xfId="0" applyAlignment="1" applyBorder="1" applyFill="1" applyFont="1" applyNumberFormat="1">
      <alignment horizontal="center" shrinkToFit="0" vertical="center" wrapText="1"/>
    </xf>
    <xf borderId="4" fillId="10" fontId="3" numFmtId="10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  <tableStyles count="6">
    <tableStyle count="4" pivot="0" name="Working Process Daily KPI Ent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KPI Entry Oct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KPI Entry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Daily KPI Entry Sep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ily KPI Entry Aug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nch Performance-Sep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W300" displayName="DailyKPI5_4" name="DailyKPI5_4" id="3">
  <autoFilter ref="$A$2:$W$300"/>
  <tableColumns count="23">
    <tableColumn name="Date" id="1"/>
    <tableColumn name="Employee" id="2"/>
    <tableColumn name="Batch" id="3"/>
    <tableColumn name="Branch" id="4"/>
    <tableColumn name="Collection Achv." id="5"/>
    <tableColumn name="Collection Point" id="6"/>
    <tableColumn name="Int. Meeting Achv." id="7"/>
    <tableColumn name="Int. Meeting Point" id="8"/>
    <tableColumn name="Ext. Meeting Achv" id="9"/>
    <tableColumn name="Ext. Meeting Point" id="10"/>
    <tableColumn name="Talk Time" id="11"/>
    <tableColumn name="Client Reach/_x000a_Follow-up Achv." id="12"/>
    <tableColumn name="Client Reach/_x000a_Follow-up Point" id="13"/>
    <tableColumn name="Appointment Achv." id="14"/>
    <tableColumn name="Appointment Point" id="15"/>
    <tableColumn name="Dig. Marketing Point" id="16"/>
    <tableColumn name="Att. &amp; Discipline Point" id="17"/>
    <tableColumn name="KPI Mark Target" id="18"/>
    <tableColumn name="Total KPI Points" id="19"/>
    <tableColumn name="KPI Achievement %" id="20"/>
    <tableColumn name="Gap" id="21"/>
    <tableColumn name="Status" id="22"/>
    <tableColumn name="Remarks" id="23"/>
  </tableColumns>
  <tableStyleInfo name="Daily KPI Entry Oct26-style" showColumnStripes="0" showFirstColumn="1" showLastColumn="1" showRowStripes="1"/>
</table>
</file>

<file path=xl/tables/table2.xml><?xml version="1.0" encoding="utf-8"?>
<table xmlns="http://schemas.openxmlformats.org/spreadsheetml/2006/main" ref="A2:W393" displayName="DailyKPI5_5" name="DailyKPI5_5" id="1">
  <autoFilter ref="$A$2:$W$393"/>
  <tableColumns count="23">
    <tableColumn name="Date" id="1"/>
    <tableColumn name="Employee" id="2"/>
    <tableColumn name="Batch" id="3"/>
    <tableColumn name="Branch" id="4"/>
    <tableColumn name="Collection Achv." id="5"/>
    <tableColumn name="Collection Point" id="6"/>
    <tableColumn name="Int. Meeting Achv." id="7"/>
    <tableColumn name="Int. Meeting Point" id="8"/>
    <tableColumn name="Ext. Meeting Achv" id="9"/>
    <tableColumn name="Ext. Meeting Point" id="10"/>
    <tableColumn name="Talk Time" id="11"/>
    <tableColumn name="Client Reach/_x000a_Follow-up Achv." id="12"/>
    <tableColumn name="Client Reach/_x000a_Follow-up Point" id="13"/>
    <tableColumn name="Appointment Achv." id="14"/>
    <tableColumn name="Appointment Point" id="15"/>
    <tableColumn name="Dig. Marketing Point" id="16"/>
    <tableColumn name="Att. &amp; Discipline Point" id="17"/>
    <tableColumn name="KPI Mark Target" id="18"/>
    <tableColumn name="Total KPI Points" id="19"/>
    <tableColumn name="KPI Achievement %" id="20"/>
    <tableColumn name="Gap" id="21"/>
    <tableColumn name="Status" id="22"/>
    <tableColumn name="Remarks" id="23"/>
  </tableColumns>
  <tableStyleInfo name="Working Process Daily KPI Entry-style" showColumnStripes="0" showFirstColumn="1" showLastColumn="1" showRowStripes="1"/>
</table>
</file>

<file path=xl/tables/table3.xml><?xml version="1.0" encoding="utf-8"?>
<table xmlns="http://schemas.openxmlformats.org/spreadsheetml/2006/main" ref="A2:W16" displayName="DailyKPI5_3" name="DailyKPI5_3" id="2">
  <tableColumns count="23">
    <tableColumn name="Date" id="1"/>
    <tableColumn name="Employee" id="2"/>
    <tableColumn name="Batch" id="3"/>
    <tableColumn name="Branch" id="4"/>
    <tableColumn name="Collection Achv." id="5"/>
    <tableColumn name="Collection Point" id="6"/>
    <tableColumn name="Int. Meeting Achv." id="7"/>
    <tableColumn name="Int. Meeting Point" id="8"/>
    <tableColumn name="Ext. Meeting Achv" id="9"/>
    <tableColumn name="Ext. Meeting Point" id="10"/>
    <tableColumn name="Talk Time" id="11"/>
    <tableColumn name="Client Reach/_x000a_Follow-up Achv." id="12"/>
    <tableColumn name="Client Reach/_x000a_Follow-up Point" id="13"/>
    <tableColumn name="Appointment Achv." id="14"/>
    <tableColumn name="Appointment Point" id="15"/>
    <tableColumn name="Dig. Marketing Point" id="16"/>
    <tableColumn name="Att. &amp; Discipline Point" id="17"/>
    <tableColumn name="KPI Mark Target" id="18"/>
    <tableColumn name="Total KPI Points" id="19"/>
    <tableColumn name="KPI Achievement %" id="20"/>
    <tableColumn name="Gap" id="21"/>
    <tableColumn name="Status" id="22"/>
    <tableColumn name="Remarks" id="23"/>
  </tableColumns>
  <tableStyleInfo name="Daily KPI Entry-style" showColumnStripes="0" showFirstColumn="1" showLastColumn="1" showRowStripes="1"/>
</table>
</file>

<file path=xl/tables/table4.xml><?xml version="1.0" encoding="utf-8"?>
<table xmlns="http://schemas.openxmlformats.org/spreadsheetml/2006/main" ref="A2:W315" displayName="DailyKPI5" name="DailyKPI5" id="4">
  <autoFilter ref="$A$2:$W$315"/>
  <tableColumns count="23">
    <tableColumn name="Date" id="1"/>
    <tableColumn name="Employee" id="2"/>
    <tableColumn name="Batch" id="3"/>
    <tableColumn name="Branch" id="4"/>
    <tableColumn name="Collection Achv." id="5"/>
    <tableColumn name="Collection Point" id="6"/>
    <tableColumn name="Int. Meeting Achv." id="7"/>
    <tableColumn name="Int. Meeting Point" id="8"/>
    <tableColumn name="Ext. Meeting Achv" id="9"/>
    <tableColumn name="Ext. Meeting Point" id="10"/>
    <tableColumn name="Talk Time" id="11"/>
    <tableColumn name="Client Reach/_x000a_Follow-up Achv." id="12"/>
    <tableColumn name="Client Reach/_x000a_Follow-up Point" id="13"/>
    <tableColumn name="Appointment Achv." id="14"/>
    <tableColumn name="Appointment Point" id="15"/>
    <tableColumn name="Dig. Marketing Point" id="16"/>
    <tableColumn name="Att. &amp; Discipline Point" id="17"/>
    <tableColumn name="KPI Mark Target" id="18"/>
    <tableColumn name="Total KPI Points" id="19"/>
    <tableColumn name="KPI Achievement %" id="20"/>
    <tableColumn name="Gap" id="21"/>
    <tableColumn name="Status" id="22"/>
    <tableColumn name="Remarks" id="23"/>
  </tableColumns>
  <tableStyleInfo name="Daily KPI Entry Sep26-style" showColumnStripes="0" showFirstColumn="1" showLastColumn="1" showRowStripes="1"/>
</table>
</file>

<file path=xl/tables/table5.xml><?xml version="1.0" encoding="utf-8"?>
<table xmlns="http://schemas.openxmlformats.org/spreadsheetml/2006/main" ref="A2:W353" displayName="DailyKPI" name="DailyKPI" id="5">
  <tableColumns count="23">
    <tableColumn name="Date" id="1"/>
    <tableColumn name="Employee" id="2"/>
    <tableColumn name="Batch" id="3"/>
    <tableColumn name="Branch" id="4"/>
    <tableColumn name="Collection Achv." id="5"/>
    <tableColumn name="Collection Point" id="6"/>
    <tableColumn name="Int. Meeting Achv." id="7"/>
    <tableColumn name="Int. Meeting Point" id="8"/>
    <tableColumn name="Ext. Meeting Achv" id="9"/>
    <tableColumn name="Ext. Meeting Point" id="10"/>
    <tableColumn name="Talk Time" id="11"/>
    <tableColumn name="Client Reach/_x000a_Follow-up Achv." id="12"/>
    <tableColumn name="Client Reach/_x000a_Follow-up Point" id="13"/>
    <tableColumn name="Appointment Achv." id="14"/>
    <tableColumn name="Appointment Point" id="15"/>
    <tableColumn name="Dig. Marketing Point" id="16"/>
    <tableColumn name="Att. &amp; Discipline Point" id="17"/>
    <tableColumn name="KPI Mark Target" id="18"/>
    <tableColumn name="Total KPI Points" id="19"/>
    <tableColumn name="KPI Achievement %" id="20"/>
    <tableColumn name="Gap" id="21"/>
    <tableColumn name="Status" id="22"/>
    <tableColumn name="Remarks" id="23"/>
  </tableColumns>
  <tableStyleInfo name="Daily KPI Entry Aug26-style" showColumnStripes="0" showFirstColumn="1" showLastColumn="1" showRowStripes="1"/>
</table>
</file>

<file path=xl/tables/table6.xml><?xml version="1.0" encoding="utf-8"?>
<table xmlns="http://schemas.openxmlformats.org/spreadsheetml/2006/main" ref="A2:V6" displayName="DailyKPI5_2" name="DailyKPI5_2" id="6">
  <autoFilter ref="$A$2:$V$6"/>
  <tableColumns count="22">
    <tableColumn name="Date" id="1"/>
    <tableColumn name="Batch" id="2"/>
    <tableColumn name="Members" id="3"/>
    <tableColumn name="Collection Achv." id="4"/>
    <tableColumn name="Collection Point" id="5"/>
    <tableColumn name="Int. Meeting Achv." id="6"/>
    <tableColumn name="Int. Meeting Point" id="7"/>
    <tableColumn name="Ext. Meeting Achv" id="8"/>
    <tableColumn name="Ext. Meeting Point" id="9"/>
    <tableColumn name="Talk Time" id="10"/>
    <tableColumn name="Client Reach/_x000a_Follow-up Achv." id="11"/>
    <tableColumn name="Client Reach/_x000a_Follow-up Point" id="12"/>
    <tableColumn name="Appointment Achv." id="13"/>
    <tableColumn name="Appointment Point" id="14"/>
    <tableColumn name="Dig. Marketing Point" id="15"/>
    <tableColumn name="Att. &amp; Discipline Point" id="16"/>
    <tableColumn name="KPI Mark Target" id="17"/>
    <tableColumn name="Total KPI Points" id="18"/>
    <tableColumn name="KPI Achievement %" id="19"/>
    <tableColumn name="Gap" id="20"/>
    <tableColumn name="Status" id="21"/>
    <tableColumn name="Remarks" id="22"/>
  </tableColumns>
  <tableStyleInfo name="Branch Performance-Sep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71"/>
    <col customWidth="1" min="2" max="2" width="20.29"/>
    <col customWidth="1" min="3" max="3" width="9.86"/>
    <col customWidth="1" min="4" max="4" width="10.29"/>
    <col customWidth="1" min="5" max="5" width="10.0"/>
    <col customWidth="1" min="6" max="6" width="8.71"/>
    <col customWidth="1" min="7" max="7" width="11.14"/>
    <col customWidth="1" min="8" max="8" width="12.29"/>
    <col customWidth="1" min="9" max="9" width="11.86"/>
    <col customWidth="1" min="10" max="10" width="11.29"/>
    <col customWidth="1" min="11" max="11" width="9.14"/>
    <col customWidth="1" min="12" max="12" width="15.57"/>
    <col customWidth="1" min="13" max="13" width="16.0"/>
    <col customWidth="1" min="14" max="14" width="13.43"/>
    <col customWidth="1" min="15" max="15" width="19.43"/>
    <col customWidth="1" min="16" max="16" width="14.57"/>
    <col customWidth="1" min="17" max="17" width="14.86"/>
    <col customWidth="1" min="18" max="18" width="14.0"/>
    <col customWidth="1" min="19" max="19" width="13.86"/>
    <col customWidth="1" min="20" max="20" width="12.57"/>
    <col customWidth="1" min="21" max="21" width="7.71"/>
    <col customWidth="1" min="22" max="22" width="17.86"/>
    <col customWidth="1" min="23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/>
      <c r="Y1" s="4"/>
      <c r="Z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</row>
    <row r="3">
      <c r="A3" s="6">
        <v>46296.0</v>
      </c>
      <c r="B3" s="7" t="s">
        <v>28</v>
      </c>
      <c r="C3" s="9" t="s">
        <v>29</v>
      </c>
      <c r="D3" s="9" t="s">
        <v>27</v>
      </c>
      <c r="E3" s="10">
        <v>0.0</v>
      </c>
      <c r="F3" s="9">
        <f t="shared" ref="F3:F299" si="1">IF(E3&gt;0,3,0)</f>
        <v>0</v>
      </c>
      <c r="G3" s="11">
        <v>0.0</v>
      </c>
      <c r="H3" s="12">
        <f t="shared" ref="H3:H299" si="2">IF(G3&gt;0,1,0)</f>
        <v>0</v>
      </c>
      <c r="I3" s="11">
        <v>1.0</v>
      </c>
      <c r="J3" s="12">
        <f t="shared" ref="J3:J4" si="3">IF(I3&gt;0,1,0)</f>
        <v>1</v>
      </c>
      <c r="K3" s="11">
        <v>121.0</v>
      </c>
      <c r="L3" s="11">
        <v>52.0</v>
      </c>
      <c r="M3" s="14">
        <f t="shared" ref="M3:M299" si="4">MIN(L3/50,1)</f>
        <v>1</v>
      </c>
      <c r="N3" s="11">
        <v>3.0</v>
      </c>
      <c r="O3" s="14">
        <f t="shared" ref="O3:O299" si="5">SUM(N3/3)*2</f>
        <v>2</v>
      </c>
      <c r="P3" s="11">
        <v>1.0</v>
      </c>
      <c r="Q3" s="15">
        <v>1.0</v>
      </c>
      <c r="R3" s="9">
        <v>10.0</v>
      </c>
      <c r="S3" s="16">
        <f t="shared" ref="S3:S300" si="6">SUM(F3,H3,J3,M3,O3,P3,Q3)</f>
        <v>6</v>
      </c>
      <c r="T3" s="17">
        <f t="shared" ref="T3:T299" si="7">IFERROR(S3/10,0)</f>
        <v>0.6</v>
      </c>
      <c r="U3" s="14">
        <f t="shared" ref="U3:U299" si="8">S3-10</f>
        <v>-4</v>
      </c>
      <c r="V3" s="9" t="str">
        <f t="shared" ref="V3:V300" si="9">IF(T3&gt;=1,"Achieved",IF(T3&gt;=0.7,"Near Target",IF(T3&gt;=0.5,"Average","Low Performance")))</f>
        <v>Average</v>
      </c>
      <c r="W3" s="9"/>
    </row>
    <row r="4">
      <c r="A4" s="6">
        <v>46296.0</v>
      </c>
      <c r="B4" s="7" t="s">
        <v>36</v>
      </c>
      <c r="C4" s="9" t="s">
        <v>29</v>
      </c>
      <c r="D4" s="9" t="s">
        <v>27</v>
      </c>
      <c r="E4" s="10">
        <v>650000.0</v>
      </c>
      <c r="F4" s="9">
        <f t="shared" si="1"/>
        <v>3</v>
      </c>
      <c r="G4" s="11">
        <v>1.0</v>
      </c>
      <c r="H4" s="12">
        <f t="shared" si="2"/>
        <v>1</v>
      </c>
      <c r="I4" s="11">
        <v>2.0</v>
      </c>
      <c r="J4" s="12">
        <f t="shared" si="3"/>
        <v>1</v>
      </c>
      <c r="K4" s="11">
        <v>66.0</v>
      </c>
      <c r="L4" s="11">
        <v>51.0</v>
      </c>
      <c r="M4" s="14">
        <f t="shared" si="4"/>
        <v>1</v>
      </c>
      <c r="N4" s="11">
        <v>3.0</v>
      </c>
      <c r="O4" s="14">
        <f t="shared" si="5"/>
        <v>2</v>
      </c>
      <c r="P4" s="11">
        <v>1.0</v>
      </c>
      <c r="Q4" s="15">
        <v>1.0</v>
      </c>
      <c r="R4" s="9">
        <v>10.0</v>
      </c>
      <c r="S4" s="16">
        <f t="shared" si="6"/>
        <v>10</v>
      </c>
      <c r="T4" s="17">
        <f t="shared" si="7"/>
        <v>1</v>
      </c>
      <c r="U4" s="14">
        <f t="shared" si="8"/>
        <v>0</v>
      </c>
      <c r="V4" s="9" t="str">
        <f t="shared" si="9"/>
        <v>Achieved</v>
      </c>
      <c r="W4" s="9"/>
    </row>
    <row r="5">
      <c r="A5" s="6">
        <v>46296.0</v>
      </c>
      <c r="B5" s="7" t="s">
        <v>37</v>
      </c>
      <c r="C5" s="9" t="s">
        <v>29</v>
      </c>
      <c r="D5" s="9" t="s">
        <v>27</v>
      </c>
      <c r="E5" s="10">
        <v>0.0</v>
      </c>
      <c r="F5" s="9">
        <f t="shared" si="1"/>
        <v>0</v>
      </c>
      <c r="G5" s="11">
        <v>0.0</v>
      </c>
      <c r="H5" s="12">
        <f t="shared" si="2"/>
        <v>0</v>
      </c>
      <c r="I5" s="11">
        <v>1.0</v>
      </c>
      <c r="J5" s="19">
        <v>1.0</v>
      </c>
      <c r="K5" s="11">
        <v>66.0</v>
      </c>
      <c r="L5" s="11">
        <v>52.0</v>
      </c>
      <c r="M5" s="14">
        <f t="shared" si="4"/>
        <v>1</v>
      </c>
      <c r="N5" s="11">
        <v>3.0</v>
      </c>
      <c r="O5" s="14">
        <f t="shared" si="5"/>
        <v>2</v>
      </c>
      <c r="P5" s="11">
        <v>1.0</v>
      </c>
      <c r="Q5" s="15">
        <v>1.0</v>
      </c>
      <c r="R5" s="9">
        <v>10.0</v>
      </c>
      <c r="S5" s="16">
        <f t="shared" si="6"/>
        <v>6</v>
      </c>
      <c r="T5" s="17">
        <f t="shared" si="7"/>
        <v>0.6</v>
      </c>
      <c r="U5" s="14">
        <f t="shared" si="8"/>
        <v>-4</v>
      </c>
      <c r="V5" s="9" t="str">
        <f t="shared" si="9"/>
        <v>Average</v>
      </c>
      <c r="W5" s="9"/>
    </row>
    <row r="6">
      <c r="A6" s="6">
        <v>46296.0</v>
      </c>
      <c r="B6" s="7" t="s">
        <v>38</v>
      </c>
      <c r="C6" s="9" t="s">
        <v>29</v>
      </c>
      <c r="D6" s="9" t="s">
        <v>27</v>
      </c>
      <c r="E6" s="10">
        <v>300000.0</v>
      </c>
      <c r="F6" s="9">
        <f t="shared" si="1"/>
        <v>3</v>
      </c>
      <c r="G6" s="11">
        <v>1.0</v>
      </c>
      <c r="H6" s="12">
        <f t="shared" si="2"/>
        <v>1</v>
      </c>
      <c r="I6" s="11">
        <v>1.0</v>
      </c>
      <c r="J6" s="19">
        <v>1.0</v>
      </c>
      <c r="K6" s="11">
        <v>85.0</v>
      </c>
      <c r="L6" s="11">
        <v>50.0</v>
      </c>
      <c r="M6" s="14">
        <f t="shared" si="4"/>
        <v>1</v>
      </c>
      <c r="N6" s="11">
        <v>3.0</v>
      </c>
      <c r="O6" s="14">
        <f t="shared" si="5"/>
        <v>2</v>
      </c>
      <c r="P6" s="11">
        <v>1.0</v>
      </c>
      <c r="Q6" s="15">
        <v>1.0</v>
      </c>
      <c r="R6" s="9">
        <v>10.0</v>
      </c>
      <c r="S6" s="16">
        <f t="shared" si="6"/>
        <v>10</v>
      </c>
      <c r="T6" s="17">
        <f t="shared" si="7"/>
        <v>1</v>
      </c>
      <c r="U6" s="14">
        <f t="shared" si="8"/>
        <v>0</v>
      </c>
      <c r="V6" s="9" t="str">
        <f t="shared" si="9"/>
        <v>Achieved</v>
      </c>
      <c r="W6" s="9"/>
    </row>
    <row r="7">
      <c r="A7" s="6">
        <v>46296.0</v>
      </c>
      <c r="B7" s="20" t="s">
        <v>39</v>
      </c>
      <c r="C7" s="9" t="s">
        <v>40</v>
      </c>
      <c r="D7" s="9" t="s">
        <v>27</v>
      </c>
      <c r="E7" s="10">
        <v>0.0</v>
      </c>
      <c r="F7" s="9">
        <f t="shared" si="1"/>
        <v>0</v>
      </c>
      <c r="G7" s="11">
        <v>1.0</v>
      </c>
      <c r="H7" s="12">
        <f t="shared" si="2"/>
        <v>1</v>
      </c>
      <c r="I7" s="11">
        <v>0.0</v>
      </c>
      <c r="J7" s="19">
        <v>0.0</v>
      </c>
      <c r="K7" s="11">
        <v>80.0</v>
      </c>
      <c r="L7" s="11">
        <v>67.0</v>
      </c>
      <c r="M7" s="14">
        <f t="shared" si="4"/>
        <v>1</v>
      </c>
      <c r="N7" s="11">
        <v>3.0</v>
      </c>
      <c r="O7" s="14">
        <f t="shared" si="5"/>
        <v>2</v>
      </c>
      <c r="P7" s="11">
        <v>1.0</v>
      </c>
      <c r="Q7" s="15">
        <v>1.0</v>
      </c>
      <c r="R7" s="9">
        <v>10.0</v>
      </c>
      <c r="S7" s="16">
        <f t="shared" si="6"/>
        <v>6</v>
      </c>
      <c r="T7" s="17">
        <f t="shared" si="7"/>
        <v>0.6</v>
      </c>
      <c r="U7" s="14">
        <f t="shared" si="8"/>
        <v>-4</v>
      </c>
      <c r="V7" s="9" t="str">
        <f t="shared" si="9"/>
        <v>Average</v>
      </c>
      <c r="W7" s="9"/>
    </row>
    <row r="8">
      <c r="A8" s="6">
        <v>46296.0</v>
      </c>
      <c r="B8" s="7" t="s">
        <v>41</v>
      </c>
      <c r="C8" s="9" t="s">
        <v>40</v>
      </c>
      <c r="D8" s="9" t="s">
        <v>27</v>
      </c>
      <c r="E8" s="10">
        <v>0.0</v>
      </c>
      <c r="F8" s="9">
        <f t="shared" si="1"/>
        <v>0</v>
      </c>
      <c r="G8" s="11">
        <v>0.0</v>
      </c>
      <c r="H8" s="12">
        <f t="shared" si="2"/>
        <v>0</v>
      </c>
      <c r="I8" s="11">
        <v>1.0</v>
      </c>
      <c r="J8" s="12">
        <f>IF(I8&gt;0,1,0)</f>
        <v>1</v>
      </c>
      <c r="K8" s="11">
        <v>75.0</v>
      </c>
      <c r="L8" s="11">
        <v>53.0</v>
      </c>
      <c r="M8" s="14">
        <f t="shared" si="4"/>
        <v>1</v>
      </c>
      <c r="N8" s="11">
        <v>3.0</v>
      </c>
      <c r="O8" s="14">
        <f t="shared" si="5"/>
        <v>2</v>
      </c>
      <c r="P8" s="11">
        <v>1.0</v>
      </c>
      <c r="Q8" s="15">
        <v>1.0</v>
      </c>
      <c r="R8" s="9">
        <v>10.0</v>
      </c>
      <c r="S8" s="16">
        <f t="shared" si="6"/>
        <v>6</v>
      </c>
      <c r="T8" s="17">
        <f t="shared" si="7"/>
        <v>0.6</v>
      </c>
      <c r="U8" s="14">
        <f t="shared" si="8"/>
        <v>-4</v>
      </c>
      <c r="V8" s="9" t="str">
        <f t="shared" si="9"/>
        <v>Average</v>
      </c>
      <c r="W8" s="9"/>
    </row>
    <row r="9">
      <c r="A9" s="6">
        <v>46296.0</v>
      </c>
      <c r="B9" s="7" t="s">
        <v>42</v>
      </c>
      <c r="C9" s="9" t="s">
        <v>40</v>
      </c>
      <c r="D9" s="9" t="s">
        <v>27</v>
      </c>
      <c r="E9" s="10">
        <v>0.0</v>
      </c>
      <c r="F9" s="9">
        <f t="shared" si="1"/>
        <v>0</v>
      </c>
      <c r="G9" s="11">
        <v>0.0</v>
      </c>
      <c r="H9" s="12">
        <f t="shared" si="2"/>
        <v>0</v>
      </c>
      <c r="I9" s="11">
        <v>1.0</v>
      </c>
      <c r="J9" s="19">
        <v>1.0</v>
      </c>
      <c r="K9" s="11">
        <v>64.0</v>
      </c>
      <c r="L9" s="11">
        <v>50.0</v>
      </c>
      <c r="M9" s="14">
        <f t="shared" si="4"/>
        <v>1</v>
      </c>
      <c r="N9" s="11">
        <v>3.0</v>
      </c>
      <c r="O9" s="14">
        <f t="shared" si="5"/>
        <v>2</v>
      </c>
      <c r="P9" s="11">
        <v>1.0</v>
      </c>
      <c r="Q9" s="15">
        <v>1.0</v>
      </c>
      <c r="R9" s="9">
        <v>10.0</v>
      </c>
      <c r="S9" s="16">
        <f t="shared" si="6"/>
        <v>6</v>
      </c>
      <c r="T9" s="17">
        <f t="shared" si="7"/>
        <v>0.6</v>
      </c>
      <c r="U9" s="14">
        <f t="shared" si="8"/>
        <v>-4</v>
      </c>
      <c r="V9" s="9" t="str">
        <f t="shared" si="9"/>
        <v>Average</v>
      </c>
      <c r="W9" s="9"/>
    </row>
    <row r="10">
      <c r="A10" s="6">
        <v>46296.0</v>
      </c>
      <c r="B10" s="7" t="s">
        <v>43</v>
      </c>
      <c r="C10" s="9" t="s">
        <v>40</v>
      </c>
      <c r="D10" s="9" t="s">
        <v>27</v>
      </c>
      <c r="E10" s="10">
        <v>0.0</v>
      </c>
      <c r="F10" s="9">
        <f t="shared" si="1"/>
        <v>0</v>
      </c>
      <c r="G10" s="11">
        <v>0.0</v>
      </c>
      <c r="H10" s="12">
        <f t="shared" si="2"/>
        <v>0</v>
      </c>
      <c r="I10" s="11">
        <v>1.0</v>
      </c>
      <c r="J10" s="12">
        <f t="shared" ref="J10:J13" si="10">IF(I10&gt;0,1,0)</f>
        <v>1</v>
      </c>
      <c r="K10" s="11">
        <v>65.0</v>
      </c>
      <c r="L10" s="11">
        <v>50.0</v>
      </c>
      <c r="M10" s="14">
        <f t="shared" si="4"/>
        <v>1</v>
      </c>
      <c r="N10" s="11">
        <v>3.0</v>
      </c>
      <c r="O10" s="14">
        <f t="shared" si="5"/>
        <v>2</v>
      </c>
      <c r="P10" s="11">
        <v>1.0</v>
      </c>
      <c r="Q10" s="15">
        <v>1.0</v>
      </c>
      <c r="R10" s="9">
        <v>10.0</v>
      </c>
      <c r="S10" s="16">
        <f t="shared" si="6"/>
        <v>6</v>
      </c>
      <c r="T10" s="17">
        <f t="shared" si="7"/>
        <v>0.6</v>
      </c>
      <c r="U10" s="14">
        <f t="shared" si="8"/>
        <v>-4</v>
      </c>
      <c r="V10" s="9" t="str">
        <f t="shared" si="9"/>
        <v>Average</v>
      </c>
      <c r="W10" s="9"/>
    </row>
    <row r="11">
      <c r="A11" s="6">
        <v>46296.0</v>
      </c>
      <c r="B11" s="7" t="s">
        <v>45</v>
      </c>
      <c r="C11" s="18" t="s">
        <v>46</v>
      </c>
      <c r="D11" s="9" t="s">
        <v>27</v>
      </c>
      <c r="E11" s="10">
        <v>0.0</v>
      </c>
      <c r="F11" s="9">
        <f t="shared" si="1"/>
        <v>0</v>
      </c>
      <c r="G11" s="11">
        <v>0.0</v>
      </c>
      <c r="H11" s="12">
        <f t="shared" si="2"/>
        <v>0</v>
      </c>
      <c r="I11" s="11">
        <v>2.0</v>
      </c>
      <c r="J11" s="12">
        <f t="shared" si="10"/>
        <v>1</v>
      </c>
      <c r="K11" s="11">
        <v>75.0</v>
      </c>
      <c r="L11" s="11">
        <v>55.0</v>
      </c>
      <c r="M11" s="14">
        <f t="shared" si="4"/>
        <v>1</v>
      </c>
      <c r="N11" s="11">
        <v>3.0</v>
      </c>
      <c r="O11" s="14">
        <f t="shared" si="5"/>
        <v>2</v>
      </c>
      <c r="P11" s="11">
        <v>1.0</v>
      </c>
      <c r="Q11" s="15">
        <v>1.0</v>
      </c>
      <c r="R11" s="9">
        <v>10.0</v>
      </c>
      <c r="S11" s="16">
        <f t="shared" si="6"/>
        <v>6</v>
      </c>
      <c r="T11" s="17">
        <f t="shared" si="7"/>
        <v>0.6</v>
      </c>
      <c r="U11" s="14">
        <f t="shared" si="8"/>
        <v>-4</v>
      </c>
      <c r="V11" s="9" t="str">
        <f t="shared" si="9"/>
        <v>Average</v>
      </c>
      <c r="W11" s="9"/>
    </row>
    <row r="12">
      <c r="A12" s="6">
        <v>46296.0</v>
      </c>
      <c r="B12" s="7" t="s">
        <v>49</v>
      </c>
      <c r="C12" s="18" t="s">
        <v>46</v>
      </c>
      <c r="D12" s="9" t="s">
        <v>27</v>
      </c>
      <c r="E12" s="10">
        <v>0.0</v>
      </c>
      <c r="F12" s="9">
        <f t="shared" si="1"/>
        <v>0</v>
      </c>
      <c r="G12" s="11">
        <v>0.0</v>
      </c>
      <c r="H12" s="12">
        <f t="shared" si="2"/>
        <v>0</v>
      </c>
      <c r="I12" s="11">
        <v>2.0</v>
      </c>
      <c r="J12" s="12">
        <f t="shared" si="10"/>
        <v>1</v>
      </c>
      <c r="K12" s="11">
        <v>60.0</v>
      </c>
      <c r="L12" s="11">
        <v>50.0</v>
      </c>
      <c r="M12" s="14">
        <f t="shared" si="4"/>
        <v>1</v>
      </c>
      <c r="N12" s="11">
        <v>3.0</v>
      </c>
      <c r="O12" s="14">
        <f t="shared" si="5"/>
        <v>2</v>
      </c>
      <c r="P12" s="11">
        <v>1.0</v>
      </c>
      <c r="Q12" s="15">
        <v>1.0</v>
      </c>
      <c r="R12" s="9">
        <v>10.0</v>
      </c>
      <c r="S12" s="16">
        <f t="shared" si="6"/>
        <v>6</v>
      </c>
      <c r="T12" s="21">
        <f t="shared" si="7"/>
        <v>0.6</v>
      </c>
      <c r="U12" s="14">
        <f t="shared" si="8"/>
        <v>-4</v>
      </c>
      <c r="V12" s="9" t="str">
        <f t="shared" si="9"/>
        <v>Average</v>
      </c>
      <c r="W12" s="9"/>
    </row>
    <row r="13">
      <c r="A13" s="6">
        <v>46296.0</v>
      </c>
      <c r="B13" s="22" t="s">
        <v>50</v>
      </c>
      <c r="C13" s="23" t="s">
        <v>46</v>
      </c>
      <c r="D13" s="24" t="s">
        <v>27</v>
      </c>
      <c r="E13" s="10">
        <v>400000.0</v>
      </c>
      <c r="F13" s="9">
        <f t="shared" si="1"/>
        <v>3</v>
      </c>
      <c r="G13" s="11">
        <v>1.0</v>
      </c>
      <c r="H13" s="12">
        <f t="shared" si="2"/>
        <v>1</v>
      </c>
      <c r="I13" s="11">
        <v>1.0</v>
      </c>
      <c r="J13" s="12">
        <f t="shared" si="10"/>
        <v>1</v>
      </c>
      <c r="K13" s="11">
        <v>46.0</v>
      </c>
      <c r="L13" s="11">
        <v>50.0</v>
      </c>
      <c r="M13" s="14">
        <f t="shared" si="4"/>
        <v>1</v>
      </c>
      <c r="N13" s="11">
        <v>3.0</v>
      </c>
      <c r="O13" s="14">
        <f t="shared" si="5"/>
        <v>2</v>
      </c>
      <c r="P13" s="11">
        <v>1.0</v>
      </c>
      <c r="Q13" s="15">
        <v>1.0</v>
      </c>
      <c r="R13" s="9">
        <v>10.0</v>
      </c>
      <c r="S13" s="16">
        <f t="shared" si="6"/>
        <v>10</v>
      </c>
      <c r="T13" s="28">
        <f t="shared" si="7"/>
        <v>1</v>
      </c>
      <c r="U13" s="14">
        <f t="shared" si="8"/>
        <v>0</v>
      </c>
      <c r="V13" s="9" t="str">
        <f t="shared" si="9"/>
        <v>Achieved</v>
      </c>
      <c r="W13" s="9"/>
    </row>
    <row r="14">
      <c r="A14" s="6">
        <v>46298.0</v>
      </c>
      <c r="B14" s="7" t="s">
        <v>28</v>
      </c>
      <c r="C14" s="9" t="s">
        <v>29</v>
      </c>
      <c r="D14" s="9" t="s">
        <v>27</v>
      </c>
      <c r="E14" s="10">
        <v>0.0</v>
      </c>
      <c r="F14" s="9">
        <f t="shared" si="1"/>
        <v>0</v>
      </c>
      <c r="G14" s="11">
        <v>0.0</v>
      </c>
      <c r="H14" s="9">
        <f t="shared" si="2"/>
        <v>0</v>
      </c>
      <c r="I14" s="11">
        <v>1.0</v>
      </c>
      <c r="J14" s="18">
        <v>0.0</v>
      </c>
      <c r="K14" s="11">
        <v>101.0</v>
      </c>
      <c r="L14" s="11">
        <v>53.0</v>
      </c>
      <c r="M14" s="14">
        <f t="shared" si="4"/>
        <v>1</v>
      </c>
      <c r="N14" s="11">
        <v>3.0</v>
      </c>
      <c r="O14" s="14">
        <f t="shared" si="5"/>
        <v>2</v>
      </c>
      <c r="P14" s="11">
        <v>1.0</v>
      </c>
      <c r="Q14" s="15">
        <v>1.0</v>
      </c>
      <c r="R14" s="9">
        <v>10.0</v>
      </c>
      <c r="S14" s="16">
        <f t="shared" si="6"/>
        <v>5</v>
      </c>
      <c r="T14" s="17">
        <f t="shared" si="7"/>
        <v>0.5</v>
      </c>
      <c r="U14" s="14">
        <f t="shared" si="8"/>
        <v>-5</v>
      </c>
      <c r="V14" s="9" t="str">
        <f t="shared" si="9"/>
        <v>Average</v>
      </c>
      <c r="W14" s="9"/>
    </row>
    <row r="15">
      <c r="A15" s="6">
        <v>46298.0</v>
      </c>
      <c r="B15" s="7" t="s">
        <v>36</v>
      </c>
      <c r="C15" s="9" t="s">
        <v>29</v>
      </c>
      <c r="D15" s="9" t="s">
        <v>27</v>
      </c>
      <c r="E15" s="10">
        <v>0.0</v>
      </c>
      <c r="F15" s="9">
        <f t="shared" si="1"/>
        <v>0</v>
      </c>
      <c r="G15" s="11">
        <v>0.0</v>
      </c>
      <c r="H15" s="9">
        <f t="shared" si="2"/>
        <v>0</v>
      </c>
      <c r="I15" s="11">
        <v>1.0</v>
      </c>
      <c r="J15" s="9">
        <f>IF(I15&gt;0,1,0)</f>
        <v>1</v>
      </c>
      <c r="K15" s="11">
        <v>61.0</v>
      </c>
      <c r="L15" s="11">
        <v>52.0</v>
      </c>
      <c r="M15" s="14">
        <f t="shared" si="4"/>
        <v>1</v>
      </c>
      <c r="N15" s="11">
        <v>3.0</v>
      </c>
      <c r="O15" s="14">
        <f t="shared" si="5"/>
        <v>2</v>
      </c>
      <c r="P15" s="11">
        <v>1.0</v>
      </c>
      <c r="Q15" s="15">
        <v>1.0</v>
      </c>
      <c r="R15" s="9">
        <v>10.0</v>
      </c>
      <c r="S15" s="16">
        <f t="shared" si="6"/>
        <v>6</v>
      </c>
      <c r="T15" s="17">
        <f t="shared" si="7"/>
        <v>0.6</v>
      </c>
      <c r="U15" s="14">
        <f t="shared" si="8"/>
        <v>-4</v>
      </c>
      <c r="V15" s="9" t="str">
        <f t="shared" si="9"/>
        <v>Average</v>
      </c>
      <c r="W15" s="9"/>
    </row>
    <row r="16">
      <c r="A16" s="6">
        <v>46298.0</v>
      </c>
      <c r="B16" s="7" t="s">
        <v>37</v>
      </c>
      <c r="C16" s="9" t="s">
        <v>29</v>
      </c>
      <c r="D16" s="9" t="s">
        <v>27</v>
      </c>
      <c r="E16" s="10">
        <v>0.0</v>
      </c>
      <c r="F16" s="9">
        <f t="shared" si="1"/>
        <v>0</v>
      </c>
      <c r="G16" s="11">
        <v>0.0</v>
      </c>
      <c r="H16" s="9">
        <f t="shared" si="2"/>
        <v>0</v>
      </c>
      <c r="I16" s="11">
        <v>1.0</v>
      </c>
      <c r="J16" s="18">
        <v>0.0</v>
      </c>
      <c r="K16" s="11">
        <v>68.0</v>
      </c>
      <c r="L16" s="11">
        <v>58.0</v>
      </c>
      <c r="M16" s="14">
        <f t="shared" si="4"/>
        <v>1</v>
      </c>
      <c r="N16" s="11">
        <v>3.0</v>
      </c>
      <c r="O16" s="14">
        <f t="shared" si="5"/>
        <v>2</v>
      </c>
      <c r="P16" s="11">
        <v>1.0</v>
      </c>
      <c r="Q16" s="15">
        <v>1.0</v>
      </c>
      <c r="R16" s="9">
        <v>10.0</v>
      </c>
      <c r="S16" s="16">
        <f t="shared" si="6"/>
        <v>5</v>
      </c>
      <c r="T16" s="17">
        <f t="shared" si="7"/>
        <v>0.5</v>
      </c>
      <c r="U16" s="14">
        <f t="shared" si="8"/>
        <v>-5</v>
      </c>
      <c r="V16" s="9" t="str">
        <f t="shared" si="9"/>
        <v>Average</v>
      </c>
      <c r="W16" s="9"/>
    </row>
    <row r="17" ht="15.75" customHeight="1">
      <c r="A17" s="6">
        <v>46298.0</v>
      </c>
      <c r="B17" s="7" t="s">
        <v>38</v>
      </c>
      <c r="C17" s="9" t="s">
        <v>29</v>
      </c>
      <c r="D17" s="9" t="s">
        <v>27</v>
      </c>
      <c r="E17" s="10">
        <v>0.0</v>
      </c>
      <c r="F17" s="9">
        <f t="shared" si="1"/>
        <v>0</v>
      </c>
      <c r="G17" s="11">
        <v>1.0</v>
      </c>
      <c r="H17" s="9">
        <f t="shared" si="2"/>
        <v>1</v>
      </c>
      <c r="I17" s="11">
        <v>1.0</v>
      </c>
      <c r="J17" s="9">
        <f t="shared" ref="J17:J20" si="11">IF(I17&gt;0,1,0)</f>
        <v>1</v>
      </c>
      <c r="K17" s="11">
        <v>70.0</v>
      </c>
      <c r="L17" s="11">
        <v>54.0</v>
      </c>
      <c r="M17" s="14">
        <f t="shared" si="4"/>
        <v>1</v>
      </c>
      <c r="N17" s="11">
        <v>3.0</v>
      </c>
      <c r="O17" s="14">
        <f t="shared" si="5"/>
        <v>2</v>
      </c>
      <c r="P17" s="11">
        <v>1.0</v>
      </c>
      <c r="Q17" s="15">
        <v>1.0</v>
      </c>
      <c r="R17" s="9">
        <v>10.0</v>
      </c>
      <c r="S17" s="16">
        <f t="shared" si="6"/>
        <v>7</v>
      </c>
      <c r="T17" s="17">
        <f t="shared" si="7"/>
        <v>0.7</v>
      </c>
      <c r="U17" s="14">
        <f t="shared" si="8"/>
        <v>-3</v>
      </c>
      <c r="V17" s="9" t="str">
        <f t="shared" si="9"/>
        <v>Near Target</v>
      </c>
      <c r="W17" s="9"/>
    </row>
    <row r="18" ht="15.75" customHeight="1">
      <c r="A18" s="6">
        <v>46298.0</v>
      </c>
      <c r="B18" s="20" t="s">
        <v>39</v>
      </c>
      <c r="C18" s="9" t="s">
        <v>40</v>
      </c>
      <c r="D18" s="9" t="s">
        <v>27</v>
      </c>
      <c r="E18" s="25">
        <v>0.0</v>
      </c>
      <c r="F18" s="26">
        <f t="shared" si="1"/>
        <v>0</v>
      </c>
      <c r="G18" s="27">
        <v>0.0</v>
      </c>
      <c r="H18" s="26">
        <f t="shared" si="2"/>
        <v>0</v>
      </c>
      <c r="I18" s="27">
        <v>0.0</v>
      </c>
      <c r="J18" s="26">
        <f t="shared" si="11"/>
        <v>0</v>
      </c>
      <c r="K18" s="27">
        <v>0.0</v>
      </c>
      <c r="L18" s="27">
        <v>0.0</v>
      </c>
      <c r="M18" s="29">
        <f t="shared" si="4"/>
        <v>0</v>
      </c>
      <c r="N18" s="26"/>
      <c r="O18" s="29">
        <f t="shared" si="5"/>
        <v>0</v>
      </c>
      <c r="P18" s="27">
        <v>0.0</v>
      </c>
      <c r="Q18" s="30">
        <v>0.0</v>
      </c>
      <c r="R18" s="26">
        <v>10.0</v>
      </c>
      <c r="S18" s="29">
        <f t="shared" si="6"/>
        <v>0</v>
      </c>
      <c r="T18" s="28">
        <f t="shared" si="7"/>
        <v>0</v>
      </c>
      <c r="U18" s="29">
        <f t="shared" si="8"/>
        <v>-10</v>
      </c>
      <c r="V18" s="26" t="str">
        <f t="shared" si="9"/>
        <v>Low Performance</v>
      </c>
      <c r="W18" s="31" t="s">
        <v>51</v>
      </c>
    </row>
    <row r="19" ht="15.75" customHeight="1">
      <c r="A19" s="6">
        <v>46298.0</v>
      </c>
      <c r="B19" s="7" t="s">
        <v>41</v>
      </c>
      <c r="C19" s="9" t="s">
        <v>40</v>
      </c>
      <c r="D19" s="9" t="s">
        <v>27</v>
      </c>
      <c r="E19" s="10">
        <v>0.0</v>
      </c>
      <c r="F19" s="9">
        <f t="shared" si="1"/>
        <v>0</v>
      </c>
      <c r="G19" s="11">
        <v>0.0</v>
      </c>
      <c r="H19" s="9">
        <f t="shared" si="2"/>
        <v>0</v>
      </c>
      <c r="I19" s="11">
        <v>1.0</v>
      </c>
      <c r="J19" s="9">
        <f t="shared" si="11"/>
        <v>1</v>
      </c>
      <c r="K19" s="11">
        <v>90.0</v>
      </c>
      <c r="L19" s="11">
        <v>58.0</v>
      </c>
      <c r="M19" s="14">
        <f t="shared" si="4"/>
        <v>1</v>
      </c>
      <c r="N19" s="11">
        <v>3.0</v>
      </c>
      <c r="O19" s="14">
        <f t="shared" si="5"/>
        <v>2</v>
      </c>
      <c r="P19" s="11">
        <v>1.0</v>
      </c>
      <c r="Q19" s="15">
        <v>1.0</v>
      </c>
      <c r="R19" s="9">
        <v>10.0</v>
      </c>
      <c r="S19" s="16">
        <f t="shared" si="6"/>
        <v>6</v>
      </c>
      <c r="T19" s="17">
        <f t="shared" si="7"/>
        <v>0.6</v>
      </c>
      <c r="U19" s="14">
        <f t="shared" si="8"/>
        <v>-4</v>
      </c>
      <c r="V19" s="9" t="str">
        <f t="shared" si="9"/>
        <v>Average</v>
      </c>
      <c r="W19" s="9"/>
    </row>
    <row r="20" ht="15.75" customHeight="1">
      <c r="A20" s="6">
        <v>46298.0</v>
      </c>
      <c r="B20" s="7" t="s">
        <v>42</v>
      </c>
      <c r="C20" s="9" t="s">
        <v>40</v>
      </c>
      <c r="D20" s="9" t="s">
        <v>27</v>
      </c>
      <c r="E20" s="10">
        <v>0.0</v>
      </c>
      <c r="F20" s="9">
        <f t="shared" si="1"/>
        <v>0</v>
      </c>
      <c r="G20" s="11">
        <v>0.0</v>
      </c>
      <c r="H20" s="9">
        <f t="shared" si="2"/>
        <v>0</v>
      </c>
      <c r="I20" s="11">
        <v>1.0</v>
      </c>
      <c r="J20" s="9">
        <f t="shared" si="11"/>
        <v>1</v>
      </c>
      <c r="K20" s="11">
        <v>67.0</v>
      </c>
      <c r="L20" s="11">
        <v>52.0</v>
      </c>
      <c r="M20" s="14">
        <f t="shared" si="4"/>
        <v>1</v>
      </c>
      <c r="N20" s="11">
        <v>3.0</v>
      </c>
      <c r="O20" s="14">
        <f t="shared" si="5"/>
        <v>2</v>
      </c>
      <c r="P20" s="11">
        <v>1.0</v>
      </c>
      <c r="Q20" s="15">
        <v>1.0</v>
      </c>
      <c r="R20" s="9">
        <v>10.0</v>
      </c>
      <c r="S20" s="16">
        <f t="shared" si="6"/>
        <v>6</v>
      </c>
      <c r="T20" s="17">
        <f t="shared" si="7"/>
        <v>0.6</v>
      </c>
      <c r="U20" s="14">
        <f t="shared" si="8"/>
        <v>-4</v>
      </c>
      <c r="V20" s="9" t="str">
        <f t="shared" si="9"/>
        <v>Average</v>
      </c>
      <c r="W20" s="9"/>
    </row>
    <row r="21" ht="15.75" customHeight="1">
      <c r="A21" s="6">
        <v>46298.0</v>
      </c>
      <c r="B21" s="7" t="s">
        <v>43</v>
      </c>
      <c r="C21" s="9" t="s">
        <v>40</v>
      </c>
      <c r="D21" s="9" t="s">
        <v>27</v>
      </c>
      <c r="E21" s="10">
        <v>0.0</v>
      </c>
      <c r="F21" s="9">
        <f t="shared" si="1"/>
        <v>0</v>
      </c>
      <c r="G21" s="11">
        <v>0.0</v>
      </c>
      <c r="H21" s="9">
        <f t="shared" si="2"/>
        <v>0</v>
      </c>
      <c r="I21" s="11">
        <v>1.0</v>
      </c>
      <c r="J21" s="18">
        <v>0.0</v>
      </c>
      <c r="K21" s="11">
        <v>67.0</v>
      </c>
      <c r="L21" s="11">
        <v>50.0</v>
      </c>
      <c r="M21" s="14">
        <f t="shared" si="4"/>
        <v>1</v>
      </c>
      <c r="N21" s="11">
        <v>3.0</v>
      </c>
      <c r="O21" s="14">
        <f t="shared" si="5"/>
        <v>2</v>
      </c>
      <c r="P21" s="11">
        <v>1.0</v>
      </c>
      <c r="Q21" s="15">
        <v>1.0</v>
      </c>
      <c r="R21" s="9">
        <v>10.0</v>
      </c>
      <c r="S21" s="16">
        <f t="shared" si="6"/>
        <v>5</v>
      </c>
      <c r="T21" s="17">
        <f t="shared" si="7"/>
        <v>0.5</v>
      </c>
      <c r="U21" s="14">
        <f t="shared" si="8"/>
        <v>-5</v>
      </c>
      <c r="V21" s="9" t="str">
        <f t="shared" si="9"/>
        <v>Average</v>
      </c>
      <c r="W21" s="9"/>
    </row>
    <row r="22" ht="15.75" customHeight="1">
      <c r="A22" s="6">
        <v>46298.0</v>
      </c>
      <c r="B22" s="7" t="s">
        <v>45</v>
      </c>
      <c r="C22" s="18" t="s">
        <v>46</v>
      </c>
      <c r="D22" s="9" t="s">
        <v>27</v>
      </c>
      <c r="E22" s="10">
        <v>0.0</v>
      </c>
      <c r="F22" s="9">
        <f t="shared" si="1"/>
        <v>0</v>
      </c>
      <c r="G22" s="11">
        <v>0.0</v>
      </c>
      <c r="H22" s="9">
        <f t="shared" si="2"/>
        <v>0</v>
      </c>
      <c r="I22" s="11">
        <v>1.0</v>
      </c>
      <c r="J22" s="9">
        <f t="shared" ref="J22:J299" si="12">IF(I22&gt;0,1,0)</f>
        <v>1</v>
      </c>
      <c r="K22" s="11">
        <v>62.0</v>
      </c>
      <c r="L22" s="11">
        <v>50.0</v>
      </c>
      <c r="M22" s="14">
        <f t="shared" si="4"/>
        <v>1</v>
      </c>
      <c r="N22" s="11">
        <v>3.0</v>
      </c>
      <c r="O22" s="14">
        <f t="shared" si="5"/>
        <v>2</v>
      </c>
      <c r="P22" s="11">
        <v>1.0</v>
      </c>
      <c r="Q22" s="15">
        <v>1.0</v>
      </c>
      <c r="R22" s="9">
        <v>10.0</v>
      </c>
      <c r="S22" s="16">
        <f t="shared" si="6"/>
        <v>6</v>
      </c>
      <c r="T22" s="17">
        <f t="shared" si="7"/>
        <v>0.6</v>
      </c>
      <c r="U22" s="14">
        <f t="shared" si="8"/>
        <v>-4</v>
      </c>
      <c r="V22" s="9" t="str">
        <f t="shared" si="9"/>
        <v>Average</v>
      </c>
      <c r="W22" s="9"/>
    </row>
    <row r="23" ht="15.75" customHeight="1">
      <c r="A23" s="6">
        <v>46298.0</v>
      </c>
      <c r="B23" s="7" t="s">
        <v>49</v>
      </c>
      <c r="C23" s="18" t="s">
        <v>46</v>
      </c>
      <c r="D23" s="9" t="s">
        <v>27</v>
      </c>
      <c r="E23" s="10">
        <v>0.0</v>
      </c>
      <c r="F23" s="9">
        <f t="shared" si="1"/>
        <v>0</v>
      </c>
      <c r="G23" s="11">
        <v>0.0</v>
      </c>
      <c r="H23" s="9">
        <f t="shared" si="2"/>
        <v>0</v>
      </c>
      <c r="I23" s="11">
        <v>1.0</v>
      </c>
      <c r="J23" s="9">
        <f t="shared" si="12"/>
        <v>1</v>
      </c>
      <c r="K23" s="11">
        <v>60.0</v>
      </c>
      <c r="L23" s="11">
        <v>50.0</v>
      </c>
      <c r="M23" s="14">
        <f t="shared" si="4"/>
        <v>1</v>
      </c>
      <c r="N23" s="11">
        <v>3.0</v>
      </c>
      <c r="O23" s="14">
        <f t="shared" si="5"/>
        <v>2</v>
      </c>
      <c r="P23" s="11">
        <v>1.0</v>
      </c>
      <c r="Q23" s="15">
        <v>1.0</v>
      </c>
      <c r="R23" s="9">
        <v>10.0</v>
      </c>
      <c r="S23" s="16">
        <f t="shared" si="6"/>
        <v>6</v>
      </c>
      <c r="T23" s="17">
        <f t="shared" si="7"/>
        <v>0.6</v>
      </c>
      <c r="U23" s="14">
        <f t="shared" si="8"/>
        <v>-4</v>
      </c>
      <c r="V23" s="9" t="str">
        <f t="shared" si="9"/>
        <v>Average</v>
      </c>
      <c r="W23" s="9"/>
    </row>
    <row r="24" ht="15.75" customHeight="1">
      <c r="A24" s="6">
        <v>46298.0</v>
      </c>
      <c r="B24" s="22" t="s">
        <v>50</v>
      </c>
      <c r="C24" s="23" t="s">
        <v>46</v>
      </c>
      <c r="D24" s="24" t="s">
        <v>27</v>
      </c>
      <c r="E24" s="10">
        <v>100000.0</v>
      </c>
      <c r="F24" s="9">
        <f t="shared" si="1"/>
        <v>3</v>
      </c>
      <c r="G24" s="11">
        <v>0.0</v>
      </c>
      <c r="H24" s="9">
        <f t="shared" si="2"/>
        <v>0</v>
      </c>
      <c r="I24" s="11">
        <v>1.0</v>
      </c>
      <c r="J24" s="9">
        <f t="shared" si="12"/>
        <v>1</v>
      </c>
      <c r="K24" s="11">
        <v>62.0</v>
      </c>
      <c r="L24" s="11">
        <v>52.0</v>
      </c>
      <c r="M24" s="14">
        <f t="shared" si="4"/>
        <v>1</v>
      </c>
      <c r="N24" s="11">
        <v>3.0</v>
      </c>
      <c r="O24" s="14">
        <f t="shared" si="5"/>
        <v>2</v>
      </c>
      <c r="P24" s="11">
        <v>1.0</v>
      </c>
      <c r="Q24" s="15">
        <v>1.0</v>
      </c>
      <c r="R24" s="9">
        <v>10.0</v>
      </c>
      <c r="S24" s="16">
        <f t="shared" si="6"/>
        <v>9</v>
      </c>
      <c r="T24" s="17">
        <f t="shared" si="7"/>
        <v>0.9</v>
      </c>
      <c r="U24" s="14">
        <f t="shared" si="8"/>
        <v>-1</v>
      </c>
      <c r="V24" s="9" t="str">
        <f t="shared" si="9"/>
        <v>Near Target</v>
      </c>
      <c r="W24" s="9"/>
    </row>
    <row r="25" ht="15.75" customHeight="1">
      <c r="A25" s="6">
        <v>46299.0</v>
      </c>
      <c r="B25" s="7" t="s">
        <v>28</v>
      </c>
      <c r="C25" s="9" t="s">
        <v>29</v>
      </c>
      <c r="D25" s="9" t="s">
        <v>27</v>
      </c>
      <c r="E25" s="10">
        <v>0.0</v>
      </c>
      <c r="F25" s="9">
        <f t="shared" si="1"/>
        <v>0</v>
      </c>
      <c r="G25" s="11">
        <v>0.0</v>
      </c>
      <c r="H25" s="9">
        <f t="shared" si="2"/>
        <v>0</v>
      </c>
      <c r="I25" s="11">
        <v>1.0</v>
      </c>
      <c r="J25" s="9">
        <f t="shared" si="12"/>
        <v>1</v>
      </c>
      <c r="K25" s="11">
        <v>96.0</v>
      </c>
      <c r="L25" s="11">
        <v>50.0</v>
      </c>
      <c r="M25" s="14">
        <f t="shared" si="4"/>
        <v>1</v>
      </c>
      <c r="N25" s="11">
        <v>3.0</v>
      </c>
      <c r="O25" s="14">
        <f t="shared" si="5"/>
        <v>2</v>
      </c>
      <c r="P25" s="11">
        <v>1.0</v>
      </c>
      <c r="Q25" s="15">
        <v>1.0</v>
      </c>
      <c r="R25" s="9">
        <v>10.0</v>
      </c>
      <c r="S25" s="16">
        <f t="shared" si="6"/>
        <v>6</v>
      </c>
      <c r="T25" s="17">
        <f t="shared" si="7"/>
        <v>0.6</v>
      </c>
      <c r="U25" s="14">
        <f t="shared" si="8"/>
        <v>-4</v>
      </c>
      <c r="V25" s="9" t="str">
        <f t="shared" si="9"/>
        <v>Average</v>
      </c>
      <c r="W25" s="9"/>
    </row>
    <row r="26" ht="15.75" customHeight="1">
      <c r="A26" s="6">
        <v>46299.0</v>
      </c>
      <c r="B26" s="7" t="s">
        <v>36</v>
      </c>
      <c r="C26" s="9" t="s">
        <v>29</v>
      </c>
      <c r="D26" s="9" t="s">
        <v>27</v>
      </c>
      <c r="E26" s="10">
        <v>0.0</v>
      </c>
      <c r="F26" s="9">
        <f t="shared" si="1"/>
        <v>0</v>
      </c>
      <c r="G26" s="11">
        <v>0.0</v>
      </c>
      <c r="H26" s="9">
        <f t="shared" si="2"/>
        <v>0</v>
      </c>
      <c r="I26" s="11">
        <v>2.0</v>
      </c>
      <c r="J26" s="9">
        <f t="shared" si="12"/>
        <v>1</v>
      </c>
      <c r="K26" s="11">
        <v>65.0</v>
      </c>
      <c r="L26" s="11">
        <v>53.0</v>
      </c>
      <c r="M26" s="14">
        <f t="shared" si="4"/>
        <v>1</v>
      </c>
      <c r="N26" s="11">
        <v>3.0</v>
      </c>
      <c r="O26" s="14">
        <f t="shared" si="5"/>
        <v>2</v>
      </c>
      <c r="P26" s="11">
        <v>1.0</v>
      </c>
      <c r="Q26" s="15">
        <v>1.0</v>
      </c>
      <c r="R26" s="9">
        <v>10.0</v>
      </c>
      <c r="S26" s="16">
        <f t="shared" si="6"/>
        <v>6</v>
      </c>
      <c r="T26" s="17">
        <f t="shared" si="7"/>
        <v>0.6</v>
      </c>
      <c r="U26" s="14">
        <f t="shared" si="8"/>
        <v>-4</v>
      </c>
      <c r="V26" s="9" t="str">
        <f t="shared" si="9"/>
        <v>Average</v>
      </c>
      <c r="W26" s="9"/>
    </row>
    <row r="27" ht="15.75" customHeight="1">
      <c r="A27" s="6">
        <v>46299.0</v>
      </c>
      <c r="B27" s="7" t="s">
        <v>37</v>
      </c>
      <c r="C27" s="9" t="s">
        <v>29</v>
      </c>
      <c r="D27" s="9" t="s">
        <v>27</v>
      </c>
      <c r="E27" s="10">
        <v>0.0</v>
      </c>
      <c r="F27" s="9">
        <f t="shared" si="1"/>
        <v>0</v>
      </c>
      <c r="G27" s="11">
        <v>0.0</v>
      </c>
      <c r="H27" s="9">
        <f t="shared" si="2"/>
        <v>0</v>
      </c>
      <c r="I27" s="11">
        <v>2.0</v>
      </c>
      <c r="J27" s="9">
        <f t="shared" si="12"/>
        <v>1</v>
      </c>
      <c r="K27" s="11">
        <v>70.0</v>
      </c>
      <c r="L27" s="11">
        <v>55.0</v>
      </c>
      <c r="M27" s="14">
        <f t="shared" si="4"/>
        <v>1</v>
      </c>
      <c r="N27" s="11">
        <v>3.0</v>
      </c>
      <c r="O27" s="14">
        <f t="shared" si="5"/>
        <v>2</v>
      </c>
      <c r="P27" s="11">
        <v>1.0</v>
      </c>
      <c r="Q27" s="15">
        <v>1.0</v>
      </c>
      <c r="R27" s="9">
        <v>10.0</v>
      </c>
      <c r="S27" s="16">
        <f t="shared" si="6"/>
        <v>6</v>
      </c>
      <c r="T27" s="17">
        <f t="shared" si="7"/>
        <v>0.6</v>
      </c>
      <c r="U27" s="14">
        <f t="shared" si="8"/>
        <v>-4</v>
      </c>
      <c r="V27" s="9" t="str">
        <f t="shared" si="9"/>
        <v>Average</v>
      </c>
      <c r="W27" s="9"/>
    </row>
    <row r="28" ht="15.75" customHeight="1">
      <c r="A28" s="6">
        <v>46299.0</v>
      </c>
      <c r="B28" s="7" t="s">
        <v>38</v>
      </c>
      <c r="C28" s="9" t="s">
        <v>29</v>
      </c>
      <c r="D28" s="9" t="s">
        <v>27</v>
      </c>
      <c r="E28" s="10">
        <v>0.0</v>
      </c>
      <c r="F28" s="9">
        <f t="shared" si="1"/>
        <v>0</v>
      </c>
      <c r="G28" s="11">
        <v>0.0</v>
      </c>
      <c r="H28" s="9">
        <f t="shared" si="2"/>
        <v>0</v>
      </c>
      <c r="I28" s="11">
        <v>3.0</v>
      </c>
      <c r="J28" s="9">
        <f t="shared" si="12"/>
        <v>1</v>
      </c>
      <c r="K28" s="11">
        <v>62.0</v>
      </c>
      <c r="L28" s="11">
        <v>51.0</v>
      </c>
      <c r="M28" s="14">
        <f t="shared" si="4"/>
        <v>1</v>
      </c>
      <c r="N28" s="11">
        <v>3.0</v>
      </c>
      <c r="O28" s="14">
        <f t="shared" si="5"/>
        <v>2</v>
      </c>
      <c r="P28" s="11">
        <v>1.0</v>
      </c>
      <c r="Q28" s="15">
        <v>1.0</v>
      </c>
      <c r="R28" s="9">
        <v>10.0</v>
      </c>
      <c r="S28" s="16">
        <f t="shared" si="6"/>
        <v>6</v>
      </c>
      <c r="T28" s="17">
        <f t="shared" si="7"/>
        <v>0.6</v>
      </c>
      <c r="U28" s="14">
        <f t="shared" si="8"/>
        <v>-4</v>
      </c>
      <c r="V28" s="9" t="str">
        <f t="shared" si="9"/>
        <v>Average</v>
      </c>
      <c r="W28" s="9"/>
    </row>
    <row r="29" ht="15.75" customHeight="1">
      <c r="A29" s="6">
        <v>46299.0</v>
      </c>
      <c r="B29" s="20" t="s">
        <v>39</v>
      </c>
      <c r="C29" s="9" t="s">
        <v>40</v>
      </c>
      <c r="D29" s="9" t="s">
        <v>27</v>
      </c>
      <c r="E29" s="25">
        <v>0.0</v>
      </c>
      <c r="F29" s="26">
        <f t="shared" si="1"/>
        <v>0</v>
      </c>
      <c r="G29" s="27">
        <v>0.0</v>
      </c>
      <c r="H29" s="26">
        <f t="shared" si="2"/>
        <v>0</v>
      </c>
      <c r="I29" s="27">
        <v>0.0</v>
      </c>
      <c r="J29" s="26">
        <f t="shared" si="12"/>
        <v>0</v>
      </c>
      <c r="K29" s="27">
        <v>0.0</v>
      </c>
      <c r="L29" s="27">
        <v>0.0</v>
      </c>
      <c r="M29" s="29">
        <f t="shared" si="4"/>
        <v>0</v>
      </c>
      <c r="N29" s="26"/>
      <c r="O29" s="29">
        <f t="shared" si="5"/>
        <v>0</v>
      </c>
      <c r="P29" s="27">
        <v>0.0</v>
      </c>
      <c r="Q29" s="30">
        <v>0.0</v>
      </c>
      <c r="R29" s="26">
        <v>10.0</v>
      </c>
      <c r="S29" s="29">
        <f t="shared" si="6"/>
        <v>0</v>
      </c>
      <c r="T29" s="28">
        <f t="shared" si="7"/>
        <v>0</v>
      </c>
      <c r="U29" s="29">
        <f t="shared" si="8"/>
        <v>-10</v>
      </c>
      <c r="V29" s="26" t="str">
        <f t="shared" si="9"/>
        <v>Low Performance</v>
      </c>
      <c r="W29" s="31" t="s">
        <v>51</v>
      </c>
    </row>
    <row r="30" ht="15.75" customHeight="1">
      <c r="A30" s="6">
        <v>46299.0</v>
      </c>
      <c r="B30" s="7" t="s">
        <v>41</v>
      </c>
      <c r="C30" s="9" t="s">
        <v>40</v>
      </c>
      <c r="D30" s="9" t="s">
        <v>27</v>
      </c>
      <c r="E30" s="10">
        <v>0.0</v>
      </c>
      <c r="F30" s="9">
        <f t="shared" si="1"/>
        <v>0</v>
      </c>
      <c r="G30" s="11">
        <v>0.0</v>
      </c>
      <c r="H30" s="9">
        <f t="shared" si="2"/>
        <v>0</v>
      </c>
      <c r="I30" s="11">
        <v>1.0</v>
      </c>
      <c r="J30" s="9">
        <f t="shared" si="12"/>
        <v>1</v>
      </c>
      <c r="K30" s="11">
        <v>92.0</v>
      </c>
      <c r="L30" s="11">
        <v>54.0</v>
      </c>
      <c r="M30" s="14">
        <f t="shared" si="4"/>
        <v>1</v>
      </c>
      <c r="N30" s="11">
        <v>3.0</v>
      </c>
      <c r="O30" s="14">
        <f t="shared" si="5"/>
        <v>2</v>
      </c>
      <c r="P30" s="11">
        <v>1.0</v>
      </c>
      <c r="Q30" s="15">
        <v>1.0</v>
      </c>
      <c r="R30" s="9">
        <v>10.0</v>
      </c>
      <c r="S30" s="16">
        <f t="shared" si="6"/>
        <v>6</v>
      </c>
      <c r="T30" s="17">
        <f t="shared" si="7"/>
        <v>0.6</v>
      </c>
      <c r="U30" s="14">
        <f t="shared" si="8"/>
        <v>-4</v>
      </c>
      <c r="V30" s="9" t="str">
        <f t="shared" si="9"/>
        <v>Average</v>
      </c>
      <c r="W30" s="9"/>
    </row>
    <row r="31" ht="15.75" customHeight="1">
      <c r="A31" s="6">
        <v>46299.0</v>
      </c>
      <c r="B31" s="7" t="s">
        <v>42</v>
      </c>
      <c r="C31" s="9" t="s">
        <v>40</v>
      </c>
      <c r="D31" s="9" t="s">
        <v>27</v>
      </c>
      <c r="E31" s="10">
        <v>0.0</v>
      </c>
      <c r="F31" s="9">
        <f t="shared" si="1"/>
        <v>0</v>
      </c>
      <c r="G31" s="11">
        <v>1.0</v>
      </c>
      <c r="H31" s="9">
        <f t="shared" si="2"/>
        <v>1</v>
      </c>
      <c r="I31" s="11">
        <v>0.0</v>
      </c>
      <c r="J31" s="9">
        <f t="shared" si="12"/>
        <v>0</v>
      </c>
      <c r="K31" s="11">
        <v>62.0</v>
      </c>
      <c r="L31" s="11">
        <v>53.0</v>
      </c>
      <c r="M31" s="14">
        <f t="shared" si="4"/>
        <v>1</v>
      </c>
      <c r="N31" s="11">
        <v>3.0</v>
      </c>
      <c r="O31" s="14">
        <f t="shared" si="5"/>
        <v>2</v>
      </c>
      <c r="P31" s="11">
        <v>1.0</v>
      </c>
      <c r="Q31" s="15">
        <v>1.0</v>
      </c>
      <c r="R31" s="9">
        <v>10.0</v>
      </c>
      <c r="S31" s="16">
        <f t="shared" si="6"/>
        <v>6</v>
      </c>
      <c r="T31" s="17">
        <f t="shared" si="7"/>
        <v>0.6</v>
      </c>
      <c r="U31" s="14">
        <f t="shared" si="8"/>
        <v>-4</v>
      </c>
      <c r="V31" s="9" t="str">
        <f t="shared" si="9"/>
        <v>Average</v>
      </c>
      <c r="W31" s="9"/>
    </row>
    <row r="32" ht="15.75" customHeight="1">
      <c r="A32" s="6">
        <v>46299.0</v>
      </c>
      <c r="B32" s="7" t="s">
        <v>43</v>
      </c>
      <c r="C32" s="9" t="s">
        <v>40</v>
      </c>
      <c r="D32" s="9" t="s">
        <v>27</v>
      </c>
      <c r="E32" s="10">
        <v>0.0</v>
      </c>
      <c r="F32" s="9">
        <f t="shared" si="1"/>
        <v>0</v>
      </c>
      <c r="G32" s="11">
        <v>0.0</v>
      </c>
      <c r="H32" s="9">
        <f t="shared" si="2"/>
        <v>0</v>
      </c>
      <c r="I32" s="11">
        <v>1.0</v>
      </c>
      <c r="J32" s="9">
        <f t="shared" si="12"/>
        <v>1</v>
      </c>
      <c r="K32" s="11">
        <v>70.0</v>
      </c>
      <c r="L32" s="11">
        <v>51.0</v>
      </c>
      <c r="M32" s="14">
        <f t="shared" si="4"/>
        <v>1</v>
      </c>
      <c r="N32" s="11">
        <v>3.0</v>
      </c>
      <c r="O32" s="14">
        <f t="shared" si="5"/>
        <v>2</v>
      </c>
      <c r="P32" s="11">
        <v>1.0</v>
      </c>
      <c r="Q32" s="15">
        <v>1.0</v>
      </c>
      <c r="R32" s="9">
        <v>10.0</v>
      </c>
      <c r="S32" s="16">
        <f t="shared" si="6"/>
        <v>6</v>
      </c>
      <c r="T32" s="17">
        <f t="shared" si="7"/>
        <v>0.6</v>
      </c>
      <c r="U32" s="14">
        <f t="shared" si="8"/>
        <v>-4</v>
      </c>
      <c r="V32" s="9" t="str">
        <f t="shared" si="9"/>
        <v>Average</v>
      </c>
      <c r="W32" s="9"/>
    </row>
    <row r="33" ht="15.75" customHeight="1">
      <c r="A33" s="6">
        <v>46299.0</v>
      </c>
      <c r="B33" s="7" t="s">
        <v>45</v>
      </c>
      <c r="C33" s="18" t="s">
        <v>46</v>
      </c>
      <c r="D33" s="9" t="s">
        <v>27</v>
      </c>
      <c r="E33" s="10">
        <v>0.0</v>
      </c>
      <c r="F33" s="9">
        <f t="shared" si="1"/>
        <v>0</v>
      </c>
      <c r="G33" s="11">
        <v>0.0</v>
      </c>
      <c r="H33" s="9">
        <f t="shared" si="2"/>
        <v>0</v>
      </c>
      <c r="I33" s="11">
        <v>2.0</v>
      </c>
      <c r="J33" s="9">
        <f t="shared" si="12"/>
        <v>1</v>
      </c>
      <c r="K33" s="11">
        <v>65.0</v>
      </c>
      <c r="L33" s="11">
        <v>52.0</v>
      </c>
      <c r="M33" s="14">
        <f t="shared" si="4"/>
        <v>1</v>
      </c>
      <c r="N33" s="11">
        <v>3.0</v>
      </c>
      <c r="O33" s="14">
        <f t="shared" si="5"/>
        <v>2</v>
      </c>
      <c r="P33" s="11">
        <v>1.0</v>
      </c>
      <c r="Q33" s="15">
        <v>1.0</v>
      </c>
      <c r="R33" s="9">
        <v>10.0</v>
      </c>
      <c r="S33" s="16">
        <f t="shared" si="6"/>
        <v>6</v>
      </c>
      <c r="T33" s="17">
        <f t="shared" si="7"/>
        <v>0.6</v>
      </c>
      <c r="U33" s="14">
        <f t="shared" si="8"/>
        <v>-4</v>
      </c>
      <c r="V33" s="9" t="str">
        <f t="shared" si="9"/>
        <v>Average</v>
      </c>
      <c r="W33" s="9"/>
    </row>
    <row r="34" ht="15.75" customHeight="1">
      <c r="A34" s="6">
        <v>46299.0</v>
      </c>
      <c r="B34" s="7" t="s">
        <v>49</v>
      </c>
      <c r="C34" s="18" t="s">
        <v>46</v>
      </c>
      <c r="D34" s="9" t="s">
        <v>27</v>
      </c>
      <c r="E34" s="10">
        <v>0.0</v>
      </c>
      <c r="F34" s="9">
        <f t="shared" si="1"/>
        <v>0</v>
      </c>
      <c r="G34" s="11">
        <v>0.0</v>
      </c>
      <c r="H34" s="9">
        <f t="shared" si="2"/>
        <v>0</v>
      </c>
      <c r="I34" s="11">
        <v>1.0</v>
      </c>
      <c r="J34" s="9">
        <f t="shared" si="12"/>
        <v>1</v>
      </c>
      <c r="K34" s="11">
        <v>64.0</v>
      </c>
      <c r="L34" s="11">
        <v>50.0</v>
      </c>
      <c r="M34" s="14">
        <f t="shared" si="4"/>
        <v>1</v>
      </c>
      <c r="N34" s="11">
        <v>3.0</v>
      </c>
      <c r="O34" s="14">
        <f t="shared" si="5"/>
        <v>2</v>
      </c>
      <c r="P34" s="11">
        <v>1.0</v>
      </c>
      <c r="Q34" s="15">
        <v>1.0</v>
      </c>
      <c r="R34" s="9">
        <v>10.0</v>
      </c>
      <c r="S34" s="16">
        <f t="shared" si="6"/>
        <v>6</v>
      </c>
      <c r="T34" s="17">
        <f t="shared" si="7"/>
        <v>0.6</v>
      </c>
      <c r="U34" s="14">
        <f t="shared" si="8"/>
        <v>-4</v>
      </c>
      <c r="V34" s="9" t="str">
        <f t="shared" si="9"/>
        <v>Average</v>
      </c>
      <c r="W34" s="9"/>
    </row>
    <row r="35" ht="15.75" customHeight="1">
      <c r="A35" s="6">
        <v>46299.0</v>
      </c>
      <c r="B35" s="22" t="s">
        <v>50</v>
      </c>
      <c r="C35" s="23" t="s">
        <v>46</v>
      </c>
      <c r="D35" s="24" t="s">
        <v>27</v>
      </c>
      <c r="E35" s="10">
        <v>0.0</v>
      </c>
      <c r="F35" s="9">
        <f t="shared" si="1"/>
        <v>0</v>
      </c>
      <c r="G35" s="11">
        <v>0.0</v>
      </c>
      <c r="H35" s="9">
        <f t="shared" si="2"/>
        <v>0</v>
      </c>
      <c r="I35" s="11">
        <v>1.0</v>
      </c>
      <c r="J35" s="9">
        <f t="shared" si="12"/>
        <v>1</v>
      </c>
      <c r="K35" s="11">
        <v>55.0</v>
      </c>
      <c r="L35" s="11">
        <v>50.0</v>
      </c>
      <c r="M35" s="14">
        <f t="shared" si="4"/>
        <v>1</v>
      </c>
      <c r="N35" s="11">
        <v>3.0</v>
      </c>
      <c r="O35" s="14">
        <f t="shared" si="5"/>
        <v>2</v>
      </c>
      <c r="P35" s="11">
        <v>1.0</v>
      </c>
      <c r="Q35" s="15">
        <v>1.0</v>
      </c>
      <c r="R35" s="9">
        <v>10.0</v>
      </c>
      <c r="S35" s="16">
        <f t="shared" si="6"/>
        <v>6</v>
      </c>
      <c r="T35" s="17">
        <f t="shared" si="7"/>
        <v>0.6</v>
      </c>
      <c r="U35" s="14">
        <f t="shared" si="8"/>
        <v>-4</v>
      </c>
      <c r="V35" s="9" t="str">
        <f t="shared" si="9"/>
        <v>Average</v>
      </c>
      <c r="W35" s="9"/>
    </row>
    <row r="36" ht="15.75" customHeight="1">
      <c r="A36" s="6">
        <v>46300.0</v>
      </c>
      <c r="B36" s="7" t="s">
        <v>28</v>
      </c>
      <c r="C36" s="9" t="s">
        <v>29</v>
      </c>
      <c r="D36" s="9" t="s">
        <v>27</v>
      </c>
      <c r="E36" s="10">
        <v>0.0</v>
      </c>
      <c r="F36" s="9">
        <f t="shared" si="1"/>
        <v>0</v>
      </c>
      <c r="G36" s="11">
        <v>1.0</v>
      </c>
      <c r="H36" s="9">
        <f t="shared" si="2"/>
        <v>1</v>
      </c>
      <c r="I36" s="11">
        <v>1.0</v>
      </c>
      <c r="J36" s="9">
        <f t="shared" si="12"/>
        <v>1</v>
      </c>
      <c r="K36" s="11">
        <v>111.0</v>
      </c>
      <c r="L36" s="11">
        <v>55.0</v>
      </c>
      <c r="M36" s="14">
        <f t="shared" si="4"/>
        <v>1</v>
      </c>
      <c r="N36" s="11">
        <v>3.0</v>
      </c>
      <c r="O36" s="14">
        <f t="shared" si="5"/>
        <v>2</v>
      </c>
      <c r="P36" s="11">
        <v>1.0</v>
      </c>
      <c r="Q36" s="15">
        <v>1.0</v>
      </c>
      <c r="R36" s="9">
        <v>10.0</v>
      </c>
      <c r="S36" s="16">
        <f t="shared" si="6"/>
        <v>7</v>
      </c>
      <c r="T36" s="17">
        <f t="shared" si="7"/>
        <v>0.7</v>
      </c>
      <c r="U36" s="14">
        <f t="shared" si="8"/>
        <v>-3</v>
      </c>
      <c r="V36" s="9" t="str">
        <f t="shared" si="9"/>
        <v>Near Target</v>
      </c>
      <c r="W36" s="9"/>
    </row>
    <row r="37" ht="15.75" customHeight="1">
      <c r="A37" s="6">
        <v>46300.0</v>
      </c>
      <c r="B37" s="7" t="s">
        <v>36</v>
      </c>
      <c r="C37" s="9" t="s">
        <v>29</v>
      </c>
      <c r="D37" s="9" t="s">
        <v>27</v>
      </c>
      <c r="E37" s="10">
        <v>0.0</v>
      </c>
      <c r="F37" s="9">
        <f t="shared" si="1"/>
        <v>0</v>
      </c>
      <c r="G37" s="11">
        <v>1.0</v>
      </c>
      <c r="H37" s="9">
        <f t="shared" si="2"/>
        <v>1</v>
      </c>
      <c r="I37" s="11">
        <v>1.0</v>
      </c>
      <c r="J37" s="9">
        <f t="shared" si="12"/>
        <v>1</v>
      </c>
      <c r="K37" s="11">
        <v>69.0</v>
      </c>
      <c r="L37" s="11">
        <v>50.0</v>
      </c>
      <c r="M37" s="14">
        <f t="shared" si="4"/>
        <v>1</v>
      </c>
      <c r="N37" s="11">
        <v>3.0</v>
      </c>
      <c r="O37" s="14">
        <f t="shared" si="5"/>
        <v>2</v>
      </c>
      <c r="P37" s="11">
        <v>1.0</v>
      </c>
      <c r="Q37" s="15">
        <v>1.0</v>
      </c>
      <c r="R37" s="9">
        <v>10.0</v>
      </c>
      <c r="S37" s="16">
        <f t="shared" si="6"/>
        <v>7</v>
      </c>
      <c r="T37" s="17">
        <f t="shared" si="7"/>
        <v>0.7</v>
      </c>
      <c r="U37" s="14">
        <f t="shared" si="8"/>
        <v>-3</v>
      </c>
      <c r="V37" s="9" t="str">
        <f t="shared" si="9"/>
        <v>Near Target</v>
      </c>
      <c r="W37" s="9"/>
    </row>
    <row r="38" ht="15.75" customHeight="1">
      <c r="A38" s="6">
        <v>46300.0</v>
      </c>
      <c r="B38" s="7" t="s">
        <v>37</v>
      </c>
      <c r="C38" s="9" t="s">
        <v>29</v>
      </c>
      <c r="D38" s="9" t="s">
        <v>27</v>
      </c>
      <c r="E38" s="10">
        <v>0.0</v>
      </c>
      <c r="F38" s="9">
        <f t="shared" si="1"/>
        <v>0</v>
      </c>
      <c r="G38" s="11">
        <v>1.0</v>
      </c>
      <c r="H38" s="9">
        <f t="shared" si="2"/>
        <v>1</v>
      </c>
      <c r="I38" s="11">
        <v>1.0</v>
      </c>
      <c r="J38" s="9">
        <f t="shared" si="12"/>
        <v>1</v>
      </c>
      <c r="K38" s="11">
        <v>77.0</v>
      </c>
      <c r="L38" s="11">
        <v>52.0</v>
      </c>
      <c r="M38" s="14">
        <f t="shared" si="4"/>
        <v>1</v>
      </c>
      <c r="N38" s="11">
        <v>3.0</v>
      </c>
      <c r="O38" s="14">
        <f t="shared" si="5"/>
        <v>2</v>
      </c>
      <c r="P38" s="11">
        <v>1.0</v>
      </c>
      <c r="Q38" s="15">
        <v>1.0</v>
      </c>
      <c r="R38" s="9">
        <v>10.0</v>
      </c>
      <c r="S38" s="16">
        <f t="shared" si="6"/>
        <v>7</v>
      </c>
      <c r="T38" s="17">
        <f t="shared" si="7"/>
        <v>0.7</v>
      </c>
      <c r="U38" s="14">
        <f t="shared" si="8"/>
        <v>-3</v>
      </c>
      <c r="V38" s="9" t="str">
        <f t="shared" si="9"/>
        <v>Near Target</v>
      </c>
      <c r="W38" s="9"/>
    </row>
    <row r="39" ht="15.75" customHeight="1">
      <c r="A39" s="6">
        <v>46300.0</v>
      </c>
      <c r="B39" s="7" t="s">
        <v>38</v>
      </c>
      <c r="C39" s="9" t="s">
        <v>29</v>
      </c>
      <c r="D39" s="9" t="s">
        <v>27</v>
      </c>
      <c r="E39" s="10">
        <v>0.0</v>
      </c>
      <c r="F39" s="9">
        <f t="shared" si="1"/>
        <v>0</v>
      </c>
      <c r="G39" s="11">
        <v>1.0</v>
      </c>
      <c r="H39" s="9">
        <f t="shared" si="2"/>
        <v>1</v>
      </c>
      <c r="I39" s="11">
        <v>1.0</v>
      </c>
      <c r="J39" s="9">
        <f t="shared" si="12"/>
        <v>1</v>
      </c>
      <c r="K39" s="11">
        <v>82.0</v>
      </c>
      <c r="L39" s="11">
        <v>52.0</v>
      </c>
      <c r="M39" s="14">
        <f t="shared" si="4"/>
        <v>1</v>
      </c>
      <c r="N39" s="11">
        <v>3.0</v>
      </c>
      <c r="O39" s="14">
        <f t="shared" si="5"/>
        <v>2</v>
      </c>
      <c r="P39" s="11">
        <v>1.0</v>
      </c>
      <c r="Q39" s="15">
        <v>1.0</v>
      </c>
      <c r="R39" s="9">
        <v>10.0</v>
      </c>
      <c r="S39" s="16">
        <f t="shared" si="6"/>
        <v>7</v>
      </c>
      <c r="T39" s="17">
        <f t="shared" si="7"/>
        <v>0.7</v>
      </c>
      <c r="U39" s="14">
        <f t="shared" si="8"/>
        <v>-3</v>
      </c>
      <c r="V39" s="9" t="str">
        <f t="shared" si="9"/>
        <v>Near Target</v>
      </c>
      <c r="W39" s="9"/>
    </row>
    <row r="40" ht="15.75" customHeight="1">
      <c r="A40" s="6">
        <v>46300.0</v>
      </c>
      <c r="B40" s="7" t="s">
        <v>44</v>
      </c>
      <c r="C40" s="9" t="s">
        <v>29</v>
      </c>
      <c r="D40" s="9" t="s">
        <v>27</v>
      </c>
      <c r="E40" s="10">
        <v>0.0</v>
      </c>
      <c r="F40" s="9">
        <f t="shared" si="1"/>
        <v>0</v>
      </c>
      <c r="G40" s="11">
        <v>0.0</v>
      </c>
      <c r="H40" s="9">
        <f t="shared" si="2"/>
        <v>0</v>
      </c>
      <c r="I40" s="11">
        <v>0.0</v>
      </c>
      <c r="J40" s="9">
        <f t="shared" si="12"/>
        <v>0</v>
      </c>
      <c r="K40" s="11">
        <v>0.0</v>
      </c>
      <c r="L40" s="11">
        <v>0.0</v>
      </c>
      <c r="M40" s="14">
        <f t="shared" si="4"/>
        <v>0</v>
      </c>
      <c r="N40" s="11">
        <v>0.0</v>
      </c>
      <c r="O40" s="14">
        <f t="shared" si="5"/>
        <v>0</v>
      </c>
      <c r="P40" s="11">
        <v>1.0</v>
      </c>
      <c r="Q40" s="15">
        <v>1.0</v>
      </c>
      <c r="R40" s="9">
        <v>10.0</v>
      </c>
      <c r="S40" s="16">
        <f t="shared" si="6"/>
        <v>2</v>
      </c>
      <c r="T40" s="17">
        <f t="shared" si="7"/>
        <v>0.2</v>
      </c>
      <c r="U40" s="14">
        <f t="shared" si="8"/>
        <v>-8</v>
      </c>
      <c r="V40" s="9" t="str">
        <f t="shared" si="9"/>
        <v>Low Performance</v>
      </c>
      <c r="W40" s="9"/>
    </row>
    <row r="41" ht="15.75" customHeight="1">
      <c r="A41" s="6">
        <v>46300.0</v>
      </c>
      <c r="B41" s="20" t="s">
        <v>39</v>
      </c>
      <c r="C41" s="9" t="s">
        <v>40</v>
      </c>
      <c r="D41" s="9" t="s">
        <v>27</v>
      </c>
      <c r="E41" s="10">
        <v>0.0</v>
      </c>
      <c r="F41" s="9">
        <f t="shared" si="1"/>
        <v>0</v>
      </c>
      <c r="G41" s="11">
        <v>0.0</v>
      </c>
      <c r="H41" s="9">
        <f t="shared" si="2"/>
        <v>0</v>
      </c>
      <c r="I41" s="11">
        <v>1.0</v>
      </c>
      <c r="J41" s="9">
        <f t="shared" si="12"/>
        <v>1</v>
      </c>
      <c r="K41" s="11">
        <v>70.0</v>
      </c>
      <c r="L41" s="11">
        <v>51.0</v>
      </c>
      <c r="M41" s="14">
        <f t="shared" si="4"/>
        <v>1</v>
      </c>
      <c r="N41" s="11">
        <v>3.0</v>
      </c>
      <c r="O41" s="14">
        <f t="shared" si="5"/>
        <v>2</v>
      </c>
      <c r="P41" s="11">
        <v>1.0</v>
      </c>
      <c r="Q41" s="15">
        <v>1.0</v>
      </c>
      <c r="R41" s="9">
        <v>10.0</v>
      </c>
      <c r="S41" s="16">
        <f t="shared" si="6"/>
        <v>6</v>
      </c>
      <c r="T41" s="17">
        <f t="shared" si="7"/>
        <v>0.6</v>
      </c>
      <c r="U41" s="14">
        <f t="shared" si="8"/>
        <v>-4</v>
      </c>
      <c r="V41" s="9" t="str">
        <f t="shared" si="9"/>
        <v>Average</v>
      </c>
      <c r="W41" s="9"/>
    </row>
    <row r="42" ht="15.75" customHeight="1">
      <c r="A42" s="6">
        <v>46300.0</v>
      </c>
      <c r="B42" s="7" t="s">
        <v>41</v>
      </c>
      <c r="C42" s="9" t="s">
        <v>40</v>
      </c>
      <c r="D42" s="9" t="s">
        <v>27</v>
      </c>
      <c r="E42" s="10">
        <v>0.0</v>
      </c>
      <c r="F42" s="9">
        <f t="shared" si="1"/>
        <v>0</v>
      </c>
      <c r="G42" s="11">
        <v>0.0</v>
      </c>
      <c r="H42" s="9">
        <f t="shared" si="2"/>
        <v>0</v>
      </c>
      <c r="I42" s="11">
        <v>1.0</v>
      </c>
      <c r="J42" s="9">
        <f t="shared" si="12"/>
        <v>1</v>
      </c>
      <c r="K42" s="11">
        <v>97.0</v>
      </c>
      <c r="L42" s="11">
        <v>53.0</v>
      </c>
      <c r="M42" s="14">
        <f t="shared" si="4"/>
        <v>1</v>
      </c>
      <c r="N42" s="11">
        <v>3.0</v>
      </c>
      <c r="O42" s="14">
        <f t="shared" si="5"/>
        <v>2</v>
      </c>
      <c r="P42" s="11">
        <v>1.0</v>
      </c>
      <c r="Q42" s="15">
        <v>1.0</v>
      </c>
      <c r="R42" s="9">
        <v>10.0</v>
      </c>
      <c r="S42" s="16">
        <f t="shared" si="6"/>
        <v>6</v>
      </c>
      <c r="T42" s="17">
        <f t="shared" si="7"/>
        <v>0.6</v>
      </c>
      <c r="U42" s="14">
        <f t="shared" si="8"/>
        <v>-4</v>
      </c>
      <c r="V42" s="9" t="str">
        <f t="shared" si="9"/>
        <v>Average</v>
      </c>
      <c r="W42" s="9"/>
    </row>
    <row r="43" ht="15.75" customHeight="1">
      <c r="A43" s="6">
        <v>46301.0</v>
      </c>
      <c r="B43" s="7" t="s">
        <v>43</v>
      </c>
      <c r="C43" s="9" t="s">
        <v>40</v>
      </c>
      <c r="D43" s="9" t="s">
        <v>27</v>
      </c>
      <c r="E43" s="10">
        <v>0.0</v>
      </c>
      <c r="F43" s="9">
        <f t="shared" si="1"/>
        <v>0</v>
      </c>
      <c r="G43" s="11">
        <v>1.0</v>
      </c>
      <c r="H43" s="9">
        <f t="shared" si="2"/>
        <v>1</v>
      </c>
      <c r="I43" s="11">
        <v>1.0</v>
      </c>
      <c r="J43" s="9">
        <f t="shared" si="12"/>
        <v>1</v>
      </c>
      <c r="K43" s="11">
        <v>83.0</v>
      </c>
      <c r="L43" s="11">
        <v>55.0</v>
      </c>
      <c r="M43" s="14">
        <f t="shared" si="4"/>
        <v>1</v>
      </c>
      <c r="N43" s="11">
        <v>3.0</v>
      </c>
      <c r="O43" s="14">
        <f t="shared" si="5"/>
        <v>2</v>
      </c>
      <c r="P43" s="11">
        <v>1.0</v>
      </c>
      <c r="Q43" s="15">
        <v>1.0</v>
      </c>
      <c r="R43" s="9">
        <v>10.0</v>
      </c>
      <c r="S43" s="16">
        <f t="shared" si="6"/>
        <v>7</v>
      </c>
      <c r="T43" s="17">
        <f t="shared" si="7"/>
        <v>0.7</v>
      </c>
      <c r="U43" s="14">
        <f t="shared" si="8"/>
        <v>-3</v>
      </c>
      <c r="V43" s="9" t="str">
        <f t="shared" si="9"/>
        <v>Near Target</v>
      </c>
      <c r="W43" s="9"/>
    </row>
    <row r="44" ht="15.75" customHeight="1">
      <c r="A44" s="6">
        <v>46300.0</v>
      </c>
      <c r="B44" s="7" t="s">
        <v>53</v>
      </c>
      <c r="C44" s="9" t="s">
        <v>40</v>
      </c>
      <c r="D44" s="9" t="s">
        <v>27</v>
      </c>
      <c r="E44" s="10">
        <v>0.0</v>
      </c>
      <c r="F44" s="9">
        <f t="shared" si="1"/>
        <v>0</v>
      </c>
      <c r="G44" s="11">
        <v>0.0</v>
      </c>
      <c r="H44" s="9">
        <f t="shared" si="2"/>
        <v>0</v>
      </c>
      <c r="I44" s="11">
        <v>1.0</v>
      </c>
      <c r="J44" s="9">
        <f t="shared" si="12"/>
        <v>1</v>
      </c>
      <c r="K44" s="11">
        <v>10.0</v>
      </c>
      <c r="L44" s="11">
        <v>52.0</v>
      </c>
      <c r="M44" s="14">
        <f t="shared" si="4"/>
        <v>1</v>
      </c>
      <c r="N44" s="11">
        <v>2.0</v>
      </c>
      <c r="O44" s="14">
        <f t="shared" si="5"/>
        <v>1.333333333</v>
      </c>
      <c r="P44" s="11">
        <v>1.0</v>
      </c>
      <c r="Q44" s="15">
        <v>1.0</v>
      </c>
      <c r="R44" s="9">
        <v>10.0</v>
      </c>
      <c r="S44" s="16">
        <f t="shared" si="6"/>
        <v>5.333333333</v>
      </c>
      <c r="T44" s="17">
        <f t="shared" si="7"/>
        <v>0.5333333333</v>
      </c>
      <c r="U44" s="14">
        <f t="shared" si="8"/>
        <v>-4.666666667</v>
      </c>
      <c r="V44" s="9" t="str">
        <f t="shared" si="9"/>
        <v>Average</v>
      </c>
      <c r="W44" s="9"/>
    </row>
    <row r="45" ht="15.75" customHeight="1">
      <c r="A45" s="6">
        <v>46300.0</v>
      </c>
      <c r="B45" s="7" t="s">
        <v>42</v>
      </c>
      <c r="C45" s="9" t="s">
        <v>40</v>
      </c>
      <c r="D45" s="9" t="s">
        <v>27</v>
      </c>
      <c r="E45" s="10">
        <v>0.0</v>
      </c>
      <c r="F45" s="9">
        <f t="shared" si="1"/>
        <v>0</v>
      </c>
      <c r="G45" s="11">
        <v>0.0</v>
      </c>
      <c r="H45" s="9">
        <f t="shared" si="2"/>
        <v>0</v>
      </c>
      <c r="I45" s="11">
        <v>1.0</v>
      </c>
      <c r="J45" s="9">
        <f t="shared" si="12"/>
        <v>1</v>
      </c>
      <c r="K45" s="11">
        <v>62.0</v>
      </c>
      <c r="L45" s="11">
        <v>50.0</v>
      </c>
      <c r="M45" s="14">
        <f t="shared" si="4"/>
        <v>1</v>
      </c>
      <c r="N45" s="11">
        <v>3.0</v>
      </c>
      <c r="O45" s="14">
        <f t="shared" si="5"/>
        <v>2</v>
      </c>
      <c r="P45" s="11">
        <v>1.0</v>
      </c>
      <c r="Q45" s="15">
        <v>1.0</v>
      </c>
      <c r="R45" s="9">
        <v>10.0</v>
      </c>
      <c r="S45" s="16">
        <f t="shared" si="6"/>
        <v>6</v>
      </c>
      <c r="T45" s="17">
        <f t="shared" si="7"/>
        <v>0.6</v>
      </c>
      <c r="U45" s="14">
        <f t="shared" si="8"/>
        <v>-4</v>
      </c>
      <c r="V45" s="9" t="str">
        <f t="shared" si="9"/>
        <v>Average</v>
      </c>
      <c r="W45" s="9"/>
    </row>
    <row r="46" ht="15.75" customHeight="1">
      <c r="A46" s="6">
        <v>46300.0</v>
      </c>
      <c r="B46" s="7" t="s">
        <v>45</v>
      </c>
      <c r="C46" s="18" t="s">
        <v>46</v>
      </c>
      <c r="D46" s="9" t="s">
        <v>27</v>
      </c>
      <c r="E46" s="10">
        <v>0.0</v>
      </c>
      <c r="F46" s="9">
        <f t="shared" si="1"/>
        <v>0</v>
      </c>
      <c r="G46" s="11">
        <v>2.0</v>
      </c>
      <c r="H46" s="9">
        <f t="shared" si="2"/>
        <v>1</v>
      </c>
      <c r="I46" s="11">
        <v>1.0</v>
      </c>
      <c r="J46" s="9">
        <f t="shared" si="12"/>
        <v>1</v>
      </c>
      <c r="K46" s="11">
        <v>60.0</v>
      </c>
      <c r="L46" s="11">
        <v>52.0</v>
      </c>
      <c r="M46" s="14">
        <f t="shared" si="4"/>
        <v>1</v>
      </c>
      <c r="N46" s="11">
        <v>3.0</v>
      </c>
      <c r="O46" s="14">
        <f t="shared" si="5"/>
        <v>2</v>
      </c>
      <c r="P46" s="11">
        <v>1.0</v>
      </c>
      <c r="Q46" s="15">
        <v>1.0</v>
      </c>
      <c r="R46" s="9">
        <v>10.0</v>
      </c>
      <c r="S46" s="16">
        <f t="shared" si="6"/>
        <v>7</v>
      </c>
      <c r="T46" s="17">
        <f t="shared" si="7"/>
        <v>0.7</v>
      </c>
      <c r="U46" s="14">
        <f t="shared" si="8"/>
        <v>-3</v>
      </c>
      <c r="V46" s="9" t="str">
        <f t="shared" si="9"/>
        <v>Near Target</v>
      </c>
      <c r="W46" s="9"/>
    </row>
    <row r="47" ht="15.75" customHeight="1">
      <c r="A47" s="6">
        <v>46300.0</v>
      </c>
      <c r="B47" s="7" t="s">
        <v>49</v>
      </c>
      <c r="C47" s="18" t="s">
        <v>46</v>
      </c>
      <c r="D47" s="9" t="s">
        <v>27</v>
      </c>
      <c r="E47" s="10">
        <v>0.0</v>
      </c>
      <c r="F47" s="9">
        <f t="shared" si="1"/>
        <v>0</v>
      </c>
      <c r="G47" s="11">
        <v>1.0</v>
      </c>
      <c r="H47" s="9">
        <f t="shared" si="2"/>
        <v>1</v>
      </c>
      <c r="I47" s="11">
        <v>1.0</v>
      </c>
      <c r="J47" s="9">
        <f t="shared" si="12"/>
        <v>1</v>
      </c>
      <c r="K47" s="11">
        <v>65.0</v>
      </c>
      <c r="L47" s="11">
        <v>50.0</v>
      </c>
      <c r="M47" s="14">
        <f t="shared" si="4"/>
        <v>1</v>
      </c>
      <c r="N47" s="11">
        <v>3.0</v>
      </c>
      <c r="O47" s="14">
        <f t="shared" si="5"/>
        <v>2</v>
      </c>
      <c r="P47" s="11">
        <v>1.0</v>
      </c>
      <c r="Q47" s="15">
        <v>1.0</v>
      </c>
      <c r="R47" s="9">
        <v>10.0</v>
      </c>
      <c r="S47" s="16">
        <f t="shared" si="6"/>
        <v>7</v>
      </c>
      <c r="T47" s="17">
        <f t="shared" si="7"/>
        <v>0.7</v>
      </c>
      <c r="U47" s="14">
        <f t="shared" si="8"/>
        <v>-3</v>
      </c>
      <c r="V47" s="9" t="str">
        <f t="shared" si="9"/>
        <v>Near Target</v>
      </c>
      <c r="W47" s="9"/>
    </row>
    <row r="48" ht="15.75" customHeight="1">
      <c r="A48" s="6">
        <v>46300.0</v>
      </c>
      <c r="B48" s="22" t="s">
        <v>50</v>
      </c>
      <c r="C48" s="23" t="s">
        <v>46</v>
      </c>
      <c r="D48" s="24" t="s">
        <v>27</v>
      </c>
      <c r="E48" s="10">
        <v>0.0</v>
      </c>
      <c r="F48" s="9">
        <f t="shared" si="1"/>
        <v>0</v>
      </c>
      <c r="G48" s="11">
        <v>1.0</v>
      </c>
      <c r="H48" s="9">
        <f t="shared" si="2"/>
        <v>1</v>
      </c>
      <c r="I48" s="11">
        <v>1.0</v>
      </c>
      <c r="J48" s="9">
        <f t="shared" si="12"/>
        <v>1</v>
      </c>
      <c r="K48" s="11">
        <v>84.0</v>
      </c>
      <c r="L48" s="11">
        <v>50.0</v>
      </c>
      <c r="M48" s="14">
        <f t="shared" si="4"/>
        <v>1</v>
      </c>
      <c r="N48" s="11">
        <v>3.0</v>
      </c>
      <c r="O48" s="14">
        <f t="shared" si="5"/>
        <v>2</v>
      </c>
      <c r="P48" s="11">
        <v>1.0</v>
      </c>
      <c r="Q48" s="15">
        <v>1.0</v>
      </c>
      <c r="R48" s="9">
        <v>10.0</v>
      </c>
      <c r="S48" s="16">
        <f t="shared" si="6"/>
        <v>7</v>
      </c>
      <c r="T48" s="17">
        <f t="shared" si="7"/>
        <v>0.7</v>
      </c>
      <c r="U48" s="14">
        <f t="shared" si="8"/>
        <v>-3</v>
      </c>
      <c r="V48" s="9" t="str">
        <f t="shared" si="9"/>
        <v>Near Target</v>
      </c>
      <c r="W48" s="9"/>
    </row>
    <row r="49" ht="15.75" customHeight="1">
      <c r="A49" s="6">
        <v>46301.0</v>
      </c>
      <c r="B49" s="7" t="s">
        <v>28</v>
      </c>
      <c r="C49" s="9" t="s">
        <v>29</v>
      </c>
      <c r="D49" s="9" t="s">
        <v>27</v>
      </c>
      <c r="E49" s="10">
        <v>50000.0</v>
      </c>
      <c r="F49" s="9">
        <f t="shared" si="1"/>
        <v>3</v>
      </c>
      <c r="G49" s="11">
        <v>1.0</v>
      </c>
      <c r="H49" s="9">
        <f t="shared" si="2"/>
        <v>1</v>
      </c>
      <c r="I49" s="11">
        <v>1.0</v>
      </c>
      <c r="J49" s="9">
        <f t="shared" si="12"/>
        <v>1</v>
      </c>
      <c r="K49" s="11">
        <v>108.0</v>
      </c>
      <c r="L49" s="11">
        <v>56.0</v>
      </c>
      <c r="M49" s="14">
        <f t="shared" si="4"/>
        <v>1</v>
      </c>
      <c r="N49" s="11">
        <v>3.0</v>
      </c>
      <c r="O49" s="14">
        <f t="shared" si="5"/>
        <v>2</v>
      </c>
      <c r="P49" s="11">
        <v>1.0</v>
      </c>
      <c r="Q49" s="15">
        <v>1.0</v>
      </c>
      <c r="R49" s="9">
        <v>10.0</v>
      </c>
      <c r="S49" s="16">
        <f t="shared" si="6"/>
        <v>10</v>
      </c>
      <c r="T49" s="17">
        <f t="shared" si="7"/>
        <v>1</v>
      </c>
      <c r="U49" s="14">
        <f t="shared" si="8"/>
        <v>0</v>
      </c>
      <c r="V49" s="9" t="str">
        <f t="shared" si="9"/>
        <v>Achieved</v>
      </c>
      <c r="W49" s="9"/>
    </row>
    <row r="50" ht="15.75" customHeight="1">
      <c r="A50" s="6">
        <v>46301.0</v>
      </c>
      <c r="B50" s="7" t="s">
        <v>36</v>
      </c>
      <c r="C50" s="9" t="s">
        <v>29</v>
      </c>
      <c r="D50" s="9" t="s">
        <v>27</v>
      </c>
      <c r="E50" s="10">
        <v>0.0</v>
      </c>
      <c r="F50" s="9">
        <f t="shared" si="1"/>
        <v>0</v>
      </c>
      <c r="G50" s="11">
        <v>0.0</v>
      </c>
      <c r="H50" s="9">
        <f t="shared" si="2"/>
        <v>0</v>
      </c>
      <c r="I50" s="11">
        <v>1.0</v>
      </c>
      <c r="J50" s="9">
        <f t="shared" si="12"/>
        <v>1</v>
      </c>
      <c r="K50" s="11">
        <v>69.0</v>
      </c>
      <c r="L50" s="11">
        <v>55.0</v>
      </c>
      <c r="M50" s="14">
        <f t="shared" si="4"/>
        <v>1</v>
      </c>
      <c r="N50" s="11">
        <v>3.0</v>
      </c>
      <c r="O50" s="14">
        <f t="shared" si="5"/>
        <v>2</v>
      </c>
      <c r="P50" s="11">
        <v>1.0</v>
      </c>
      <c r="Q50" s="15">
        <v>1.0</v>
      </c>
      <c r="R50" s="9">
        <v>10.0</v>
      </c>
      <c r="S50" s="16">
        <f t="shared" si="6"/>
        <v>6</v>
      </c>
      <c r="T50" s="17">
        <f t="shared" si="7"/>
        <v>0.6</v>
      </c>
      <c r="U50" s="14">
        <f t="shared" si="8"/>
        <v>-4</v>
      </c>
      <c r="V50" s="9" t="str">
        <f t="shared" si="9"/>
        <v>Average</v>
      </c>
      <c r="W50" s="9"/>
    </row>
    <row r="51" ht="15.75" customHeight="1">
      <c r="A51" s="6">
        <v>46301.0</v>
      </c>
      <c r="B51" s="7" t="s">
        <v>37</v>
      </c>
      <c r="C51" s="9" t="s">
        <v>29</v>
      </c>
      <c r="D51" s="9" t="s">
        <v>27</v>
      </c>
      <c r="E51" s="10">
        <v>0.0</v>
      </c>
      <c r="F51" s="9">
        <f t="shared" si="1"/>
        <v>0</v>
      </c>
      <c r="G51" s="11">
        <v>1.0</v>
      </c>
      <c r="H51" s="9">
        <f t="shared" si="2"/>
        <v>1</v>
      </c>
      <c r="I51" s="11">
        <v>1.0</v>
      </c>
      <c r="J51" s="9">
        <f t="shared" si="12"/>
        <v>1</v>
      </c>
      <c r="K51" s="11">
        <v>65.0</v>
      </c>
      <c r="L51" s="11">
        <v>53.0</v>
      </c>
      <c r="M51" s="14">
        <f t="shared" si="4"/>
        <v>1</v>
      </c>
      <c r="N51" s="11">
        <v>3.0</v>
      </c>
      <c r="O51" s="14">
        <f t="shared" si="5"/>
        <v>2</v>
      </c>
      <c r="P51" s="11">
        <v>1.0</v>
      </c>
      <c r="Q51" s="15">
        <v>1.0</v>
      </c>
      <c r="R51" s="9">
        <v>10.0</v>
      </c>
      <c r="S51" s="16">
        <f t="shared" si="6"/>
        <v>7</v>
      </c>
      <c r="T51" s="17">
        <f t="shared" si="7"/>
        <v>0.7</v>
      </c>
      <c r="U51" s="14">
        <f t="shared" si="8"/>
        <v>-3</v>
      </c>
      <c r="V51" s="9" t="str">
        <f t="shared" si="9"/>
        <v>Near Target</v>
      </c>
      <c r="W51" s="9"/>
    </row>
    <row r="52" ht="15.75" customHeight="1">
      <c r="A52" s="6">
        <v>46301.0</v>
      </c>
      <c r="B52" s="7" t="s">
        <v>38</v>
      </c>
      <c r="C52" s="9" t="s">
        <v>29</v>
      </c>
      <c r="D52" s="9" t="s">
        <v>27</v>
      </c>
      <c r="E52" s="10">
        <v>0.0</v>
      </c>
      <c r="F52" s="9">
        <f t="shared" si="1"/>
        <v>0</v>
      </c>
      <c r="G52" s="11">
        <v>0.0</v>
      </c>
      <c r="H52" s="9">
        <f t="shared" si="2"/>
        <v>0</v>
      </c>
      <c r="I52" s="11">
        <v>1.0</v>
      </c>
      <c r="J52" s="9">
        <f t="shared" si="12"/>
        <v>1</v>
      </c>
      <c r="K52" s="11">
        <v>79.0</v>
      </c>
      <c r="L52" s="11">
        <v>52.0</v>
      </c>
      <c r="M52" s="14">
        <f t="shared" si="4"/>
        <v>1</v>
      </c>
      <c r="N52" s="11">
        <v>3.0</v>
      </c>
      <c r="O52" s="14">
        <f t="shared" si="5"/>
        <v>2</v>
      </c>
      <c r="P52" s="11">
        <v>1.0</v>
      </c>
      <c r="Q52" s="15">
        <v>1.0</v>
      </c>
      <c r="R52" s="9">
        <v>10.0</v>
      </c>
      <c r="S52" s="16">
        <f t="shared" si="6"/>
        <v>6</v>
      </c>
      <c r="T52" s="17">
        <f t="shared" si="7"/>
        <v>0.6</v>
      </c>
      <c r="U52" s="14">
        <f t="shared" si="8"/>
        <v>-4</v>
      </c>
      <c r="V52" s="9" t="str">
        <f t="shared" si="9"/>
        <v>Average</v>
      </c>
      <c r="W52" s="9"/>
    </row>
    <row r="53" ht="15.75" customHeight="1">
      <c r="A53" s="6">
        <v>46301.0</v>
      </c>
      <c r="B53" s="7" t="s">
        <v>44</v>
      </c>
      <c r="C53" s="9" t="s">
        <v>29</v>
      </c>
      <c r="D53" s="9" t="s">
        <v>27</v>
      </c>
      <c r="E53" s="10">
        <v>0.0</v>
      </c>
      <c r="F53" s="9">
        <f t="shared" si="1"/>
        <v>0</v>
      </c>
      <c r="G53" s="11">
        <v>0.0</v>
      </c>
      <c r="H53" s="9">
        <f t="shared" si="2"/>
        <v>0</v>
      </c>
      <c r="I53" s="11">
        <v>0.0</v>
      </c>
      <c r="J53" s="9">
        <f t="shared" si="12"/>
        <v>0</v>
      </c>
      <c r="K53" s="11">
        <v>25.0</v>
      </c>
      <c r="L53" s="11">
        <v>20.0</v>
      </c>
      <c r="M53" s="14">
        <f t="shared" si="4"/>
        <v>0.4</v>
      </c>
      <c r="N53" s="11">
        <v>0.0</v>
      </c>
      <c r="O53" s="14">
        <f t="shared" si="5"/>
        <v>0</v>
      </c>
      <c r="P53" s="11">
        <v>1.0</v>
      </c>
      <c r="Q53" s="15">
        <v>1.0</v>
      </c>
      <c r="R53" s="9">
        <v>10.0</v>
      </c>
      <c r="S53" s="16">
        <f t="shared" si="6"/>
        <v>2.4</v>
      </c>
      <c r="T53" s="17">
        <f t="shared" si="7"/>
        <v>0.24</v>
      </c>
      <c r="U53" s="14">
        <f t="shared" si="8"/>
        <v>-7.6</v>
      </c>
      <c r="V53" s="9" t="str">
        <f t="shared" si="9"/>
        <v>Low Performance</v>
      </c>
      <c r="W53" s="9"/>
    </row>
    <row r="54" ht="15.75" customHeight="1">
      <c r="A54" s="6">
        <v>46301.0</v>
      </c>
      <c r="B54" s="20" t="s">
        <v>39</v>
      </c>
      <c r="C54" s="9" t="s">
        <v>40</v>
      </c>
      <c r="D54" s="9" t="s">
        <v>27</v>
      </c>
      <c r="E54" s="10">
        <v>0.0</v>
      </c>
      <c r="F54" s="9">
        <f t="shared" si="1"/>
        <v>0</v>
      </c>
      <c r="G54" s="11">
        <v>0.0</v>
      </c>
      <c r="H54" s="9">
        <f t="shared" si="2"/>
        <v>0</v>
      </c>
      <c r="I54" s="11">
        <v>1.0</v>
      </c>
      <c r="J54" s="9">
        <f t="shared" si="12"/>
        <v>1</v>
      </c>
      <c r="K54" s="11">
        <v>80.0</v>
      </c>
      <c r="L54" s="11">
        <v>56.0</v>
      </c>
      <c r="M54" s="14">
        <f t="shared" si="4"/>
        <v>1</v>
      </c>
      <c r="N54" s="11">
        <v>3.0</v>
      </c>
      <c r="O54" s="14">
        <f t="shared" si="5"/>
        <v>2</v>
      </c>
      <c r="P54" s="11">
        <v>1.0</v>
      </c>
      <c r="Q54" s="15">
        <v>1.0</v>
      </c>
      <c r="R54" s="9">
        <v>10.0</v>
      </c>
      <c r="S54" s="16">
        <f t="shared" si="6"/>
        <v>6</v>
      </c>
      <c r="T54" s="17">
        <f t="shared" si="7"/>
        <v>0.6</v>
      </c>
      <c r="U54" s="14">
        <f t="shared" si="8"/>
        <v>-4</v>
      </c>
      <c r="V54" s="9" t="str">
        <f t="shared" si="9"/>
        <v>Average</v>
      </c>
      <c r="W54" s="9"/>
    </row>
    <row r="55" ht="15.75" customHeight="1">
      <c r="A55" s="6">
        <v>46301.0</v>
      </c>
      <c r="B55" s="7" t="s">
        <v>41</v>
      </c>
      <c r="C55" s="9" t="s">
        <v>40</v>
      </c>
      <c r="D55" s="9" t="s">
        <v>27</v>
      </c>
      <c r="E55" s="10">
        <v>0.0</v>
      </c>
      <c r="F55" s="9">
        <f t="shared" si="1"/>
        <v>0</v>
      </c>
      <c r="G55" s="11">
        <v>0.0</v>
      </c>
      <c r="H55" s="9">
        <f t="shared" si="2"/>
        <v>0</v>
      </c>
      <c r="I55" s="11">
        <v>1.0</v>
      </c>
      <c r="J55" s="9">
        <f t="shared" si="12"/>
        <v>1</v>
      </c>
      <c r="K55" s="11">
        <v>75.0</v>
      </c>
      <c r="L55" s="11">
        <v>51.0</v>
      </c>
      <c r="M55" s="14">
        <f t="shared" si="4"/>
        <v>1</v>
      </c>
      <c r="N55" s="11">
        <v>3.0</v>
      </c>
      <c r="O55" s="14">
        <f t="shared" si="5"/>
        <v>2</v>
      </c>
      <c r="P55" s="11">
        <v>1.0</v>
      </c>
      <c r="Q55" s="15">
        <v>1.0</v>
      </c>
      <c r="R55" s="9">
        <v>10.0</v>
      </c>
      <c r="S55" s="16">
        <f t="shared" si="6"/>
        <v>6</v>
      </c>
      <c r="T55" s="17">
        <f t="shared" si="7"/>
        <v>0.6</v>
      </c>
      <c r="U55" s="14">
        <f t="shared" si="8"/>
        <v>-4</v>
      </c>
      <c r="V55" s="9" t="str">
        <f t="shared" si="9"/>
        <v>Average</v>
      </c>
      <c r="W55" s="9"/>
    </row>
    <row r="56" ht="15.75" customHeight="1">
      <c r="A56" s="6">
        <v>46301.0</v>
      </c>
      <c r="B56" s="7" t="s">
        <v>43</v>
      </c>
      <c r="C56" s="9" t="s">
        <v>40</v>
      </c>
      <c r="D56" s="9" t="s">
        <v>27</v>
      </c>
      <c r="E56" s="10">
        <v>0.0</v>
      </c>
      <c r="F56" s="9">
        <f t="shared" si="1"/>
        <v>0</v>
      </c>
      <c r="G56" s="11">
        <v>0.0</v>
      </c>
      <c r="H56" s="9">
        <f t="shared" si="2"/>
        <v>0</v>
      </c>
      <c r="I56" s="11">
        <v>1.0</v>
      </c>
      <c r="J56" s="9">
        <f t="shared" si="12"/>
        <v>1</v>
      </c>
      <c r="K56" s="11">
        <v>68.0</v>
      </c>
      <c r="L56" s="11">
        <v>52.0</v>
      </c>
      <c r="M56" s="14">
        <f t="shared" si="4"/>
        <v>1</v>
      </c>
      <c r="N56" s="11">
        <v>3.0</v>
      </c>
      <c r="O56" s="14">
        <f t="shared" si="5"/>
        <v>2</v>
      </c>
      <c r="P56" s="11">
        <v>1.0</v>
      </c>
      <c r="Q56" s="15">
        <v>1.0</v>
      </c>
      <c r="R56" s="9">
        <v>10.0</v>
      </c>
      <c r="S56" s="16">
        <f t="shared" si="6"/>
        <v>6</v>
      </c>
      <c r="T56" s="17">
        <f t="shared" si="7"/>
        <v>0.6</v>
      </c>
      <c r="U56" s="14">
        <f t="shared" si="8"/>
        <v>-4</v>
      </c>
      <c r="V56" s="9" t="str">
        <f t="shared" si="9"/>
        <v>Average</v>
      </c>
      <c r="W56" s="9"/>
    </row>
    <row r="57" ht="15.75" customHeight="1">
      <c r="A57" s="6">
        <v>46301.0</v>
      </c>
      <c r="B57" s="7" t="s">
        <v>53</v>
      </c>
      <c r="C57" s="9" t="s">
        <v>40</v>
      </c>
      <c r="D57" s="9" t="s">
        <v>27</v>
      </c>
      <c r="E57" s="10">
        <v>0.0</v>
      </c>
      <c r="F57" s="9">
        <f t="shared" si="1"/>
        <v>0</v>
      </c>
      <c r="G57" s="11">
        <v>0.0</v>
      </c>
      <c r="H57" s="9">
        <f t="shared" si="2"/>
        <v>0</v>
      </c>
      <c r="I57" s="11">
        <v>1.0</v>
      </c>
      <c r="J57" s="9">
        <f t="shared" si="12"/>
        <v>1</v>
      </c>
      <c r="K57" s="11">
        <v>20.0</v>
      </c>
      <c r="L57" s="11">
        <v>62.0</v>
      </c>
      <c r="M57" s="14">
        <f t="shared" si="4"/>
        <v>1</v>
      </c>
      <c r="N57" s="11">
        <v>2.0</v>
      </c>
      <c r="O57" s="14">
        <f t="shared" si="5"/>
        <v>1.333333333</v>
      </c>
      <c r="P57" s="11">
        <v>1.0</v>
      </c>
      <c r="Q57" s="15">
        <v>1.0</v>
      </c>
      <c r="R57" s="9">
        <v>10.0</v>
      </c>
      <c r="S57" s="16">
        <f t="shared" si="6"/>
        <v>5.333333333</v>
      </c>
      <c r="T57" s="17">
        <f t="shared" si="7"/>
        <v>0.5333333333</v>
      </c>
      <c r="U57" s="14">
        <f t="shared" si="8"/>
        <v>-4.666666667</v>
      </c>
      <c r="V57" s="9" t="str">
        <f t="shared" si="9"/>
        <v>Average</v>
      </c>
      <c r="W57" s="9"/>
    </row>
    <row r="58" ht="15.75" customHeight="1">
      <c r="A58" s="6">
        <v>46301.0</v>
      </c>
      <c r="B58" s="7" t="s">
        <v>42</v>
      </c>
      <c r="C58" s="9" t="s">
        <v>40</v>
      </c>
      <c r="D58" s="9" t="s">
        <v>27</v>
      </c>
      <c r="E58" s="10">
        <v>0.0</v>
      </c>
      <c r="F58" s="9">
        <f t="shared" si="1"/>
        <v>0</v>
      </c>
      <c r="G58" s="11">
        <v>0.0</v>
      </c>
      <c r="H58" s="9">
        <f t="shared" si="2"/>
        <v>0</v>
      </c>
      <c r="I58" s="11">
        <v>1.0</v>
      </c>
      <c r="J58" s="9">
        <f t="shared" si="12"/>
        <v>1</v>
      </c>
      <c r="K58" s="11">
        <v>62.0</v>
      </c>
      <c r="L58" s="11">
        <v>52.0</v>
      </c>
      <c r="M58" s="14">
        <f t="shared" si="4"/>
        <v>1</v>
      </c>
      <c r="N58" s="11">
        <v>3.0</v>
      </c>
      <c r="O58" s="14">
        <f t="shared" si="5"/>
        <v>2</v>
      </c>
      <c r="P58" s="11">
        <v>1.0</v>
      </c>
      <c r="Q58" s="15">
        <v>1.0</v>
      </c>
      <c r="R58" s="9">
        <v>10.0</v>
      </c>
      <c r="S58" s="16">
        <f t="shared" si="6"/>
        <v>6</v>
      </c>
      <c r="T58" s="17">
        <f t="shared" si="7"/>
        <v>0.6</v>
      </c>
      <c r="U58" s="14">
        <f t="shared" si="8"/>
        <v>-4</v>
      </c>
      <c r="V58" s="9" t="str">
        <f t="shared" si="9"/>
        <v>Average</v>
      </c>
      <c r="W58" s="9"/>
    </row>
    <row r="59" ht="15.75" customHeight="1">
      <c r="A59" s="6">
        <v>46301.0</v>
      </c>
      <c r="B59" s="7" t="s">
        <v>45</v>
      </c>
      <c r="C59" s="18" t="s">
        <v>46</v>
      </c>
      <c r="D59" s="9" t="s">
        <v>27</v>
      </c>
      <c r="E59" s="10">
        <v>0.0</v>
      </c>
      <c r="F59" s="9">
        <f t="shared" si="1"/>
        <v>0</v>
      </c>
      <c r="G59" s="11">
        <v>0.0</v>
      </c>
      <c r="H59" s="9">
        <f t="shared" si="2"/>
        <v>0</v>
      </c>
      <c r="I59" s="11">
        <v>2.0</v>
      </c>
      <c r="J59" s="9">
        <f t="shared" si="12"/>
        <v>1</v>
      </c>
      <c r="K59" s="11">
        <v>65.0</v>
      </c>
      <c r="L59" s="11">
        <v>57.0</v>
      </c>
      <c r="M59" s="14">
        <f t="shared" si="4"/>
        <v>1</v>
      </c>
      <c r="N59" s="11">
        <v>3.0</v>
      </c>
      <c r="O59" s="14">
        <f t="shared" si="5"/>
        <v>2</v>
      </c>
      <c r="P59" s="11">
        <v>1.0</v>
      </c>
      <c r="Q59" s="15">
        <v>1.0</v>
      </c>
      <c r="R59" s="9">
        <v>10.0</v>
      </c>
      <c r="S59" s="16">
        <f t="shared" si="6"/>
        <v>6</v>
      </c>
      <c r="T59" s="17">
        <f t="shared" si="7"/>
        <v>0.6</v>
      </c>
      <c r="U59" s="14">
        <f t="shared" si="8"/>
        <v>-4</v>
      </c>
      <c r="V59" s="9" t="str">
        <f t="shared" si="9"/>
        <v>Average</v>
      </c>
      <c r="W59" s="9"/>
    </row>
    <row r="60" ht="15.75" customHeight="1">
      <c r="A60" s="6">
        <v>46301.0</v>
      </c>
      <c r="B60" s="7" t="s">
        <v>49</v>
      </c>
      <c r="C60" s="18" t="s">
        <v>46</v>
      </c>
      <c r="D60" s="9" t="s">
        <v>27</v>
      </c>
      <c r="E60" s="10">
        <v>0.0</v>
      </c>
      <c r="F60" s="9">
        <f t="shared" si="1"/>
        <v>0</v>
      </c>
      <c r="G60" s="11">
        <v>0.0</v>
      </c>
      <c r="H60" s="9">
        <f t="shared" si="2"/>
        <v>0</v>
      </c>
      <c r="I60" s="11">
        <v>2.0</v>
      </c>
      <c r="J60" s="9">
        <f t="shared" si="12"/>
        <v>1</v>
      </c>
      <c r="K60" s="11">
        <v>60.0</v>
      </c>
      <c r="L60" s="11">
        <v>50.0</v>
      </c>
      <c r="M60" s="14">
        <f t="shared" si="4"/>
        <v>1</v>
      </c>
      <c r="N60" s="11">
        <v>3.0</v>
      </c>
      <c r="O60" s="14">
        <f t="shared" si="5"/>
        <v>2</v>
      </c>
      <c r="P60" s="11">
        <v>1.0</v>
      </c>
      <c r="Q60" s="15">
        <v>1.0</v>
      </c>
      <c r="R60" s="9">
        <v>10.0</v>
      </c>
      <c r="S60" s="16">
        <f t="shared" si="6"/>
        <v>6</v>
      </c>
      <c r="T60" s="17">
        <f t="shared" si="7"/>
        <v>0.6</v>
      </c>
      <c r="U60" s="14">
        <f t="shared" si="8"/>
        <v>-4</v>
      </c>
      <c r="V60" s="9" t="str">
        <f t="shared" si="9"/>
        <v>Average</v>
      </c>
      <c r="W60" s="9"/>
    </row>
    <row r="61" ht="15.75" customHeight="1">
      <c r="A61" s="6">
        <v>46301.0</v>
      </c>
      <c r="B61" s="22" t="s">
        <v>50</v>
      </c>
      <c r="C61" s="23" t="s">
        <v>46</v>
      </c>
      <c r="D61" s="24" t="s">
        <v>27</v>
      </c>
      <c r="E61" s="10">
        <v>0.0</v>
      </c>
      <c r="F61" s="9">
        <f t="shared" si="1"/>
        <v>0</v>
      </c>
      <c r="G61" s="11">
        <v>0.0</v>
      </c>
      <c r="H61" s="9">
        <f t="shared" si="2"/>
        <v>0</v>
      </c>
      <c r="I61" s="11">
        <v>1.0</v>
      </c>
      <c r="J61" s="9">
        <f t="shared" si="12"/>
        <v>1</v>
      </c>
      <c r="K61" s="11">
        <v>0.0</v>
      </c>
      <c r="L61" s="11">
        <v>50.0</v>
      </c>
      <c r="M61" s="14">
        <f t="shared" si="4"/>
        <v>1</v>
      </c>
      <c r="N61" s="11">
        <v>3.0</v>
      </c>
      <c r="O61" s="14">
        <f t="shared" si="5"/>
        <v>2</v>
      </c>
      <c r="P61" s="11">
        <v>1.0</v>
      </c>
      <c r="Q61" s="15">
        <v>1.0</v>
      </c>
      <c r="R61" s="9">
        <v>10.0</v>
      </c>
      <c r="S61" s="16">
        <f t="shared" si="6"/>
        <v>6</v>
      </c>
      <c r="T61" s="17">
        <f t="shared" si="7"/>
        <v>0.6</v>
      </c>
      <c r="U61" s="14">
        <f t="shared" si="8"/>
        <v>-4</v>
      </c>
      <c r="V61" s="9" t="str">
        <f t="shared" si="9"/>
        <v>Average</v>
      </c>
      <c r="W61" s="9"/>
    </row>
    <row r="62" ht="15.75" customHeight="1">
      <c r="A62" s="6">
        <v>46302.0</v>
      </c>
      <c r="B62" s="7" t="s">
        <v>28</v>
      </c>
      <c r="C62" s="9" t="s">
        <v>29</v>
      </c>
      <c r="D62" s="9" t="s">
        <v>27</v>
      </c>
      <c r="E62" s="10">
        <v>0.0</v>
      </c>
      <c r="F62" s="9">
        <f t="shared" si="1"/>
        <v>0</v>
      </c>
      <c r="G62" s="11">
        <v>0.0</v>
      </c>
      <c r="H62" s="9">
        <f t="shared" si="2"/>
        <v>0</v>
      </c>
      <c r="I62" s="11">
        <v>0.0</v>
      </c>
      <c r="J62" s="9">
        <f t="shared" si="12"/>
        <v>0</v>
      </c>
      <c r="K62" s="11">
        <v>0.0</v>
      </c>
      <c r="L62" s="11">
        <v>0.0</v>
      </c>
      <c r="M62" s="14">
        <f t="shared" si="4"/>
        <v>0</v>
      </c>
      <c r="N62" s="11">
        <v>0.0</v>
      </c>
      <c r="O62" s="14">
        <f t="shared" si="5"/>
        <v>0</v>
      </c>
      <c r="P62" s="11">
        <v>0.0</v>
      </c>
      <c r="Q62" s="15">
        <v>0.0</v>
      </c>
      <c r="R62" s="9">
        <v>10.0</v>
      </c>
      <c r="S62" s="16">
        <f t="shared" si="6"/>
        <v>0</v>
      </c>
      <c r="T62" s="17">
        <f t="shared" si="7"/>
        <v>0</v>
      </c>
      <c r="U62" s="14">
        <f t="shared" si="8"/>
        <v>-10</v>
      </c>
      <c r="V62" s="9" t="str">
        <f t="shared" si="9"/>
        <v>Low Performance</v>
      </c>
      <c r="W62" s="9"/>
    </row>
    <row r="63" ht="15.75" customHeight="1">
      <c r="A63" s="6">
        <v>46302.0</v>
      </c>
      <c r="B63" s="7" t="s">
        <v>36</v>
      </c>
      <c r="C63" s="9" t="s">
        <v>29</v>
      </c>
      <c r="D63" s="9" t="s">
        <v>27</v>
      </c>
      <c r="E63" s="10">
        <v>0.0</v>
      </c>
      <c r="F63" s="9">
        <f t="shared" si="1"/>
        <v>0</v>
      </c>
      <c r="G63" s="11">
        <v>0.0</v>
      </c>
      <c r="H63" s="9">
        <f t="shared" si="2"/>
        <v>0</v>
      </c>
      <c r="I63" s="11">
        <v>0.0</v>
      </c>
      <c r="J63" s="9">
        <f t="shared" si="12"/>
        <v>0</v>
      </c>
      <c r="K63" s="11">
        <v>0.0</v>
      </c>
      <c r="L63" s="11">
        <v>0.0</v>
      </c>
      <c r="M63" s="14">
        <f t="shared" si="4"/>
        <v>0</v>
      </c>
      <c r="N63" s="11">
        <v>0.0</v>
      </c>
      <c r="O63" s="14">
        <f t="shared" si="5"/>
        <v>0</v>
      </c>
      <c r="P63" s="11">
        <v>0.0</v>
      </c>
      <c r="Q63" s="15">
        <v>0.0</v>
      </c>
      <c r="R63" s="9">
        <v>10.0</v>
      </c>
      <c r="S63" s="16">
        <f t="shared" si="6"/>
        <v>0</v>
      </c>
      <c r="T63" s="17">
        <f t="shared" si="7"/>
        <v>0</v>
      </c>
      <c r="U63" s="14">
        <f t="shared" si="8"/>
        <v>-10</v>
      </c>
      <c r="V63" s="9" t="str">
        <f t="shared" si="9"/>
        <v>Low Performance</v>
      </c>
      <c r="W63" s="9"/>
    </row>
    <row r="64" ht="15.75" customHeight="1">
      <c r="A64" s="6">
        <v>46302.0</v>
      </c>
      <c r="B64" s="7" t="s">
        <v>37</v>
      </c>
      <c r="C64" s="9" t="s">
        <v>29</v>
      </c>
      <c r="D64" s="9" t="s">
        <v>27</v>
      </c>
      <c r="E64" s="10">
        <v>0.0</v>
      </c>
      <c r="F64" s="9">
        <f t="shared" si="1"/>
        <v>0</v>
      </c>
      <c r="G64" s="11">
        <v>0.0</v>
      </c>
      <c r="H64" s="9">
        <f t="shared" si="2"/>
        <v>0</v>
      </c>
      <c r="I64" s="11">
        <v>0.0</v>
      </c>
      <c r="J64" s="9">
        <f t="shared" si="12"/>
        <v>0</v>
      </c>
      <c r="K64" s="11">
        <v>0.0</v>
      </c>
      <c r="L64" s="11">
        <v>0.0</v>
      </c>
      <c r="M64" s="14">
        <f t="shared" si="4"/>
        <v>0</v>
      </c>
      <c r="N64" s="11">
        <v>0.0</v>
      </c>
      <c r="O64" s="14">
        <f t="shared" si="5"/>
        <v>0</v>
      </c>
      <c r="P64" s="11">
        <v>0.0</v>
      </c>
      <c r="Q64" s="15">
        <v>0.0</v>
      </c>
      <c r="R64" s="9">
        <v>10.0</v>
      </c>
      <c r="S64" s="16">
        <f t="shared" si="6"/>
        <v>0</v>
      </c>
      <c r="T64" s="17">
        <f t="shared" si="7"/>
        <v>0</v>
      </c>
      <c r="U64" s="14">
        <f t="shared" si="8"/>
        <v>-10</v>
      </c>
      <c r="V64" s="9" t="str">
        <f t="shared" si="9"/>
        <v>Low Performance</v>
      </c>
      <c r="W64" s="9"/>
    </row>
    <row r="65" ht="15.75" customHeight="1">
      <c r="A65" s="6">
        <v>46302.0</v>
      </c>
      <c r="B65" s="7" t="s">
        <v>38</v>
      </c>
      <c r="C65" s="9" t="s">
        <v>29</v>
      </c>
      <c r="D65" s="9" t="s">
        <v>27</v>
      </c>
      <c r="E65" s="10">
        <v>0.0</v>
      </c>
      <c r="F65" s="9">
        <f t="shared" si="1"/>
        <v>0</v>
      </c>
      <c r="G65" s="11">
        <v>0.0</v>
      </c>
      <c r="H65" s="9">
        <f t="shared" si="2"/>
        <v>0</v>
      </c>
      <c r="I65" s="11">
        <v>0.0</v>
      </c>
      <c r="J65" s="9">
        <f t="shared" si="12"/>
        <v>0</v>
      </c>
      <c r="K65" s="11">
        <v>0.0</v>
      </c>
      <c r="L65" s="11">
        <v>0.0</v>
      </c>
      <c r="M65" s="14">
        <f t="shared" si="4"/>
        <v>0</v>
      </c>
      <c r="N65" s="11">
        <v>0.0</v>
      </c>
      <c r="O65" s="14">
        <f t="shared" si="5"/>
        <v>0</v>
      </c>
      <c r="P65" s="11">
        <v>0.0</v>
      </c>
      <c r="Q65" s="15">
        <v>0.0</v>
      </c>
      <c r="R65" s="9">
        <v>10.0</v>
      </c>
      <c r="S65" s="16">
        <f t="shared" si="6"/>
        <v>0</v>
      </c>
      <c r="T65" s="17">
        <f t="shared" si="7"/>
        <v>0</v>
      </c>
      <c r="U65" s="14">
        <f t="shared" si="8"/>
        <v>-10</v>
      </c>
      <c r="V65" s="9" t="str">
        <f t="shared" si="9"/>
        <v>Low Performance</v>
      </c>
      <c r="W65" s="9"/>
    </row>
    <row r="66" ht="15.75" customHeight="1">
      <c r="A66" s="6">
        <v>46302.0</v>
      </c>
      <c r="B66" s="7" t="s">
        <v>44</v>
      </c>
      <c r="C66" s="9" t="s">
        <v>29</v>
      </c>
      <c r="D66" s="9" t="s">
        <v>27</v>
      </c>
      <c r="E66" s="10">
        <v>0.0</v>
      </c>
      <c r="F66" s="9">
        <f t="shared" si="1"/>
        <v>0</v>
      </c>
      <c r="G66" s="11">
        <v>0.0</v>
      </c>
      <c r="H66" s="9">
        <f t="shared" si="2"/>
        <v>0</v>
      </c>
      <c r="I66" s="11">
        <v>0.0</v>
      </c>
      <c r="J66" s="9">
        <f t="shared" si="12"/>
        <v>0</v>
      </c>
      <c r="K66" s="11">
        <v>0.0</v>
      </c>
      <c r="L66" s="11">
        <v>0.0</v>
      </c>
      <c r="M66" s="14">
        <f t="shared" si="4"/>
        <v>0</v>
      </c>
      <c r="N66" s="11">
        <v>0.0</v>
      </c>
      <c r="O66" s="14">
        <f t="shared" si="5"/>
        <v>0</v>
      </c>
      <c r="P66" s="11">
        <v>0.0</v>
      </c>
      <c r="Q66" s="15">
        <v>0.0</v>
      </c>
      <c r="R66" s="9">
        <v>10.0</v>
      </c>
      <c r="S66" s="16">
        <f t="shared" si="6"/>
        <v>0</v>
      </c>
      <c r="T66" s="17">
        <f t="shared" si="7"/>
        <v>0</v>
      </c>
      <c r="U66" s="14">
        <f t="shared" si="8"/>
        <v>-10</v>
      </c>
      <c r="V66" s="9" t="str">
        <f t="shared" si="9"/>
        <v>Low Performance</v>
      </c>
      <c r="W66" s="9"/>
    </row>
    <row r="67" ht="15.75" customHeight="1">
      <c r="A67" s="6">
        <v>46302.0</v>
      </c>
      <c r="B67" s="20" t="s">
        <v>39</v>
      </c>
      <c r="C67" s="9" t="s">
        <v>40</v>
      </c>
      <c r="D67" s="9" t="s">
        <v>27</v>
      </c>
      <c r="E67" s="10">
        <v>0.0</v>
      </c>
      <c r="F67" s="9">
        <f t="shared" si="1"/>
        <v>0</v>
      </c>
      <c r="G67" s="11">
        <v>0.0</v>
      </c>
      <c r="H67" s="9">
        <f t="shared" si="2"/>
        <v>0</v>
      </c>
      <c r="I67" s="11">
        <v>0.0</v>
      </c>
      <c r="J67" s="9">
        <f t="shared" si="12"/>
        <v>0</v>
      </c>
      <c r="K67" s="11">
        <v>0.0</v>
      </c>
      <c r="L67" s="11">
        <v>0.0</v>
      </c>
      <c r="M67" s="14">
        <f t="shared" si="4"/>
        <v>0</v>
      </c>
      <c r="N67" s="11">
        <v>0.0</v>
      </c>
      <c r="O67" s="14">
        <f t="shared" si="5"/>
        <v>0</v>
      </c>
      <c r="P67" s="11">
        <v>0.0</v>
      </c>
      <c r="Q67" s="15">
        <v>0.0</v>
      </c>
      <c r="R67" s="9">
        <v>10.0</v>
      </c>
      <c r="S67" s="16">
        <f t="shared" si="6"/>
        <v>0</v>
      </c>
      <c r="T67" s="17">
        <f t="shared" si="7"/>
        <v>0</v>
      </c>
      <c r="U67" s="14">
        <f t="shared" si="8"/>
        <v>-10</v>
      </c>
      <c r="V67" s="9" t="str">
        <f t="shared" si="9"/>
        <v>Low Performance</v>
      </c>
      <c r="W67" s="9"/>
    </row>
    <row r="68" ht="15.75" customHeight="1">
      <c r="A68" s="6">
        <v>46302.0</v>
      </c>
      <c r="B68" s="7" t="s">
        <v>41</v>
      </c>
      <c r="C68" s="9" t="s">
        <v>40</v>
      </c>
      <c r="D68" s="9" t="s">
        <v>27</v>
      </c>
      <c r="E68" s="10">
        <v>0.0</v>
      </c>
      <c r="F68" s="9">
        <f t="shared" si="1"/>
        <v>0</v>
      </c>
      <c r="G68" s="11">
        <v>0.0</v>
      </c>
      <c r="H68" s="9">
        <f t="shared" si="2"/>
        <v>0</v>
      </c>
      <c r="I68" s="11">
        <v>0.0</v>
      </c>
      <c r="J68" s="9">
        <f t="shared" si="12"/>
        <v>0</v>
      </c>
      <c r="K68" s="11">
        <v>0.0</v>
      </c>
      <c r="L68" s="11">
        <v>0.0</v>
      </c>
      <c r="M68" s="14">
        <f t="shared" si="4"/>
        <v>0</v>
      </c>
      <c r="N68" s="11">
        <v>0.0</v>
      </c>
      <c r="O68" s="14">
        <f t="shared" si="5"/>
        <v>0</v>
      </c>
      <c r="P68" s="11">
        <v>0.0</v>
      </c>
      <c r="Q68" s="15">
        <v>0.0</v>
      </c>
      <c r="R68" s="9">
        <v>10.0</v>
      </c>
      <c r="S68" s="16">
        <f t="shared" si="6"/>
        <v>0</v>
      </c>
      <c r="T68" s="17">
        <f t="shared" si="7"/>
        <v>0</v>
      </c>
      <c r="U68" s="14">
        <f t="shared" si="8"/>
        <v>-10</v>
      </c>
      <c r="V68" s="9" t="str">
        <f t="shared" si="9"/>
        <v>Low Performance</v>
      </c>
      <c r="W68" s="9"/>
    </row>
    <row r="69" ht="15.75" customHeight="1">
      <c r="A69" s="6">
        <v>46302.0</v>
      </c>
      <c r="B69" s="7" t="s">
        <v>43</v>
      </c>
      <c r="C69" s="9" t="s">
        <v>40</v>
      </c>
      <c r="D69" s="9" t="s">
        <v>27</v>
      </c>
      <c r="E69" s="10">
        <v>0.0</v>
      </c>
      <c r="F69" s="9">
        <f t="shared" si="1"/>
        <v>0</v>
      </c>
      <c r="G69" s="11">
        <v>0.0</v>
      </c>
      <c r="H69" s="9">
        <f t="shared" si="2"/>
        <v>0</v>
      </c>
      <c r="I69" s="11">
        <v>0.0</v>
      </c>
      <c r="J69" s="9">
        <f t="shared" si="12"/>
        <v>0</v>
      </c>
      <c r="K69" s="11">
        <v>0.0</v>
      </c>
      <c r="L69" s="11">
        <v>0.0</v>
      </c>
      <c r="M69" s="14">
        <f t="shared" si="4"/>
        <v>0</v>
      </c>
      <c r="N69" s="11">
        <v>0.0</v>
      </c>
      <c r="O69" s="14">
        <f t="shared" si="5"/>
        <v>0</v>
      </c>
      <c r="P69" s="11">
        <v>0.0</v>
      </c>
      <c r="Q69" s="15">
        <v>0.0</v>
      </c>
      <c r="R69" s="9">
        <v>10.0</v>
      </c>
      <c r="S69" s="16">
        <f t="shared" si="6"/>
        <v>0</v>
      </c>
      <c r="T69" s="17">
        <f t="shared" si="7"/>
        <v>0</v>
      </c>
      <c r="U69" s="14">
        <f t="shared" si="8"/>
        <v>-10</v>
      </c>
      <c r="V69" s="9" t="str">
        <f t="shared" si="9"/>
        <v>Low Performance</v>
      </c>
      <c r="W69" s="9"/>
    </row>
    <row r="70" ht="15.75" customHeight="1">
      <c r="A70" s="6">
        <v>46302.0</v>
      </c>
      <c r="B70" s="7" t="s">
        <v>53</v>
      </c>
      <c r="C70" s="9" t="s">
        <v>40</v>
      </c>
      <c r="D70" s="9" t="s">
        <v>27</v>
      </c>
      <c r="E70" s="10">
        <v>0.0</v>
      </c>
      <c r="F70" s="9">
        <f t="shared" si="1"/>
        <v>0</v>
      </c>
      <c r="G70" s="11">
        <v>0.0</v>
      </c>
      <c r="H70" s="9">
        <f t="shared" si="2"/>
        <v>0</v>
      </c>
      <c r="I70" s="11">
        <v>0.0</v>
      </c>
      <c r="J70" s="9">
        <f t="shared" si="12"/>
        <v>0</v>
      </c>
      <c r="K70" s="11">
        <v>0.0</v>
      </c>
      <c r="L70" s="11">
        <v>0.0</v>
      </c>
      <c r="M70" s="14">
        <f t="shared" si="4"/>
        <v>0</v>
      </c>
      <c r="N70" s="11">
        <v>0.0</v>
      </c>
      <c r="O70" s="14">
        <f t="shared" si="5"/>
        <v>0</v>
      </c>
      <c r="P70" s="11">
        <v>0.0</v>
      </c>
      <c r="Q70" s="15">
        <v>0.0</v>
      </c>
      <c r="R70" s="9">
        <v>10.0</v>
      </c>
      <c r="S70" s="16">
        <f t="shared" si="6"/>
        <v>0</v>
      </c>
      <c r="T70" s="17">
        <f t="shared" si="7"/>
        <v>0</v>
      </c>
      <c r="U70" s="14">
        <f t="shared" si="8"/>
        <v>-10</v>
      </c>
      <c r="V70" s="9" t="str">
        <f t="shared" si="9"/>
        <v>Low Performance</v>
      </c>
      <c r="W70" s="9"/>
    </row>
    <row r="71" ht="15.75" customHeight="1">
      <c r="A71" s="6">
        <v>46302.0</v>
      </c>
      <c r="B71" s="7" t="s">
        <v>42</v>
      </c>
      <c r="C71" s="9" t="s">
        <v>40</v>
      </c>
      <c r="D71" s="9" t="s">
        <v>27</v>
      </c>
      <c r="E71" s="10">
        <v>0.0</v>
      </c>
      <c r="F71" s="9">
        <f t="shared" si="1"/>
        <v>0</v>
      </c>
      <c r="G71" s="11">
        <v>0.0</v>
      </c>
      <c r="H71" s="9">
        <f t="shared" si="2"/>
        <v>0</v>
      </c>
      <c r="I71" s="11">
        <v>0.0</v>
      </c>
      <c r="J71" s="9">
        <f t="shared" si="12"/>
        <v>0</v>
      </c>
      <c r="K71" s="11">
        <v>0.0</v>
      </c>
      <c r="L71" s="11">
        <v>0.0</v>
      </c>
      <c r="M71" s="14">
        <f t="shared" si="4"/>
        <v>0</v>
      </c>
      <c r="N71" s="11">
        <v>0.0</v>
      </c>
      <c r="O71" s="14">
        <f t="shared" si="5"/>
        <v>0</v>
      </c>
      <c r="P71" s="11">
        <v>0.0</v>
      </c>
      <c r="Q71" s="15">
        <v>0.0</v>
      </c>
      <c r="R71" s="9">
        <v>10.0</v>
      </c>
      <c r="S71" s="16">
        <f t="shared" si="6"/>
        <v>0</v>
      </c>
      <c r="T71" s="17">
        <f t="shared" si="7"/>
        <v>0</v>
      </c>
      <c r="U71" s="14">
        <f t="shared" si="8"/>
        <v>-10</v>
      </c>
      <c r="V71" s="9" t="str">
        <f t="shared" si="9"/>
        <v>Low Performance</v>
      </c>
      <c r="W71" s="9"/>
    </row>
    <row r="72" ht="15.75" customHeight="1">
      <c r="A72" s="6">
        <v>46302.0</v>
      </c>
      <c r="B72" s="7" t="s">
        <v>45</v>
      </c>
      <c r="C72" s="18" t="s">
        <v>46</v>
      </c>
      <c r="D72" s="9" t="s">
        <v>27</v>
      </c>
      <c r="E72" s="10">
        <v>0.0</v>
      </c>
      <c r="F72" s="9">
        <f t="shared" si="1"/>
        <v>0</v>
      </c>
      <c r="G72" s="11">
        <v>0.0</v>
      </c>
      <c r="H72" s="9">
        <f t="shared" si="2"/>
        <v>0</v>
      </c>
      <c r="I72" s="11">
        <v>0.0</v>
      </c>
      <c r="J72" s="9">
        <f t="shared" si="12"/>
        <v>0</v>
      </c>
      <c r="K72" s="11">
        <v>0.0</v>
      </c>
      <c r="L72" s="11">
        <v>0.0</v>
      </c>
      <c r="M72" s="14">
        <f t="shared" si="4"/>
        <v>0</v>
      </c>
      <c r="N72" s="11">
        <v>0.0</v>
      </c>
      <c r="O72" s="14">
        <f t="shared" si="5"/>
        <v>0</v>
      </c>
      <c r="P72" s="11">
        <v>0.0</v>
      </c>
      <c r="Q72" s="15">
        <v>0.0</v>
      </c>
      <c r="R72" s="9">
        <v>10.0</v>
      </c>
      <c r="S72" s="16">
        <f t="shared" si="6"/>
        <v>0</v>
      </c>
      <c r="T72" s="17">
        <f t="shared" si="7"/>
        <v>0</v>
      </c>
      <c r="U72" s="14">
        <f t="shared" si="8"/>
        <v>-10</v>
      </c>
      <c r="V72" s="9" t="str">
        <f t="shared" si="9"/>
        <v>Low Performance</v>
      </c>
      <c r="W72" s="9"/>
    </row>
    <row r="73" ht="15.75" customHeight="1">
      <c r="A73" s="6">
        <v>46302.0</v>
      </c>
      <c r="B73" s="7" t="s">
        <v>49</v>
      </c>
      <c r="C73" s="18" t="s">
        <v>46</v>
      </c>
      <c r="D73" s="9" t="s">
        <v>27</v>
      </c>
      <c r="E73" s="10">
        <v>0.0</v>
      </c>
      <c r="F73" s="9">
        <f t="shared" si="1"/>
        <v>0</v>
      </c>
      <c r="G73" s="11">
        <v>0.0</v>
      </c>
      <c r="H73" s="9">
        <f t="shared" si="2"/>
        <v>0</v>
      </c>
      <c r="I73" s="11">
        <v>0.0</v>
      </c>
      <c r="J73" s="9">
        <f t="shared" si="12"/>
        <v>0</v>
      </c>
      <c r="K73" s="11">
        <v>0.0</v>
      </c>
      <c r="L73" s="11">
        <v>0.0</v>
      </c>
      <c r="M73" s="14">
        <f t="shared" si="4"/>
        <v>0</v>
      </c>
      <c r="N73" s="11">
        <v>0.0</v>
      </c>
      <c r="O73" s="14">
        <f t="shared" si="5"/>
        <v>0</v>
      </c>
      <c r="P73" s="11">
        <v>0.0</v>
      </c>
      <c r="Q73" s="15">
        <v>0.0</v>
      </c>
      <c r="R73" s="9">
        <v>10.0</v>
      </c>
      <c r="S73" s="16">
        <f t="shared" si="6"/>
        <v>0</v>
      </c>
      <c r="T73" s="17">
        <f t="shared" si="7"/>
        <v>0</v>
      </c>
      <c r="U73" s="14">
        <f t="shared" si="8"/>
        <v>-10</v>
      </c>
      <c r="V73" s="9" t="str">
        <f t="shared" si="9"/>
        <v>Low Performance</v>
      </c>
      <c r="W73" s="9"/>
    </row>
    <row r="74" ht="15.75" customHeight="1">
      <c r="A74" s="6">
        <v>46302.0</v>
      </c>
      <c r="B74" s="22" t="s">
        <v>50</v>
      </c>
      <c r="C74" s="23" t="s">
        <v>46</v>
      </c>
      <c r="D74" s="24" t="s">
        <v>27</v>
      </c>
      <c r="E74" s="10">
        <v>0.0</v>
      </c>
      <c r="F74" s="9">
        <f t="shared" si="1"/>
        <v>0</v>
      </c>
      <c r="G74" s="11">
        <v>0.0</v>
      </c>
      <c r="H74" s="9">
        <f t="shared" si="2"/>
        <v>0</v>
      </c>
      <c r="I74" s="11">
        <v>0.0</v>
      </c>
      <c r="J74" s="9">
        <f t="shared" si="12"/>
        <v>0</v>
      </c>
      <c r="K74" s="11">
        <v>0.0</v>
      </c>
      <c r="L74" s="11">
        <v>0.0</v>
      </c>
      <c r="M74" s="14">
        <f t="shared" si="4"/>
        <v>0</v>
      </c>
      <c r="N74" s="11">
        <v>0.0</v>
      </c>
      <c r="O74" s="14">
        <f t="shared" si="5"/>
        <v>0</v>
      </c>
      <c r="P74" s="11">
        <v>0.0</v>
      </c>
      <c r="Q74" s="15">
        <v>0.0</v>
      </c>
      <c r="R74" s="9">
        <v>10.0</v>
      </c>
      <c r="S74" s="16">
        <f t="shared" si="6"/>
        <v>0</v>
      </c>
      <c r="T74" s="17">
        <f t="shared" si="7"/>
        <v>0</v>
      </c>
      <c r="U74" s="14">
        <f t="shared" si="8"/>
        <v>-10</v>
      </c>
      <c r="V74" s="9" t="str">
        <f t="shared" si="9"/>
        <v>Low Performance</v>
      </c>
      <c r="W74" s="9"/>
    </row>
    <row r="75" ht="15.75" customHeight="1">
      <c r="A75" s="6">
        <v>46303.0</v>
      </c>
      <c r="B75" s="20" t="s">
        <v>39</v>
      </c>
      <c r="C75" s="9" t="s">
        <v>40</v>
      </c>
      <c r="D75" s="9" t="s">
        <v>27</v>
      </c>
      <c r="E75" s="10">
        <v>0.0</v>
      </c>
      <c r="F75" s="9">
        <f t="shared" si="1"/>
        <v>0</v>
      </c>
      <c r="G75" s="11">
        <v>0.0</v>
      </c>
      <c r="H75" s="9">
        <f t="shared" si="2"/>
        <v>0</v>
      </c>
      <c r="I75" s="11">
        <v>0.0</v>
      </c>
      <c r="J75" s="9">
        <f t="shared" si="12"/>
        <v>0</v>
      </c>
      <c r="K75" s="11">
        <v>0.0</v>
      </c>
      <c r="L75" s="11">
        <v>0.0</v>
      </c>
      <c r="M75" s="14">
        <f t="shared" si="4"/>
        <v>0</v>
      </c>
      <c r="N75" s="11">
        <v>0.0</v>
      </c>
      <c r="O75" s="14">
        <f t="shared" si="5"/>
        <v>0</v>
      </c>
      <c r="P75" s="11">
        <v>0.0</v>
      </c>
      <c r="Q75" s="15">
        <v>0.0</v>
      </c>
      <c r="R75" s="9">
        <v>10.0</v>
      </c>
      <c r="S75" s="16">
        <f t="shared" si="6"/>
        <v>0</v>
      </c>
      <c r="T75" s="17">
        <f t="shared" si="7"/>
        <v>0</v>
      </c>
      <c r="U75" s="14">
        <f t="shared" si="8"/>
        <v>-10</v>
      </c>
      <c r="V75" s="9" t="str">
        <f t="shared" si="9"/>
        <v>Low Performance</v>
      </c>
      <c r="W75" s="9"/>
    </row>
    <row r="76" ht="15.75" customHeight="1">
      <c r="A76" s="6">
        <v>46303.0</v>
      </c>
      <c r="B76" s="7" t="s">
        <v>41</v>
      </c>
      <c r="C76" s="9" t="s">
        <v>40</v>
      </c>
      <c r="D76" s="9" t="s">
        <v>27</v>
      </c>
      <c r="E76" s="10">
        <v>0.0</v>
      </c>
      <c r="F76" s="9">
        <f t="shared" si="1"/>
        <v>0</v>
      </c>
      <c r="G76" s="11">
        <v>0.0</v>
      </c>
      <c r="H76" s="9">
        <f t="shared" si="2"/>
        <v>0</v>
      </c>
      <c r="I76" s="11">
        <v>0.0</v>
      </c>
      <c r="J76" s="9">
        <f t="shared" si="12"/>
        <v>0</v>
      </c>
      <c r="K76" s="11">
        <v>0.0</v>
      </c>
      <c r="L76" s="11">
        <v>0.0</v>
      </c>
      <c r="M76" s="14">
        <f t="shared" si="4"/>
        <v>0</v>
      </c>
      <c r="N76" s="11">
        <v>0.0</v>
      </c>
      <c r="O76" s="14">
        <f t="shared" si="5"/>
        <v>0</v>
      </c>
      <c r="P76" s="11">
        <v>0.0</v>
      </c>
      <c r="Q76" s="15">
        <v>0.0</v>
      </c>
      <c r="R76" s="9">
        <v>10.0</v>
      </c>
      <c r="S76" s="16">
        <f t="shared" si="6"/>
        <v>0</v>
      </c>
      <c r="T76" s="17">
        <f t="shared" si="7"/>
        <v>0</v>
      </c>
      <c r="U76" s="14">
        <f t="shared" si="8"/>
        <v>-10</v>
      </c>
      <c r="V76" s="9" t="str">
        <f t="shared" si="9"/>
        <v>Low Performance</v>
      </c>
      <c r="W76" s="9"/>
    </row>
    <row r="77" ht="15.75" customHeight="1">
      <c r="A77" s="6">
        <v>46303.0</v>
      </c>
      <c r="B77" s="7" t="s">
        <v>42</v>
      </c>
      <c r="C77" s="9" t="s">
        <v>40</v>
      </c>
      <c r="D77" s="9" t="s">
        <v>27</v>
      </c>
      <c r="E77" s="10">
        <v>0.0</v>
      </c>
      <c r="F77" s="9">
        <f t="shared" si="1"/>
        <v>0</v>
      </c>
      <c r="G77" s="11">
        <v>0.0</v>
      </c>
      <c r="H77" s="9">
        <f t="shared" si="2"/>
        <v>0</v>
      </c>
      <c r="I77" s="11">
        <v>0.0</v>
      </c>
      <c r="J77" s="9">
        <f t="shared" si="12"/>
        <v>0</v>
      </c>
      <c r="K77" s="11">
        <v>0.0</v>
      </c>
      <c r="L77" s="11">
        <v>0.0</v>
      </c>
      <c r="M77" s="14">
        <f t="shared" si="4"/>
        <v>0</v>
      </c>
      <c r="N77" s="11">
        <v>0.0</v>
      </c>
      <c r="O77" s="14">
        <f t="shared" si="5"/>
        <v>0</v>
      </c>
      <c r="P77" s="11">
        <v>0.0</v>
      </c>
      <c r="Q77" s="15">
        <v>0.0</v>
      </c>
      <c r="R77" s="9">
        <v>10.0</v>
      </c>
      <c r="S77" s="16">
        <f t="shared" si="6"/>
        <v>0</v>
      </c>
      <c r="T77" s="17">
        <f t="shared" si="7"/>
        <v>0</v>
      </c>
      <c r="U77" s="14">
        <f t="shared" si="8"/>
        <v>-10</v>
      </c>
      <c r="V77" s="9" t="str">
        <f t="shared" si="9"/>
        <v>Low Performance</v>
      </c>
      <c r="W77" s="9"/>
    </row>
    <row r="78" ht="15.75" customHeight="1">
      <c r="A78" s="6">
        <v>46303.0</v>
      </c>
      <c r="B78" s="7" t="s">
        <v>43</v>
      </c>
      <c r="C78" s="9" t="s">
        <v>40</v>
      </c>
      <c r="D78" s="9" t="s">
        <v>27</v>
      </c>
      <c r="E78" s="10">
        <v>0.0</v>
      </c>
      <c r="F78" s="9">
        <f t="shared" si="1"/>
        <v>0</v>
      </c>
      <c r="G78" s="11">
        <v>0.0</v>
      </c>
      <c r="H78" s="9">
        <f t="shared" si="2"/>
        <v>0</v>
      </c>
      <c r="I78" s="11">
        <v>0.0</v>
      </c>
      <c r="J78" s="9">
        <f t="shared" si="12"/>
        <v>0</v>
      </c>
      <c r="K78" s="11">
        <v>0.0</v>
      </c>
      <c r="L78" s="11">
        <v>0.0</v>
      </c>
      <c r="M78" s="14">
        <f t="shared" si="4"/>
        <v>0</v>
      </c>
      <c r="N78" s="11">
        <v>0.0</v>
      </c>
      <c r="O78" s="14">
        <f t="shared" si="5"/>
        <v>0</v>
      </c>
      <c r="P78" s="11">
        <v>0.0</v>
      </c>
      <c r="Q78" s="15">
        <v>0.0</v>
      </c>
      <c r="R78" s="9">
        <v>10.0</v>
      </c>
      <c r="S78" s="16">
        <f t="shared" si="6"/>
        <v>0</v>
      </c>
      <c r="T78" s="17">
        <f t="shared" si="7"/>
        <v>0</v>
      </c>
      <c r="U78" s="14">
        <f t="shared" si="8"/>
        <v>-10</v>
      </c>
      <c r="V78" s="9" t="str">
        <f t="shared" si="9"/>
        <v>Low Performance</v>
      </c>
      <c r="W78" s="9"/>
    </row>
    <row r="79" ht="15.75" customHeight="1">
      <c r="A79" s="6">
        <v>46303.0</v>
      </c>
      <c r="B79" s="7" t="s">
        <v>45</v>
      </c>
      <c r="C79" s="18" t="s">
        <v>46</v>
      </c>
      <c r="D79" s="9" t="s">
        <v>27</v>
      </c>
      <c r="E79" s="10">
        <v>0.0</v>
      </c>
      <c r="F79" s="9">
        <f t="shared" si="1"/>
        <v>0</v>
      </c>
      <c r="G79" s="11">
        <v>0.0</v>
      </c>
      <c r="H79" s="9">
        <f t="shared" si="2"/>
        <v>0</v>
      </c>
      <c r="I79" s="11">
        <v>0.0</v>
      </c>
      <c r="J79" s="9">
        <f t="shared" si="12"/>
        <v>0</v>
      </c>
      <c r="K79" s="11">
        <v>0.0</v>
      </c>
      <c r="L79" s="11">
        <v>0.0</v>
      </c>
      <c r="M79" s="14">
        <f t="shared" si="4"/>
        <v>0</v>
      </c>
      <c r="N79" s="11">
        <v>0.0</v>
      </c>
      <c r="O79" s="14">
        <f t="shared" si="5"/>
        <v>0</v>
      </c>
      <c r="P79" s="11">
        <v>0.0</v>
      </c>
      <c r="Q79" s="15">
        <v>0.0</v>
      </c>
      <c r="R79" s="9">
        <v>10.0</v>
      </c>
      <c r="S79" s="16">
        <f t="shared" si="6"/>
        <v>0</v>
      </c>
      <c r="T79" s="17">
        <f t="shared" si="7"/>
        <v>0</v>
      </c>
      <c r="U79" s="14">
        <f t="shared" si="8"/>
        <v>-10</v>
      </c>
      <c r="V79" s="9" t="str">
        <f t="shared" si="9"/>
        <v>Low Performance</v>
      </c>
      <c r="W79" s="9"/>
    </row>
    <row r="80" ht="15.75" customHeight="1">
      <c r="A80" s="6">
        <v>46303.0</v>
      </c>
      <c r="B80" s="7" t="s">
        <v>49</v>
      </c>
      <c r="C80" s="18" t="s">
        <v>46</v>
      </c>
      <c r="D80" s="9" t="s">
        <v>27</v>
      </c>
      <c r="E80" s="10">
        <v>0.0</v>
      </c>
      <c r="F80" s="9">
        <f t="shared" si="1"/>
        <v>0</v>
      </c>
      <c r="G80" s="11">
        <v>0.0</v>
      </c>
      <c r="H80" s="9">
        <f t="shared" si="2"/>
        <v>0</v>
      </c>
      <c r="I80" s="11">
        <v>0.0</v>
      </c>
      <c r="J80" s="9">
        <f t="shared" si="12"/>
        <v>0</v>
      </c>
      <c r="K80" s="11">
        <v>0.0</v>
      </c>
      <c r="L80" s="11">
        <v>0.0</v>
      </c>
      <c r="M80" s="14">
        <f t="shared" si="4"/>
        <v>0</v>
      </c>
      <c r="N80" s="11">
        <v>0.0</v>
      </c>
      <c r="O80" s="14">
        <f t="shared" si="5"/>
        <v>0</v>
      </c>
      <c r="P80" s="11">
        <v>0.0</v>
      </c>
      <c r="Q80" s="15">
        <v>0.0</v>
      </c>
      <c r="R80" s="9">
        <v>10.0</v>
      </c>
      <c r="S80" s="16">
        <f t="shared" si="6"/>
        <v>0</v>
      </c>
      <c r="T80" s="17">
        <f t="shared" si="7"/>
        <v>0</v>
      </c>
      <c r="U80" s="14">
        <f t="shared" si="8"/>
        <v>-10</v>
      </c>
      <c r="V80" s="9" t="str">
        <f t="shared" si="9"/>
        <v>Low Performance</v>
      </c>
      <c r="W80" s="9"/>
    </row>
    <row r="81" ht="15.75" customHeight="1">
      <c r="A81" s="6">
        <v>46303.0</v>
      </c>
      <c r="B81" s="22" t="s">
        <v>50</v>
      </c>
      <c r="C81" s="23" t="s">
        <v>46</v>
      </c>
      <c r="D81" s="24" t="s">
        <v>27</v>
      </c>
      <c r="E81" s="10">
        <v>0.0</v>
      </c>
      <c r="F81" s="9">
        <f t="shared" si="1"/>
        <v>0</v>
      </c>
      <c r="G81" s="11">
        <v>0.0</v>
      </c>
      <c r="H81" s="9">
        <f t="shared" si="2"/>
        <v>0</v>
      </c>
      <c r="I81" s="11">
        <v>0.0</v>
      </c>
      <c r="J81" s="9">
        <f t="shared" si="12"/>
        <v>0</v>
      </c>
      <c r="K81" s="11">
        <v>0.0</v>
      </c>
      <c r="L81" s="11">
        <v>0.0</v>
      </c>
      <c r="M81" s="14">
        <f t="shared" si="4"/>
        <v>0</v>
      </c>
      <c r="N81" s="11">
        <v>0.0</v>
      </c>
      <c r="O81" s="14">
        <f t="shared" si="5"/>
        <v>0</v>
      </c>
      <c r="P81" s="11">
        <v>0.0</v>
      </c>
      <c r="Q81" s="15">
        <v>0.0</v>
      </c>
      <c r="R81" s="9">
        <v>10.0</v>
      </c>
      <c r="S81" s="16">
        <f t="shared" si="6"/>
        <v>0</v>
      </c>
      <c r="T81" s="17">
        <f t="shared" si="7"/>
        <v>0</v>
      </c>
      <c r="U81" s="14">
        <f t="shared" si="8"/>
        <v>-10</v>
      </c>
      <c r="V81" s="9" t="str">
        <f t="shared" si="9"/>
        <v>Low Performance</v>
      </c>
      <c r="W81" s="9"/>
    </row>
    <row r="82" ht="15.75" customHeight="1">
      <c r="A82" s="6">
        <v>46305.0</v>
      </c>
      <c r="B82" s="7" t="s">
        <v>28</v>
      </c>
      <c r="C82" s="9" t="s">
        <v>29</v>
      </c>
      <c r="D82" s="9" t="s">
        <v>27</v>
      </c>
      <c r="E82" s="10">
        <v>0.0</v>
      </c>
      <c r="F82" s="9">
        <f t="shared" si="1"/>
        <v>0</v>
      </c>
      <c r="G82" s="11">
        <v>0.0</v>
      </c>
      <c r="H82" s="9">
        <f t="shared" si="2"/>
        <v>0</v>
      </c>
      <c r="I82" s="11">
        <v>0.0</v>
      </c>
      <c r="J82" s="9">
        <f t="shared" si="12"/>
        <v>0</v>
      </c>
      <c r="K82" s="11">
        <v>0.0</v>
      </c>
      <c r="L82" s="11">
        <v>0.0</v>
      </c>
      <c r="M82" s="14">
        <f t="shared" si="4"/>
        <v>0</v>
      </c>
      <c r="N82" s="11">
        <v>0.0</v>
      </c>
      <c r="O82" s="14">
        <f t="shared" si="5"/>
        <v>0</v>
      </c>
      <c r="P82" s="11">
        <v>0.0</v>
      </c>
      <c r="Q82" s="15">
        <v>0.0</v>
      </c>
      <c r="R82" s="9">
        <v>10.0</v>
      </c>
      <c r="S82" s="16">
        <f t="shared" si="6"/>
        <v>0</v>
      </c>
      <c r="T82" s="17">
        <f t="shared" si="7"/>
        <v>0</v>
      </c>
      <c r="U82" s="14">
        <f t="shared" si="8"/>
        <v>-10</v>
      </c>
      <c r="V82" s="9" t="str">
        <f t="shared" si="9"/>
        <v>Low Performance</v>
      </c>
      <c r="W82" s="9"/>
    </row>
    <row r="83" ht="15.75" customHeight="1">
      <c r="A83" s="6">
        <v>46305.0</v>
      </c>
      <c r="B83" s="7" t="s">
        <v>36</v>
      </c>
      <c r="C83" s="9" t="s">
        <v>29</v>
      </c>
      <c r="D83" s="9" t="s">
        <v>27</v>
      </c>
      <c r="E83" s="10">
        <v>0.0</v>
      </c>
      <c r="F83" s="9">
        <f t="shared" si="1"/>
        <v>0</v>
      </c>
      <c r="G83" s="11">
        <v>0.0</v>
      </c>
      <c r="H83" s="9">
        <f t="shared" si="2"/>
        <v>0</v>
      </c>
      <c r="I83" s="11">
        <v>0.0</v>
      </c>
      <c r="J83" s="9">
        <f t="shared" si="12"/>
        <v>0</v>
      </c>
      <c r="K83" s="11">
        <v>0.0</v>
      </c>
      <c r="L83" s="11">
        <v>0.0</v>
      </c>
      <c r="M83" s="14">
        <f t="shared" si="4"/>
        <v>0</v>
      </c>
      <c r="N83" s="11">
        <v>0.0</v>
      </c>
      <c r="O83" s="14">
        <f t="shared" si="5"/>
        <v>0</v>
      </c>
      <c r="P83" s="11">
        <v>0.0</v>
      </c>
      <c r="Q83" s="15">
        <v>0.0</v>
      </c>
      <c r="R83" s="9">
        <v>10.0</v>
      </c>
      <c r="S83" s="16">
        <f t="shared" si="6"/>
        <v>0</v>
      </c>
      <c r="T83" s="17">
        <f t="shared" si="7"/>
        <v>0</v>
      </c>
      <c r="U83" s="14">
        <f t="shared" si="8"/>
        <v>-10</v>
      </c>
      <c r="V83" s="9" t="str">
        <f t="shared" si="9"/>
        <v>Low Performance</v>
      </c>
      <c r="W83" s="9"/>
    </row>
    <row r="84" ht="15.75" customHeight="1">
      <c r="A84" s="6">
        <v>46305.0</v>
      </c>
      <c r="B84" s="7" t="s">
        <v>37</v>
      </c>
      <c r="C84" s="9" t="s">
        <v>29</v>
      </c>
      <c r="D84" s="9" t="s">
        <v>27</v>
      </c>
      <c r="E84" s="10">
        <v>0.0</v>
      </c>
      <c r="F84" s="9">
        <f t="shared" si="1"/>
        <v>0</v>
      </c>
      <c r="G84" s="11">
        <v>0.0</v>
      </c>
      <c r="H84" s="9">
        <f t="shared" si="2"/>
        <v>0</v>
      </c>
      <c r="I84" s="11">
        <v>0.0</v>
      </c>
      <c r="J84" s="9">
        <f t="shared" si="12"/>
        <v>0</v>
      </c>
      <c r="K84" s="11">
        <v>0.0</v>
      </c>
      <c r="L84" s="11">
        <v>0.0</v>
      </c>
      <c r="M84" s="14">
        <f t="shared" si="4"/>
        <v>0</v>
      </c>
      <c r="N84" s="11">
        <v>0.0</v>
      </c>
      <c r="O84" s="14">
        <f t="shared" si="5"/>
        <v>0</v>
      </c>
      <c r="P84" s="11">
        <v>0.0</v>
      </c>
      <c r="Q84" s="15">
        <v>0.0</v>
      </c>
      <c r="R84" s="9">
        <v>10.0</v>
      </c>
      <c r="S84" s="16">
        <f t="shared" si="6"/>
        <v>0</v>
      </c>
      <c r="T84" s="17">
        <f t="shared" si="7"/>
        <v>0</v>
      </c>
      <c r="U84" s="14">
        <f t="shared" si="8"/>
        <v>-10</v>
      </c>
      <c r="V84" s="9" t="str">
        <f t="shared" si="9"/>
        <v>Low Performance</v>
      </c>
      <c r="W84" s="9"/>
    </row>
    <row r="85" ht="15.75" customHeight="1">
      <c r="A85" s="6">
        <v>46305.0</v>
      </c>
      <c r="B85" s="7" t="s">
        <v>38</v>
      </c>
      <c r="C85" s="9" t="s">
        <v>29</v>
      </c>
      <c r="D85" s="9" t="s">
        <v>27</v>
      </c>
      <c r="E85" s="10">
        <v>0.0</v>
      </c>
      <c r="F85" s="9">
        <f t="shared" si="1"/>
        <v>0</v>
      </c>
      <c r="G85" s="11">
        <v>0.0</v>
      </c>
      <c r="H85" s="9">
        <f t="shared" si="2"/>
        <v>0</v>
      </c>
      <c r="I85" s="11">
        <v>0.0</v>
      </c>
      <c r="J85" s="9">
        <f t="shared" si="12"/>
        <v>0</v>
      </c>
      <c r="K85" s="11">
        <v>0.0</v>
      </c>
      <c r="L85" s="11">
        <v>0.0</v>
      </c>
      <c r="M85" s="14">
        <f t="shared" si="4"/>
        <v>0</v>
      </c>
      <c r="N85" s="11">
        <v>0.0</v>
      </c>
      <c r="O85" s="14">
        <f t="shared" si="5"/>
        <v>0</v>
      </c>
      <c r="P85" s="11">
        <v>0.0</v>
      </c>
      <c r="Q85" s="15">
        <v>0.0</v>
      </c>
      <c r="R85" s="9">
        <v>10.0</v>
      </c>
      <c r="S85" s="16">
        <f t="shared" si="6"/>
        <v>0</v>
      </c>
      <c r="T85" s="17">
        <f t="shared" si="7"/>
        <v>0</v>
      </c>
      <c r="U85" s="14">
        <f t="shared" si="8"/>
        <v>-10</v>
      </c>
      <c r="V85" s="9" t="str">
        <f t="shared" si="9"/>
        <v>Low Performance</v>
      </c>
      <c r="W85" s="9"/>
    </row>
    <row r="86" ht="15.75" customHeight="1">
      <c r="A86" s="6">
        <v>46305.0</v>
      </c>
      <c r="B86" s="20" t="s">
        <v>39</v>
      </c>
      <c r="C86" s="9" t="s">
        <v>40</v>
      </c>
      <c r="D86" s="9" t="s">
        <v>27</v>
      </c>
      <c r="E86" s="10">
        <v>0.0</v>
      </c>
      <c r="F86" s="9">
        <f t="shared" si="1"/>
        <v>0</v>
      </c>
      <c r="G86" s="11">
        <v>0.0</v>
      </c>
      <c r="H86" s="9">
        <f t="shared" si="2"/>
        <v>0</v>
      </c>
      <c r="I86" s="11">
        <v>0.0</v>
      </c>
      <c r="J86" s="9">
        <f t="shared" si="12"/>
        <v>0</v>
      </c>
      <c r="K86" s="11">
        <v>0.0</v>
      </c>
      <c r="L86" s="11">
        <v>0.0</v>
      </c>
      <c r="M86" s="14">
        <f t="shared" si="4"/>
        <v>0</v>
      </c>
      <c r="N86" s="11">
        <v>0.0</v>
      </c>
      <c r="O86" s="14">
        <f t="shared" si="5"/>
        <v>0</v>
      </c>
      <c r="P86" s="11">
        <v>0.0</v>
      </c>
      <c r="Q86" s="15">
        <v>0.0</v>
      </c>
      <c r="R86" s="9">
        <v>10.0</v>
      </c>
      <c r="S86" s="16">
        <f t="shared" si="6"/>
        <v>0</v>
      </c>
      <c r="T86" s="17">
        <f t="shared" si="7"/>
        <v>0</v>
      </c>
      <c r="U86" s="14">
        <f t="shared" si="8"/>
        <v>-10</v>
      </c>
      <c r="V86" s="9" t="str">
        <f t="shared" si="9"/>
        <v>Low Performance</v>
      </c>
      <c r="W86" s="9"/>
    </row>
    <row r="87" ht="15.75" customHeight="1">
      <c r="A87" s="6">
        <v>46305.0</v>
      </c>
      <c r="B87" s="7" t="s">
        <v>41</v>
      </c>
      <c r="C87" s="9" t="s">
        <v>40</v>
      </c>
      <c r="D87" s="9" t="s">
        <v>27</v>
      </c>
      <c r="E87" s="10">
        <v>0.0</v>
      </c>
      <c r="F87" s="9">
        <f t="shared" si="1"/>
        <v>0</v>
      </c>
      <c r="G87" s="11">
        <v>0.0</v>
      </c>
      <c r="H87" s="9">
        <f t="shared" si="2"/>
        <v>0</v>
      </c>
      <c r="I87" s="11">
        <v>0.0</v>
      </c>
      <c r="J87" s="9">
        <f t="shared" si="12"/>
        <v>0</v>
      </c>
      <c r="K87" s="11">
        <v>0.0</v>
      </c>
      <c r="L87" s="11">
        <v>0.0</v>
      </c>
      <c r="M87" s="14">
        <f t="shared" si="4"/>
        <v>0</v>
      </c>
      <c r="N87" s="11">
        <v>0.0</v>
      </c>
      <c r="O87" s="14">
        <f t="shared" si="5"/>
        <v>0</v>
      </c>
      <c r="P87" s="11">
        <v>0.0</v>
      </c>
      <c r="Q87" s="15">
        <v>0.0</v>
      </c>
      <c r="R87" s="9">
        <v>10.0</v>
      </c>
      <c r="S87" s="16">
        <f t="shared" si="6"/>
        <v>0</v>
      </c>
      <c r="T87" s="17">
        <f t="shared" si="7"/>
        <v>0</v>
      </c>
      <c r="U87" s="14">
        <f t="shared" si="8"/>
        <v>-10</v>
      </c>
      <c r="V87" s="9" t="str">
        <f t="shared" si="9"/>
        <v>Low Performance</v>
      </c>
      <c r="W87" s="9"/>
    </row>
    <row r="88" ht="15.75" customHeight="1">
      <c r="A88" s="6">
        <v>46305.0</v>
      </c>
      <c r="B88" s="7" t="s">
        <v>42</v>
      </c>
      <c r="C88" s="9" t="s">
        <v>40</v>
      </c>
      <c r="D88" s="9" t="s">
        <v>27</v>
      </c>
      <c r="E88" s="10">
        <v>0.0</v>
      </c>
      <c r="F88" s="9">
        <f t="shared" si="1"/>
        <v>0</v>
      </c>
      <c r="G88" s="11">
        <v>0.0</v>
      </c>
      <c r="H88" s="9">
        <f t="shared" si="2"/>
        <v>0</v>
      </c>
      <c r="I88" s="11">
        <v>0.0</v>
      </c>
      <c r="J88" s="9">
        <f t="shared" si="12"/>
        <v>0</v>
      </c>
      <c r="K88" s="11">
        <v>0.0</v>
      </c>
      <c r="L88" s="11">
        <v>0.0</v>
      </c>
      <c r="M88" s="14">
        <f t="shared" si="4"/>
        <v>0</v>
      </c>
      <c r="N88" s="11">
        <v>0.0</v>
      </c>
      <c r="O88" s="14">
        <f t="shared" si="5"/>
        <v>0</v>
      </c>
      <c r="P88" s="11">
        <v>0.0</v>
      </c>
      <c r="Q88" s="15">
        <v>0.0</v>
      </c>
      <c r="R88" s="9">
        <v>10.0</v>
      </c>
      <c r="S88" s="16">
        <f t="shared" si="6"/>
        <v>0</v>
      </c>
      <c r="T88" s="17">
        <f t="shared" si="7"/>
        <v>0</v>
      </c>
      <c r="U88" s="14">
        <f t="shared" si="8"/>
        <v>-10</v>
      </c>
      <c r="V88" s="9" t="str">
        <f t="shared" si="9"/>
        <v>Low Performance</v>
      </c>
      <c r="W88" s="9"/>
    </row>
    <row r="89" ht="15.75" customHeight="1">
      <c r="A89" s="6">
        <v>46305.0</v>
      </c>
      <c r="B89" s="7" t="s">
        <v>43</v>
      </c>
      <c r="C89" s="9" t="s">
        <v>40</v>
      </c>
      <c r="D89" s="9" t="s">
        <v>27</v>
      </c>
      <c r="E89" s="10">
        <v>0.0</v>
      </c>
      <c r="F89" s="9">
        <f t="shared" si="1"/>
        <v>0</v>
      </c>
      <c r="G89" s="11">
        <v>0.0</v>
      </c>
      <c r="H89" s="9">
        <f t="shared" si="2"/>
        <v>0</v>
      </c>
      <c r="I89" s="11">
        <v>0.0</v>
      </c>
      <c r="J89" s="9">
        <f t="shared" si="12"/>
        <v>0</v>
      </c>
      <c r="K89" s="11">
        <v>0.0</v>
      </c>
      <c r="L89" s="11">
        <v>0.0</v>
      </c>
      <c r="M89" s="14">
        <f t="shared" si="4"/>
        <v>0</v>
      </c>
      <c r="N89" s="11">
        <v>0.0</v>
      </c>
      <c r="O89" s="14">
        <f t="shared" si="5"/>
        <v>0</v>
      </c>
      <c r="P89" s="11">
        <v>0.0</v>
      </c>
      <c r="Q89" s="15">
        <v>0.0</v>
      </c>
      <c r="R89" s="9">
        <v>10.0</v>
      </c>
      <c r="S89" s="16">
        <f t="shared" si="6"/>
        <v>0</v>
      </c>
      <c r="T89" s="17">
        <f t="shared" si="7"/>
        <v>0</v>
      </c>
      <c r="U89" s="14">
        <f t="shared" si="8"/>
        <v>-10</v>
      </c>
      <c r="V89" s="9" t="str">
        <f t="shared" si="9"/>
        <v>Low Performance</v>
      </c>
      <c r="W89" s="9"/>
    </row>
    <row r="90" ht="15.75" customHeight="1">
      <c r="A90" s="6">
        <v>46305.0</v>
      </c>
      <c r="B90" s="7" t="s">
        <v>45</v>
      </c>
      <c r="C90" s="18" t="s">
        <v>46</v>
      </c>
      <c r="D90" s="9" t="s">
        <v>27</v>
      </c>
      <c r="E90" s="10">
        <v>0.0</v>
      </c>
      <c r="F90" s="9">
        <f t="shared" si="1"/>
        <v>0</v>
      </c>
      <c r="G90" s="11">
        <v>0.0</v>
      </c>
      <c r="H90" s="9">
        <f t="shared" si="2"/>
        <v>0</v>
      </c>
      <c r="I90" s="11">
        <v>0.0</v>
      </c>
      <c r="J90" s="9">
        <f t="shared" si="12"/>
        <v>0</v>
      </c>
      <c r="K90" s="11">
        <v>0.0</v>
      </c>
      <c r="L90" s="11">
        <v>0.0</v>
      </c>
      <c r="M90" s="14">
        <f t="shared" si="4"/>
        <v>0</v>
      </c>
      <c r="N90" s="11">
        <v>0.0</v>
      </c>
      <c r="O90" s="14">
        <f t="shared" si="5"/>
        <v>0</v>
      </c>
      <c r="P90" s="11">
        <v>0.0</v>
      </c>
      <c r="Q90" s="15">
        <v>0.0</v>
      </c>
      <c r="R90" s="9">
        <v>10.0</v>
      </c>
      <c r="S90" s="16">
        <f t="shared" si="6"/>
        <v>0</v>
      </c>
      <c r="T90" s="17">
        <f t="shared" si="7"/>
        <v>0</v>
      </c>
      <c r="U90" s="14">
        <f t="shared" si="8"/>
        <v>-10</v>
      </c>
      <c r="V90" s="9" t="str">
        <f t="shared" si="9"/>
        <v>Low Performance</v>
      </c>
      <c r="W90" s="9"/>
    </row>
    <row r="91" ht="15.75" customHeight="1">
      <c r="A91" s="6">
        <v>46305.0</v>
      </c>
      <c r="B91" s="7" t="s">
        <v>49</v>
      </c>
      <c r="C91" s="18" t="s">
        <v>46</v>
      </c>
      <c r="D91" s="9" t="s">
        <v>27</v>
      </c>
      <c r="E91" s="10">
        <v>0.0</v>
      </c>
      <c r="F91" s="9">
        <f t="shared" si="1"/>
        <v>0</v>
      </c>
      <c r="G91" s="11">
        <v>0.0</v>
      </c>
      <c r="H91" s="9">
        <f t="shared" si="2"/>
        <v>0</v>
      </c>
      <c r="I91" s="11">
        <v>0.0</v>
      </c>
      <c r="J91" s="9">
        <f t="shared" si="12"/>
        <v>0</v>
      </c>
      <c r="K91" s="11">
        <v>0.0</v>
      </c>
      <c r="L91" s="11">
        <v>0.0</v>
      </c>
      <c r="M91" s="14">
        <f t="shared" si="4"/>
        <v>0</v>
      </c>
      <c r="N91" s="11">
        <v>0.0</v>
      </c>
      <c r="O91" s="14">
        <f t="shared" si="5"/>
        <v>0</v>
      </c>
      <c r="P91" s="11">
        <v>0.0</v>
      </c>
      <c r="Q91" s="15">
        <v>0.0</v>
      </c>
      <c r="R91" s="9">
        <v>10.0</v>
      </c>
      <c r="S91" s="16">
        <f t="shared" si="6"/>
        <v>0</v>
      </c>
      <c r="T91" s="17">
        <f t="shared" si="7"/>
        <v>0</v>
      </c>
      <c r="U91" s="14">
        <f t="shared" si="8"/>
        <v>-10</v>
      </c>
      <c r="V91" s="9" t="str">
        <f t="shared" si="9"/>
        <v>Low Performance</v>
      </c>
      <c r="W91" s="9"/>
    </row>
    <row r="92" ht="15.75" customHeight="1">
      <c r="A92" s="6">
        <v>46305.0</v>
      </c>
      <c r="B92" s="22" t="s">
        <v>50</v>
      </c>
      <c r="C92" s="23" t="s">
        <v>46</v>
      </c>
      <c r="D92" s="24" t="s">
        <v>27</v>
      </c>
      <c r="E92" s="10">
        <v>0.0</v>
      </c>
      <c r="F92" s="9">
        <f t="shared" si="1"/>
        <v>0</v>
      </c>
      <c r="G92" s="11">
        <v>0.0</v>
      </c>
      <c r="H92" s="9">
        <f t="shared" si="2"/>
        <v>0</v>
      </c>
      <c r="I92" s="11">
        <v>0.0</v>
      </c>
      <c r="J92" s="9">
        <f t="shared" si="12"/>
        <v>0</v>
      </c>
      <c r="K92" s="11">
        <v>0.0</v>
      </c>
      <c r="L92" s="11">
        <v>0.0</v>
      </c>
      <c r="M92" s="14">
        <f t="shared" si="4"/>
        <v>0</v>
      </c>
      <c r="N92" s="11">
        <v>0.0</v>
      </c>
      <c r="O92" s="14">
        <f t="shared" si="5"/>
        <v>0</v>
      </c>
      <c r="P92" s="11">
        <v>0.0</v>
      </c>
      <c r="Q92" s="15">
        <v>0.0</v>
      </c>
      <c r="R92" s="9">
        <v>10.0</v>
      </c>
      <c r="S92" s="16">
        <f t="shared" si="6"/>
        <v>0</v>
      </c>
      <c r="T92" s="17">
        <f t="shared" si="7"/>
        <v>0</v>
      </c>
      <c r="U92" s="14">
        <f t="shared" si="8"/>
        <v>-10</v>
      </c>
      <c r="V92" s="9" t="str">
        <f t="shared" si="9"/>
        <v>Low Performance</v>
      </c>
      <c r="W92" s="9"/>
    </row>
    <row r="93" ht="15.75" customHeight="1">
      <c r="A93" s="6">
        <v>46306.0</v>
      </c>
      <c r="B93" s="7" t="s">
        <v>28</v>
      </c>
      <c r="C93" s="9" t="s">
        <v>29</v>
      </c>
      <c r="D93" s="9" t="s">
        <v>27</v>
      </c>
      <c r="E93" s="10">
        <v>0.0</v>
      </c>
      <c r="F93" s="9">
        <f t="shared" si="1"/>
        <v>0</v>
      </c>
      <c r="G93" s="11">
        <v>0.0</v>
      </c>
      <c r="H93" s="9">
        <f t="shared" si="2"/>
        <v>0</v>
      </c>
      <c r="I93" s="11">
        <v>0.0</v>
      </c>
      <c r="J93" s="9">
        <f t="shared" si="12"/>
        <v>0</v>
      </c>
      <c r="K93" s="11">
        <v>0.0</v>
      </c>
      <c r="L93" s="11">
        <v>0.0</v>
      </c>
      <c r="M93" s="14">
        <f t="shared" si="4"/>
        <v>0</v>
      </c>
      <c r="N93" s="11">
        <v>0.0</v>
      </c>
      <c r="O93" s="14">
        <f t="shared" si="5"/>
        <v>0</v>
      </c>
      <c r="P93" s="11">
        <v>0.0</v>
      </c>
      <c r="Q93" s="15">
        <v>0.0</v>
      </c>
      <c r="R93" s="9">
        <v>10.0</v>
      </c>
      <c r="S93" s="16">
        <f t="shared" si="6"/>
        <v>0</v>
      </c>
      <c r="T93" s="17">
        <f t="shared" si="7"/>
        <v>0</v>
      </c>
      <c r="U93" s="14">
        <f t="shared" si="8"/>
        <v>-10</v>
      </c>
      <c r="V93" s="9" t="str">
        <f t="shared" si="9"/>
        <v>Low Performance</v>
      </c>
      <c r="W93" s="9"/>
    </row>
    <row r="94" ht="15.75" customHeight="1">
      <c r="A94" s="6">
        <v>46306.0</v>
      </c>
      <c r="B94" s="7" t="s">
        <v>36</v>
      </c>
      <c r="C94" s="9" t="s">
        <v>29</v>
      </c>
      <c r="D94" s="9" t="s">
        <v>27</v>
      </c>
      <c r="E94" s="10">
        <v>0.0</v>
      </c>
      <c r="F94" s="9">
        <f t="shared" si="1"/>
        <v>0</v>
      </c>
      <c r="G94" s="11">
        <v>0.0</v>
      </c>
      <c r="H94" s="9">
        <f t="shared" si="2"/>
        <v>0</v>
      </c>
      <c r="I94" s="11">
        <v>0.0</v>
      </c>
      <c r="J94" s="9">
        <f t="shared" si="12"/>
        <v>0</v>
      </c>
      <c r="K94" s="11">
        <v>0.0</v>
      </c>
      <c r="L94" s="11">
        <v>0.0</v>
      </c>
      <c r="M94" s="14">
        <f t="shared" si="4"/>
        <v>0</v>
      </c>
      <c r="N94" s="11">
        <v>0.0</v>
      </c>
      <c r="O94" s="14">
        <f t="shared" si="5"/>
        <v>0</v>
      </c>
      <c r="P94" s="11">
        <v>0.0</v>
      </c>
      <c r="Q94" s="15">
        <v>0.0</v>
      </c>
      <c r="R94" s="9">
        <v>10.0</v>
      </c>
      <c r="S94" s="16">
        <f t="shared" si="6"/>
        <v>0</v>
      </c>
      <c r="T94" s="17">
        <f t="shared" si="7"/>
        <v>0</v>
      </c>
      <c r="U94" s="14">
        <f t="shared" si="8"/>
        <v>-10</v>
      </c>
      <c r="V94" s="9" t="str">
        <f t="shared" si="9"/>
        <v>Low Performance</v>
      </c>
      <c r="W94" s="9"/>
    </row>
    <row r="95" ht="15.75" customHeight="1">
      <c r="A95" s="6">
        <v>46306.0</v>
      </c>
      <c r="B95" s="7" t="s">
        <v>37</v>
      </c>
      <c r="C95" s="9" t="s">
        <v>29</v>
      </c>
      <c r="D95" s="9" t="s">
        <v>27</v>
      </c>
      <c r="E95" s="10">
        <v>0.0</v>
      </c>
      <c r="F95" s="9">
        <f t="shared" si="1"/>
        <v>0</v>
      </c>
      <c r="G95" s="11">
        <v>0.0</v>
      </c>
      <c r="H95" s="9">
        <f t="shared" si="2"/>
        <v>0</v>
      </c>
      <c r="I95" s="11">
        <v>0.0</v>
      </c>
      <c r="J95" s="9">
        <f t="shared" si="12"/>
        <v>0</v>
      </c>
      <c r="K95" s="11">
        <v>0.0</v>
      </c>
      <c r="L95" s="11">
        <v>0.0</v>
      </c>
      <c r="M95" s="14">
        <f t="shared" si="4"/>
        <v>0</v>
      </c>
      <c r="N95" s="11">
        <v>0.0</v>
      </c>
      <c r="O95" s="14">
        <f t="shared" si="5"/>
        <v>0</v>
      </c>
      <c r="P95" s="11">
        <v>0.0</v>
      </c>
      <c r="Q95" s="15">
        <v>0.0</v>
      </c>
      <c r="R95" s="9">
        <v>10.0</v>
      </c>
      <c r="S95" s="16">
        <f t="shared" si="6"/>
        <v>0</v>
      </c>
      <c r="T95" s="17">
        <f t="shared" si="7"/>
        <v>0</v>
      </c>
      <c r="U95" s="14">
        <f t="shared" si="8"/>
        <v>-10</v>
      </c>
      <c r="V95" s="9" t="str">
        <f t="shared" si="9"/>
        <v>Low Performance</v>
      </c>
      <c r="W95" s="9"/>
    </row>
    <row r="96" ht="15.75" customHeight="1">
      <c r="A96" s="6">
        <v>46306.0</v>
      </c>
      <c r="B96" s="7" t="s">
        <v>38</v>
      </c>
      <c r="C96" s="9" t="s">
        <v>29</v>
      </c>
      <c r="D96" s="9" t="s">
        <v>27</v>
      </c>
      <c r="E96" s="10">
        <v>0.0</v>
      </c>
      <c r="F96" s="9">
        <f t="shared" si="1"/>
        <v>0</v>
      </c>
      <c r="G96" s="11">
        <v>0.0</v>
      </c>
      <c r="H96" s="9">
        <f t="shared" si="2"/>
        <v>0</v>
      </c>
      <c r="I96" s="11">
        <v>0.0</v>
      </c>
      <c r="J96" s="9">
        <f t="shared" si="12"/>
        <v>0</v>
      </c>
      <c r="K96" s="11">
        <v>0.0</v>
      </c>
      <c r="L96" s="11">
        <v>0.0</v>
      </c>
      <c r="M96" s="14">
        <f t="shared" si="4"/>
        <v>0</v>
      </c>
      <c r="N96" s="11">
        <v>0.0</v>
      </c>
      <c r="O96" s="14">
        <f t="shared" si="5"/>
        <v>0</v>
      </c>
      <c r="P96" s="11">
        <v>0.0</v>
      </c>
      <c r="Q96" s="15">
        <v>0.0</v>
      </c>
      <c r="R96" s="9">
        <v>10.0</v>
      </c>
      <c r="S96" s="16">
        <f t="shared" si="6"/>
        <v>0</v>
      </c>
      <c r="T96" s="17">
        <f t="shared" si="7"/>
        <v>0</v>
      </c>
      <c r="U96" s="14">
        <f t="shared" si="8"/>
        <v>-10</v>
      </c>
      <c r="V96" s="9" t="str">
        <f t="shared" si="9"/>
        <v>Low Performance</v>
      </c>
      <c r="W96" s="9"/>
    </row>
    <row r="97" ht="15.75" customHeight="1">
      <c r="A97" s="6">
        <v>46306.0</v>
      </c>
      <c r="B97" s="20" t="s">
        <v>39</v>
      </c>
      <c r="C97" s="9" t="s">
        <v>40</v>
      </c>
      <c r="D97" s="9" t="s">
        <v>27</v>
      </c>
      <c r="E97" s="10">
        <v>0.0</v>
      </c>
      <c r="F97" s="9">
        <f t="shared" si="1"/>
        <v>0</v>
      </c>
      <c r="G97" s="11">
        <v>0.0</v>
      </c>
      <c r="H97" s="9">
        <f t="shared" si="2"/>
        <v>0</v>
      </c>
      <c r="I97" s="11">
        <v>0.0</v>
      </c>
      <c r="J97" s="9">
        <f t="shared" si="12"/>
        <v>0</v>
      </c>
      <c r="K97" s="11">
        <v>0.0</v>
      </c>
      <c r="L97" s="11">
        <v>0.0</v>
      </c>
      <c r="M97" s="14">
        <f t="shared" si="4"/>
        <v>0</v>
      </c>
      <c r="N97" s="11">
        <v>0.0</v>
      </c>
      <c r="O97" s="14">
        <f t="shared" si="5"/>
        <v>0</v>
      </c>
      <c r="P97" s="11">
        <v>0.0</v>
      </c>
      <c r="Q97" s="15">
        <v>0.0</v>
      </c>
      <c r="R97" s="9">
        <v>10.0</v>
      </c>
      <c r="S97" s="16">
        <f t="shared" si="6"/>
        <v>0</v>
      </c>
      <c r="T97" s="17">
        <f t="shared" si="7"/>
        <v>0</v>
      </c>
      <c r="U97" s="14">
        <f t="shared" si="8"/>
        <v>-10</v>
      </c>
      <c r="V97" s="9" t="str">
        <f t="shared" si="9"/>
        <v>Low Performance</v>
      </c>
      <c r="W97" s="9"/>
    </row>
    <row r="98" ht="15.75" customHeight="1">
      <c r="A98" s="6">
        <v>46306.0</v>
      </c>
      <c r="B98" s="7" t="s">
        <v>41</v>
      </c>
      <c r="C98" s="9" t="s">
        <v>40</v>
      </c>
      <c r="D98" s="9" t="s">
        <v>27</v>
      </c>
      <c r="E98" s="10">
        <v>0.0</v>
      </c>
      <c r="F98" s="9">
        <f t="shared" si="1"/>
        <v>0</v>
      </c>
      <c r="G98" s="11">
        <v>0.0</v>
      </c>
      <c r="H98" s="9">
        <f t="shared" si="2"/>
        <v>0</v>
      </c>
      <c r="I98" s="11">
        <v>0.0</v>
      </c>
      <c r="J98" s="9">
        <f t="shared" si="12"/>
        <v>0</v>
      </c>
      <c r="K98" s="11">
        <v>0.0</v>
      </c>
      <c r="L98" s="11">
        <v>0.0</v>
      </c>
      <c r="M98" s="14">
        <f t="shared" si="4"/>
        <v>0</v>
      </c>
      <c r="N98" s="11">
        <v>0.0</v>
      </c>
      <c r="O98" s="14">
        <f t="shared" si="5"/>
        <v>0</v>
      </c>
      <c r="P98" s="11">
        <v>0.0</v>
      </c>
      <c r="Q98" s="15">
        <v>0.0</v>
      </c>
      <c r="R98" s="9">
        <v>10.0</v>
      </c>
      <c r="S98" s="16">
        <f t="shared" si="6"/>
        <v>0</v>
      </c>
      <c r="T98" s="17">
        <f t="shared" si="7"/>
        <v>0</v>
      </c>
      <c r="U98" s="14">
        <f t="shared" si="8"/>
        <v>-10</v>
      </c>
      <c r="V98" s="9" t="str">
        <f t="shared" si="9"/>
        <v>Low Performance</v>
      </c>
      <c r="W98" s="9"/>
    </row>
    <row r="99" ht="15.75" customHeight="1">
      <c r="A99" s="6">
        <v>46306.0</v>
      </c>
      <c r="B99" s="7" t="s">
        <v>42</v>
      </c>
      <c r="C99" s="9" t="s">
        <v>40</v>
      </c>
      <c r="D99" s="9" t="s">
        <v>27</v>
      </c>
      <c r="E99" s="10">
        <v>0.0</v>
      </c>
      <c r="F99" s="9">
        <f t="shared" si="1"/>
        <v>0</v>
      </c>
      <c r="G99" s="11">
        <v>0.0</v>
      </c>
      <c r="H99" s="9">
        <f t="shared" si="2"/>
        <v>0</v>
      </c>
      <c r="I99" s="11">
        <v>0.0</v>
      </c>
      <c r="J99" s="9">
        <f t="shared" si="12"/>
        <v>0</v>
      </c>
      <c r="K99" s="11">
        <v>0.0</v>
      </c>
      <c r="L99" s="11">
        <v>0.0</v>
      </c>
      <c r="M99" s="14">
        <f t="shared" si="4"/>
        <v>0</v>
      </c>
      <c r="N99" s="11">
        <v>0.0</v>
      </c>
      <c r="O99" s="14">
        <f t="shared" si="5"/>
        <v>0</v>
      </c>
      <c r="P99" s="11">
        <v>0.0</v>
      </c>
      <c r="Q99" s="15">
        <v>0.0</v>
      </c>
      <c r="R99" s="9">
        <v>10.0</v>
      </c>
      <c r="S99" s="16">
        <f t="shared" si="6"/>
        <v>0</v>
      </c>
      <c r="T99" s="17">
        <f t="shared" si="7"/>
        <v>0</v>
      </c>
      <c r="U99" s="14">
        <f t="shared" si="8"/>
        <v>-10</v>
      </c>
      <c r="V99" s="9" t="str">
        <f t="shared" si="9"/>
        <v>Low Performance</v>
      </c>
      <c r="W99" s="9"/>
    </row>
    <row r="100" ht="15.75" customHeight="1">
      <c r="A100" s="6">
        <v>46306.0</v>
      </c>
      <c r="B100" s="7" t="s">
        <v>43</v>
      </c>
      <c r="C100" s="9" t="s">
        <v>40</v>
      </c>
      <c r="D100" s="9" t="s">
        <v>27</v>
      </c>
      <c r="E100" s="10">
        <v>0.0</v>
      </c>
      <c r="F100" s="9">
        <f t="shared" si="1"/>
        <v>0</v>
      </c>
      <c r="G100" s="11">
        <v>0.0</v>
      </c>
      <c r="H100" s="9">
        <f t="shared" si="2"/>
        <v>0</v>
      </c>
      <c r="I100" s="11">
        <v>0.0</v>
      </c>
      <c r="J100" s="9">
        <f t="shared" si="12"/>
        <v>0</v>
      </c>
      <c r="K100" s="11">
        <v>0.0</v>
      </c>
      <c r="L100" s="11">
        <v>0.0</v>
      </c>
      <c r="M100" s="14">
        <f t="shared" si="4"/>
        <v>0</v>
      </c>
      <c r="N100" s="11">
        <v>0.0</v>
      </c>
      <c r="O100" s="14">
        <f t="shared" si="5"/>
        <v>0</v>
      </c>
      <c r="P100" s="11">
        <v>0.0</v>
      </c>
      <c r="Q100" s="15">
        <v>0.0</v>
      </c>
      <c r="R100" s="9">
        <v>10.0</v>
      </c>
      <c r="S100" s="16">
        <f t="shared" si="6"/>
        <v>0</v>
      </c>
      <c r="T100" s="17">
        <f t="shared" si="7"/>
        <v>0</v>
      </c>
      <c r="U100" s="14">
        <f t="shared" si="8"/>
        <v>-10</v>
      </c>
      <c r="V100" s="9" t="str">
        <f t="shared" si="9"/>
        <v>Low Performance</v>
      </c>
      <c r="W100" s="9"/>
    </row>
    <row r="101" ht="15.75" customHeight="1">
      <c r="A101" s="6">
        <v>46306.0</v>
      </c>
      <c r="B101" s="7" t="s">
        <v>45</v>
      </c>
      <c r="C101" s="18" t="s">
        <v>46</v>
      </c>
      <c r="D101" s="9" t="s">
        <v>27</v>
      </c>
      <c r="E101" s="10">
        <v>0.0</v>
      </c>
      <c r="F101" s="9">
        <f t="shared" si="1"/>
        <v>0</v>
      </c>
      <c r="G101" s="11">
        <v>0.0</v>
      </c>
      <c r="H101" s="9">
        <f t="shared" si="2"/>
        <v>0</v>
      </c>
      <c r="I101" s="11">
        <v>0.0</v>
      </c>
      <c r="J101" s="9">
        <f t="shared" si="12"/>
        <v>0</v>
      </c>
      <c r="K101" s="11">
        <v>0.0</v>
      </c>
      <c r="L101" s="11">
        <v>0.0</v>
      </c>
      <c r="M101" s="14">
        <f t="shared" si="4"/>
        <v>0</v>
      </c>
      <c r="N101" s="11">
        <v>0.0</v>
      </c>
      <c r="O101" s="14">
        <f t="shared" si="5"/>
        <v>0</v>
      </c>
      <c r="P101" s="11">
        <v>0.0</v>
      </c>
      <c r="Q101" s="15">
        <v>0.0</v>
      </c>
      <c r="R101" s="9">
        <v>10.0</v>
      </c>
      <c r="S101" s="16">
        <f t="shared" si="6"/>
        <v>0</v>
      </c>
      <c r="T101" s="17">
        <f t="shared" si="7"/>
        <v>0</v>
      </c>
      <c r="U101" s="14">
        <f t="shared" si="8"/>
        <v>-10</v>
      </c>
      <c r="V101" s="9" t="str">
        <f t="shared" si="9"/>
        <v>Low Performance</v>
      </c>
      <c r="W101" s="9"/>
    </row>
    <row r="102" ht="15.75" customHeight="1">
      <c r="A102" s="6">
        <v>46306.0</v>
      </c>
      <c r="B102" s="7" t="s">
        <v>49</v>
      </c>
      <c r="C102" s="18" t="s">
        <v>46</v>
      </c>
      <c r="D102" s="9" t="s">
        <v>27</v>
      </c>
      <c r="E102" s="10">
        <v>0.0</v>
      </c>
      <c r="F102" s="9">
        <f t="shared" si="1"/>
        <v>0</v>
      </c>
      <c r="G102" s="11">
        <v>0.0</v>
      </c>
      <c r="H102" s="9">
        <f t="shared" si="2"/>
        <v>0</v>
      </c>
      <c r="I102" s="11">
        <v>0.0</v>
      </c>
      <c r="J102" s="9">
        <f t="shared" si="12"/>
        <v>0</v>
      </c>
      <c r="K102" s="11">
        <v>0.0</v>
      </c>
      <c r="L102" s="11">
        <v>0.0</v>
      </c>
      <c r="M102" s="14">
        <f t="shared" si="4"/>
        <v>0</v>
      </c>
      <c r="N102" s="11">
        <v>0.0</v>
      </c>
      <c r="O102" s="14">
        <f t="shared" si="5"/>
        <v>0</v>
      </c>
      <c r="P102" s="11">
        <v>0.0</v>
      </c>
      <c r="Q102" s="15">
        <v>0.0</v>
      </c>
      <c r="R102" s="9">
        <v>10.0</v>
      </c>
      <c r="S102" s="16">
        <f t="shared" si="6"/>
        <v>0</v>
      </c>
      <c r="T102" s="17">
        <f t="shared" si="7"/>
        <v>0</v>
      </c>
      <c r="U102" s="14">
        <f t="shared" si="8"/>
        <v>-10</v>
      </c>
      <c r="V102" s="9" t="str">
        <f t="shared" si="9"/>
        <v>Low Performance</v>
      </c>
      <c r="W102" s="9"/>
    </row>
    <row r="103" ht="15.75" customHeight="1">
      <c r="A103" s="6">
        <v>46306.0</v>
      </c>
      <c r="B103" s="22" t="s">
        <v>50</v>
      </c>
      <c r="C103" s="23" t="s">
        <v>46</v>
      </c>
      <c r="D103" s="24" t="s">
        <v>27</v>
      </c>
      <c r="E103" s="10">
        <v>0.0</v>
      </c>
      <c r="F103" s="9">
        <f t="shared" si="1"/>
        <v>0</v>
      </c>
      <c r="G103" s="11">
        <v>0.0</v>
      </c>
      <c r="H103" s="9">
        <f t="shared" si="2"/>
        <v>0</v>
      </c>
      <c r="I103" s="11">
        <v>0.0</v>
      </c>
      <c r="J103" s="9">
        <f t="shared" si="12"/>
        <v>0</v>
      </c>
      <c r="K103" s="11">
        <v>0.0</v>
      </c>
      <c r="L103" s="11">
        <v>0.0</v>
      </c>
      <c r="M103" s="14">
        <f t="shared" si="4"/>
        <v>0</v>
      </c>
      <c r="N103" s="11">
        <v>0.0</v>
      </c>
      <c r="O103" s="14">
        <f t="shared" si="5"/>
        <v>0</v>
      </c>
      <c r="P103" s="11">
        <v>0.0</v>
      </c>
      <c r="Q103" s="15">
        <v>0.0</v>
      </c>
      <c r="R103" s="9">
        <v>10.0</v>
      </c>
      <c r="S103" s="16">
        <f t="shared" si="6"/>
        <v>0</v>
      </c>
      <c r="T103" s="17">
        <f t="shared" si="7"/>
        <v>0</v>
      </c>
      <c r="U103" s="14">
        <f t="shared" si="8"/>
        <v>-10</v>
      </c>
      <c r="V103" s="9" t="str">
        <f t="shared" si="9"/>
        <v>Low Performance</v>
      </c>
      <c r="W103" s="9"/>
    </row>
    <row r="104" ht="15.75" customHeight="1">
      <c r="A104" s="6">
        <v>46307.0</v>
      </c>
      <c r="B104" s="7" t="s">
        <v>28</v>
      </c>
      <c r="C104" s="9" t="s">
        <v>29</v>
      </c>
      <c r="D104" s="9" t="s">
        <v>27</v>
      </c>
      <c r="E104" s="10">
        <v>0.0</v>
      </c>
      <c r="F104" s="9">
        <f t="shared" si="1"/>
        <v>0</v>
      </c>
      <c r="G104" s="11">
        <v>0.0</v>
      </c>
      <c r="H104" s="9">
        <f t="shared" si="2"/>
        <v>0</v>
      </c>
      <c r="I104" s="11">
        <v>0.0</v>
      </c>
      <c r="J104" s="9">
        <f t="shared" si="12"/>
        <v>0</v>
      </c>
      <c r="K104" s="11">
        <v>0.0</v>
      </c>
      <c r="L104" s="11">
        <v>0.0</v>
      </c>
      <c r="M104" s="14">
        <f t="shared" si="4"/>
        <v>0</v>
      </c>
      <c r="N104" s="11">
        <v>0.0</v>
      </c>
      <c r="O104" s="14">
        <f t="shared" si="5"/>
        <v>0</v>
      </c>
      <c r="P104" s="11">
        <v>0.0</v>
      </c>
      <c r="Q104" s="15">
        <v>0.0</v>
      </c>
      <c r="R104" s="9">
        <v>10.0</v>
      </c>
      <c r="S104" s="16">
        <f t="shared" si="6"/>
        <v>0</v>
      </c>
      <c r="T104" s="17">
        <f t="shared" si="7"/>
        <v>0</v>
      </c>
      <c r="U104" s="14">
        <f t="shared" si="8"/>
        <v>-10</v>
      </c>
      <c r="V104" s="9" t="str">
        <f t="shared" si="9"/>
        <v>Low Performance</v>
      </c>
      <c r="W104" s="9"/>
    </row>
    <row r="105" ht="15.75" customHeight="1">
      <c r="A105" s="6">
        <v>46307.0</v>
      </c>
      <c r="B105" s="7" t="s">
        <v>36</v>
      </c>
      <c r="C105" s="9" t="s">
        <v>29</v>
      </c>
      <c r="D105" s="9" t="s">
        <v>27</v>
      </c>
      <c r="E105" s="10">
        <v>0.0</v>
      </c>
      <c r="F105" s="9">
        <f t="shared" si="1"/>
        <v>0</v>
      </c>
      <c r="G105" s="11">
        <v>0.0</v>
      </c>
      <c r="H105" s="9">
        <f t="shared" si="2"/>
        <v>0</v>
      </c>
      <c r="I105" s="11">
        <v>0.0</v>
      </c>
      <c r="J105" s="9">
        <f t="shared" si="12"/>
        <v>0</v>
      </c>
      <c r="K105" s="11">
        <v>0.0</v>
      </c>
      <c r="L105" s="11">
        <v>0.0</v>
      </c>
      <c r="M105" s="14">
        <f t="shared" si="4"/>
        <v>0</v>
      </c>
      <c r="N105" s="11">
        <v>0.0</v>
      </c>
      <c r="O105" s="14">
        <f t="shared" si="5"/>
        <v>0</v>
      </c>
      <c r="P105" s="11">
        <v>0.0</v>
      </c>
      <c r="Q105" s="15">
        <v>0.0</v>
      </c>
      <c r="R105" s="9">
        <v>10.0</v>
      </c>
      <c r="S105" s="16">
        <f t="shared" si="6"/>
        <v>0</v>
      </c>
      <c r="T105" s="17">
        <f t="shared" si="7"/>
        <v>0</v>
      </c>
      <c r="U105" s="14">
        <f t="shared" si="8"/>
        <v>-10</v>
      </c>
      <c r="V105" s="9" t="str">
        <f t="shared" si="9"/>
        <v>Low Performance</v>
      </c>
      <c r="W105" s="9"/>
    </row>
    <row r="106" ht="15.75" customHeight="1">
      <c r="A106" s="6">
        <v>46307.0</v>
      </c>
      <c r="B106" s="7" t="s">
        <v>37</v>
      </c>
      <c r="C106" s="9" t="s">
        <v>29</v>
      </c>
      <c r="D106" s="9" t="s">
        <v>27</v>
      </c>
      <c r="E106" s="10">
        <v>0.0</v>
      </c>
      <c r="F106" s="9">
        <f t="shared" si="1"/>
        <v>0</v>
      </c>
      <c r="G106" s="11">
        <v>0.0</v>
      </c>
      <c r="H106" s="9">
        <f t="shared" si="2"/>
        <v>0</v>
      </c>
      <c r="I106" s="11">
        <v>0.0</v>
      </c>
      <c r="J106" s="9">
        <f t="shared" si="12"/>
        <v>0</v>
      </c>
      <c r="K106" s="11">
        <v>0.0</v>
      </c>
      <c r="L106" s="11">
        <v>0.0</v>
      </c>
      <c r="M106" s="14">
        <f t="shared" si="4"/>
        <v>0</v>
      </c>
      <c r="N106" s="11">
        <v>0.0</v>
      </c>
      <c r="O106" s="14">
        <f t="shared" si="5"/>
        <v>0</v>
      </c>
      <c r="P106" s="11">
        <v>0.0</v>
      </c>
      <c r="Q106" s="15">
        <v>0.0</v>
      </c>
      <c r="R106" s="9">
        <v>10.0</v>
      </c>
      <c r="S106" s="16">
        <f t="shared" si="6"/>
        <v>0</v>
      </c>
      <c r="T106" s="17">
        <f t="shared" si="7"/>
        <v>0</v>
      </c>
      <c r="U106" s="14">
        <f t="shared" si="8"/>
        <v>-10</v>
      </c>
      <c r="V106" s="9" t="str">
        <f t="shared" si="9"/>
        <v>Low Performance</v>
      </c>
      <c r="W106" s="9"/>
    </row>
    <row r="107" ht="15.75" customHeight="1">
      <c r="A107" s="6">
        <v>46307.0</v>
      </c>
      <c r="B107" s="7" t="s">
        <v>38</v>
      </c>
      <c r="C107" s="9" t="s">
        <v>29</v>
      </c>
      <c r="D107" s="9" t="s">
        <v>27</v>
      </c>
      <c r="E107" s="10">
        <v>0.0</v>
      </c>
      <c r="F107" s="9">
        <f t="shared" si="1"/>
        <v>0</v>
      </c>
      <c r="G107" s="11">
        <v>0.0</v>
      </c>
      <c r="H107" s="9">
        <f t="shared" si="2"/>
        <v>0</v>
      </c>
      <c r="I107" s="11">
        <v>0.0</v>
      </c>
      <c r="J107" s="9">
        <f t="shared" si="12"/>
        <v>0</v>
      </c>
      <c r="K107" s="11">
        <v>0.0</v>
      </c>
      <c r="L107" s="11">
        <v>0.0</v>
      </c>
      <c r="M107" s="14">
        <f t="shared" si="4"/>
        <v>0</v>
      </c>
      <c r="N107" s="11">
        <v>0.0</v>
      </c>
      <c r="O107" s="14">
        <f t="shared" si="5"/>
        <v>0</v>
      </c>
      <c r="P107" s="11">
        <v>0.0</v>
      </c>
      <c r="Q107" s="15">
        <v>0.0</v>
      </c>
      <c r="R107" s="9">
        <v>10.0</v>
      </c>
      <c r="S107" s="16">
        <f t="shared" si="6"/>
        <v>0</v>
      </c>
      <c r="T107" s="17">
        <f t="shared" si="7"/>
        <v>0</v>
      </c>
      <c r="U107" s="14">
        <f t="shared" si="8"/>
        <v>-10</v>
      </c>
      <c r="V107" s="9" t="str">
        <f t="shared" si="9"/>
        <v>Low Performance</v>
      </c>
      <c r="W107" s="9"/>
    </row>
    <row r="108" ht="15.75" customHeight="1">
      <c r="A108" s="6">
        <v>46307.0</v>
      </c>
      <c r="B108" s="20" t="s">
        <v>39</v>
      </c>
      <c r="C108" s="9" t="s">
        <v>40</v>
      </c>
      <c r="D108" s="9" t="s">
        <v>27</v>
      </c>
      <c r="E108" s="10">
        <v>0.0</v>
      </c>
      <c r="F108" s="9">
        <f t="shared" si="1"/>
        <v>0</v>
      </c>
      <c r="G108" s="11">
        <v>0.0</v>
      </c>
      <c r="H108" s="9">
        <f t="shared" si="2"/>
        <v>0</v>
      </c>
      <c r="I108" s="11">
        <v>0.0</v>
      </c>
      <c r="J108" s="9">
        <f t="shared" si="12"/>
        <v>0</v>
      </c>
      <c r="K108" s="11">
        <v>0.0</v>
      </c>
      <c r="L108" s="11">
        <v>0.0</v>
      </c>
      <c r="M108" s="14">
        <f t="shared" si="4"/>
        <v>0</v>
      </c>
      <c r="N108" s="11">
        <v>0.0</v>
      </c>
      <c r="O108" s="14">
        <f t="shared" si="5"/>
        <v>0</v>
      </c>
      <c r="P108" s="11">
        <v>0.0</v>
      </c>
      <c r="Q108" s="15">
        <v>0.0</v>
      </c>
      <c r="R108" s="9">
        <v>10.0</v>
      </c>
      <c r="S108" s="16">
        <f t="shared" si="6"/>
        <v>0</v>
      </c>
      <c r="T108" s="17">
        <f t="shared" si="7"/>
        <v>0</v>
      </c>
      <c r="U108" s="14">
        <f t="shared" si="8"/>
        <v>-10</v>
      </c>
      <c r="V108" s="9" t="str">
        <f t="shared" si="9"/>
        <v>Low Performance</v>
      </c>
      <c r="W108" s="9"/>
    </row>
    <row r="109" ht="15.75" customHeight="1">
      <c r="A109" s="6">
        <v>46307.0</v>
      </c>
      <c r="B109" s="7" t="s">
        <v>41</v>
      </c>
      <c r="C109" s="9" t="s">
        <v>40</v>
      </c>
      <c r="D109" s="9" t="s">
        <v>27</v>
      </c>
      <c r="E109" s="10">
        <v>0.0</v>
      </c>
      <c r="F109" s="9">
        <f t="shared" si="1"/>
        <v>0</v>
      </c>
      <c r="G109" s="11">
        <v>0.0</v>
      </c>
      <c r="H109" s="9">
        <f t="shared" si="2"/>
        <v>0</v>
      </c>
      <c r="I109" s="11">
        <v>0.0</v>
      </c>
      <c r="J109" s="9">
        <f t="shared" si="12"/>
        <v>0</v>
      </c>
      <c r="K109" s="11">
        <v>0.0</v>
      </c>
      <c r="L109" s="11">
        <v>0.0</v>
      </c>
      <c r="M109" s="14">
        <f t="shared" si="4"/>
        <v>0</v>
      </c>
      <c r="N109" s="11">
        <v>0.0</v>
      </c>
      <c r="O109" s="14">
        <f t="shared" si="5"/>
        <v>0</v>
      </c>
      <c r="P109" s="11">
        <v>0.0</v>
      </c>
      <c r="Q109" s="15">
        <v>0.0</v>
      </c>
      <c r="R109" s="9">
        <v>10.0</v>
      </c>
      <c r="S109" s="16">
        <f t="shared" si="6"/>
        <v>0</v>
      </c>
      <c r="T109" s="17">
        <f t="shared" si="7"/>
        <v>0</v>
      </c>
      <c r="U109" s="14">
        <f t="shared" si="8"/>
        <v>-10</v>
      </c>
      <c r="V109" s="9" t="str">
        <f t="shared" si="9"/>
        <v>Low Performance</v>
      </c>
      <c r="W109" s="9"/>
    </row>
    <row r="110" ht="15.75" customHeight="1">
      <c r="A110" s="6">
        <v>46307.0</v>
      </c>
      <c r="B110" s="7" t="s">
        <v>42</v>
      </c>
      <c r="C110" s="9" t="s">
        <v>40</v>
      </c>
      <c r="D110" s="9" t="s">
        <v>27</v>
      </c>
      <c r="E110" s="10">
        <v>0.0</v>
      </c>
      <c r="F110" s="9">
        <f t="shared" si="1"/>
        <v>0</v>
      </c>
      <c r="G110" s="11">
        <v>0.0</v>
      </c>
      <c r="H110" s="9">
        <f t="shared" si="2"/>
        <v>0</v>
      </c>
      <c r="I110" s="11">
        <v>0.0</v>
      </c>
      <c r="J110" s="9">
        <f t="shared" si="12"/>
        <v>0</v>
      </c>
      <c r="K110" s="11">
        <v>0.0</v>
      </c>
      <c r="L110" s="11">
        <v>0.0</v>
      </c>
      <c r="M110" s="14">
        <f t="shared" si="4"/>
        <v>0</v>
      </c>
      <c r="N110" s="11">
        <v>0.0</v>
      </c>
      <c r="O110" s="14">
        <f t="shared" si="5"/>
        <v>0</v>
      </c>
      <c r="P110" s="11">
        <v>0.0</v>
      </c>
      <c r="Q110" s="15">
        <v>0.0</v>
      </c>
      <c r="R110" s="9">
        <v>10.0</v>
      </c>
      <c r="S110" s="16">
        <f t="shared" si="6"/>
        <v>0</v>
      </c>
      <c r="T110" s="17">
        <f t="shared" si="7"/>
        <v>0</v>
      </c>
      <c r="U110" s="14">
        <f t="shared" si="8"/>
        <v>-10</v>
      </c>
      <c r="V110" s="9" t="str">
        <f t="shared" si="9"/>
        <v>Low Performance</v>
      </c>
      <c r="W110" s="9"/>
    </row>
    <row r="111" ht="15.75" customHeight="1">
      <c r="A111" s="6">
        <v>46307.0</v>
      </c>
      <c r="B111" s="7" t="s">
        <v>43</v>
      </c>
      <c r="C111" s="9" t="s">
        <v>40</v>
      </c>
      <c r="D111" s="9" t="s">
        <v>27</v>
      </c>
      <c r="E111" s="10">
        <v>0.0</v>
      </c>
      <c r="F111" s="9">
        <f t="shared" si="1"/>
        <v>0</v>
      </c>
      <c r="G111" s="11">
        <v>0.0</v>
      </c>
      <c r="H111" s="9">
        <f t="shared" si="2"/>
        <v>0</v>
      </c>
      <c r="I111" s="11">
        <v>0.0</v>
      </c>
      <c r="J111" s="9">
        <f t="shared" si="12"/>
        <v>0</v>
      </c>
      <c r="K111" s="11">
        <v>0.0</v>
      </c>
      <c r="L111" s="11">
        <v>0.0</v>
      </c>
      <c r="M111" s="14">
        <f t="shared" si="4"/>
        <v>0</v>
      </c>
      <c r="N111" s="11">
        <v>0.0</v>
      </c>
      <c r="O111" s="14">
        <f t="shared" si="5"/>
        <v>0</v>
      </c>
      <c r="P111" s="11">
        <v>0.0</v>
      </c>
      <c r="Q111" s="15">
        <v>0.0</v>
      </c>
      <c r="R111" s="9">
        <v>10.0</v>
      </c>
      <c r="S111" s="16">
        <f t="shared" si="6"/>
        <v>0</v>
      </c>
      <c r="T111" s="17">
        <f t="shared" si="7"/>
        <v>0</v>
      </c>
      <c r="U111" s="14">
        <f t="shared" si="8"/>
        <v>-10</v>
      </c>
      <c r="V111" s="9" t="str">
        <f t="shared" si="9"/>
        <v>Low Performance</v>
      </c>
      <c r="W111" s="9"/>
    </row>
    <row r="112" ht="15.75" customHeight="1">
      <c r="A112" s="6">
        <v>46307.0</v>
      </c>
      <c r="B112" s="7" t="s">
        <v>45</v>
      </c>
      <c r="C112" s="18" t="s">
        <v>46</v>
      </c>
      <c r="D112" s="9" t="s">
        <v>27</v>
      </c>
      <c r="E112" s="10">
        <v>0.0</v>
      </c>
      <c r="F112" s="9">
        <f t="shared" si="1"/>
        <v>0</v>
      </c>
      <c r="G112" s="11">
        <v>0.0</v>
      </c>
      <c r="H112" s="9">
        <f t="shared" si="2"/>
        <v>0</v>
      </c>
      <c r="I112" s="11">
        <v>0.0</v>
      </c>
      <c r="J112" s="9">
        <f t="shared" si="12"/>
        <v>0</v>
      </c>
      <c r="K112" s="11">
        <v>0.0</v>
      </c>
      <c r="L112" s="11">
        <v>0.0</v>
      </c>
      <c r="M112" s="14">
        <f t="shared" si="4"/>
        <v>0</v>
      </c>
      <c r="N112" s="11">
        <v>0.0</v>
      </c>
      <c r="O112" s="14">
        <f t="shared" si="5"/>
        <v>0</v>
      </c>
      <c r="P112" s="11">
        <v>0.0</v>
      </c>
      <c r="Q112" s="15">
        <v>0.0</v>
      </c>
      <c r="R112" s="9">
        <v>10.0</v>
      </c>
      <c r="S112" s="16">
        <f t="shared" si="6"/>
        <v>0</v>
      </c>
      <c r="T112" s="17">
        <f t="shared" si="7"/>
        <v>0</v>
      </c>
      <c r="U112" s="14">
        <f t="shared" si="8"/>
        <v>-10</v>
      </c>
      <c r="V112" s="9" t="str">
        <f t="shared" si="9"/>
        <v>Low Performance</v>
      </c>
      <c r="W112" s="9"/>
    </row>
    <row r="113" ht="15.75" customHeight="1">
      <c r="A113" s="6">
        <v>46307.0</v>
      </c>
      <c r="B113" s="7" t="s">
        <v>49</v>
      </c>
      <c r="C113" s="18" t="s">
        <v>46</v>
      </c>
      <c r="D113" s="9" t="s">
        <v>27</v>
      </c>
      <c r="E113" s="10">
        <v>0.0</v>
      </c>
      <c r="F113" s="9">
        <f t="shared" si="1"/>
        <v>0</v>
      </c>
      <c r="G113" s="11">
        <v>0.0</v>
      </c>
      <c r="H113" s="9">
        <f t="shared" si="2"/>
        <v>0</v>
      </c>
      <c r="I113" s="11">
        <v>0.0</v>
      </c>
      <c r="J113" s="9">
        <f t="shared" si="12"/>
        <v>0</v>
      </c>
      <c r="K113" s="11">
        <v>0.0</v>
      </c>
      <c r="L113" s="11">
        <v>0.0</v>
      </c>
      <c r="M113" s="14">
        <f t="shared" si="4"/>
        <v>0</v>
      </c>
      <c r="N113" s="11">
        <v>0.0</v>
      </c>
      <c r="O113" s="14">
        <f t="shared" si="5"/>
        <v>0</v>
      </c>
      <c r="P113" s="11">
        <v>0.0</v>
      </c>
      <c r="Q113" s="15">
        <v>0.0</v>
      </c>
      <c r="R113" s="9">
        <v>10.0</v>
      </c>
      <c r="S113" s="16">
        <f t="shared" si="6"/>
        <v>0</v>
      </c>
      <c r="T113" s="17">
        <f t="shared" si="7"/>
        <v>0</v>
      </c>
      <c r="U113" s="14">
        <f t="shared" si="8"/>
        <v>-10</v>
      </c>
      <c r="V113" s="9" t="str">
        <f t="shared" si="9"/>
        <v>Low Performance</v>
      </c>
      <c r="W113" s="9"/>
    </row>
    <row r="114" ht="15.75" customHeight="1">
      <c r="A114" s="6">
        <v>46307.0</v>
      </c>
      <c r="B114" s="22" t="s">
        <v>50</v>
      </c>
      <c r="C114" s="23" t="s">
        <v>46</v>
      </c>
      <c r="D114" s="24" t="s">
        <v>27</v>
      </c>
      <c r="E114" s="10">
        <v>0.0</v>
      </c>
      <c r="F114" s="9">
        <f t="shared" si="1"/>
        <v>0</v>
      </c>
      <c r="G114" s="11">
        <v>0.0</v>
      </c>
      <c r="H114" s="9">
        <f t="shared" si="2"/>
        <v>0</v>
      </c>
      <c r="I114" s="11">
        <v>0.0</v>
      </c>
      <c r="J114" s="9">
        <f t="shared" si="12"/>
        <v>0</v>
      </c>
      <c r="K114" s="11">
        <v>0.0</v>
      </c>
      <c r="L114" s="11">
        <v>0.0</v>
      </c>
      <c r="M114" s="14">
        <f t="shared" si="4"/>
        <v>0</v>
      </c>
      <c r="N114" s="11">
        <v>0.0</v>
      </c>
      <c r="O114" s="14">
        <f t="shared" si="5"/>
        <v>0</v>
      </c>
      <c r="P114" s="11">
        <v>0.0</v>
      </c>
      <c r="Q114" s="15">
        <v>0.0</v>
      </c>
      <c r="R114" s="9">
        <v>10.0</v>
      </c>
      <c r="S114" s="16">
        <f t="shared" si="6"/>
        <v>0</v>
      </c>
      <c r="T114" s="17">
        <f t="shared" si="7"/>
        <v>0</v>
      </c>
      <c r="U114" s="14">
        <f t="shared" si="8"/>
        <v>-10</v>
      </c>
      <c r="V114" s="9" t="str">
        <f t="shared" si="9"/>
        <v>Low Performance</v>
      </c>
      <c r="W114" s="9"/>
    </row>
    <row r="115" ht="15.75" customHeight="1">
      <c r="A115" s="6">
        <v>46308.0</v>
      </c>
      <c r="B115" s="7" t="s">
        <v>28</v>
      </c>
      <c r="C115" s="9" t="s">
        <v>29</v>
      </c>
      <c r="D115" s="9" t="s">
        <v>27</v>
      </c>
      <c r="E115" s="10">
        <v>0.0</v>
      </c>
      <c r="F115" s="9">
        <f t="shared" si="1"/>
        <v>0</v>
      </c>
      <c r="G115" s="11">
        <v>0.0</v>
      </c>
      <c r="H115" s="9">
        <f t="shared" si="2"/>
        <v>0</v>
      </c>
      <c r="I115" s="11">
        <v>0.0</v>
      </c>
      <c r="J115" s="9">
        <f t="shared" si="12"/>
        <v>0</v>
      </c>
      <c r="K115" s="11">
        <v>0.0</v>
      </c>
      <c r="L115" s="11">
        <v>0.0</v>
      </c>
      <c r="M115" s="14">
        <f t="shared" si="4"/>
        <v>0</v>
      </c>
      <c r="N115" s="11">
        <v>0.0</v>
      </c>
      <c r="O115" s="14">
        <f t="shared" si="5"/>
        <v>0</v>
      </c>
      <c r="P115" s="11">
        <v>0.0</v>
      </c>
      <c r="Q115" s="15">
        <v>0.0</v>
      </c>
      <c r="R115" s="9">
        <v>10.0</v>
      </c>
      <c r="S115" s="16">
        <f t="shared" si="6"/>
        <v>0</v>
      </c>
      <c r="T115" s="17">
        <f t="shared" si="7"/>
        <v>0</v>
      </c>
      <c r="U115" s="14">
        <f t="shared" si="8"/>
        <v>-10</v>
      </c>
      <c r="V115" s="9" t="str">
        <f t="shared" si="9"/>
        <v>Low Performance</v>
      </c>
      <c r="W115" s="9"/>
    </row>
    <row r="116" ht="15.75" customHeight="1">
      <c r="A116" s="6">
        <v>46308.0</v>
      </c>
      <c r="B116" s="7" t="s">
        <v>36</v>
      </c>
      <c r="C116" s="9" t="s">
        <v>29</v>
      </c>
      <c r="D116" s="9" t="s">
        <v>27</v>
      </c>
      <c r="E116" s="10">
        <v>0.0</v>
      </c>
      <c r="F116" s="9">
        <f t="shared" si="1"/>
        <v>0</v>
      </c>
      <c r="G116" s="11">
        <v>0.0</v>
      </c>
      <c r="H116" s="9">
        <f t="shared" si="2"/>
        <v>0</v>
      </c>
      <c r="I116" s="11">
        <v>0.0</v>
      </c>
      <c r="J116" s="9">
        <f t="shared" si="12"/>
        <v>0</v>
      </c>
      <c r="K116" s="11">
        <v>0.0</v>
      </c>
      <c r="L116" s="11">
        <v>0.0</v>
      </c>
      <c r="M116" s="14">
        <f t="shared" si="4"/>
        <v>0</v>
      </c>
      <c r="N116" s="11">
        <v>0.0</v>
      </c>
      <c r="O116" s="14">
        <f t="shared" si="5"/>
        <v>0</v>
      </c>
      <c r="P116" s="11">
        <v>0.0</v>
      </c>
      <c r="Q116" s="15">
        <v>0.0</v>
      </c>
      <c r="R116" s="9">
        <v>10.0</v>
      </c>
      <c r="S116" s="16">
        <f t="shared" si="6"/>
        <v>0</v>
      </c>
      <c r="T116" s="17">
        <f t="shared" si="7"/>
        <v>0</v>
      </c>
      <c r="U116" s="14">
        <f t="shared" si="8"/>
        <v>-10</v>
      </c>
      <c r="V116" s="9" t="str">
        <f t="shared" si="9"/>
        <v>Low Performance</v>
      </c>
      <c r="W116" s="9"/>
    </row>
    <row r="117" ht="15.75" customHeight="1">
      <c r="A117" s="6">
        <v>46308.0</v>
      </c>
      <c r="B117" s="7" t="s">
        <v>37</v>
      </c>
      <c r="C117" s="9" t="s">
        <v>29</v>
      </c>
      <c r="D117" s="9" t="s">
        <v>27</v>
      </c>
      <c r="E117" s="10">
        <v>0.0</v>
      </c>
      <c r="F117" s="9">
        <f t="shared" si="1"/>
        <v>0</v>
      </c>
      <c r="G117" s="11">
        <v>0.0</v>
      </c>
      <c r="H117" s="9">
        <f t="shared" si="2"/>
        <v>0</v>
      </c>
      <c r="I117" s="11">
        <v>0.0</v>
      </c>
      <c r="J117" s="9">
        <f t="shared" si="12"/>
        <v>0</v>
      </c>
      <c r="K117" s="11">
        <v>0.0</v>
      </c>
      <c r="L117" s="11">
        <v>0.0</v>
      </c>
      <c r="M117" s="14">
        <f t="shared" si="4"/>
        <v>0</v>
      </c>
      <c r="N117" s="11">
        <v>0.0</v>
      </c>
      <c r="O117" s="14">
        <f t="shared" si="5"/>
        <v>0</v>
      </c>
      <c r="P117" s="11">
        <v>0.0</v>
      </c>
      <c r="Q117" s="15">
        <v>0.0</v>
      </c>
      <c r="R117" s="9">
        <v>10.0</v>
      </c>
      <c r="S117" s="16">
        <f t="shared" si="6"/>
        <v>0</v>
      </c>
      <c r="T117" s="17">
        <f t="shared" si="7"/>
        <v>0</v>
      </c>
      <c r="U117" s="14">
        <f t="shared" si="8"/>
        <v>-10</v>
      </c>
      <c r="V117" s="9" t="str">
        <f t="shared" si="9"/>
        <v>Low Performance</v>
      </c>
      <c r="W117" s="9"/>
    </row>
    <row r="118" ht="15.75" customHeight="1">
      <c r="A118" s="6">
        <v>46308.0</v>
      </c>
      <c r="B118" s="7" t="s">
        <v>38</v>
      </c>
      <c r="C118" s="9" t="s">
        <v>29</v>
      </c>
      <c r="D118" s="9" t="s">
        <v>27</v>
      </c>
      <c r="E118" s="10">
        <v>0.0</v>
      </c>
      <c r="F118" s="9">
        <f t="shared" si="1"/>
        <v>0</v>
      </c>
      <c r="G118" s="11">
        <v>0.0</v>
      </c>
      <c r="H118" s="9">
        <f t="shared" si="2"/>
        <v>0</v>
      </c>
      <c r="I118" s="11">
        <v>0.0</v>
      </c>
      <c r="J118" s="9">
        <f t="shared" si="12"/>
        <v>0</v>
      </c>
      <c r="K118" s="11">
        <v>0.0</v>
      </c>
      <c r="L118" s="11">
        <v>0.0</v>
      </c>
      <c r="M118" s="14">
        <f t="shared" si="4"/>
        <v>0</v>
      </c>
      <c r="N118" s="11">
        <v>0.0</v>
      </c>
      <c r="O118" s="14">
        <f t="shared" si="5"/>
        <v>0</v>
      </c>
      <c r="P118" s="11">
        <v>0.0</v>
      </c>
      <c r="Q118" s="15">
        <v>0.0</v>
      </c>
      <c r="R118" s="9">
        <v>10.0</v>
      </c>
      <c r="S118" s="16">
        <f t="shared" si="6"/>
        <v>0</v>
      </c>
      <c r="T118" s="17">
        <f t="shared" si="7"/>
        <v>0</v>
      </c>
      <c r="U118" s="14">
        <f t="shared" si="8"/>
        <v>-10</v>
      </c>
      <c r="V118" s="9" t="str">
        <f t="shared" si="9"/>
        <v>Low Performance</v>
      </c>
      <c r="W118" s="9"/>
    </row>
    <row r="119" ht="15.75" customHeight="1">
      <c r="A119" s="6">
        <v>46308.0</v>
      </c>
      <c r="B119" s="20" t="s">
        <v>39</v>
      </c>
      <c r="C119" s="9" t="s">
        <v>40</v>
      </c>
      <c r="D119" s="9" t="s">
        <v>27</v>
      </c>
      <c r="E119" s="10">
        <v>0.0</v>
      </c>
      <c r="F119" s="9">
        <f t="shared" si="1"/>
        <v>0</v>
      </c>
      <c r="G119" s="11">
        <v>0.0</v>
      </c>
      <c r="H119" s="9">
        <f t="shared" si="2"/>
        <v>0</v>
      </c>
      <c r="I119" s="11">
        <v>0.0</v>
      </c>
      <c r="J119" s="9">
        <f t="shared" si="12"/>
        <v>0</v>
      </c>
      <c r="K119" s="11">
        <v>0.0</v>
      </c>
      <c r="L119" s="11">
        <v>0.0</v>
      </c>
      <c r="M119" s="14">
        <f t="shared" si="4"/>
        <v>0</v>
      </c>
      <c r="N119" s="11">
        <v>0.0</v>
      </c>
      <c r="O119" s="14">
        <f t="shared" si="5"/>
        <v>0</v>
      </c>
      <c r="P119" s="11">
        <v>0.0</v>
      </c>
      <c r="Q119" s="15">
        <v>0.0</v>
      </c>
      <c r="R119" s="9">
        <v>10.0</v>
      </c>
      <c r="S119" s="16">
        <f t="shared" si="6"/>
        <v>0</v>
      </c>
      <c r="T119" s="17">
        <f t="shared" si="7"/>
        <v>0</v>
      </c>
      <c r="U119" s="14">
        <f t="shared" si="8"/>
        <v>-10</v>
      </c>
      <c r="V119" s="9" t="str">
        <f t="shared" si="9"/>
        <v>Low Performance</v>
      </c>
      <c r="W119" s="9"/>
    </row>
    <row r="120" ht="15.75" customHeight="1">
      <c r="A120" s="6">
        <v>46308.0</v>
      </c>
      <c r="B120" s="7" t="s">
        <v>41</v>
      </c>
      <c r="C120" s="9" t="s">
        <v>40</v>
      </c>
      <c r="D120" s="9" t="s">
        <v>27</v>
      </c>
      <c r="E120" s="10">
        <v>0.0</v>
      </c>
      <c r="F120" s="9">
        <f t="shared" si="1"/>
        <v>0</v>
      </c>
      <c r="G120" s="11">
        <v>0.0</v>
      </c>
      <c r="H120" s="9">
        <f t="shared" si="2"/>
        <v>0</v>
      </c>
      <c r="I120" s="11">
        <v>0.0</v>
      </c>
      <c r="J120" s="9">
        <f t="shared" si="12"/>
        <v>0</v>
      </c>
      <c r="K120" s="11">
        <v>0.0</v>
      </c>
      <c r="L120" s="11">
        <v>0.0</v>
      </c>
      <c r="M120" s="14">
        <f t="shared" si="4"/>
        <v>0</v>
      </c>
      <c r="N120" s="11">
        <v>0.0</v>
      </c>
      <c r="O120" s="14">
        <f t="shared" si="5"/>
        <v>0</v>
      </c>
      <c r="P120" s="11">
        <v>0.0</v>
      </c>
      <c r="Q120" s="15">
        <v>0.0</v>
      </c>
      <c r="R120" s="9">
        <v>10.0</v>
      </c>
      <c r="S120" s="16">
        <f t="shared" si="6"/>
        <v>0</v>
      </c>
      <c r="T120" s="17">
        <f t="shared" si="7"/>
        <v>0</v>
      </c>
      <c r="U120" s="14">
        <f t="shared" si="8"/>
        <v>-10</v>
      </c>
      <c r="V120" s="9" t="str">
        <f t="shared" si="9"/>
        <v>Low Performance</v>
      </c>
      <c r="W120" s="9"/>
    </row>
    <row r="121" ht="15.75" customHeight="1">
      <c r="A121" s="6">
        <v>46308.0</v>
      </c>
      <c r="B121" s="7" t="s">
        <v>42</v>
      </c>
      <c r="C121" s="9" t="s">
        <v>40</v>
      </c>
      <c r="D121" s="9" t="s">
        <v>27</v>
      </c>
      <c r="E121" s="10">
        <v>0.0</v>
      </c>
      <c r="F121" s="9">
        <f t="shared" si="1"/>
        <v>0</v>
      </c>
      <c r="G121" s="11">
        <v>0.0</v>
      </c>
      <c r="H121" s="9">
        <f t="shared" si="2"/>
        <v>0</v>
      </c>
      <c r="I121" s="11">
        <v>0.0</v>
      </c>
      <c r="J121" s="9">
        <f t="shared" si="12"/>
        <v>0</v>
      </c>
      <c r="K121" s="11">
        <v>0.0</v>
      </c>
      <c r="L121" s="11">
        <v>0.0</v>
      </c>
      <c r="M121" s="14">
        <f t="shared" si="4"/>
        <v>0</v>
      </c>
      <c r="N121" s="11">
        <v>0.0</v>
      </c>
      <c r="O121" s="14">
        <f t="shared" si="5"/>
        <v>0</v>
      </c>
      <c r="P121" s="11">
        <v>0.0</v>
      </c>
      <c r="Q121" s="15">
        <v>0.0</v>
      </c>
      <c r="R121" s="9">
        <v>10.0</v>
      </c>
      <c r="S121" s="16">
        <f t="shared" si="6"/>
        <v>0</v>
      </c>
      <c r="T121" s="17">
        <f t="shared" si="7"/>
        <v>0</v>
      </c>
      <c r="U121" s="14">
        <f t="shared" si="8"/>
        <v>-10</v>
      </c>
      <c r="V121" s="9" t="str">
        <f t="shared" si="9"/>
        <v>Low Performance</v>
      </c>
      <c r="W121" s="9"/>
    </row>
    <row r="122" ht="15.75" customHeight="1">
      <c r="A122" s="6">
        <v>46308.0</v>
      </c>
      <c r="B122" s="7" t="s">
        <v>43</v>
      </c>
      <c r="C122" s="9" t="s">
        <v>40</v>
      </c>
      <c r="D122" s="9" t="s">
        <v>27</v>
      </c>
      <c r="E122" s="10">
        <v>0.0</v>
      </c>
      <c r="F122" s="9">
        <f t="shared" si="1"/>
        <v>0</v>
      </c>
      <c r="G122" s="11">
        <v>0.0</v>
      </c>
      <c r="H122" s="9">
        <f t="shared" si="2"/>
        <v>0</v>
      </c>
      <c r="I122" s="11">
        <v>0.0</v>
      </c>
      <c r="J122" s="9">
        <f t="shared" si="12"/>
        <v>0</v>
      </c>
      <c r="K122" s="11">
        <v>0.0</v>
      </c>
      <c r="L122" s="11">
        <v>0.0</v>
      </c>
      <c r="M122" s="14">
        <f t="shared" si="4"/>
        <v>0</v>
      </c>
      <c r="N122" s="11">
        <v>0.0</v>
      </c>
      <c r="O122" s="14">
        <f t="shared" si="5"/>
        <v>0</v>
      </c>
      <c r="P122" s="11">
        <v>0.0</v>
      </c>
      <c r="Q122" s="15">
        <v>0.0</v>
      </c>
      <c r="R122" s="9">
        <v>10.0</v>
      </c>
      <c r="S122" s="16">
        <f t="shared" si="6"/>
        <v>0</v>
      </c>
      <c r="T122" s="17">
        <f t="shared" si="7"/>
        <v>0</v>
      </c>
      <c r="U122" s="14">
        <f t="shared" si="8"/>
        <v>-10</v>
      </c>
      <c r="V122" s="9" t="str">
        <f t="shared" si="9"/>
        <v>Low Performance</v>
      </c>
      <c r="W122" s="9"/>
    </row>
    <row r="123" ht="15.75" customHeight="1">
      <c r="A123" s="6">
        <v>46308.0</v>
      </c>
      <c r="B123" s="7" t="s">
        <v>45</v>
      </c>
      <c r="C123" s="18" t="s">
        <v>46</v>
      </c>
      <c r="D123" s="9" t="s">
        <v>27</v>
      </c>
      <c r="E123" s="10">
        <v>0.0</v>
      </c>
      <c r="F123" s="9">
        <f t="shared" si="1"/>
        <v>0</v>
      </c>
      <c r="G123" s="11">
        <v>0.0</v>
      </c>
      <c r="H123" s="9">
        <f t="shared" si="2"/>
        <v>0</v>
      </c>
      <c r="I123" s="11">
        <v>0.0</v>
      </c>
      <c r="J123" s="9">
        <f t="shared" si="12"/>
        <v>0</v>
      </c>
      <c r="K123" s="11">
        <v>0.0</v>
      </c>
      <c r="L123" s="11">
        <v>0.0</v>
      </c>
      <c r="M123" s="14">
        <f t="shared" si="4"/>
        <v>0</v>
      </c>
      <c r="N123" s="11">
        <v>0.0</v>
      </c>
      <c r="O123" s="14">
        <f t="shared" si="5"/>
        <v>0</v>
      </c>
      <c r="P123" s="11">
        <v>0.0</v>
      </c>
      <c r="Q123" s="15">
        <v>0.0</v>
      </c>
      <c r="R123" s="9">
        <v>10.0</v>
      </c>
      <c r="S123" s="16">
        <f t="shared" si="6"/>
        <v>0</v>
      </c>
      <c r="T123" s="17">
        <f t="shared" si="7"/>
        <v>0</v>
      </c>
      <c r="U123" s="14">
        <f t="shared" si="8"/>
        <v>-10</v>
      </c>
      <c r="V123" s="9" t="str">
        <f t="shared" si="9"/>
        <v>Low Performance</v>
      </c>
      <c r="W123" s="9"/>
    </row>
    <row r="124" ht="15.75" customHeight="1">
      <c r="A124" s="6">
        <v>46308.0</v>
      </c>
      <c r="B124" s="7" t="s">
        <v>49</v>
      </c>
      <c r="C124" s="18" t="s">
        <v>46</v>
      </c>
      <c r="D124" s="9" t="s">
        <v>27</v>
      </c>
      <c r="E124" s="10">
        <v>0.0</v>
      </c>
      <c r="F124" s="9">
        <f t="shared" si="1"/>
        <v>0</v>
      </c>
      <c r="G124" s="11">
        <v>0.0</v>
      </c>
      <c r="H124" s="9">
        <f t="shared" si="2"/>
        <v>0</v>
      </c>
      <c r="I124" s="11">
        <v>0.0</v>
      </c>
      <c r="J124" s="9">
        <f t="shared" si="12"/>
        <v>0</v>
      </c>
      <c r="K124" s="11">
        <v>0.0</v>
      </c>
      <c r="L124" s="11">
        <v>0.0</v>
      </c>
      <c r="M124" s="14">
        <f t="shared" si="4"/>
        <v>0</v>
      </c>
      <c r="N124" s="11">
        <v>0.0</v>
      </c>
      <c r="O124" s="14">
        <f t="shared" si="5"/>
        <v>0</v>
      </c>
      <c r="P124" s="11">
        <v>0.0</v>
      </c>
      <c r="Q124" s="15">
        <v>0.0</v>
      </c>
      <c r="R124" s="9">
        <v>10.0</v>
      </c>
      <c r="S124" s="16">
        <f t="shared" si="6"/>
        <v>0</v>
      </c>
      <c r="T124" s="17">
        <f t="shared" si="7"/>
        <v>0</v>
      </c>
      <c r="U124" s="14">
        <f t="shared" si="8"/>
        <v>-10</v>
      </c>
      <c r="V124" s="9" t="str">
        <f t="shared" si="9"/>
        <v>Low Performance</v>
      </c>
      <c r="W124" s="9"/>
    </row>
    <row r="125" ht="15.75" customHeight="1">
      <c r="A125" s="6">
        <v>46308.0</v>
      </c>
      <c r="B125" s="22" t="s">
        <v>50</v>
      </c>
      <c r="C125" s="23" t="s">
        <v>46</v>
      </c>
      <c r="D125" s="24" t="s">
        <v>27</v>
      </c>
      <c r="E125" s="10">
        <v>0.0</v>
      </c>
      <c r="F125" s="9">
        <f t="shared" si="1"/>
        <v>0</v>
      </c>
      <c r="G125" s="11">
        <v>0.0</v>
      </c>
      <c r="H125" s="9">
        <f t="shared" si="2"/>
        <v>0</v>
      </c>
      <c r="I125" s="11">
        <v>0.0</v>
      </c>
      <c r="J125" s="9">
        <f t="shared" si="12"/>
        <v>0</v>
      </c>
      <c r="K125" s="11">
        <v>0.0</v>
      </c>
      <c r="L125" s="11">
        <v>0.0</v>
      </c>
      <c r="M125" s="14">
        <f t="shared" si="4"/>
        <v>0</v>
      </c>
      <c r="N125" s="11">
        <v>0.0</v>
      </c>
      <c r="O125" s="14">
        <f t="shared" si="5"/>
        <v>0</v>
      </c>
      <c r="P125" s="11">
        <v>0.0</v>
      </c>
      <c r="Q125" s="15">
        <v>0.0</v>
      </c>
      <c r="R125" s="9">
        <v>10.0</v>
      </c>
      <c r="S125" s="16">
        <f t="shared" si="6"/>
        <v>0</v>
      </c>
      <c r="T125" s="17">
        <f t="shared" si="7"/>
        <v>0</v>
      </c>
      <c r="U125" s="14">
        <f t="shared" si="8"/>
        <v>-10</v>
      </c>
      <c r="V125" s="9" t="str">
        <f t="shared" si="9"/>
        <v>Low Performance</v>
      </c>
      <c r="W125" s="9"/>
    </row>
    <row r="126" ht="15.75" customHeight="1">
      <c r="A126" s="6">
        <v>46309.0</v>
      </c>
      <c r="B126" s="7" t="s">
        <v>28</v>
      </c>
      <c r="C126" s="9" t="s">
        <v>29</v>
      </c>
      <c r="D126" s="9" t="s">
        <v>27</v>
      </c>
      <c r="E126" s="10">
        <v>0.0</v>
      </c>
      <c r="F126" s="9">
        <f t="shared" si="1"/>
        <v>0</v>
      </c>
      <c r="G126" s="11">
        <v>0.0</v>
      </c>
      <c r="H126" s="9">
        <f t="shared" si="2"/>
        <v>0</v>
      </c>
      <c r="I126" s="11">
        <v>0.0</v>
      </c>
      <c r="J126" s="9">
        <f t="shared" si="12"/>
        <v>0</v>
      </c>
      <c r="K126" s="11">
        <v>0.0</v>
      </c>
      <c r="L126" s="11">
        <v>0.0</v>
      </c>
      <c r="M126" s="14">
        <f t="shared" si="4"/>
        <v>0</v>
      </c>
      <c r="N126" s="11">
        <v>0.0</v>
      </c>
      <c r="O126" s="14">
        <f t="shared" si="5"/>
        <v>0</v>
      </c>
      <c r="P126" s="11">
        <v>0.0</v>
      </c>
      <c r="Q126" s="15">
        <v>0.0</v>
      </c>
      <c r="R126" s="9">
        <v>10.0</v>
      </c>
      <c r="S126" s="16">
        <f t="shared" si="6"/>
        <v>0</v>
      </c>
      <c r="T126" s="17">
        <f t="shared" si="7"/>
        <v>0</v>
      </c>
      <c r="U126" s="14">
        <f t="shared" si="8"/>
        <v>-10</v>
      </c>
      <c r="V126" s="9" t="str">
        <f t="shared" si="9"/>
        <v>Low Performance</v>
      </c>
      <c r="W126" s="9"/>
    </row>
    <row r="127" ht="15.75" customHeight="1">
      <c r="A127" s="6">
        <v>46309.0</v>
      </c>
      <c r="B127" s="7" t="s">
        <v>36</v>
      </c>
      <c r="C127" s="9" t="s">
        <v>29</v>
      </c>
      <c r="D127" s="9" t="s">
        <v>27</v>
      </c>
      <c r="E127" s="10">
        <v>0.0</v>
      </c>
      <c r="F127" s="9">
        <f t="shared" si="1"/>
        <v>0</v>
      </c>
      <c r="G127" s="11">
        <v>0.0</v>
      </c>
      <c r="H127" s="9">
        <f t="shared" si="2"/>
        <v>0</v>
      </c>
      <c r="I127" s="11">
        <v>0.0</v>
      </c>
      <c r="J127" s="9">
        <f t="shared" si="12"/>
        <v>0</v>
      </c>
      <c r="K127" s="11">
        <v>0.0</v>
      </c>
      <c r="L127" s="11">
        <v>0.0</v>
      </c>
      <c r="M127" s="14">
        <f t="shared" si="4"/>
        <v>0</v>
      </c>
      <c r="N127" s="11">
        <v>0.0</v>
      </c>
      <c r="O127" s="14">
        <f t="shared" si="5"/>
        <v>0</v>
      </c>
      <c r="P127" s="11">
        <v>0.0</v>
      </c>
      <c r="Q127" s="15">
        <v>0.0</v>
      </c>
      <c r="R127" s="9">
        <v>10.0</v>
      </c>
      <c r="S127" s="16">
        <f t="shared" si="6"/>
        <v>0</v>
      </c>
      <c r="T127" s="17">
        <f t="shared" si="7"/>
        <v>0</v>
      </c>
      <c r="U127" s="14">
        <f t="shared" si="8"/>
        <v>-10</v>
      </c>
      <c r="V127" s="9" t="str">
        <f t="shared" si="9"/>
        <v>Low Performance</v>
      </c>
      <c r="W127" s="9"/>
    </row>
    <row r="128" ht="15.75" customHeight="1">
      <c r="A128" s="6">
        <v>46309.0</v>
      </c>
      <c r="B128" s="7" t="s">
        <v>37</v>
      </c>
      <c r="C128" s="9" t="s">
        <v>29</v>
      </c>
      <c r="D128" s="9" t="s">
        <v>27</v>
      </c>
      <c r="E128" s="10">
        <v>0.0</v>
      </c>
      <c r="F128" s="9">
        <f t="shared" si="1"/>
        <v>0</v>
      </c>
      <c r="G128" s="11">
        <v>0.0</v>
      </c>
      <c r="H128" s="9">
        <f t="shared" si="2"/>
        <v>0</v>
      </c>
      <c r="I128" s="11">
        <v>0.0</v>
      </c>
      <c r="J128" s="9">
        <f t="shared" si="12"/>
        <v>0</v>
      </c>
      <c r="K128" s="11">
        <v>0.0</v>
      </c>
      <c r="L128" s="11">
        <v>0.0</v>
      </c>
      <c r="M128" s="14">
        <f t="shared" si="4"/>
        <v>0</v>
      </c>
      <c r="N128" s="11">
        <v>0.0</v>
      </c>
      <c r="O128" s="14">
        <f t="shared" si="5"/>
        <v>0</v>
      </c>
      <c r="P128" s="11">
        <v>0.0</v>
      </c>
      <c r="Q128" s="15">
        <v>0.0</v>
      </c>
      <c r="R128" s="9">
        <v>10.0</v>
      </c>
      <c r="S128" s="16">
        <f t="shared" si="6"/>
        <v>0</v>
      </c>
      <c r="T128" s="17">
        <f t="shared" si="7"/>
        <v>0</v>
      </c>
      <c r="U128" s="14">
        <f t="shared" si="8"/>
        <v>-10</v>
      </c>
      <c r="V128" s="9" t="str">
        <f t="shared" si="9"/>
        <v>Low Performance</v>
      </c>
      <c r="W128" s="9"/>
    </row>
    <row r="129" ht="15.75" customHeight="1">
      <c r="A129" s="6">
        <v>46309.0</v>
      </c>
      <c r="B129" s="7" t="s">
        <v>38</v>
      </c>
      <c r="C129" s="9" t="s">
        <v>29</v>
      </c>
      <c r="D129" s="9" t="s">
        <v>27</v>
      </c>
      <c r="E129" s="10">
        <v>0.0</v>
      </c>
      <c r="F129" s="9">
        <f t="shared" si="1"/>
        <v>0</v>
      </c>
      <c r="G129" s="11">
        <v>0.0</v>
      </c>
      <c r="H129" s="9">
        <f t="shared" si="2"/>
        <v>0</v>
      </c>
      <c r="I129" s="11">
        <v>0.0</v>
      </c>
      <c r="J129" s="9">
        <f t="shared" si="12"/>
        <v>0</v>
      </c>
      <c r="K129" s="11">
        <v>0.0</v>
      </c>
      <c r="L129" s="11">
        <v>0.0</v>
      </c>
      <c r="M129" s="14">
        <f t="shared" si="4"/>
        <v>0</v>
      </c>
      <c r="N129" s="11">
        <v>0.0</v>
      </c>
      <c r="O129" s="14">
        <f t="shared" si="5"/>
        <v>0</v>
      </c>
      <c r="P129" s="11">
        <v>0.0</v>
      </c>
      <c r="Q129" s="15">
        <v>0.0</v>
      </c>
      <c r="R129" s="9">
        <v>10.0</v>
      </c>
      <c r="S129" s="16">
        <f t="shared" si="6"/>
        <v>0</v>
      </c>
      <c r="T129" s="17">
        <f t="shared" si="7"/>
        <v>0</v>
      </c>
      <c r="U129" s="14">
        <f t="shared" si="8"/>
        <v>-10</v>
      </c>
      <c r="V129" s="9" t="str">
        <f t="shared" si="9"/>
        <v>Low Performance</v>
      </c>
      <c r="W129" s="9"/>
    </row>
    <row r="130" ht="15.75" customHeight="1">
      <c r="A130" s="6">
        <v>46309.0</v>
      </c>
      <c r="B130" s="20" t="s">
        <v>39</v>
      </c>
      <c r="C130" s="9" t="s">
        <v>40</v>
      </c>
      <c r="D130" s="9" t="s">
        <v>27</v>
      </c>
      <c r="E130" s="10">
        <v>0.0</v>
      </c>
      <c r="F130" s="9">
        <f t="shared" si="1"/>
        <v>0</v>
      </c>
      <c r="G130" s="11">
        <v>0.0</v>
      </c>
      <c r="H130" s="9">
        <f t="shared" si="2"/>
        <v>0</v>
      </c>
      <c r="I130" s="11">
        <v>0.0</v>
      </c>
      <c r="J130" s="9">
        <f t="shared" si="12"/>
        <v>0</v>
      </c>
      <c r="K130" s="11">
        <v>0.0</v>
      </c>
      <c r="L130" s="11">
        <v>0.0</v>
      </c>
      <c r="M130" s="14">
        <f t="shared" si="4"/>
        <v>0</v>
      </c>
      <c r="N130" s="11">
        <v>0.0</v>
      </c>
      <c r="O130" s="14">
        <f t="shared" si="5"/>
        <v>0</v>
      </c>
      <c r="P130" s="11">
        <v>0.0</v>
      </c>
      <c r="Q130" s="15">
        <v>0.0</v>
      </c>
      <c r="R130" s="9">
        <v>10.0</v>
      </c>
      <c r="S130" s="16">
        <f t="shared" si="6"/>
        <v>0</v>
      </c>
      <c r="T130" s="17">
        <f t="shared" si="7"/>
        <v>0</v>
      </c>
      <c r="U130" s="14">
        <f t="shared" si="8"/>
        <v>-10</v>
      </c>
      <c r="V130" s="9" t="str">
        <f t="shared" si="9"/>
        <v>Low Performance</v>
      </c>
      <c r="W130" s="9"/>
    </row>
    <row r="131" ht="15.75" customHeight="1">
      <c r="A131" s="6">
        <v>46309.0</v>
      </c>
      <c r="B131" s="7" t="s">
        <v>41</v>
      </c>
      <c r="C131" s="9" t="s">
        <v>40</v>
      </c>
      <c r="D131" s="9" t="s">
        <v>27</v>
      </c>
      <c r="E131" s="10">
        <v>0.0</v>
      </c>
      <c r="F131" s="9">
        <f t="shared" si="1"/>
        <v>0</v>
      </c>
      <c r="G131" s="11">
        <v>0.0</v>
      </c>
      <c r="H131" s="9">
        <f t="shared" si="2"/>
        <v>0</v>
      </c>
      <c r="I131" s="11">
        <v>0.0</v>
      </c>
      <c r="J131" s="9">
        <f t="shared" si="12"/>
        <v>0</v>
      </c>
      <c r="K131" s="11">
        <v>0.0</v>
      </c>
      <c r="L131" s="11">
        <v>0.0</v>
      </c>
      <c r="M131" s="14">
        <f t="shared" si="4"/>
        <v>0</v>
      </c>
      <c r="N131" s="11">
        <v>0.0</v>
      </c>
      <c r="O131" s="14">
        <f t="shared" si="5"/>
        <v>0</v>
      </c>
      <c r="P131" s="11">
        <v>0.0</v>
      </c>
      <c r="Q131" s="15">
        <v>0.0</v>
      </c>
      <c r="R131" s="9">
        <v>10.0</v>
      </c>
      <c r="S131" s="16">
        <f t="shared" si="6"/>
        <v>0</v>
      </c>
      <c r="T131" s="17">
        <f t="shared" si="7"/>
        <v>0</v>
      </c>
      <c r="U131" s="14">
        <f t="shared" si="8"/>
        <v>-10</v>
      </c>
      <c r="V131" s="9" t="str">
        <f t="shared" si="9"/>
        <v>Low Performance</v>
      </c>
      <c r="W131" s="9"/>
    </row>
    <row r="132" ht="15.75" customHeight="1">
      <c r="A132" s="6">
        <v>46309.0</v>
      </c>
      <c r="B132" s="7" t="s">
        <v>42</v>
      </c>
      <c r="C132" s="9" t="s">
        <v>40</v>
      </c>
      <c r="D132" s="9" t="s">
        <v>27</v>
      </c>
      <c r="E132" s="10">
        <v>0.0</v>
      </c>
      <c r="F132" s="9">
        <f t="shared" si="1"/>
        <v>0</v>
      </c>
      <c r="G132" s="11">
        <v>0.0</v>
      </c>
      <c r="H132" s="9">
        <f t="shared" si="2"/>
        <v>0</v>
      </c>
      <c r="I132" s="11">
        <v>0.0</v>
      </c>
      <c r="J132" s="9">
        <f t="shared" si="12"/>
        <v>0</v>
      </c>
      <c r="K132" s="11">
        <v>0.0</v>
      </c>
      <c r="L132" s="11">
        <v>0.0</v>
      </c>
      <c r="M132" s="14">
        <f t="shared" si="4"/>
        <v>0</v>
      </c>
      <c r="N132" s="11">
        <v>0.0</v>
      </c>
      <c r="O132" s="14">
        <f t="shared" si="5"/>
        <v>0</v>
      </c>
      <c r="P132" s="11">
        <v>0.0</v>
      </c>
      <c r="Q132" s="15">
        <v>0.0</v>
      </c>
      <c r="R132" s="9">
        <v>10.0</v>
      </c>
      <c r="S132" s="16">
        <f t="shared" si="6"/>
        <v>0</v>
      </c>
      <c r="T132" s="17">
        <f t="shared" si="7"/>
        <v>0</v>
      </c>
      <c r="U132" s="14">
        <f t="shared" si="8"/>
        <v>-10</v>
      </c>
      <c r="V132" s="9" t="str">
        <f t="shared" si="9"/>
        <v>Low Performance</v>
      </c>
      <c r="W132" s="9"/>
    </row>
    <row r="133" ht="15.75" customHeight="1">
      <c r="A133" s="6">
        <v>46309.0</v>
      </c>
      <c r="B133" s="7" t="s">
        <v>43</v>
      </c>
      <c r="C133" s="9" t="s">
        <v>40</v>
      </c>
      <c r="D133" s="9" t="s">
        <v>27</v>
      </c>
      <c r="E133" s="10">
        <v>0.0</v>
      </c>
      <c r="F133" s="9">
        <f t="shared" si="1"/>
        <v>0</v>
      </c>
      <c r="G133" s="11">
        <v>0.0</v>
      </c>
      <c r="H133" s="9">
        <f t="shared" si="2"/>
        <v>0</v>
      </c>
      <c r="I133" s="11">
        <v>0.0</v>
      </c>
      <c r="J133" s="9">
        <f t="shared" si="12"/>
        <v>0</v>
      </c>
      <c r="K133" s="11">
        <v>0.0</v>
      </c>
      <c r="L133" s="11">
        <v>0.0</v>
      </c>
      <c r="M133" s="14">
        <f t="shared" si="4"/>
        <v>0</v>
      </c>
      <c r="N133" s="11">
        <v>0.0</v>
      </c>
      <c r="O133" s="14">
        <f t="shared" si="5"/>
        <v>0</v>
      </c>
      <c r="P133" s="11">
        <v>0.0</v>
      </c>
      <c r="Q133" s="15">
        <v>0.0</v>
      </c>
      <c r="R133" s="9">
        <v>10.0</v>
      </c>
      <c r="S133" s="16">
        <f t="shared" si="6"/>
        <v>0</v>
      </c>
      <c r="T133" s="17">
        <f t="shared" si="7"/>
        <v>0</v>
      </c>
      <c r="U133" s="14">
        <f t="shared" si="8"/>
        <v>-10</v>
      </c>
      <c r="V133" s="9" t="str">
        <f t="shared" si="9"/>
        <v>Low Performance</v>
      </c>
      <c r="W133" s="9"/>
    </row>
    <row r="134" ht="15.75" customHeight="1">
      <c r="A134" s="6">
        <v>46309.0</v>
      </c>
      <c r="B134" s="7" t="s">
        <v>45</v>
      </c>
      <c r="C134" s="18" t="s">
        <v>46</v>
      </c>
      <c r="D134" s="9" t="s">
        <v>27</v>
      </c>
      <c r="E134" s="10">
        <v>0.0</v>
      </c>
      <c r="F134" s="9">
        <f t="shared" si="1"/>
        <v>0</v>
      </c>
      <c r="G134" s="11">
        <v>0.0</v>
      </c>
      <c r="H134" s="9">
        <f t="shared" si="2"/>
        <v>0</v>
      </c>
      <c r="I134" s="11">
        <v>0.0</v>
      </c>
      <c r="J134" s="9">
        <f t="shared" si="12"/>
        <v>0</v>
      </c>
      <c r="K134" s="11">
        <v>0.0</v>
      </c>
      <c r="L134" s="11">
        <v>0.0</v>
      </c>
      <c r="M134" s="14">
        <f t="shared" si="4"/>
        <v>0</v>
      </c>
      <c r="N134" s="11">
        <v>0.0</v>
      </c>
      <c r="O134" s="14">
        <f t="shared" si="5"/>
        <v>0</v>
      </c>
      <c r="P134" s="11">
        <v>0.0</v>
      </c>
      <c r="Q134" s="15">
        <v>0.0</v>
      </c>
      <c r="R134" s="9">
        <v>10.0</v>
      </c>
      <c r="S134" s="16">
        <f t="shared" si="6"/>
        <v>0</v>
      </c>
      <c r="T134" s="17">
        <f t="shared" si="7"/>
        <v>0</v>
      </c>
      <c r="U134" s="14">
        <f t="shared" si="8"/>
        <v>-10</v>
      </c>
      <c r="V134" s="9" t="str">
        <f t="shared" si="9"/>
        <v>Low Performance</v>
      </c>
      <c r="W134" s="9"/>
    </row>
    <row r="135" ht="15.75" customHeight="1">
      <c r="A135" s="6">
        <v>46309.0</v>
      </c>
      <c r="B135" s="7" t="s">
        <v>49</v>
      </c>
      <c r="C135" s="18" t="s">
        <v>46</v>
      </c>
      <c r="D135" s="9" t="s">
        <v>27</v>
      </c>
      <c r="E135" s="10">
        <v>0.0</v>
      </c>
      <c r="F135" s="9">
        <f t="shared" si="1"/>
        <v>0</v>
      </c>
      <c r="G135" s="11">
        <v>0.0</v>
      </c>
      <c r="H135" s="9">
        <f t="shared" si="2"/>
        <v>0</v>
      </c>
      <c r="I135" s="11">
        <v>0.0</v>
      </c>
      <c r="J135" s="9">
        <f t="shared" si="12"/>
        <v>0</v>
      </c>
      <c r="K135" s="11">
        <v>0.0</v>
      </c>
      <c r="L135" s="11">
        <v>0.0</v>
      </c>
      <c r="M135" s="14">
        <f t="shared" si="4"/>
        <v>0</v>
      </c>
      <c r="N135" s="11">
        <v>0.0</v>
      </c>
      <c r="O135" s="14">
        <f t="shared" si="5"/>
        <v>0</v>
      </c>
      <c r="P135" s="11">
        <v>0.0</v>
      </c>
      <c r="Q135" s="15">
        <v>0.0</v>
      </c>
      <c r="R135" s="9">
        <v>10.0</v>
      </c>
      <c r="S135" s="16">
        <f t="shared" si="6"/>
        <v>0</v>
      </c>
      <c r="T135" s="17">
        <f t="shared" si="7"/>
        <v>0</v>
      </c>
      <c r="U135" s="14">
        <f t="shared" si="8"/>
        <v>-10</v>
      </c>
      <c r="V135" s="9" t="str">
        <f t="shared" si="9"/>
        <v>Low Performance</v>
      </c>
      <c r="W135" s="9"/>
    </row>
    <row r="136" ht="15.75" customHeight="1">
      <c r="A136" s="6">
        <v>46309.0</v>
      </c>
      <c r="B136" s="22" t="s">
        <v>50</v>
      </c>
      <c r="C136" s="23" t="s">
        <v>46</v>
      </c>
      <c r="D136" s="24" t="s">
        <v>27</v>
      </c>
      <c r="E136" s="10">
        <v>0.0</v>
      </c>
      <c r="F136" s="9">
        <f t="shared" si="1"/>
        <v>0</v>
      </c>
      <c r="G136" s="11">
        <v>0.0</v>
      </c>
      <c r="H136" s="9">
        <f t="shared" si="2"/>
        <v>0</v>
      </c>
      <c r="I136" s="11">
        <v>0.0</v>
      </c>
      <c r="J136" s="9">
        <f t="shared" si="12"/>
        <v>0</v>
      </c>
      <c r="K136" s="11">
        <v>0.0</v>
      </c>
      <c r="L136" s="11">
        <v>0.0</v>
      </c>
      <c r="M136" s="14">
        <f t="shared" si="4"/>
        <v>0</v>
      </c>
      <c r="N136" s="11">
        <v>0.0</v>
      </c>
      <c r="O136" s="14">
        <f t="shared" si="5"/>
        <v>0</v>
      </c>
      <c r="P136" s="11">
        <v>0.0</v>
      </c>
      <c r="Q136" s="15">
        <v>0.0</v>
      </c>
      <c r="R136" s="9">
        <v>10.0</v>
      </c>
      <c r="S136" s="16">
        <f t="shared" si="6"/>
        <v>0</v>
      </c>
      <c r="T136" s="17">
        <f t="shared" si="7"/>
        <v>0</v>
      </c>
      <c r="U136" s="14">
        <f t="shared" si="8"/>
        <v>-10</v>
      </c>
      <c r="V136" s="9" t="str">
        <f t="shared" si="9"/>
        <v>Low Performance</v>
      </c>
      <c r="W136" s="9"/>
    </row>
    <row r="137" ht="15.75" customHeight="1">
      <c r="A137" s="6">
        <v>46310.0</v>
      </c>
      <c r="B137" s="7" t="s">
        <v>28</v>
      </c>
      <c r="C137" s="9" t="s">
        <v>29</v>
      </c>
      <c r="D137" s="9" t="s">
        <v>27</v>
      </c>
      <c r="E137" s="10">
        <v>0.0</v>
      </c>
      <c r="F137" s="9">
        <f t="shared" si="1"/>
        <v>0</v>
      </c>
      <c r="G137" s="11">
        <v>0.0</v>
      </c>
      <c r="H137" s="9">
        <f t="shared" si="2"/>
        <v>0</v>
      </c>
      <c r="I137" s="11">
        <v>0.0</v>
      </c>
      <c r="J137" s="9">
        <f t="shared" si="12"/>
        <v>0</v>
      </c>
      <c r="K137" s="11">
        <v>0.0</v>
      </c>
      <c r="L137" s="11">
        <v>0.0</v>
      </c>
      <c r="M137" s="14">
        <f t="shared" si="4"/>
        <v>0</v>
      </c>
      <c r="N137" s="11">
        <v>0.0</v>
      </c>
      <c r="O137" s="14">
        <f t="shared" si="5"/>
        <v>0</v>
      </c>
      <c r="P137" s="11">
        <v>0.0</v>
      </c>
      <c r="Q137" s="15">
        <v>0.0</v>
      </c>
      <c r="R137" s="9">
        <v>10.0</v>
      </c>
      <c r="S137" s="16">
        <f t="shared" si="6"/>
        <v>0</v>
      </c>
      <c r="T137" s="17">
        <f t="shared" si="7"/>
        <v>0</v>
      </c>
      <c r="U137" s="14">
        <f t="shared" si="8"/>
        <v>-10</v>
      </c>
      <c r="V137" s="9" t="str">
        <f t="shared" si="9"/>
        <v>Low Performance</v>
      </c>
      <c r="W137" s="9"/>
    </row>
    <row r="138" ht="15.75" customHeight="1">
      <c r="A138" s="6">
        <v>46310.0</v>
      </c>
      <c r="B138" s="7" t="s">
        <v>36</v>
      </c>
      <c r="C138" s="9" t="s">
        <v>29</v>
      </c>
      <c r="D138" s="9" t="s">
        <v>27</v>
      </c>
      <c r="E138" s="10">
        <v>0.0</v>
      </c>
      <c r="F138" s="9">
        <f t="shared" si="1"/>
        <v>0</v>
      </c>
      <c r="G138" s="11">
        <v>0.0</v>
      </c>
      <c r="H138" s="9">
        <f t="shared" si="2"/>
        <v>0</v>
      </c>
      <c r="I138" s="11">
        <v>0.0</v>
      </c>
      <c r="J138" s="9">
        <f t="shared" si="12"/>
        <v>0</v>
      </c>
      <c r="K138" s="11">
        <v>0.0</v>
      </c>
      <c r="L138" s="11">
        <v>0.0</v>
      </c>
      <c r="M138" s="14">
        <f t="shared" si="4"/>
        <v>0</v>
      </c>
      <c r="N138" s="11">
        <v>0.0</v>
      </c>
      <c r="O138" s="14">
        <f t="shared" si="5"/>
        <v>0</v>
      </c>
      <c r="P138" s="11">
        <v>0.0</v>
      </c>
      <c r="Q138" s="15">
        <v>0.0</v>
      </c>
      <c r="R138" s="9">
        <v>10.0</v>
      </c>
      <c r="S138" s="16">
        <f t="shared" si="6"/>
        <v>0</v>
      </c>
      <c r="T138" s="17">
        <f t="shared" si="7"/>
        <v>0</v>
      </c>
      <c r="U138" s="14">
        <f t="shared" si="8"/>
        <v>-10</v>
      </c>
      <c r="V138" s="9" t="str">
        <f t="shared" si="9"/>
        <v>Low Performance</v>
      </c>
      <c r="W138" s="9"/>
    </row>
    <row r="139" ht="15.75" customHeight="1">
      <c r="A139" s="6">
        <v>46310.0</v>
      </c>
      <c r="B139" s="7" t="s">
        <v>37</v>
      </c>
      <c r="C139" s="9" t="s">
        <v>29</v>
      </c>
      <c r="D139" s="9" t="s">
        <v>27</v>
      </c>
      <c r="E139" s="10">
        <v>0.0</v>
      </c>
      <c r="F139" s="9">
        <f t="shared" si="1"/>
        <v>0</v>
      </c>
      <c r="G139" s="11">
        <v>0.0</v>
      </c>
      <c r="H139" s="9">
        <f t="shared" si="2"/>
        <v>0</v>
      </c>
      <c r="I139" s="11">
        <v>0.0</v>
      </c>
      <c r="J139" s="9">
        <f t="shared" si="12"/>
        <v>0</v>
      </c>
      <c r="K139" s="11">
        <v>0.0</v>
      </c>
      <c r="L139" s="11">
        <v>0.0</v>
      </c>
      <c r="M139" s="14">
        <f t="shared" si="4"/>
        <v>0</v>
      </c>
      <c r="N139" s="11">
        <v>0.0</v>
      </c>
      <c r="O139" s="14">
        <f t="shared" si="5"/>
        <v>0</v>
      </c>
      <c r="P139" s="11">
        <v>0.0</v>
      </c>
      <c r="Q139" s="15">
        <v>0.0</v>
      </c>
      <c r="R139" s="9">
        <v>10.0</v>
      </c>
      <c r="S139" s="16">
        <f t="shared" si="6"/>
        <v>0</v>
      </c>
      <c r="T139" s="17">
        <f t="shared" si="7"/>
        <v>0</v>
      </c>
      <c r="U139" s="14">
        <f t="shared" si="8"/>
        <v>-10</v>
      </c>
      <c r="V139" s="9" t="str">
        <f t="shared" si="9"/>
        <v>Low Performance</v>
      </c>
      <c r="W139" s="9"/>
    </row>
    <row r="140" ht="15.75" customHeight="1">
      <c r="A140" s="6">
        <v>46310.0</v>
      </c>
      <c r="B140" s="7" t="s">
        <v>38</v>
      </c>
      <c r="C140" s="9" t="s">
        <v>29</v>
      </c>
      <c r="D140" s="9" t="s">
        <v>27</v>
      </c>
      <c r="E140" s="10">
        <v>0.0</v>
      </c>
      <c r="F140" s="9">
        <f t="shared" si="1"/>
        <v>0</v>
      </c>
      <c r="G140" s="11">
        <v>0.0</v>
      </c>
      <c r="H140" s="9">
        <f t="shared" si="2"/>
        <v>0</v>
      </c>
      <c r="I140" s="11">
        <v>0.0</v>
      </c>
      <c r="J140" s="9">
        <f t="shared" si="12"/>
        <v>0</v>
      </c>
      <c r="K140" s="11">
        <v>0.0</v>
      </c>
      <c r="L140" s="11">
        <v>0.0</v>
      </c>
      <c r="M140" s="14">
        <f t="shared" si="4"/>
        <v>0</v>
      </c>
      <c r="N140" s="11">
        <v>0.0</v>
      </c>
      <c r="O140" s="14">
        <f t="shared" si="5"/>
        <v>0</v>
      </c>
      <c r="P140" s="11">
        <v>0.0</v>
      </c>
      <c r="Q140" s="15">
        <v>0.0</v>
      </c>
      <c r="R140" s="9">
        <v>10.0</v>
      </c>
      <c r="S140" s="16">
        <f t="shared" si="6"/>
        <v>0</v>
      </c>
      <c r="T140" s="17">
        <f t="shared" si="7"/>
        <v>0</v>
      </c>
      <c r="U140" s="14">
        <f t="shared" si="8"/>
        <v>-10</v>
      </c>
      <c r="V140" s="9" t="str">
        <f t="shared" si="9"/>
        <v>Low Performance</v>
      </c>
      <c r="W140" s="9"/>
    </row>
    <row r="141" ht="15.75" customHeight="1">
      <c r="A141" s="6">
        <v>46310.0</v>
      </c>
      <c r="B141" s="20" t="s">
        <v>39</v>
      </c>
      <c r="C141" s="9" t="s">
        <v>40</v>
      </c>
      <c r="D141" s="9" t="s">
        <v>27</v>
      </c>
      <c r="E141" s="10">
        <v>0.0</v>
      </c>
      <c r="F141" s="9">
        <f t="shared" si="1"/>
        <v>0</v>
      </c>
      <c r="G141" s="11">
        <v>0.0</v>
      </c>
      <c r="H141" s="9">
        <f t="shared" si="2"/>
        <v>0</v>
      </c>
      <c r="I141" s="11">
        <v>0.0</v>
      </c>
      <c r="J141" s="9">
        <f t="shared" si="12"/>
        <v>0</v>
      </c>
      <c r="K141" s="11">
        <v>0.0</v>
      </c>
      <c r="L141" s="11">
        <v>0.0</v>
      </c>
      <c r="M141" s="14">
        <f t="shared" si="4"/>
        <v>0</v>
      </c>
      <c r="N141" s="11">
        <v>0.0</v>
      </c>
      <c r="O141" s="14">
        <f t="shared" si="5"/>
        <v>0</v>
      </c>
      <c r="P141" s="11">
        <v>0.0</v>
      </c>
      <c r="Q141" s="15">
        <v>0.0</v>
      </c>
      <c r="R141" s="9">
        <v>10.0</v>
      </c>
      <c r="S141" s="16">
        <f t="shared" si="6"/>
        <v>0</v>
      </c>
      <c r="T141" s="17">
        <f t="shared" si="7"/>
        <v>0</v>
      </c>
      <c r="U141" s="14">
        <f t="shared" si="8"/>
        <v>-10</v>
      </c>
      <c r="V141" s="9" t="str">
        <f t="shared" si="9"/>
        <v>Low Performance</v>
      </c>
      <c r="W141" s="9"/>
    </row>
    <row r="142" ht="15.75" customHeight="1">
      <c r="A142" s="6">
        <v>46310.0</v>
      </c>
      <c r="B142" s="7" t="s">
        <v>41</v>
      </c>
      <c r="C142" s="9" t="s">
        <v>40</v>
      </c>
      <c r="D142" s="9" t="s">
        <v>27</v>
      </c>
      <c r="E142" s="10">
        <v>0.0</v>
      </c>
      <c r="F142" s="9">
        <f t="shared" si="1"/>
        <v>0</v>
      </c>
      <c r="G142" s="11">
        <v>0.0</v>
      </c>
      <c r="H142" s="9">
        <f t="shared" si="2"/>
        <v>0</v>
      </c>
      <c r="I142" s="11">
        <v>0.0</v>
      </c>
      <c r="J142" s="9">
        <f t="shared" si="12"/>
        <v>0</v>
      </c>
      <c r="K142" s="11">
        <v>0.0</v>
      </c>
      <c r="L142" s="11">
        <v>0.0</v>
      </c>
      <c r="M142" s="14">
        <f t="shared" si="4"/>
        <v>0</v>
      </c>
      <c r="N142" s="11">
        <v>0.0</v>
      </c>
      <c r="O142" s="14">
        <f t="shared" si="5"/>
        <v>0</v>
      </c>
      <c r="P142" s="11">
        <v>0.0</v>
      </c>
      <c r="Q142" s="15">
        <v>0.0</v>
      </c>
      <c r="R142" s="9">
        <v>10.0</v>
      </c>
      <c r="S142" s="16">
        <f t="shared" si="6"/>
        <v>0</v>
      </c>
      <c r="T142" s="17">
        <f t="shared" si="7"/>
        <v>0</v>
      </c>
      <c r="U142" s="14">
        <f t="shared" si="8"/>
        <v>-10</v>
      </c>
      <c r="V142" s="9" t="str">
        <f t="shared" si="9"/>
        <v>Low Performance</v>
      </c>
      <c r="W142" s="9"/>
    </row>
    <row r="143" ht="15.75" customHeight="1">
      <c r="A143" s="6">
        <v>46310.0</v>
      </c>
      <c r="B143" s="7" t="s">
        <v>42</v>
      </c>
      <c r="C143" s="9" t="s">
        <v>40</v>
      </c>
      <c r="D143" s="9" t="s">
        <v>27</v>
      </c>
      <c r="E143" s="10">
        <v>0.0</v>
      </c>
      <c r="F143" s="9">
        <f t="shared" si="1"/>
        <v>0</v>
      </c>
      <c r="G143" s="11">
        <v>0.0</v>
      </c>
      <c r="H143" s="9">
        <f t="shared" si="2"/>
        <v>0</v>
      </c>
      <c r="I143" s="11">
        <v>0.0</v>
      </c>
      <c r="J143" s="9">
        <f t="shared" si="12"/>
        <v>0</v>
      </c>
      <c r="K143" s="11">
        <v>0.0</v>
      </c>
      <c r="L143" s="11">
        <v>0.0</v>
      </c>
      <c r="M143" s="14">
        <f t="shared" si="4"/>
        <v>0</v>
      </c>
      <c r="N143" s="11">
        <v>0.0</v>
      </c>
      <c r="O143" s="14">
        <f t="shared" si="5"/>
        <v>0</v>
      </c>
      <c r="P143" s="11">
        <v>0.0</v>
      </c>
      <c r="Q143" s="15">
        <v>0.0</v>
      </c>
      <c r="R143" s="9">
        <v>10.0</v>
      </c>
      <c r="S143" s="16">
        <f t="shared" si="6"/>
        <v>0</v>
      </c>
      <c r="T143" s="17">
        <f t="shared" si="7"/>
        <v>0</v>
      </c>
      <c r="U143" s="14">
        <f t="shared" si="8"/>
        <v>-10</v>
      </c>
      <c r="V143" s="9" t="str">
        <f t="shared" si="9"/>
        <v>Low Performance</v>
      </c>
      <c r="W143" s="9"/>
    </row>
    <row r="144" ht="15.75" customHeight="1">
      <c r="A144" s="6">
        <v>46310.0</v>
      </c>
      <c r="B144" s="7" t="s">
        <v>43</v>
      </c>
      <c r="C144" s="9" t="s">
        <v>40</v>
      </c>
      <c r="D144" s="9" t="s">
        <v>27</v>
      </c>
      <c r="E144" s="10">
        <v>0.0</v>
      </c>
      <c r="F144" s="9">
        <f t="shared" si="1"/>
        <v>0</v>
      </c>
      <c r="G144" s="11">
        <v>0.0</v>
      </c>
      <c r="H144" s="9">
        <f t="shared" si="2"/>
        <v>0</v>
      </c>
      <c r="I144" s="11">
        <v>0.0</v>
      </c>
      <c r="J144" s="9">
        <f t="shared" si="12"/>
        <v>0</v>
      </c>
      <c r="K144" s="11">
        <v>0.0</v>
      </c>
      <c r="L144" s="11">
        <v>0.0</v>
      </c>
      <c r="M144" s="14">
        <f t="shared" si="4"/>
        <v>0</v>
      </c>
      <c r="N144" s="11">
        <v>0.0</v>
      </c>
      <c r="O144" s="14">
        <f t="shared" si="5"/>
        <v>0</v>
      </c>
      <c r="P144" s="11">
        <v>0.0</v>
      </c>
      <c r="Q144" s="15">
        <v>0.0</v>
      </c>
      <c r="R144" s="9">
        <v>10.0</v>
      </c>
      <c r="S144" s="16">
        <f t="shared" si="6"/>
        <v>0</v>
      </c>
      <c r="T144" s="17">
        <f t="shared" si="7"/>
        <v>0</v>
      </c>
      <c r="U144" s="14">
        <f t="shared" si="8"/>
        <v>-10</v>
      </c>
      <c r="V144" s="9" t="str">
        <f t="shared" si="9"/>
        <v>Low Performance</v>
      </c>
      <c r="W144" s="9"/>
    </row>
    <row r="145" ht="15.75" customHeight="1">
      <c r="A145" s="6">
        <v>46310.0</v>
      </c>
      <c r="B145" s="7" t="s">
        <v>45</v>
      </c>
      <c r="C145" s="18" t="s">
        <v>46</v>
      </c>
      <c r="D145" s="9" t="s">
        <v>27</v>
      </c>
      <c r="E145" s="10">
        <v>0.0</v>
      </c>
      <c r="F145" s="9">
        <f t="shared" si="1"/>
        <v>0</v>
      </c>
      <c r="G145" s="11">
        <v>0.0</v>
      </c>
      <c r="H145" s="9">
        <f t="shared" si="2"/>
        <v>0</v>
      </c>
      <c r="I145" s="11">
        <v>0.0</v>
      </c>
      <c r="J145" s="9">
        <f t="shared" si="12"/>
        <v>0</v>
      </c>
      <c r="K145" s="11">
        <v>0.0</v>
      </c>
      <c r="L145" s="11">
        <v>0.0</v>
      </c>
      <c r="M145" s="14">
        <f t="shared" si="4"/>
        <v>0</v>
      </c>
      <c r="N145" s="11">
        <v>0.0</v>
      </c>
      <c r="O145" s="14">
        <f t="shared" si="5"/>
        <v>0</v>
      </c>
      <c r="P145" s="11">
        <v>0.0</v>
      </c>
      <c r="Q145" s="15">
        <v>0.0</v>
      </c>
      <c r="R145" s="9">
        <v>10.0</v>
      </c>
      <c r="S145" s="16">
        <f t="shared" si="6"/>
        <v>0</v>
      </c>
      <c r="T145" s="17">
        <f t="shared" si="7"/>
        <v>0</v>
      </c>
      <c r="U145" s="14">
        <f t="shared" si="8"/>
        <v>-10</v>
      </c>
      <c r="V145" s="9" t="str">
        <f t="shared" si="9"/>
        <v>Low Performance</v>
      </c>
      <c r="W145" s="9"/>
    </row>
    <row r="146" ht="15.75" customHeight="1">
      <c r="A146" s="6">
        <v>46310.0</v>
      </c>
      <c r="B146" s="7" t="s">
        <v>49</v>
      </c>
      <c r="C146" s="18" t="s">
        <v>46</v>
      </c>
      <c r="D146" s="9" t="s">
        <v>27</v>
      </c>
      <c r="E146" s="10">
        <v>0.0</v>
      </c>
      <c r="F146" s="9">
        <f t="shared" si="1"/>
        <v>0</v>
      </c>
      <c r="G146" s="11">
        <v>0.0</v>
      </c>
      <c r="H146" s="9">
        <f t="shared" si="2"/>
        <v>0</v>
      </c>
      <c r="I146" s="11">
        <v>0.0</v>
      </c>
      <c r="J146" s="9">
        <f t="shared" si="12"/>
        <v>0</v>
      </c>
      <c r="K146" s="11">
        <v>0.0</v>
      </c>
      <c r="L146" s="11">
        <v>0.0</v>
      </c>
      <c r="M146" s="14">
        <f t="shared" si="4"/>
        <v>0</v>
      </c>
      <c r="N146" s="11">
        <v>0.0</v>
      </c>
      <c r="O146" s="14">
        <f t="shared" si="5"/>
        <v>0</v>
      </c>
      <c r="P146" s="11">
        <v>0.0</v>
      </c>
      <c r="Q146" s="15">
        <v>0.0</v>
      </c>
      <c r="R146" s="9">
        <v>10.0</v>
      </c>
      <c r="S146" s="16">
        <f t="shared" si="6"/>
        <v>0</v>
      </c>
      <c r="T146" s="17">
        <f t="shared" si="7"/>
        <v>0</v>
      </c>
      <c r="U146" s="14">
        <f t="shared" si="8"/>
        <v>-10</v>
      </c>
      <c r="V146" s="9" t="str">
        <f t="shared" si="9"/>
        <v>Low Performance</v>
      </c>
      <c r="W146" s="9"/>
    </row>
    <row r="147" ht="15.75" customHeight="1">
      <c r="A147" s="6">
        <v>46310.0</v>
      </c>
      <c r="B147" s="22" t="s">
        <v>50</v>
      </c>
      <c r="C147" s="23" t="s">
        <v>46</v>
      </c>
      <c r="D147" s="24" t="s">
        <v>27</v>
      </c>
      <c r="E147" s="10">
        <v>0.0</v>
      </c>
      <c r="F147" s="9">
        <f t="shared" si="1"/>
        <v>0</v>
      </c>
      <c r="G147" s="11">
        <v>0.0</v>
      </c>
      <c r="H147" s="9">
        <f t="shared" si="2"/>
        <v>0</v>
      </c>
      <c r="I147" s="11">
        <v>0.0</v>
      </c>
      <c r="J147" s="9">
        <f t="shared" si="12"/>
        <v>0</v>
      </c>
      <c r="K147" s="11">
        <v>0.0</v>
      </c>
      <c r="L147" s="11">
        <v>0.0</v>
      </c>
      <c r="M147" s="14">
        <f t="shared" si="4"/>
        <v>0</v>
      </c>
      <c r="N147" s="11">
        <v>0.0</v>
      </c>
      <c r="O147" s="14">
        <f t="shared" si="5"/>
        <v>0</v>
      </c>
      <c r="P147" s="11">
        <v>0.0</v>
      </c>
      <c r="Q147" s="15">
        <v>0.0</v>
      </c>
      <c r="R147" s="9">
        <v>10.0</v>
      </c>
      <c r="S147" s="16">
        <f t="shared" si="6"/>
        <v>0</v>
      </c>
      <c r="T147" s="17">
        <f t="shared" si="7"/>
        <v>0</v>
      </c>
      <c r="U147" s="14">
        <f t="shared" si="8"/>
        <v>-10</v>
      </c>
      <c r="V147" s="9" t="str">
        <f t="shared" si="9"/>
        <v>Low Performance</v>
      </c>
      <c r="W147" s="9"/>
    </row>
    <row r="148" ht="15.75" customHeight="1">
      <c r="A148" s="6">
        <v>46312.0</v>
      </c>
      <c r="B148" s="7" t="s">
        <v>28</v>
      </c>
      <c r="C148" s="9" t="s">
        <v>29</v>
      </c>
      <c r="D148" s="9" t="s">
        <v>27</v>
      </c>
      <c r="E148" s="10">
        <v>0.0</v>
      </c>
      <c r="F148" s="9">
        <f t="shared" si="1"/>
        <v>0</v>
      </c>
      <c r="G148" s="11">
        <v>0.0</v>
      </c>
      <c r="H148" s="9">
        <f t="shared" si="2"/>
        <v>0</v>
      </c>
      <c r="I148" s="11">
        <v>0.0</v>
      </c>
      <c r="J148" s="9">
        <f t="shared" si="12"/>
        <v>0</v>
      </c>
      <c r="K148" s="11">
        <v>0.0</v>
      </c>
      <c r="L148" s="11">
        <v>0.0</v>
      </c>
      <c r="M148" s="14">
        <f t="shared" si="4"/>
        <v>0</v>
      </c>
      <c r="N148" s="11">
        <v>0.0</v>
      </c>
      <c r="O148" s="14">
        <f t="shared" si="5"/>
        <v>0</v>
      </c>
      <c r="P148" s="11">
        <v>0.0</v>
      </c>
      <c r="Q148" s="15">
        <v>0.0</v>
      </c>
      <c r="R148" s="9">
        <v>10.0</v>
      </c>
      <c r="S148" s="16">
        <f t="shared" si="6"/>
        <v>0</v>
      </c>
      <c r="T148" s="17">
        <f t="shared" si="7"/>
        <v>0</v>
      </c>
      <c r="U148" s="14">
        <f t="shared" si="8"/>
        <v>-10</v>
      </c>
      <c r="V148" s="9" t="str">
        <f t="shared" si="9"/>
        <v>Low Performance</v>
      </c>
      <c r="W148" s="9"/>
    </row>
    <row r="149" ht="15.75" customHeight="1">
      <c r="A149" s="6">
        <v>46312.0</v>
      </c>
      <c r="B149" s="7" t="s">
        <v>36</v>
      </c>
      <c r="C149" s="9" t="s">
        <v>29</v>
      </c>
      <c r="D149" s="9" t="s">
        <v>27</v>
      </c>
      <c r="E149" s="10">
        <v>0.0</v>
      </c>
      <c r="F149" s="9">
        <f t="shared" si="1"/>
        <v>0</v>
      </c>
      <c r="G149" s="11">
        <v>0.0</v>
      </c>
      <c r="H149" s="9">
        <f t="shared" si="2"/>
        <v>0</v>
      </c>
      <c r="I149" s="11">
        <v>0.0</v>
      </c>
      <c r="J149" s="9">
        <f t="shared" si="12"/>
        <v>0</v>
      </c>
      <c r="K149" s="11">
        <v>0.0</v>
      </c>
      <c r="L149" s="11">
        <v>0.0</v>
      </c>
      <c r="M149" s="14">
        <f t="shared" si="4"/>
        <v>0</v>
      </c>
      <c r="N149" s="11">
        <v>0.0</v>
      </c>
      <c r="O149" s="14">
        <f t="shared" si="5"/>
        <v>0</v>
      </c>
      <c r="P149" s="11">
        <v>0.0</v>
      </c>
      <c r="Q149" s="15">
        <v>0.0</v>
      </c>
      <c r="R149" s="9">
        <v>10.0</v>
      </c>
      <c r="S149" s="16">
        <f t="shared" si="6"/>
        <v>0</v>
      </c>
      <c r="T149" s="17">
        <f t="shared" si="7"/>
        <v>0</v>
      </c>
      <c r="U149" s="14">
        <f t="shared" si="8"/>
        <v>-10</v>
      </c>
      <c r="V149" s="9" t="str">
        <f t="shared" si="9"/>
        <v>Low Performance</v>
      </c>
      <c r="W149" s="9"/>
    </row>
    <row r="150" ht="15.75" customHeight="1">
      <c r="A150" s="6">
        <v>46312.0</v>
      </c>
      <c r="B150" s="7" t="s">
        <v>37</v>
      </c>
      <c r="C150" s="9" t="s">
        <v>29</v>
      </c>
      <c r="D150" s="9" t="s">
        <v>27</v>
      </c>
      <c r="E150" s="10">
        <v>0.0</v>
      </c>
      <c r="F150" s="9">
        <f t="shared" si="1"/>
        <v>0</v>
      </c>
      <c r="G150" s="11">
        <v>0.0</v>
      </c>
      <c r="H150" s="9">
        <f t="shared" si="2"/>
        <v>0</v>
      </c>
      <c r="I150" s="11">
        <v>0.0</v>
      </c>
      <c r="J150" s="9">
        <f t="shared" si="12"/>
        <v>0</v>
      </c>
      <c r="K150" s="11">
        <v>0.0</v>
      </c>
      <c r="L150" s="11">
        <v>0.0</v>
      </c>
      <c r="M150" s="14">
        <f t="shared" si="4"/>
        <v>0</v>
      </c>
      <c r="N150" s="11">
        <v>0.0</v>
      </c>
      <c r="O150" s="14">
        <f t="shared" si="5"/>
        <v>0</v>
      </c>
      <c r="P150" s="11">
        <v>0.0</v>
      </c>
      <c r="Q150" s="15">
        <v>0.0</v>
      </c>
      <c r="R150" s="9">
        <v>10.0</v>
      </c>
      <c r="S150" s="16">
        <f t="shared" si="6"/>
        <v>0</v>
      </c>
      <c r="T150" s="17">
        <f t="shared" si="7"/>
        <v>0</v>
      </c>
      <c r="U150" s="14">
        <f t="shared" si="8"/>
        <v>-10</v>
      </c>
      <c r="V150" s="9" t="str">
        <f t="shared" si="9"/>
        <v>Low Performance</v>
      </c>
      <c r="W150" s="9"/>
    </row>
    <row r="151" ht="15.75" customHeight="1">
      <c r="A151" s="6">
        <v>46312.0</v>
      </c>
      <c r="B151" s="7" t="s">
        <v>38</v>
      </c>
      <c r="C151" s="9" t="s">
        <v>29</v>
      </c>
      <c r="D151" s="9" t="s">
        <v>27</v>
      </c>
      <c r="E151" s="10">
        <v>0.0</v>
      </c>
      <c r="F151" s="9">
        <f t="shared" si="1"/>
        <v>0</v>
      </c>
      <c r="G151" s="11">
        <v>0.0</v>
      </c>
      <c r="H151" s="9">
        <f t="shared" si="2"/>
        <v>0</v>
      </c>
      <c r="I151" s="11">
        <v>0.0</v>
      </c>
      <c r="J151" s="9">
        <f t="shared" si="12"/>
        <v>0</v>
      </c>
      <c r="K151" s="11">
        <v>0.0</v>
      </c>
      <c r="L151" s="11">
        <v>0.0</v>
      </c>
      <c r="M151" s="14">
        <f t="shared" si="4"/>
        <v>0</v>
      </c>
      <c r="N151" s="11">
        <v>0.0</v>
      </c>
      <c r="O151" s="14">
        <f t="shared" si="5"/>
        <v>0</v>
      </c>
      <c r="P151" s="11">
        <v>0.0</v>
      </c>
      <c r="Q151" s="15">
        <v>0.0</v>
      </c>
      <c r="R151" s="9">
        <v>10.0</v>
      </c>
      <c r="S151" s="16">
        <f t="shared" si="6"/>
        <v>0</v>
      </c>
      <c r="T151" s="17">
        <f t="shared" si="7"/>
        <v>0</v>
      </c>
      <c r="U151" s="14">
        <f t="shared" si="8"/>
        <v>-10</v>
      </c>
      <c r="V151" s="9" t="str">
        <f t="shared" si="9"/>
        <v>Low Performance</v>
      </c>
      <c r="W151" s="9"/>
    </row>
    <row r="152" ht="15.75" customHeight="1">
      <c r="A152" s="6">
        <v>46312.0</v>
      </c>
      <c r="B152" s="20" t="s">
        <v>39</v>
      </c>
      <c r="C152" s="9" t="s">
        <v>40</v>
      </c>
      <c r="D152" s="9" t="s">
        <v>27</v>
      </c>
      <c r="E152" s="10">
        <v>0.0</v>
      </c>
      <c r="F152" s="9">
        <f t="shared" si="1"/>
        <v>0</v>
      </c>
      <c r="G152" s="11">
        <v>0.0</v>
      </c>
      <c r="H152" s="9">
        <f t="shared" si="2"/>
        <v>0</v>
      </c>
      <c r="I152" s="11">
        <v>0.0</v>
      </c>
      <c r="J152" s="9">
        <f t="shared" si="12"/>
        <v>0</v>
      </c>
      <c r="K152" s="11">
        <v>0.0</v>
      </c>
      <c r="L152" s="11">
        <v>0.0</v>
      </c>
      <c r="M152" s="14">
        <f t="shared" si="4"/>
        <v>0</v>
      </c>
      <c r="N152" s="11">
        <v>0.0</v>
      </c>
      <c r="O152" s="14">
        <f t="shared" si="5"/>
        <v>0</v>
      </c>
      <c r="P152" s="11">
        <v>0.0</v>
      </c>
      <c r="Q152" s="15">
        <v>0.0</v>
      </c>
      <c r="R152" s="9">
        <v>10.0</v>
      </c>
      <c r="S152" s="16">
        <f t="shared" si="6"/>
        <v>0</v>
      </c>
      <c r="T152" s="17">
        <f t="shared" si="7"/>
        <v>0</v>
      </c>
      <c r="U152" s="14">
        <f t="shared" si="8"/>
        <v>-10</v>
      </c>
      <c r="V152" s="9" t="str">
        <f t="shared" si="9"/>
        <v>Low Performance</v>
      </c>
      <c r="W152" s="9"/>
    </row>
    <row r="153" ht="15.75" customHeight="1">
      <c r="A153" s="6">
        <v>46312.0</v>
      </c>
      <c r="B153" s="7" t="s">
        <v>41</v>
      </c>
      <c r="C153" s="9" t="s">
        <v>40</v>
      </c>
      <c r="D153" s="9" t="s">
        <v>27</v>
      </c>
      <c r="E153" s="10">
        <v>0.0</v>
      </c>
      <c r="F153" s="9">
        <f t="shared" si="1"/>
        <v>0</v>
      </c>
      <c r="G153" s="11">
        <v>0.0</v>
      </c>
      <c r="H153" s="9">
        <f t="shared" si="2"/>
        <v>0</v>
      </c>
      <c r="I153" s="11">
        <v>0.0</v>
      </c>
      <c r="J153" s="9">
        <f t="shared" si="12"/>
        <v>0</v>
      </c>
      <c r="K153" s="11">
        <v>0.0</v>
      </c>
      <c r="L153" s="11">
        <v>0.0</v>
      </c>
      <c r="M153" s="14">
        <f t="shared" si="4"/>
        <v>0</v>
      </c>
      <c r="N153" s="11">
        <v>0.0</v>
      </c>
      <c r="O153" s="14">
        <f t="shared" si="5"/>
        <v>0</v>
      </c>
      <c r="P153" s="11">
        <v>0.0</v>
      </c>
      <c r="Q153" s="15">
        <v>0.0</v>
      </c>
      <c r="R153" s="9">
        <v>10.0</v>
      </c>
      <c r="S153" s="16">
        <f t="shared" si="6"/>
        <v>0</v>
      </c>
      <c r="T153" s="17">
        <f t="shared" si="7"/>
        <v>0</v>
      </c>
      <c r="U153" s="14">
        <f t="shared" si="8"/>
        <v>-10</v>
      </c>
      <c r="V153" s="9" t="str">
        <f t="shared" si="9"/>
        <v>Low Performance</v>
      </c>
      <c r="W153" s="9"/>
    </row>
    <row r="154" ht="15.75" customHeight="1">
      <c r="A154" s="6">
        <v>46312.0</v>
      </c>
      <c r="B154" s="7" t="s">
        <v>42</v>
      </c>
      <c r="C154" s="9" t="s">
        <v>40</v>
      </c>
      <c r="D154" s="9" t="s">
        <v>27</v>
      </c>
      <c r="E154" s="10">
        <v>0.0</v>
      </c>
      <c r="F154" s="9">
        <f t="shared" si="1"/>
        <v>0</v>
      </c>
      <c r="G154" s="11">
        <v>0.0</v>
      </c>
      <c r="H154" s="9">
        <f t="shared" si="2"/>
        <v>0</v>
      </c>
      <c r="I154" s="11">
        <v>0.0</v>
      </c>
      <c r="J154" s="9">
        <f t="shared" si="12"/>
        <v>0</v>
      </c>
      <c r="K154" s="11">
        <v>0.0</v>
      </c>
      <c r="L154" s="11">
        <v>0.0</v>
      </c>
      <c r="M154" s="14">
        <f t="shared" si="4"/>
        <v>0</v>
      </c>
      <c r="N154" s="11">
        <v>0.0</v>
      </c>
      <c r="O154" s="14">
        <f t="shared" si="5"/>
        <v>0</v>
      </c>
      <c r="P154" s="11">
        <v>0.0</v>
      </c>
      <c r="Q154" s="15">
        <v>0.0</v>
      </c>
      <c r="R154" s="9">
        <v>10.0</v>
      </c>
      <c r="S154" s="16">
        <f t="shared" si="6"/>
        <v>0</v>
      </c>
      <c r="T154" s="17">
        <f t="shared" si="7"/>
        <v>0</v>
      </c>
      <c r="U154" s="14">
        <f t="shared" si="8"/>
        <v>-10</v>
      </c>
      <c r="V154" s="9" t="str">
        <f t="shared" si="9"/>
        <v>Low Performance</v>
      </c>
      <c r="W154" s="9"/>
    </row>
    <row r="155" ht="15.75" customHeight="1">
      <c r="A155" s="6">
        <v>46312.0</v>
      </c>
      <c r="B155" s="7" t="s">
        <v>43</v>
      </c>
      <c r="C155" s="9" t="s">
        <v>40</v>
      </c>
      <c r="D155" s="9" t="s">
        <v>27</v>
      </c>
      <c r="E155" s="10">
        <v>0.0</v>
      </c>
      <c r="F155" s="9">
        <f t="shared" si="1"/>
        <v>0</v>
      </c>
      <c r="G155" s="11">
        <v>0.0</v>
      </c>
      <c r="H155" s="9">
        <f t="shared" si="2"/>
        <v>0</v>
      </c>
      <c r="I155" s="11">
        <v>0.0</v>
      </c>
      <c r="J155" s="9">
        <f t="shared" si="12"/>
        <v>0</v>
      </c>
      <c r="K155" s="11">
        <v>0.0</v>
      </c>
      <c r="L155" s="11">
        <v>0.0</v>
      </c>
      <c r="M155" s="14">
        <f t="shared" si="4"/>
        <v>0</v>
      </c>
      <c r="N155" s="11">
        <v>0.0</v>
      </c>
      <c r="O155" s="14">
        <f t="shared" si="5"/>
        <v>0</v>
      </c>
      <c r="P155" s="11">
        <v>0.0</v>
      </c>
      <c r="Q155" s="15">
        <v>0.0</v>
      </c>
      <c r="R155" s="9">
        <v>10.0</v>
      </c>
      <c r="S155" s="16">
        <f t="shared" si="6"/>
        <v>0</v>
      </c>
      <c r="T155" s="17">
        <f t="shared" si="7"/>
        <v>0</v>
      </c>
      <c r="U155" s="14">
        <f t="shared" si="8"/>
        <v>-10</v>
      </c>
      <c r="V155" s="9" t="str">
        <f t="shared" si="9"/>
        <v>Low Performance</v>
      </c>
      <c r="W155" s="9"/>
    </row>
    <row r="156" ht="15.75" customHeight="1">
      <c r="A156" s="6">
        <v>46312.0</v>
      </c>
      <c r="B156" s="7" t="s">
        <v>45</v>
      </c>
      <c r="C156" s="18" t="s">
        <v>46</v>
      </c>
      <c r="D156" s="9" t="s">
        <v>27</v>
      </c>
      <c r="E156" s="10">
        <v>0.0</v>
      </c>
      <c r="F156" s="9">
        <f t="shared" si="1"/>
        <v>0</v>
      </c>
      <c r="G156" s="11">
        <v>0.0</v>
      </c>
      <c r="H156" s="9">
        <f t="shared" si="2"/>
        <v>0</v>
      </c>
      <c r="I156" s="11">
        <v>0.0</v>
      </c>
      <c r="J156" s="9">
        <f t="shared" si="12"/>
        <v>0</v>
      </c>
      <c r="K156" s="11">
        <v>0.0</v>
      </c>
      <c r="L156" s="11">
        <v>0.0</v>
      </c>
      <c r="M156" s="14">
        <f t="shared" si="4"/>
        <v>0</v>
      </c>
      <c r="N156" s="11">
        <v>0.0</v>
      </c>
      <c r="O156" s="14">
        <f t="shared" si="5"/>
        <v>0</v>
      </c>
      <c r="P156" s="11">
        <v>0.0</v>
      </c>
      <c r="Q156" s="15">
        <v>0.0</v>
      </c>
      <c r="R156" s="9">
        <v>10.0</v>
      </c>
      <c r="S156" s="16">
        <f t="shared" si="6"/>
        <v>0</v>
      </c>
      <c r="T156" s="17">
        <f t="shared" si="7"/>
        <v>0</v>
      </c>
      <c r="U156" s="14">
        <f t="shared" si="8"/>
        <v>-10</v>
      </c>
      <c r="V156" s="9" t="str">
        <f t="shared" si="9"/>
        <v>Low Performance</v>
      </c>
      <c r="W156" s="9"/>
    </row>
    <row r="157" ht="15.75" customHeight="1">
      <c r="A157" s="6">
        <v>46312.0</v>
      </c>
      <c r="B157" s="7" t="s">
        <v>49</v>
      </c>
      <c r="C157" s="18" t="s">
        <v>46</v>
      </c>
      <c r="D157" s="9" t="s">
        <v>27</v>
      </c>
      <c r="E157" s="10">
        <v>0.0</v>
      </c>
      <c r="F157" s="9">
        <f t="shared" si="1"/>
        <v>0</v>
      </c>
      <c r="G157" s="11">
        <v>0.0</v>
      </c>
      <c r="H157" s="9">
        <f t="shared" si="2"/>
        <v>0</v>
      </c>
      <c r="I157" s="11">
        <v>0.0</v>
      </c>
      <c r="J157" s="9">
        <f t="shared" si="12"/>
        <v>0</v>
      </c>
      <c r="K157" s="11">
        <v>0.0</v>
      </c>
      <c r="L157" s="11">
        <v>0.0</v>
      </c>
      <c r="M157" s="14">
        <f t="shared" si="4"/>
        <v>0</v>
      </c>
      <c r="N157" s="11">
        <v>0.0</v>
      </c>
      <c r="O157" s="14">
        <f t="shared" si="5"/>
        <v>0</v>
      </c>
      <c r="P157" s="11">
        <v>0.0</v>
      </c>
      <c r="Q157" s="15">
        <v>0.0</v>
      </c>
      <c r="R157" s="9">
        <v>10.0</v>
      </c>
      <c r="S157" s="16">
        <f t="shared" si="6"/>
        <v>0</v>
      </c>
      <c r="T157" s="17">
        <f t="shared" si="7"/>
        <v>0</v>
      </c>
      <c r="U157" s="14">
        <f t="shared" si="8"/>
        <v>-10</v>
      </c>
      <c r="V157" s="9" t="str">
        <f t="shared" si="9"/>
        <v>Low Performance</v>
      </c>
      <c r="W157" s="9"/>
    </row>
    <row r="158" ht="15.75" customHeight="1">
      <c r="A158" s="6">
        <v>46312.0</v>
      </c>
      <c r="B158" s="22" t="s">
        <v>50</v>
      </c>
      <c r="C158" s="23" t="s">
        <v>46</v>
      </c>
      <c r="D158" s="24" t="s">
        <v>27</v>
      </c>
      <c r="E158" s="10">
        <v>0.0</v>
      </c>
      <c r="F158" s="9">
        <f t="shared" si="1"/>
        <v>0</v>
      </c>
      <c r="G158" s="11">
        <v>0.0</v>
      </c>
      <c r="H158" s="9">
        <f t="shared" si="2"/>
        <v>0</v>
      </c>
      <c r="I158" s="11">
        <v>0.0</v>
      </c>
      <c r="J158" s="9">
        <f t="shared" si="12"/>
        <v>0</v>
      </c>
      <c r="K158" s="11">
        <v>0.0</v>
      </c>
      <c r="L158" s="11">
        <v>0.0</v>
      </c>
      <c r="M158" s="14">
        <f t="shared" si="4"/>
        <v>0</v>
      </c>
      <c r="N158" s="11">
        <v>0.0</v>
      </c>
      <c r="O158" s="14">
        <f t="shared" si="5"/>
        <v>0</v>
      </c>
      <c r="P158" s="11">
        <v>0.0</v>
      </c>
      <c r="Q158" s="15">
        <v>0.0</v>
      </c>
      <c r="R158" s="9">
        <v>10.0</v>
      </c>
      <c r="S158" s="16">
        <f t="shared" si="6"/>
        <v>0</v>
      </c>
      <c r="T158" s="17">
        <f t="shared" si="7"/>
        <v>0</v>
      </c>
      <c r="U158" s="14">
        <f t="shared" si="8"/>
        <v>-10</v>
      </c>
      <c r="V158" s="9" t="str">
        <f t="shared" si="9"/>
        <v>Low Performance</v>
      </c>
      <c r="W158" s="9"/>
    </row>
    <row r="159" ht="15.75" customHeight="1">
      <c r="A159" s="6">
        <v>46313.0</v>
      </c>
      <c r="B159" s="7" t="s">
        <v>28</v>
      </c>
      <c r="C159" s="9" t="s">
        <v>29</v>
      </c>
      <c r="D159" s="9" t="s">
        <v>27</v>
      </c>
      <c r="E159" s="10">
        <v>0.0</v>
      </c>
      <c r="F159" s="9">
        <f t="shared" si="1"/>
        <v>0</v>
      </c>
      <c r="G159" s="11">
        <v>0.0</v>
      </c>
      <c r="H159" s="9">
        <f t="shared" si="2"/>
        <v>0</v>
      </c>
      <c r="I159" s="11">
        <v>0.0</v>
      </c>
      <c r="J159" s="9">
        <f t="shared" si="12"/>
        <v>0</v>
      </c>
      <c r="K159" s="11">
        <v>0.0</v>
      </c>
      <c r="L159" s="11">
        <v>0.0</v>
      </c>
      <c r="M159" s="14">
        <f t="shared" si="4"/>
        <v>0</v>
      </c>
      <c r="N159" s="11">
        <v>0.0</v>
      </c>
      <c r="O159" s="14">
        <f t="shared" si="5"/>
        <v>0</v>
      </c>
      <c r="P159" s="11">
        <v>0.0</v>
      </c>
      <c r="Q159" s="15">
        <v>0.0</v>
      </c>
      <c r="R159" s="9">
        <v>10.0</v>
      </c>
      <c r="S159" s="16">
        <f t="shared" si="6"/>
        <v>0</v>
      </c>
      <c r="T159" s="17">
        <f t="shared" si="7"/>
        <v>0</v>
      </c>
      <c r="U159" s="14">
        <f t="shared" si="8"/>
        <v>-10</v>
      </c>
      <c r="V159" s="9" t="str">
        <f t="shared" si="9"/>
        <v>Low Performance</v>
      </c>
      <c r="W159" s="9"/>
    </row>
    <row r="160" ht="15.75" customHeight="1">
      <c r="A160" s="6">
        <v>46313.0</v>
      </c>
      <c r="B160" s="7" t="s">
        <v>36</v>
      </c>
      <c r="C160" s="9" t="s">
        <v>29</v>
      </c>
      <c r="D160" s="9" t="s">
        <v>27</v>
      </c>
      <c r="E160" s="10">
        <v>0.0</v>
      </c>
      <c r="F160" s="9">
        <f t="shared" si="1"/>
        <v>0</v>
      </c>
      <c r="G160" s="11">
        <v>0.0</v>
      </c>
      <c r="H160" s="9">
        <f t="shared" si="2"/>
        <v>0</v>
      </c>
      <c r="I160" s="11">
        <v>0.0</v>
      </c>
      <c r="J160" s="9">
        <f t="shared" si="12"/>
        <v>0</v>
      </c>
      <c r="K160" s="11">
        <v>0.0</v>
      </c>
      <c r="L160" s="11">
        <v>0.0</v>
      </c>
      <c r="M160" s="14">
        <f t="shared" si="4"/>
        <v>0</v>
      </c>
      <c r="N160" s="11">
        <v>0.0</v>
      </c>
      <c r="O160" s="14">
        <f t="shared" si="5"/>
        <v>0</v>
      </c>
      <c r="P160" s="11">
        <v>0.0</v>
      </c>
      <c r="Q160" s="15">
        <v>0.0</v>
      </c>
      <c r="R160" s="9">
        <v>10.0</v>
      </c>
      <c r="S160" s="16">
        <f t="shared" si="6"/>
        <v>0</v>
      </c>
      <c r="T160" s="17">
        <f t="shared" si="7"/>
        <v>0</v>
      </c>
      <c r="U160" s="14">
        <f t="shared" si="8"/>
        <v>-10</v>
      </c>
      <c r="V160" s="9" t="str">
        <f t="shared" si="9"/>
        <v>Low Performance</v>
      </c>
      <c r="W160" s="9"/>
    </row>
    <row r="161" ht="15.75" customHeight="1">
      <c r="A161" s="6">
        <v>46313.0</v>
      </c>
      <c r="B161" s="7" t="s">
        <v>37</v>
      </c>
      <c r="C161" s="9" t="s">
        <v>29</v>
      </c>
      <c r="D161" s="9" t="s">
        <v>27</v>
      </c>
      <c r="E161" s="10">
        <v>0.0</v>
      </c>
      <c r="F161" s="9">
        <f t="shared" si="1"/>
        <v>0</v>
      </c>
      <c r="G161" s="11">
        <v>0.0</v>
      </c>
      <c r="H161" s="9">
        <f t="shared" si="2"/>
        <v>0</v>
      </c>
      <c r="I161" s="11">
        <v>0.0</v>
      </c>
      <c r="J161" s="9">
        <f t="shared" si="12"/>
        <v>0</v>
      </c>
      <c r="K161" s="11">
        <v>0.0</v>
      </c>
      <c r="L161" s="11">
        <v>0.0</v>
      </c>
      <c r="M161" s="14">
        <f t="shared" si="4"/>
        <v>0</v>
      </c>
      <c r="N161" s="11">
        <v>0.0</v>
      </c>
      <c r="O161" s="14">
        <f t="shared" si="5"/>
        <v>0</v>
      </c>
      <c r="P161" s="11">
        <v>0.0</v>
      </c>
      <c r="Q161" s="15">
        <v>0.0</v>
      </c>
      <c r="R161" s="9">
        <v>10.0</v>
      </c>
      <c r="S161" s="16">
        <f t="shared" si="6"/>
        <v>0</v>
      </c>
      <c r="T161" s="17">
        <f t="shared" si="7"/>
        <v>0</v>
      </c>
      <c r="U161" s="14">
        <f t="shared" si="8"/>
        <v>-10</v>
      </c>
      <c r="V161" s="9" t="str">
        <f t="shared" si="9"/>
        <v>Low Performance</v>
      </c>
      <c r="W161" s="9"/>
    </row>
    <row r="162" ht="15.75" customHeight="1">
      <c r="A162" s="6">
        <v>46313.0</v>
      </c>
      <c r="B162" s="7" t="s">
        <v>38</v>
      </c>
      <c r="C162" s="9" t="s">
        <v>29</v>
      </c>
      <c r="D162" s="9" t="s">
        <v>27</v>
      </c>
      <c r="E162" s="10">
        <v>0.0</v>
      </c>
      <c r="F162" s="9">
        <f t="shared" si="1"/>
        <v>0</v>
      </c>
      <c r="G162" s="11">
        <v>0.0</v>
      </c>
      <c r="H162" s="9">
        <f t="shared" si="2"/>
        <v>0</v>
      </c>
      <c r="I162" s="11">
        <v>0.0</v>
      </c>
      <c r="J162" s="9">
        <f t="shared" si="12"/>
        <v>0</v>
      </c>
      <c r="K162" s="11">
        <v>0.0</v>
      </c>
      <c r="L162" s="11">
        <v>0.0</v>
      </c>
      <c r="M162" s="14">
        <f t="shared" si="4"/>
        <v>0</v>
      </c>
      <c r="N162" s="11">
        <v>0.0</v>
      </c>
      <c r="O162" s="14">
        <f t="shared" si="5"/>
        <v>0</v>
      </c>
      <c r="P162" s="11">
        <v>0.0</v>
      </c>
      <c r="Q162" s="15">
        <v>0.0</v>
      </c>
      <c r="R162" s="9">
        <v>10.0</v>
      </c>
      <c r="S162" s="16">
        <f t="shared" si="6"/>
        <v>0</v>
      </c>
      <c r="T162" s="17">
        <f t="shared" si="7"/>
        <v>0</v>
      </c>
      <c r="U162" s="14">
        <f t="shared" si="8"/>
        <v>-10</v>
      </c>
      <c r="V162" s="9" t="str">
        <f t="shared" si="9"/>
        <v>Low Performance</v>
      </c>
      <c r="W162" s="9"/>
    </row>
    <row r="163" ht="15.75" customHeight="1">
      <c r="A163" s="6">
        <v>46313.0</v>
      </c>
      <c r="B163" s="20" t="s">
        <v>39</v>
      </c>
      <c r="C163" s="9" t="s">
        <v>40</v>
      </c>
      <c r="D163" s="9" t="s">
        <v>27</v>
      </c>
      <c r="E163" s="10">
        <v>0.0</v>
      </c>
      <c r="F163" s="9">
        <f t="shared" si="1"/>
        <v>0</v>
      </c>
      <c r="G163" s="11">
        <v>0.0</v>
      </c>
      <c r="H163" s="9">
        <f t="shared" si="2"/>
        <v>0</v>
      </c>
      <c r="I163" s="11">
        <v>0.0</v>
      </c>
      <c r="J163" s="9">
        <f t="shared" si="12"/>
        <v>0</v>
      </c>
      <c r="K163" s="11">
        <v>0.0</v>
      </c>
      <c r="L163" s="11">
        <v>0.0</v>
      </c>
      <c r="M163" s="14">
        <f t="shared" si="4"/>
        <v>0</v>
      </c>
      <c r="N163" s="11">
        <v>0.0</v>
      </c>
      <c r="O163" s="14">
        <f t="shared" si="5"/>
        <v>0</v>
      </c>
      <c r="P163" s="11">
        <v>0.0</v>
      </c>
      <c r="Q163" s="15">
        <v>0.0</v>
      </c>
      <c r="R163" s="9">
        <v>10.0</v>
      </c>
      <c r="S163" s="16">
        <f t="shared" si="6"/>
        <v>0</v>
      </c>
      <c r="T163" s="17">
        <f t="shared" si="7"/>
        <v>0</v>
      </c>
      <c r="U163" s="14">
        <f t="shared" si="8"/>
        <v>-10</v>
      </c>
      <c r="V163" s="9" t="str">
        <f t="shared" si="9"/>
        <v>Low Performance</v>
      </c>
      <c r="W163" s="9"/>
    </row>
    <row r="164" ht="15.75" customHeight="1">
      <c r="A164" s="6">
        <v>46313.0</v>
      </c>
      <c r="B164" s="7" t="s">
        <v>41</v>
      </c>
      <c r="C164" s="9" t="s">
        <v>40</v>
      </c>
      <c r="D164" s="9" t="s">
        <v>27</v>
      </c>
      <c r="E164" s="10">
        <v>0.0</v>
      </c>
      <c r="F164" s="9">
        <f t="shared" si="1"/>
        <v>0</v>
      </c>
      <c r="G164" s="11">
        <v>0.0</v>
      </c>
      <c r="H164" s="9">
        <f t="shared" si="2"/>
        <v>0</v>
      </c>
      <c r="I164" s="11">
        <v>0.0</v>
      </c>
      <c r="J164" s="9">
        <f t="shared" si="12"/>
        <v>0</v>
      </c>
      <c r="K164" s="11">
        <v>0.0</v>
      </c>
      <c r="L164" s="11">
        <v>0.0</v>
      </c>
      <c r="M164" s="14">
        <f t="shared" si="4"/>
        <v>0</v>
      </c>
      <c r="N164" s="11">
        <v>0.0</v>
      </c>
      <c r="O164" s="14">
        <f t="shared" si="5"/>
        <v>0</v>
      </c>
      <c r="P164" s="11">
        <v>0.0</v>
      </c>
      <c r="Q164" s="15">
        <v>0.0</v>
      </c>
      <c r="R164" s="9">
        <v>10.0</v>
      </c>
      <c r="S164" s="16">
        <f t="shared" si="6"/>
        <v>0</v>
      </c>
      <c r="T164" s="17">
        <f t="shared" si="7"/>
        <v>0</v>
      </c>
      <c r="U164" s="14">
        <f t="shared" si="8"/>
        <v>-10</v>
      </c>
      <c r="V164" s="9" t="str">
        <f t="shared" si="9"/>
        <v>Low Performance</v>
      </c>
      <c r="W164" s="9"/>
    </row>
    <row r="165" ht="15.75" customHeight="1">
      <c r="A165" s="6">
        <v>46313.0</v>
      </c>
      <c r="B165" s="7" t="s">
        <v>42</v>
      </c>
      <c r="C165" s="9" t="s">
        <v>40</v>
      </c>
      <c r="D165" s="9" t="s">
        <v>27</v>
      </c>
      <c r="E165" s="10">
        <v>0.0</v>
      </c>
      <c r="F165" s="9">
        <f t="shared" si="1"/>
        <v>0</v>
      </c>
      <c r="G165" s="11">
        <v>0.0</v>
      </c>
      <c r="H165" s="9">
        <f t="shared" si="2"/>
        <v>0</v>
      </c>
      <c r="I165" s="11">
        <v>0.0</v>
      </c>
      <c r="J165" s="9">
        <f t="shared" si="12"/>
        <v>0</v>
      </c>
      <c r="K165" s="11">
        <v>0.0</v>
      </c>
      <c r="L165" s="11">
        <v>0.0</v>
      </c>
      <c r="M165" s="14">
        <f t="shared" si="4"/>
        <v>0</v>
      </c>
      <c r="N165" s="11">
        <v>0.0</v>
      </c>
      <c r="O165" s="14">
        <f t="shared" si="5"/>
        <v>0</v>
      </c>
      <c r="P165" s="11">
        <v>0.0</v>
      </c>
      <c r="Q165" s="15">
        <v>0.0</v>
      </c>
      <c r="R165" s="9">
        <v>10.0</v>
      </c>
      <c r="S165" s="16">
        <f t="shared" si="6"/>
        <v>0</v>
      </c>
      <c r="T165" s="17">
        <f t="shared" si="7"/>
        <v>0</v>
      </c>
      <c r="U165" s="14">
        <f t="shared" si="8"/>
        <v>-10</v>
      </c>
      <c r="V165" s="9" t="str">
        <f t="shared" si="9"/>
        <v>Low Performance</v>
      </c>
      <c r="W165" s="9"/>
    </row>
    <row r="166" ht="15.75" customHeight="1">
      <c r="A166" s="6">
        <v>46313.0</v>
      </c>
      <c r="B166" s="7" t="s">
        <v>43</v>
      </c>
      <c r="C166" s="9" t="s">
        <v>40</v>
      </c>
      <c r="D166" s="9" t="s">
        <v>27</v>
      </c>
      <c r="E166" s="10">
        <v>0.0</v>
      </c>
      <c r="F166" s="9">
        <f t="shared" si="1"/>
        <v>0</v>
      </c>
      <c r="G166" s="11">
        <v>0.0</v>
      </c>
      <c r="H166" s="9">
        <f t="shared" si="2"/>
        <v>0</v>
      </c>
      <c r="I166" s="11">
        <v>0.0</v>
      </c>
      <c r="J166" s="9">
        <f t="shared" si="12"/>
        <v>0</v>
      </c>
      <c r="K166" s="11">
        <v>0.0</v>
      </c>
      <c r="L166" s="11">
        <v>0.0</v>
      </c>
      <c r="M166" s="14">
        <f t="shared" si="4"/>
        <v>0</v>
      </c>
      <c r="N166" s="11">
        <v>0.0</v>
      </c>
      <c r="O166" s="14">
        <f t="shared" si="5"/>
        <v>0</v>
      </c>
      <c r="P166" s="11">
        <v>0.0</v>
      </c>
      <c r="Q166" s="15">
        <v>0.0</v>
      </c>
      <c r="R166" s="9">
        <v>10.0</v>
      </c>
      <c r="S166" s="16">
        <f t="shared" si="6"/>
        <v>0</v>
      </c>
      <c r="T166" s="17">
        <f t="shared" si="7"/>
        <v>0</v>
      </c>
      <c r="U166" s="14">
        <f t="shared" si="8"/>
        <v>-10</v>
      </c>
      <c r="V166" s="9" t="str">
        <f t="shared" si="9"/>
        <v>Low Performance</v>
      </c>
      <c r="W166" s="9"/>
    </row>
    <row r="167" ht="15.75" customHeight="1">
      <c r="A167" s="6">
        <v>46313.0</v>
      </c>
      <c r="B167" s="7" t="s">
        <v>45</v>
      </c>
      <c r="C167" s="18" t="s">
        <v>46</v>
      </c>
      <c r="D167" s="9" t="s">
        <v>27</v>
      </c>
      <c r="E167" s="10">
        <v>0.0</v>
      </c>
      <c r="F167" s="9">
        <f t="shared" si="1"/>
        <v>0</v>
      </c>
      <c r="G167" s="11">
        <v>0.0</v>
      </c>
      <c r="H167" s="9">
        <f t="shared" si="2"/>
        <v>0</v>
      </c>
      <c r="I167" s="11">
        <v>0.0</v>
      </c>
      <c r="J167" s="9">
        <f t="shared" si="12"/>
        <v>0</v>
      </c>
      <c r="K167" s="11">
        <v>0.0</v>
      </c>
      <c r="L167" s="11">
        <v>0.0</v>
      </c>
      <c r="M167" s="14">
        <f t="shared" si="4"/>
        <v>0</v>
      </c>
      <c r="N167" s="11">
        <v>0.0</v>
      </c>
      <c r="O167" s="14">
        <f t="shared" si="5"/>
        <v>0</v>
      </c>
      <c r="P167" s="11">
        <v>0.0</v>
      </c>
      <c r="Q167" s="15">
        <v>0.0</v>
      </c>
      <c r="R167" s="9">
        <v>10.0</v>
      </c>
      <c r="S167" s="16">
        <f t="shared" si="6"/>
        <v>0</v>
      </c>
      <c r="T167" s="17">
        <f t="shared" si="7"/>
        <v>0</v>
      </c>
      <c r="U167" s="14">
        <f t="shared" si="8"/>
        <v>-10</v>
      </c>
      <c r="V167" s="9" t="str">
        <f t="shared" si="9"/>
        <v>Low Performance</v>
      </c>
      <c r="W167" s="9"/>
    </row>
    <row r="168" ht="15.75" customHeight="1">
      <c r="A168" s="6">
        <v>46313.0</v>
      </c>
      <c r="B168" s="7" t="s">
        <v>49</v>
      </c>
      <c r="C168" s="18" t="s">
        <v>46</v>
      </c>
      <c r="D168" s="9" t="s">
        <v>27</v>
      </c>
      <c r="E168" s="10">
        <v>0.0</v>
      </c>
      <c r="F168" s="9">
        <f t="shared" si="1"/>
        <v>0</v>
      </c>
      <c r="G168" s="11">
        <v>0.0</v>
      </c>
      <c r="H168" s="9">
        <f t="shared" si="2"/>
        <v>0</v>
      </c>
      <c r="I168" s="11">
        <v>0.0</v>
      </c>
      <c r="J168" s="9">
        <f t="shared" si="12"/>
        <v>0</v>
      </c>
      <c r="K168" s="11">
        <v>0.0</v>
      </c>
      <c r="L168" s="11">
        <v>0.0</v>
      </c>
      <c r="M168" s="14">
        <f t="shared" si="4"/>
        <v>0</v>
      </c>
      <c r="N168" s="11">
        <v>0.0</v>
      </c>
      <c r="O168" s="14">
        <f t="shared" si="5"/>
        <v>0</v>
      </c>
      <c r="P168" s="11">
        <v>0.0</v>
      </c>
      <c r="Q168" s="15">
        <v>0.0</v>
      </c>
      <c r="R168" s="9">
        <v>10.0</v>
      </c>
      <c r="S168" s="16">
        <f t="shared" si="6"/>
        <v>0</v>
      </c>
      <c r="T168" s="17">
        <f t="shared" si="7"/>
        <v>0</v>
      </c>
      <c r="U168" s="14">
        <f t="shared" si="8"/>
        <v>-10</v>
      </c>
      <c r="V168" s="9" t="str">
        <f t="shared" si="9"/>
        <v>Low Performance</v>
      </c>
      <c r="W168" s="9"/>
    </row>
    <row r="169" ht="15.75" customHeight="1">
      <c r="A169" s="6">
        <v>46313.0</v>
      </c>
      <c r="B169" s="22" t="s">
        <v>50</v>
      </c>
      <c r="C169" s="23" t="s">
        <v>46</v>
      </c>
      <c r="D169" s="24" t="s">
        <v>27</v>
      </c>
      <c r="E169" s="10">
        <v>0.0</v>
      </c>
      <c r="F169" s="9">
        <f t="shared" si="1"/>
        <v>0</v>
      </c>
      <c r="G169" s="11">
        <v>0.0</v>
      </c>
      <c r="H169" s="9">
        <f t="shared" si="2"/>
        <v>0</v>
      </c>
      <c r="I169" s="11">
        <v>0.0</v>
      </c>
      <c r="J169" s="9">
        <f t="shared" si="12"/>
        <v>0</v>
      </c>
      <c r="K169" s="11">
        <v>0.0</v>
      </c>
      <c r="L169" s="11">
        <v>0.0</v>
      </c>
      <c r="M169" s="14">
        <f t="shared" si="4"/>
        <v>0</v>
      </c>
      <c r="N169" s="11">
        <v>0.0</v>
      </c>
      <c r="O169" s="14">
        <f t="shared" si="5"/>
        <v>0</v>
      </c>
      <c r="P169" s="11">
        <v>0.0</v>
      </c>
      <c r="Q169" s="15">
        <v>0.0</v>
      </c>
      <c r="R169" s="9">
        <v>10.0</v>
      </c>
      <c r="S169" s="16">
        <f t="shared" si="6"/>
        <v>0</v>
      </c>
      <c r="T169" s="17">
        <f t="shared" si="7"/>
        <v>0</v>
      </c>
      <c r="U169" s="14">
        <f t="shared" si="8"/>
        <v>-10</v>
      </c>
      <c r="V169" s="9" t="str">
        <f t="shared" si="9"/>
        <v>Low Performance</v>
      </c>
      <c r="W169" s="9"/>
    </row>
    <row r="170" ht="15.75" customHeight="1">
      <c r="A170" s="6">
        <v>46314.0</v>
      </c>
      <c r="B170" s="7" t="s">
        <v>28</v>
      </c>
      <c r="C170" s="9" t="s">
        <v>29</v>
      </c>
      <c r="D170" s="9" t="s">
        <v>27</v>
      </c>
      <c r="E170" s="10">
        <v>0.0</v>
      </c>
      <c r="F170" s="9">
        <f t="shared" si="1"/>
        <v>0</v>
      </c>
      <c r="G170" s="11">
        <v>0.0</v>
      </c>
      <c r="H170" s="9">
        <f t="shared" si="2"/>
        <v>0</v>
      </c>
      <c r="I170" s="11">
        <v>0.0</v>
      </c>
      <c r="J170" s="9">
        <f t="shared" si="12"/>
        <v>0</v>
      </c>
      <c r="K170" s="11">
        <v>0.0</v>
      </c>
      <c r="L170" s="11">
        <v>0.0</v>
      </c>
      <c r="M170" s="14">
        <f t="shared" si="4"/>
        <v>0</v>
      </c>
      <c r="N170" s="11">
        <v>0.0</v>
      </c>
      <c r="O170" s="14">
        <f t="shared" si="5"/>
        <v>0</v>
      </c>
      <c r="P170" s="11">
        <v>0.0</v>
      </c>
      <c r="Q170" s="15">
        <v>0.0</v>
      </c>
      <c r="R170" s="9">
        <v>10.0</v>
      </c>
      <c r="S170" s="16">
        <f t="shared" si="6"/>
        <v>0</v>
      </c>
      <c r="T170" s="17">
        <f t="shared" si="7"/>
        <v>0</v>
      </c>
      <c r="U170" s="14">
        <f t="shared" si="8"/>
        <v>-10</v>
      </c>
      <c r="V170" s="9" t="str">
        <f t="shared" si="9"/>
        <v>Low Performance</v>
      </c>
      <c r="W170" s="9"/>
    </row>
    <row r="171" ht="15.75" customHeight="1">
      <c r="A171" s="6">
        <v>46314.0</v>
      </c>
      <c r="B171" s="7" t="s">
        <v>36</v>
      </c>
      <c r="C171" s="9" t="s">
        <v>29</v>
      </c>
      <c r="D171" s="9" t="s">
        <v>27</v>
      </c>
      <c r="E171" s="10">
        <v>0.0</v>
      </c>
      <c r="F171" s="9">
        <f t="shared" si="1"/>
        <v>0</v>
      </c>
      <c r="G171" s="11">
        <v>0.0</v>
      </c>
      <c r="H171" s="9">
        <f t="shared" si="2"/>
        <v>0</v>
      </c>
      <c r="I171" s="11">
        <v>0.0</v>
      </c>
      <c r="J171" s="9">
        <f t="shared" si="12"/>
        <v>0</v>
      </c>
      <c r="K171" s="11">
        <v>0.0</v>
      </c>
      <c r="L171" s="11">
        <v>0.0</v>
      </c>
      <c r="M171" s="14">
        <f t="shared" si="4"/>
        <v>0</v>
      </c>
      <c r="N171" s="11">
        <v>0.0</v>
      </c>
      <c r="O171" s="14">
        <f t="shared" si="5"/>
        <v>0</v>
      </c>
      <c r="P171" s="11">
        <v>0.0</v>
      </c>
      <c r="Q171" s="15">
        <v>0.0</v>
      </c>
      <c r="R171" s="9">
        <v>10.0</v>
      </c>
      <c r="S171" s="16">
        <f t="shared" si="6"/>
        <v>0</v>
      </c>
      <c r="T171" s="17">
        <f t="shared" si="7"/>
        <v>0</v>
      </c>
      <c r="U171" s="14">
        <f t="shared" si="8"/>
        <v>-10</v>
      </c>
      <c r="V171" s="9" t="str">
        <f t="shared" si="9"/>
        <v>Low Performance</v>
      </c>
      <c r="W171" s="9"/>
    </row>
    <row r="172" ht="15.75" customHeight="1">
      <c r="A172" s="6">
        <v>46314.0</v>
      </c>
      <c r="B172" s="7" t="s">
        <v>37</v>
      </c>
      <c r="C172" s="9" t="s">
        <v>29</v>
      </c>
      <c r="D172" s="9" t="s">
        <v>27</v>
      </c>
      <c r="E172" s="10">
        <v>0.0</v>
      </c>
      <c r="F172" s="9">
        <f t="shared" si="1"/>
        <v>0</v>
      </c>
      <c r="G172" s="11">
        <v>0.0</v>
      </c>
      <c r="H172" s="9">
        <f t="shared" si="2"/>
        <v>0</v>
      </c>
      <c r="I172" s="11">
        <v>0.0</v>
      </c>
      <c r="J172" s="9">
        <f t="shared" si="12"/>
        <v>0</v>
      </c>
      <c r="K172" s="11">
        <v>0.0</v>
      </c>
      <c r="L172" s="11">
        <v>0.0</v>
      </c>
      <c r="M172" s="14">
        <f t="shared" si="4"/>
        <v>0</v>
      </c>
      <c r="N172" s="11">
        <v>0.0</v>
      </c>
      <c r="O172" s="14">
        <f t="shared" si="5"/>
        <v>0</v>
      </c>
      <c r="P172" s="11">
        <v>0.0</v>
      </c>
      <c r="Q172" s="15">
        <v>0.0</v>
      </c>
      <c r="R172" s="9">
        <v>10.0</v>
      </c>
      <c r="S172" s="16">
        <f t="shared" si="6"/>
        <v>0</v>
      </c>
      <c r="T172" s="17">
        <f t="shared" si="7"/>
        <v>0</v>
      </c>
      <c r="U172" s="14">
        <f t="shared" si="8"/>
        <v>-10</v>
      </c>
      <c r="V172" s="9" t="str">
        <f t="shared" si="9"/>
        <v>Low Performance</v>
      </c>
      <c r="W172" s="9"/>
    </row>
    <row r="173" ht="15.75" customHeight="1">
      <c r="A173" s="6">
        <v>46314.0</v>
      </c>
      <c r="B173" s="7" t="s">
        <v>38</v>
      </c>
      <c r="C173" s="9" t="s">
        <v>29</v>
      </c>
      <c r="D173" s="9" t="s">
        <v>27</v>
      </c>
      <c r="E173" s="10">
        <v>0.0</v>
      </c>
      <c r="F173" s="9">
        <f t="shared" si="1"/>
        <v>0</v>
      </c>
      <c r="G173" s="11">
        <v>0.0</v>
      </c>
      <c r="H173" s="9">
        <f t="shared" si="2"/>
        <v>0</v>
      </c>
      <c r="I173" s="11">
        <v>0.0</v>
      </c>
      <c r="J173" s="9">
        <f t="shared" si="12"/>
        <v>0</v>
      </c>
      <c r="K173" s="11">
        <v>0.0</v>
      </c>
      <c r="L173" s="11">
        <v>0.0</v>
      </c>
      <c r="M173" s="14">
        <f t="shared" si="4"/>
        <v>0</v>
      </c>
      <c r="N173" s="11">
        <v>0.0</v>
      </c>
      <c r="O173" s="14">
        <f t="shared" si="5"/>
        <v>0</v>
      </c>
      <c r="P173" s="11">
        <v>0.0</v>
      </c>
      <c r="Q173" s="15">
        <v>0.0</v>
      </c>
      <c r="R173" s="9">
        <v>10.0</v>
      </c>
      <c r="S173" s="16">
        <f t="shared" si="6"/>
        <v>0</v>
      </c>
      <c r="T173" s="17">
        <f t="shared" si="7"/>
        <v>0</v>
      </c>
      <c r="U173" s="14">
        <f t="shared" si="8"/>
        <v>-10</v>
      </c>
      <c r="V173" s="9" t="str">
        <f t="shared" si="9"/>
        <v>Low Performance</v>
      </c>
      <c r="W173" s="9"/>
    </row>
    <row r="174" ht="15.75" customHeight="1">
      <c r="A174" s="6">
        <v>46314.0</v>
      </c>
      <c r="B174" s="20" t="s">
        <v>39</v>
      </c>
      <c r="C174" s="9" t="s">
        <v>40</v>
      </c>
      <c r="D174" s="9" t="s">
        <v>27</v>
      </c>
      <c r="E174" s="10">
        <v>0.0</v>
      </c>
      <c r="F174" s="9">
        <f t="shared" si="1"/>
        <v>0</v>
      </c>
      <c r="G174" s="11">
        <v>0.0</v>
      </c>
      <c r="H174" s="9">
        <f t="shared" si="2"/>
        <v>0</v>
      </c>
      <c r="I174" s="11">
        <v>0.0</v>
      </c>
      <c r="J174" s="9">
        <f t="shared" si="12"/>
        <v>0</v>
      </c>
      <c r="K174" s="11">
        <v>0.0</v>
      </c>
      <c r="L174" s="11">
        <v>0.0</v>
      </c>
      <c r="M174" s="14">
        <f t="shared" si="4"/>
        <v>0</v>
      </c>
      <c r="N174" s="11">
        <v>0.0</v>
      </c>
      <c r="O174" s="14">
        <f t="shared" si="5"/>
        <v>0</v>
      </c>
      <c r="P174" s="11">
        <v>0.0</v>
      </c>
      <c r="Q174" s="15">
        <v>0.0</v>
      </c>
      <c r="R174" s="9">
        <v>10.0</v>
      </c>
      <c r="S174" s="16">
        <f t="shared" si="6"/>
        <v>0</v>
      </c>
      <c r="T174" s="17">
        <f t="shared" si="7"/>
        <v>0</v>
      </c>
      <c r="U174" s="14">
        <f t="shared" si="8"/>
        <v>-10</v>
      </c>
      <c r="V174" s="9" t="str">
        <f t="shared" si="9"/>
        <v>Low Performance</v>
      </c>
      <c r="W174" s="9"/>
    </row>
    <row r="175" ht="15.75" customHeight="1">
      <c r="A175" s="6">
        <v>46314.0</v>
      </c>
      <c r="B175" s="7" t="s">
        <v>41</v>
      </c>
      <c r="C175" s="9" t="s">
        <v>40</v>
      </c>
      <c r="D175" s="9" t="s">
        <v>27</v>
      </c>
      <c r="E175" s="10">
        <v>0.0</v>
      </c>
      <c r="F175" s="9">
        <f t="shared" si="1"/>
        <v>0</v>
      </c>
      <c r="G175" s="11">
        <v>0.0</v>
      </c>
      <c r="H175" s="9">
        <f t="shared" si="2"/>
        <v>0</v>
      </c>
      <c r="I175" s="11">
        <v>0.0</v>
      </c>
      <c r="J175" s="9">
        <f t="shared" si="12"/>
        <v>0</v>
      </c>
      <c r="K175" s="11">
        <v>0.0</v>
      </c>
      <c r="L175" s="11">
        <v>0.0</v>
      </c>
      <c r="M175" s="14">
        <f t="shared" si="4"/>
        <v>0</v>
      </c>
      <c r="N175" s="11">
        <v>0.0</v>
      </c>
      <c r="O175" s="14">
        <f t="shared" si="5"/>
        <v>0</v>
      </c>
      <c r="P175" s="11">
        <v>0.0</v>
      </c>
      <c r="Q175" s="15">
        <v>0.0</v>
      </c>
      <c r="R175" s="9">
        <v>10.0</v>
      </c>
      <c r="S175" s="16">
        <f t="shared" si="6"/>
        <v>0</v>
      </c>
      <c r="T175" s="17">
        <f t="shared" si="7"/>
        <v>0</v>
      </c>
      <c r="U175" s="14">
        <f t="shared" si="8"/>
        <v>-10</v>
      </c>
      <c r="V175" s="9" t="str">
        <f t="shared" si="9"/>
        <v>Low Performance</v>
      </c>
      <c r="W175" s="9"/>
    </row>
    <row r="176" ht="15.75" customHeight="1">
      <c r="A176" s="6">
        <v>46314.0</v>
      </c>
      <c r="B176" s="7" t="s">
        <v>42</v>
      </c>
      <c r="C176" s="9" t="s">
        <v>40</v>
      </c>
      <c r="D176" s="9" t="s">
        <v>27</v>
      </c>
      <c r="E176" s="10">
        <v>0.0</v>
      </c>
      <c r="F176" s="9">
        <f t="shared" si="1"/>
        <v>0</v>
      </c>
      <c r="G176" s="11">
        <v>0.0</v>
      </c>
      <c r="H176" s="9">
        <f t="shared" si="2"/>
        <v>0</v>
      </c>
      <c r="I176" s="11">
        <v>0.0</v>
      </c>
      <c r="J176" s="9">
        <f t="shared" si="12"/>
        <v>0</v>
      </c>
      <c r="K176" s="11">
        <v>0.0</v>
      </c>
      <c r="L176" s="11">
        <v>0.0</v>
      </c>
      <c r="M176" s="14">
        <f t="shared" si="4"/>
        <v>0</v>
      </c>
      <c r="N176" s="11">
        <v>0.0</v>
      </c>
      <c r="O176" s="14">
        <f t="shared" si="5"/>
        <v>0</v>
      </c>
      <c r="P176" s="11">
        <v>0.0</v>
      </c>
      <c r="Q176" s="15">
        <v>0.0</v>
      </c>
      <c r="R176" s="9">
        <v>10.0</v>
      </c>
      <c r="S176" s="16">
        <f t="shared" si="6"/>
        <v>0</v>
      </c>
      <c r="T176" s="17">
        <f t="shared" si="7"/>
        <v>0</v>
      </c>
      <c r="U176" s="14">
        <f t="shared" si="8"/>
        <v>-10</v>
      </c>
      <c r="V176" s="9" t="str">
        <f t="shared" si="9"/>
        <v>Low Performance</v>
      </c>
      <c r="W176" s="9"/>
    </row>
    <row r="177" ht="15.75" customHeight="1">
      <c r="A177" s="6">
        <v>46314.0</v>
      </c>
      <c r="B177" s="7" t="s">
        <v>43</v>
      </c>
      <c r="C177" s="9" t="s">
        <v>40</v>
      </c>
      <c r="D177" s="9" t="s">
        <v>27</v>
      </c>
      <c r="E177" s="10">
        <v>0.0</v>
      </c>
      <c r="F177" s="9">
        <f t="shared" si="1"/>
        <v>0</v>
      </c>
      <c r="G177" s="11">
        <v>0.0</v>
      </c>
      <c r="H177" s="9">
        <f t="shared" si="2"/>
        <v>0</v>
      </c>
      <c r="I177" s="11">
        <v>0.0</v>
      </c>
      <c r="J177" s="9">
        <f t="shared" si="12"/>
        <v>0</v>
      </c>
      <c r="K177" s="11">
        <v>0.0</v>
      </c>
      <c r="L177" s="11">
        <v>0.0</v>
      </c>
      <c r="M177" s="14">
        <f t="shared" si="4"/>
        <v>0</v>
      </c>
      <c r="N177" s="11">
        <v>0.0</v>
      </c>
      <c r="O177" s="14">
        <f t="shared" si="5"/>
        <v>0</v>
      </c>
      <c r="P177" s="11">
        <v>0.0</v>
      </c>
      <c r="Q177" s="15">
        <v>0.0</v>
      </c>
      <c r="R177" s="9">
        <v>10.0</v>
      </c>
      <c r="S177" s="16">
        <f t="shared" si="6"/>
        <v>0</v>
      </c>
      <c r="T177" s="17">
        <f t="shared" si="7"/>
        <v>0</v>
      </c>
      <c r="U177" s="14">
        <f t="shared" si="8"/>
        <v>-10</v>
      </c>
      <c r="V177" s="9" t="str">
        <f t="shared" si="9"/>
        <v>Low Performance</v>
      </c>
      <c r="W177" s="9"/>
    </row>
    <row r="178" ht="15.75" customHeight="1">
      <c r="A178" s="6">
        <v>46314.0</v>
      </c>
      <c r="B178" s="7" t="s">
        <v>45</v>
      </c>
      <c r="C178" s="18" t="s">
        <v>46</v>
      </c>
      <c r="D178" s="9" t="s">
        <v>27</v>
      </c>
      <c r="E178" s="10">
        <v>0.0</v>
      </c>
      <c r="F178" s="9">
        <f t="shared" si="1"/>
        <v>0</v>
      </c>
      <c r="G178" s="11">
        <v>0.0</v>
      </c>
      <c r="H178" s="9">
        <f t="shared" si="2"/>
        <v>0</v>
      </c>
      <c r="I178" s="11">
        <v>0.0</v>
      </c>
      <c r="J178" s="9">
        <f t="shared" si="12"/>
        <v>0</v>
      </c>
      <c r="K178" s="11">
        <v>0.0</v>
      </c>
      <c r="L178" s="11">
        <v>0.0</v>
      </c>
      <c r="M178" s="14">
        <f t="shared" si="4"/>
        <v>0</v>
      </c>
      <c r="N178" s="11">
        <v>0.0</v>
      </c>
      <c r="O178" s="14">
        <f t="shared" si="5"/>
        <v>0</v>
      </c>
      <c r="P178" s="11">
        <v>0.0</v>
      </c>
      <c r="Q178" s="15">
        <v>0.0</v>
      </c>
      <c r="R178" s="9">
        <v>10.0</v>
      </c>
      <c r="S178" s="16">
        <f t="shared" si="6"/>
        <v>0</v>
      </c>
      <c r="T178" s="17">
        <f t="shared" si="7"/>
        <v>0</v>
      </c>
      <c r="U178" s="14">
        <f t="shared" si="8"/>
        <v>-10</v>
      </c>
      <c r="V178" s="9" t="str">
        <f t="shared" si="9"/>
        <v>Low Performance</v>
      </c>
      <c r="W178" s="9"/>
    </row>
    <row r="179" ht="15.75" customHeight="1">
      <c r="A179" s="6">
        <v>46314.0</v>
      </c>
      <c r="B179" s="7" t="s">
        <v>49</v>
      </c>
      <c r="C179" s="18" t="s">
        <v>46</v>
      </c>
      <c r="D179" s="9" t="s">
        <v>27</v>
      </c>
      <c r="E179" s="10">
        <v>0.0</v>
      </c>
      <c r="F179" s="9">
        <f t="shared" si="1"/>
        <v>0</v>
      </c>
      <c r="G179" s="11">
        <v>0.0</v>
      </c>
      <c r="H179" s="9">
        <f t="shared" si="2"/>
        <v>0</v>
      </c>
      <c r="I179" s="11">
        <v>0.0</v>
      </c>
      <c r="J179" s="9">
        <f t="shared" si="12"/>
        <v>0</v>
      </c>
      <c r="K179" s="11">
        <v>0.0</v>
      </c>
      <c r="L179" s="11">
        <v>0.0</v>
      </c>
      <c r="M179" s="14">
        <f t="shared" si="4"/>
        <v>0</v>
      </c>
      <c r="N179" s="11">
        <v>0.0</v>
      </c>
      <c r="O179" s="14">
        <f t="shared" si="5"/>
        <v>0</v>
      </c>
      <c r="P179" s="11">
        <v>0.0</v>
      </c>
      <c r="Q179" s="15">
        <v>0.0</v>
      </c>
      <c r="R179" s="9">
        <v>10.0</v>
      </c>
      <c r="S179" s="16">
        <f t="shared" si="6"/>
        <v>0</v>
      </c>
      <c r="T179" s="17">
        <f t="shared" si="7"/>
        <v>0</v>
      </c>
      <c r="U179" s="14">
        <f t="shared" si="8"/>
        <v>-10</v>
      </c>
      <c r="V179" s="9" t="str">
        <f t="shared" si="9"/>
        <v>Low Performance</v>
      </c>
      <c r="W179" s="9"/>
    </row>
    <row r="180" ht="15.75" customHeight="1">
      <c r="A180" s="6">
        <v>46314.0</v>
      </c>
      <c r="B180" s="22" t="s">
        <v>50</v>
      </c>
      <c r="C180" s="23" t="s">
        <v>46</v>
      </c>
      <c r="D180" s="24" t="s">
        <v>27</v>
      </c>
      <c r="E180" s="10">
        <v>0.0</v>
      </c>
      <c r="F180" s="9">
        <f t="shared" si="1"/>
        <v>0</v>
      </c>
      <c r="G180" s="11">
        <v>0.0</v>
      </c>
      <c r="H180" s="9">
        <f t="shared" si="2"/>
        <v>0</v>
      </c>
      <c r="I180" s="11">
        <v>0.0</v>
      </c>
      <c r="J180" s="9">
        <f t="shared" si="12"/>
        <v>0</v>
      </c>
      <c r="K180" s="11">
        <v>0.0</v>
      </c>
      <c r="L180" s="11">
        <v>0.0</v>
      </c>
      <c r="M180" s="14">
        <f t="shared" si="4"/>
        <v>0</v>
      </c>
      <c r="N180" s="11">
        <v>0.0</v>
      </c>
      <c r="O180" s="14">
        <f t="shared" si="5"/>
        <v>0</v>
      </c>
      <c r="P180" s="11">
        <v>0.0</v>
      </c>
      <c r="Q180" s="15">
        <v>0.0</v>
      </c>
      <c r="R180" s="9">
        <v>10.0</v>
      </c>
      <c r="S180" s="16">
        <f t="shared" si="6"/>
        <v>0</v>
      </c>
      <c r="T180" s="17">
        <f t="shared" si="7"/>
        <v>0</v>
      </c>
      <c r="U180" s="14">
        <f t="shared" si="8"/>
        <v>-10</v>
      </c>
      <c r="V180" s="9" t="str">
        <f t="shared" si="9"/>
        <v>Low Performance</v>
      </c>
      <c r="W180" s="9"/>
    </row>
    <row r="181" ht="15.75" customHeight="1">
      <c r="A181" s="6">
        <v>46315.0</v>
      </c>
      <c r="B181" s="7" t="s">
        <v>28</v>
      </c>
      <c r="C181" s="9" t="s">
        <v>29</v>
      </c>
      <c r="D181" s="9" t="s">
        <v>27</v>
      </c>
      <c r="E181" s="10">
        <v>0.0</v>
      </c>
      <c r="F181" s="9">
        <f t="shared" si="1"/>
        <v>0</v>
      </c>
      <c r="G181" s="11">
        <v>0.0</v>
      </c>
      <c r="H181" s="9">
        <f t="shared" si="2"/>
        <v>0</v>
      </c>
      <c r="I181" s="11">
        <v>0.0</v>
      </c>
      <c r="J181" s="9">
        <f t="shared" si="12"/>
        <v>0</v>
      </c>
      <c r="K181" s="11">
        <v>0.0</v>
      </c>
      <c r="L181" s="11">
        <v>0.0</v>
      </c>
      <c r="M181" s="14">
        <f t="shared" si="4"/>
        <v>0</v>
      </c>
      <c r="N181" s="11">
        <v>0.0</v>
      </c>
      <c r="O181" s="14">
        <f t="shared" si="5"/>
        <v>0</v>
      </c>
      <c r="P181" s="11">
        <v>0.0</v>
      </c>
      <c r="Q181" s="15">
        <v>0.0</v>
      </c>
      <c r="R181" s="9">
        <v>10.0</v>
      </c>
      <c r="S181" s="16">
        <f t="shared" si="6"/>
        <v>0</v>
      </c>
      <c r="T181" s="17">
        <f t="shared" si="7"/>
        <v>0</v>
      </c>
      <c r="U181" s="14">
        <f t="shared" si="8"/>
        <v>-10</v>
      </c>
      <c r="V181" s="9" t="str">
        <f t="shared" si="9"/>
        <v>Low Performance</v>
      </c>
      <c r="W181" s="9"/>
    </row>
    <row r="182" ht="15.75" customHeight="1">
      <c r="A182" s="6">
        <v>46315.0</v>
      </c>
      <c r="B182" s="7" t="s">
        <v>36</v>
      </c>
      <c r="C182" s="9" t="s">
        <v>29</v>
      </c>
      <c r="D182" s="9" t="s">
        <v>27</v>
      </c>
      <c r="E182" s="10">
        <v>0.0</v>
      </c>
      <c r="F182" s="9">
        <f t="shared" si="1"/>
        <v>0</v>
      </c>
      <c r="G182" s="11">
        <v>0.0</v>
      </c>
      <c r="H182" s="9">
        <f t="shared" si="2"/>
        <v>0</v>
      </c>
      <c r="I182" s="11">
        <v>0.0</v>
      </c>
      <c r="J182" s="9">
        <f t="shared" si="12"/>
        <v>0</v>
      </c>
      <c r="K182" s="11">
        <v>0.0</v>
      </c>
      <c r="L182" s="11">
        <v>0.0</v>
      </c>
      <c r="M182" s="14">
        <f t="shared" si="4"/>
        <v>0</v>
      </c>
      <c r="N182" s="11">
        <v>0.0</v>
      </c>
      <c r="O182" s="14">
        <f t="shared" si="5"/>
        <v>0</v>
      </c>
      <c r="P182" s="11">
        <v>0.0</v>
      </c>
      <c r="Q182" s="15">
        <v>0.0</v>
      </c>
      <c r="R182" s="9">
        <v>10.0</v>
      </c>
      <c r="S182" s="16">
        <f t="shared" si="6"/>
        <v>0</v>
      </c>
      <c r="T182" s="17">
        <f t="shared" si="7"/>
        <v>0</v>
      </c>
      <c r="U182" s="14">
        <f t="shared" si="8"/>
        <v>-10</v>
      </c>
      <c r="V182" s="9" t="str">
        <f t="shared" si="9"/>
        <v>Low Performance</v>
      </c>
      <c r="W182" s="9"/>
    </row>
    <row r="183" ht="15.75" customHeight="1">
      <c r="A183" s="6">
        <v>46315.0</v>
      </c>
      <c r="B183" s="7" t="s">
        <v>37</v>
      </c>
      <c r="C183" s="9" t="s">
        <v>29</v>
      </c>
      <c r="D183" s="9" t="s">
        <v>27</v>
      </c>
      <c r="E183" s="10">
        <v>0.0</v>
      </c>
      <c r="F183" s="9">
        <f t="shared" si="1"/>
        <v>0</v>
      </c>
      <c r="G183" s="11">
        <v>0.0</v>
      </c>
      <c r="H183" s="9">
        <f t="shared" si="2"/>
        <v>0</v>
      </c>
      <c r="I183" s="11">
        <v>0.0</v>
      </c>
      <c r="J183" s="9">
        <f t="shared" si="12"/>
        <v>0</v>
      </c>
      <c r="K183" s="11">
        <v>0.0</v>
      </c>
      <c r="L183" s="11">
        <v>0.0</v>
      </c>
      <c r="M183" s="14">
        <f t="shared" si="4"/>
        <v>0</v>
      </c>
      <c r="N183" s="11">
        <v>0.0</v>
      </c>
      <c r="O183" s="14">
        <f t="shared" si="5"/>
        <v>0</v>
      </c>
      <c r="P183" s="11">
        <v>0.0</v>
      </c>
      <c r="Q183" s="15">
        <v>0.0</v>
      </c>
      <c r="R183" s="9">
        <v>10.0</v>
      </c>
      <c r="S183" s="16">
        <f t="shared" si="6"/>
        <v>0</v>
      </c>
      <c r="T183" s="17">
        <f t="shared" si="7"/>
        <v>0</v>
      </c>
      <c r="U183" s="14">
        <f t="shared" si="8"/>
        <v>-10</v>
      </c>
      <c r="V183" s="9" t="str">
        <f t="shared" si="9"/>
        <v>Low Performance</v>
      </c>
      <c r="W183" s="9"/>
    </row>
    <row r="184" ht="15.75" customHeight="1">
      <c r="A184" s="6">
        <v>46315.0</v>
      </c>
      <c r="B184" s="7" t="s">
        <v>38</v>
      </c>
      <c r="C184" s="9" t="s">
        <v>29</v>
      </c>
      <c r="D184" s="9" t="s">
        <v>27</v>
      </c>
      <c r="E184" s="10">
        <v>0.0</v>
      </c>
      <c r="F184" s="9">
        <f t="shared" si="1"/>
        <v>0</v>
      </c>
      <c r="G184" s="11">
        <v>0.0</v>
      </c>
      <c r="H184" s="9">
        <f t="shared" si="2"/>
        <v>0</v>
      </c>
      <c r="I184" s="11">
        <v>0.0</v>
      </c>
      <c r="J184" s="9">
        <f t="shared" si="12"/>
        <v>0</v>
      </c>
      <c r="K184" s="11">
        <v>0.0</v>
      </c>
      <c r="L184" s="11">
        <v>0.0</v>
      </c>
      <c r="M184" s="14">
        <f t="shared" si="4"/>
        <v>0</v>
      </c>
      <c r="N184" s="11">
        <v>0.0</v>
      </c>
      <c r="O184" s="14">
        <f t="shared" si="5"/>
        <v>0</v>
      </c>
      <c r="P184" s="11">
        <v>0.0</v>
      </c>
      <c r="Q184" s="15">
        <v>0.0</v>
      </c>
      <c r="R184" s="9">
        <v>10.0</v>
      </c>
      <c r="S184" s="16">
        <f t="shared" si="6"/>
        <v>0</v>
      </c>
      <c r="T184" s="17">
        <f t="shared" si="7"/>
        <v>0</v>
      </c>
      <c r="U184" s="14">
        <f t="shared" si="8"/>
        <v>-10</v>
      </c>
      <c r="V184" s="9" t="str">
        <f t="shared" si="9"/>
        <v>Low Performance</v>
      </c>
      <c r="W184" s="9"/>
    </row>
    <row r="185" ht="15.75" customHeight="1">
      <c r="A185" s="6">
        <v>46315.0</v>
      </c>
      <c r="B185" s="20" t="s">
        <v>39</v>
      </c>
      <c r="C185" s="9" t="s">
        <v>40</v>
      </c>
      <c r="D185" s="9" t="s">
        <v>27</v>
      </c>
      <c r="E185" s="10">
        <v>0.0</v>
      </c>
      <c r="F185" s="9">
        <f t="shared" si="1"/>
        <v>0</v>
      </c>
      <c r="G185" s="11">
        <v>0.0</v>
      </c>
      <c r="H185" s="9">
        <f t="shared" si="2"/>
        <v>0</v>
      </c>
      <c r="I185" s="11">
        <v>0.0</v>
      </c>
      <c r="J185" s="9">
        <f t="shared" si="12"/>
        <v>0</v>
      </c>
      <c r="K185" s="11">
        <v>0.0</v>
      </c>
      <c r="L185" s="11">
        <v>0.0</v>
      </c>
      <c r="M185" s="14">
        <f t="shared" si="4"/>
        <v>0</v>
      </c>
      <c r="N185" s="11">
        <v>0.0</v>
      </c>
      <c r="O185" s="14">
        <f t="shared" si="5"/>
        <v>0</v>
      </c>
      <c r="P185" s="11">
        <v>0.0</v>
      </c>
      <c r="Q185" s="15">
        <v>0.0</v>
      </c>
      <c r="R185" s="9">
        <v>10.0</v>
      </c>
      <c r="S185" s="16">
        <f t="shared" si="6"/>
        <v>0</v>
      </c>
      <c r="T185" s="17">
        <f t="shared" si="7"/>
        <v>0</v>
      </c>
      <c r="U185" s="14">
        <f t="shared" si="8"/>
        <v>-10</v>
      </c>
      <c r="V185" s="9" t="str">
        <f t="shared" si="9"/>
        <v>Low Performance</v>
      </c>
      <c r="W185" s="9"/>
    </row>
    <row r="186" ht="15.75" customHeight="1">
      <c r="A186" s="6">
        <v>46315.0</v>
      </c>
      <c r="B186" s="7" t="s">
        <v>41</v>
      </c>
      <c r="C186" s="9" t="s">
        <v>40</v>
      </c>
      <c r="D186" s="9" t="s">
        <v>27</v>
      </c>
      <c r="E186" s="10">
        <v>0.0</v>
      </c>
      <c r="F186" s="9">
        <f t="shared" si="1"/>
        <v>0</v>
      </c>
      <c r="G186" s="11">
        <v>0.0</v>
      </c>
      <c r="H186" s="9">
        <f t="shared" si="2"/>
        <v>0</v>
      </c>
      <c r="I186" s="11">
        <v>0.0</v>
      </c>
      <c r="J186" s="9">
        <f t="shared" si="12"/>
        <v>0</v>
      </c>
      <c r="K186" s="11">
        <v>0.0</v>
      </c>
      <c r="L186" s="11">
        <v>0.0</v>
      </c>
      <c r="M186" s="14">
        <f t="shared" si="4"/>
        <v>0</v>
      </c>
      <c r="N186" s="11">
        <v>0.0</v>
      </c>
      <c r="O186" s="14">
        <f t="shared" si="5"/>
        <v>0</v>
      </c>
      <c r="P186" s="11">
        <v>0.0</v>
      </c>
      <c r="Q186" s="15">
        <v>0.0</v>
      </c>
      <c r="R186" s="9">
        <v>10.0</v>
      </c>
      <c r="S186" s="16">
        <f t="shared" si="6"/>
        <v>0</v>
      </c>
      <c r="T186" s="17">
        <f t="shared" si="7"/>
        <v>0</v>
      </c>
      <c r="U186" s="14">
        <f t="shared" si="8"/>
        <v>-10</v>
      </c>
      <c r="V186" s="9" t="str">
        <f t="shared" si="9"/>
        <v>Low Performance</v>
      </c>
      <c r="W186" s="9"/>
    </row>
    <row r="187" ht="15.75" customHeight="1">
      <c r="A187" s="6">
        <v>46315.0</v>
      </c>
      <c r="B187" s="7" t="s">
        <v>42</v>
      </c>
      <c r="C187" s="9" t="s">
        <v>40</v>
      </c>
      <c r="D187" s="9" t="s">
        <v>27</v>
      </c>
      <c r="E187" s="10">
        <v>0.0</v>
      </c>
      <c r="F187" s="9">
        <f t="shared" si="1"/>
        <v>0</v>
      </c>
      <c r="G187" s="11">
        <v>0.0</v>
      </c>
      <c r="H187" s="9">
        <f t="shared" si="2"/>
        <v>0</v>
      </c>
      <c r="I187" s="11">
        <v>0.0</v>
      </c>
      <c r="J187" s="9">
        <f t="shared" si="12"/>
        <v>0</v>
      </c>
      <c r="K187" s="11">
        <v>0.0</v>
      </c>
      <c r="L187" s="11">
        <v>0.0</v>
      </c>
      <c r="M187" s="14">
        <f t="shared" si="4"/>
        <v>0</v>
      </c>
      <c r="N187" s="11">
        <v>0.0</v>
      </c>
      <c r="O187" s="14">
        <f t="shared" si="5"/>
        <v>0</v>
      </c>
      <c r="P187" s="11">
        <v>0.0</v>
      </c>
      <c r="Q187" s="15">
        <v>0.0</v>
      </c>
      <c r="R187" s="9">
        <v>10.0</v>
      </c>
      <c r="S187" s="16">
        <f t="shared" si="6"/>
        <v>0</v>
      </c>
      <c r="T187" s="17">
        <f t="shared" si="7"/>
        <v>0</v>
      </c>
      <c r="U187" s="14">
        <f t="shared" si="8"/>
        <v>-10</v>
      </c>
      <c r="V187" s="9" t="str">
        <f t="shared" si="9"/>
        <v>Low Performance</v>
      </c>
      <c r="W187" s="9"/>
    </row>
    <row r="188" ht="15.75" customHeight="1">
      <c r="A188" s="6">
        <v>46315.0</v>
      </c>
      <c r="B188" s="7" t="s">
        <v>43</v>
      </c>
      <c r="C188" s="9" t="s">
        <v>40</v>
      </c>
      <c r="D188" s="9" t="s">
        <v>27</v>
      </c>
      <c r="E188" s="10">
        <v>0.0</v>
      </c>
      <c r="F188" s="9">
        <f t="shared" si="1"/>
        <v>0</v>
      </c>
      <c r="G188" s="11">
        <v>0.0</v>
      </c>
      <c r="H188" s="9">
        <f t="shared" si="2"/>
        <v>0</v>
      </c>
      <c r="I188" s="11">
        <v>0.0</v>
      </c>
      <c r="J188" s="9">
        <f t="shared" si="12"/>
        <v>0</v>
      </c>
      <c r="K188" s="11">
        <v>0.0</v>
      </c>
      <c r="L188" s="11">
        <v>0.0</v>
      </c>
      <c r="M188" s="14">
        <f t="shared" si="4"/>
        <v>0</v>
      </c>
      <c r="N188" s="11">
        <v>0.0</v>
      </c>
      <c r="O188" s="14">
        <f t="shared" si="5"/>
        <v>0</v>
      </c>
      <c r="P188" s="11">
        <v>0.0</v>
      </c>
      <c r="Q188" s="15">
        <v>0.0</v>
      </c>
      <c r="R188" s="9">
        <v>10.0</v>
      </c>
      <c r="S188" s="16">
        <f t="shared" si="6"/>
        <v>0</v>
      </c>
      <c r="T188" s="17">
        <f t="shared" si="7"/>
        <v>0</v>
      </c>
      <c r="U188" s="14">
        <f t="shared" si="8"/>
        <v>-10</v>
      </c>
      <c r="V188" s="9" t="str">
        <f t="shared" si="9"/>
        <v>Low Performance</v>
      </c>
      <c r="W188" s="9"/>
    </row>
    <row r="189" ht="15.75" customHeight="1">
      <c r="A189" s="6">
        <v>46315.0</v>
      </c>
      <c r="B189" s="7" t="s">
        <v>45</v>
      </c>
      <c r="C189" s="18" t="s">
        <v>46</v>
      </c>
      <c r="D189" s="9" t="s">
        <v>27</v>
      </c>
      <c r="E189" s="10">
        <v>0.0</v>
      </c>
      <c r="F189" s="9">
        <f t="shared" si="1"/>
        <v>0</v>
      </c>
      <c r="G189" s="11">
        <v>0.0</v>
      </c>
      <c r="H189" s="9">
        <f t="shared" si="2"/>
        <v>0</v>
      </c>
      <c r="I189" s="11">
        <v>0.0</v>
      </c>
      <c r="J189" s="9">
        <f t="shared" si="12"/>
        <v>0</v>
      </c>
      <c r="K189" s="11">
        <v>0.0</v>
      </c>
      <c r="L189" s="11">
        <v>0.0</v>
      </c>
      <c r="M189" s="14">
        <f t="shared" si="4"/>
        <v>0</v>
      </c>
      <c r="N189" s="11">
        <v>0.0</v>
      </c>
      <c r="O189" s="14">
        <f t="shared" si="5"/>
        <v>0</v>
      </c>
      <c r="P189" s="11">
        <v>0.0</v>
      </c>
      <c r="Q189" s="15">
        <v>0.0</v>
      </c>
      <c r="R189" s="9">
        <v>10.0</v>
      </c>
      <c r="S189" s="16">
        <f t="shared" si="6"/>
        <v>0</v>
      </c>
      <c r="T189" s="17">
        <f t="shared" si="7"/>
        <v>0</v>
      </c>
      <c r="U189" s="14">
        <f t="shared" si="8"/>
        <v>-10</v>
      </c>
      <c r="V189" s="9" t="str">
        <f t="shared" si="9"/>
        <v>Low Performance</v>
      </c>
      <c r="W189" s="9"/>
    </row>
    <row r="190" ht="15.75" customHeight="1">
      <c r="A190" s="6">
        <v>46315.0</v>
      </c>
      <c r="B190" s="7" t="s">
        <v>49</v>
      </c>
      <c r="C190" s="18" t="s">
        <v>46</v>
      </c>
      <c r="D190" s="9" t="s">
        <v>27</v>
      </c>
      <c r="E190" s="10">
        <v>0.0</v>
      </c>
      <c r="F190" s="9">
        <f t="shared" si="1"/>
        <v>0</v>
      </c>
      <c r="G190" s="11">
        <v>0.0</v>
      </c>
      <c r="H190" s="9">
        <f t="shared" si="2"/>
        <v>0</v>
      </c>
      <c r="I190" s="11">
        <v>0.0</v>
      </c>
      <c r="J190" s="9">
        <f t="shared" si="12"/>
        <v>0</v>
      </c>
      <c r="K190" s="11">
        <v>0.0</v>
      </c>
      <c r="L190" s="11">
        <v>0.0</v>
      </c>
      <c r="M190" s="14">
        <f t="shared" si="4"/>
        <v>0</v>
      </c>
      <c r="N190" s="11">
        <v>0.0</v>
      </c>
      <c r="O190" s="14">
        <f t="shared" si="5"/>
        <v>0</v>
      </c>
      <c r="P190" s="11">
        <v>0.0</v>
      </c>
      <c r="Q190" s="15">
        <v>0.0</v>
      </c>
      <c r="R190" s="9">
        <v>10.0</v>
      </c>
      <c r="S190" s="16">
        <f t="shared" si="6"/>
        <v>0</v>
      </c>
      <c r="T190" s="17">
        <f t="shared" si="7"/>
        <v>0</v>
      </c>
      <c r="U190" s="14">
        <f t="shared" si="8"/>
        <v>-10</v>
      </c>
      <c r="V190" s="9" t="str">
        <f t="shared" si="9"/>
        <v>Low Performance</v>
      </c>
      <c r="W190" s="9"/>
    </row>
    <row r="191" ht="15.75" customHeight="1">
      <c r="A191" s="6">
        <v>46315.0</v>
      </c>
      <c r="B191" s="22" t="s">
        <v>50</v>
      </c>
      <c r="C191" s="23" t="s">
        <v>46</v>
      </c>
      <c r="D191" s="24" t="s">
        <v>27</v>
      </c>
      <c r="E191" s="10">
        <v>0.0</v>
      </c>
      <c r="F191" s="9">
        <f t="shared" si="1"/>
        <v>0</v>
      </c>
      <c r="G191" s="11">
        <v>0.0</v>
      </c>
      <c r="H191" s="9">
        <f t="shared" si="2"/>
        <v>0</v>
      </c>
      <c r="I191" s="11">
        <v>0.0</v>
      </c>
      <c r="J191" s="9">
        <f t="shared" si="12"/>
        <v>0</v>
      </c>
      <c r="K191" s="11">
        <v>0.0</v>
      </c>
      <c r="L191" s="11">
        <v>0.0</v>
      </c>
      <c r="M191" s="14">
        <f t="shared" si="4"/>
        <v>0</v>
      </c>
      <c r="N191" s="11">
        <v>0.0</v>
      </c>
      <c r="O191" s="14">
        <f t="shared" si="5"/>
        <v>0</v>
      </c>
      <c r="P191" s="11">
        <v>0.0</v>
      </c>
      <c r="Q191" s="15">
        <v>0.0</v>
      </c>
      <c r="R191" s="9">
        <v>10.0</v>
      </c>
      <c r="S191" s="16">
        <f t="shared" si="6"/>
        <v>0</v>
      </c>
      <c r="T191" s="17">
        <f t="shared" si="7"/>
        <v>0</v>
      </c>
      <c r="U191" s="14">
        <f t="shared" si="8"/>
        <v>-10</v>
      </c>
      <c r="V191" s="9" t="str">
        <f t="shared" si="9"/>
        <v>Low Performance</v>
      </c>
      <c r="W191" s="9"/>
    </row>
    <row r="192" ht="15.75" customHeight="1">
      <c r="A192" s="6">
        <v>46316.0</v>
      </c>
      <c r="B192" s="7" t="s">
        <v>28</v>
      </c>
      <c r="C192" s="9" t="s">
        <v>29</v>
      </c>
      <c r="D192" s="9" t="s">
        <v>27</v>
      </c>
      <c r="E192" s="10">
        <v>0.0</v>
      </c>
      <c r="F192" s="9">
        <f t="shared" si="1"/>
        <v>0</v>
      </c>
      <c r="G192" s="11">
        <v>0.0</v>
      </c>
      <c r="H192" s="9">
        <f t="shared" si="2"/>
        <v>0</v>
      </c>
      <c r="I192" s="11">
        <v>0.0</v>
      </c>
      <c r="J192" s="9">
        <f t="shared" si="12"/>
        <v>0</v>
      </c>
      <c r="K192" s="11">
        <v>0.0</v>
      </c>
      <c r="L192" s="11">
        <v>0.0</v>
      </c>
      <c r="M192" s="14">
        <f t="shared" si="4"/>
        <v>0</v>
      </c>
      <c r="N192" s="11">
        <v>0.0</v>
      </c>
      <c r="O192" s="14">
        <f t="shared" si="5"/>
        <v>0</v>
      </c>
      <c r="P192" s="11">
        <v>0.0</v>
      </c>
      <c r="Q192" s="15">
        <v>0.0</v>
      </c>
      <c r="R192" s="9">
        <v>10.0</v>
      </c>
      <c r="S192" s="16">
        <f t="shared" si="6"/>
        <v>0</v>
      </c>
      <c r="T192" s="17">
        <f t="shared" si="7"/>
        <v>0</v>
      </c>
      <c r="U192" s="14">
        <f t="shared" si="8"/>
        <v>-10</v>
      </c>
      <c r="V192" s="9" t="str">
        <f t="shared" si="9"/>
        <v>Low Performance</v>
      </c>
      <c r="W192" s="9"/>
    </row>
    <row r="193" ht="15.75" customHeight="1">
      <c r="A193" s="6">
        <v>46316.0</v>
      </c>
      <c r="B193" s="7" t="s">
        <v>36</v>
      </c>
      <c r="C193" s="9" t="s">
        <v>29</v>
      </c>
      <c r="D193" s="9" t="s">
        <v>27</v>
      </c>
      <c r="E193" s="10">
        <v>0.0</v>
      </c>
      <c r="F193" s="9">
        <f t="shared" si="1"/>
        <v>0</v>
      </c>
      <c r="G193" s="11">
        <v>0.0</v>
      </c>
      <c r="H193" s="9">
        <f t="shared" si="2"/>
        <v>0</v>
      </c>
      <c r="I193" s="11">
        <v>0.0</v>
      </c>
      <c r="J193" s="9">
        <f t="shared" si="12"/>
        <v>0</v>
      </c>
      <c r="K193" s="11">
        <v>0.0</v>
      </c>
      <c r="L193" s="11">
        <v>0.0</v>
      </c>
      <c r="M193" s="14">
        <f t="shared" si="4"/>
        <v>0</v>
      </c>
      <c r="N193" s="11">
        <v>0.0</v>
      </c>
      <c r="O193" s="14">
        <f t="shared" si="5"/>
        <v>0</v>
      </c>
      <c r="P193" s="11">
        <v>0.0</v>
      </c>
      <c r="Q193" s="15">
        <v>0.0</v>
      </c>
      <c r="R193" s="9">
        <v>10.0</v>
      </c>
      <c r="S193" s="16">
        <f t="shared" si="6"/>
        <v>0</v>
      </c>
      <c r="T193" s="17">
        <f t="shared" si="7"/>
        <v>0</v>
      </c>
      <c r="U193" s="14">
        <f t="shared" si="8"/>
        <v>-10</v>
      </c>
      <c r="V193" s="9" t="str">
        <f t="shared" si="9"/>
        <v>Low Performance</v>
      </c>
      <c r="W193" s="9"/>
    </row>
    <row r="194" ht="15.75" customHeight="1">
      <c r="A194" s="6">
        <v>46316.0</v>
      </c>
      <c r="B194" s="7" t="s">
        <v>37</v>
      </c>
      <c r="C194" s="9" t="s">
        <v>29</v>
      </c>
      <c r="D194" s="9" t="s">
        <v>27</v>
      </c>
      <c r="E194" s="10">
        <v>0.0</v>
      </c>
      <c r="F194" s="9">
        <f t="shared" si="1"/>
        <v>0</v>
      </c>
      <c r="G194" s="11">
        <v>0.0</v>
      </c>
      <c r="H194" s="9">
        <f t="shared" si="2"/>
        <v>0</v>
      </c>
      <c r="I194" s="11">
        <v>0.0</v>
      </c>
      <c r="J194" s="9">
        <f t="shared" si="12"/>
        <v>0</v>
      </c>
      <c r="K194" s="11">
        <v>0.0</v>
      </c>
      <c r="L194" s="11">
        <v>0.0</v>
      </c>
      <c r="M194" s="14">
        <f t="shared" si="4"/>
        <v>0</v>
      </c>
      <c r="N194" s="11">
        <v>0.0</v>
      </c>
      <c r="O194" s="14">
        <f t="shared" si="5"/>
        <v>0</v>
      </c>
      <c r="P194" s="11">
        <v>0.0</v>
      </c>
      <c r="Q194" s="15">
        <v>0.0</v>
      </c>
      <c r="R194" s="9">
        <v>10.0</v>
      </c>
      <c r="S194" s="16">
        <f t="shared" si="6"/>
        <v>0</v>
      </c>
      <c r="T194" s="17">
        <f t="shared" si="7"/>
        <v>0</v>
      </c>
      <c r="U194" s="14">
        <f t="shared" si="8"/>
        <v>-10</v>
      </c>
      <c r="V194" s="9" t="str">
        <f t="shared" si="9"/>
        <v>Low Performance</v>
      </c>
      <c r="W194" s="9"/>
    </row>
    <row r="195" ht="15.75" customHeight="1">
      <c r="A195" s="6">
        <v>46316.0</v>
      </c>
      <c r="B195" s="7" t="s">
        <v>38</v>
      </c>
      <c r="C195" s="9" t="s">
        <v>29</v>
      </c>
      <c r="D195" s="9" t="s">
        <v>27</v>
      </c>
      <c r="E195" s="10">
        <v>0.0</v>
      </c>
      <c r="F195" s="9">
        <f t="shared" si="1"/>
        <v>0</v>
      </c>
      <c r="G195" s="11">
        <v>0.0</v>
      </c>
      <c r="H195" s="9">
        <f t="shared" si="2"/>
        <v>0</v>
      </c>
      <c r="I195" s="11">
        <v>0.0</v>
      </c>
      <c r="J195" s="9">
        <f t="shared" si="12"/>
        <v>0</v>
      </c>
      <c r="K195" s="11">
        <v>0.0</v>
      </c>
      <c r="L195" s="11">
        <v>0.0</v>
      </c>
      <c r="M195" s="14">
        <f t="shared" si="4"/>
        <v>0</v>
      </c>
      <c r="N195" s="11">
        <v>0.0</v>
      </c>
      <c r="O195" s="14">
        <f t="shared" si="5"/>
        <v>0</v>
      </c>
      <c r="P195" s="11">
        <v>0.0</v>
      </c>
      <c r="Q195" s="15">
        <v>0.0</v>
      </c>
      <c r="R195" s="9">
        <v>10.0</v>
      </c>
      <c r="S195" s="16">
        <f t="shared" si="6"/>
        <v>0</v>
      </c>
      <c r="T195" s="17">
        <f t="shared" si="7"/>
        <v>0</v>
      </c>
      <c r="U195" s="14">
        <f t="shared" si="8"/>
        <v>-10</v>
      </c>
      <c r="V195" s="9" t="str">
        <f t="shared" si="9"/>
        <v>Low Performance</v>
      </c>
      <c r="W195" s="9"/>
    </row>
    <row r="196" ht="15.75" customHeight="1">
      <c r="A196" s="6">
        <v>46316.0</v>
      </c>
      <c r="B196" s="20" t="s">
        <v>39</v>
      </c>
      <c r="C196" s="9" t="s">
        <v>40</v>
      </c>
      <c r="D196" s="9" t="s">
        <v>27</v>
      </c>
      <c r="E196" s="10">
        <v>0.0</v>
      </c>
      <c r="F196" s="9">
        <f t="shared" si="1"/>
        <v>0</v>
      </c>
      <c r="G196" s="11">
        <v>0.0</v>
      </c>
      <c r="H196" s="9">
        <f t="shared" si="2"/>
        <v>0</v>
      </c>
      <c r="I196" s="11">
        <v>0.0</v>
      </c>
      <c r="J196" s="9">
        <f t="shared" si="12"/>
        <v>0</v>
      </c>
      <c r="K196" s="11">
        <v>0.0</v>
      </c>
      <c r="L196" s="11">
        <v>0.0</v>
      </c>
      <c r="M196" s="14">
        <f t="shared" si="4"/>
        <v>0</v>
      </c>
      <c r="N196" s="11">
        <v>0.0</v>
      </c>
      <c r="O196" s="14">
        <f t="shared" si="5"/>
        <v>0</v>
      </c>
      <c r="P196" s="11">
        <v>0.0</v>
      </c>
      <c r="Q196" s="15">
        <v>0.0</v>
      </c>
      <c r="R196" s="9">
        <v>10.0</v>
      </c>
      <c r="S196" s="16">
        <f t="shared" si="6"/>
        <v>0</v>
      </c>
      <c r="T196" s="17">
        <f t="shared" si="7"/>
        <v>0</v>
      </c>
      <c r="U196" s="14">
        <f t="shared" si="8"/>
        <v>-10</v>
      </c>
      <c r="V196" s="9" t="str">
        <f t="shared" si="9"/>
        <v>Low Performance</v>
      </c>
      <c r="W196" s="9"/>
    </row>
    <row r="197" ht="15.75" customHeight="1">
      <c r="A197" s="6">
        <v>46316.0</v>
      </c>
      <c r="B197" s="7" t="s">
        <v>41</v>
      </c>
      <c r="C197" s="9" t="s">
        <v>40</v>
      </c>
      <c r="D197" s="9" t="s">
        <v>27</v>
      </c>
      <c r="E197" s="10">
        <v>0.0</v>
      </c>
      <c r="F197" s="9">
        <f t="shared" si="1"/>
        <v>0</v>
      </c>
      <c r="G197" s="11">
        <v>0.0</v>
      </c>
      <c r="H197" s="9">
        <f t="shared" si="2"/>
        <v>0</v>
      </c>
      <c r="I197" s="11">
        <v>0.0</v>
      </c>
      <c r="J197" s="9">
        <f t="shared" si="12"/>
        <v>0</v>
      </c>
      <c r="K197" s="11">
        <v>0.0</v>
      </c>
      <c r="L197" s="11">
        <v>0.0</v>
      </c>
      <c r="M197" s="14">
        <f t="shared" si="4"/>
        <v>0</v>
      </c>
      <c r="N197" s="11">
        <v>0.0</v>
      </c>
      <c r="O197" s="14">
        <f t="shared" si="5"/>
        <v>0</v>
      </c>
      <c r="P197" s="11">
        <v>0.0</v>
      </c>
      <c r="Q197" s="15">
        <v>0.0</v>
      </c>
      <c r="R197" s="9">
        <v>10.0</v>
      </c>
      <c r="S197" s="16">
        <f t="shared" si="6"/>
        <v>0</v>
      </c>
      <c r="T197" s="17">
        <f t="shared" si="7"/>
        <v>0</v>
      </c>
      <c r="U197" s="14">
        <f t="shared" si="8"/>
        <v>-10</v>
      </c>
      <c r="V197" s="9" t="str">
        <f t="shared" si="9"/>
        <v>Low Performance</v>
      </c>
      <c r="W197" s="9"/>
    </row>
    <row r="198" ht="15.75" customHeight="1">
      <c r="A198" s="6">
        <v>46316.0</v>
      </c>
      <c r="B198" s="7" t="s">
        <v>42</v>
      </c>
      <c r="C198" s="9" t="s">
        <v>40</v>
      </c>
      <c r="D198" s="9" t="s">
        <v>27</v>
      </c>
      <c r="E198" s="10">
        <v>0.0</v>
      </c>
      <c r="F198" s="9">
        <f t="shared" si="1"/>
        <v>0</v>
      </c>
      <c r="G198" s="11">
        <v>0.0</v>
      </c>
      <c r="H198" s="9">
        <f t="shared" si="2"/>
        <v>0</v>
      </c>
      <c r="I198" s="11">
        <v>0.0</v>
      </c>
      <c r="J198" s="9">
        <f t="shared" si="12"/>
        <v>0</v>
      </c>
      <c r="K198" s="11">
        <v>0.0</v>
      </c>
      <c r="L198" s="11">
        <v>0.0</v>
      </c>
      <c r="M198" s="14">
        <f t="shared" si="4"/>
        <v>0</v>
      </c>
      <c r="N198" s="11">
        <v>0.0</v>
      </c>
      <c r="O198" s="14">
        <f t="shared" si="5"/>
        <v>0</v>
      </c>
      <c r="P198" s="11">
        <v>0.0</v>
      </c>
      <c r="Q198" s="15">
        <v>0.0</v>
      </c>
      <c r="R198" s="9">
        <v>10.0</v>
      </c>
      <c r="S198" s="16">
        <f t="shared" si="6"/>
        <v>0</v>
      </c>
      <c r="T198" s="17">
        <f t="shared" si="7"/>
        <v>0</v>
      </c>
      <c r="U198" s="14">
        <f t="shared" si="8"/>
        <v>-10</v>
      </c>
      <c r="V198" s="9" t="str">
        <f t="shared" si="9"/>
        <v>Low Performance</v>
      </c>
      <c r="W198" s="9"/>
    </row>
    <row r="199" ht="15.75" customHeight="1">
      <c r="A199" s="6">
        <v>46316.0</v>
      </c>
      <c r="B199" s="7" t="s">
        <v>43</v>
      </c>
      <c r="C199" s="9" t="s">
        <v>40</v>
      </c>
      <c r="D199" s="9" t="s">
        <v>27</v>
      </c>
      <c r="E199" s="10">
        <v>0.0</v>
      </c>
      <c r="F199" s="9">
        <f t="shared" si="1"/>
        <v>0</v>
      </c>
      <c r="G199" s="11">
        <v>0.0</v>
      </c>
      <c r="H199" s="9">
        <f t="shared" si="2"/>
        <v>0</v>
      </c>
      <c r="I199" s="11">
        <v>0.0</v>
      </c>
      <c r="J199" s="9">
        <f t="shared" si="12"/>
        <v>0</v>
      </c>
      <c r="K199" s="11">
        <v>0.0</v>
      </c>
      <c r="L199" s="11">
        <v>0.0</v>
      </c>
      <c r="M199" s="14">
        <f t="shared" si="4"/>
        <v>0</v>
      </c>
      <c r="N199" s="11">
        <v>0.0</v>
      </c>
      <c r="O199" s="14">
        <f t="shared" si="5"/>
        <v>0</v>
      </c>
      <c r="P199" s="11">
        <v>0.0</v>
      </c>
      <c r="Q199" s="15">
        <v>0.0</v>
      </c>
      <c r="R199" s="9">
        <v>10.0</v>
      </c>
      <c r="S199" s="16">
        <f t="shared" si="6"/>
        <v>0</v>
      </c>
      <c r="T199" s="17">
        <f t="shared" si="7"/>
        <v>0</v>
      </c>
      <c r="U199" s="14">
        <f t="shared" si="8"/>
        <v>-10</v>
      </c>
      <c r="V199" s="9" t="str">
        <f t="shared" si="9"/>
        <v>Low Performance</v>
      </c>
      <c r="W199" s="9"/>
    </row>
    <row r="200" ht="15.75" customHeight="1">
      <c r="A200" s="6">
        <v>46316.0</v>
      </c>
      <c r="B200" s="7" t="s">
        <v>45</v>
      </c>
      <c r="C200" s="18" t="s">
        <v>46</v>
      </c>
      <c r="D200" s="9" t="s">
        <v>27</v>
      </c>
      <c r="E200" s="10">
        <v>0.0</v>
      </c>
      <c r="F200" s="9">
        <f t="shared" si="1"/>
        <v>0</v>
      </c>
      <c r="G200" s="11">
        <v>0.0</v>
      </c>
      <c r="H200" s="9">
        <f t="shared" si="2"/>
        <v>0</v>
      </c>
      <c r="I200" s="11">
        <v>0.0</v>
      </c>
      <c r="J200" s="9">
        <f t="shared" si="12"/>
        <v>0</v>
      </c>
      <c r="K200" s="11">
        <v>0.0</v>
      </c>
      <c r="L200" s="11">
        <v>0.0</v>
      </c>
      <c r="M200" s="14">
        <f t="shared" si="4"/>
        <v>0</v>
      </c>
      <c r="N200" s="11">
        <v>0.0</v>
      </c>
      <c r="O200" s="14">
        <f t="shared" si="5"/>
        <v>0</v>
      </c>
      <c r="P200" s="11">
        <v>0.0</v>
      </c>
      <c r="Q200" s="15">
        <v>0.0</v>
      </c>
      <c r="R200" s="9">
        <v>10.0</v>
      </c>
      <c r="S200" s="16">
        <f t="shared" si="6"/>
        <v>0</v>
      </c>
      <c r="T200" s="17">
        <f t="shared" si="7"/>
        <v>0</v>
      </c>
      <c r="U200" s="14">
        <f t="shared" si="8"/>
        <v>-10</v>
      </c>
      <c r="V200" s="9" t="str">
        <f t="shared" si="9"/>
        <v>Low Performance</v>
      </c>
      <c r="W200" s="9"/>
    </row>
    <row r="201" ht="15.75" customHeight="1">
      <c r="A201" s="6">
        <v>46316.0</v>
      </c>
      <c r="B201" s="7" t="s">
        <v>49</v>
      </c>
      <c r="C201" s="18" t="s">
        <v>46</v>
      </c>
      <c r="D201" s="9" t="s">
        <v>27</v>
      </c>
      <c r="E201" s="10">
        <v>0.0</v>
      </c>
      <c r="F201" s="9">
        <f t="shared" si="1"/>
        <v>0</v>
      </c>
      <c r="G201" s="11">
        <v>0.0</v>
      </c>
      <c r="H201" s="9">
        <f t="shared" si="2"/>
        <v>0</v>
      </c>
      <c r="I201" s="11">
        <v>0.0</v>
      </c>
      <c r="J201" s="9">
        <f t="shared" si="12"/>
        <v>0</v>
      </c>
      <c r="K201" s="11">
        <v>0.0</v>
      </c>
      <c r="L201" s="11">
        <v>0.0</v>
      </c>
      <c r="M201" s="14">
        <f t="shared" si="4"/>
        <v>0</v>
      </c>
      <c r="N201" s="11">
        <v>0.0</v>
      </c>
      <c r="O201" s="14">
        <f t="shared" si="5"/>
        <v>0</v>
      </c>
      <c r="P201" s="11">
        <v>0.0</v>
      </c>
      <c r="Q201" s="15">
        <v>0.0</v>
      </c>
      <c r="R201" s="9">
        <v>10.0</v>
      </c>
      <c r="S201" s="16">
        <f t="shared" si="6"/>
        <v>0</v>
      </c>
      <c r="T201" s="17">
        <f t="shared" si="7"/>
        <v>0</v>
      </c>
      <c r="U201" s="14">
        <f t="shared" si="8"/>
        <v>-10</v>
      </c>
      <c r="V201" s="9" t="str">
        <f t="shared" si="9"/>
        <v>Low Performance</v>
      </c>
      <c r="W201" s="9"/>
    </row>
    <row r="202" ht="15.75" customHeight="1">
      <c r="A202" s="6">
        <v>46316.0</v>
      </c>
      <c r="B202" s="22" t="s">
        <v>50</v>
      </c>
      <c r="C202" s="23" t="s">
        <v>46</v>
      </c>
      <c r="D202" s="24" t="s">
        <v>27</v>
      </c>
      <c r="E202" s="10">
        <v>0.0</v>
      </c>
      <c r="F202" s="9">
        <f t="shared" si="1"/>
        <v>0</v>
      </c>
      <c r="G202" s="11">
        <v>0.0</v>
      </c>
      <c r="H202" s="9">
        <f t="shared" si="2"/>
        <v>0</v>
      </c>
      <c r="I202" s="11">
        <v>0.0</v>
      </c>
      <c r="J202" s="9">
        <f t="shared" si="12"/>
        <v>0</v>
      </c>
      <c r="K202" s="11">
        <v>0.0</v>
      </c>
      <c r="L202" s="11">
        <v>0.0</v>
      </c>
      <c r="M202" s="14">
        <f t="shared" si="4"/>
        <v>0</v>
      </c>
      <c r="N202" s="11">
        <v>0.0</v>
      </c>
      <c r="O202" s="14">
        <f t="shared" si="5"/>
        <v>0</v>
      </c>
      <c r="P202" s="11">
        <v>0.0</v>
      </c>
      <c r="Q202" s="15">
        <v>0.0</v>
      </c>
      <c r="R202" s="9">
        <v>10.0</v>
      </c>
      <c r="S202" s="16">
        <f t="shared" si="6"/>
        <v>0</v>
      </c>
      <c r="T202" s="17">
        <f t="shared" si="7"/>
        <v>0</v>
      </c>
      <c r="U202" s="14">
        <f t="shared" si="8"/>
        <v>-10</v>
      </c>
      <c r="V202" s="9" t="str">
        <f t="shared" si="9"/>
        <v>Low Performance</v>
      </c>
      <c r="W202" s="9"/>
    </row>
    <row r="203" ht="15.75" customHeight="1">
      <c r="A203" s="6">
        <v>46317.0</v>
      </c>
      <c r="B203" s="7" t="s">
        <v>28</v>
      </c>
      <c r="C203" s="9" t="s">
        <v>29</v>
      </c>
      <c r="D203" s="9" t="s">
        <v>27</v>
      </c>
      <c r="E203" s="10">
        <v>0.0</v>
      </c>
      <c r="F203" s="9">
        <f t="shared" si="1"/>
        <v>0</v>
      </c>
      <c r="G203" s="11">
        <v>0.0</v>
      </c>
      <c r="H203" s="9">
        <f t="shared" si="2"/>
        <v>0</v>
      </c>
      <c r="I203" s="11">
        <v>0.0</v>
      </c>
      <c r="J203" s="9">
        <f t="shared" si="12"/>
        <v>0</v>
      </c>
      <c r="K203" s="11">
        <v>0.0</v>
      </c>
      <c r="L203" s="11">
        <v>0.0</v>
      </c>
      <c r="M203" s="14">
        <f t="shared" si="4"/>
        <v>0</v>
      </c>
      <c r="N203" s="11">
        <v>0.0</v>
      </c>
      <c r="O203" s="14">
        <f t="shared" si="5"/>
        <v>0</v>
      </c>
      <c r="P203" s="11">
        <v>0.0</v>
      </c>
      <c r="Q203" s="15">
        <v>0.0</v>
      </c>
      <c r="R203" s="9">
        <v>10.0</v>
      </c>
      <c r="S203" s="16">
        <f t="shared" si="6"/>
        <v>0</v>
      </c>
      <c r="T203" s="17">
        <f t="shared" si="7"/>
        <v>0</v>
      </c>
      <c r="U203" s="14">
        <f t="shared" si="8"/>
        <v>-10</v>
      </c>
      <c r="V203" s="9" t="str">
        <f t="shared" si="9"/>
        <v>Low Performance</v>
      </c>
      <c r="W203" s="9"/>
    </row>
    <row r="204" ht="15.75" customHeight="1">
      <c r="A204" s="6">
        <v>46317.0</v>
      </c>
      <c r="B204" s="7" t="s">
        <v>36</v>
      </c>
      <c r="C204" s="9" t="s">
        <v>29</v>
      </c>
      <c r="D204" s="9" t="s">
        <v>27</v>
      </c>
      <c r="E204" s="10">
        <v>0.0</v>
      </c>
      <c r="F204" s="9">
        <f t="shared" si="1"/>
        <v>0</v>
      </c>
      <c r="G204" s="11">
        <v>0.0</v>
      </c>
      <c r="H204" s="9">
        <f t="shared" si="2"/>
        <v>0</v>
      </c>
      <c r="I204" s="11">
        <v>0.0</v>
      </c>
      <c r="J204" s="9">
        <f t="shared" si="12"/>
        <v>0</v>
      </c>
      <c r="K204" s="11">
        <v>0.0</v>
      </c>
      <c r="L204" s="11">
        <v>0.0</v>
      </c>
      <c r="M204" s="14">
        <f t="shared" si="4"/>
        <v>0</v>
      </c>
      <c r="N204" s="11">
        <v>0.0</v>
      </c>
      <c r="O204" s="14">
        <f t="shared" si="5"/>
        <v>0</v>
      </c>
      <c r="P204" s="11">
        <v>0.0</v>
      </c>
      <c r="Q204" s="15">
        <v>0.0</v>
      </c>
      <c r="R204" s="9">
        <v>10.0</v>
      </c>
      <c r="S204" s="16">
        <f t="shared" si="6"/>
        <v>0</v>
      </c>
      <c r="T204" s="17">
        <f t="shared" si="7"/>
        <v>0</v>
      </c>
      <c r="U204" s="14">
        <f t="shared" si="8"/>
        <v>-10</v>
      </c>
      <c r="V204" s="9" t="str">
        <f t="shared" si="9"/>
        <v>Low Performance</v>
      </c>
      <c r="W204" s="9"/>
    </row>
    <row r="205" ht="15.75" customHeight="1">
      <c r="A205" s="6">
        <v>46317.0</v>
      </c>
      <c r="B205" s="7" t="s">
        <v>37</v>
      </c>
      <c r="C205" s="9" t="s">
        <v>29</v>
      </c>
      <c r="D205" s="9" t="s">
        <v>27</v>
      </c>
      <c r="E205" s="10">
        <v>0.0</v>
      </c>
      <c r="F205" s="9">
        <f t="shared" si="1"/>
        <v>0</v>
      </c>
      <c r="G205" s="11">
        <v>0.0</v>
      </c>
      <c r="H205" s="9">
        <f t="shared" si="2"/>
        <v>0</v>
      </c>
      <c r="I205" s="11">
        <v>0.0</v>
      </c>
      <c r="J205" s="9">
        <f t="shared" si="12"/>
        <v>0</v>
      </c>
      <c r="K205" s="11">
        <v>0.0</v>
      </c>
      <c r="L205" s="11">
        <v>0.0</v>
      </c>
      <c r="M205" s="14">
        <f t="shared" si="4"/>
        <v>0</v>
      </c>
      <c r="N205" s="11">
        <v>0.0</v>
      </c>
      <c r="O205" s="14">
        <f t="shared" si="5"/>
        <v>0</v>
      </c>
      <c r="P205" s="11">
        <v>0.0</v>
      </c>
      <c r="Q205" s="15">
        <v>0.0</v>
      </c>
      <c r="R205" s="9">
        <v>10.0</v>
      </c>
      <c r="S205" s="16">
        <f t="shared" si="6"/>
        <v>0</v>
      </c>
      <c r="T205" s="17">
        <f t="shared" si="7"/>
        <v>0</v>
      </c>
      <c r="U205" s="14">
        <f t="shared" si="8"/>
        <v>-10</v>
      </c>
      <c r="V205" s="9" t="str">
        <f t="shared" si="9"/>
        <v>Low Performance</v>
      </c>
      <c r="W205" s="9"/>
    </row>
    <row r="206" ht="15.75" customHeight="1">
      <c r="A206" s="6">
        <v>46317.0</v>
      </c>
      <c r="B206" s="7" t="s">
        <v>38</v>
      </c>
      <c r="C206" s="9" t="s">
        <v>29</v>
      </c>
      <c r="D206" s="9" t="s">
        <v>27</v>
      </c>
      <c r="E206" s="10">
        <v>0.0</v>
      </c>
      <c r="F206" s="9">
        <f t="shared" si="1"/>
        <v>0</v>
      </c>
      <c r="G206" s="11">
        <v>0.0</v>
      </c>
      <c r="H206" s="9">
        <f t="shared" si="2"/>
        <v>0</v>
      </c>
      <c r="I206" s="11">
        <v>0.0</v>
      </c>
      <c r="J206" s="9">
        <f t="shared" si="12"/>
        <v>0</v>
      </c>
      <c r="K206" s="11">
        <v>0.0</v>
      </c>
      <c r="L206" s="11">
        <v>0.0</v>
      </c>
      <c r="M206" s="14">
        <f t="shared" si="4"/>
        <v>0</v>
      </c>
      <c r="N206" s="11">
        <v>0.0</v>
      </c>
      <c r="O206" s="14">
        <f t="shared" si="5"/>
        <v>0</v>
      </c>
      <c r="P206" s="11">
        <v>0.0</v>
      </c>
      <c r="Q206" s="15">
        <v>0.0</v>
      </c>
      <c r="R206" s="9">
        <v>10.0</v>
      </c>
      <c r="S206" s="16">
        <f t="shared" si="6"/>
        <v>0</v>
      </c>
      <c r="T206" s="17">
        <f t="shared" si="7"/>
        <v>0</v>
      </c>
      <c r="U206" s="14">
        <f t="shared" si="8"/>
        <v>-10</v>
      </c>
      <c r="V206" s="9" t="str">
        <f t="shared" si="9"/>
        <v>Low Performance</v>
      </c>
      <c r="W206" s="9"/>
    </row>
    <row r="207" ht="15.75" customHeight="1">
      <c r="A207" s="6">
        <v>46317.0</v>
      </c>
      <c r="B207" s="20" t="s">
        <v>39</v>
      </c>
      <c r="C207" s="9" t="s">
        <v>40</v>
      </c>
      <c r="D207" s="9" t="s">
        <v>27</v>
      </c>
      <c r="E207" s="10">
        <v>0.0</v>
      </c>
      <c r="F207" s="9">
        <f t="shared" si="1"/>
        <v>0</v>
      </c>
      <c r="G207" s="11">
        <v>0.0</v>
      </c>
      <c r="H207" s="9">
        <f t="shared" si="2"/>
        <v>0</v>
      </c>
      <c r="I207" s="11">
        <v>0.0</v>
      </c>
      <c r="J207" s="9">
        <f t="shared" si="12"/>
        <v>0</v>
      </c>
      <c r="K207" s="11">
        <v>0.0</v>
      </c>
      <c r="L207" s="11">
        <v>0.0</v>
      </c>
      <c r="M207" s="14">
        <f t="shared" si="4"/>
        <v>0</v>
      </c>
      <c r="N207" s="11">
        <v>0.0</v>
      </c>
      <c r="O207" s="14">
        <f t="shared" si="5"/>
        <v>0</v>
      </c>
      <c r="P207" s="11">
        <v>0.0</v>
      </c>
      <c r="Q207" s="15">
        <v>0.0</v>
      </c>
      <c r="R207" s="9">
        <v>10.0</v>
      </c>
      <c r="S207" s="16">
        <f t="shared" si="6"/>
        <v>0</v>
      </c>
      <c r="T207" s="17">
        <f t="shared" si="7"/>
        <v>0</v>
      </c>
      <c r="U207" s="14">
        <f t="shared" si="8"/>
        <v>-10</v>
      </c>
      <c r="V207" s="9" t="str">
        <f t="shared" si="9"/>
        <v>Low Performance</v>
      </c>
      <c r="W207" s="9"/>
    </row>
    <row r="208" ht="15.75" customHeight="1">
      <c r="A208" s="6">
        <v>46317.0</v>
      </c>
      <c r="B208" s="7" t="s">
        <v>41</v>
      </c>
      <c r="C208" s="9" t="s">
        <v>40</v>
      </c>
      <c r="D208" s="9" t="s">
        <v>27</v>
      </c>
      <c r="E208" s="10">
        <v>0.0</v>
      </c>
      <c r="F208" s="9">
        <f t="shared" si="1"/>
        <v>0</v>
      </c>
      <c r="G208" s="11">
        <v>0.0</v>
      </c>
      <c r="H208" s="9">
        <f t="shared" si="2"/>
        <v>0</v>
      </c>
      <c r="I208" s="11">
        <v>0.0</v>
      </c>
      <c r="J208" s="9">
        <f t="shared" si="12"/>
        <v>0</v>
      </c>
      <c r="K208" s="11">
        <v>0.0</v>
      </c>
      <c r="L208" s="11">
        <v>0.0</v>
      </c>
      <c r="M208" s="14">
        <f t="shared" si="4"/>
        <v>0</v>
      </c>
      <c r="N208" s="11">
        <v>0.0</v>
      </c>
      <c r="O208" s="14">
        <f t="shared" si="5"/>
        <v>0</v>
      </c>
      <c r="P208" s="11">
        <v>0.0</v>
      </c>
      <c r="Q208" s="15">
        <v>0.0</v>
      </c>
      <c r="R208" s="9">
        <v>10.0</v>
      </c>
      <c r="S208" s="16">
        <f t="shared" si="6"/>
        <v>0</v>
      </c>
      <c r="T208" s="17">
        <f t="shared" si="7"/>
        <v>0</v>
      </c>
      <c r="U208" s="14">
        <f t="shared" si="8"/>
        <v>-10</v>
      </c>
      <c r="V208" s="9" t="str">
        <f t="shared" si="9"/>
        <v>Low Performance</v>
      </c>
      <c r="W208" s="9"/>
    </row>
    <row r="209" ht="15.75" customHeight="1">
      <c r="A209" s="6">
        <v>46317.0</v>
      </c>
      <c r="B209" s="7" t="s">
        <v>42</v>
      </c>
      <c r="C209" s="9" t="s">
        <v>40</v>
      </c>
      <c r="D209" s="9" t="s">
        <v>27</v>
      </c>
      <c r="E209" s="10">
        <v>0.0</v>
      </c>
      <c r="F209" s="9">
        <f t="shared" si="1"/>
        <v>0</v>
      </c>
      <c r="G209" s="11">
        <v>0.0</v>
      </c>
      <c r="H209" s="9">
        <f t="shared" si="2"/>
        <v>0</v>
      </c>
      <c r="I209" s="11">
        <v>0.0</v>
      </c>
      <c r="J209" s="9">
        <f t="shared" si="12"/>
        <v>0</v>
      </c>
      <c r="K209" s="11">
        <v>0.0</v>
      </c>
      <c r="L209" s="11">
        <v>0.0</v>
      </c>
      <c r="M209" s="14">
        <f t="shared" si="4"/>
        <v>0</v>
      </c>
      <c r="N209" s="11">
        <v>0.0</v>
      </c>
      <c r="O209" s="14">
        <f t="shared" si="5"/>
        <v>0</v>
      </c>
      <c r="P209" s="11">
        <v>0.0</v>
      </c>
      <c r="Q209" s="15">
        <v>0.0</v>
      </c>
      <c r="R209" s="9">
        <v>10.0</v>
      </c>
      <c r="S209" s="16">
        <f t="shared" si="6"/>
        <v>0</v>
      </c>
      <c r="T209" s="17">
        <f t="shared" si="7"/>
        <v>0</v>
      </c>
      <c r="U209" s="14">
        <f t="shared" si="8"/>
        <v>-10</v>
      </c>
      <c r="V209" s="9" t="str">
        <f t="shared" si="9"/>
        <v>Low Performance</v>
      </c>
      <c r="W209" s="9"/>
    </row>
    <row r="210" ht="15.75" customHeight="1">
      <c r="A210" s="6">
        <v>46317.0</v>
      </c>
      <c r="B210" s="7" t="s">
        <v>43</v>
      </c>
      <c r="C210" s="9" t="s">
        <v>40</v>
      </c>
      <c r="D210" s="9" t="s">
        <v>27</v>
      </c>
      <c r="E210" s="10">
        <v>0.0</v>
      </c>
      <c r="F210" s="9">
        <f t="shared" si="1"/>
        <v>0</v>
      </c>
      <c r="G210" s="11">
        <v>0.0</v>
      </c>
      <c r="H210" s="9">
        <f t="shared" si="2"/>
        <v>0</v>
      </c>
      <c r="I210" s="11">
        <v>0.0</v>
      </c>
      <c r="J210" s="9">
        <f t="shared" si="12"/>
        <v>0</v>
      </c>
      <c r="K210" s="11">
        <v>0.0</v>
      </c>
      <c r="L210" s="11">
        <v>0.0</v>
      </c>
      <c r="M210" s="14">
        <f t="shared" si="4"/>
        <v>0</v>
      </c>
      <c r="N210" s="11">
        <v>0.0</v>
      </c>
      <c r="O210" s="14">
        <f t="shared" si="5"/>
        <v>0</v>
      </c>
      <c r="P210" s="11">
        <v>0.0</v>
      </c>
      <c r="Q210" s="15">
        <v>0.0</v>
      </c>
      <c r="R210" s="9">
        <v>10.0</v>
      </c>
      <c r="S210" s="16">
        <f t="shared" si="6"/>
        <v>0</v>
      </c>
      <c r="T210" s="17">
        <f t="shared" si="7"/>
        <v>0</v>
      </c>
      <c r="U210" s="14">
        <f t="shared" si="8"/>
        <v>-10</v>
      </c>
      <c r="V210" s="9" t="str">
        <f t="shared" si="9"/>
        <v>Low Performance</v>
      </c>
      <c r="W210" s="9"/>
    </row>
    <row r="211" ht="15.75" customHeight="1">
      <c r="A211" s="6">
        <v>46317.0</v>
      </c>
      <c r="B211" s="7" t="s">
        <v>45</v>
      </c>
      <c r="C211" s="18" t="s">
        <v>46</v>
      </c>
      <c r="D211" s="9" t="s">
        <v>27</v>
      </c>
      <c r="E211" s="10">
        <v>0.0</v>
      </c>
      <c r="F211" s="9">
        <f t="shared" si="1"/>
        <v>0</v>
      </c>
      <c r="G211" s="11">
        <v>0.0</v>
      </c>
      <c r="H211" s="9">
        <f t="shared" si="2"/>
        <v>0</v>
      </c>
      <c r="I211" s="11">
        <v>0.0</v>
      </c>
      <c r="J211" s="9">
        <f t="shared" si="12"/>
        <v>0</v>
      </c>
      <c r="K211" s="11">
        <v>0.0</v>
      </c>
      <c r="L211" s="11">
        <v>0.0</v>
      </c>
      <c r="M211" s="14">
        <f t="shared" si="4"/>
        <v>0</v>
      </c>
      <c r="N211" s="11">
        <v>0.0</v>
      </c>
      <c r="O211" s="14">
        <f t="shared" si="5"/>
        <v>0</v>
      </c>
      <c r="P211" s="11">
        <v>0.0</v>
      </c>
      <c r="Q211" s="15">
        <v>0.0</v>
      </c>
      <c r="R211" s="9">
        <v>10.0</v>
      </c>
      <c r="S211" s="16">
        <f t="shared" si="6"/>
        <v>0</v>
      </c>
      <c r="T211" s="17">
        <f t="shared" si="7"/>
        <v>0</v>
      </c>
      <c r="U211" s="14">
        <f t="shared" si="8"/>
        <v>-10</v>
      </c>
      <c r="V211" s="9" t="str">
        <f t="shared" si="9"/>
        <v>Low Performance</v>
      </c>
      <c r="W211" s="9"/>
    </row>
    <row r="212" ht="15.75" customHeight="1">
      <c r="A212" s="6">
        <v>46317.0</v>
      </c>
      <c r="B212" s="7" t="s">
        <v>49</v>
      </c>
      <c r="C212" s="18" t="s">
        <v>46</v>
      </c>
      <c r="D212" s="9" t="s">
        <v>27</v>
      </c>
      <c r="E212" s="10">
        <v>0.0</v>
      </c>
      <c r="F212" s="9">
        <f t="shared" si="1"/>
        <v>0</v>
      </c>
      <c r="G212" s="11">
        <v>0.0</v>
      </c>
      <c r="H212" s="9">
        <f t="shared" si="2"/>
        <v>0</v>
      </c>
      <c r="I212" s="11">
        <v>0.0</v>
      </c>
      <c r="J212" s="9">
        <f t="shared" si="12"/>
        <v>0</v>
      </c>
      <c r="K212" s="11">
        <v>0.0</v>
      </c>
      <c r="L212" s="11">
        <v>0.0</v>
      </c>
      <c r="M212" s="14">
        <f t="shared" si="4"/>
        <v>0</v>
      </c>
      <c r="N212" s="11">
        <v>0.0</v>
      </c>
      <c r="O212" s="14">
        <f t="shared" si="5"/>
        <v>0</v>
      </c>
      <c r="P212" s="11">
        <v>0.0</v>
      </c>
      <c r="Q212" s="15">
        <v>0.0</v>
      </c>
      <c r="R212" s="9">
        <v>10.0</v>
      </c>
      <c r="S212" s="16">
        <f t="shared" si="6"/>
        <v>0</v>
      </c>
      <c r="T212" s="17">
        <f t="shared" si="7"/>
        <v>0</v>
      </c>
      <c r="U212" s="14">
        <f t="shared" si="8"/>
        <v>-10</v>
      </c>
      <c r="V212" s="9" t="str">
        <f t="shared" si="9"/>
        <v>Low Performance</v>
      </c>
      <c r="W212" s="9"/>
    </row>
    <row r="213" ht="15.75" customHeight="1">
      <c r="A213" s="6">
        <v>46317.0</v>
      </c>
      <c r="B213" s="22" t="s">
        <v>50</v>
      </c>
      <c r="C213" s="23" t="s">
        <v>46</v>
      </c>
      <c r="D213" s="24" t="s">
        <v>27</v>
      </c>
      <c r="E213" s="10">
        <v>0.0</v>
      </c>
      <c r="F213" s="9">
        <f t="shared" si="1"/>
        <v>0</v>
      </c>
      <c r="G213" s="11">
        <v>0.0</v>
      </c>
      <c r="H213" s="9">
        <f t="shared" si="2"/>
        <v>0</v>
      </c>
      <c r="I213" s="11">
        <v>0.0</v>
      </c>
      <c r="J213" s="9">
        <f t="shared" si="12"/>
        <v>0</v>
      </c>
      <c r="K213" s="11">
        <v>0.0</v>
      </c>
      <c r="L213" s="11">
        <v>0.0</v>
      </c>
      <c r="M213" s="14">
        <f t="shared" si="4"/>
        <v>0</v>
      </c>
      <c r="N213" s="11">
        <v>0.0</v>
      </c>
      <c r="O213" s="14">
        <f t="shared" si="5"/>
        <v>0</v>
      </c>
      <c r="P213" s="11">
        <v>0.0</v>
      </c>
      <c r="Q213" s="15">
        <v>0.0</v>
      </c>
      <c r="R213" s="9">
        <v>10.0</v>
      </c>
      <c r="S213" s="16">
        <f t="shared" si="6"/>
        <v>0</v>
      </c>
      <c r="T213" s="17">
        <f t="shared" si="7"/>
        <v>0</v>
      </c>
      <c r="U213" s="14">
        <f t="shared" si="8"/>
        <v>-10</v>
      </c>
      <c r="V213" s="9" t="str">
        <f t="shared" si="9"/>
        <v>Low Performance</v>
      </c>
      <c r="W213" s="9"/>
    </row>
    <row r="214" ht="15.75" customHeight="1">
      <c r="A214" s="6">
        <v>46319.0</v>
      </c>
      <c r="B214" s="7" t="s">
        <v>28</v>
      </c>
      <c r="C214" s="9" t="s">
        <v>29</v>
      </c>
      <c r="D214" s="9" t="s">
        <v>27</v>
      </c>
      <c r="E214" s="10">
        <v>0.0</v>
      </c>
      <c r="F214" s="9">
        <f t="shared" si="1"/>
        <v>0</v>
      </c>
      <c r="G214" s="11">
        <v>0.0</v>
      </c>
      <c r="H214" s="9">
        <f t="shared" si="2"/>
        <v>0</v>
      </c>
      <c r="I214" s="11">
        <v>0.0</v>
      </c>
      <c r="J214" s="9">
        <f t="shared" si="12"/>
        <v>0</v>
      </c>
      <c r="K214" s="11">
        <v>0.0</v>
      </c>
      <c r="L214" s="11">
        <v>0.0</v>
      </c>
      <c r="M214" s="14">
        <f t="shared" si="4"/>
        <v>0</v>
      </c>
      <c r="N214" s="11">
        <v>0.0</v>
      </c>
      <c r="O214" s="14">
        <f t="shared" si="5"/>
        <v>0</v>
      </c>
      <c r="P214" s="11">
        <v>0.0</v>
      </c>
      <c r="Q214" s="15">
        <v>0.0</v>
      </c>
      <c r="R214" s="9">
        <v>10.0</v>
      </c>
      <c r="S214" s="16">
        <f t="shared" si="6"/>
        <v>0</v>
      </c>
      <c r="T214" s="17">
        <f t="shared" si="7"/>
        <v>0</v>
      </c>
      <c r="U214" s="14">
        <f t="shared" si="8"/>
        <v>-10</v>
      </c>
      <c r="V214" s="9" t="str">
        <f t="shared" si="9"/>
        <v>Low Performance</v>
      </c>
      <c r="W214" s="9"/>
    </row>
    <row r="215" ht="15.75" customHeight="1">
      <c r="A215" s="6">
        <v>46319.0</v>
      </c>
      <c r="B215" s="7" t="s">
        <v>36</v>
      </c>
      <c r="C215" s="9" t="s">
        <v>29</v>
      </c>
      <c r="D215" s="9" t="s">
        <v>27</v>
      </c>
      <c r="E215" s="10">
        <v>0.0</v>
      </c>
      <c r="F215" s="9">
        <f t="shared" si="1"/>
        <v>0</v>
      </c>
      <c r="G215" s="11">
        <v>0.0</v>
      </c>
      <c r="H215" s="9">
        <f t="shared" si="2"/>
        <v>0</v>
      </c>
      <c r="I215" s="11">
        <v>0.0</v>
      </c>
      <c r="J215" s="9">
        <f t="shared" si="12"/>
        <v>0</v>
      </c>
      <c r="K215" s="11">
        <v>0.0</v>
      </c>
      <c r="L215" s="11">
        <v>0.0</v>
      </c>
      <c r="M215" s="14">
        <f t="shared" si="4"/>
        <v>0</v>
      </c>
      <c r="N215" s="11">
        <v>0.0</v>
      </c>
      <c r="O215" s="14">
        <f t="shared" si="5"/>
        <v>0</v>
      </c>
      <c r="P215" s="11">
        <v>0.0</v>
      </c>
      <c r="Q215" s="15">
        <v>0.0</v>
      </c>
      <c r="R215" s="9">
        <v>10.0</v>
      </c>
      <c r="S215" s="16">
        <f t="shared" si="6"/>
        <v>0</v>
      </c>
      <c r="T215" s="17">
        <f t="shared" si="7"/>
        <v>0</v>
      </c>
      <c r="U215" s="14">
        <f t="shared" si="8"/>
        <v>-10</v>
      </c>
      <c r="V215" s="9" t="str">
        <f t="shared" si="9"/>
        <v>Low Performance</v>
      </c>
      <c r="W215" s="9"/>
    </row>
    <row r="216" ht="15.75" customHeight="1">
      <c r="A216" s="6">
        <v>46319.0</v>
      </c>
      <c r="B216" s="7" t="s">
        <v>37</v>
      </c>
      <c r="C216" s="9" t="s">
        <v>29</v>
      </c>
      <c r="D216" s="9" t="s">
        <v>27</v>
      </c>
      <c r="E216" s="10">
        <v>0.0</v>
      </c>
      <c r="F216" s="9">
        <f t="shared" si="1"/>
        <v>0</v>
      </c>
      <c r="G216" s="11">
        <v>0.0</v>
      </c>
      <c r="H216" s="9">
        <f t="shared" si="2"/>
        <v>0</v>
      </c>
      <c r="I216" s="11">
        <v>0.0</v>
      </c>
      <c r="J216" s="9">
        <f t="shared" si="12"/>
        <v>0</v>
      </c>
      <c r="K216" s="11">
        <v>0.0</v>
      </c>
      <c r="L216" s="11">
        <v>0.0</v>
      </c>
      <c r="M216" s="14">
        <f t="shared" si="4"/>
        <v>0</v>
      </c>
      <c r="N216" s="11">
        <v>0.0</v>
      </c>
      <c r="O216" s="14">
        <f t="shared" si="5"/>
        <v>0</v>
      </c>
      <c r="P216" s="11">
        <v>0.0</v>
      </c>
      <c r="Q216" s="15">
        <v>0.0</v>
      </c>
      <c r="R216" s="9">
        <v>10.0</v>
      </c>
      <c r="S216" s="16">
        <f t="shared" si="6"/>
        <v>0</v>
      </c>
      <c r="T216" s="17">
        <f t="shared" si="7"/>
        <v>0</v>
      </c>
      <c r="U216" s="14">
        <f t="shared" si="8"/>
        <v>-10</v>
      </c>
      <c r="V216" s="9" t="str">
        <f t="shared" si="9"/>
        <v>Low Performance</v>
      </c>
      <c r="W216" s="9"/>
    </row>
    <row r="217" ht="15.75" customHeight="1">
      <c r="A217" s="6">
        <v>46319.0</v>
      </c>
      <c r="B217" s="7" t="s">
        <v>38</v>
      </c>
      <c r="C217" s="9" t="s">
        <v>29</v>
      </c>
      <c r="D217" s="9" t="s">
        <v>27</v>
      </c>
      <c r="E217" s="10">
        <v>0.0</v>
      </c>
      <c r="F217" s="9">
        <f t="shared" si="1"/>
        <v>0</v>
      </c>
      <c r="G217" s="11">
        <v>0.0</v>
      </c>
      <c r="H217" s="9">
        <f t="shared" si="2"/>
        <v>0</v>
      </c>
      <c r="I217" s="11">
        <v>0.0</v>
      </c>
      <c r="J217" s="9">
        <f t="shared" si="12"/>
        <v>0</v>
      </c>
      <c r="K217" s="11">
        <v>0.0</v>
      </c>
      <c r="L217" s="11">
        <v>0.0</v>
      </c>
      <c r="M217" s="14">
        <f t="shared" si="4"/>
        <v>0</v>
      </c>
      <c r="N217" s="11">
        <v>0.0</v>
      </c>
      <c r="O217" s="14">
        <f t="shared" si="5"/>
        <v>0</v>
      </c>
      <c r="P217" s="11">
        <v>0.0</v>
      </c>
      <c r="Q217" s="15">
        <v>0.0</v>
      </c>
      <c r="R217" s="9">
        <v>10.0</v>
      </c>
      <c r="S217" s="16">
        <f t="shared" si="6"/>
        <v>0</v>
      </c>
      <c r="T217" s="17">
        <f t="shared" si="7"/>
        <v>0</v>
      </c>
      <c r="U217" s="14">
        <f t="shared" si="8"/>
        <v>-10</v>
      </c>
      <c r="V217" s="9" t="str">
        <f t="shared" si="9"/>
        <v>Low Performance</v>
      </c>
      <c r="W217" s="9"/>
    </row>
    <row r="218" ht="15.75" customHeight="1">
      <c r="A218" s="6">
        <v>46319.0</v>
      </c>
      <c r="B218" s="20" t="s">
        <v>39</v>
      </c>
      <c r="C218" s="9" t="s">
        <v>40</v>
      </c>
      <c r="D218" s="9" t="s">
        <v>27</v>
      </c>
      <c r="E218" s="10">
        <v>0.0</v>
      </c>
      <c r="F218" s="9">
        <f t="shared" si="1"/>
        <v>0</v>
      </c>
      <c r="G218" s="11">
        <v>0.0</v>
      </c>
      <c r="H218" s="9">
        <f t="shared" si="2"/>
        <v>0</v>
      </c>
      <c r="I218" s="11">
        <v>0.0</v>
      </c>
      <c r="J218" s="9">
        <f t="shared" si="12"/>
        <v>0</v>
      </c>
      <c r="K218" s="11">
        <v>0.0</v>
      </c>
      <c r="L218" s="11">
        <v>0.0</v>
      </c>
      <c r="M218" s="14">
        <f t="shared" si="4"/>
        <v>0</v>
      </c>
      <c r="N218" s="11">
        <v>0.0</v>
      </c>
      <c r="O218" s="14">
        <f t="shared" si="5"/>
        <v>0</v>
      </c>
      <c r="P218" s="11">
        <v>0.0</v>
      </c>
      <c r="Q218" s="15">
        <v>0.0</v>
      </c>
      <c r="R218" s="9">
        <v>10.0</v>
      </c>
      <c r="S218" s="16">
        <f t="shared" si="6"/>
        <v>0</v>
      </c>
      <c r="T218" s="17">
        <f t="shared" si="7"/>
        <v>0</v>
      </c>
      <c r="U218" s="14">
        <f t="shared" si="8"/>
        <v>-10</v>
      </c>
      <c r="V218" s="9" t="str">
        <f t="shared" si="9"/>
        <v>Low Performance</v>
      </c>
      <c r="W218" s="9"/>
    </row>
    <row r="219" ht="15.75" customHeight="1">
      <c r="A219" s="6">
        <v>46319.0</v>
      </c>
      <c r="B219" s="7" t="s">
        <v>41</v>
      </c>
      <c r="C219" s="9" t="s">
        <v>40</v>
      </c>
      <c r="D219" s="9" t="s">
        <v>27</v>
      </c>
      <c r="E219" s="10">
        <v>0.0</v>
      </c>
      <c r="F219" s="9">
        <f t="shared" si="1"/>
        <v>0</v>
      </c>
      <c r="G219" s="11">
        <v>0.0</v>
      </c>
      <c r="H219" s="9">
        <f t="shared" si="2"/>
        <v>0</v>
      </c>
      <c r="I219" s="11">
        <v>0.0</v>
      </c>
      <c r="J219" s="9">
        <f t="shared" si="12"/>
        <v>0</v>
      </c>
      <c r="K219" s="11">
        <v>0.0</v>
      </c>
      <c r="L219" s="11">
        <v>0.0</v>
      </c>
      <c r="M219" s="14">
        <f t="shared" si="4"/>
        <v>0</v>
      </c>
      <c r="N219" s="11">
        <v>0.0</v>
      </c>
      <c r="O219" s="14">
        <f t="shared" si="5"/>
        <v>0</v>
      </c>
      <c r="P219" s="11">
        <v>0.0</v>
      </c>
      <c r="Q219" s="15">
        <v>0.0</v>
      </c>
      <c r="R219" s="9">
        <v>10.0</v>
      </c>
      <c r="S219" s="16">
        <f t="shared" si="6"/>
        <v>0</v>
      </c>
      <c r="T219" s="17">
        <f t="shared" si="7"/>
        <v>0</v>
      </c>
      <c r="U219" s="14">
        <f t="shared" si="8"/>
        <v>-10</v>
      </c>
      <c r="V219" s="9" t="str">
        <f t="shared" si="9"/>
        <v>Low Performance</v>
      </c>
      <c r="W219" s="9"/>
    </row>
    <row r="220" ht="15.75" customHeight="1">
      <c r="A220" s="6">
        <v>46319.0</v>
      </c>
      <c r="B220" s="7" t="s">
        <v>42</v>
      </c>
      <c r="C220" s="9" t="s">
        <v>40</v>
      </c>
      <c r="D220" s="9" t="s">
        <v>27</v>
      </c>
      <c r="E220" s="10">
        <v>0.0</v>
      </c>
      <c r="F220" s="9">
        <f t="shared" si="1"/>
        <v>0</v>
      </c>
      <c r="G220" s="11">
        <v>0.0</v>
      </c>
      <c r="H220" s="9">
        <f t="shared" si="2"/>
        <v>0</v>
      </c>
      <c r="I220" s="11">
        <v>0.0</v>
      </c>
      <c r="J220" s="9">
        <f t="shared" si="12"/>
        <v>0</v>
      </c>
      <c r="K220" s="11">
        <v>0.0</v>
      </c>
      <c r="L220" s="11">
        <v>0.0</v>
      </c>
      <c r="M220" s="14">
        <f t="shared" si="4"/>
        <v>0</v>
      </c>
      <c r="N220" s="11">
        <v>0.0</v>
      </c>
      <c r="O220" s="14">
        <f t="shared" si="5"/>
        <v>0</v>
      </c>
      <c r="P220" s="11">
        <v>0.0</v>
      </c>
      <c r="Q220" s="15">
        <v>0.0</v>
      </c>
      <c r="R220" s="9">
        <v>10.0</v>
      </c>
      <c r="S220" s="16">
        <f t="shared" si="6"/>
        <v>0</v>
      </c>
      <c r="T220" s="17">
        <f t="shared" si="7"/>
        <v>0</v>
      </c>
      <c r="U220" s="14">
        <f t="shared" si="8"/>
        <v>-10</v>
      </c>
      <c r="V220" s="9" t="str">
        <f t="shared" si="9"/>
        <v>Low Performance</v>
      </c>
      <c r="W220" s="9"/>
    </row>
    <row r="221" ht="15.75" customHeight="1">
      <c r="A221" s="6">
        <v>46319.0</v>
      </c>
      <c r="B221" s="7" t="s">
        <v>43</v>
      </c>
      <c r="C221" s="9" t="s">
        <v>40</v>
      </c>
      <c r="D221" s="9" t="s">
        <v>27</v>
      </c>
      <c r="E221" s="10">
        <v>0.0</v>
      </c>
      <c r="F221" s="9">
        <f t="shared" si="1"/>
        <v>0</v>
      </c>
      <c r="G221" s="11">
        <v>0.0</v>
      </c>
      <c r="H221" s="9">
        <f t="shared" si="2"/>
        <v>0</v>
      </c>
      <c r="I221" s="11">
        <v>0.0</v>
      </c>
      <c r="J221" s="9">
        <f t="shared" si="12"/>
        <v>0</v>
      </c>
      <c r="K221" s="11">
        <v>0.0</v>
      </c>
      <c r="L221" s="11">
        <v>0.0</v>
      </c>
      <c r="M221" s="14">
        <f t="shared" si="4"/>
        <v>0</v>
      </c>
      <c r="N221" s="11">
        <v>0.0</v>
      </c>
      <c r="O221" s="14">
        <f t="shared" si="5"/>
        <v>0</v>
      </c>
      <c r="P221" s="11">
        <v>0.0</v>
      </c>
      <c r="Q221" s="15">
        <v>0.0</v>
      </c>
      <c r="R221" s="9">
        <v>10.0</v>
      </c>
      <c r="S221" s="16">
        <f t="shared" si="6"/>
        <v>0</v>
      </c>
      <c r="T221" s="17">
        <f t="shared" si="7"/>
        <v>0</v>
      </c>
      <c r="U221" s="14">
        <f t="shared" si="8"/>
        <v>-10</v>
      </c>
      <c r="V221" s="9" t="str">
        <f t="shared" si="9"/>
        <v>Low Performance</v>
      </c>
      <c r="W221" s="9"/>
    </row>
    <row r="222" ht="15.75" customHeight="1">
      <c r="A222" s="6">
        <v>46319.0</v>
      </c>
      <c r="B222" s="7" t="s">
        <v>45</v>
      </c>
      <c r="C222" s="18" t="s">
        <v>46</v>
      </c>
      <c r="D222" s="9" t="s">
        <v>27</v>
      </c>
      <c r="E222" s="10">
        <v>0.0</v>
      </c>
      <c r="F222" s="9">
        <f t="shared" si="1"/>
        <v>0</v>
      </c>
      <c r="G222" s="11">
        <v>0.0</v>
      </c>
      <c r="H222" s="9">
        <f t="shared" si="2"/>
        <v>0</v>
      </c>
      <c r="I222" s="11">
        <v>0.0</v>
      </c>
      <c r="J222" s="9">
        <f t="shared" si="12"/>
        <v>0</v>
      </c>
      <c r="K222" s="11">
        <v>0.0</v>
      </c>
      <c r="L222" s="11">
        <v>0.0</v>
      </c>
      <c r="M222" s="14">
        <f t="shared" si="4"/>
        <v>0</v>
      </c>
      <c r="N222" s="11">
        <v>0.0</v>
      </c>
      <c r="O222" s="14">
        <f t="shared" si="5"/>
        <v>0</v>
      </c>
      <c r="P222" s="11">
        <v>0.0</v>
      </c>
      <c r="Q222" s="15">
        <v>0.0</v>
      </c>
      <c r="R222" s="9">
        <v>10.0</v>
      </c>
      <c r="S222" s="16">
        <f t="shared" si="6"/>
        <v>0</v>
      </c>
      <c r="T222" s="17">
        <f t="shared" si="7"/>
        <v>0</v>
      </c>
      <c r="U222" s="14">
        <f t="shared" si="8"/>
        <v>-10</v>
      </c>
      <c r="V222" s="9" t="str">
        <f t="shared" si="9"/>
        <v>Low Performance</v>
      </c>
      <c r="W222" s="9"/>
    </row>
    <row r="223" ht="15.75" customHeight="1">
      <c r="A223" s="6">
        <v>46319.0</v>
      </c>
      <c r="B223" s="7" t="s">
        <v>49</v>
      </c>
      <c r="C223" s="18" t="s">
        <v>46</v>
      </c>
      <c r="D223" s="9" t="s">
        <v>27</v>
      </c>
      <c r="E223" s="10">
        <v>0.0</v>
      </c>
      <c r="F223" s="9">
        <f t="shared" si="1"/>
        <v>0</v>
      </c>
      <c r="G223" s="11">
        <v>0.0</v>
      </c>
      <c r="H223" s="9">
        <f t="shared" si="2"/>
        <v>0</v>
      </c>
      <c r="I223" s="11">
        <v>0.0</v>
      </c>
      <c r="J223" s="9">
        <f t="shared" si="12"/>
        <v>0</v>
      </c>
      <c r="K223" s="11">
        <v>0.0</v>
      </c>
      <c r="L223" s="11">
        <v>0.0</v>
      </c>
      <c r="M223" s="14">
        <f t="shared" si="4"/>
        <v>0</v>
      </c>
      <c r="N223" s="11">
        <v>0.0</v>
      </c>
      <c r="O223" s="14">
        <f t="shared" si="5"/>
        <v>0</v>
      </c>
      <c r="P223" s="11">
        <v>0.0</v>
      </c>
      <c r="Q223" s="15">
        <v>0.0</v>
      </c>
      <c r="R223" s="9">
        <v>10.0</v>
      </c>
      <c r="S223" s="16">
        <f t="shared" si="6"/>
        <v>0</v>
      </c>
      <c r="T223" s="17">
        <f t="shared" si="7"/>
        <v>0</v>
      </c>
      <c r="U223" s="14">
        <f t="shared" si="8"/>
        <v>-10</v>
      </c>
      <c r="V223" s="9" t="str">
        <f t="shared" si="9"/>
        <v>Low Performance</v>
      </c>
      <c r="W223" s="9"/>
    </row>
    <row r="224" ht="15.75" customHeight="1">
      <c r="A224" s="6">
        <v>46319.0</v>
      </c>
      <c r="B224" s="22" t="s">
        <v>50</v>
      </c>
      <c r="C224" s="23" t="s">
        <v>46</v>
      </c>
      <c r="D224" s="24" t="s">
        <v>27</v>
      </c>
      <c r="E224" s="10">
        <v>0.0</v>
      </c>
      <c r="F224" s="9">
        <f t="shared" si="1"/>
        <v>0</v>
      </c>
      <c r="G224" s="11">
        <v>0.0</v>
      </c>
      <c r="H224" s="9">
        <f t="shared" si="2"/>
        <v>0</v>
      </c>
      <c r="I224" s="11">
        <v>0.0</v>
      </c>
      <c r="J224" s="9">
        <f t="shared" si="12"/>
        <v>0</v>
      </c>
      <c r="K224" s="11">
        <v>0.0</v>
      </c>
      <c r="L224" s="11">
        <v>0.0</v>
      </c>
      <c r="M224" s="14">
        <f t="shared" si="4"/>
        <v>0</v>
      </c>
      <c r="N224" s="11">
        <v>0.0</v>
      </c>
      <c r="O224" s="14">
        <f t="shared" si="5"/>
        <v>0</v>
      </c>
      <c r="P224" s="11">
        <v>0.0</v>
      </c>
      <c r="Q224" s="15">
        <v>0.0</v>
      </c>
      <c r="R224" s="9">
        <v>10.0</v>
      </c>
      <c r="S224" s="16">
        <f t="shared" si="6"/>
        <v>0</v>
      </c>
      <c r="T224" s="17">
        <f t="shared" si="7"/>
        <v>0</v>
      </c>
      <c r="U224" s="14">
        <f t="shared" si="8"/>
        <v>-10</v>
      </c>
      <c r="V224" s="9" t="str">
        <f t="shared" si="9"/>
        <v>Low Performance</v>
      </c>
      <c r="W224" s="9"/>
    </row>
    <row r="225" ht="15.75" customHeight="1">
      <c r="A225" s="6">
        <v>46320.0</v>
      </c>
      <c r="B225" s="7" t="s">
        <v>28</v>
      </c>
      <c r="C225" s="9" t="s">
        <v>29</v>
      </c>
      <c r="D225" s="9" t="s">
        <v>27</v>
      </c>
      <c r="E225" s="10">
        <v>0.0</v>
      </c>
      <c r="F225" s="9">
        <f t="shared" si="1"/>
        <v>0</v>
      </c>
      <c r="G225" s="11">
        <v>0.0</v>
      </c>
      <c r="H225" s="9">
        <f t="shared" si="2"/>
        <v>0</v>
      </c>
      <c r="I225" s="11">
        <v>0.0</v>
      </c>
      <c r="J225" s="9">
        <f t="shared" si="12"/>
        <v>0</v>
      </c>
      <c r="K225" s="11">
        <v>0.0</v>
      </c>
      <c r="L225" s="11">
        <v>0.0</v>
      </c>
      <c r="M225" s="14">
        <f t="shared" si="4"/>
        <v>0</v>
      </c>
      <c r="N225" s="11">
        <v>0.0</v>
      </c>
      <c r="O225" s="14">
        <f t="shared" si="5"/>
        <v>0</v>
      </c>
      <c r="P225" s="11">
        <v>0.0</v>
      </c>
      <c r="Q225" s="15">
        <v>0.0</v>
      </c>
      <c r="R225" s="9">
        <v>10.0</v>
      </c>
      <c r="S225" s="16">
        <f t="shared" si="6"/>
        <v>0</v>
      </c>
      <c r="T225" s="17">
        <f t="shared" si="7"/>
        <v>0</v>
      </c>
      <c r="U225" s="14">
        <f t="shared" si="8"/>
        <v>-10</v>
      </c>
      <c r="V225" s="9" t="str">
        <f t="shared" si="9"/>
        <v>Low Performance</v>
      </c>
      <c r="W225" s="9"/>
    </row>
    <row r="226" ht="15.75" customHeight="1">
      <c r="A226" s="6">
        <v>46320.0</v>
      </c>
      <c r="B226" s="7" t="s">
        <v>36</v>
      </c>
      <c r="C226" s="9" t="s">
        <v>29</v>
      </c>
      <c r="D226" s="9" t="s">
        <v>27</v>
      </c>
      <c r="E226" s="10">
        <v>0.0</v>
      </c>
      <c r="F226" s="9">
        <f t="shared" si="1"/>
        <v>0</v>
      </c>
      <c r="G226" s="11">
        <v>0.0</v>
      </c>
      <c r="H226" s="9">
        <f t="shared" si="2"/>
        <v>0</v>
      </c>
      <c r="I226" s="11">
        <v>0.0</v>
      </c>
      <c r="J226" s="9">
        <f t="shared" si="12"/>
        <v>0</v>
      </c>
      <c r="K226" s="11">
        <v>0.0</v>
      </c>
      <c r="L226" s="11">
        <v>0.0</v>
      </c>
      <c r="M226" s="14">
        <f t="shared" si="4"/>
        <v>0</v>
      </c>
      <c r="N226" s="11">
        <v>0.0</v>
      </c>
      <c r="O226" s="14">
        <f t="shared" si="5"/>
        <v>0</v>
      </c>
      <c r="P226" s="11">
        <v>0.0</v>
      </c>
      <c r="Q226" s="15">
        <v>0.0</v>
      </c>
      <c r="R226" s="9">
        <v>10.0</v>
      </c>
      <c r="S226" s="16">
        <f t="shared" si="6"/>
        <v>0</v>
      </c>
      <c r="T226" s="17">
        <f t="shared" si="7"/>
        <v>0</v>
      </c>
      <c r="U226" s="14">
        <f t="shared" si="8"/>
        <v>-10</v>
      </c>
      <c r="V226" s="9" t="str">
        <f t="shared" si="9"/>
        <v>Low Performance</v>
      </c>
      <c r="W226" s="9"/>
    </row>
    <row r="227" ht="15.75" customHeight="1">
      <c r="A227" s="6">
        <v>46320.0</v>
      </c>
      <c r="B227" s="7" t="s">
        <v>37</v>
      </c>
      <c r="C227" s="9" t="s">
        <v>29</v>
      </c>
      <c r="D227" s="9" t="s">
        <v>27</v>
      </c>
      <c r="E227" s="10">
        <v>0.0</v>
      </c>
      <c r="F227" s="9">
        <f t="shared" si="1"/>
        <v>0</v>
      </c>
      <c r="G227" s="11">
        <v>0.0</v>
      </c>
      <c r="H227" s="9">
        <f t="shared" si="2"/>
        <v>0</v>
      </c>
      <c r="I227" s="11">
        <v>0.0</v>
      </c>
      <c r="J227" s="9">
        <f t="shared" si="12"/>
        <v>0</v>
      </c>
      <c r="K227" s="11">
        <v>0.0</v>
      </c>
      <c r="L227" s="11">
        <v>0.0</v>
      </c>
      <c r="M227" s="14">
        <f t="shared" si="4"/>
        <v>0</v>
      </c>
      <c r="N227" s="11">
        <v>0.0</v>
      </c>
      <c r="O227" s="14">
        <f t="shared" si="5"/>
        <v>0</v>
      </c>
      <c r="P227" s="11">
        <v>0.0</v>
      </c>
      <c r="Q227" s="15">
        <v>0.0</v>
      </c>
      <c r="R227" s="9">
        <v>10.0</v>
      </c>
      <c r="S227" s="16">
        <f t="shared" si="6"/>
        <v>0</v>
      </c>
      <c r="T227" s="17">
        <f t="shared" si="7"/>
        <v>0</v>
      </c>
      <c r="U227" s="14">
        <f t="shared" si="8"/>
        <v>-10</v>
      </c>
      <c r="V227" s="9" t="str">
        <f t="shared" si="9"/>
        <v>Low Performance</v>
      </c>
      <c r="W227" s="9"/>
    </row>
    <row r="228" ht="15.75" customHeight="1">
      <c r="A228" s="6">
        <v>46320.0</v>
      </c>
      <c r="B228" s="7" t="s">
        <v>38</v>
      </c>
      <c r="C228" s="9" t="s">
        <v>29</v>
      </c>
      <c r="D228" s="9" t="s">
        <v>27</v>
      </c>
      <c r="E228" s="10">
        <v>0.0</v>
      </c>
      <c r="F228" s="9">
        <f t="shared" si="1"/>
        <v>0</v>
      </c>
      <c r="G228" s="11">
        <v>0.0</v>
      </c>
      <c r="H228" s="9">
        <f t="shared" si="2"/>
        <v>0</v>
      </c>
      <c r="I228" s="11">
        <v>0.0</v>
      </c>
      <c r="J228" s="9">
        <f t="shared" si="12"/>
        <v>0</v>
      </c>
      <c r="K228" s="11">
        <v>0.0</v>
      </c>
      <c r="L228" s="11">
        <v>0.0</v>
      </c>
      <c r="M228" s="14">
        <f t="shared" si="4"/>
        <v>0</v>
      </c>
      <c r="N228" s="11">
        <v>0.0</v>
      </c>
      <c r="O228" s="14">
        <f t="shared" si="5"/>
        <v>0</v>
      </c>
      <c r="P228" s="11">
        <v>0.0</v>
      </c>
      <c r="Q228" s="15">
        <v>0.0</v>
      </c>
      <c r="R228" s="9">
        <v>10.0</v>
      </c>
      <c r="S228" s="16">
        <f t="shared" si="6"/>
        <v>0</v>
      </c>
      <c r="T228" s="17">
        <f t="shared" si="7"/>
        <v>0</v>
      </c>
      <c r="U228" s="14">
        <f t="shared" si="8"/>
        <v>-10</v>
      </c>
      <c r="V228" s="9" t="str">
        <f t="shared" si="9"/>
        <v>Low Performance</v>
      </c>
      <c r="W228" s="9"/>
    </row>
    <row r="229" ht="15.75" customHeight="1">
      <c r="A229" s="6">
        <v>46320.0</v>
      </c>
      <c r="B229" s="20" t="s">
        <v>39</v>
      </c>
      <c r="C229" s="9" t="s">
        <v>40</v>
      </c>
      <c r="D229" s="9" t="s">
        <v>27</v>
      </c>
      <c r="E229" s="10">
        <v>0.0</v>
      </c>
      <c r="F229" s="9">
        <f t="shared" si="1"/>
        <v>0</v>
      </c>
      <c r="G229" s="11">
        <v>0.0</v>
      </c>
      <c r="H229" s="9">
        <f t="shared" si="2"/>
        <v>0</v>
      </c>
      <c r="I229" s="11">
        <v>0.0</v>
      </c>
      <c r="J229" s="9">
        <f t="shared" si="12"/>
        <v>0</v>
      </c>
      <c r="K229" s="11">
        <v>0.0</v>
      </c>
      <c r="L229" s="11">
        <v>0.0</v>
      </c>
      <c r="M229" s="14">
        <f t="shared" si="4"/>
        <v>0</v>
      </c>
      <c r="N229" s="11">
        <v>0.0</v>
      </c>
      <c r="O229" s="14">
        <f t="shared" si="5"/>
        <v>0</v>
      </c>
      <c r="P229" s="11">
        <v>0.0</v>
      </c>
      <c r="Q229" s="15">
        <v>0.0</v>
      </c>
      <c r="R229" s="9">
        <v>10.0</v>
      </c>
      <c r="S229" s="16">
        <f t="shared" si="6"/>
        <v>0</v>
      </c>
      <c r="T229" s="17">
        <f t="shared" si="7"/>
        <v>0</v>
      </c>
      <c r="U229" s="14">
        <f t="shared" si="8"/>
        <v>-10</v>
      </c>
      <c r="V229" s="9" t="str">
        <f t="shared" si="9"/>
        <v>Low Performance</v>
      </c>
      <c r="W229" s="9"/>
    </row>
    <row r="230" ht="15.75" customHeight="1">
      <c r="A230" s="6">
        <v>46320.0</v>
      </c>
      <c r="B230" s="7" t="s">
        <v>41</v>
      </c>
      <c r="C230" s="9" t="s">
        <v>40</v>
      </c>
      <c r="D230" s="9" t="s">
        <v>27</v>
      </c>
      <c r="E230" s="10">
        <v>0.0</v>
      </c>
      <c r="F230" s="9">
        <f t="shared" si="1"/>
        <v>0</v>
      </c>
      <c r="G230" s="11">
        <v>0.0</v>
      </c>
      <c r="H230" s="9">
        <f t="shared" si="2"/>
        <v>0</v>
      </c>
      <c r="I230" s="11">
        <v>0.0</v>
      </c>
      <c r="J230" s="9">
        <f t="shared" si="12"/>
        <v>0</v>
      </c>
      <c r="K230" s="11">
        <v>0.0</v>
      </c>
      <c r="L230" s="11">
        <v>0.0</v>
      </c>
      <c r="M230" s="14">
        <f t="shared" si="4"/>
        <v>0</v>
      </c>
      <c r="N230" s="11">
        <v>0.0</v>
      </c>
      <c r="O230" s="14">
        <f t="shared" si="5"/>
        <v>0</v>
      </c>
      <c r="P230" s="11">
        <v>0.0</v>
      </c>
      <c r="Q230" s="15">
        <v>0.0</v>
      </c>
      <c r="R230" s="9">
        <v>10.0</v>
      </c>
      <c r="S230" s="16">
        <f t="shared" si="6"/>
        <v>0</v>
      </c>
      <c r="T230" s="17">
        <f t="shared" si="7"/>
        <v>0</v>
      </c>
      <c r="U230" s="14">
        <f t="shared" si="8"/>
        <v>-10</v>
      </c>
      <c r="V230" s="9" t="str">
        <f t="shared" si="9"/>
        <v>Low Performance</v>
      </c>
      <c r="W230" s="9"/>
    </row>
    <row r="231" ht="15.75" customHeight="1">
      <c r="A231" s="6">
        <v>46320.0</v>
      </c>
      <c r="B231" s="7" t="s">
        <v>42</v>
      </c>
      <c r="C231" s="9" t="s">
        <v>40</v>
      </c>
      <c r="D231" s="9" t="s">
        <v>27</v>
      </c>
      <c r="E231" s="10">
        <v>0.0</v>
      </c>
      <c r="F231" s="9">
        <f t="shared" si="1"/>
        <v>0</v>
      </c>
      <c r="G231" s="11">
        <v>0.0</v>
      </c>
      <c r="H231" s="9">
        <f t="shared" si="2"/>
        <v>0</v>
      </c>
      <c r="I231" s="11">
        <v>0.0</v>
      </c>
      <c r="J231" s="9">
        <f t="shared" si="12"/>
        <v>0</v>
      </c>
      <c r="K231" s="11">
        <v>0.0</v>
      </c>
      <c r="L231" s="11">
        <v>0.0</v>
      </c>
      <c r="M231" s="14">
        <f t="shared" si="4"/>
        <v>0</v>
      </c>
      <c r="N231" s="11">
        <v>0.0</v>
      </c>
      <c r="O231" s="14">
        <f t="shared" si="5"/>
        <v>0</v>
      </c>
      <c r="P231" s="11">
        <v>0.0</v>
      </c>
      <c r="Q231" s="15">
        <v>0.0</v>
      </c>
      <c r="R231" s="9">
        <v>10.0</v>
      </c>
      <c r="S231" s="16">
        <f t="shared" si="6"/>
        <v>0</v>
      </c>
      <c r="T231" s="17">
        <f t="shared" si="7"/>
        <v>0</v>
      </c>
      <c r="U231" s="14">
        <f t="shared" si="8"/>
        <v>-10</v>
      </c>
      <c r="V231" s="9" t="str">
        <f t="shared" si="9"/>
        <v>Low Performance</v>
      </c>
      <c r="W231" s="9"/>
    </row>
    <row r="232" ht="15.75" customHeight="1">
      <c r="A232" s="6">
        <v>46320.0</v>
      </c>
      <c r="B232" s="7" t="s">
        <v>43</v>
      </c>
      <c r="C232" s="9" t="s">
        <v>40</v>
      </c>
      <c r="D232" s="9" t="s">
        <v>27</v>
      </c>
      <c r="E232" s="10">
        <v>0.0</v>
      </c>
      <c r="F232" s="9">
        <f t="shared" si="1"/>
        <v>0</v>
      </c>
      <c r="G232" s="11">
        <v>0.0</v>
      </c>
      <c r="H232" s="9">
        <f t="shared" si="2"/>
        <v>0</v>
      </c>
      <c r="I232" s="11">
        <v>0.0</v>
      </c>
      <c r="J232" s="9">
        <f t="shared" si="12"/>
        <v>0</v>
      </c>
      <c r="K232" s="11">
        <v>0.0</v>
      </c>
      <c r="L232" s="11">
        <v>0.0</v>
      </c>
      <c r="M232" s="14">
        <f t="shared" si="4"/>
        <v>0</v>
      </c>
      <c r="N232" s="11">
        <v>0.0</v>
      </c>
      <c r="O232" s="14">
        <f t="shared" si="5"/>
        <v>0</v>
      </c>
      <c r="P232" s="11">
        <v>0.0</v>
      </c>
      <c r="Q232" s="15">
        <v>0.0</v>
      </c>
      <c r="R232" s="9">
        <v>10.0</v>
      </c>
      <c r="S232" s="16">
        <f t="shared" si="6"/>
        <v>0</v>
      </c>
      <c r="T232" s="17">
        <f t="shared" si="7"/>
        <v>0</v>
      </c>
      <c r="U232" s="14">
        <f t="shared" si="8"/>
        <v>-10</v>
      </c>
      <c r="V232" s="9" t="str">
        <f t="shared" si="9"/>
        <v>Low Performance</v>
      </c>
      <c r="W232" s="9"/>
    </row>
    <row r="233" ht="15.75" customHeight="1">
      <c r="A233" s="6">
        <v>46320.0</v>
      </c>
      <c r="B233" s="7" t="s">
        <v>45</v>
      </c>
      <c r="C233" s="18" t="s">
        <v>46</v>
      </c>
      <c r="D233" s="9" t="s">
        <v>27</v>
      </c>
      <c r="E233" s="10">
        <v>0.0</v>
      </c>
      <c r="F233" s="9">
        <f t="shared" si="1"/>
        <v>0</v>
      </c>
      <c r="G233" s="11">
        <v>0.0</v>
      </c>
      <c r="H233" s="9">
        <f t="shared" si="2"/>
        <v>0</v>
      </c>
      <c r="I233" s="11">
        <v>0.0</v>
      </c>
      <c r="J233" s="9">
        <f t="shared" si="12"/>
        <v>0</v>
      </c>
      <c r="K233" s="11">
        <v>0.0</v>
      </c>
      <c r="L233" s="11">
        <v>0.0</v>
      </c>
      <c r="M233" s="14">
        <f t="shared" si="4"/>
        <v>0</v>
      </c>
      <c r="N233" s="11">
        <v>0.0</v>
      </c>
      <c r="O233" s="14">
        <f t="shared" si="5"/>
        <v>0</v>
      </c>
      <c r="P233" s="11">
        <v>0.0</v>
      </c>
      <c r="Q233" s="15">
        <v>0.0</v>
      </c>
      <c r="R233" s="9">
        <v>10.0</v>
      </c>
      <c r="S233" s="16">
        <f t="shared" si="6"/>
        <v>0</v>
      </c>
      <c r="T233" s="17">
        <f t="shared" si="7"/>
        <v>0</v>
      </c>
      <c r="U233" s="14">
        <f t="shared" si="8"/>
        <v>-10</v>
      </c>
      <c r="V233" s="9" t="str">
        <f t="shared" si="9"/>
        <v>Low Performance</v>
      </c>
      <c r="W233" s="9"/>
    </row>
    <row r="234" ht="15.75" customHeight="1">
      <c r="A234" s="6">
        <v>46320.0</v>
      </c>
      <c r="B234" s="7" t="s">
        <v>49</v>
      </c>
      <c r="C234" s="18" t="s">
        <v>46</v>
      </c>
      <c r="D234" s="9" t="s">
        <v>27</v>
      </c>
      <c r="E234" s="10">
        <v>0.0</v>
      </c>
      <c r="F234" s="9">
        <f t="shared" si="1"/>
        <v>0</v>
      </c>
      <c r="G234" s="11">
        <v>0.0</v>
      </c>
      <c r="H234" s="9">
        <f t="shared" si="2"/>
        <v>0</v>
      </c>
      <c r="I234" s="11">
        <v>0.0</v>
      </c>
      <c r="J234" s="9">
        <f t="shared" si="12"/>
        <v>0</v>
      </c>
      <c r="K234" s="11">
        <v>0.0</v>
      </c>
      <c r="L234" s="11">
        <v>0.0</v>
      </c>
      <c r="M234" s="14">
        <f t="shared" si="4"/>
        <v>0</v>
      </c>
      <c r="N234" s="11">
        <v>0.0</v>
      </c>
      <c r="O234" s="14">
        <f t="shared" si="5"/>
        <v>0</v>
      </c>
      <c r="P234" s="11">
        <v>0.0</v>
      </c>
      <c r="Q234" s="15">
        <v>0.0</v>
      </c>
      <c r="R234" s="9">
        <v>10.0</v>
      </c>
      <c r="S234" s="16">
        <f t="shared" si="6"/>
        <v>0</v>
      </c>
      <c r="T234" s="17">
        <f t="shared" si="7"/>
        <v>0</v>
      </c>
      <c r="U234" s="14">
        <f t="shared" si="8"/>
        <v>-10</v>
      </c>
      <c r="V234" s="9" t="str">
        <f t="shared" si="9"/>
        <v>Low Performance</v>
      </c>
      <c r="W234" s="9"/>
    </row>
    <row r="235" ht="15.75" customHeight="1">
      <c r="A235" s="6">
        <v>46320.0</v>
      </c>
      <c r="B235" s="22" t="s">
        <v>50</v>
      </c>
      <c r="C235" s="23" t="s">
        <v>46</v>
      </c>
      <c r="D235" s="24" t="s">
        <v>27</v>
      </c>
      <c r="E235" s="10">
        <v>0.0</v>
      </c>
      <c r="F235" s="9">
        <f t="shared" si="1"/>
        <v>0</v>
      </c>
      <c r="G235" s="11">
        <v>0.0</v>
      </c>
      <c r="H235" s="9">
        <f t="shared" si="2"/>
        <v>0</v>
      </c>
      <c r="I235" s="11">
        <v>0.0</v>
      </c>
      <c r="J235" s="9">
        <f t="shared" si="12"/>
        <v>0</v>
      </c>
      <c r="K235" s="11">
        <v>0.0</v>
      </c>
      <c r="L235" s="11">
        <v>0.0</v>
      </c>
      <c r="M235" s="14">
        <f t="shared" si="4"/>
        <v>0</v>
      </c>
      <c r="N235" s="11">
        <v>0.0</v>
      </c>
      <c r="O235" s="14">
        <f t="shared" si="5"/>
        <v>0</v>
      </c>
      <c r="P235" s="11">
        <v>0.0</v>
      </c>
      <c r="Q235" s="15">
        <v>0.0</v>
      </c>
      <c r="R235" s="9">
        <v>10.0</v>
      </c>
      <c r="S235" s="16">
        <f t="shared" si="6"/>
        <v>0</v>
      </c>
      <c r="T235" s="17">
        <f t="shared" si="7"/>
        <v>0</v>
      </c>
      <c r="U235" s="14">
        <f t="shared" si="8"/>
        <v>-10</v>
      </c>
      <c r="V235" s="9" t="str">
        <f t="shared" si="9"/>
        <v>Low Performance</v>
      </c>
      <c r="W235" s="9"/>
    </row>
    <row r="236" ht="15.75" customHeight="1">
      <c r="A236" s="6">
        <v>46321.0</v>
      </c>
      <c r="B236" s="7" t="s">
        <v>28</v>
      </c>
      <c r="C236" s="9" t="s">
        <v>29</v>
      </c>
      <c r="D236" s="9" t="s">
        <v>27</v>
      </c>
      <c r="E236" s="10">
        <v>0.0</v>
      </c>
      <c r="F236" s="9">
        <f t="shared" si="1"/>
        <v>0</v>
      </c>
      <c r="G236" s="11">
        <v>0.0</v>
      </c>
      <c r="H236" s="9">
        <f t="shared" si="2"/>
        <v>0</v>
      </c>
      <c r="I236" s="11">
        <v>0.0</v>
      </c>
      <c r="J236" s="9">
        <f t="shared" si="12"/>
        <v>0</v>
      </c>
      <c r="K236" s="11">
        <v>0.0</v>
      </c>
      <c r="L236" s="11">
        <v>0.0</v>
      </c>
      <c r="M236" s="14">
        <f t="shared" si="4"/>
        <v>0</v>
      </c>
      <c r="N236" s="11">
        <v>0.0</v>
      </c>
      <c r="O236" s="14">
        <f t="shared" si="5"/>
        <v>0</v>
      </c>
      <c r="P236" s="11">
        <v>0.0</v>
      </c>
      <c r="Q236" s="15">
        <v>0.0</v>
      </c>
      <c r="R236" s="9">
        <v>10.0</v>
      </c>
      <c r="S236" s="16">
        <f t="shared" si="6"/>
        <v>0</v>
      </c>
      <c r="T236" s="17">
        <f t="shared" si="7"/>
        <v>0</v>
      </c>
      <c r="U236" s="14">
        <f t="shared" si="8"/>
        <v>-10</v>
      </c>
      <c r="V236" s="9" t="str">
        <f t="shared" si="9"/>
        <v>Low Performance</v>
      </c>
      <c r="W236" s="9"/>
    </row>
    <row r="237" ht="15.75" customHeight="1">
      <c r="A237" s="6">
        <v>46321.0</v>
      </c>
      <c r="B237" s="7" t="s">
        <v>36</v>
      </c>
      <c r="C237" s="9" t="s">
        <v>29</v>
      </c>
      <c r="D237" s="9" t="s">
        <v>27</v>
      </c>
      <c r="E237" s="10">
        <v>0.0</v>
      </c>
      <c r="F237" s="9">
        <f t="shared" si="1"/>
        <v>0</v>
      </c>
      <c r="G237" s="11">
        <v>0.0</v>
      </c>
      <c r="H237" s="9">
        <f t="shared" si="2"/>
        <v>0</v>
      </c>
      <c r="I237" s="11">
        <v>0.0</v>
      </c>
      <c r="J237" s="9">
        <f t="shared" si="12"/>
        <v>0</v>
      </c>
      <c r="K237" s="11">
        <v>0.0</v>
      </c>
      <c r="L237" s="11">
        <v>0.0</v>
      </c>
      <c r="M237" s="14">
        <f t="shared" si="4"/>
        <v>0</v>
      </c>
      <c r="N237" s="11">
        <v>0.0</v>
      </c>
      <c r="O237" s="14">
        <f t="shared" si="5"/>
        <v>0</v>
      </c>
      <c r="P237" s="11">
        <v>0.0</v>
      </c>
      <c r="Q237" s="15">
        <v>0.0</v>
      </c>
      <c r="R237" s="9">
        <v>10.0</v>
      </c>
      <c r="S237" s="16">
        <f t="shared" si="6"/>
        <v>0</v>
      </c>
      <c r="T237" s="17">
        <f t="shared" si="7"/>
        <v>0</v>
      </c>
      <c r="U237" s="14">
        <f t="shared" si="8"/>
        <v>-10</v>
      </c>
      <c r="V237" s="9" t="str">
        <f t="shared" si="9"/>
        <v>Low Performance</v>
      </c>
      <c r="W237" s="9"/>
    </row>
    <row r="238" ht="15.75" customHeight="1">
      <c r="A238" s="6">
        <v>46321.0</v>
      </c>
      <c r="B238" s="7" t="s">
        <v>37</v>
      </c>
      <c r="C238" s="9" t="s">
        <v>29</v>
      </c>
      <c r="D238" s="9" t="s">
        <v>27</v>
      </c>
      <c r="E238" s="10">
        <v>0.0</v>
      </c>
      <c r="F238" s="9">
        <f t="shared" si="1"/>
        <v>0</v>
      </c>
      <c r="G238" s="11">
        <v>0.0</v>
      </c>
      <c r="H238" s="9">
        <f t="shared" si="2"/>
        <v>0</v>
      </c>
      <c r="I238" s="11">
        <v>0.0</v>
      </c>
      <c r="J238" s="9">
        <f t="shared" si="12"/>
        <v>0</v>
      </c>
      <c r="K238" s="11">
        <v>0.0</v>
      </c>
      <c r="L238" s="11">
        <v>0.0</v>
      </c>
      <c r="M238" s="14">
        <f t="shared" si="4"/>
        <v>0</v>
      </c>
      <c r="N238" s="11">
        <v>0.0</v>
      </c>
      <c r="O238" s="14">
        <f t="shared" si="5"/>
        <v>0</v>
      </c>
      <c r="P238" s="11">
        <v>0.0</v>
      </c>
      <c r="Q238" s="15">
        <v>0.0</v>
      </c>
      <c r="R238" s="9">
        <v>10.0</v>
      </c>
      <c r="S238" s="16">
        <f t="shared" si="6"/>
        <v>0</v>
      </c>
      <c r="T238" s="17">
        <f t="shared" si="7"/>
        <v>0</v>
      </c>
      <c r="U238" s="14">
        <f t="shared" si="8"/>
        <v>-10</v>
      </c>
      <c r="V238" s="9" t="str">
        <f t="shared" si="9"/>
        <v>Low Performance</v>
      </c>
      <c r="W238" s="9"/>
    </row>
    <row r="239" ht="15.75" customHeight="1">
      <c r="A239" s="6">
        <v>46321.0</v>
      </c>
      <c r="B239" s="7" t="s">
        <v>38</v>
      </c>
      <c r="C239" s="9" t="s">
        <v>29</v>
      </c>
      <c r="D239" s="9" t="s">
        <v>27</v>
      </c>
      <c r="E239" s="10">
        <v>0.0</v>
      </c>
      <c r="F239" s="9">
        <f t="shared" si="1"/>
        <v>0</v>
      </c>
      <c r="G239" s="11">
        <v>0.0</v>
      </c>
      <c r="H239" s="9">
        <f t="shared" si="2"/>
        <v>0</v>
      </c>
      <c r="I239" s="11">
        <v>0.0</v>
      </c>
      <c r="J239" s="9">
        <f t="shared" si="12"/>
        <v>0</v>
      </c>
      <c r="K239" s="11">
        <v>0.0</v>
      </c>
      <c r="L239" s="11">
        <v>0.0</v>
      </c>
      <c r="M239" s="14">
        <f t="shared" si="4"/>
        <v>0</v>
      </c>
      <c r="N239" s="11">
        <v>0.0</v>
      </c>
      <c r="O239" s="14">
        <f t="shared" si="5"/>
        <v>0</v>
      </c>
      <c r="P239" s="11">
        <v>0.0</v>
      </c>
      <c r="Q239" s="15">
        <v>0.0</v>
      </c>
      <c r="R239" s="9">
        <v>10.0</v>
      </c>
      <c r="S239" s="16">
        <f t="shared" si="6"/>
        <v>0</v>
      </c>
      <c r="T239" s="17">
        <f t="shared" si="7"/>
        <v>0</v>
      </c>
      <c r="U239" s="14">
        <f t="shared" si="8"/>
        <v>-10</v>
      </c>
      <c r="V239" s="9" t="str">
        <f t="shared" si="9"/>
        <v>Low Performance</v>
      </c>
      <c r="W239" s="9"/>
    </row>
    <row r="240" ht="15.75" customHeight="1">
      <c r="A240" s="6">
        <v>46321.0</v>
      </c>
      <c r="B240" s="20" t="s">
        <v>39</v>
      </c>
      <c r="C240" s="9" t="s">
        <v>40</v>
      </c>
      <c r="D240" s="9" t="s">
        <v>27</v>
      </c>
      <c r="E240" s="10">
        <v>0.0</v>
      </c>
      <c r="F240" s="9">
        <f t="shared" si="1"/>
        <v>0</v>
      </c>
      <c r="G240" s="11">
        <v>0.0</v>
      </c>
      <c r="H240" s="9">
        <f t="shared" si="2"/>
        <v>0</v>
      </c>
      <c r="I240" s="11">
        <v>0.0</v>
      </c>
      <c r="J240" s="9">
        <f t="shared" si="12"/>
        <v>0</v>
      </c>
      <c r="K240" s="11">
        <v>0.0</v>
      </c>
      <c r="L240" s="11">
        <v>0.0</v>
      </c>
      <c r="M240" s="14">
        <f t="shared" si="4"/>
        <v>0</v>
      </c>
      <c r="N240" s="11">
        <v>0.0</v>
      </c>
      <c r="O240" s="14">
        <f t="shared" si="5"/>
        <v>0</v>
      </c>
      <c r="P240" s="11">
        <v>0.0</v>
      </c>
      <c r="Q240" s="15">
        <v>0.0</v>
      </c>
      <c r="R240" s="9">
        <v>10.0</v>
      </c>
      <c r="S240" s="16">
        <f t="shared" si="6"/>
        <v>0</v>
      </c>
      <c r="T240" s="17">
        <f t="shared" si="7"/>
        <v>0</v>
      </c>
      <c r="U240" s="14">
        <f t="shared" si="8"/>
        <v>-10</v>
      </c>
      <c r="V240" s="9" t="str">
        <f t="shared" si="9"/>
        <v>Low Performance</v>
      </c>
      <c r="W240" s="9"/>
    </row>
    <row r="241" ht="15.75" customHeight="1">
      <c r="A241" s="6">
        <v>46321.0</v>
      </c>
      <c r="B241" s="7" t="s">
        <v>41</v>
      </c>
      <c r="C241" s="9" t="s">
        <v>40</v>
      </c>
      <c r="D241" s="9" t="s">
        <v>27</v>
      </c>
      <c r="E241" s="10">
        <v>0.0</v>
      </c>
      <c r="F241" s="9">
        <f t="shared" si="1"/>
        <v>0</v>
      </c>
      <c r="G241" s="11">
        <v>0.0</v>
      </c>
      <c r="H241" s="9">
        <f t="shared" si="2"/>
        <v>0</v>
      </c>
      <c r="I241" s="11">
        <v>0.0</v>
      </c>
      <c r="J241" s="9">
        <f t="shared" si="12"/>
        <v>0</v>
      </c>
      <c r="K241" s="11">
        <v>0.0</v>
      </c>
      <c r="L241" s="11">
        <v>0.0</v>
      </c>
      <c r="M241" s="14">
        <f t="shared" si="4"/>
        <v>0</v>
      </c>
      <c r="N241" s="11">
        <v>0.0</v>
      </c>
      <c r="O241" s="14">
        <f t="shared" si="5"/>
        <v>0</v>
      </c>
      <c r="P241" s="11">
        <v>0.0</v>
      </c>
      <c r="Q241" s="15">
        <v>0.0</v>
      </c>
      <c r="R241" s="9">
        <v>10.0</v>
      </c>
      <c r="S241" s="16">
        <f t="shared" si="6"/>
        <v>0</v>
      </c>
      <c r="T241" s="17">
        <f t="shared" si="7"/>
        <v>0</v>
      </c>
      <c r="U241" s="14">
        <f t="shared" si="8"/>
        <v>-10</v>
      </c>
      <c r="V241" s="9" t="str">
        <f t="shared" si="9"/>
        <v>Low Performance</v>
      </c>
      <c r="W241" s="9"/>
    </row>
    <row r="242" ht="15.75" customHeight="1">
      <c r="A242" s="6">
        <v>46321.0</v>
      </c>
      <c r="B242" s="7" t="s">
        <v>42</v>
      </c>
      <c r="C242" s="9" t="s">
        <v>40</v>
      </c>
      <c r="D242" s="9" t="s">
        <v>27</v>
      </c>
      <c r="E242" s="10">
        <v>0.0</v>
      </c>
      <c r="F242" s="9">
        <f t="shared" si="1"/>
        <v>0</v>
      </c>
      <c r="G242" s="11">
        <v>0.0</v>
      </c>
      <c r="H242" s="9">
        <f t="shared" si="2"/>
        <v>0</v>
      </c>
      <c r="I242" s="11">
        <v>0.0</v>
      </c>
      <c r="J242" s="9">
        <f t="shared" si="12"/>
        <v>0</v>
      </c>
      <c r="K242" s="11">
        <v>0.0</v>
      </c>
      <c r="L242" s="11">
        <v>0.0</v>
      </c>
      <c r="M242" s="14">
        <f t="shared" si="4"/>
        <v>0</v>
      </c>
      <c r="N242" s="11">
        <v>0.0</v>
      </c>
      <c r="O242" s="14">
        <f t="shared" si="5"/>
        <v>0</v>
      </c>
      <c r="P242" s="11">
        <v>0.0</v>
      </c>
      <c r="Q242" s="15">
        <v>0.0</v>
      </c>
      <c r="R242" s="9">
        <v>10.0</v>
      </c>
      <c r="S242" s="16">
        <f t="shared" si="6"/>
        <v>0</v>
      </c>
      <c r="T242" s="17">
        <f t="shared" si="7"/>
        <v>0</v>
      </c>
      <c r="U242" s="14">
        <f t="shared" si="8"/>
        <v>-10</v>
      </c>
      <c r="V242" s="9" t="str">
        <f t="shared" si="9"/>
        <v>Low Performance</v>
      </c>
      <c r="W242" s="9"/>
    </row>
    <row r="243" ht="15.75" customHeight="1">
      <c r="A243" s="6">
        <v>46321.0</v>
      </c>
      <c r="B243" s="7" t="s">
        <v>43</v>
      </c>
      <c r="C243" s="9" t="s">
        <v>40</v>
      </c>
      <c r="D243" s="9" t="s">
        <v>27</v>
      </c>
      <c r="E243" s="10">
        <v>0.0</v>
      </c>
      <c r="F243" s="9">
        <f t="shared" si="1"/>
        <v>0</v>
      </c>
      <c r="G243" s="11">
        <v>0.0</v>
      </c>
      <c r="H243" s="9">
        <f t="shared" si="2"/>
        <v>0</v>
      </c>
      <c r="I243" s="11">
        <v>0.0</v>
      </c>
      <c r="J243" s="9">
        <f t="shared" si="12"/>
        <v>0</v>
      </c>
      <c r="K243" s="11">
        <v>0.0</v>
      </c>
      <c r="L243" s="11">
        <v>0.0</v>
      </c>
      <c r="M243" s="14">
        <f t="shared" si="4"/>
        <v>0</v>
      </c>
      <c r="N243" s="11">
        <v>0.0</v>
      </c>
      <c r="O243" s="14">
        <f t="shared" si="5"/>
        <v>0</v>
      </c>
      <c r="P243" s="11">
        <v>0.0</v>
      </c>
      <c r="Q243" s="15">
        <v>0.0</v>
      </c>
      <c r="R243" s="9">
        <v>10.0</v>
      </c>
      <c r="S243" s="16">
        <f t="shared" si="6"/>
        <v>0</v>
      </c>
      <c r="T243" s="17">
        <f t="shared" si="7"/>
        <v>0</v>
      </c>
      <c r="U243" s="14">
        <f t="shared" si="8"/>
        <v>-10</v>
      </c>
      <c r="V243" s="9" t="str">
        <f t="shared" si="9"/>
        <v>Low Performance</v>
      </c>
      <c r="W243" s="9"/>
    </row>
    <row r="244" ht="15.75" customHeight="1">
      <c r="A244" s="6">
        <v>46321.0</v>
      </c>
      <c r="B244" s="7" t="s">
        <v>45</v>
      </c>
      <c r="C244" s="18" t="s">
        <v>46</v>
      </c>
      <c r="D244" s="9" t="s">
        <v>27</v>
      </c>
      <c r="E244" s="10">
        <v>0.0</v>
      </c>
      <c r="F244" s="9">
        <f t="shared" si="1"/>
        <v>0</v>
      </c>
      <c r="G244" s="11">
        <v>0.0</v>
      </c>
      <c r="H244" s="9">
        <f t="shared" si="2"/>
        <v>0</v>
      </c>
      <c r="I244" s="11">
        <v>0.0</v>
      </c>
      <c r="J244" s="9">
        <f t="shared" si="12"/>
        <v>0</v>
      </c>
      <c r="K244" s="11">
        <v>0.0</v>
      </c>
      <c r="L244" s="11">
        <v>0.0</v>
      </c>
      <c r="M244" s="14">
        <f t="shared" si="4"/>
        <v>0</v>
      </c>
      <c r="N244" s="11">
        <v>0.0</v>
      </c>
      <c r="O244" s="14">
        <f t="shared" si="5"/>
        <v>0</v>
      </c>
      <c r="P244" s="11">
        <v>0.0</v>
      </c>
      <c r="Q244" s="15">
        <v>0.0</v>
      </c>
      <c r="R244" s="9">
        <v>10.0</v>
      </c>
      <c r="S244" s="16">
        <f t="shared" si="6"/>
        <v>0</v>
      </c>
      <c r="T244" s="17">
        <f t="shared" si="7"/>
        <v>0</v>
      </c>
      <c r="U244" s="14">
        <f t="shared" si="8"/>
        <v>-10</v>
      </c>
      <c r="V244" s="9" t="str">
        <f t="shared" si="9"/>
        <v>Low Performance</v>
      </c>
      <c r="W244" s="9"/>
    </row>
    <row r="245" ht="15.75" customHeight="1">
      <c r="A245" s="6">
        <v>46321.0</v>
      </c>
      <c r="B245" s="7" t="s">
        <v>49</v>
      </c>
      <c r="C245" s="18" t="s">
        <v>46</v>
      </c>
      <c r="D245" s="9" t="s">
        <v>27</v>
      </c>
      <c r="E245" s="10">
        <v>0.0</v>
      </c>
      <c r="F245" s="9">
        <f t="shared" si="1"/>
        <v>0</v>
      </c>
      <c r="G245" s="11">
        <v>0.0</v>
      </c>
      <c r="H245" s="9">
        <f t="shared" si="2"/>
        <v>0</v>
      </c>
      <c r="I245" s="11">
        <v>0.0</v>
      </c>
      <c r="J245" s="9">
        <f t="shared" si="12"/>
        <v>0</v>
      </c>
      <c r="K245" s="11">
        <v>0.0</v>
      </c>
      <c r="L245" s="11">
        <v>0.0</v>
      </c>
      <c r="M245" s="14">
        <f t="shared" si="4"/>
        <v>0</v>
      </c>
      <c r="N245" s="11">
        <v>0.0</v>
      </c>
      <c r="O245" s="14">
        <f t="shared" si="5"/>
        <v>0</v>
      </c>
      <c r="P245" s="11">
        <v>0.0</v>
      </c>
      <c r="Q245" s="15">
        <v>0.0</v>
      </c>
      <c r="R245" s="9">
        <v>10.0</v>
      </c>
      <c r="S245" s="16">
        <f t="shared" si="6"/>
        <v>0</v>
      </c>
      <c r="T245" s="17">
        <f t="shared" si="7"/>
        <v>0</v>
      </c>
      <c r="U245" s="14">
        <f t="shared" si="8"/>
        <v>-10</v>
      </c>
      <c r="V245" s="9" t="str">
        <f t="shared" si="9"/>
        <v>Low Performance</v>
      </c>
      <c r="W245" s="9"/>
    </row>
    <row r="246" ht="15.75" customHeight="1">
      <c r="A246" s="6">
        <v>46321.0</v>
      </c>
      <c r="B246" s="22" t="s">
        <v>50</v>
      </c>
      <c r="C246" s="23" t="s">
        <v>46</v>
      </c>
      <c r="D246" s="24" t="s">
        <v>27</v>
      </c>
      <c r="E246" s="10">
        <v>0.0</v>
      </c>
      <c r="F246" s="9">
        <f t="shared" si="1"/>
        <v>0</v>
      </c>
      <c r="G246" s="11">
        <v>0.0</v>
      </c>
      <c r="H246" s="9">
        <f t="shared" si="2"/>
        <v>0</v>
      </c>
      <c r="I246" s="11">
        <v>0.0</v>
      </c>
      <c r="J246" s="9">
        <f t="shared" si="12"/>
        <v>0</v>
      </c>
      <c r="K246" s="11">
        <v>0.0</v>
      </c>
      <c r="L246" s="11">
        <v>0.0</v>
      </c>
      <c r="M246" s="14">
        <f t="shared" si="4"/>
        <v>0</v>
      </c>
      <c r="N246" s="11">
        <v>0.0</v>
      </c>
      <c r="O246" s="14">
        <f t="shared" si="5"/>
        <v>0</v>
      </c>
      <c r="P246" s="11">
        <v>0.0</v>
      </c>
      <c r="Q246" s="15">
        <v>0.0</v>
      </c>
      <c r="R246" s="9">
        <v>10.0</v>
      </c>
      <c r="S246" s="16">
        <f t="shared" si="6"/>
        <v>0</v>
      </c>
      <c r="T246" s="17">
        <f t="shared" si="7"/>
        <v>0</v>
      </c>
      <c r="U246" s="14">
        <f t="shared" si="8"/>
        <v>-10</v>
      </c>
      <c r="V246" s="9" t="str">
        <f t="shared" si="9"/>
        <v>Low Performance</v>
      </c>
      <c r="W246" s="9"/>
    </row>
    <row r="247" ht="15.75" customHeight="1">
      <c r="A247" s="6">
        <v>46322.0</v>
      </c>
      <c r="B247" s="7" t="s">
        <v>28</v>
      </c>
      <c r="C247" s="9" t="s">
        <v>29</v>
      </c>
      <c r="D247" s="9" t="s">
        <v>27</v>
      </c>
      <c r="E247" s="10">
        <v>0.0</v>
      </c>
      <c r="F247" s="9">
        <f t="shared" si="1"/>
        <v>0</v>
      </c>
      <c r="G247" s="11">
        <v>0.0</v>
      </c>
      <c r="H247" s="9">
        <f t="shared" si="2"/>
        <v>0</v>
      </c>
      <c r="I247" s="11">
        <v>0.0</v>
      </c>
      <c r="J247" s="9">
        <f t="shared" si="12"/>
        <v>0</v>
      </c>
      <c r="K247" s="11">
        <v>0.0</v>
      </c>
      <c r="L247" s="11">
        <v>0.0</v>
      </c>
      <c r="M247" s="14">
        <f t="shared" si="4"/>
        <v>0</v>
      </c>
      <c r="N247" s="11">
        <v>0.0</v>
      </c>
      <c r="O247" s="14">
        <f t="shared" si="5"/>
        <v>0</v>
      </c>
      <c r="P247" s="11">
        <v>0.0</v>
      </c>
      <c r="Q247" s="15">
        <v>0.0</v>
      </c>
      <c r="R247" s="9">
        <v>10.0</v>
      </c>
      <c r="S247" s="16">
        <f t="shared" si="6"/>
        <v>0</v>
      </c>
      <c r="T247" s="17">
        <f t="shared" si="7"/>
        <v>0</v>
      </c>
      <c r="U247" s="14">
        <f t="shared" si="8"/>
        <v>-10</v>
      </c>
      <c r="V247" s="9" t="str">
        <f t="shared" si="9"/>
        <v>Low Performance</v>
      </c>
      <c r="W247" s="9"/>
    </row>
    <row r="248" ht="15.75" customHeight="1">
      <c r="A248" s="6">
        <v>46322.0</v>
      </c>
      <c r="B248" s="7" t="s">
        <v>36</v>
      </c>
      <c r="C248" s="9" t="s">
        <v>29</v>
      </c>
      <c r="D248" s="9" t="s">
        <v>27</v>
      </c>
      <c r="E248" s="10">
        <v>0.0</v>
      </c>
      <c r="F248" s="9">
        <f t="shared" si="1"/>
        <v>0</v>
      </c>
      <c r="G248" s="11">
        <v>0.0</v>
      </c>
      <c r="H248" s="9">
        <f t="shared" si="2"/>
        <v>0</v>
      </c>
      <c r="I248" s="11">
        <v>0.0</v>
      </c>
      <c r="J248" s="9">
        <f t="shared" si="12"/>
        <v>0</v>
      </c>
      <c r="K248" s="11">
        <v>0.0</v>
      </c>
      <c r="L248" s="11">
        <v>0.0</v>
      </c>
      <c r="M248" s="14">
        <f t="shared" si="4"/>
        <v>0</v>
      </c>
      <c r="N248" s="11">
        <v>0.0</v>
      </c>
      <c r="O248" s="14">
        <f t="shared" si="5"/>
        <v>0</v>
      </c>
      <c r="P248" s="11">
        <v>0.0</v>
      </c>
      <c r="Q248" s="15">
        <v>0.0</v>
      </c>
      <c r="R248" s="9">
        <v>10.0</v>
      </c>
      <c r="S248" s="16">
        <f t="shared" si="6"/>
        <v>0</v>
      </c>
      <c r="T248" s="17">
        <f t="shared" si="7"/>
        <v>0</v>
      </c>
      <c r="U248" s="14">
        <f t="shared" si="8"/>
        <v>-10</v>
      </c>
      <c r="V248" s="9" t="str">
        <f t="shared" si="9"/>
        <v>Low Performance</v>
      </c>
      <c r="W248" s="9"/>
    </row>
    <row r="249" ht="15.75" customHeight="1">
      <c r="A249" s="6">
        <v>46322.0</v>
      </c>
      <c r="B249" s="7" t="s">
        <v>37</v>
      </c>
      <c r="C249" s="9" t="s">
        <v>29</v>
      </c>
      <c r="D249" s="9" t="s">
        <v>27</v>
      </c>
      <c r="E249" s="10">
        <v>0.0</v>
      </c>
      <c r="F249" s="9">
        <f t="shared" si="1"/>
        <v>0</v>
      </c>
      <c r="G249" s="11">
        <v>0.0</v>
      </c>
      <c r="H249" s="9">
        <f t="shared" si="2"/>
        <v>0</v>
      </c>
      <c r="I249" s="11">
        <v>0.0</v>
      </c>
      <c r="J249" s="9">
        <f t="shared" si="12"/>
        <v>0</v>
      </c>
      <c r="K249" s="11">
        <v>0.0</v>
      </c>
      <c r="L249" s="11">
        <v>0.0</v>
      </c>
      <c r="M249" s="14">
        <f t="shared" si="4"/>
        <v>0</v>
      </c>
      <c r="N249" s="11">
        <v>0.0</v>
      </c>
      <c r="O249" s="14">
        <f t="shared" si="5"/>
        <v>0</v>
      </c>
      <c r="P249" s="11">
        <v>0.0</v>
      </c>
      <c r="Q249" s="15">
        <v>0.0</v>
      </c>
      <c r="R249" s="9">
        <v>10.0</v>
      </c>
      <c r="S249" s="16">
        <f t="shared" si="6"/>
        <v>0</v>
      </c>
      <c r="T249" s="17">
        <f t="shared" si="7"/>
        <v>0</v>
      </c>
      <c r="U249" s="14">
        <f t="shared" si="8"/>
        <v>-10</v>
      </c>
      <c r="V249" s="9" t="str">
        <f t="shared" si="9"/>
        <v>Low Performance</v>
      </c>
      <c r="W249" s="9"/>
    </row>
    <row r="250" ht="15.75" customHeight="1">
      <c r="A250" s="6">
        <v>46322.0</v>
      </c>
      <c r="B250" s="7" t="s">
        <v>38</v>
      </c>
      <c r="C250" s="9" t="s">
        <v>29</v>
      </c>
      <c r="D250" s="9" t="s">
        <v>27</v>
      </c>
      <c r="E250" s="10">
        <v>0.0</v>
      </c>
      <c r="F250" s="9">
        <f t="shared" si="1"/>
        <v>0</v>
      </c>
      <c r="G250" s="11">
        <v>0.0</v>
      </c>
      <c r="H250" s="9">
        <f t="shared" si="2"/>
        <v>0</v>
      </c>
      <c r="I250" s="11">
        <v>0.0</v>
      </c>
      <c r="J250" s="9">
        <f t="shared" si="12"/>
        <v>0</v>
      </c>
      <c r="K250" s="11">
        <v>0.0</v>
      </c>
      <c r="L250" s="11">
        <v>0.0</v>
      </c>
      <c r="M250" s="14">
        <f t="shared" si="4"/>
        <v>0</v>
      </c>
      <c r="N250" s="11">
        <v>0.0</v>
      </c>
      <c r="O250" s="14">
        <f t="shared" si="5"/>
        <v>0</v>
      </c>
      <c r="P250" s="11">
        <v>0.0</v>
      </c>
      <c r="Q250" s="15">
        <v>0.0</v>
      </c>
      <c r="R250" s="9">
        <v>10.0</v>
      </c>
      <c r="S250" s="16">
        <f t="shared" si="6"/>
        <v>0</v>
      </c>
      <c r="T250" s="17">
        <f t="shared" si="7"/>
        <v>0</v>
      </c>
      <c r="U250" s="14">
        <f t="shared" si="8"/>
        <v>-10</v>
      </c>
      <c r="V250" s="9" t="str">
        <f t="shared" si="9"/>
        <v>Low Performance</v>
      </c>
      <c r="W250" s="9"/>
    </row>
    <row r="251" ht="15.75" customHeight="1">
      <c r="A251" s="6">
        <v>46322.0</v>
      </c>
      <c r="B251" s="20" t="s">
        <v>39</v>
      </c>
      <c r="C251" s="9" t="s">
        <v>40</v>
      </c>
      <c r="D251" s="9" t="s">
        <v>27</v>
      </c>
      <c r="E251" s="10">
        <v>0.0</v>
      </c>
      <c r="F251" s="9">
        <f t="shared" si="1"/>
        <v>0</v>
      </c>
      <c r="G251" s="11">
        <v>0.0</v>
      </c>
      <c r="H251" s="9">
        <f t="shared" si="2"/>
        <v>0</v>
      </c>
      <c r="I251" s="11">
        <v>0.0</v>
      </c>
      <c r="J251" s="9">
        <f t="shared" si="12"/>
        <v>0</v>
      </c>
      <c r="K251" s="11">
        <v>0.0</v>
      </c>
      <c r="L251" s="11">
        <v>0.0</v>
      </c>
      <c r="M251" s="14">
        <f t="shared" si="4"/>
        <v>0</v>
      </c>
      <c r="N251" s="11">
        <v>0.0</v>
      </c>
      <c r="O251" s="14">
        <f t="shared" si="5"/>
        <v>0</v>
      </c>
      <c r="P251" s="11">
        <v>0.0</v>
      </c>
      <c r="Q251" s="15">
        <v>0.0</v>
      </c>
      <c r="R251" s="9">
        <v>10.0</v>
      </c>
      <c r="S251" s="16">
        <f t="shared" si="6"/>
        <v>0</v>
      </c>
      <c r="T251" s="17">
        <f t="shared" si="7"/>
        <v>0</v>
      </c>
      <c r="U251" s="14">
        <f t="shared" si="8"/>
        <v>-10</v>
      </c>
      <c r="V251" s="9" t="str">
        <f t="shared" si="9"/>
        <v>Low Performance</v>
      </c>
      <c r="W251" s="9"/>
    </row>
    <row r="252" ht="15.75" customHeight="1">
      <c r="A252" s="6">
        <v>46322.0</v>
      </c>
      <c r="B252" s="7" t="s">
        <v>41</v>
      </c>
      <c r="C252" s="9" t="s">
        <v>40</v>
      </c>
      <c r="D252" s="9" t="s">
        <v>27</v>
      </c>
      <c r="E252" s="10">
        <v>0.0</v>
      </c>
      <c r="F252" s="9">
        <f t="shared" si="1"/>
        <v>0</v>
      </c>
      <c r="G252" s="11">
        <v>0.0</v>
      </c>
      <c r="H252" s="9">
        <f t="shared" si="2"/>
        <v>0</v>
      </c>
      <c r="I252" s="11">
        <v>0.0</v>
      </c>
      <c r="J252" s="9">
        <f t="shared" si="12"/>
        <v>0</v>
      </c>
      <c r="K252" s="11">
        <v>0.0</v>
      </c>
      <c r="L252" s="11">
        <v>0.0</v>
      </c>
      <c r="M252" s="14">
        <f t="shared" si="4"/>
        <v>0</v>
      </c>
      <c r="N252" s="11">
        <v>0.0</v>
      </c>
      <c r="O252" s="14">
        <f t="shared" si="5"/>
        <v>0</v>
      </c>
      <c r="P252" s="11">
        <v>0.0</v>
      </c>
      <c r="Q252" s="15">
        <v>0.0</v>
      </c>
      <c r="R252" s="9">
        <v>10.0</v>
      </c>
      <c r="S252" s="16">
        <f t="shared" si="6"/>
        <v>0</v>
      </c>
      <c r="T252" s="17">
        <f t="shared" si="7"/>
        <v>0</v>
      </c>
      <c r="U252" s="14">
        <f t="shared" si="8"/>
        <v>-10</v>
      </c>
      <c r="V252" s="9" t="str">
        <f t="shared" si="9"/>
        <v>Low Performance</v>
      </c>
      <c r="W252" s="9"/>
    </row>
    <row r="253" ht="15.75" customHeight="1">
      <c r="A253" s="6">
        <v>46322.0</v>
      </c>
      <c r="B253" s="7" t="s">
        <v>42</v>
      </c>
      <c r="C253" s="9" t="s">
        <v>40</v>
      </c>
      <c r="D253" s="9" t="s">
        <v>27</v>
      </c>
      <c r="E253" s="10">
        <v>0.0</v>
      </c>
      <c r="F253" s="9">
        <f t="shared" si="1"/>
        <v>0</v>
      </c>
      <c r="G253" s="11">
        <v>0.0</v>
      </c>
      <c r="H253" s="9">
        <f t="shared" si="2"/>
        <v>0</v>
      </c>
      <c r="I253" s="11">
        <v>0.0</v>
      </c>
      <c r="J253" s="9">
        <f t="shared" si="12"/>
        <v>0</v>
      </c>
      <c r="K253" s="11">
        <v>0.0</v>
      </c>
      <c r="L253" s="11">
        <v>0.0</v>
      </c>
      <c r="M253" s="14">
        <f t="shared" si="4"/>
        <v>0</v>
      </c>
      <c r="N253" s="11">
        <v>0.0</v>
      </c>
      <c r="O253" s="14">
        <f t="shared" si="5"/>
        <v>0</v>
      </c>
      <c r="P253" s="11">
        <v>0.0</v>
      </c>
      <c r="Q253" s="15">
        <v>0.0</v>
      </c>
      <c r="R253" s="9">
        <v>10.0</v>
      </c>
      <c r="S253" s="16">
        <f t="shared" si="6"/>
        <v>0</v>
      </c>
      <c r="T253" s="17">
        <f t="shared" si="7"/>
        <v>0</v>
      </c>
      <c r="U253" s="14">
        <f t="shared" si="8"/>
        <v>-10</v>
      </c>
      <c r="V253" s="9" t="str">
        <f t="shared" si="9"/>
        <v>Low Performance</v>
      </c>
      <c r="W253" s="9"/>
    </row>
    <row r="254" ht="15.75" customHeight="1">
      <c r="A254" s="6">
        <v>46322.0</v>
      </c>
      <c r="B254" s="7" t="s">
        <v>43</v>
      </c>
      <c r="C254" s="9" t="s">
        <v>40</v>
      </c>
      <c r="D254" s="9" t="s">
        <v>27</v>
      </c>
      <c r="E254" s="10">
        <v>0.0</v>
      </c>
      <c r="F254" s="9">
        <f t="shared" si="1"/>
        <v>0</v>
      </c>
      <c r="G254" s="11">
        <v>0.0</v>
      </c>
      <c r="H254" s="9">
        <f t="shared" si="2"/>
        <v>0</v>
      </c>
      <c r="I254" s="11">
        <v>0.0</v>
      </c>
      <c r="J254" s="9">
        <f t="shared" si="12"/>
        <v>0</v>
      </c>
      <c r="K254" s="11">
        <v>0.0</v>
      </c>
      <c r="L254" s="11">
        <v>0.0</v>
      </c>
      <c r="M254" s="14">
        <f t="shared" si="4"/>
        <v>0</v>
      </c>
      <c r="N254" s="11">
        <v>0.0</v>
      </c>
      <c r="O254" s="14">
        <f t="shared" si="5"/>
        <v>0</v>
      </c>
      <c r="P254" s="11">
        <v>0.0</v>
      </c>
      <c r="Q254" s="15">
        <v>0.0</v>
      </c>
      <c r="R254" s="9">
        <v>10.0</v>
      </c>
      <c r="S254" s="16">
        <f t="shared" si="6"/>
        <v>0</v>
      </c>
      <c r="T254" s="17">
        <f t="shared" si="7"/>
        <v>0</v>
      </c>
      <c r="U254" s="14">
        <f t="shared" si="8"/>
        <v>-10</v>
      </c>
      <c r="V254" s="9" t="str">
        <f t="shared" si="9"/>
        <v>Low Performance</v>
      </c>
      <c r="W254" s="9"/>
    </row>
    <row r="255" ht="15.75" customHeight="1">
      <c r="A255" s="6">
        <v>46322.0</v>
      </c>
      <c r="B255" s="7" t="s">
        <v>45</v>
      </c>
      <c r="C255" s="18" t="s">
        <v>46</v>
      </c>
      <c r="D255" s="9" t="s">
        <v>27</v>
      </c>
      <c r="E255" s="10">
        <v>0.0</v>
      </c>
      <c r="F255" s="9">
        <f t="shared" si="1"/>
        <v>0</v>
      </c>
      <c r="G255" s="11">
        <v>0.0</v>
      </c>
      <c r="H255" s="9">
        <f t="shared" si="2"/>
        <v>0</v>
      </c>
      <c r="I255" s="11">
        <v>0.0</v>
      </c>
      <c r="J255" s="9">
        <f t="shared" si="12"/>
        <v>0</v>
      </c>
      <c r="K255" s="11">
        <v>0.0</v>
      </c>
      <c r="L255" s="11">
        <v>0.0</v>
      </c>
      <c r="M255" s="14">
        <f t="shared" si="4"/>
        <v>0</v>
      </c>
      <c r="N255" s="11">
        <v>0.0</v>
      </c>
      <c r="O255" s="14">
        <f t="shared" si="5"/>
        <v>0</v>
      </c>
      <c r="P255" s="11">
        <v>0.0</v>
      </c>
      <c r="Q255" s="15">
        <v>0.0</v>
      </c>
      <c r="R255" s="9">
        <v>10.0</v>
      </c>
      <c r="S255" s="16">
        <f t="shared" si="6"/>
        <v>0</v>
      </c>
      <c r="T255" s="17">
        <f t="shared" si="7"/>
        <v>0</v>
      </c>
      <c r="U255" s="14">
        <f t="shared" si="8"/>
        <v>-10</v>
      </c>
      <c r="V255" s="9" t="str">
        <f t="shared" si="9"/>
        <v>Low Performance</v>
      </c>
      <c r="W255" s="9"/>
    </row>
    <row r="256" ht="15.75" customHeight="1">
      <c r="A256" s="6">
        <v>46322.0</v>
      </c>
      <c r="B256" s="7" t="s">
        <v>49</v>
      </c>
      <c r="C256" s="18" t="s">
        <v>46</v>
      </c>
      <c r="D256" s="9" t="s">
        <v>27</v>
      </c>
      <c r="E256" s="10">
        <v>0.0</v>
      </c>
      <c r="F256" s="9">
        <f t="shared" si="1"/>
        <v>0</v>
      </c>
      <c r="G256" s="11">
        <v>0.0</v>
      </c>
      <c r="H256" s="9">
        <f t="shared" si="2"/>
        <v>0</v>
      </c>
      <c r="I256" s="11">
        <v>0.0</v>
      </c>
      <c r="J256" s="9">
        <f t="shared" si="12"/>
        <v>0</v>
      </c>
      <c r="K256" s="11">
        <v>0.0</v>
      </c>
      <c r="L256" s="11">
        <v>0.0</v>
      </c>
      <c r="M256" s="14">
        <f t="shared" si="4"/>
        <v>0</v>
      </c>
      <c r="N256" s="11">
        <v>0.0</v>
      </c>
      <c r="O256" s="14">
        <f t="shared" si="5"/>
        <v>0</v>
      </c>
      <c r="P256" s="11">
        <v>0.0</v>
      </c>
      <c r="Q256" s="15">
        <v>0.0</v>
      </c>
      <c r="R256" s="9">
        <v>10.0</v>
      </c>
      <c r="S256" s="16">
        <f t="shared" si="6"/>
        <v>0</v>
      </c>
      <c r="T256" s="17">
        <f t="shared" si="7"/>
        <v>0</v>
      </c>
      <c r="U256" s="14">
        <f t="shared" si="8"/>
        <v>-10</v>
      </c>
      <c r="V256" s="9" t="str">
        <f t="shared" si="9"/>
        <v>Low Performance</v>
      </c>
      <c r="W256" s="9"/>
    </row>
    <row r="257" ht="15.75" customHeight="1">
      <c r="A257" s="6">
        <v>46322.0</v>
      </c>
      <c r="B257" s="22" t="s">
        <v>50</v>
      </c>
      <c r="C257" s="23" t="s">
        <v>46</v>
      </c>
      <c r="D257" s="24" t="s">
        <v>27</v>
      </c>
      <c r="E257" s="10">
        <v>0.0</v>
      </c>
      <c r="F257" s="9">
        <f t="shared" si="1"/>
        <v>0</v>
      </c>
      <c r="G257" s="11">
        <v>0.0</v>
      </c>
      <c r="H257" s="9">
        <f t="shared" si="2"/>
        <v>0</v>
      </c>
      <c r="I257" s="11">
        <v>0.0</v>
      </c>
      <c r="J257" s="9">
        <f t="shared" si="12"/>
        <v>0</v>
      </c>
      <c r="K257" s="11">
        <v>0.0</v>
      </c>
      <c r="L257" s="11">
        <v>0.0</v>
      </c>
      <c r="M257" s="14">
        <f t="shared" si="4"/>
        <v>0</v>
      </c>
      <c r="N257" s="11">
        <v>0.0</v>
      </c>
      <c r="O257" s="14">
        <f t="shared" si="5"/>
        <v>0</v>
      </c>
      <c r="P257" s="11">
        <v>0.0</v>
      </c>
      <c r="Q257" s="15">
        <v>0.0</v>
      </c>
      <c r="R257" s="9">
        <v>10.0</v>
      </c>
      <c r="S257" s="16">
        <f t="shared" si="6"/>
        <v>0</v>
      </c>
      <c r="T257" s="17">
        <f t="shared" si="7"/>
        <v>0</v>
      </c>
      <c r="U257" s="14">
        <f t="shared" si="8"/>
        <v>-10</v>
      </c>
      <c r="V257" s="9" t="str">
        <f t="shared" si="9"/>
        <v>Low Performance</v>
      </c>
      <c r="W257" s="9"/>
    </row>
    <row r="258" ht="15.75" customHeight="1">
      <c r="A258" s="6">
        <v>46323.0</v>
      </c>
      <c r="B258" s="7" t="s">
        <v>28</v>
      </c>
      <c r="C258" s="9" t="s">
        <v>29</v>
      </c>
      <c r="D258" s="9" t="s">
        <v>27</v>
      </c>
      <c r="E258" s="10">
        <v>0.0</v>
      </c>
      <c r="F258" s="9">
        <f t="shared" si="1"/>
        <v>0</v>
      </c>
      <c r="G258" s="11">
        <v>0.0</v>
      </c>
      <c r="H258" s="9">
        <f t="shared" si="2"/>
        <v>0</v>
      </c>
      <c r="I258" s="11">
        <v>0.0</v>
      </c>
      <c r="J258" s="9">
        <f t="shared" si="12"/>
        <v>0</v>
      </c>
      <c r="K258" s="11">
        <v>0.0</v>
      </c>
      <c r="L258" s="11">
        <v>0.0</v>
      </c>
      <c r="M258" s="14">
        <f t="shared" si="4"/>
        <v>0</v>
      </c>
      <c r="N258" s="11">
        <v>0.0</v>
      </c>
      <c r="O258" s="14">
        <f t="shared" si="5"/>
        <v>0</v>
      </c>
      <c r="P258" s="11">
        <v>0.0</v>
      </c>
      <c r="Q258" s="15">
        <v>0.0</v>
      </c>
      <c r="R258" s="9">
        <v>10.0</v>
      </c>
      <c r="S258" s="16">
        <f t="shared" si="6"/>
        <v>0</v>
      </c>
      <c r="T258" s="17">
        <f t="shared" si="7"/>
        <v>0</v>
      </c>
      <c r="U258" s="14">
        <f t="shared" si="8"/>
        <v>-10</v>
      </c>
      <c r="V258" s="9" t="str">
        <f t="shared" si="9"/>
        <v>Low Performance</v>
      </c>
      <c r="W258" s="9"/>
    </row>
    <row r="259" ht="15.75" customHeight="1">
      <c r="A259" s="6">
        <v>46323.0</v>
      </c>
      <c r="B259" s="7" t="s">
        <v>36</v>
      </c>
      <c r="C259" s="9" t="s">
        <v>29</v>
      </c>
      <c r="D259" s="9" t="s">
        <v>27</v>
      </c>
      <c r="E259" s="10">
        <v>0.0</v>
      </c>
      <c r="F259" s="9">
        <f t="shared" si="1"/>
        <v>0</v>
      </c>
      <c r="G259" s="11">
        <v>0.0</v>
      </c>
      <c r="H259" s="9">
        <f t="shared" si="2"/>
        <v>0</v>
      </c>
      <c r="I259" s="11">
        <v>0.0</v>
      </c>
      <c r="J259" s="9">
        <f t="shared" si="12"/>
        <v>0</v>
      </c>
      <c r="K259" s="11">
        <v>0.0</v>
      </c>
      <c r="L259" s="11">
        <v>0.0</v>
      </c>
      <c r="M259" s="14">
        <f t="shared" si="4"/>
        <v>0</v>
      </c>
      <c r="N259" s="11">
        <v>0.0</v>
      </c>
      <c r="O259" s="14">
        <f t="shared" si="5"/>
        <v>0</v>
      </c>
      <c r="P259" s="11">
        <v>0.0</v>
      </c>
      <c r="Q259" s="15">
        <v>0.0</v>
      </c>
      <c r="R259" s="9">
        <v>10.0</v>
      </c>
      <c r="S259" s="16">
        <f t="shared" si="6"/>
        <v>0</v>
      </c>
      <c r="T259" s="17">
        <f t="shared" si="7"/>
        <v>0</v>
      </c>
      <c r="U259" s="14">
        <f t="shared" si="8"/>
        <v>-10</v>
      </c>
      <c r="V259" s="9" t="str">
        <f t="shared" si="9"/>
        <v>Low Performance</v>
      </c>
      <c r="W259" s="9"/>
    </row>
    <row r="260" ht="15.75" customHeight="1">
      <c r="A260" s="6">
        <v>46323.0</v>
      </c>
      <c r="B260" s="7" t="s">
        <v>37</v>
      </c>
      <c r="C260" s="9" t="s">
        <v>29</v>
      </c>
      <c r="D260" s="9" t="s">
        <v>27</v>
      </c>
      <c r="E260" s="10">
        <v>0.0</v>
      </c>
      <c r="F260" s="9">
        <f t="shared" si="1"/>
        <v>0</v>
      </c>
      <c r="G260" s="11">
        <v>0.0</v>
      </c>
      <c r="H260" s="9">
        <f t="shared" si="2"/>
        <v>0</v>
      </c>
      <c r="I260" s="11">
        <v>0.0</v>
      </c>
      <c r="J260" s="9">
        <f t="shared" si="12"/>
        <v>0</v>
      </c>
      <c r="K260" s="11">
        <v>0.0</v>
      </c>
      <c r="L260" s="11">
        <v>0.0</v>
      </c>
      <c r="M260" s="14">
        <f t="shared" si="4"/>
        <v>0</v>
      </c>
      <c r="N260" s="11">
        <v>0.0</v>
      </c>
      <c r="O260" s="14">
        <f t="shared" si="5"/>
        <v>0</v>
      </c>
      <c r="P260" s="11">
        <v>0.0</v>
      </c>
      <c r="Q260" s="15">
        <v>0.0</v>
      </c>
      <c r="R260" s="9">
        <v>10.0</v>
      </c>
      <c r="S260" s="16">
        <f t="shared" si="6"/>
        <v>0</v>
      </c>
      <c r="T260" s="17">
        <f t="shared" si="7"/>
        <v>0</v>
      </c>
      <c r="U260" s="14">
        <f t="shared" si="8"/>
        <v>-10</v>
      </c>
      <c r="V260" s="9" t="str">
        <f t="shared" si="9"/>
        <v>Low Performance</v>
      </c>
      <c r="W260" s="9"/>
    </row>
    <row r="261" ht="15.75" customHeight="1">
      <c r="A261" s="6">
        <v>46323.0</v>
      </c>
      <c r="B261" s="7" t="s">
        <v>38</v>
      </c>
      <c r="C261" s="9" t="s">
        <v>29</v>
      </c>
      <c r="D261" s="9" t="s">
        <v>27</v>
      </c>
      <c r="E261" s="10">
        <v>0.0</v>
      </c>
      <c r="F261" s="9">
        <f t="shared" si="1"/>
        <v>0</v>
      </c>
      <c r="G261" s="11">
        <v>0.0</v>
      </c>
      <c r="H261" s="9">
        <f t="shared" si="2"/>
        <v>0</v>
      </c>
      <c r="I261" s="11">
        <v>0.0</v>
      </c>
      <c r="J261" s="9">
        <f t="shared" si="12"/>
        <v>0</v>
      </c>
      <c r="K261" s="11">
        <v>0.0</v>
      </c>
      <c r="L261" s="11">
        <v>0.0</v>
      </c>
      <c r="M261" s="14">
        <f t="shared" si="4"/>
        <v>0</v>
      </c>
      <c r="N261" s="11">
        <v>0.0</v>
      </c>
      <c r="O261" s="14">
        <f t="shared" si="5"/>
        <v>0</v>
      </c>
      <c r="P261" s="11">
        <v>0.0</v>
      </c>
      <c r="Q261" s="15">
        <v>0.0</v>
      </c>
      <c r="R261" s="9">
        <v>10.0</v>
      </c>
      <c r="S261" s="16">
        <f t="shared" si="6"/>
        <v>0</v>
      </c>
      <c r="T261" s="17">
        <f t="shared" si="7"/>
        <v>0</v>
      </c>
      <c r="U261" s="14">
        <f t="shared" si="8"/>
        <v>-10</v>
      </c>
      <c r="V261" s="9" t="str">
        <f t="shared" si="9"/>
        <v>Low Performance</v>
      </c>
      <c r="W261" s="9"/>
    </row>
    <row r="262" ht="15.75" customHeight="1">
      <c r="A262" s="6">
        <v>46323.0</v>
      </c>
      <c r="B262" s="20" t="s">
        <v>39</v>
      </c>
      <c r="C262" s="9" t="s">
        <v>40</v>
      </c>
      <c r="D262" s="9" t="s">
        <v>27</v>
      </c>
      <c r="E262" s="10">
        <v>0.0</v>
      </c>
      <c r="F262" s="9">
        <f t="shared" si="1"/>
        <v>0</v>
      </c>
      <c r="G262" s="11">
        <v>0.0</v>
      </c>
      <c r="H262" s="9">
        <f t="shared" si="2"/>
        <v>0</v>
      </c>
      <c r="I262" s="11">
        <v>0.0</v>
      </c>
      <c r="J262" s="9">
        <f t="shared" si="12"/>
        <v>0</v>
      </c>
      <c r="K262" s="11">
        <v>0.0</v>
      </c>
      <c r="L262" s="11">
        <v>0.0</v>
      </c>
      <c r="M262" s="14">
        <f t="shared" si="4"/>
        <v>0</v>
      </c>
      <c r="N262" s="11">
        <v>0.0</v>
      </c>
      <c r="O262" s="14">
        <f t="shared" si="5"/>
        <v>0</v>
      </c>
      <c r="P262" s="11">
        <v>0.0</v>
      </c>
      <c r="Q262" s="15">
        <v>0.0</v>
      </c>
      <c r="R262" s="9">
        <v>10.0</v>
      </c>
      <c r="S262" s="16">
        <f t="shared" si="6"/>
        <v>0</v>
      </c>
      <c r="T262" s="17">
        <f t="shared" si="7"/>
        <v>0</v>
      </c>
      <c r="U262" s="14">
        <f t="shared" si="8"/>
        <v>-10</v>
      </c>
      <c r="V262" s="9" t="str">
        <f t="shared" si="9"/>
        <v>Low Performance</v>
      </c>
      <c r="W262" s="9"/>
    </row>
    <row r="263" ht="15.75" customHeight="1">
      <c r="A263" s="6">
        <v>46323.0</v>
      </c>
      <c r="B263" s="7" t="s">
        <v>41</v>
      </c>
      <c r="C263" s="9" t="s">
        <v>40</v>
      </c>
      <c r="D263" s="9" t="s">
        <v>27</v>
      </c>
      <c r="E263" s="10">
        <v>0.0</v>
      </c>
      <c r="F263" s="9">
        <f t="shared" si="1"/>
        <v>0</v>
      </c>
      <c r="G263" s="11">
        <v>0.0</v>
      </c>
      <c r="H263" s="9">
        <f t="shared" si="2"/>
        <v>0</v>
      </c>
      <c r="I263" s="11">
        <v>0.0</v>
      </c>
      <c r="J263" s="9">
        <f t="shared" si="12"/>
        <v>0</v>
      </c>
      <c r="K263" s="11">
        <v>0.0</v>
      </c>
      <c r="L263" s="11">
        <v>0.0</v>
      </c>
      <c r="M263" s="14">
        <f t="shared" si="4"/>
        <v>0</v>
      </c>
      <c r="N263" s="11">
        <v>0.0</v>
      </c>
      <c r="O263" s="14">
        <f t="shared" si="5"/>
        <v>0</v>
      </c>
      <c r="P263" s="11">
        <v>0.0</v>
      </c>
      <c r="Q263" s="15">
        <v>0.0</v>
      </c>
      <c r="R263" s="9">
        <v>10.0</v>
      </c>
      <c r="S263" s="16">
        <f t="shared" si="6"/>
        <v>0</v>
      </c>
      <c r="T263" s="17">
        <f t="shared" si="7"/>
        <v>0</v>
      </c>
      <c r="U263" s="14">
        <f t="shared" si="8"/>
        <v>-10</v>
      </c>
      <c r="V263" s="9" t="str">
        <f t="shared" si="9"/>
        <v>Low Performance</v>
      </c>
      <c r="W263" s="9"/>
    </row>
    <row r="264" ht="15.75" customHeight="1">
      <c r="A264" s="6">
        <v>46323.0</v>
      </c>
      <c r="B264" s="7" t="s">
        <v>42</v>
      </c>
      <c r="C264" s="9" t="s">
        <v>40</v>
      </c>
      <c r="D264" s="9" t="s">
        <v>27</v>
      </c>
      <c r="E264" s="10">
        <v>0.0</v>
      </c>
      <c r="F264" s="9">
        <f t="shared" si="1"/>
        <v>0</v>
      </c>
      <c r="G264" s="11">
        <v>0.0</v>
      </c>
      <c r="H264" s="9">
        <f t="shared" si="2"/>
        <v>0</v>
      </c>
      <c r="I264" s="11">
        <v>0.0</v>
      </c>
      <c r="J264" s="9">
        <f t="shared" si="12"/>
        <v>0</v>
      </c>
      <c r="K264" s="11">
        <v>0.0</v>
      </c>
      <c r="L264" s="11">
        <v>0.0</v>
      </c>
      <c r="M264" s="14">
        <f t="shared" si="4"/>
        <v>0</v>
      </c>
      <c r="N264" s="11">
        <v>0.0</v>
      </c>
      <c r="O264" s="14">
        <f t="shared" si="5"/>
        <v>0</v>
      </c>
      <c r="P264" s="11">
        <v>0.0</v>
      </c>
      <c r="Q264" s="15">
        <v>0.0</v>
      </c>
      <c r="R264" s="9">
        <v>10.0</v>
      </c>
      <c r="S264" s="16">
        <f t="shared" si="6"/>
        <v>0</v>
      </c>
      <c r="T264" s="17">
        <f t="shared" si="7"/>
        <v>0</v>
      </c>
      <c r="U264" s="14">
        <f t="shared" si="8"/>
        <v>-10</v>
      </c>
      <c r="V264" s="9" t="str">
        <f t="shared" si="9"/>
        <v>Low Performance</v>
      </c>
      <c r="W264" s="9"/>
    </row>
    <row r="265" ht="15.75" customHeight="1">
      <c r="A265" s="6">
        <v>46323.0</v>
      </c>
      <c r="B265" s="7" t="s">
        <v>43</v>
      </c>
      <c r="C265" s="9" t="s">
        <v>40</v>
      </c>
      <c r="D265" s="9" t="s">
        <v>27</v>
      </c>
      <c r="E265" s="10">
        <v>0.0</v>
      </c>
      <c r="F265" s="9">
        <f t="shared" si="1"/>
        <v>0</v>
      </c>
      <c r="G265" s="11">
        <v>0.0</v>
      </c>
      <c r="H265" s="9">
        <f t="shared" si="2"/>
        <v>0</v>
      </c>
      <c r="I265" s="11">
        <v>0.0</v>
      </c>
      <c r="J265" s="9">
        <f t="shared" si="12"/>
        <v>0</v>
      </c>
      <c r="K265" s="11">
        <v>0.0</v>
      </c>
      <c r="L265" s="11">
        <v>0.0</v>
      </c>
      <c r="M265" s="14">
        <f t="shared" si="4"/>
        <v>0</v>
      </c>
      <c r="N265" s="11">
        <v>0.0</v>
      </c>
      <c r="O265" s="14">
        <f t="shared" si="5"/>
        <v>0</v>
      </c>
      <c r="P265" s="11">
        <v>0.0</v>
      </c>
      <c r="Q265" s="15">
        <v>0.0</v>
      </c>
      <c r="R265" s="9">
        <v>10.0</v>
      </c>
      <c r="S265" s="16">
        <f t="shared" si="6"/>
        <v>0</v>
      </c>
      <c r="T265" s="17">
        <f t="shared" si="7"/>
        <v>0</v>
      </c>
      <c r="U265" s="14">
        <f t="shared" si="8"/>
        <v>-10</v>
      </c>
      <c r="V265" s="9" t="str">
        <f t="shared" si="9"/>
        <v>Low Performance</v>
      </c>
      <c r="W265" s="9"/>
    </row>
    <row r="266" ht="15.75" customHeight="1">
      <c r="A266" s="6">
        <v>46323.0</v>
      </c>
      <c r="B266" s="7" t="s">
        <v>45</v>
      </c>
      <c r="C266" s="18" t="s">
        <v>46</v>
      </c>
      <c r="D266" s="9" t="s">
        <v>27</v>
      </c>
      <c r="E266" s="10">
        <v>0.0</v>
      </c>
      <c r="F266" s="9">
        <f t="shared" si="1"/>
        <v>0</v>
      </c>
      <c r="G266" s="11">
        <v>0.0</v>
      </c>
      <c r="H266" s="9">
        <f t="shared" si="2"/>
        <v>0</v>
      </c>
      <c r="I266" s="11">
        <v>0.0</v>
      </c>
      <c r="J266" s="9">
        <f t="shared" si="12"/>
        <v>0</v>
      </c>
      <c r="K266" s="11">
        <v>0.0</v>
      </c>
      <c r="L266" s="11">
        <v>0.0</v>
      </c>
      <c r="M266" s="14">
        <f t="shared" si="4"/>
        <v>0</v>
      </c>
      <c r="N266" s="11">
        <v>0.0</v>
      </c>
      <c r="O266" s="14">
        <f t="shared" si="5"/>
        <v>0</v>
      </c>
      <c r="P266" s="11">
        <v>0.0</v>
      </c>
      <c r="Q266" s="15">
        <v>0.0</v>
      </c>
      <c r="R266" s="9">
        <v>10.0</v>
      </c>
      <c r="S266" s="16">
        <f t="shared" si="6"/>
        <v>0</v>
      </c>
      <c r="T266" s="17">
        <f t="shared" si="7"/>
        <v>0</v>
      </c>
      <c r="U266" s="14">
        <f t="shared" si="8"/>
        <v>-10</v>
      </c>
      <c r="V266" s="9" t="str">
        <f t="shared" si="9"/>
        <v>Low Performance</v>
      </c>
      <c r="W266" s="9"/>
    </row>
    <row r="267" ht="15.75" customHeight="1">
      <c r="A267" s="6">
        <v>46323.0</v>
      </c>
      <c r="B267" s="7" t="s">
        <v>49</v>
      </c>
      <c r="C267" s="18" t="s">
        <v>46</v>
      </c>
      <c r="D267" s="9" t="s">
        <v>27</v>
      </c>
      <c r="E267" s="10">
        <v>0.0</v>
      </c>
      <c r="F267" s="9">
        <f t="shared" si="1"/>
        <v>0</v>
      </c>
      <c r="G267" s="11">
        <v>0.0</v>
      </c>
      <c r="H267" s="9">
        <f t="shared" si="2"/>
        <v>0</v>
      </c>
      <c r="I267" s="11">
        <v>0.0</v>
      </c>
      <c r="J267" s="9">
        <f t="shared" si="12"/>
        <v>0</v>
      </c>
      <c r="K267" s="11">
        <v>0.0</v>
      </c>
      <c r="L267" s="11">
        <v>0.0</v>
      </c>
      <c r="M267" s="14">
        <f t="shared" si="4"/>
        <v>0</v>
      </c>
      <c r="N267" s="11">
        <v>0.0</v>
      </c>
      <c r="O267" s="14">
        <f t="shared" si="5"/>
        <v>0</v>
      </c>
      <c r="P267" s="11">
        <v>0.0</v>
      </c>
      <c r="Q267" s="15">
        <v>0.0</v>
      </c>
      <c r="R267" s="9">
        <v>10.0</v>
      </c>
      <c r="S267" s="16">
        <f t="shared" si="6"/>
        <v>0</v>
      </c>
      <c r="T267" s="17">
        <f t="shared" si="7"/>
        <v>0</v>
      </c>
      <c r="U267" s="14">
        <f t="shared" si="8"/>
        <v>-10</v>
      </c>
      <c r="V267" s="9" t="str">
        <f t="shared" si="9"/>
        <v>Low Performance</v>
      </c>
      <c r="W267" s="9"/>
    </row>
    <row r="268" ht="15.75" customHeight="1">
      <c r="A268" s="6">
        <v>46323.0</v>
      </c>
      <c r="B268" s="22" t="s">
        <v>50</v>
      </c>
      <c r="C268" s="23" t="s">
        <v>46</v>
      </c>
      <c r="D268" s="24" t="s">
        <v>27</v>
      </c>
      <c r="E268" s="10">
        <v>0.0</v>
      </c>
      <c r="F268" s="9">
        <f t="shared" si="1"/>
        <v>0</v>
      </c>
      <c r="G268" s="11">
        <v>0.0</v>
      </c>
      <c r="H268" s="9">
        <f t="shared" si="2"/>
        <v>0</v>
      </c>
      <c r="I268" s="11">
        <v>0.0</v>
      </c>
      <c r="J268" s="9">
        <f t="shared" si="12"/>
        <v>0</v>
      </c>
      <c r="K268" s="11">
        <v>0.0</v>
      </c>
      <c r="L268" s="11">
        <v>0.0</v>
      </c>
      <c r="M268" s="14">
        <f t="shared" si="4"/>
        <v>0</v>
      </c>
      <c r="N268" s="11">
        <v>0.0</v>
      </c>
      <c r="O268" s="14">
        <f t="shared" si="5"/>
        <v>0</v>
      </c>
      <c r="P268" s="11">
        <v>0.0</v>
      </c>
      <c r="Q268" s="15">
        <v>0.0</v>
      </c>
      <c r="R268" s="9">
        <v>10.0</v>
      </c>
      <c r="S268" s="16">
        <f t="shared" si="6"/>
        <v>0</v>
      </c>
      <c r="T268" s="17">
        <f t="shared" si="7"/>
        <v>0</v>
      </c>
      <c r="U268" s="14">
        <f t="shared" si="8"/>
        <v>-10</v>
      </c>
      <c r="V268" s="9" t="str">
        <f t="shared" si="9"/>
        <v>Low Performance</v>
      </c>
      <c r="W268" s="9"/>
    </row>
    <row r="269" ht="15.75" customHeight="1">
      <c r="A269" s="6">
        <v>46324.0</v>
      </c>
      <c r="B269" s="7" t="s">
        <v>28</v>
      </c>
      <c r="C269" s="9" t="s">
        <v>29</v>
      </c>
      <c r="D269" s="9" t="s">
        <v>27</v>
      </c>
      <c r="E269" s="10">
        <v>0.0</v>
      </c>
      <c r="F269" s="9">
        <f t="shared" si="1"/>
        <v>0</v>
      </c>
      <c r="G269" s="11">
        <v>0.0</v>
      </c>
      <c r="H269" s="9">
        <f t="shared" si="2"/>
        <v>0</v>
      </c>
      <c r="I269" s="11">
        <v>0.0</v>
      </c>
      <c r="J269" s="9">
        <f t="shared" si="12"/>
        <v>0</v>
      </c>
      <c r="K269" s="11">
        <v>0.0</v>
      </c>
      <c r="L269" s="11">
        <v>0.0</v>
      </c>
      <c r="M269" s="14">
        <f t="shared" si="4"/>
        <v>0</v>
      </c>
      <c r="N269" s="11">
        <v>0.0</v>
      </c>
      <c r="O269" s="14">
        <f t="shared" si="5"/>
        <v>0</v>
      </c>
      <c r="P269" s="11">
        <v>0.0</v>
      </c>
      <c r="Q269" s="15">
        <v>0.0</v>
      </c>
      <c r="R269" s="9">
        <v>10.0</v>
      </c>
      <c r="S269" s="16">
        <f t="shared" si="6"/>
        <v>0</v>
      </c>
      <c r="T269" s="17">
        <f t="shared" si="7"/>
        <v>0</v>
      </c>
      <c r="U269" s="14">
        <f t="shared" si="8"/>
        <v>-10</v>
      </c>
      <c r="V269" s="9" t="str">
        <f t="shared" si="9"/>
        <v>Low Performance</v>
      </c>
      <c r="W269" s="9"/>
    </row>
    <row r="270" ht="15.75" customHeight="1">
      <c r="A270" s="6">
        <v>46324.0</v>
      </c>
      <c r="B270" s="7" t="s">
        <v>36</v>
      </c>
      <c r="C270" s="9" t="s">
        <v>29</v>
      </c>
      <c r="D270" s="9" t="s">
        <v>27</v>
      </c>
      <c r="E270" s="10">
        <v>0.0</v>
      </c>
      <c r="F270" s="9">
        <f t="shared" si="1"/>
        <v>0</v>
      </c>
      <c r="G270" s="11">
        <v>0.0</v>
      </c>
      <c r="H270" s="9">
        <f t="shared" si="2"/>
        <v>0</v>
      </c>
      <c r="I270" s="11">
        <v>0.0</v>
      </c>
      <c r="J270" s="9">
        <f t="shared" si="12"/>
        <v>0</v>
      </c>
      <c r="K270" s="11">
        <v>0.0</v>
      </c>
      <c r="L270" s="11">
        <v>0.0</v>
      </c>
      <c r="M270" s="14">
        <f t="shared" si="4"/>
        <v>0</v>
      </c>
      <c r="N270" s="11">
        <v>0.0</v>
      </c>
      <c r="O270" s="14">
        <f t="shared" si="5"/>
        <v>0</v>
      </c>
      <c r="P270" s="11">
        <v>0.0</v>
      </c>
      <c r="Q270" s="15">
        <v>0.0</v>
      </c>
      <c r="R270" s="9">
        <v>10.0</v>
      </c>
      <c r="S270" s="16">
        <f t="shared" si="6"/>
        <v>0</v>
      </c>
      <c r="T270" s="17">
        <f t="shared" si="7"/>
        <v>0</v>
      </c>
      <c r="U270" s="14">
        <f t="shared" si="8"/>
        <v>-10</v>
      </c>
      <c r="V270" s="9" t="str">
        <f t="shared" si="9"/>
        <v>Low Performance</v>
      </c>
      <c r="W270" s="9"/>
    </row>
    <row r="271" ht="15.75" customHeight="1">
      <c r="A271" s="6">
        <v>46324.0</v>
      </c>
      <c r="B271" s="7" t="s">
        <v>37</v>
      </c>
      <c r="C271" s="9" t="s">
        <v>29</v>
      </c>
      <c r="D271" s="9" t="s">
        <v>27</v>
      </c>
      <c r="E271" s="10">
        <v>0.0</v>
      </c>
      <c r="F271" s="9">
        <f t="shared" si="1"/>
        <v>0</v>
      </c>
      <c r="G271" s="11">
        <v>0.0</v>
      </c>
      <c r="H271" s="9">
        <f t="shared" si="2"/>
        <v>0</v>
      </c>
      <c r="I271" s="11">
        <v>0.0</v>
      </c>
      <c r="J271" s="9">
        <f t="shared" si="12"/>
        <v>0</v>
      </c>
      <c r="K271" s="11">
        <v>0.0</v>
      </c>
      <c r="L271" s="11">
        <v>0.0</v>
      </c>
      <c r="M271" s="14">
        <f t="shared" si="4"/>
        <v>0</v>
      </c>
      <c r="N271" s="11">
        <v>0.0</v>
      </c>
      <c r="O271" s="14">
        <f t="shared" si="5"/>
        <v>0</v>
      </c>
      <c r="P271" s="11">
        <v>0.0</v>
      </c>
      <c r="Q271" s="15">
        <v>0.0</v>
      </c>
      <c r="R271" s="9">
        <v>10.0</v>
      </c>
      <c r="S271" s="16">
        <f t="shared" si="6"/>
        <v>0</v>
      </c>
      <c r="T271" s="17">
        <f t="shared" si="7"/>
        <v>0</v>
      </c>
      <c r="U271" s="14">
        <f t="shared" si="8"/>
        <v>-10</v>
      </c>
      <c r="V271" s="9" t="str">
        <f t="shared" si="9"/>
        <v>Low Performance</v>
      </c>
      <c r="W271" s="9"/>
    </row>
    <row r="272" ht="15.75" customHeight="1">
      <c r="A272" s="6">
        <v>46324.0</v>
      </c>
      <c r="B272" s="7" t="s">
        <v>38</v>
      </c>
      <c r="C272" s="9" t="s">
        <v>29</v>
      </c>
      <c r="D272" s="9" t="s">
        <v>27</v>
      </c>
      <c r="E272" s="10">
        <v>0.0</v>
      </c>
      <c r="F272" s="9">
        <f t="shared" si="1"/>
        <v>0</v>
      </c>
      <c r="G272" s="11">
        <v>0.0</v>
      </c>
      <c r="H272" s="9">
        <f t="shared" si="2"/>
        <v>0</v>
      </c>
      <c r="I272" s="11">
        <v>0.0</v>
      </c>
      <c r="J272" s="9">
        <f t="shared" si="12"/>
        <v>0</v>
      </c>
      <c r="K272" s="11">
        <v>0.0</v>
      </c>
      <c r="L272" s="11">
        <v>0.0</v>
      </c>
      <c r="M272" s="14">
        <f t="shared" si="4"/>
        <v>0</v>
      </c>
      <c r="N272" s="11">
        <v>0.0</v>
      </c>
      <c r="O272" s="14">
        <f t="shared" si="5"/>
        <v>0</v>
      </c>
      <c r="P272" s="11">
        <v>0.0</v>
      </c>
      <c r="Q272" s="15">
        <v>0.0</v>
      </c>
      <c r="R272" s="9">
        <v>10.0</v>
      </c>
      <c r="S272" s="16">
        <f t="shared" si="6"/>
        <v>0</v>
      </c>
      <c r="T272" s="17">
        <f t="shared" si="7"/>
        <v>0</v>
      </c>
      <c r="U272" s="14">
        <f t="shared" si="8"/>
        <v>-10</v>
      </c>
      <c r="V272" s="9" t="str">
        <f t="shared" si="9"/>
        <v>Low Performance</v>
      </c>
      <c r="W272" s="9"/>
    </row>
    <row r="273" ht="15.75" customHeight="1">
      <c r="A273" s="6">
        <v>46324.0</v>
      </c>
      <c r="B273" s="20" t="s">
        <v>39</v>
      </c>
      <c r="C273" s="9" t="s">
        <v>40</v>
      </c>
      <c r="D273" s="9" t="s">
        <v>27</v>
      </c>
      <c r="E273" s="10">
        <v>0.0</v>
      </c>
      <c r="F273" s="9">
        <f t="shared" si="1"/>
        <v>0</v>
      </c>
      <c r="G273" s="11">
        <v>0.0</v>
      </c>
      <c r="H273" s="9">
        <f t="shared" si="2"/>
        <v>0</v>
      </c>
      <c r="I273" s="11">
        <v>0.0</v>
      </c>
      <c r="J273" s="9">
        <f t="shared" si="12"/>
        <v>0</v>
      </c>
      <c r="K273" s="11">
        <v>0.0</v>
      </c>
      <c r="L273" s="11">
        <v>0.0</v>
      </c>
      <c r="M273" s="14">
        <f t="shared" si="4"/>
        <v>0</v>
      </c>
      <c r="N273" s="11">
        <v>0.0</v>
      </c>
      <c r="O273" s="14">
        <f t="shared" si="5"/>
        <v>0</v>
      </c>
      <c r="P273" s="11">
        <v>0.0</v>
      </c>
      <c r="Q273" s="15">
        <v>0.0</v>
      </c>
      <c r="R273" s="9">
        <v>10.0</v>
      </c>
      <c r="S273" s="16">
        <f t="shared" si="6"/>
        <v>0</v>
      </c>
      <c r="T273" s="17">
        <f t="shared" si="7"/>
        <v>0</v>
      </c>
      <c r="U273" s="14">
        <f t="shared" si="8"/>
        <v>-10</v>
      </c>
      <c r="V273" s="9" t="str">
        <f t="shared" si="9"/>
        <v>Low Performance</v>
      </c>
      <c r="W273" s="9"/>
    </row>
    <row r="274" ht="15.75" customHeight="1">
      <c r="A274" s="6">
        <v>46324.0</v>
      </c>
      <c r="B274" s="7" t="s">
        <v>41</v>
      </c>
      <c r="C274" s="9" t="s">
        <v>40</v>
      </c>
      <c r="D274" s="9" t="s">
        <v>27</v>
      </c>
      <c r="E274" s="10">
        <v>0.0</v>
      </c>
      <c r="F274" s="9">
        <f t="shared" si="1"/>
        <v>0</v>
      </c>
      <c r="G274" s="11">
        <v>0.0</v>
      </c>
      <c r="H274" s="9">
        <f t="shared" si="2"/>
        <v>0</v>
      </c>
      <c r="I274" s="11">
        <v>0.0</v>
      </c>
      <c r="J274" s="9">
        <f t="shared" si="12"/>
        <v>0</v>
      </c>
      <c r="K274" s="11">
        <v>0.0</v>
      </c>
      <c r="L274" s="11">
        <v>0.0</v>
      </c>
      <c r="M274" s="14">
        <f t="shared" si="4"/>
        <v>0</v>
      </c>
      <c r="N274" s="11">
        <v>0.0</v>
      </c>
      <c r="O274" s="14">
        <f t="shared" si="5"/>
        <v>0</v>
      </c>
      <c r="P274" s="11">
        <v>0.0</v>
      </c>
      <c r="Q274" s="15">
        <v>0.0</v>
      </c>
      <c r="R274" s="9">
        <v>10.0</v>
      </c>
      <c r="S274" s="16">
        <f t="shared" si="6"/>
        <v>0</v>
      </c>
      <c r="T274" s="17">
        <f t="shared" si="7"/>
        <v>0</v>
      </c>
      <c r="U274" s="14">
        <f t="shared" si="8"/>
        <v>-10</v>
      </c>
      <c r="V274" s="9" t="str">
        <f t="shared" si="9"/>
        <v>Low Performance</v>
      </c>
      <c r="W274" s="9"/>
    </row>
    <row r="275" ht="15.75" customHeight="1">
      <c r="A275" s="6">
        <v>46324.0</v>
      </c>
      <c r="B275" s="7" t="s">
        <v>42</v>
      </c>
      <c r="C275" s="9" t="s">
        <v>40</v>
      </c>
      <c r="D275" s="9" t="s">
        <v>27</v>
      </c>
      <c r="E275" s="10">
        <v>0.0</v>
      </c>
      <c r="F275" s="9">
        <f t="shared" si="1"/>
        <v>0</v>
      </c>
      <c r="G275" s="11">
        <v>0.0</v>
      </c>
      <c r="H275" s="9">
        <f t="shared" si="2"/>
        <v>0</v>
      </c>
      <c r="I275" s="11">
        <v>0.0</v>
      </c>
      <c r="J275" s="9">
        <f t="shared" si="12"/>
        <v>0</v>
      </c>
      <c r="K275" s="11">
        <v>0.0</v>
      </c>
      <c r="L275" s="11">
        <v>0.0</v>
      </c>
      <c r="M275" s="14">
        <f t="shared" si="4"/>
        <v>0</v>
      </c>
      <c r="N275" s="11">
        <v>0.0</v>
      </c>
      <c r="O275" s="14">
        <f t="shared" si="5"/>
        <v>0</v>
      </c>
      <c r="P275" s="11">
        <v>0.0</v>
      </c>
      <c r="Q275" s="15">
        <v>0.0</v>
      </c>
      <c r="R275" s="9">
        <v>10.0</v>
      </c>
      <c r="S275" s="16">
        <f t="shared" si="6"/>
        <v>0</v>
      </c>
      <c r="T275" s="17">
        <f t="shared" si="7"/>
        <v>0</v>
      </c>
      <c r="U275" s="14">
        <f t="shared" si="8"/>
        <v>-10</v>
      </c>
      <c r="V275" s="9" t="str">
        <f t="shared" si="9"/>
        <v>Low Performance</v>
      </c>
      <c r="W275" s="9"/>
    </row>
    <row r="276" ht="15.75" customHeight="1">
      <c r="A276" s="6">
        <v>46324.0</v>
      </c>
      <c r="B276" s="7" t="s">
        <v>43</v>
      </c>
      <c r="C276" s="9" t="s">
        <v>40</v>
      </c>
      <c r="D276" s="9" t="s">
        <v>27</v>
      </c>
      <c r="E276" s="10">
        <v>0.0</v>
      </c>
      <c r="F276" s="9">
        <f t="shared" si="1"/>
        <v>0</v>
      </c>
      <c r="G276" s="11">
        <v>0.0</v>
      </c>
      <c r="H276" s="9">
        <f t="shared" si="2"/>
        <v>0</v>
      </c>
      <c r="I276" s="11">
        <v>0.0</v>
      </c>
      <c r="J276" s="9">
        <f t="shared" si="12"/>
        <v>0</v>
      </c>
      <c r="K276" s="11">
        <v>0.0</v>
      </c>
      <c r="L276" s="11">
        <v>0.0</v>
      </c>
      <c r="M276" s="14">
        <f t="shared" si="4"/>
        <v>0</v>
      </c>
      <c r="N276" s="11">
        <v>0.0</v>
      </c>
      <c r="O276" s="14">
        <f t="shared" si="5"/>
        <v>0</v>
      </c>
      <c r="P276" s="11">
        <v>0.0</v>
      </c>
      <c r="Q276" s="15">
        <v>0.0</v>
      </c>
      <c r="R276" s="9">
        <v>10.0</v>
      </c>
      <c r="S276" s="16">
        <f t="shared" si="6"/>
        <v>0</v>
      </c>
      <c r="T276" s="17">
        <f t="shared" si="7"/>
        <v>0</v>
      </c>
      <c r="U276" s="14">
        <f t="shared" si="8"/>
        <v>-10</v>
      </c>
      <c r="V276" s="9" t="str">
        <f t="shared" si="9"/>
        <v>Low Performance</v>
      </c>
      <c r="W276" s="9"/>
    </row>
    <row r="277" ht="15.75" customHeight="1">
      <c r="A277" s="6">
        <v>46324.0</v>
      </c>
      <c r="B277" s="7" t="s">
        <v>45</v>
      </c>
      <c r="C277" s="18" t="s">
        <v>46</v>
      </c>
      <c r="D277" s="9" t="s">
        <v>27</v>
      </c>
      <c r="E277" s="10">
        <v>0.0</v>
      </c>
      <c r="F277" s="9">
        <f t="shared" si="1"/>
        <v>0</v>
      </c>
      <c r="G277" s="11">
        <v>0.0</v>
      </c>
      <c r="H277" s="9">
        <f t="shared" si="2"/>
        <v>0</v>
      </c>
      <c r="I277" s="11">
        <v>0.0</v>
      </c>
      <c r="J277" s="9">
        <f t="shared" si="12"/>
        <v>0</v>
      </c>
      <c r="K277" s="11">
        <v>0.0</v>
      </c>
      <c r="L277" s="11">
        <v>0.0</v>
      </c>
      <c r="M277" s="14">
        <f t="shared" si="4"/>
        <v>0</v>
      </c>
      <c r="N277" s="11">
        <v>0.0</v>
      </c>
      <c r="O277" s="14">
        <f t="shared" si="5"/>
        <v>0</v>
      </c>
      <c r="P277" s="11">
        <v>0.0</v>
      </c>
      <c r="Q277" s="15">
        <v>0.0</v>
      </c>
      <c r="R277" s="9">
        <v>10.0</v>
      </c>
      <c r="S277" s="16">
        <f t="shared" si="6"/>
        <v>0</v>
      </c>
      <c r="T277" s="17">
        <f t="shared" si="7"/>
        <v>0</v>
      </c>
      <c r="U277" s="14">
        <f t="shared" si="8"/>
        <v>-10</v>
      </c>
      <c r="V277" s="9" t="str">
        <f t="shared" si="9"/>
        <v>Low Performance</v>
      </c>
      <c r="W277" s="9"/>
    </row>
    <row r="278" ht="15.75" customHeight="1">
      <c r="A278" s="6">
        <v>46324.0</v>
      </c>
      <c r="B278" s="7" t="s">
        <v>49</v>
      </c>
      <c r="C278" s="18" t="s">
        <v>46</v>
      </c>
      <c r="D278" s="9" t="s">
        <v>27</v>
      </c>
      <c r="E278" s="10">
        <v>0.0</v>
      </c>
      <c r="F278" s="9">
        <f t="shared" si="1"/>
        <v>0</v>
      </c>
      <c r="G278" s="11">
        <v>0.0</v>
      </c>
      <c r="H278" s="9">
        <f t="shared" si="2"/>
        <v>0</v>
      </c>
      <c r="I278" s="11">
        <v>0.0</v>
      </c>
      <c r="J278" s="9">
        <f t="shared" si="12"/>
        <v>0</v>
      </c>
      <c r="K278" s="11">
        <v>0.0</v>
      </c>
      <c r="L278" s="11">
        <v>0.0</v>
      </c>
      <c r="M278" s="14">
        <f t="shared" si="4"/>
        <v>0</v>
      </c>
      <c r="N278" s="11">
        <v>0.0</v>
      </c>
      <c r="O278" s="14">
        <f t="shared" si="5"/>
        <v>0</v>
      </c>
      <c r="P278" s="11">
        <v>0.0</v>
      </c>
      <c r="Q278" s="15">
        <v>0.0</v>
      </c>
      <c r="R278" s="9">
        <v>10.0</v>
      </c>
      <c r="S278" s="16">
        <f t="shared" si="6"/>
        <v>0</v>
      </c>
      <c r="T278" s="17">
        <f t="shared" si="7"/>
        <v>0</v>
      </c>
      <c r="U278" s="14">
        <f t="shared" si="8"/>
        <v>-10</v>
      </c>
      <c r="V278" s="9" t="str">
        <f t="shared" si="9"/>
        <v>Low Performance</v>
      </c>
      <c r="W278" s="9"/>
    </row>
    <row r="279" ht="15.75" customHeight="1">
      <c r="A279" s="6">
        <v>46324.0</v>
      </c>
      <c r="B279" s="22" t="s">
        <v>50</v>
      </c>
      <c r="C279" s="23" t="s">
        <v>46</v>
      </c>
      <c r="D279" s="24" t="s">
        <v>27</v>
      </c>
      <c r="E279" s="10">
        <v>0.0</v>
      </c>
      <c r="F279" s="9">
        <f t="shared" si="1"/>
        <v>0</v>
      </c>
      <c r="G279" s="11">
        <v>0.0</v>
      </c>
      <c r="H279" s="9">
        <f t="shared" si="2"/>
        <v>0</v>
      </c>
      <c r="I279" s="11">
        <v>0.0</v>
      </c>
      <c r="J279" s="9">
        <f t="shared" si="12"/>
        <v>0</v>
      </c>
      <c r="K279" s="11">
        <v>0.0</v>
      </c>
      <c r="L279" s="11">
        <v>0.0</v>
      </c>
      <c r="M279" s="14">
        <f t="shared" si="4"/>
        <v>0</v>
      </c>
      <c r="N279" s="11">
        <v>0.0</v>
      </c>
      <c r="O279" s="14">
        <f t="shared" si="5"/>
        <v>0</v>
      </c>
      <c r="P279" s="11">
        <v>0.0</v>
      </c>
      <c r="Q279" s="15">
        <v>0.0</v>
      </c>
      <c r="R279" s="9">
        <v>10.0</v>
      </c>
      <c r="S279" s="16">
        <f t="shared" si="6"/>
        <v>0</v>
      </c>
      <c r="T279" s="17">
        <f t="shared" si="7"/>
        <v>0</v>
      </c>
      <c r="U279" s="14">
        <f t="shared" si="8"/>
        <v>-10</v>
      </c>
      <c r="V279" s="9" t="str">
        <f t="shared" si="9"/>
        <v>Low Performance</v>
      </c>
      <c r="W279" s="9"/>
    </row>
    <row r="280" ht="15.75" customHeight="1">
      <c r="A280" s="6">
        <v>46325.0</v>
      </c>
      <c r="B280" s="7" t="s">
        <v>36</v>
      </c>
      <c r="C280" s="9" t="s">
        <v>29</v>
      </c>
      <c r="D280" s="9" t="s">
        <v>27</v>
      </c>
      <c r="E280" s="10">
        <v>0.0</v>
      </c>
      <c r="F280" s="9">
        <f t="shared" si="1"/>
        <v>0</v>
      </c>
      <c r="G280" s="11">
        <v>0.0</v>
      </c>
      <c r="H280" s="9">
        <f t="shared" si="2"/>
        <v>0</v>
      </c>
      <c r="I280" s="11">
        <v>0.0</v>
      </c>
      <c r="J280" s="9">
        <f t="shared" si="12"/>
        <v>0</v>
      </c>
      <c r="K280" s="11">
        <v>0.0</v>
      </c>
      <c r="L280" s="11">
        <v>0.0</v>
      </c>
      <c r="M280" s="14">
        <f t="shared" si="4"/>
        <v>0</v>
      </c>
      <c r="N280" s="11">
        <v>0.0</v>
      </c>
      <c r="O280" s="14">
        <f t="shared" si="5"/>
        <v>0</v>
      </c>
      <c r="P280" s="11">
        <v>0.0</v>
      </c>
      <c r="Q280" s="15">
        <v>0.0</v>
      </c>
      <c r="R280" s="9">
        <v>10.0</v>
      </c>
      <c r="S280" s="16">
        <f t="shared" si="6"/>
        <v>0</v>
      </c>
      <c r="T280" s="17">
        <f t="shared" si="7"/>
        <v>0</v>
      </c>
      <c r="U280" s="14">
        <f t="shared" si="8"/>
        <v>-10</v>
      </c>
      <c r="V280" s="9" t="str">
        <f t="shared" si="9"/>
        <v>Low Performance</v>
      </c>
      <c r="W280" s="9"/>
    </row>
    <row r="281" ht="15.75" customHeight="1">
      <c r="A281" s="6">
        <v>46325.0</v>
      </c>
      <c r="B281" s="7" t="s">
        <v>37</v>
      </c>
      <c r="C281" s="9" t="s">
        <v>29</v>
      </c>
      <c r="D281" s="9" t="s">
        <v>27</v>
      </c>
      <c r="E281" s="10">
        <v>0.0</v>
      </c>
      <c r="F281" s="9">
        <f t="shared" si="1"/>
        <v>0</v>
      </c>
      <c r="G281" s="11">
        <v>0.0</v>
      </c>
      <c r="H281" s="9">
        <f t="shared" si="2"/>
        <v>0</v>
      </c>
      <c r="I281" s="11">
        <v>0.0</v>
      </c>
      <c r="J281" s="9">
        <f t="shared" si="12"/>
        <v>0</v>
      </c>
      <c r="K281" s="11">
        <v>0.0</v>
      </c>
      <c r="L281" s="11">
        <v>0.0</v>
      </c>
      <c r="M281" s="14">
        <f t="shared" si="4"/>
        <v>0</v>
      </c>
      <c r="N281" s="11">
        <v>0.0</v>
      </c>
      <c r="O281" s="14">
        <f t="shared" si="5"/>
        <v>0</v>
      </c>
      <c r="P281" s="11">
        <v>0.0</v>
      </c>
      <c r="Q281" s="15">
        <v>0.0</v>
      </c>
      <c r="R281" s="9">
        <v>10.0</v>
      </c>
      <c r="S281" s="16">
        <f t="shared" si="6"/>
        <v>0</v>
      </c>
      <c r="T281" s="17">
        <f t="shared" si="7"/>
        <v>0</v>
      </c>
      <c r="U281" s="14">
        <f t="shared" si="8"/>
        <v>-10</v>
      </c>
      <c r="V281" s="9" t="str">
        <f t="shared" si="9"/>
        <v>Low Performance</v>
      </c>
      <c r="W281" s="9"/>
    </row>
    <row r="282" ht="15.75" customHeight="1">
      <c r="A282" s="6">
        <v>46325.0</v>
      </c>
      <c r="B282" s="7" t="s">
        <v>38</v>
      </c>
      <c r="C282" s="9" t="s">
        <v>29</v>
      </c>
      <c r="D282" s="9" t="s">
        <v>27</v>
      </c>
      <c r="E282" s="10">
        <v>0.0</v>
      </c>
      <c r="F282" s="9">
        <f t="shared" si="1"/>
        <v>0</v>
      </c>
      <c r="G282" s="11">
        <v>0.0</v>
      </c>
      <c r="H282" s="9">
        <f t="shared" si="2"/>
        <v>0</v>
      </c>
      <c r="I282" s="11">
        <v>0.0</v>
      </c>
      <c r="J282" s="9">
        <f t="shared" si="12"/>
        <v>0</v>
      </c>
      <c r="K282" s="11">
        <v>0.0</v>
      </c>
      <c r="L282" s="11">
        <v>0.0</v>
      </c>
      <c r="M282" s="14">
        <f t="shared" si="4"/>
        <v>0</v>
      </c>
      <c r="N282" s="11">
        <v>0.0</v>
      </c>
      <c r="O282" s="14">
        <f t="shared" si="5"/>
        <v>0</v>
      </c>
      <c r="P282" s="11">
        <v>0.0</v>
      </c>
      <c r="Q282" s="15">
        <v>0.0</v>
      </c>
      <c r="R282" s="9">
        <v>10.0</v>
      </c>
      <c r="S282" s="16">
        <f t="shared" si="6"/>
        <v>0</v>
      </c>
      <c r="T282" s="17">
        <f t="shared" si="7"/>
        <v>0</v>
      </c>
      <c r="U282" s="14">
        <f t="shared" si="8"/>
        <v>-10</v>
      </c>
      <c r="V282" s="9" t="str">
        <f t="shared" si="9"/>
        <v>Low Performance</v>
      </c>
      <c r="W282" s="9"/>
    </row>
    <row r="283" ht="15.75" customHeight="1">
      <c r="A283" s="6">
        <v>46325.0</v>
      </c>
      <c r="B283" s="20" t="s">
        <v>39</v>
      </c>
      <c r="C283" s="9" t="s">
        <v>40</v>
      </c>
      <c r="D283" s="9" t="s">
        <v>27</v>
      </c>
      <c r="E283" s="10">
        <v>0.0</v>
      </c>
      <c r="F283" s="9">
        <f t="shared" si="1"/>
        <v>0</v>
      </c>
      <c r="G283" s="11">
        <v>0.0</v>
      </c>
      <c r="H283" s="9">
        <f t="shared" si="2"/>
        <v>0</v>
      </c>
      <c r="I283" s="11">
        <v>0.0</v>
      </c>
      <c r="J283" s="9">
        <f t="shared" si="12"/>
        <v>0</v>
      </c>
      <c r="K283" s="11">
        <v>0.0</v>
      </c>
      <c r="L283" s="11">
        <v>0.0</v>
      </c>
      <c r="M283" s="14">
        <f t="shared" si="4"/>
        <v>0</v>
      </c>
      <c r="N283" s="11">
        <v>0.0</v>
      </c>
      <c r="O283" s="14">
        <f t="shared" si="5"/>
        <v>0</v>
      </c>
      <c r="P283" s="11">
        <v>0.0</v>
      </c>
      <c r="Q283" s="15">
        <v>0.0</v>
      </c>
      <c r="R283" s="9">
        <v>10.0</v>
      </c>
      <c r="S283" s="16">
        <f t="shared" si="6"/>
        <v>0</v>
      </c>
      <c r="T283" s="17">
        <f t="shared" si="7"/>
        <v>0</v>
      </c>
      <c r="U283" s="14">
        <f t="shared" si="8"/>
        <v>-10</v>
      </c>
      <c r="V283" s="9" t="str">
        <f t="shared" si="9"/>
        <v>Low Performance</v>
      </c>
      <c r="W283" s="9"/>
    </row>
    <row r="284" ht="15.75" customHeight="1">
      <c r="A284" s="6">
        <v>46325.0</v>
      </c>
      <c r="B284" s="7" t="s">
        <v>41</v>
      </c>
      <c r="C284" s="9" t="s">
        <v>40</v>
      </c>
      <c r="D284" s="9" t="s">
        <v>27</v>
      </c>
      <c r="E284" s="10">
        <v>0.0</v>
      </c>
      <c r="F284" s="9">
        <f t="shared" si="1"/>
        <v>0</v>
      </c>
      <c r="G284" s="11">
        <v>0.0</v>
      </c>
      <c r="H284" s="9">
        <f t="shared" si="2"/>
        <v>0</v>
      </c>
      <c r="I284" s="11">
        <v>0.0</v>
      </c>
      <c r="J284" s="9">
        <f t="shared" si="12"/>
        <v>0</v>
      </c>
      <c r="K284" s="11">
        <v>0.0</v>
      </c>
      <c r="L284" s="11">
        <v>0.0</v>
      </c>
      <c r="M284" s="14">
        <f t="shared" si="4"/>
        <v>0</v>
      </c>
      <c r="N284" s="11">
        <v>0.0</v>
      </c>
      <c r="O284" s="14">
        <f t="shared" si="5"/>
        <v>0</v>
      </c>
      <c r="P284" s="11">
        <v>0.0</v>
      </c>
      <c r="Q284" s="15">
        <v>0.0</v>
      </c>
      <c r="R284" s="9">
        <v>10.0</v>
      </c>
      <c r="S284" s="16">
        <f t="shared" si="6"/>
        <v>0</v>
      </c>
      <c r="T284" s="17">
        <f t="shared" si="7"/>
        <v>0</v>
      </c>
      <c r="U284" s="14">
        <f t="shared" si="8"/>
        <v>-10</v>
      </c>
      <c r="V284" s="9" t="str">
        <f t="shared" si="9"/>
        <v>Low Performance</v>
      </c>
      <c r="W284" s="9"/>
    </row>
    <row r="285" ht="15.75" customHeight="1">
      <c r="A285" s="6">
        <v>46325.0</v>
      </c>
      <c r="B285" s="7" t="s">
        <v>42</v>
      </c>
      <c r="C285" s="9" t="s">
        <v>40</v>
      </c>
      <c r="D285" s="9" t="s">
        <v>27</v>
      </c>
      <c r="E285" s="10">
        <v>0.0</v>
      </c>
      <c r="F285" s="9">
        <f t="shared" si="1"/>
        <v>0</v>
      </c>
      <c r="G285" s="11">
        <v>0.0</v>
      </c>
      <c r="H285" s="9">
        <f t="shared" si="2"/>
        <v>0</v>
      </c>
      <c r="I285" s="11">
        <v>0.0</v>
      </c>
      <c r="J285" s="9">
        <f t="shared" si="12"/>
        <v>0</v>
      </c>
      <c r="K285" s="11">
        <v>0.0</v>
      </c>
      <c r="L285" s="11">
        <v>0.0</v>
      </c>
      <c r="M285" s="14">
        <f t="shared" si="4"/>
        <v>0</v>
      </c>
      <c r="N285" s="11">
        <v>0.0</v>
      </c>
      <c r="O285" s="14">
        <f t="shared" si="5"/>
        <v>0</v>
      </c>
      <c r="P285" s="11">
        <v>0.0</v>
      </c>
      <c r="Q285" s="15">
        <v>0.0</v>
      </c>
      <c r="R285" s="9">
        <v>10.0</v>
      </c>
      <c r="S285" s="16">
        <f t="shared" si="6"/>
        <v>0</v>
      </c>
      <c r="T285" s="17">
        <f t="shared" si="7"/>
        <v>0</v>
      </c>
      <c r="U285" s="14">
        <f t="shared" si="8"/>
        <v>-10</v>
      </c>
      <c r="V285" s="9" t="str">
        <f t="shared" si="9"/>
        <v>Low Performance</v>
      </c>
      <c r="W285" s="9"/>
    </row>
    <row r="286" ht="15.75" customHeight="1">
      <c r="A286" s="6">
        <v>46325.0</v>
      </c>
      <c r="B286" s="7" t="s">
        <v>43</v>
      </c>
      <c r="C286" s="9" t="s">
        <v>40</v>
      </c>
      <c r="D286" s="9" t="s">
        <v>27</v>
      </c>
      <c r="E286" s="10">
        <v>0.0</v>
      </c>
      <c r="F286" s="9">
        <f t="shared" si="1"/>
        <v>0</v>
      </c>
      <c r="G286" s="11">
        <v>0.0</v>
      </c>
      <c r="H286" s="9">
        <f t="shared" si="2"/>
        <v>0</v>
      </c>
      <c r="I286" s="11">
        <v>0.0</v>
      </c>
      <c r="J286" s="9">
        <f t="shared" si="12"/>
        <v>0</v>
      </c>
      <c r="K286" s="11">
        <v>0.0</v>
      </c>
      <c r="L286" s="11">
        <v>0.0</v>
      </c>
      <c r="M286" s="14">
        <f t="shared" si="4"/>
        <v>0</v>
      </c>
      <c r="N286" s="11">
        <v>0.0</v>
      </c>
      <c r="O286" s="14">
        <f t="shared" si="5"/>
        <v>0</v>
      </c>
      <c r="P286" s="11">
        <v>0.0</v>
      </c>
      <c r="Q286" s="15">
        <v>0.0</v>
      </c>
      <c r="R286" s="9">
        <v>10.0</v>
      </c>
      <c r="S286" s="16">
        <f t="shared" si="6"/>
        <v>0</v>
      </c>
      <c r="T286" s="17">
        <f t="shared" si="7"/>
        <v>0</v>
      </c>
      <c r="U286" s="14">
        <f t="shared" si="8"/>
        <v>-10</v>
      </c>
      <c r="V286" s="9" t="str">
        <f t="shared" si="9"/>
        <v>Low Performance</v>
      </c>
      <c r="W286" s="9"/>
    </row>
    <row r="287" ht="15.75" customHeight="1">
      <c r="A287" s="6">
        <v>46325.0</v>
      </c>
      <c r="B287" s="7" t="s">
        <v>45</v>
      </c>
      <c r="C287" s="18" t="s">
        <v>46</v>
      </c>
      <c r="D287" s="9" t="s">
        <v>27</v>
      </c>
      <c r="E287" s="10">
        <v>0.0</v>
      </c>
      <c r="F287" s="9">
        <f t="shared" si="1"/>
        <v>0</v>
      </c>
      <c r="G287" s="11">
        <v>0.0</v>
      </c>
      <c r="H287" s="9">
        <f t="shared" si="2"/>
        <v>0</v>
      </c>
      <c r="I287" s="11">
        <v>0.0</v>
      </c>
      <c r="J287" s="9">
        <f t="shared" si="12"/>
        <v>0</v>
      </c>
      <c r="K287" s="11">
        <v>0.0</v>
      </c>
      <c r="L287" s="11">
        <v>0.0</v>
      </c>
      <c r="M287" s="14">
        <f t="shared" si="4"/>
        <v>0</v>
      </c>
      <c r="N287" s="11">
        <v>0.0</v>
      </c>
      <c r="O287" s="14">
        <f t="shared" si="5"/>
        <v>0</v>
      </c>
      <c r="P287" s="11">
        <v>0.0</v>
      </c>
      <c r="Q287" s="15">
        <v>0.0</v>
      </c>
      <c r="R287" s="9">
        <v>10.0</v>
      </c>
      <c r="S287" s="16">
        <f t="shared" si="6"/>
        <v>0</v>
      </c>
      <c r="T287" s="17">
        <f t="shared" si="7"/>
        <v>0</v>
      </c>
      <c r="U287" s="14">
        <f t="shared" si="8"/>
        <v>-10</v>
      </c>
      <c r="V287" s="9" t="str">
        <f t="shared" si="9"/>
        <v>Low Performance</v>
      </c>
      <c r="W287" s="9"/>
    </row>
    <row r="288" ht="15.75" customHeight="1">
      <c r="A288" s="6">
        <v>46325.0</v>
      </c>
      <c r="B288" s="7" t="s">
        <v>49</v>
      </c>
      <c r="C288" s="18" t="s">
        <v>46</v>
      </c>
      <c r="D288" s="9" t="s">
        <v>27</v>
      </c>
      <c r="E288" s="10">
        <v>0.0</v>
      </c>
      <c r="F288" s="9">
        <f t="shared" si="1"/>
        <v>0</v>
      </c>
      <c r="G288" s="11">
        <v>0.0</v>
      </c>
      <c r="H288" s="9">
        <f t="shared" si="2"/>
        <v>0</v>
      </c>
      <c r="I288" s="11">
        <v>0.0</v>
      </c>
      <c r="J288" s="9">
        <f t="shared" si="12"/>
        <v>0</v>
      </c>
      <c r="K288" s="11">
        <v>0.0</v>
      </c>
      <c r="L288" s="11">
        <v>0.0</v>
      </c>
      <c r="M288" s="14">
        <f t="shared" si="4"/>
        <v>0</v>
      </c>
      <c r="N288" s="11">
        <v>0.0</v>
      </c>
      <c r="O288" s="14">
        <f t="shared" si="5"/>
        <v>0</v>
      </c>
      <c r="P288" s="11">
        <v>0.0</v>
      </c>
      <c r="Q288" s="15">
        <v>0.0</v>
      </c>
      <c r="R288" s="9">
        <v>10.0</v>
      </c>
      <c r="S288" s="16">
        <f t="shared" si="6"/>
        <v>0</v>
      </c>
      <c r="T288" s="17">
        <f t="shared" si="7"/>
        <v>0</v>
      </c>
      <c r="U288" s="14">
        <f t="shared" si="8"/>
        <v>-10</v>
      </c>
      <c r="V288" s="9" t="str">
        <f t="shared" si="9"/>
        <v>Low Performance</v>
      </c>
      <c r="W288" s="9"/>
    </row>
    <row r="289" ht="15.75" customHeight="1">
      <c r="A289" s="6">
        <v>46325.0</v>
      </c>
      <c r="B289" s="22" t="s">
        <v>50</v>
      </c>
      <c r="C289" s="23" t="s">
        <v>46</v>
      </c>
      <c r="D289" s="24" t="s">
        <v>27</v>
      </c>
      <c r="E289" s="10">
        <v>0.0</v>
      </c>
      <c r="F289" s="9">
        <f t="shared" si="1"/>
        <v>0</v>
      </c>
      <c r="G289" s="11">
        <v>0.0</v>
      </c>
      <c r="H289" s="9">
        <f t="shared" si="2"/>
        <v>0</v>
      </c>
      <c r="I289" s="11">
        <v>0.0</v>
      </c>
      <c r="J289" s="9">
        <f t="shared" si="12"/>
        <v>0</v>
      </c>
      <c r="K289" s="11">
        <v>0.0</v>
      </c>
      <c r="L289" s="11">
        <v>0.0</v>
      </c>
      <c r="M289" s="14">
        <f t="shared" si="4"/>
        <v>0</v>
      </c>
      <c r="N289" s="11">
        <v>0.0</v>
      </c>
      <c r="O289" s="14">
        <f t="shared" si="5"/>
        <v>0</v>
      </c>
      <c r="P289" s="11">
        <v>0.0</v>
      </c>
      <c r="Q289" s="15">
        <v>0.0</v>
      </c>
      <c r="R289" s="9">
        <v>10.0</v>
      </c>
      <c r="S289" s="16">
        <f t="shared" si="6"/>
        <v>0</v>
      </c>
      <c r="T289" s="17">
        <f t="shared" si="7"/>
        <v>0</v>
      </c>
      <c r="U289" s="14">
        <f t="shared" si="8"/>
        <v>-10</v>
      </c>
      <c r="V289" s="9" t="str">
        <f t="shared" si="9"/>
        <v>Low Performance</v>
      </c>
      <c r="W289" s="9"/>
    </row>
    <row r="290" ht="15.75" customHeight="1">
      <c r="A290" s="6">
        <v>46326.0</v>
      </c>
      <c r="B290" s="7" t="s">
        <v>36</v>
      </c>
      <c r="C290" s="9" t="s">
        <v>29</v>
      </c>
      <c r="D290" s="9" t="s">
        <v>27</v>
      </c>
      <c r="E290" s="10">
        <v>0.0</v>
      </c>
      <c r="F290" s="9">
        <f t="shared" si="1"/>
        <v>0</v>
      </c>
      <c r="G290" s="11">
        <v>0.0</v>
      </c>
      <c r="H290" s="9">
        <f t="shared" si="2"/>
        <v>0</v>
      </c>
      <c r="I290" s="11">
        <v>0.0</v>
      </c>
      <c r="J290" s="9">
        <f t="shared" si="12"/>
        <v>0</v>
      </c>
      <c r="K290" s="11">
        <v>0.0</v>
      </c>
      <c r="L290" s="11">
        <v>0.0</v>
      </c>
      <c r="M290" s="14">
        <f t="shared" si="4"/>
        <v>0</v>
      </c>
      <c r="N290" s="11">
        <v>0.0</v>
      </c>
      <c r="O290" s="14">
        <f t="shared" si="5"/>
        <v>0</v>
      </c>
      <c r="P290" s="11">
        <v>0.0</v>
      </c>
      <c r="Q290" s="15">
        <v>0.0</v>
      </c>
      <c r="R290" s="9">
        <v>10.0</v>
      </c>
      <c r="S290" s="16">
        <f t="shared" si="6"/>
        <v>0</v>
      </c>
      <c r="T290" s="17">
        <f t="shared" si="7"/>
        <v>0</v>
      </c>
      <c r="U290" s="14">
        <f t="shared" si="8"/>
        <v>-10</v>
      </c>
      <c r="V290" s="9" t="str">
        <f t="shared" si="9"/>
        <v>Low Performance</v>
      </c>
      <c r="W290" s="9"/>
    </row>
    <row r="291" ht="15.75" customHeight="1">
      <c r="A291" s="6">
        <v>46326.0</v>
      </c>
      <c r="B291" s="7" t="s">
        <v>37</v>
      </c>
      <c r="C291" s="9" t="s">
        <v>29</v>
      </c>
      <c r="D291" s="9" t="s">
        <v>27</v>
      </c>
      <c r="E291" s="10">
        <v>0.0</v>
      </c>
      <c r="F291" s="9">
        <f t="shared" si="1"/>
        <v>0</v>
      </c>
      <c r="G291" s="11">
        <v>0.0</v>
      </c>
      <c r="H291" s="9">
        <f t="shared" si="2"/>
        <v>0</v>
      </c>
      <c r="I291" s="11">
        <v>0.0</v>
      </c>
      <c r="J291" s="9">
        <f t="shared" si="12"/>
        <v>0</v>
      </c>
      <c r="K291" s="11">
        <v>0.0</v>
      </c>
      <c r="L291" s="11">
        <v>0.0</v>
      </c>
      <c r="M291" s="14">
        <f t="shared" si="4"/>
        <v>0</v>
      </c>
      <c r="N291" s="11">
        <v>0.0</v>
      </c>
      <c r="O291" s="14">
        <f t="shared" si="5"/>
        <v>0</v>
      </c>
      <c r="P291" s="11">
        <v>0.0</v>
      </c>
      <c r="Q291" s="15">
        <v>0.0</v>
      </c>
      <c r="R291" s="9">
        <v>10.0</v>
      </c>
      <c r="S291" s="16">
        <f t="shared" si="6"/>
        <v>0</v>
      </c>
      <c r="T291" s="17">
        <f t="shared" si="7"/>
        <v>0</v>
      </c>
      <c r="U291" s="14">
        <f t="shared" si="8"/>
        <v>-10</v>
      </c>
      <c r="V291" s="9" t="str">
        <f t="shared" si="9"/>
        <v>Low Performance</v>
      </c>
      <c r="W291" s="9"/>
    </row>
    <row r="292" ht="15.75" customHeight="1">
      <c r="A292" s="6">
        <v>46326.0</v>
      </c>
      <c r="B292" s="7" t="s">
        <v>38</v>
      </c>
      <c r="C292" s="9" t="s">
        <v>29</v>
      </c>
      <c r="D292" s="9" t="s">
        <v>27</v>
      </c>
      <c r="E292" s="10">
        <v>0.0</v>
      </c>
      <c r="F292" s="9">
        <f t="shared" si="1"/>
        <v>0</v>
      </c>
      <c r="G292" s="11">
        <v>0.0</v>
      </c>
      <c r="H292" s="9">
        <f t="shared" si="2"/>
        <v>0</v>
      </c>
      <c r="I292" s="11">
        <v>0.0</v>
      </c>
      <c r="J292" s="9">
        <f t="shared" si="12"/>
        <v>0</v>
      </c>
      <c r="K292" s="11">
        <v>0.0</v>
      </c>
      <c r="L292" s="11">
        <v>0.0</v>
      </c>
      <c r="M292" s="14">
        <f t="shared" si="4"/>
        <v>0</v>
      </c>
      <c r="N292" s="11">
        <v>0.0</v>
      </c>
      <c r="O292" s="14">
        <f t="shared" si="5"/>
        <v>0</v>
      </c>
      <c r="P292" s="11">
        <v>0.0</v>
      </c>
      <c r="Q292" s="15">
        <v>0.0</v>
      </c>
      <c r="R292" s="9">
        <v>10.0</v>
      </c>
      <c r="S292" s="16">
        <f t="shared" si="6"/>
        <v>0</v>
      </c>
      <c r="T292" s="17">
        <f t="shared" si="7"/>
        <v>0</v>
      </c>
      <c r="U292" s="14">
        <f t="shared" si="8"/>
        <v>-10</v>
      </c>
      <c r="V292" s="9" t="str">
        <f t="shared" si="9"/>
        <v>Low Performance</v>
      </c>
      <c r="W292" s="9"/>
    </row>
    <row r="293" ht="15.75" customHeight="1">
      <c r="A293" s="6">
        <v>46326.0</v>
      </c>
      <c r="B293" s="20" t="s">
        <v>39</v>
      </c>
      <c r="C293" s="9" t="s">
        <v>40</v>
      </c>
      <c r="D293" s="9" t="s">
        <v>27</v>
      </c>
      <c r="E293" s="10">
        <v>0.0</v>
      </c>
      <c r="F293" s="9">
        <f t="shared" si="1"/>
        <v>0</v>
      </c>
      <c r="G293" s="11">
        <v>0.0</v>
      </c>
      <c r="H293" s="9">
        <f t="shared" si="2"/>
        <v>0</v>
      </c>
      <c r="I293" s="11">
        <v>0.0</v>
      </c>
      <c r="J293" s="9">
        <f t="shared" si="12"/>
        <v>0</v>
      </c>
      <c r="K293" s="11">
        <v>0.0</v>
      </c>
      <c r="L293" s="11">
        <v>0.0</v>
      </c>
      <c r="M293" s="14">
        <f t="shared" si="4"/>
        <v>0</v>
      </c>
      <c r="N293" s="11">
        <v>0.0</v>
      </c>
      <c r="O293" s="14">
        <f t="shared" si="5"/>
        <v>0</v>
      </c>
      <c r="P293" s="11">
        <v>0.0</v>
      </c>
      <c r="Q293" s="15">
        <v>0.0</v>
      </c>
      <c r="R293" s="9">
        <v>10.0</v>
      </c>
      <c r="S293" s="16">
        <f t="shared" si="6"/>
        <v>0</v>
      </c>
      <c r="T293" s="17">
        <f t="shared" si="7"/>
        <v>0</v>
      </c>
      <c r="U293" s="14">
        <f t="shared" si="8"/>
        <v>-10</v>
      </c>
      <c r="V293" s="9" t="str">
        <f t="shared" si="9"/>
        <v>Low Performance</v>
      </c>
      <c r="W293" s="9"/>
    </row>
    <row r="294" ht="15.75" customHeight="1">
      <c r="A294" s="6">
        <v>46326.0</v>
      </c>
      <c r="B294" s="7" t="s">
        <v>41</v>
      </c>
      <c r="C294" s="9" t="s">
        <v>40</v>
      </c>
      <c r="D294" s="9" t="s">
        <v>27</v>
      </c>
      <c r="E294" s="10">
        <v>0.0</v>
      </c>
      <c r="F294" s="9">
        <f t="shared" si="1"/>
        <v>0</v>
      </c>
      <c r="G294" s="11">
        <v>0.0</v>
      </c>
      <c r="H294" s="9">
        <f t="shared" si="2"/>
        <v>0</v>
      </c>
      <c r="I294" s="11">
        <v>0.0</v>
      </c>
      <c r="J294" s="9">
        <f t="shared" si="12"/>
        <v>0</v>
      </c>
      <c r="K294" s="11">
        <v>0.0</v>
      </c>
      <c r="L294" s="11">
        <v>0.0</v>
      </c>
      <c r="M294" s="14">
        <f t="shared" si="4"/>
        <v>0</v>
      </c>
      <c r="N294" s="11">
        <v>0.0</v>
      </c>
      <c r="O294" s="14">
        <f t="shared" si="5"/>
        <v>0</v>
      </c>
      <c r="P294" s="11">
        <v>0.0</v>
      </c>
      <c r="Q294" s="15">
        <v>0.0</v>
      </c>
      <c r="R294" s="9">
        <v>10.0</v>
      </c>
      <c r="S294" s="16">
        <f t="shared" si="6"/>
        <v>0</v>
      </c>
      <c r="T294" s="17">
        <f t="shared" si="7"/>
        <v>0</v>
      </c>
      <c r="U294" s="14">
        <f t="shared" si="8"/>
        <v>-10</v>
      </c>
      <c r="V294" s="9" t="str">
        <f t="shared" si="9"/>
        <v>Low Performance</v>
      </c>
      <c r="W294" s="9"/>
    </row>
    <row r="295" ht="15.75" customHeight="1">
      <c r="A295" s="6">
        <v>46326.0</v>
      </c>
      <c r="B295" s="7" t="s">
        <v>42</v>
      </c>
      <c r="C295" s="9" t="s">
        <v>40</v>
      </c>
      <c r="D295" s="9" t="s">
        <v>27</v>
      </c>
      <c r="E295" s="10">
        <v>0.0</v>
      </c>
      <c r="F295" s="9">
        <f t="shared" si="1"/>
        <v>0</v>
      </c>
      <c r="G295" s="11">
        <v>0.0</v>
      </c>
      <c r="H295" s="9">
        <f t="shared" si="2"/>
        <v>0</v>
      </c>
      <c r="I295" s="11">
        <v>0.0</v>
      </c>
      <c r="J295" s="9">
        <f t="shared" si="12"/>
        <v>0</v>
      </c>
      <c r="K295" s="11">
        <v>0.0</v>
      </c>
      <c r="L295" s="11">
        <v>0.0</v>
      </c>
      <c r="M295" s="14">
        <f t="shared" si="4"/>
        <v>0</v>
      </c>
      <c r="N295" s="11">
        <v>0.0</v>
      </c>
      <c r="O295" s="14">
        <f t="shared" si="5"/>
        <v>0</v>
      </c>
      <c r="P295" s="11">
        <v>0.0</v>
      </c>
      <c r="Q295" s="15">
        <v>0.0</v>
      </c>
      <c r="R295" s="9">
        <v>10.0</v>
      </c>
      <c r="S295" s="16">
        <f t="shared" si="6"/>
        <v>0</v>
      </c>
      <c r="T295" s="17">
        <f t="shared" si="7"/>
        <v>0</v>
      </c>
      <c r="U295" s="14">
        <f t="shared" si="8"/>
        <v>-10</v>
      </c>
      <c r="V295" s="9" t="str">
        <f t="shared" si="9"/>
        <v>Low Performance</v>
      </c>
      <c r="W295" s="9"/>
    </row>
    <row r="296" ht="15.75" customHeight="1">
      <c r="A296" s="6">
        <v>46326.0</v>
      </c>
      <c r="B296" s="7" t="s">
        <v>43</v>
      </c>
      <c r="C296" s="9" t="s">
        <v>40</v>
      </c>
      <c r="D296" s="9" t="s">
        <v>27</v>
      </c>
      <c r="E296" s="10">
        <v>0.0</v>
      </c>
      <c r="F296" s="9">
        <f t="shared" si="1"/>
        <v>0</v>
      </c>
      <c r="G296" s="11">
        <v>0.0</v>
      </c>
      <c r="H296" s="9">
        <f t="shared" si="2"/>
        <v>0</v>
      </c>
      <c r="I296" s="11">
        <v>0.0</v>
      </c>
      <c r="J296" s="9">
        <f t="shared" si="12"/>
        <v>0</v>
      </c>
      <c r="K296" s="11">
        <v>0.0</v>
      </c>
      <c r="L296" s="11">
        <v>0.0</v>
      </c>
      <c r="M296" s="14">
        <f t="shared" si="4"/>
        <v>0</v>
      </c>
      <c r="N296" s="11">
        <v>0.0</v>
      </c>
      <c r="O296" s="14">
        <f t="shared" si="5"/>
        <v>0</v>
      </c>
      <c r="P296" s="11">
        <v>0.0</v>
      </c>
      <c r="Q296" s="15">
        <v>0.0</v>
      </c>
      <c r="R296" s="9">
        <v>10.0</v>
      </c>
      <c r="S296" s="16">
        <f t="shared" si="6"/>
        <v>0</v>
      </c>
      <c r="T296" s="17">
        <f t="shared" si="7"/>
        <v>0</v>
      </c>
      <c r="U296" s="14">
        <f t="shared" si="8"/>
        <v>-10</v>
      </c>
      <c r="V296" s="9" t="str">
        <f t="shared" si="9"/>
        <v>Low Performance</v>
      </c>
      <c r="W296" s="9"/>
    </row>
    <row r="297" ht="15.75" customHeight="1">
      <c r="A297" s="6">
        <v>46326.0</v>
      </c>
      <c r="B297" s="7" t="s">
        <v>45</v>
      </c>
      <c r="C297" s="18" t="s">
        <v>46</v>
      </c>
      <c r="D297" s="9" t="s">
        <v>27</v>
      </c>
      <c r="E297" s="10">
        <v>0.0</v>
      </c>
      <c r="F297" s="9">
        <f t="shared" si="1"/>
        <v>0</v>
      </c>
      <c r="G297" s="11">
        <v>0.0</v>
      </c>
      <c r="H297" s="9">
        <f t="shared" si="2"/>
        <v>0</v>
      </c>
      <c r="I297" s="11">
        <v>0.0</v>
      </c>
      <c r="J297" s="9">
        <f t="shared" si="12"/>
        <v>0</v>
      </c>
      <c r="K297" s="11">
        <v>0.0</v>
      </c>
      <c r="L297" s="11">
        <v>0.0</v>
      </c>
      <c r="M297" s="14">
        <f t="shared" si="4"/>
        <v>0</v>
      </c>
      <c r="N297" s="11">
        <v>0.0</v>
      </c>
      <c r="O297" s="14">
        <f t="shared" si="5"/>
        <v>0</v>
      </c>
      <c r="P297" s="11">
        <v>0.0</v>
      </c>
      <c r="Q297" s="15">
        <v>0.0</v>
      </c>
      <c r="R297" s="9">
        <v>10.0</v>
      </c>
      <c r="S297" s="16">
        <f t="shared" si="6"/>
        <v>0</v>
      </c>
      <c r="T297" s="17">
        <f t="shared" si="7"/>
        <v>0</v>
      </c>
      <c r="U297" s="14">
        <f t="shared" si="8"/>
        <v>-10</v>
      </c>
      <c r="V297" s="9" t="str">
        <f t="shared" si="9"/>
        <v>Low Performance</v>
      </c>
      <c r="W297" s="9"/>
    </row>
    <row r="298" ht="15.75" customHeight="1">
      <c r="A298" s="6">
        <v>46326.0</v>
      </c>
      <c r="B298" s="7" t="s">
        <v>49</v>
      </c>
      <c r="C298" s="18" t="s">
        <v>46</v>
      </c>
      <c r="D298" s="9" t="s">
        <v>27</v>
      </c>
      <c r="E298" s="10">
        <v>0.0</v>
      </c>
      <c r="F298" s="9">
        <f t="shared" si="1"/>
        <v>0</v>
      </c>
      <c r="G298" s="11">
        <v>0.0</v>
      </c>
      <c r="H298" s="9">
        <f t="shared" si="2"/>
        <v>0</v>
      </c>
      <c r="I298" s="11">
        <v>0.0</v>
      </c>
      <c r="J298" s="9">
        <f t="shared" si="12"/>
        <v>0</v>
      </c>
      <c r="K298" s="11">
        <v>0.0</v>
      </c>
      <c r="L298" s="11">
        <v>0.0</v>
      </c>
      <c r="M298" s="14">
        <f t="shared" si="4"/>
        <v>0</v>
      </c>
      <c r="N298" s="11">
        <v>0.0</v>
      </c>
      <c r="O298" s="14">
        <f t="shared" si="5"/>
        <v>0</v>
      </c>
      <c r="P298" s="11">
        <v>0.0</v>
      </c>
      <c r="Q298" s="15">
        <v>0.0</v>
      </c>
      <c r="R298" s="9">
        <v>10.0</v>
      </c>
      <c r="S298" s="16">
        <f t="shared" si="6"/>
        <v>0</v>
      </c>
      <c r="T298" s="17">
        <f t="shared" si="7"/>
        <v>0</v>
      </c>
      <c r="U298" s="14">
        <f t="shared" si="8"/>
        <v>-10</v>
      </c>
      <c r="V298" s="9" t="str">
        <f t="shared" si="9"/>
        <v>Low Performance</v>
      </c>
      <c r="W298" s="9"/>
    </row>
    <row r="299" ht="15.75" customHeight="1">
      <c r="A299" s="6">
        <v>46326.0</v>
      </c>
      <c r="B299" s="22" t="s">
        <v>50</v>
      </c>
      <c r="C299" s="23" t="s">
        <v>46</v>
      </c>
      <c r="D299" s="24" t="s">
        <v>27</v>
      </c>
      <c r="E299" s="10">
        <v>0.0</v>
      </c>
      <c r="F299" s="9">
        <f t="shared" si="1"/>
        <v>0</v>
      </c>
      <c r="G299" s="11">
        <v>0.0</v>
      </c>
      <c r="H299" s="9">
        <f t="shared" si="2"/>
        <v>0</v>
      </c>
      <c r="I299" s="11">
        <v>0.0</v>
      </c>
      <c r="J299" s="9">
        <f t="shared" si="12"/>
        <v>0</v>
      </c>
      <c r="K299" s="11">
        <v>0.0</v>
      </c>
      <c r="L299" s="11">
        <v>0.0</v>
      </c>
      <c r="M299" s="14">
        <f t="shared" si="4"/>
        <v>0</v>
      </c>
      <c r="N299" s="11">
        <v>0.0</v>
      </c>
      <c r="O299" s="14">
        <f t="shared" si="5"/>
        <v>0</v>
      </c>
      <c r="P299" s="11">
        <v>0.0</v>
      </c>
      <c r="Q299" s="15">
        <v>0.0</v>
      </c>
      <c r="R299" s="9">
        <v>10.0</v>
      </c>
      <c r="S299" s="16">
        <f t="shared" si="6"/>
        <v>0</v>
      </c>
      <c r="T299" s="17">
        <f t="shared" si="7"/>
        <v>0</v>
      </c>
      <c r="U299" s="14">
        <f t="shared" si="8"/>
        <v>-10</v>
      </c>
      <c r="V299" s="9" t="str">
        <f t="shared" si="9"/>
        <v>Low Performance</v>
      </c>
      <c r="W299" s="9"/>
    </row>
    <row r="300" ht="15.75" customHeight="1">
      <c r="A300" s="61"/>
      <c r="B300" s="62"/>
      <c r="C300" s="63"/>
      <c r="D300" s="63"/>
      <c r="E300" s="64">
        <f t="shared" ref="E300:Q300" si="13">SUBTOTAL(109,E3:E299)</f>
        <v>1500000</v>
      </c>
      <c r="F300" s="64">
        <f t="shared" si="13"/>
        <v>15</v>
      </c>
      <c r="G300" s="64">
        <f t="shared" si="13"/>
        <v>17</v>
      </c>
      <c r="H300" s="64">
        <f t="shared" si="13"/>
        <v>16</v>
      </c>
      <c r="I300" s="64">
        <f t="shared" si="13"/>
        <v>63</v>
      </c>
      <c r="J300" s="64">
        <f t="shared" si="13"/>
        <v>50</v>
      </c>
      <c r="K300" s="64">
        <f t="shared" si="13"/>
        <v>3858</v>
      </c>
      <c r="L300" s="64">
        <f t="shared" si="13"/>
        <v>2916</v>
      </c>
      <c r="M300" s="64">
        <f t="shared" si="13"/>
        <v>55.4</v>
      </c>
      <c r="N300" s="64">
        <f t="shared" si="13"/>
        <v>163</v>
      </c>
      <c r="O300" s="64">
        <f t="shared" si="13"/>
        <v>108.6666667</v>
      </c>
      <c r="P300" s="64">
        <f t="shared" si="13"/>
        <v>57</v>
      </c>
      <c r="Q300" s="64">
        <f t="shared" si="13"/>
        <v>57</v>
      </c>
      <c r="R300" s="63">
        <f>SUBTOTAL(101,'Daily KPI Entry'!$R$3:$R$15)</f>
        <v>10</v>
      </c>
      <c r="S300" s="65">
        <f t="shared" si="6"/>
        <v>359.0666667</v>
      </c>
      <c r="T300" s="66">
        <f>IFERROR(S300/10,0)</f>
        <v>35.90666667</v>
      </c>
      <c r="U300" s="67">
        <f>S300-10</f>
        <v>349.0666667</v>
      </c>
      <c r="V300" s="63" t="str">
        <f t="shared" si="9"/>
        <v>Achieved</v>
      </c>
      <c r="W300" s="63"/>
    </row>
    <row r="301" ht="15.75" customHeight="1">
      <c r="E301" s="42"/>
    </row>
    <row r="302" ht="15.75" customHeight="1">
      <c r="E302" s="42"/>
    </row>
    <row r="303" ht="15.75" customHeight="1">
      <c r="E303" s="42"/>
    </row>
    <row r="304" ht="15.75" customHeight="1">
      <c r="E304" s="42"/>
    </row>
    <row r="305" ht="15.75" customHeight="1">
      <c r="E305" s="42"/>
    </row>
    <row r="306" ht="15.75" customHeight="1">
      <c r="E306" s="42"/>
    </row>
    <row r="307" ht="15.75" customHeight="1">
      <c r="E307" s="42"/>
    </row>
    <row r="308" ht="15.75" customHeight="1">
      <c r="E308" s="42"/>
    </row>
    <row r="309" ht="15.75" customHeight="1">
      <c r="E309" s="42"/>
    </row>
    <row r="310" ht="15.75" customHeight="1">
      <c r="E310" s="42"/>
    </row>
    <row r="311" ht="15.75" customHeight="1">
      <c r="E311" s="42"/>
    </row>
    <row r="312" ht="15.75" customHeight="1">
      <c r="E312" s="42"/>
    </row>
    <row r="313" ht="15.75" customHeight="1">
      <c r="E313" s="42"/>
    </row>
    <row r="314" ht="15.75" customHeight="1">
      <c r="E314" s="42"/>
    </row>
    <row r="315" ht="15.75" customHeight="1">
      <c r="E315" s="42"/>
    </row>
    <row r="316" ht="15.75" customHeight="1">
      <c r="E316" s="42"/>
    </row>
    <row r="317" ht="15.75" customHeight="1">
      <c r="E317" s="42"/>
    </row>
    <row r="318" ht="15.75" customHeight="1">
      <c r="E318" s="42"/>
    </row>
    <row r="319" ht="15.75" customHeight="1">
      <c r="E319" s="42"/>
    </row>
    <row r="320" ht="15.75" customHeight="1">
      <c r="E320" s="42"/>
    </row>
    <row r="321" ht="15.75" customHeight="1">
      <c r="E321" s="42"/>
    </row>
    <row r="322" ht="15.75" customHeight="1">
      <c r="E322" s="42"/>
    </row>
    <row r="323" ht="15.75" customHeight="1">
      <c r="E323" s="42"/>
    </row>
    <row r="324" ht="15.75" customHeight="1">
      <c r="E324" s="42"/>
    </row>
    <row r="325" ht="15.75" customHeight="1">
      <c r="E325" s="42"/>
    </row>
    <row r="326" ht="15.75" customHeight="1">
      <c r="E326" s="42"/>
    </row>
    <row r="327" ht="15.75" customHeight="1">
      <c r="E327" s="42"/>
    </row>
    <row r="328" ht="15.75" customHeight="1">
      <c r="E328" s="42"/>
    </row>
    <row r="329" ht="15.75" customHeight="1">
      <c r="E329" s="42"/>
    </row>
    <row r="330" ht="15.75" customHeight="1">
      <c r="E330" s="42"/>
    </row>
    <row r="331" ht="15.75" customHeight="1">
      <c r="E331" s="42"/>
    </row>
    <row r="332" ht="15.75" customHeight="1">
      <c r="E332" s="42"/>
    </row>
    <row r="333" ht="15.75" customHeight="1">
      <c r="E333" s="42"/>
    </row>
    <row r="334" ht="15.75" customHeight="1">
      <c r="E334" s="42"/>
    </row>
    <row r="335" ht="15.75" customHeight="1">
      <c r="E335" s="42"/>
    </row>
    <row r="336" ht="15.75" customHeight="1">
      <c r="E336" s="42"/>
    </row>
    <row r="337" ht="15.75" customHeight="1">
      <c r="E337" s="42"/>
    </row>
    <row r="338" ht="15.75" customHeight="1">
      <c r="E338" s="42"/>
    </row>
    <row r="339" ht="15.75" customHeight="1">
      <c r="E339" s="42"/>
    </row>
    <row r="340" ht="15.75" customHeight="1">
      <c r="E340" s="42"/>
    </row>
    <row r="341" ht="15.75" customHeight="1">
      <c r="E341" s="42"/>
    </row>
    <row r="342" ht="15.75" customHeight="1">
      <c r="E342" s="42"/>
    </row>
    <row r="343" ht="15.75" customHeight="1">
      <c r="E343" s="42"/>
    </row>
    <row r="344" ht="15.75" customHeight="1">
      <c r="E344" s="42"/>
    </row>
    <row r="345" ht="15.75" customHeight="1">
      <c r="E345" s="42"/>
    </row>
    <row r="346" ht="15.75" customHeight="1">
      <c r="E346" s="42"/>
    </row>
    <row r="347" ht="15.75" customHeight="1">
      <c r="E347" s="42"/>
    </row>
    <row r="348" ht="15.75" customHeight="1">
      <c r="E348" s="42"/>
    </row>
    <row r="349" ht="15.75" customHeight="1">
      <c r="E349" s="42"/>
    </row>
    <row r="350" ht="15.75" customHeight="1">
      <c r="E350" s="42"/>
    </row>
    <row r="351" ht="15.75" customHeight="1">
      <c r="E351" s="42"/>
    </row>
    <row r="352" ht="15.75" customHeight="1">
      <c r="E352" s="42"/>
    </row>
    <row r="353" ht="15.75" customHeight="1">
      <c r="E353" s="42"/>
    </row>
    <row r="354" ht="15.75" customHeight="1">
      <c r="E354" s="42"/>
    </row>
    <row r="355" ht="15.75" customHeight="1">
      <c r="E355" s="42"/>
    </row>
    <row r="356" ht="15.75" customHeight="1">
      <c r="E356" s="42"/>
    </row>
    <row r="357" ht="15.75" customHeight="1">
      <c r="E357" s="42"/>
    </row>
    <row r="358" ht="15.75" customHeight="1">
      <c r="E358" s="42"/>
    </row>
    <row r="359" ht="15.75" customHeight="1">
      <c r="E359" s="42"/>
    </row>
    <row r="360" ht="15.75" customHeight="1">
      <c r="E360" s="42"/>
    </row>
    <row r="361" ht="15.75" customHeight="1">
      <c r="E361" s="42"/>
    </row>
    <row r="362" ht="15.75" customHeight="1">
      <c r="E362" s="42"/>
    </row>
    <row r="363" ht="15.75" customHeight="1">
      <c r="E363" s="42"/>
    </row>
    <row r="364" ht="15.75" customHeight="1">
      <c r="E364" s="42"/>
    </row>
    <row r="365" ht="15.75" customHeight="1">
      <c r="E365" s="42"/>
    </row>
    <row r="366" ht="15.75" customHeight="1">
      <c r="E366" s="42"/>
    </row>
    <row r="367" ht="15.75" customHeight="1">
      <c r="E367" s="42"/>
    </row>
    <row r="368" ht="15.75" customHeight="1">
      <c r="E368" s="42"/>
    </row>
    <row r="369" ht="15.75" customHeight="1">
      <c r="E369" s="42"/>
    </row>
    <row r="370" ht="15.75" customHeight="1">
      <c r="E370" s="42"/>
    </row>
    <row r="371" ht="15.75" customHeight="1">
      <c r="E371" s="42"/>
    </row>
    <row r="372" ht="15.75" customHeight="1">
      <c r="E372" s="42"/>
    </row>
    <row r="373" ht="15.75" customHeight="1">
      <c r="E373" s="42"/>
    </row>
    <row r="374" ht="15.75" customHeight="1">
      <c r="E374" s="42"/>
    </row>
    <row r="375" ht="15.75" customHeight="1">
      <c r="E375" s="42"/>
    </row>
    <row r="376" ht="15.75" customHeight="1">
      <c r="E376" s="42"/>
    </row>
    <row r="377" ht="15.75" customHeight="1">
      <c r="E377" s="42"/>
    </row>
    <row r="378" ht="15.75" customHeight="1">
      <c r="E378" s="42"/>
    </row>
    <row r="379" ht="15.75" customHeight="1">
      <c r="E379" s="42"/>
    </row>
    <row r="380" ht="15.75" customHeight="1">
      <c r="E380" s="42"/>
    </row>
    <row r="381" ht="15.75" customHeight="1">
      <c r="E381" s="42"/>
    </row>
    <row r="382" ht="15.75" customHeight="1">
      <c r="E382" s="42"/>
    </row>
    <row r="383" ht="15.75" customHeight="1">
      <c r="E383" s="42"/>
    </row>
    <row r="384" ht="15.75" customHeight="1">
      <c r="E384" s="42"/>
    </row>
    <row r="385" ht="15.75" customHeight="1">
      <c r="E385" s="42"/>
    </row>
    <row r="386" ht="15.75" customHeight="1">
      <c r="E386" s="42"/>
    </row>
    <row r="387" ht="15.75" customHeight="1">
      <c r="E387" s="42"/>
    </row>
    <row r="388" ht="15.75" customHeight="1">
      <c r="E388" s="42"/>
    </row>
    <row r="389" ht="15.75" customHeight="1">
      <c r="E389" s="42"/>
    </row>
    <row r="390" ht="15.75" customHeight="1">
      <c r="E390" s="42"/>
    </row>
    <row r="391" ht="15.75" customHeight="1">
      <c r="E391" s="42"/>
    </row>
    <row r="392" ht="15.75" customHeight="1">
      <c r="E392" s="42"/>
    </row>
    <row r="393" ht="15.75" customHeight="1">
      <c r="E393" s="42"/>
    </row>
    <row r="394" ht="15.75" customHeight="1">
      <c r="E394" s="42"/>
    </row>
    <row r="395" ht="15.75" customHeight="1">
      <c r="E395" s="42"/>
    </row>
    <row r="396" ht="15.75" customHeight="1">
      <c r="E396" s="42"/>
    </row>
    <row r="397" ht="15.75" customHeight="1">
      <c r="E397" s="42"/>
    </row>
    <row r="398" ht="15.75" customHeight="1">
      <c r="E398" s="42"/>
    </row>
    <row r="399" ht="15.75" customHeight="1">
      <c r="E399" s="42"/>
    </row>
    <row r="400" ht="15.75" customHeight="1">
      <c r="E400" s="42"/>
    </row>
    <row r="401" ht="15.75" customHeight="1">
      <c r="E401" s="42"/>
    </row>
    <row r="402" ht="15.75" customHeight="1">
      <c r="E402" s="42"/>
    </row>
    <row r="403" ht="15.75" customHeight="1">
      <c r="E403" s="42"/>
    </row>
    <row r="404" ht="15.75" customHeight="1">
      <c r="E404" s="42"/>
    </row>
    <row r="405" ht="15.75" customHeight="1">
      <c r="E405" s="42"/>
    </row>
    <row r="406" ht="15.75" customHeight="1">
      <c r="E406" s="42"/>
    </row>
    <row r="407" ht="15.75" customHeight="1">
      <c r="E407" s="42"/>
    </row>
    <row r="408" ht="15.75" customHeight="1">
      <c r="E408" s="42"/>
    </row>
    <row r="409" ht="15.75" customHeight="1">
      <c r="E409" s="42"/>
    </row>
    <row r="410" ht="15.75" customHeight="1">
      <c r="E410" s="42"/>
    </row>
    <row r="411" ht="15.75" customHeight="1">
      <c r="E411" s="42"/>
    </row>
    <row r="412" ht="15.75" customHeight="1">
      <c r="E412" s="42"/>
    </row>
    <row r="413" ht="15.75" customHeight="1">
      <c r="E413" s="42"/>
    </row>
    <row r="414" ht="15.75" customHeight="1">
      <c r="E414" s="42"/>
    </row>
    <row r="415" ht="15.75" customHeight="1">
      <c r="E415" s="42"/>
    </row>
    <row r="416" ht="15.75" customHeight="1">
      <c r="E416" s="42"/>
    </row>
    <row r="417" ht="15.75" customHeight="1">
      <c r="E417" s="42"/>
    </row>
    <row r="418" ht="15.75" customHeight="1">
      <c r="E418" s="42"/>
    </row>
    <row r="419" ht="15.75" customHeight="1">
      <c r="E419" s="42"/>
    </row>
    <row r="420" ht="15.75" customHeight="1">
      <c r="E420" s="42"/>
    </row>
    <row r="421" ht="15.75" customHeight="1">
      <c r="E421" s="42"/>
    </row>
    <row r="422" ht="15.75" customHeight="1">
      <c r="E422" s="42"/>
    </row>
    <row r="423" ht="15.75" customHeight="1">
      <c r="E423" s="42"/>
    </row>
    <row r="424" ht="15.75" customHeight="1">
      <c r="E424" s="42"/>
    </row>
    <row r="425" ht="15.75" customHeight="1">
      <c r="E425" s="42"/>
    </row>
    <row r="426" ht="15.75" customHeight="1">
      <c r="E426" s="42"/>
    </row>
    <row r="427" ht="15.75" customHeight="1">
      <c r="E427" s="42"/>
    </row>
    <row r="428" ht="15.75" customHeight="1">
      <c r="E428" s="42"/>
    </row>
    <row r="429" ht="15.75" customHeight="1">
      <c r="E429" s="42"/>
    </row>
    <row r="430" ht="15.75" customHeight="1">
      <c r="E430" s="42"/>
    </row>
    <row r="431" ht="15.75" customHeight="1">
      <c r="E431" s="42"/>
    </row>
    <row r="432" ht="15.75" customHeight="1">
      <c r="E432" s="42"/>
    </row>
    <row r="433" ht="15.75" customHeight="1">
      <c r="E433" s="42"/>
    </row>
    <row r="434" ht="15.75" customHeight="1">
      <c r="E434" s="42"/>
    </row>
    <row r="435" ht="15.75" customHeight="1">
      <c r="E435" s="42"/>
    </row>
    <row r="436" ht="15.75" customHeight="1">
      <c r="E436" s="42"/>
    </row>
    <row r="437" ht="15.75" customHeight="1">
      <c r="E437" s="42"/>
    </row>
    <row r="438" ht="15.75" customHeight="1">
      <c r="E438" s="42"/>
    </row>
    <row r="439" ht="15.75" customHeight="1">
      <c r="E439" s="42"/>
    </row>
    <row r="440" ht="15.75" customHeight="1">
      <c r="E440" s="42"/>
    </row>
    <row r="441" ht="15.75" customHeight="1">
      <c r="E441" s="42"/>
    </row>
    <row r="442" ht="15.75" customHeight="1">
      <c r="E442" s="42"/>
    </row>
    <row r="443" ht="15.75" customHeight="1">
      <c r="E443" s="42"/>
    </row>
    <row r="444" ht="15.75" customHeight="1">
      <c r="E444" s="42"/>
    </row>
    <row r="445" ht="15.75" customHeight="1">
      <c r="E445" s="42"/>
    </row>
    <row r="446" ht="15.75" customHeight="1">
      <c r="E446" s="42"/>
    </row>
    <row r="447" ht="15.75" customHeight="1">
      <c r="E447" s="42"/>
    </row>
    <row r="448" ht="15.75" customHeight="1">
      <c r="E448" s="42"/>
    </row>
    <row r="449" ht="15.75" customHeight="1">
      <c r="E449" s="42"/>
    </row>
    <row r="450" ht="15.75" customHeight="1">
      <c r="E450" s="42"/>
    </row>
    <row r="451" ht="15.75" customHeight="1">
      <c r="E451" s="42"/>
    </row>
    <row r="452" ht="15.75" customHeight="1">
      <c r="E452" s="42"/>
    </row>
    <row r="453" ht="15.75" customHeight="1">
      <c r="E453" s="42"/>
    </row>
    <row r="454" ht="15.75" customHeight="1">
      <c r="E454" s="42"/>
    </row>
    <row r="455" ht="15.75" customHeight="1">
      <c r="E455" s="42"/>
    </row>
    <row r="456" ht="15.75" customHeight="1">
      <c r="E456" s="42"/>
    </row>
    <row r="457" ht="15.75" customHeight="1">
      <c r="E457" s="42"/>
    </row>
    <row r="458" ht="15.75" customHeight="1">
      <c r="E458" s="42"/>
    </row>
    <row r="459" ht="15.75" customHeight="1">
      <c r="E459" s="42"/>
    </row>
    <row r="460" ht="15.75" customHeight="1">
      <c r="E460" s="42"/>
    </row>
    <row r="461" ht="15.75" customHeight="1">
      <c r="E461" s="42"/>
    </row>
    <row r="462" ht="15.75" customHeight="1">
      <c r="E462" s="42"/>
    </row>
    <row r="463" ht="15.75" customHeight="1">
      <c r="E463" s="42"/>
    </row>
    <row r="464" ht="15.75" customHeight="1">
      <c r="E464" s="42"/>
    </row>
    <row r="465" ht="15.75" customHeight="1">
      <c r="E465" s="42"/>
    </row>
    <row r="466" ht="15.75" customHeight="1">
      <c r="E466" s="42"/>
    </row>
    <row r="467" ht="15.75" customHeight="1">
      <c r="E467" s="42"/>
    </row>
    <row r="468" ht="15.75" customHeight="1">
      <c r="E468" s="42"/>
    </row>
    <row r="469" ht="15.75" customHeight="1">
      <c r="E469" s="42"/>
    </row>
    <row r="470" ht="15.75" customHeight="1">
      <c r="E470" s="42"/>
    </row>
    <row r="471" ht="15.75" customHeight="1">
      <c r="E471" s="42"/>
    </row>
    <row r="472" ht="15.75" customHeight="1">
      <c r="E472" s="42"/>
    </row>
    <row r="473" ht="15.75" customHeight="1">
      <c r="E473" s="42"/>
    </row>
    <row r="474" ht="15.75" customHeight="1">
      <c r="E474" s="42"/>
    </row>
    <row r="475" ht="15.75" customHeight="1">
      <c r="E475" s="42"/>
    </row>
    <row r="476" ht="15.75" customHeight="1">
      <c r="E476" s="42"/>
    </row>
    <row r="477" ht="15.75" customHeight="1">
      <c r="E477" s="42"/>
    </row>
    <row r="478" ht="15.75" customHeight="1">
      <c r="E478" s="42"/>
    </row>
    <row r="479" ht="15.75" customHeight="1">
      <c r="E479" s="42"/>
    </row>
    <row r="480" ht="15.75" customHeight="1">
      <c r="E480" s="42"/>
    </row>
    <row r="481" ht="15.75" customHeight="1">
      <c r="E481" s="42"/>
    </row>
    <row r="482" ht="15.75" customHeight="1">
      <c r="E482" s="42"/>
    </row>
    <row r="483" ht="15.75" customHeight="1">
      <c r="E483" s="42"/>
    </row>
    <row r="484" ht="15.75" customHeight="1">
      <c r="E484" s="42"/>
    </row>
    <row r="485" ht="15.75" customHeight="1">
      <c r="E485" s="42"/>
    </row>
    <row r="486" ht="15.75" customHeight="1">
      <c r="E486" s="42"/>
    </row>
    <row r="487" ht="15.75" customHeight="1">
      <c r="E487" s="42"/>
    </row>
    <row r="488" ht="15.75" customHeight="1">
      <c r="E488" s="42"/>
    </row>
    <row r="489" ht="15.75" customHeight="1">
      <c r="E489" s="42"/>
    </row>
    <row r="490" ht="15.75" customHeight="1">
      <c r="E490" s="42"/>
    </row>
    <row r="491" ht="15.75" customHeight="1">
      <c r="E491" s="42"/>
    </row>
    <row r="492" ht="15.75" customHeight="1">
      <c r="E492" s="42"/>
    </row>
    <row r="493" ht="15.75" customHeight="1">
      <c r="E493" s="42"/>
    </row>
    <row r="494" ht="15.75" customHeight="1">
      <c r="E494" s="42"/>
    </row>
    <row r="495" ht="15.75" customHeight="1">
      <c r="E495" s="42"/>
    </row>
    <row r="496" ht="15.75" customHeight="1">
      <c r="E496" s="42"/>
    </row>
    <row r="497" ht="15.75" customHeight="1">
      <c r="E497" s="42"/>
    </row>
    <row r="498" ht="15.75" customHeight="1">
      <c r="E498" s="42"/>
    </row>
    <row r="499" ht="15.75" customHeight="1">
      <c r="E499" s="42"/>
    </row>
    <row r="500" ht="15.75" customHeight="1">
      <c r="E500" s="42"/>
    </row>
    <row r="501" ht="15.75" customHeight="1">
      <c r="E501" s="42"/>
    </row>
    <row r="502" ht="15.75" customHeight="1">
      <c r="E502" s="42"/>
    </row>
    <row r="503" ht="15.75" customHeight="1">
      <c r="E503" s="42"/>
    </row>
    <row r="504" ht="15.75" customHeight="1">
      <c r="E504" s="42"/>
    </row>
    <row r="505" ht="15.75" customHeight="1">
      <c r="E505" s="42"/>
    </row>
    <row r="506" ht="15.75" customHeight="1">
      <c r="E506" s="42"/>
    </row>
    <row r="507" ht="15.75" customHeight="1">
      <c r="E507" s="42"/>
    </row>
    <row r="508" ht="15.75" customHeight="1">
      <c r="E508" s="42"/>
    </row>
    <row r="509" ht="15.75" customHeight="1">
      <c r="E509" s="42"/>
    </row>
    <row r="510" ht="15.75" customHeight="1">
      <c r="E510" s="42"/>
    </row>
    <row r="511" ht="15.75" customHeight="1">
      <c r="E511" s="42"/>
    </row>
    <row r="512" ht="15.75" customHeight="1">
      <c r="E512" s="42"/>
    </row>
    <row r="513" ht="15.75" customHeight="1">
      <c r="E513" s="42"/>
    </row>
    <row r="514" ht="15.75" customHeight="1">
      <c r="E514" s="42"/>
    </row>
    <row r="515" ht="15.75" customHeight="1">
      <c r="E515" s="42"/>
    </row>
    <row r="516" ht="15.75" customHeight="1">
      <c r="E516" s="42"/>
    </row>
    <row r="517" ht="15.75" customHeight="1">
      <c r="E517" s="42"/>
    </row>
    <row r="518" ht="15.75" customHeight="1">
      <c r="E518" s="42"/>
    </row>
    <row r="519" ht="15.75" customHeight="1">
      <c r="E519" s="42"/>
    </row>
    <row r="520" ht="15.75" customHeight="1">
      <c r="E520" s="42"/>
    </row>
    <row r="521" ht="15.75" customHeight="1">
      <c r="E521" s="42"/>
    </row>
    <row r="522" ht="15.75" customHeight="1">
      <c r="E522" s="42"/>
    </row>
    <row r="523" ht="15.75" customHeight="1">
      <c r="E523" s="42"/>
    </row>
    <row r="524" ht="15.75" customHeight="1">
      <c r="E524" s="42"/>
    </row>
    <row r="525" ht="15.75" customHeight="1">
      <c r="E525" s="42"/>
    </row>
    <row r="526" ht="15.75" customHeight="1">
      <c r="E526" s="42"/>
    </row>
    <row r="527" ht="15.75" customHeight="1">
      <c r="E527" s="42"/>
    </row>
    <row r="528" ht="15.75" customHeight="1">
      <c r="E528" s="42"/>
    </row>
    <row r="529" ht="15.75" customHeight="1">
      <c r="E529" s="42"/>
    </row>
    <row r="530" ht="15.75" customHeight="1">
      <c r="E530" s="42"/>
    </row>
    <row r="531" ht="15.75" customHeight="1">
      <c r="E531" s="42"/>
    </row>
    <row r="532" ht="15.75" customHeight="1">
      <c r="E532" s="42"/>
    </row>
    <row r="533" ht="15.75" customHeight="1">
      <c r="E533" s="42"/>
    </row>
    <row r="534" ht="15.75" customHeight="1">
      <c r="E534" s="42"/>
    </row>
    <row r="535" ht="15.75" customHeight="1">
      <c r="E535" s="42"/>
    </row>
    <row r="536" ht="15.75" customHeight="1">
      <c r="E536" s="42"/>
    </row>
    <row r="537" ht="15.75" customHeight="1">
      <c r="E537" s="42"/>
    </row>
    <row r="538" ht="15.75" customHeight="1">
      <c r="E538" s="42"/>
    </row>
    <row r="539" ht="15.75" customHeight="1">
      <c r="E539" s="42"/>
    </row>
    <row r="540" ht="15.75" customHeight="1">
      <c r="E540" s="42"/>
    </row>
    <row r="541" ht="15.75" customHeight="1">
      <c r="E541" s="42"/>
    </row>
    <row r="542" ht="15.75" customHeight="1">
      <c r="E542" s="42"/>
    </row>
    <row r="543" ht="15.75" customHeight="1">
      <c r="E543" s="42"/>
    </row>
    <row r="544" ht="15.75" customHeight="1">
      <c r="E544" s="42"/>
    </row>
    <row r="545" ht="15.75" customHeight="1">
      <c r="E545" s="42"/>
    </row>
    <row r="546" ht="15.75" customHeight="1">
      <c r="E546" s="42"/>
    </row>
    <row r="547" ht="15.75" customHeight="1">
      <c r="E547" s="42"/>
    </row>
    <row r="548" ht="15.75" customHeight="1">
      <c r="E548" s="42"/>
    </row>
    <row r="549" ht="15.75" customHeight="1">
      <c r="E549" s="42"/>
    </row>
    <row r="550" ht="15.75" customHeight="1">
      <c r="E550" s="42"/>
    </row>
    <row r="551" ht="15.75" customHeight="1">
      <c r="E551" s="42"/>
    </row>
    <row r="552" ht="15.75" customHeight="1">
      <c r="E552" s="42"/>
    </row>
    <row r="553" ht="15.75" customHeight="1">
      <c r="E553" s="42"/>
    </row>
    <row r="554" ht="15.75" customHeight="1">
      <c r="E554" s="42"/>
    </row>
    <row r="555" ht="15.75" customHeight="1">
      <c r="E555" s="42"/>
    </row>
    <row r="556" ht="15.75" customHeight="1">
      <c r="E556" s="42"/>
    </row>
    <row r="557" ht="15.75" customHeight="1">
      <c r="E557" s="42"/>
    </row>
    <row r="558" ht="15.75" customHeight="1">
      <c r="E558" s="42"/>
    </row>
    <row r="559" ht="15.75" customHeight="1">
      <c r="E559" s="42"/>
    </row>
    <row r="560" ht="15.75" customHeight="1">
      <c r="E560" s="42"/>
    </row>
    <row r="561" ht="15.75" customHeight="1">
      <c r="E561" s="42"/>
    </row>
    <row r="562" ht="15.75" customHeight="1">
      <c r="E562" s="42"/>
    </row>
    <row r="563" ht="15.75" customHeight="1">
      <c r="E563" s="42"/>
    </row>
    <row r="564" ht="15.75" customHeight="1">
      <c r="E564" s="42"/>
    </row>
    <row r="565" ht="15.75" customHeight="1">
      <c r="E565" s="42"/>
    </row>
    <row r="566" ht="15.75" customHeight="1">
      <c r="E566" s="42"/>
    </row>
    <row r="567" ht="15.75" customHeight="1">
      <c r="E567" s="42"/>
    </row>
    <row r="568" ht="15.75" customHeight="1">
      <c r="E568" s="42"/>
    </row>
    <row r="569" ht="15.75" customHeight="1">
      <c r="E569" s="42"/>
    </row>
    <row r="570" ht="15.75" customHeight="1">
      <c r="E570" s="42"/>
    </row>
    <row r="571" ht="15.75" customHeight="1">
      <c r="E571" s="42"/>
    </row>
    <row r="572" ht="15.75" customHeight="1">
      <c r="E572" s="42"/>
    </row>
    <row r="573" ht="15.75" customHeight="1">
      <c r="E573" s="42"/>
    </row>
    <row r="574" ht="15.75" customHeight="1">
      <c r="E574" s="42"/>
    </row>
    <row r="575" ht="15.75" customHeight="1">
      <c r="E575" s="42"/>
    </row>
    <row r="576" ht="15.75" customHeight="1">
      <c r="E576" s="42"/>
    </row>
    <row r="577" ht="15.75" customHeight="1">
      <c r="E577" s="42"/>
    </row>
    <row r="578" ht="15.75" customHeight="1">
      <c r="E578" s="42"/>
    </row>
    <row r="579" ht="15.75" customHeight="1">
      <c r="E579" s="42"/>
    </row>
    <row r="580" ht="15.75" customHeight="1">
      <c r="E580" s="42"/>
    </row>
    <row r="581" ht="15.75" customHeight="1">
      <c r="E581" s="42"/>
    </row>
    <row r="582" ht="15.75" customHeight="1">
      <c r="E582" s="42"/>
    </row>
    <row r="583" ht="15.75" customHeight="1">
      <c r="E583" s="42"/>
    </row>
    <row r="584" ht="15.75" customHeight="1">
      <c r="E584" s="42"/>
    </row>
    <row r="585" ht="15.75" customHeight="1">
      <c r="E585" s="42"/>
    </row>
    <row r="586" ht="15.75" customHeight="1">
      <c r="E586" s="42"/>
    </row>
    <row r="587" ht="15.75" customHeight="1">
      <c r="E587" s="42"/>
    </row>
    <row r="588" ht="15.75" customHeight="1">
      <c r="E588" s="42"/>
    </row>
    <row r="589" ht="15.75" customHeight="1">
      <c r="E589" s="42"/>
    </row>
    <row r="590" ht="15.75" customHeight="1">
      <c r="E590" s="42"/>
    </row>
    <row r="591" ht="15.75" customHeight="1">
      <c r="E591" s="42"/>
    </row>
    <row r="592" ht="15.75" customHeight="1">
      <c r="E592" s="42"/>
    </row>
    <row r="593" ht="15.75" customHeight="1">
      <c r="E593" s="42"/>
    </row>
    <row r="594" ht="15.75" customHeight="1">
      <c r="E594" s="42"/>
    </row>
    <row r="595" ht="15.75" customHeight="1">
      <c r="E595" s="42"/>
    </row>
    <row r="596" ht="15.75" customHeight="1">
      <c r="E596" s="42"/>
    </row>
    <row r="597" ht="15.75" customHeight="1">
      <c r="E597" s="42"/>
    </row>
    <row r="598" ht="15.75" customHeight="1">
      <c r="E598" s="42"/>
    </row>
    <row r="599" ht="15.75" customHeight="1">
      <c r="E599" s="42"/>
    </row>
    <row r="600" ht="15.75" customHeight="1">
      <c r="E600" s="42"/>
    </row>
    <row r="601" ht="15.75" customHeight="1">
      <c r="E601" s="42"/>
    </row>
    <row r="602" ht="15.75" customHeight="1">
      <c r="E602" s="42"/>
    </row>
    <row r="603" ht="15.75" customHeight="1">
      <c r="E603" s="42"/>
    </row>
    <row r="604" ht="15.75" customHeight="1">
      <c r="E604" s="42"/>
    </row>
    <row r="605" ht="15.75" customHeight="1">
      <c r="E605" s="42"/>
    </row>
    <row r="606" ht="15.75" customHeight="1">
      <c r="E606" s="42"/>
    </row>
    <row r="607" ht="15.75" customHeight="1">
      <c r="E607" s="42"/>
    </row>
    <row r="608" ht="15.75" customHeight="1">
      <c r="E608" s="42"/>
    </row>
    <row r="609" ht="15.75" customHeight="1">
      <c r="E609" s="42"/>
    </row>
    <row r="610" ht="15.75" customHeight="1">
      <c r="E610" s="42"/>
    </row>
    <row r="611" ht="15.75" customHeight="1">
      <c r="E611" s="42"/>
    </row>
    <row r="612" ht="15.75" customHeight="1">
      <c r="E612" s="42"/>
    </row>
    <row r="613" ht="15.75" customHeight="1">
      <c r="E613" s="42"/>
    </row>
    <row r="614" ht="15.75" customHeight="1">
      <c r="E614" s="42"/>
    </row>
    <row r="615" ht="15.75" customHeight="1">
      <c r="E615" s="42"/>
    </row>
    <row r="616" ht="15.75" customHeight="1">
      <c r="E616" s="42"/>
    </row>
    <row r="617" ht="15.75" customHeight="1">
      <c r="E617" s="42"/>
    </row>
    <row r="618" ht="15.75" customHeight="1">
      <c r="E618" s="42"/>
    </row>
    <row r="619" ht="15.75" customHeight="1">
      <c r="E619" s="42"/>
    </row>
    <row r="620" ht="15.75" customHeight="1">
      <c r="E620" s="42"/>
    </row>
    <row r="621" ht="15.75" customHeight="1">
      <c r="E621" s="42"/>
    </row>
    <row r="622" ht="15.75" customHeight="1">
      <c r="E622" s="42"/>
    </row>
    <row r="623" ht="15.75" customHeight="1">
      <c r="E623" s="42"/>
    </row>
    <row r="624" ht="15.75" customHeight="1">
      <c r="E624" s="42"/>
    </row>
    <row r="625" ht="15.75" customHeight="1">
      <c r="E625" s="42"/>
    </row>
    <row r="626" ht="15.75" customHeight="1">
      <c r="E626" s="42"/>
    </row>
    <row r="627" ht="15.75" customHeight="1">
      <c r="E627" s="42"/>
    </row>
    <row r="628" ht="15.75" customHeight="1">
      <c r="E628" s="42"/>
    </row>
    <row r="629" ht="15.75" customHeight="1">
      <c r="E629" s="42"/>
    </row>
    <row r="630" ht="15.75" customHeight="1">
      <c r="E630" s="42"/>
    </row>
    <row r="631" ht="15.75" customHeight="1">
      <c r="E631" s="42"/>
    </row>
    <row r="632" ht="15.75" customHeight="1">
      <c r="E632" s="42"/>
    </row>
    <row r="633" ht="15.75" customHeight="1">
      <c r="E633" s="42"/>
    </row>
    <row r="634" ht="15.75" customHeight="1">
      <c r="E634" s="42"/>
    </row>
    <row r="635" ht="15.75" customHeight="1">
      <c r="E635" s="42"/>
    </row>
    <row r="636" ht="15.75" customHeight="1">
      <c r="E636" s="42"/>
    </row>
    <row r="637" ht="15.75" customHeight="1">
      <c r="E637" s="42"/>
    </row>
    <row r="638" ht="15.75" customHeight="1">
      <c r="E638" s="42"/>
    </row>
    <row r="639" ht="15.75" customHeight="1">
      <c r="E639" s="42"/>
    </row>
    <row r="640" ht="15.75" customHeight="1">
      <c r="E640" s="42"/>
    </row>
    <row r="641" ht="15.75" customHeight="1">
      <c r="E641" s="42"/>
    </row>
    <row r="642" ht="15.75" customHeight="1">
      <c r="E642" s="42"/>
    </row>
    <row r="643" ht="15.75" customHeight="1">
      <c r="E643" s="42"/>
    </row>
    <row r="644" ht="15.75" customHeight="1">
      <c r="E644" s="42"/>
    </row>
    <row r="645" ht="15.75" customHeight="1">
      <c r="E645" s="42"/>
    </row>
    <row r="646" ht="15.75" customHeight="1">
      <c r="E646" s="42"/>
    </row>
    <row r="647" ht="15.75" customHeight="1">
      <c r="E647" s="42"/>
    </row>
    <row r="648" ht="15.75" customHeight="1">
      <c r="E648" s="42"/>
    </row>
    <row r="649" ht="15.75" customHeight="1">
      <c r="E649" s="42"/>
    </row>
    <row r="650" ht="15.75" customHeight="1">
      <c r="E650" s="42"/>
    </row>
    <row r="651" ht="15.75" customHeight="1">
      <c r="E651" s="42"/>
    </row>
    <row r="652" ht="15.75" customHeight="1">
      <c r="E652" s="42"/>
    </row>
    <row r="653" ht="15.75" customHeight="1">
      <c r="E653" s="42"/>
    </row>
    <row r="654" ht="15.75" customHeight="1">
      <c r="E654" s="42"/>
    </row>
    <row r="655" ht="15.75" customHeight="1">
      <c r="E655" s="42"/>
    </row>
    <row r="656" ht="15.75" customHeight="1">
      <c r="E656" s="42"/>
    </row>
    <row r="657" ht="15.75" customHeight="1">
      <c r="E657" s="42"/>
    </row>
    <row r="658" ht="15.75" customHeight="1">
      <c r="E658" s="42"/>
    </row>
    <row r="659" ht="15.75" customHeight="1">
      <c r="E659" s="42"/>
    </row>
    <row r="660" ht="15.75" customHeight="1">
      <c r="E660" s="42"/>
    </row>
    <row r="661" ht="15.75" customHeight="1">
      <c r="E661" s="42"/>
    </row>
    <row r="662" ht="15.75" customHeight="1">
      <c r="E662" s="42"/>
    </row>
    <row r="663" ht="15.75" customHeight="1">
      <c r="E663" s="42"/>
    </row>
    <row r="664" ht="15.75" customHeight="1">
      <c r="E664" s="42"/>
    </row>
    <row r="665" ht="15.75" customHeight="1">
      <c r="E665" s="42"/>
    </row>
    <row r="666" ht="15.75" customHeight="1">
      <c r="E666" s="42"/>
    </row>
    <row r="667" ht="15.75" customHeight="1">
      <c r="E667" s="42"/>
    </row>
    <row r="668" ht="15.75" customHeight="1">
      <c r="E668" s="42"/>
    </row>
    <row r="669" ht="15.75" customHeight="1">
      <c r="E669" s="42"/>
    </row>
    <row r="670" ht="15.75" customHeight="1">
      <c r="E670" s="42"/>
    </row>
    <row r="671" ht="15.75" customHeight="1">
      <c r="E671" s="42"/>
    </row>
    <row r="672" ht="15.75" customHeight="1">
      <c r="E672" s="42"/>
    </row>
    <row r="673" ht="15.75" customHeight="1">
      <c r="E673" s="42"/>
    </row>
    <row r="674" ht="15.75" customHeight="1">
      <c r="E674" s="42"/>
    </row>
    <row r="675" ht="15.75" customHeight="1">
      <c r="E675" s="42"/>
    </row>
    <row r="676" ht="15.75" customHeight="1">
      <c r="E676" s="42"/>
    </row>
    <row r="677" ht="15.75" customHeight="1">
      <c r="E677" s="42"/>
    </row>
    <row r="678" ht="15.75" customHeight="1">
      <c r="E678" s="42"/>
    </row>
    <row r="679" ht="15.75" customHeight="1">
      <c r="E679" s="42"/>
    </row>
    <row r="680" ht="15.75" customHeight="1">
      <c r="E680" s="42"/>
    </row>
    <row r="681" ht="15.75" customHeight="1">
      <c r="E681" s="42"/>
    </row>
    <row r="682" ht="15.75" customHeight="1">
      <c r="E682" s="42"/>
    </row>
    <row r="683" ht="15.75" customHeight="1">
      <c r="E683" s="42"/>
    </row>
    <row r="684" ht="15.75" customHeight="1">
      <c r="E684" s="42"/>
    </row>
    <row r="685" ht="15.75" customHeight="1">
      <c r="E685" s="42"/>
    </row>
    <row r="686" ht="15.75" customHeight="1">
      <c r="E686" s="42"/>
    </row>
    <row r="687" ht="15.75" customHeight="1">
      <c r="E687" s="42"/>
    </row>
    <row r="688" ht="15.75" customHeight="1">
      <c r="E688" s="42"/>
    </row>
    <row r="689" ht="15.75" customHeight="1">
      <c r="E689" s="42"/>
    </row>
    <row r="690" ht="15.75" customHeight="1">
      <c r="E690" s="42"/>
    </row>
    <row r="691" ht="15.75" customHeight="1">
      <c r="E691" s="42"/>
    </row>
    <row r="692" ht="15.75" customHeight="1">
      <c r="E692" s="42"/>
    </row>
    <row r="693" ht="15.75" customHeight="1">
      <c r="E693" s="42"/>
    </row>
    <row r="694" ht="15.75" customHeight="1">
      <c r="E694" s="42"/>
    </row>
    <row r="695" ht="15.75" customHeight="1">
      <c r="E695" s="42"/>
    </row>
    <row r="696" ht="15.75" customHeight="1">
      <c r="E696" s="42"/>
    </row>
    <row r="697" ht="15.75" customHeight="1">
      <c r="E697" s="42"/>
    </row>
    <row r="698" ht="15.75" customHeight="1">
      <c r="E698" s="42"/>
    </row>
    <row r="699" ht="15.75" customHeight="1">
      <c r="E699" s="42"/>
    </row>
    <row r="700" ht="15.75" customHeight="1">
      <c r="E700" s="42"/>
    </row>
    <row r="701" ht="15.75" customHeight="1">
      <c r="E701" s="42"/>
    </row>
    <row r="702" ht="15.75" customHeight="1">
      <c r="E702" s="42"/>
    </row>
    <row r="703" ht="15.75" customHeight="1">
      <c r="E703" s="42"/>
    </row>
    <row r="704" ht="15.75" customHeight="1">
      <c r="E704" s="42"/>
    </row>
    <row r="705" ht="15.75" customHeight="1">
      <c r="E705" s="42"/>
    </row>
    <row r="706" ht="15.75" customHeight="1">
      <c r="E706" s="42"/>
    </row>
    <row r="707" ht="15.75" customHeight="1">
      <c r="E707" s="42"/>
    </row>
    <row r="708" ht="15.75" customHeight="1">
      <c r="E708" s="42"/>
    </row>
    <row r="709" ht="15.75" customHeight="1">
      <c r="E709" s="42"/>
    </row>
    <row r="710" ht="15.75" customHeight="1">
      <c r="E710" s="42"/>
    </row>
    <row r="711" ht="15.75" customHeight="1">
      <c r="E711" s="42"/>
    </row>
    <row r="712" ht="15.75" customHeight="1">
      <c r="E712" s="42"/>
    </row>
    <row r="713" ht="15.75" customHeight="1">
      <c r="E713" s="42"/>
    </row>
    <row r="714" ht="15.75" customHeight="1">
      <c r="E714" s="42"/>
    </row>
    <row r="715" ht="15.75" customHeight="1">
      <c r="E715" s="42"/>
    </row>
    <row r="716" ht="15.75" customHeight="1">
      <c r="E716" s="42"/>
    </row>
    <row r="717" ht="15.75" customHeight="1">
      <c r="E717" s="42"/>
    </row>
    <row r="718" ht="15.75" customHeight="1">
      <c r="E718" s="42"/>
    </row>
    <row r="719" ht="15.75" customHeight="1">
      <c r="E719" s="42"/>
    </row>
    <row r="720" ht="15.75" customHeight="1">
      <c r="E720" s="42"/>
    </row>
    <row r="721" ht="15.75" customHeight="1">
      <c r="E721" s="42"/>
    </row>
    <row r="722" ht="15.75" customHeight="1">
      <c r="E722" s="42"/>
    </row>
    <row r="723" ht="15.75" customHeight="1">
      <c r="E723" s="42"/>
    </row>
    <row r="724" ht="15.75" customHeight="1">
      <c r="E724" s="42"/>
    </row>
    <row r="725" ht="15.75" customHeight="1">
      <c r="E725" s="42"/>
    </row>
    <row r="726" ht="15.75" customHeight="1">
      <c r="E726" s="42"/>
    </row>
    <row r="727" ht="15.75" customHeight="1">
      <c r="E727" s="42"/>
    </row>
    <row r="728" ht="15.75" customHeight="1">
      <c r="E728" s="42"/>
    </row>
    <row r="729" ht="15.75" customHeight="1">
      <c r="E729" s="42"/>
    </row>
    <row r="730" ht="15.75" customHeight="1">
      <c r="E730" s="42"/>
    </row>
    <row r="731" ht="15.75" customHeight="1">
      <c r="E731" s="42"/>
    </row>
    <row r="732" ht="15.75" customHeight="1">
      <c r="E732" s="42"/>
    </row>
    <row r="733" ht="15.75" customHeight="1">
      <c r="E733" s="42"/>
    </row>
    <row r="734" ht="15.75" customHeight="1">
      <c r="E734" s="42"/>
    </row>
    <row r="735" ht="15.75" customHeight="1">
      <c r="E735" s="42"/>
    </row>
    <row r="736" ht="15.75" customHeight="1">
      <c r="E736" s="42"/>
    </row>
    <row r="737" ht="15.75" customHeight="1">
      <c r="E737" s="42"/>
    </row>
    <row r="738" ht="15.75" customHeight="1">
      <c r="E738" s="42"/>
    </row>
    <row r="739" ht="15.75" customHeight="1">
      <c r="E739" s="42"/>
    </row>
    <row r="740" ht="15.75" customHeight="1">
      <c r="E740" s="42"/>
    </row>
    <row r="741" ht="15.75" customHeight="1">
      <c r="E741" s="42"/>
    </row>
    <row r="742" ht="15.75" customHeight="1">
      <c r="E742" s="42"/>
    </row>
    <row r="743" ht="15.75" customHeight="1">
      <c r="E743" s="42"/>
    </row>
    <row r="744" ht="15.75" customHeight="1">
      <c r="E744" s="42"/>
    </row>
    <row r="745" ht="15.75" customHeight="1">
      <c r="E745" s="42"/>
    </row>
    <row r="746" ht="15.75" customHeight="1">
      <c r="E746" s="42"/>
    </row>
    <row r="747" ht="15.75" customHeight="1">
      <c r="E747" s="42"/>
    </row>
    <row r="748" ht="15.75" customHeight="1">
      <c r="E748" s="42"/>
    </row>
    <row r="749" ht="15.75" customHeight="1">
      <c r="E749" s="42"/>
    </row>
    <row r="750" ht="15.75" customHeight="1">
      <c r="E750" s="42"/>
    </row>
    <row r="751" ht="15.75" customHeight="1">
      <c r="E751" s="42"/>
    </row>
    <row r="752" ht="15.75" customHeight="1">
      <c r="E752" s="42"/>
    </row>
    <row r="753" ht="15.75" customHeight="1">
      <c r="E753" s="42"/>
    </row>
    <row r="754" ht="15.75" customHeight="1">
      <c r="E754" s="42"/>
    </row>
    <row r="755" ht="15.75" customHeight="1">
      <c r="E755" s="42"/>
    </row>
    <row r="756" ht="15.75" customHeight="1">
      <c r="E756" s="42"/>
    </row>
    <row r="757" ht="15.75" customHeight="1">
      <c r="E757" s="42"/>
    </row>
    <row r="758" ht="15.75" customHeight="1">
      <c r="E758" s="42"/>
    </row>
    <row r="759" ht="15.75" customHeight="1">
      <c r="E759" s="42"/>
    </row>
    <row r="760" ht="15.75" customHeight="1">
      <c r="E760" s="42"/>
    </row>
    <row r="761" ht="15.75" customHeight="1">
      <c r="E761" s="42"/>
    </row>
    <row r="762" ht="15.75" customHeight="1">
      <c r="E762" s="42"/>
    </row>
    <row r="763" ht="15.75" customHeight="1">
      <c r="E763" s="42"/>
    </row>
    <row r="764" ht="15.75" customHeight="1">
      <c r="E764" s="42"/>
    </row>
    <row r="765" ht="15.75" customHeight="1">
      <c r="E765" s="42"/>
    </row>
    <row r="766" ht="15.75" customHeight="1">
      <c r="E766" s="42"/>
    </row>
    <row r="767" ht="15.75" customHeight="1">
      <c r="E767" s="42"/>
    </row>
    <row r="768" ht="15.75" customHeight="1">
      <c r="E768" s="42"/>
    </row>
    <row r="769" ht="15.75" customHeight="1">
      <c r="E769" s="42"/>
    </row>
    <row r="770" ht="15.75" customHeight="1">
      <c r="E770" s="42"/>
    </row>
    <row r="771" ht="15.75" customHeight="1">
      <c r="E771" s="42"/>
    </row>
    <row r="772" ht="15.75" customHeight="1">
      <c r="E772" s="42"/>
    </row>
    <row r="773" ht="15.75" customHeight="1">
      <c r="E773" s="42"/>
    </row>
    <row r="774" ht="15.75" customHeight="1">
      <c r="E774" s="42"/>
    </row>
    <row r="775" ht="15.75" customHeight="1">
      <c r="E775" s="42"/>
    </row>
    <row r="776" ht="15.75" customHeight="1">
      <c r="E776" s="42"/>
    </row>
    <row r="777" ht="15.75" customHeight="1">
      <c r="E777" s="42"/>
    </row>
    <row r="778" ht="15.75" customHeight="1">
      <c r="E778" s="42"/>
    </row>
    <row r="779" ht="15.75" customHeight="1">
      <c r="E779" s="42"/>
    </row>
    <row r="780" ht="15.75" customHeight="1">
      <c r="E780" s="42"/>
    </row>
    <row r="781" ht="15.75" customHeight="1">
      <c r="E781" s="42"/>
    </row>
    <row r="782" ht="15.75" customHeight="1">
      <c r="E782" s="42"/>
    </row>
    <row r="783" ht="15.75" customHeight="1">
      <c r="E783" s="42"/>
    </row>
    <row r="784" ht="15.75" customHeight="1">
      <c r="E784" s="42"/>
    </row>
    <row r="785" ht="15.75" customHeight="1">
      <c r="E785" s="42"/>
    </row>
    <row r="786" ht="15.75" customHeight="1">
      <c r="E786" s="42"/>
    </row>
    <row r="787" ht="15.75" customHeight="1">
      <c r="E787" s="42"/>
    </row>
    <row r="788" ht="15.75" customHeight="1">
      <c r="E788" s="42"/>
    </row>
    <row r="789" ht="15.75" customHeight="1">
      <c r="E789" s="42"/>
    </row>
    <row r="790" ht="15.75" customHeight="1">
      <c r="E790" s="42"/>
    </row>
    <row r="791" ht="15.75" customHeight="1">
      <c r="E791" s="42"/>
    </row>
    <row r="792" ht="15.75" customHeight="1">
      <c r="E792" s="42"/>
    </row>
    <row r="793" ht="15.75" customHeight="1">
      <c r="E793" s="42"/>
    </row>
    <row r="794" ht="15.75" customHeight="1">
      <c r="E794" s="42"/>
    </row>
    <row r="795" ht="15.75" customHeight="1">
      <c r="E795" s="42"/>
    </row>
    <row r="796" ht="15.75" customHeight="1">
      <c r="E796" s="42"/>
    </row>
    <row r="797" ht="15.75" customHeight="1">
      <c r="E797" s="42"/>
    </row>
    <row r="798" ht="15.75" customHeight="1">
      <c r="E798" s="42"/>
    </row>
    <row r="799" ht="15.75" customHeight="1">
      <c r="E799" s="42"/>
    </row>
    <row r="800" ht="15.75" customHeight="1">
      <c r="E800" s="42"/>
    </row>
    <row r="801" ht="15.75" customHeight="1">
      <c r="E801" s="42"/>
    </row>
    <row r="802" ht="15.75" customHeight="1">
      <c r="E802" s="42"/>
    </row>
    <row r="803" ht="15.75" customHeight="1">
      <c r="E803" s="42"/>
    </row>
    <row r="804" ht="15.75" customHeight="1">
      <c r="E804" s="42"/>
    </row>
    <row r="805" ht="15.75" customHeight="1">
      <c r="E805" s="42"/>
    </row>
    <row r="806" ht="15.75" customHeight="1">
      <c r="E806" s="42"/>
    </row>
    <row r="807" ht="15.75" customHeight="1">
      <c r="E807" s="42"/>
    </row>
    <row r="808" ht="15.75" customHeight="1">
      <c r="E808" s="42"/>
    </row>
    <row r="809" ht="15.75" customHeight="1">
      <c r="E809" s="42"/>
    </row>
    <row r="810" ht="15.75" customHeight="1">
      <c r="E810" s="42"/>
    </row>
    <row r="811" ht="15.75" customHeight="1">
      <c r="E811" s="42"/>
    </row>
    <row r="812" ht="15.75" customHeight="1">
      <c r="E812" s="42"/>
    </row>
    <row r="813" ht="15.75" customHeight="1">
      <c r="E813" s="42"/>
    </row>
    <row r="814" ht="15.75" customHeight="1">
      <c r="E814" s="42"/>
    </row>
    <row r="815" ht="15.75" customHeight="1">
      <c r="E815" s="42"/>
    </row>
    <row r="816" ht="15.75" customHeight="1">
      <c r="E816" s="42"/>
    </row>
    <row r="817" ht="15.75" customHeight="1">
      <c r="E817" s="42"/>
    </row>
    <row r="818" ht="15.75" customHeight="1">
      <c r="E818" s="42"/>
    </row>
    <row r="819" ht="15.75" customHeight="1">
      <c r="E819" s="42"/>
    </row>
    <row r="820" ht="15.75" customHeight="1">
      <c r="E820" s="42"/>
    </row>
    <row r="821" ht="15.75" customHeight="1">
      <c r="E821" s="42"/>
    </row>
    <row r="822" ht="15.75" customHeight="1">
      <c r="E822" s="42"/>
    </row>
    <row r="823" ht="15.75" customHeight="1">
      <c r="E823" s="42"/>
    </row>
    <row r="824" ht="15.75" customHeight="1">
      <c r="E824" s="42"/>
    </row>
    <row r="825" ht="15.75" customHeight="1">
      <c r="E825" s="42"/>
    </row>
    <row r="826" ht="15.75" customHeight="1">
      <c r="E826" s="42"/>
    </row>
    <row r="827" ht="15.75" customHeight="1">
      <c r="E827" s="42"/>
    </row>
    <row r="828" ht="15.75" customHeight="1">
      <c r="E828" s="42"/>
    </row>
    <row r="829" ht="15.75" customHeight="1">
      <c r="E829" s="42"/>
    </row>
    <row r="830" ht="15.75" customHeight="1">
      <c r="E830" s="42"/>
    </row>
    <row r="831" ht="15.75" customHeight="1">
      <c r="E831" s="42"/>
    </row>
    <row r="832" ht="15.75" customHeight="1">
      <c r="E832" s="42"/>
    </row>
    <row r="833" ht="15.75" customHeight="1">
      <c r="E833" s="42"/>
    </row>
    <row r="834" ht="15.75" customHeight="1">
      <c r="E834" s="42"/>
    </row>
    <row r="835" ht="15.75" customHeight="1">
      <c r="E835" s="42"/>
    </row>
    <row r="836" ht="15.75" customHeight="1">
      <c r="E836" s="42"/>
    </row>
    <row r="837" ht="15.75" customHeight="1">
      <c r="E837" s="42"/>
    </row>
    <row r="838" ht="15.75" customHeight="1">
      <c r="E838" s="42"/>
    </row>
    <row r="839" ht="15.75" customHeight="1">
      <c r="E839" s="42"/>
    </row>
    <row r="840" ht="15.75" customHeight="1">
      <c r="E840" s="42"/>
    </row>
    <row r="841" ht="15.75" customHeight="1">
      <c r="E841" s="42"/>
    </row>
    <row r="842" ht="15.75" customHeight="1">
      <c r="E842" s="42"/>
    </row>
    <row r="843" ht="15.75" customHeight="1">
      <c r="E843" s="42"/>
    </row>
    <row r="844" ht="15.75" customHeight="1">
      <c r="E844" s="42"/>
    </row>
    <row r="845" ht="15.75" customHeight="1">
      <c r="E845" s="42"/>
    </row>
    <row r="846" ht="15.75" customHeight="1">
      <c r="E846" s="42"/>
    </row>
    <row r="847" ht="15.75" customHeight="1">
      <c r="E847" s="42"/>
    </row>
    <row r="848" ht="15.75" customHeight="1">
      <c r="E848" s="42"/>
    </row>
    <row r="849" ht="15.75" customHeight="1">
      <c r="E849" s="42"/>
    </row>
    <row r="850" ht="15.75" customHeight="1">
      <c r="E850" s="42"/>
    </row>
    <row r="851" ht="15.75" customHeight="1">
      <c r="E851" s="42"/>
    </row>
    <row r="852" ht="15.75" customHeight="1">
      <c r="E852" s="42"/>
    </row>
    <row r="853" ht="15.75" customHeight="1">
      <c r="E853" s="42"/>
    </row>
    <row r="854" ht="15.75" customHeight="1">
      <c r="E854" s="42"/>
    </row>
    <row r="855" ht="15.75" customHeight="1">
      <c r="E855" s="42"/>
    </row>
    <row r="856" ht="15.75" customHeight="1">
      <c r="E856" s="42"/>
    </row>
    <row r="857" ht="15.75" customHeight="1">
      <c r="E857" s="42"/>
    </row>
    <row r="858" ht="15.75" customHeight="1">
      <c r="E858" s="42"/>
    </row>
    <row r="859" ht="15.75" customHeight="1">
      <c r="E859" s="42"/>
    </row>
    <row r="860" ht="15.75" customHeight="1">
      <c r="E860" s="42"/>
    </row>
    <row r="861" ht="15.75" customHeight="1">
      <c r="E861" s="42"/>
    </row>
    <row r="862" ht="15.75" customHeight="1">
      <c r="E862" s="42"/>
    </row>
    <row r="863" ht="15.75" customHeight="1">
      <c r="E863" s="42"/>
    </row>
    <row r="864" ht="15.75" customHeight="1">
      <c r="E864" s="42"/>
    </row>
    <row r="865" ht="15.75" customHeight="1">
      <c r="E865" s="42"/>
    </row>
    <row r="866" ht="15.75" customHeight="1">
      <c r="E866" s="42"/>
    </row>
    <row r="867" ht="15.75" customHeight="1">
      <c r="E867" s="42"/>
    </row>
    <row r="868" ht="15.75" customHeight="1">
      <c r="E868" s="42"/>
    </row>
    <row r="869" ht="15.75" customHeight="1">
      <c r="E869" s="42"/>
    </row>
    <row r="870" ht="15.75" customHeight="1">
      <c r="E870" s="42"/>
    </row>
    <row r="871" ht="15.75" customHeight="1">
      <c r="E871" s="42"/>
    </row>
    <row r="872" ht="15.75" customHeight="1">
      <c r="E872" s="42"/>
    </row>
    <row r="873" ht="15.75" customHeight="1">
      <c r="E873" s="42"/>
    </row>
    <row r="874" ht="15.75" customHeight="1">
      <c r="E874" s="42"/>
    </row>
    <row r="875" ht="15.75" customHeight="1">
      <c r="E875" s="42"/>
    </row>
    <row r="876" ht="15.75" customHeight="1">
      <c r="E876" s="42"/>
    </row>
    <row r="877" ht="15.75" customHeight="1">
      <c r="E877" s="42"/>
    </row>
    <row r="878" ht="15.75" customHeight="1">
      <c r="E878" s="42"/>
    </row>
    <row r="879" ht="15.75" customHeight="1">
      <c r="E879" s="42"/>
    </row>
    <row r="880" ht="15.75" customHeight="1">
      <c r="E880" s="42"/>
    </row>
    <row r="881" ht="15.75" customHeight="1">
      <c r="E881" s="42"/>
    </row>
    <row r="882" ht="15.75" customHeight="1">
      <c r="E882" s="42"/>
    </row>
    <row r="883" ht="15.75" customHeight="1">
      <c r="E883" s="42"/>
    </row>
    <row r="884" ht="15.75" customHeight="1">
      <c r="E884" s="42"/>
    </row>
    <row r="885" ht="15.75" customHeight="1">
      <c r="E885" s="42"/>
    </row>
    <row r="886" ht="15.75" customHeight="1">
      <c r="E886" s="42"/>
    </row>
    <row r="887" ht="15.75" customHeight="1">
      <c r="E887" s="42"/>
    </row>
    <row r="888" ht="15.75" customHeight="1">
      <c r="E888" s="42"/>
    </row>
    <row r="889" ht="15.75" customHeight="1">
      <c r="E889" s="42"/>
    </row>
    <row r="890" ht="15.75" customHeight="1">
      <c r="E890" s="42"/>
    </row>
    <row r="891" ht="15.75" customHeight="1">
      <c r="E891" s="42"/>
    </row>
    <row r="892" ht="15.75" customHeight="1">
      <c r="E892" s="42"/>
    </row>
    <row r="893" ht="15.75" customHeight="1">
      <c r="E893" s="42"/>
    </row>
    <row r="894" ht="15.75" customHeight="1">
      <c r="E894" s="42"/>
    </row>
    <row r="895" ht="15.75" customHeight="1">
      <c r="E895" s="42"/>
    </row>
    <row r="896" ht="15.75" customHeight="1">
      <c r="E896" s="42"/>
    </row>
    <row r="897" ht="15.75" customHeight="1">
      <c r="E897" s="42"/>
    </row>
    <row r="898" ht="15.75" customHeight="1">
      <c r="E898" s="42"/>
    </row>
    <row r="899" ht="15.75" customHeight="1">
      <c r="E899" s="42"/>
    </row>
    <row r="900" ht="15.75" customHeight="1">
      <c r="E900" s="42"/>
    </row>
    <row r="901" ht="15.75" customHeight="1">
      <c r="E901" s="42"/>
    </row>
    <row r="902" ht="15.75" customHeight="1">
      <c r="E902" s="42"/>
    </row>
    <row r="903" ht="15.75" customHeight="1">
      <c r="E903" s="42"/>
    </row>
    <row r="904" ht="15.75" customHeight="1">
      <c r="E904" s="42"/>
    </row>
    <row r="905" ht="15.75" customHeight="1">
      <c r="E905" s="42"/>
    </row>
    <row r="906" ht="15.75" customHeight="1">
      <c r="E906" s="42"/>
    </row>
    <row r="907" ht="15.75" customHeight="1">
      <c r="E907" s="42"/>
    </row>
    <row r="908" ht="15.75" customHeight="1">
      <c r="E908" s="42"/>
    </row>
    <row r="909" ht="15.75" customHeight="1">
      <c r="E909" s="42"/>
    </row>
    <row r="910" ht="15.75" customHeight="1">
      <c r="E910" s="42"/>
    </row>
    <row r="911" ht="15.75" customHeight="1">
      <c r="E911" s="42"/>
    </row>
    <row r="912" ht="15.75" customHeight="1">
      <c r="E912" s="42"/>
    </row>
    <row r="913" ht="15.75" customHeight="1">
      <c r="E913" s="42"/>
    </row>
    <row r="914" ht="15.75" customHeight="1">
      <c r="E914" s="42"/>
    </row>
    <row r="915" ht="15.75" customHeight="1">
      <c r="E915" s="42"/>
    </row>
    <row r="916" ht="15.75" customHeight="1">
      <c r="E916" s="42"/>
    </row>
    <row r="917" ht="15.75" customHeight="1">
      <c r="E917" s="42"/>
    </row>
    <row r="918" ht="15.75" customHeight="1">
      <c r="E918" s="42"/>
    </row>
    <row r="919" ht="15.75" customHeight="1">
      <c r="E919" s="42"/>
    </row>
    <row r="920" ht="15.75" customHeight="1">
      <c r="E920" s="42"/>
    </row>
    <row r="921" ht="15.75" customHeight="1">
      <c r="E921" s="42"/>
    </row>
    <row r="922" ht="15.75" customHeight="1">
      <c r="E922" s="42"/>
    </row>
    <row r="923" ht="15.75" customHeight="1">
      <c r="E923" s="42"/>
    </row>
    <row r="924" ht="15.75" customHeight="1">
      <c r="E924" s="42"/>
    </row>
    <row r="925" ht="15.75" customHeight="1">
      <c r="E925" s="42"/>
    </row>
    <row r="926" ht="15.75" customHeight="1">
      <c r="E926" s="42"/>
    </row>
    <row r="927" ht="15.75" customHeight="1">
      <c r="E927" s="42"/>
    </row>
    <row r="928" ht="15.75" customHeight="1">
      <c r="E928" s="42"/>
    </row>
    <row r="929" ht="15.75" customHeight="1">
      <c r="E929" s="42"/>
    </row>
    <row r="930" ht="15.75" customHeight="1">
      <c r="E930" s="42"/>
    </row>
  </sheetData>
  <customSheetViews>
    <customSheetView guid="{E8F1DD2B-7BC7-410E-BB6F-1687C0FEC8CE}" filter="1" showAutoFilter="1">
      <autoFilter ref="$A$2:$W$300"/>
    </customSheetView>
  </customSheetViews>
  <mergeCells count="1">
    <mergeCell ref="A1:W1"/>
  </mergeCells>
  <conditionalFormatting sqref="T3:T300">
    <cfRule type="cellIs" dxfId="6" priority="1" operator="greaterThanOrEqual">
      <formula>1</formula>
    </cfRule>
  </conditionalFormatting>
  <conditionalFormatting sqref="T3:T300">
    <cfRule type="cellIs" dxfId="7" priority="2" operator="between">
      <formula>0.8</formula>
      <formula>0.999999</formula>
    </cfRule>
  </conditionalFormatting>
  <conditionalFormatting sqref="T3:T300">
    <cfRule type="cellIs" dxfId="8" priority="3" operator="lessThan">
      <formula>0.8</formula>
    </cfRule>
  </conditionalFormatting>
  <printOptions/>
  <pageMargins bottom="0.25" footer="0.0" header="0.0" left="0.25" right="0.25" top="0.25"/>
  <pageSetup fitToHeight="0"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71"/>
    <col customWidth="1" min="2" max="2" width="20.29"/>
    <col customWidth="1" min="3" max="3" width="9.86"/>
    <col customWidth="1" min="4" max="4" width="10.29"/>
    <col customWidth="1" min="5" max="5" width="10.0"/>
    <col customWidth="1" min="6" max="6" width="8.71"/>
    <col customWidth="1" min="7" max="7" width="11.14"/>
    <col customWidth="1" min="8" max="8" width="12.29"/>
    <col customWidth="1" min="9" max="9" width="11.86"/>
    <col customWidth="1" min="10" max="10" width="11.29"/>
    <col customWidth="1" min="11" max="11" width="9.14"/>
    <col customWidth="1" min="12" max="12" width="15.57"/>
    <col customWidth="1" min="13" max="13" width="16.0"/>
    <col customWidth="1" min="14" max="14" width="13.43"/>
    <col customWidth="1" min="15" max="15" width="19.43"/>
    <col customWidth="1" min="16" max="16" width="14.57"/>
    <col customWidth="1" min="17" max="17" width="14.86"/>
    <col customWidth="1" min="18" max="18" width="14.0"/>
    <col customWidth="1" min="19" max="19" width="13.86"/>
    <col customWidth="1" min="20" max="20" width="12.57"/>
    <col customWidth="1" min="21" max="21" width="7.71"/>
    <col customWidth="1" min="22" max="22" width="17.86"/>
    <col customWidth="1" min="23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/>
      <c r="Y1" s="4"/>
      <c r="Z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</row>
    <row r="3">
      <c r="A3" s="6">
        <v>46296.0</v>
      </c>
      <c r="B3" s="7" t="s">
        <v>25</v>
      </c>
      <c r="C3" s="8" t="s">
        <v>26</v>
      </c>
      <c r="D3" s="9" t="s">
        <v>27</v>
      </c>
      <c r="E3" s="10">
        <v>0.0</v>
      </c>
      <c r="F3" s="9"/>
      <c r="G3" s="11"/>
      <c r="H3" s="12"/>
      <c r="I3" s="11"/>
      <c r="J3" s="12"/>
      <c r="K3" s="11"/>
      <c r="L3" s="11"/>
      <c r="M3" s="14"/>
      <c r="N3" s="11"/>
      <c r="O3" s="14"/>
      <c r="P3" s="11"/>
      <c r="Q3" s="15"/>
      <c r="R3" s="9"/>
      <c r="S3" s="16"/>
      <c r="T3" s="17"/>
      <c r="U3" s="14"/>
      <c r="V3" s="9"/>
      <c r="W3" s="9"/>
    </row>
    <row r="4">
      <c r="A4" s="6">
        <v>46296.0</v>
      </c>
      <c r="B4" s="7" t="s">
        <v>30</v>
      </c>
      <c r="C4" s="18" t="s">
        <v>31</v>
      </c>
      <c r="D4" s="9" t="s">
        <v>27</v>
      </c>
      <c r="E4" s="10">
        <v>0.0</v>
      </c>
      <c r="F4" s="9"/>
      <c r="G4" s="11"/>
      <c r="H4" s="12"/>
      <c r="I4" s="11"/>
      <c r="J4" s="12"/>
      <c r="K4" s="11"/>
      <c r="L4" s="11"/>
      <c r="M4" s="14"/>
      <c r="N4" s="11"/>
      <c r="O4" s="14"/>
      <c r="P4" s="11"/>
      <c r="Q4" s="15"/>
      <c r="R4" s="9"/>
      <c r="S4" s="16"/>
      <c r="T4" s="17"/>
      <c r="U4" s="14"/>
      <c r="V4" s="9"/>
      <c r="W4" s="9"/>
    </row>
    <row r="5">
      <c r="A5" s="6">
        <v>46296.0</v>
      </c>
      <c r="B5" s="7" t="s">
        <v>32</v>
      </c>
      <c r="C5" s="18" t="s">
        <v>33</v>
      </c>
      <c r="D5" s="9" t="s">
        <v>27</v>
      </c>
      <c r="E5" s="10">
        <v>0.0</v>
      </c>
      <c r="F5" s="9"/>
      <c r="G5" s="11"/>
      <c r="H5" s="12"/>
      <c r="I5" s="11"/>
      <c r="J5" s="19"/>
      <c r="K5" s="11"/>
      <c r="L5" s="11"/>
      <c r="M5" s="14"/>
      <c r="N5" s="11"/>
      <c r="O5" s="14"/>
      <c r="P5" s="11"/>
      <c r="Q5" s="15"/>
      <c r="R5" s="9"/>
      <c r="S5" s="16"/>
      <c r="T5" s="17"/>
      <c r="U5" s="14"/>
      <c r="V5" s="9"/>
      <c r="W5" s="9"/>
    </row>
    <row r="6">
      <c r="A6" s="6">
        <v>46296.0</v>
      </c>
      <c r="B6" s="7" t="s">
        <v>34</v>
      </c>
      <c r="C6" s="18" t="s">
        <v>35</v>
      </c>
      <c r="D6" s="9" t="s">
        <v>27</v>
      </c>
      <c r="E6" s="10">
        <v>300000.0</v>
      </c>
      <c r="F6" s="9">
        <f t="shared" ref="F6:F392" si="1">IF(E6&gt;0,3,0)</f>
        <v>3</v>
      </c>
      <c r="G6" s="11">
        <v>1.0</v>
      </c>
      <c r="H6" s="12">
        <f t="shared" ref="H6:H392" si="2">IF(G6&gt;0,1,0)</f>
        <v>1</v>
      </c>
      <c r="I6" s="11">
        <v>1.0</v>
      </c>
      <c r="J6" s="19">
        <v>1.0</v>
      </c>
      <c r="K6" s="11">
        <v>85.0</v>
      </c>
      <c r="L6" s="11">
        <v>50.0</v>
      </c>
      <c r="M6" s="14">
        <f t="shared" ref="M6:M392" si="3">MIN(L6/50,1)</f>
        <v>1</v>
      </c>
      <c r="N6" s="11">
        <v>3.0</v>
      </c>
      <c r="O6" s="14">
        <f t="shared" ref="O6:O392" si="4">SUM(N6/3)*2</f>
        <v>2</v>
      </c>
      <c r="P6" s="11">
        <v>1.0</v>
      </c>
      <c r="Q6" s="15">
        <v>1.0</v>
      </c>
      <c r="R6" s="9">
        <v>10.0</v>
      </c>
      <c r="S6" s="16">
        <f t="shared" ref="S6:S393" si="5">SUM(F6,H6,J6,M6,O6,P6,Q6)</f>
        <v>10</v>
      </c>
      <c r="T6" s="17">
        <f t="shared" ref="T6:T392" si="6">IFERROR(S6/10,0)</f>
        <v>1</v>
      </c>
      <c r="U6" s="14">
        <f t="shared" ref="U6:U392" si="7">S6-10</f>
        <v>0</v>
      </c>
      <c r="V6" s="9" t="str">
        <f t="shared" ref="V6:V393" si="8">IF(T6&gt;=1,"Achieved",IF(T6&gt;=0.7,"Near Target",IF(T6&gt;=0.5,"Average","Low Performance")))</f>
        <v>Achieved</v>
      </c>
      <c r="W6" s="9"/>
    </row>
    <row r="7">
      <c r="A7" s="6">
        <v>46296.0</v>
      </c>
      <c r="B7" s="7" t="s">
        <v>28</v>
      </c>
      <c r="C7" s="9" t="s">
        <v>29</v>
      </c>
      <c r="D7" s="9" t="s">
        <v>27</v>
      </c>
      <c r="E7" s="10">
        <v>0.0</v>
      </c>
      <c r="F7" s="9">
        <f t="shared" si="1"/>
        <v>0</v>
      </c>
      <c r="G7" s="11">
        <v>0.0</v>
      </c>
      <c r="H7" s="12">
        <f t="shared" si="2"/>
        <v>0</v>
      </c>
      <c r="I7" s="11">
        <v>1.0</v>
      </c>
      <c r="J7" s="12">
        <f t="shared" ref="J7:J8" si="9">IF(I7&gt;0,1,0)</f>
        <v>1</v>
      </c>
      <c r="K7" s="11">
        <v>121.0</v>
      </c>
      <c r="L7" s="11">
        <v>52.0</v>
      </c>
      <c r="M7" s="14">
        <f t="shared" si="3"/>
        <v>1</v>
      </c>
      <c r="N7" s="11">
        <v>3.0</v>
      </c>
      <c r="O7" s="14">
        <f t="shared" si="4"/>
        <v>2</v>
      </c>
      <c r="P7" s="11">
        <v>1.0</v>
      </c>
      <c r="Q7" s="15">
        <v>1.0</v>
      </c>
      <c r="R7" s="9">
        <v>10.0</v>
      </c>
      <c r="S7" s="16">
        <f t="shared" si="5"/>
        <v>6</v>
      </c>
      <c r="T7" s="17">
        <f t="shared" si="6"/>
        <v>0.6</v>
      </c>
      <c r="U7" s="14">
        <f t="shared" si="7"/>
        <v>-4</v>
      </c>
      <c r="V7" s="9" t="str">
        <f t="shared" si="8"/>
        <v>Average</v>
      </c>
      <c r="W7" s="9"/>
    </row>
    <row r="8">
      <c r="A8" s="6">
        <v>46296.0</v>
      </c>
      <c r="B8" s="7" t="s">
        <v>36</v>
      </c>
      <c r="C8" s="9" t="s">
        <v>29</v>
      </c>
      <c r="D8" s="9" t="s">
        <v>27</v>
      </c>
      <c r="E8" s="10">
        <v>650000.0</v>
      </c>
      <c r="F8" s="9">
        <f t="shared" si="1"/>
        <v>3</v>
      </c>
      <c r="G8" s="11">
        <v>1.0</v>
      </c>
      <c r="H8" s="12">
        <f t="shared" si="2"/>
        <v>1</v>
      </c>
      <c r="I8" s="11">
        <v>2.0</v>
      </c>
      <c r="J8" s="12">
        <f t="shared" si="9"/>
        <v>1</v>
      </c>
      <c r="K8" s="11">
        <v>66.0</v>
      </c>
      <c r="L8" s="11">
        <v>51.0</v>
      </c>
      <c r="M8" s="14">
        <f t="shared" si="3"/>
        <v>1</v>
      </c>
      <c r="N8" s="11">
        <v>3.0</v>
      </c>
      <c r="O8" s="14">
        <f t="shared" si="4"/>
        <v>2</v>
      </c>
      <c r="P8" s="11">
        <v>1.0</v>
      </c>
      <c r="Q8" s="15">
        <v>1.0</v>
      </c>
      <c r="R8" s="9">
        <v>10.0</v>
      </c>
      <c r="S8" s="16">
        <f t="shared" si="5"/>
        <v>10</v>
      </c>
      <c r="T8" s="17">
        <f t="shared" si="6"/>
        <v>1</v>
      </c>
      <c r="U8" s="14">
        <f t="shared" si="7"/>
        <v>0</v>
      </c>
      <c r="V8" s="9" t="str">
        <f t="shared" si="8"/>
        <v>Achieved</v>
      </c>
      <c r="W8" s="9"/>
    </row>
    <row r="9">
      <c r="A9" s="6">
        <v>46296.0</v>
      </c>
      <c r="B9" s="7" t="s">
        <v>37</v>
      </c>
      <c r="C9" s="9" t="s">
        <v>29</v>
      </c>
      <c r="D9" s="9" t="s">
        <v>27</v>
      </c>
      <c r="E9" s="10">
        <v>0.0</v>
      </c>
      <c r="F9" s="9">
        <f t="shared" si="1"/>
        <v>0</v>
      </c>
      <c r="G9" s="11">
        <v>0.0</v>
      </c>
      <c r="H9" s="12">
        <f t="shared" si="2"/>
        <v>0</v>
      </c>
      <c r="I9" s="11">
        <v>1.0</v>
      </c>
      <c r="J9" s="19">
        <v>1.0</v>
      </c>
      <c r="K9" s="11">
        <v>66.0</v>
      </c>
      <c r="L9" s="11">
        <v>52.0</v>
      </c>
      <c r="M9" s="14">
        <f t="shared" si="3"/>
        <v>1</v>
      </c>
      <c r="N9" s="11">
        <v>3.0</v>
      </c>
      <c r="O9" s="14">
        <f t="shared" si="4"/>
        <v>2</v>
      </c>
      <c r="P9" s="11">
        <v>1.0</v>
      </c>
      <c r="Q9" s="15">
        <v>1.0</v>
      </c>
      <c r="R9" s="9">
        <v>10.0</v>
      </c>
      <c r="S9" s="16">
        <f t="shared" si="5"/>
        <v>6</v>
      </c>
      <c r="T9" s="17">
        <f t="shared" si="6"/>
        <v>0.6</v>
      </c>
      <c r="U9" s="14">
        <f t="shared" si="7"/>
        <v>-4</v>
      </c>
      <c r="V9" s="9" t="str">
        <f t="shared" si="8"/>
        <v>Average</v>
      </c>
      <c r="W9" s="9"/>
    </row>
    <row r="10">
      <c r="A10" s="6">
        <v>46296.0</v>
      </c>
      <c r="B10" s="7" t="s">
        <v>38</v>
      </c>
      <c r="C10" s="9" t="s">
        <v>29</v>
      </c>
      <c r="D10" s="9" t="s">
        <v>27</v>
      </c>
      <c r="E10" s="10">
        <v>300000.0</v>
      </c>
      <c r="F10" s="9">
        <f t="shared" si="1"/>
        <v>3</v>
      </c>
      <c r="G10" s="11">
        <v>1.0</v>
      </c>
      <c r="H10" s="12">
        <f t="shared" si="2"/>
        <v>1</v>
      </c>
      <c r="I10" s="11">
        <v>1.0</v>
      </c>
      <c r="J10" s="19">
        <v>1.0</v>
      </c>
      <c r="K10" s="11">
        <v>85.0</v>
      </c>
      <c r="L10" s="11">
        <v>50.0</v>
      </c>
      <c r="M10" s="14">
        <f t="shared" si="3"/>
        <v>1</v>
      </c>
      <c r="N10" s="11">
        <v>3.0</v>
      </c>
      <c r="O10" s="14">
        <f t="shared" si="4"/>
        <v>2</v>
      </c>
      <c r="P10" s="11">
        <v>1.0</v>
      </c>
      <c r="Q10" s="15">
        <v>1.0</v>
      </c>
      <c r="R10" s="9">
        <v>10.0</v>
      </c>
      <c r="S10" s="16">
        <f t="shared" si="5"/>
        <v>10</v>
      </c>
      <c r="T10" s="17">
        <f t="shared" si="6"/>
        <v>1</v>
      </c>
      <c r="U10" s="14">
        <f t="shared" si="7"/>
        <v>0</v>
      </c>
      <c r="V10" s="9" t="str">
        <f t="shared" si="8"/>
        <v>Achieved</v>
      </c>
      <c r="W10" s="9"/>
    </row>
    <row r="11">
      <c r="A11" s="6">
        <v>46296.0</v>
      </c>
      <c r="B11" s="20" t="s">
        <v>39</v>
      </c>
      <c r="C11" s="9" t="s">
        <v>40</v>
      </c>
      <c r="D11" s="9" t="s">
        <v>27</v>
      </c>
      <c r="E11" s="10">
        <v>0.0</v>
      </c>
      <c r="F11" s="9">
        <f t="shared" si="1"/>
        <v>0</v>
      </c>
      <c r="G11" s="11">
        <v>1.0</v>
      </c>
      <c r="H11" s="12">
        <f t="shared" si="2"/>
        <v>1</v>
      </c>
      <c r="I11" s="11">
        <v>0.0</v>
      </c>
      <c r="J11" s="19">
        <v>0.0</v>
      </c>
      <c r="K11" s="11">
        <v>80.0</v>
      </c>
      <c r="L11" s="11">
        <v>67.0</v>
      </c>
      <c r="M11" s="14">
        <f t="shared" si="3"/>
        <v>1</v>
      </c>
      <c r="N11" s="11">
        <v>3.0</v>
      </c>
      <c r="O11" s="14">
        <f t="shared" si="4"/>
        <v>2</v>
      </c>
      <c r="P11" s="11">
        <v>1.0</v>
      </c>
      <c r="Q11" s="15">
        <v>1.0</v>
      </c>
      <c r="R11" s="9">
        <v>10.0</v>
      </c>
      <c r="S11" s="16">
        <f t="shared" si="5"/>
        <v>6</v>
      </c>
      <c r="T11" s="17">
        <f t="shared" si="6"/>
        <v>0.6</v>
      </c>
      <c r="U11" s="14">
        <f t="shared" si="7"/>
        <v>-4</v>
      </c>
      <c r="V11" s="9" t="str">
        <f t="shared" si="8"/>
        <v>Average</v>
      </c>
      <c r="W11" s="9"/>
    </row>
    <row r="12">
      <c r="A12" s="6">
        <v>46296.0</v>
      </c>
      <c r="B12" s="7" t="s">
        <v>41</v>
      </c>
      <c r="C12" s="9" t="s">
        <v>40</v>
      </c>
      <c r="D12" s="9" t="s">
        <v>27</v>
      </c>
      <c r="E12" s="10">
        <v>0.0</v>
      </c>
      <c r="F12" s="9">
        <f t="shared" si="1"/>
        <v>0</v>
      </c>
      <c r="G12" s="11">
        <v>0.0</v>
      </c>
      <c r="H12" s="12">
        <f t="shared" si="2"/>
        <v>0</v>
      </c>
      <c r="I12" s="11">
        <v>1.0</v>
      </c>
      <c r="J12" s="12">
        <f>IF(I12&gt;0,1,0)</f>
        <v>1</v>
      </c>
      <c r="K12" s="11">
        <v>75.0</v>
      </c>
      <c r="L12" s="11">
        <v>53.0</v>
      </c>
      <c r="M12" s="14">
        <f t="shared" si="3"/>
        <v>1</v>
      </c>
      <c r="N12" s="11">
        <v>3.0</v>
      </c>
      <c r="O12" s="14">
        <f t="shared" si="4"/>
        <v>2</v>
      </c>
      <c r="P12" s="11">
        <v>1.0</v>
      </c>
      <c r="Q12" s="15">
        <v>1.0</v>
      </c>
      <c r="R12" s="9">
        <v>10.0</v>
      </c>
      <c r="S12" s="16">
        <f t="shared" si="5"/>
        <v>6</v>
      </c>
      <c r="T12" s="17">
        <f t="shared" si="6"/>
        <v>0.6</v>
      </c>
      <c r="U12" s="14">
        <f t="shared" si="7"/>
        <v>-4</v>
      </c>
      <c r="V12" s="9" t="str">
        <f t="shared" si="8"/>
        <v>Average</v>
      </c>
      <c r="W12" s="9"/>
    </row>
    <row r="13">
      <c r="A13" s="6">
        <v>46296.0</v>
      </c>
      <c r="B13" s="7" t="s">
        <v>42</v>
      </c>
      <c r="C13" s="9" t="s">
        <v>40</v>
      </c>
      <c r="D13" s="9" t="s">
        <v>27</v>
      </c>
      <c r="E13" s="10">
        <v>0.0</v>
      </c>
      <c r="F13" s="9">
        <f t="shared" si="1"/>
        <v>0</v>
      </c>
      <c r="G13" s="11">
        <v>0.0</v>
      </c>
      <c r="H13" s="12">
        <f t="shared" si="2"/>
        <v>0</v>
      </c>
      <c r="I13" s="11">
        <v>1.0</v>
      </c>
      <c r="J13" s="19">
        <v>1.0</v>
      </c>
      <c r="K13" s="11">
        <v>64.0</v>
      </c>
      <c r="L13" s="11">
        <v>50.0</v>
      </c>
      <c r="M13" s="14">
        <f t="shared" si="3"/>
        <v>1</v>
      </c>
      <c r="N13" s="11">
        <v>3.0</v>
      </c>
      <c r="O13" s="14">
        <f t="shared" si="4"/>
        <v>2</v>
      </c>
      <c r="P13" s="11">
        <v>1.0</v>
      </c>
      <c r="Q13" s="15">
        <v>1.0</v>
      </c>
      <c r="R13" s="9">
        <v>10.0</v>
      </c>
      <c r="S13" s="16">
        <f t="shared" si="5"/>
        <v>6</v>
      </c>
      <c r="T13" s="17">
        <f t="shared" si="6"/>
        <v>0.6</v>
      </c>
      <c r="U13" s="14">
        <f t="shared" si="7"/>
        <v>-4</v>
      </c>
      <c r="V13" s="9" t="str">
        <f t="shared" si="8"/>
        <v>Average</v>
      </c>
      <c r="W13" s="9"/>
    </row>
    <row r="14">
      <c r="A14" s="6">
        <v>46296.0</v>
      </c>
      <c r="B14" s="7" t="s">
        <v>43</v>
      </c>
      <c r="C14" s="9" t="s">
        <v>40</v>
      </c>
      <c r="D14" s="9" t="s">
        <v>27</v>
      </c>
      <c r="E14" s="10">
        <v>0.0</v>
      </c>
      <c r="F14" s="9">
        <f t="shared" si="1"/>
        <v>0</v>
      </c>
      <c r="G14" s="11">
        <v>0.0</v>
      </c>
      <c r="H14" s="12">
        <f t="shared" si="2"/>
        <v>0</v>
      </c>
      <c r="I14" s="11">
        <v>1.0</v>
      </c>
      <c r="J14" s="12">
        <f t="shared" ref="J14:J21" si="10">IF(I14&gt;0,1,0)</f>
        <v>1</v>
      </c>
      <c r="K14" s="11">
        <v>65.0</v>
      </c>
      <c r="L14" s="11">
        <v>50.0</v>
      </c>
      <c r="M14" s="14">
        <f t="shared" si="3"/>
        <v>1</v>
      </c>
      <c r="N14" s="11">
        <v>3.0</v>
      </c>
      <c r="O14" s="14">
        <f t="shared" si="4"/>
        <v>2</v>
      </c>
      <c r="P14" s="11">
        <v>1.0</v>
      </c>
      <c r="Q14" s="15">
        <v>1.0</v>
      </c>
      <c r="R14" s="9">
        <v>10.0</v>
      </c>
      <c r="S14" s="16">
        <f t="shared" si="5"/>
        <v>6</v>
      </c>
      <c r="T14" s="17">
        <f t="shared" si="6"/>
        <v>0.6</v>
      </c>
      <c r="U14" s="14">
        <f t="shared" si="7"/>
        <v>-4</v>
      </c>
      <c r="V14" s="9" t="str">
        <f t="shared" si="8"/>
        <v>Average</v>
      </c>
      <c r="W14" s="9"/>
    </row>
    <row r="15">
      <c r="A15" s="6">
        <v>46296.0</v>
      </c>
      <c r="B15" s="7" t="s">
        <v>45</v>
      </c>
      <c r="C15" s="18" t="s">
        <v>46</v>
      </c>
      <c r="D15" s="9" t="s">
        <v>27</v>
      </c>
      <c r="E15" s="10">
        <v>0.0</v>
      </c>
      <c r="F15" s="9">
        <f t="shared" si="1"/>
        <v>0</v>
      </c>
      <c r="G15" s="11">
        <v>0.0</v>
      </c>
      <c r="H15" s="12">
        <f t="shared" si="2"/>
        <v>0</v>
      </c>
      <c r="I15" s="11">
        <v>2.0</v>
      </c>
      <c r="J15" s="12">
        <f t="shared" si="10"/>
        <v>1</v>
      </c>
      <c r="K15" s="11">
        <v>75.0</v>
      </c>
      <c r="L15" s="11">
        <v>55.0</v>
      </c>
      <c r="M15" s="14">
        <f t="shared" si="3"/>
        <v>1</v>
      </c>
      <c r="N15" s="11">
        <v>3.0</v>
      </c>
      <c r="O15" s="14">
        <f t="shared" si="4"/>
        <v>2</v>
      </c>
      <c r="P15" s="11">
        <v>1.0</v>
      </c>
      <c r="Q15" s="15">
        <v>1.0</v>
      </c>
      <c r="R15" s="9">
        <v>10.0</v>
      </c>
      <c r="S15" s="16">
        <f t="shared" si="5"/>
        <v>6</v>
      </c>
      <c r="T15" s="17">
        <f t="shared" si="6"/>
        <v>0.6</v>
      </c>
      <c r="U15" s="14">
        <f t="shared" si="7"/>
        <v>-4</v>
      </c>
      <c r="V15" s="9" t="str">
        <f t="shared" si="8"/>
        <v>Average</v>
      </c>
      <c r="W15" s="9"/>
    </row>
    <row r="16">
      <c r="A16" s="6">
        <v>46296.0</v>
      </c>
      <c r="B16" s="7" t="s">
        <v>49</v>
      </c>
      <c r="C16" s="18" t="s">
        <v>46</v>
      </c>
      <c r="D16" s="9" t="s">
        <v>27</v>
      </c>
      <c r="E16" s="10">
        <v>0.0</v>
      </c>
      <c r="F16" s="9">
        <f t="shared" si="1"/>
        <v>0</v>
      </c>
      <c r="G16" s="11">
        <v>0.0</v>
      </c>
      <c r="H16" s="12">
        <f t="shared" si="2"/>
        <v>0</v>
      </c>
      <c r="I16" s="11">
        <v>2.0</v>
      </c>
      <c r="J16" s="12">
        <f t="shared" si="10"/>
        <v>1</v>
      </c>
      <c r="K16" s="11">
        <v>60.0</v>
      </c>
      <c r="L16" s="11">
        <v>50.0</v>
      </c>
      <c r="M16" s="14">
        <f t="shared" si="3"/>
        <v>1</v>
      </c>
      <c r="N16" s="11">
        <v>3.0</v>
      </c>
      <c r="O16" s="14">
        <f t="shared" si="4"/>
        <v>2</v>
      </c>
      <c r="P16" s="11">
        <v>1.0</v>
      </c>
      <c r="Q16" s="15">
        <v>1.0</v>
      </c>
      <c r="R16" s="9">
        <v>10.0</v>
      </c>
      <c r="S16" s="16">
        <f t="shared" si="5"/>
        <v>6</v>
      </c>
      <c r="T16" s="21">
        <f t="shared" si="6"/>
        <v>0.6</v>
      </c>
      <c r="U16" s="14">
        <f t="shared" si="7"/>
        <v>-4</v>
      </c>
      <c r="V16" s="9" t="str">
        <f t="shared" si="8"/>
        <v>Average</v>
      </c>
      <c r="W16" s="9"/>
    </row>
    <row r="17">
      <c r="A17" s="6">
        <v>46296.0</v>
      </c>
      <c r="B17" s="22" t="s">
        <v>50</v>
      </c>
      <c r="C17" s="23" t="s">
        <v>46</v>
      </c>
      <c r="D17" s="24" t="s">
        <v>27</v>
      </c>
      <c r="E17" s="10">
        <v>400000.0</v>
      </c>
      <c r="F17" s="9">
        <f t="shared" si="1"/>
        <v>3</v>
      </c>
      <c r="G17" s="11">
        <v>1.0</v>
      </c>
      <c r="H17" s="12">
        <f t="shared" si="2"/>
        <v>1</v>
      </c>
      <c r="I17" s="11">
        <v>1.0</v>
      </c>
      <c r="J17" s="12">
        <f t="shared" si="10"/>
        <v>1</v>
      </c>
      <c r="K17" s="11">
        <v>46.0</v>
      </c>
      <c r="L17" s="11">
        <v>50.0</v>
      </c>
      <c r="M17" s="14">
        <f t="shared" si="3"/>
        <v>1</v>
      </c>
      <c r="N17" s="11">
        <v>3.0</v>
      </c>
      <c r="O17" s="14">
        <f t="shared" si="4"/>
        <v>2</v>
      </c>
      <c r="P17" s="11">
        <v>1.0</v>
      </c>
      <c r="Q17" s="15">
        <v>1.0</v>
      </c>
      <c r="R17" s="9">
        <v>10.0</v>
      </c>
      <c r="S17" s="16">
        <f t="shared" si="5"/>
        <v>10</v>
      </c>
      <c r="T17" s="28">
        <f t="shared" si="6"/>
        <v>1</v>
      </c>
      <c r="U17" s="14">
        <f t="shared" si="7"/>
        <v>0</v>
      </c>
      <c r="V17" s="9" t="str">
        <f t="shared" si="8"/>
        <v>Achieved</v>
      </c>
      <c r="W17" s="9"/>
    </row>
    <row r="18">
      <c r="A18" s="6">
        <v>46298.0</v>
      </c>
      <c r="B18" s="7" t="s">
        <v>25</v>
      </c>
      <c r="C18" s="8" t="s">
        <v>26</v>
      </c>
      <c r="D18" s="9" t="s">
        <v>27</v>
      </c>
      <c r="E18" s="10">
        <v>0.0</v>
      </c>
      <c r="F18" s="9">
        <f t="shared" si="1"/>
        <v>0</v>
      </c>
      <c r="G18" s="11">
        <v>0.0</v>
      </c>
      <c r="H18" s="9">
        <f t="shared" si="2"/>
        <v>0</v>
      </c>
      <c r="I18" s="11">
        <v>0.0</v>
      </c>
      <c r="J18" s="9">
        <f t="shared" si="10"/>
        <v>0</v>
      </c>
      <c r="K18" s="11">
        <v>0.0</v>
      </c>
      <c r="L18" s="11">
        <v>0.0</v>
      </c>
      <c r="M18" s="14">
        <f t="shared" si="3"/>
        <v>0</v>
      </c>
      <c r="N18" s="11">
        <v>0.0</v>
      </c>
      <c r="O18" s="14">
        <f t="shared" si="4"/>
        <v>0</v>
      </c>
      <c r="P18" s="11">
        <v>0.0</v>
      </c>
      <c r="Q18" s="15">
        <v>0.0</v>
      </c>
      <c r="R18" s="9">
        <v>10.0</v>
      </c>
      <c r="S18" s="16">
        <f t="shared" si="5"/>
        <v>0</v>
      </c>
      <c r="T18" s="17">
        <f t="shared" si="6"/>
        <v>0</v>
      </c>
      <c r="U18" s="14">
        <f t="shared" si="7"/>
        <v>-10</v>
      </c>
      <c r="V18" s="9" t="str">
        <f t="shared" si="8"/>
        <v>Low Performance</v>
      </c>
      <c r="W18" s="9"/>
    </row>
    <row r="19">
      <c r="A19" s="6">
        <v>46298.0</v>
      </c>
      <c r="B19" s="7" t="s">
        <v>30</v>
      </c>
      <c r="C19" s="18" t="s">
        <v>31</v>
      </c>
      <c r="D19" s="9" t="s">
        <v>27</v>
      </c>
      <c r="E19" s="10">
        <v>0.0</v>
      </c>
      <c r="F19" s="9">
        <f t="shared" si="1"/>
        <v>0</v>
      </c>
      <c r="G19" s="11">
        <v>0.0</v>
      </c>
      <c r="H19" s="9">
        <f t="shared" si="2"/>
        <v>0</v>
      </c>
      <c r="I19" s="11">
        <v>0.0</v>
      </c>
      <c r="J19" s="9">
        <f t="shared" si="10"/>
        <v>0</v>
      </c>
      <c r="K19" s="11">
        <v>0.0</v>
      </c>
      <c r="L19" s="11">
        <v>0.0</v>
      </c>
      <c r="M19" s="14">
        <f t="shared" si="3"/>
        <v>0</v>
      </c>
      <c r="N19" s="11">
        <v>0.0</v>
      </c>
      <c r="O19" s="14">
        <f t="shared" si="4"/>
        <v>0</v>
      </c>
      <c r="P19" s="11">
        <v>0.0</v>
      </c>
      <c r="Q19" s="15">
        <v>0.0</v>
      </c>
      <c r="R19" s="9">
        <v>10.0</v>
      </c>
      <c r="S19" s="16">
        <f t="shared" si="5"/>
        <v>0</v>
      </c>
      <c r="T19" s="17">
        <f t="shared" si="6"/>
        <v>0</v>
      </c>
      <c r="U19" s="14">
        <f t="shared" si="7"/>
        <v>-10</v>
      </c>
      <c r="V19" s="9" t="str">
        <f t="shared" si="8"/>
        <v>Low Performance</v>
      </c>
      <c r="W19" s="9"/>
    </row>
    <row r="20">
      <c r="A20" s="6">
        <v>46298.0</v>
      </c>
      <c r="B20" s="7" t="s">
        <v>32</v>
      </c>
      <c r="C20" s="18" t="s">
        <v>33</v>
      </c>
      <c r="D20" s="9" t="s">
        <v>27</v>
      </c>
      <c r="E20" s="10">
        <v>0.0</v>
      </c>
      <c r="F20" s="9">
        <f t="shared" si="1"/>
        <v>0</v>
      </c>
      <c r="G20" s="11">
        <v>0.0</v>
      </c>
      <c r="H20" s="9">
        <f t="shared" si="2"/>
        <v>0</v>
      </c>
      <c r="I20" s="11">
        <v>0.0</v>
      </c>
      <c r="J20" s="9">
        <f t="shared" si="10"/>
        <v>0</v>
      </c>
      <c r="K20" s="11">
        <v>0.0</v>
      </c>
      <c r="L20" s="11">
        <v>0.0</v>
      </c>
      <c r="M20" s="14">
        <f t="shared" si="3"/>
        <v>0</v>
      </c>
      <c r="N20" s="11">
        <v>0.0</v>
      </c>
      <c r="O20" s="14">
        <f t="shared" si="4"/>
        <v>0</v>
      </c>
      <c r="P20" s="11">
        <v>0.0</v>
      </c>
      <c r="Q20" s="15">
        <v>0.0</v>
      </c>
      <c r="R20" s="9">
        <v>10.0</v>
      </c>
      <c r="S20" s="16">
        <f t="shared" si="5"/>
        <v>0</v>
      </c>
      <c r="T20" s="17">
        <f t="shared" si="6"/>
        <v>0</v>
      </c>
      <c r="U20" s="14">
        <f t="shared" si="7"/>
        <v>-10</v>
      </c>
      <c r="V20" s="9" t="str">
        <f t="shared" si="8"/>
        <v>Low Performance</v>
      </c>
      <c r="W20" s="9"/>
    </row>
    <row r="21" ht="15.75" customHeight="1">
      <c r="A21" s="6">
        <v>46298.0</v>
      </c>
      <c r="B21" s="7" t="s">
        <v>34</v>
      </c>
      <c r="C21" s="18" t="s">
        <v>35</v>
      </c>
      <c r="D21" s="9" t="s">
        <v>27</v>
      </c>
      <c r="E21" s="10">
        <v>0.0</v>
      </c>
      <c r="F21" s="9">
        <f t="shared" si="1"/>
        <v>0</v>
      </c>
      <c r="G21" s="11">
        <v>0.0</v>
      </c>
      <c r="H21" s="9">
        <f t="shared" si="2"/>
        <v>0</v>
      </c>
      <c r="I21" s="11">
        <v>0.0</v>
      </c>
      <c r="J21" s="9">
        <f t="shared" si="10"/>
        <v>0</v>
      </c>
      <c r="K21" s="11">
        <v>0.0</v>
      </c>
      <c r="L21" s="11">
        <v>0.0</v>
      </c>
      <c r="M21" s="14">
        <f t="shared" si="3"/>
        <v>0</v>
      </c>
      <c r="N21" s="11">
        <v>0.0</v>
      </c>
      <c r="O21" s="14">
        <f t="shared" si="4"/>
        <v>0</v>
      </c>
      <c r="P21" s="11">
        <v>0.0</v>
      </c>
      <c r="Q21" s="15">
        <v>0.0</v>
      </c>
      <c r="R21" s="9">
        <v>10.0</v>
      </c>
      <c r="S21" s="16">
        <f t="shared" si="5"/>
        <v>0</v>
      </c>
      <c r="T21" s="17">
        <f t="shared" si="6"/>
        <v>0</v>
      </c>
      <c r="U21" s="14">
        <f t="shared" si="7"/>
        <v>-10</v>
      </c>
      <c r="V21" s="9" t="str">
        <f t="shared" si="8"/>
        <v>Low Performance</v>
      </c>
      <c r="W21" s="9"/>
    </row>
    <row r="22" ht="15.75" customHeight="1">
      <c r="A22" s="6">
        <v>46298.0</v>
      </c>
      <c r="B22" s="7" t="s">
        <v>28</v>
      </c>
      <c r="C22" s="9" t="s">
        <v>29</v>
      </c>
      <c r="D22" s="9" t="s">
        <v>27</v>
      </c>
      <c r="E22" s="10">
        <v>0.0</v>
      </c>
      <c r="F22" s="9">
        <f t="shared" si="1"/>
        <v>0</v>
      </c>
      <c r="G22" s="11">
        <v>0.0</v>
      </c>
      <c r="H22" s="9">
        <f t="shared" si="2"/>
        <v>0</v>
      </c>
      <c r="I22" s="11">
        <v>1.0</v>
      </c>
      <c r="J22" s="18">
        <v>0.0</v>
      </c>
      <c r="K22" s="11">
        <v>101.0</v>
      </c>
      <c r="L22" s="11">
        <v>53.0</v>
      </c>
      <c r="M22" s="14">
        <f t="shared" si="3"/>
        <v>1</v>
      </c>
      <c r="N22" s="11">
        <v>3.0</v>
      </c>
      <c r="O22" s="14">
        <f t="shared" si="4"/>
        <v>2</v>
      </c>
      <c r="P22" s="11">
        <v>1.0</v>
      </c>
      <c r="Q22" s="15">
        <v>1.0</v>
      </c>
      <c r="R22" s="9">
        <v>10.0</v>
      </c>
      <c r="S22" s="16">
        <f t="shared" si="5"/>
        <v>5</v>
      </c>
      <c r="T22" s="17">
        <f t="shared" si="6"/>
        <v>0.5</v>
      </c>
      <c r="U22" s="14">
        <f t="shared" si="7"/>
        <v>-5</v>
      </c>
      <c r="V22" s="9" t="str">
        <f t="shared" si="8"/>
        <v>Average</v>
      </c>
      <c r="W22" s="9"/>
    </row>
    <row r="23" ht="15.75" customHeight="1">
      <c r="A23" s="6">
        <v>46298.0</v>
      </c>
      <c r="B23" s="7" t="s">
        <v>36</v>
      </c>
      <c r="C23" s="9" t="s">
        <v>29</v>
      </c>
      <c r="D23" s="9" t="s">
        <v>27</v>
      </c>
      <c r="E23" s="10">
        <v>0.0</v>
      </c>
      <c r="F23" s="9">
        <f t="shared" si="1"/>
        <v>0</v>
      </c>
      <c r="G23" s="11">
        <v>0.0</v>
      </c>
      <c r="H23" s="9">
        <f t="shared" si="2"/>
        <v>0</v>
      </c>
      <c r="I23" s="11">
        <v>1.0</v>
      </c>
      <c r="J23" s="9">
        <f>IF(I23&gt;0,1,0)</f>
        <v>1</v>
      </c>
      <c r="K23" s="11">
        <v>61.0</v>
      </c>
      <c r="L23" s="11">
        <v>52.0</v>
      </c>
      <c r="M23" s="14">
        <f t="shared" si="3"/>
        <v>1</v>
      </c>
      <c r="N23" s="11">
        <v>3.0</v>
      </c>
      <c r="O23" s="14">
        <f t="shared" si="4"/>
        <v>2</v>
      </c>
      <c r="P23" s="11">
        <v>1.0</v>
      </c>
      <c r="Q23" s="15">
        <v>1.0</v>
      </c>
      <c r="R23" s="9">
        <v>10.0</v>
      </c>
      <c r="S23" s="16">
        <f t="shared" si="5"/>
        <v>6</v>
      </c>
      <c r="T23" s="17">
        <f t="shared" si="6"/>
        <v>0.6</v>
      </c>
      <c r="U23" s="14">
        <f t="shared" si="7"/>
        <v>-4</v>
      </c>
      <c r="V23" s="9" t="str">
        <f t="shared" si="8"/>
        <v>Average</v>
      </c>
      <c r="W23" s="9"/>
    </row>
    <row r="24" ht="15.75" customHeight="1">
      <c r="A24" s="6">
        <v>46298.0</v>
      </c>
      <c r="B24" s="7" t="s">
        <v>37</v>
      </c>
      <c r="C24" s="9" t="s">
        <v>29</v>
      </c>
      <c r="D24" s="9" t="s">
        <v>27</v>
      </c>
      <c r="E24" s="10">
        <v>0.0</v>
      </c>
      <c r="F24" s="9">
        <f t="shared" si="1"/>
        <v>0</v>
      </c>
      <c r="G24" s="11">
        <v>0.0</v>
      </c>
      <c r="H24" s="9">
        <f t="shared" si="2"/>
        <v>0</v>
      </c>
      <c r="I24" s="11">
        <v>1.0</v>
      </c>
      <c r="J24" s="18">
        <v>0.0</v>
      </c>
      <c r="K24" s="11">
        <v>68.0</v>
      </c>
      <c r="L24" s="11">
        <v>58.0</v>
      </c>
      <c r="M24" s="14">
        <f t="shared" si="3"/>
        <v>1</v>
      </c>
      <c r="N24" s="11">
        <v>3.0</v>
      </c>
      <c r="O24" s="14">
        <f t="shared" si="4"/>
        <v>2</v>
      </c>
      <c r="P24" s="11">
        <v>1.0</v>
      </c>
      <c r="Q24" s="15">
        <v>1.0</v>
      </c>
      <c r="R24" s="9">
        <v>10.0</v>
      </c>
      <c r="S24" s="16">
        <f t="shared" si="5"/>
        <v>5</v>
      </c>
      <c r="T24" s="17">
        <f t="shared" si="6"/>
        <v>0.5</v>
      </c>
      <c r="U24" s="14">
        <f t="shared" si="7"/>
        <v>-5</v>
      </c>
      <c r="V24" s="9" t="str">
        <f t="shared" si="8"/>
        <v>Average</v>
      </c>
      <c r="W24" s="9"/>
    </row>
    <row r="25" ht="15.75" customHeight="1">
      <c r="A25" s="6">
        <v>46298.0</v>
      </c>
      <c r="B25" s="7" t="s">
        <v>38</v>
      </c>
      <c r="C25" s="9" t="s">
        <v>29</v>
      </c>
      <c r="D25" s="9" t="s">
        <v>27</v>
      </c>
      <c r="E25" s="10">
        <v>0.0</v>
      </c>
      <c r="F25" s="9">
        <f t="shared" si="1"/>
        <v>0</v>
      </c>
      <c r="G25" s="11">
        <v>1.0</v>
      </c>
      <c r="H25" s="9">
        <f t="shared" si="2"/>
        <v>1</v>
      </c>
      <c r="I25" s="11">
        <v>1.0</v>
      </c>
      <c r="J25" s="9">
        <f t="shared" ref="J25:J28" si="11">IF(I25&gt;0,1,0)</f>
        <v>1</v>
      </c>
      <c r="K25" s="11">
        <v>70.0</v>
      </c>
      <c r="L25" s="11">
        <v>54.0</v>
      </c>
      <c r="M25" s="14">
        <f t="shared" si="3"/>
        <v>1</v>
      </c>
      <c r="N25" s="11">
        <v>3.0</v>
      </c>
      <c r="O25" s="14">
        <f t="shared" si="4"/>
        <v>2</v>
      </c>
      <c r="P25" s="11">
        <v>1.0</v>
      </c>
      <c r="Q25" s="15">
        <v>1.0</v>
      </c>
      <c r="R25" s="9">
        <v>10.0</v>
      </c>
      <c r="S25" s="16">
        <f t="shared" si="5"/>
        <v>7</v>
      </c>
      <c r="T25" s="17">
        <f t="shared" si="6"/>
        <v>0.7</v>
      </c>
      <c r="U25" s="14">
        <f t="shared" si="7"/>
        <v>-3</v>
      </c>
      <c r="V25" s="9" t="str">
        <f t="shared" si="8"/>
        <v>Near Target</v>
      </c>
      <c r="W25" s="9"/>
    </row>
    <row r="26" ht="15.75" customHeight="1">
      <c r="A26" s="6">
        <v>46298.0</v>
      </c>
      <c r="B26" s="20" t="s">
        <v>39</v>
      </c>
      <c r="C26" s="9" t="s">
        <v>40</v>
      </c>
      <c r="D26" s="9" t="s">
        <v>27</v>
      </c>
      <c r="E26" s="25">
        <v>0.0</v>
      </c>
      <c r="F26" s="26">
        <f t="shared" si="1"/>
        <v>0</v>
      </c>
      <c r="G26" s="27">
        <v>0.0</v>
      </c>
      <c r="H26" s="26">
        <f t="shared" si="2"/>
        <v>0</v>
      </c>
      <c r="I26" s="27">
        <v>0.0</v>
      </c>
      <c r="J26" s="26">
        <f t="shared" si="11"/>
        <v>0</v>
      </c>
      <c r="K26" s="27">
        <v>0.0</v>
      </c>
      <c r="L26" s="27">
        <v>0.0</v>
      </c>
      <c r="M26" s="29">
        <f t="shared" si="3"/>
        <v>0</v>
      </c>
      <c r="N26" s="26"/>
      <c r="O26" s="29">
        <f t="shared" si="4"/>
        <v>0</v>
      </c>
      <c r="P26" s="27">
        <v>0.0</v>
      </c>
      <c r="Q26" s="30">
        <v>0.0</v>
      </c>
      <c r="R26" s="26">
        <v>10.0</v>
      </c>
      <c r="S26" s="29">
        <f t="shared" si="5"/>
        <v>0</v>
      </c>
      <c r="T26" s="28">
        <f t="shared" si="6"/>
        <v>0</v>
      </c>
      <c r="U26" s="29">
        <f t="shared" si="7"/>
        <v>-10</v>
      </c>
      <c r="V26" s="26" t="str">
        <f t="shared" si="8"/>
        <v>Low Performance</v>
      </c>
      <c r="W26" s="31" t="s">
        <v>51</v>
      </c>
    </row>
    <row r="27" ht="15.75" customHeight="1">
      <c r="A27" s="6">
        <v>46298.0</v>
      </c>
      <c r="B27" s="7" t="s">
        <v>41</v>
      </c>
      <c r="C27" s="9" t="s">
        <v>40</v>
      </c>
      <c r="D27" s="9" t="s">
        <v>27</v>
      </c>
      <c r="E27" s="10">
        <v>0.0</v>
      </c>
      <c r="F27" s="9">
        <f t="shared" si="1"/>
        <v>0</v>
      </c>
      <c r="G27" s="11">
        <v>0.0</v>
      </c>
      <c r="H27" s="9">
        <f t="shared" si="2"/>
        <v>0</v>
      </c>
      <c r="I27" s="11">
        <v>1.0</v>
      </c>
      <c r="J27" s="9">
        <f t="shared" si="11"/>
        <v>1</v>
      </c>
      <c r="K27" s="11">
        <v>90.0</v>
      </c>
      <c r="L27" s="11">
        <v>58.0</v>
      </c>
      <c r="M27" s="14">
        <f t="shared" si="3"/>
        <v>1</v>
      </c>
      <c r="N27" s="11">
        <v>3.0</v>
      </c>
      <c r="O27" s="14">
        <f t="shared" si="4"/>
        <v>2</v>
      </c>
      <c r="P27" s="11">
        <v>1.0</v>
      </c>
      <c r="Q27" s="15">
        <v>1.0</v>
      </c>
      <c r="R27" s="9">
        <v>10.0</v>
      </c>
      <c r="S27" s="16">
        <f t="shared" si="5"/>
        <v>6</v>
      </c>
      <c r="T27" s="17">
        <f t="shared" si="6"/>
        <v>0.6</v>
      </c>
      <c r="U27" s="14">
        <f t="shared" si="7"/>
        <v>-4</v>
      </c>
      <c r="V27" s="9" t="str">
        <f t="shared" si="8"/>
        <v>Average</v>
      </c>
      <c r="W27" s="9"/>
    </row>
    <row r="28" ht="15.75" customHeight="1">
      <c r="A28" s="6">
        <v>46298.0</v>
      </c>
      <c r="B28" s="7" t="s">
        <v>42</v>
      </c>
      <c r="C28" s="9" t="s">
        <v>40</v>
      </c>
      <c r="D28" s="9" t="s">
        <v>27</v>
      </c>
      <c r="E28" s="10">
        <v>0.0</v>
      </c>
      <c r="F28" s="9">
        <f t="shared" si="1"/>
        <v>0</v>
      </c>
      <c r="G28" s="11">
        <v>0.0</v>
      </c>
      <c r="H28" s="9">
        <f t="shared" si="2"/>
        <v>0</v>
      </c>
      <c r="I28" s="11">
        <v>1.0</v>
      </c>
      <c r="J28" s="9">
        <f t="shared" si="11"/>
        <v>1</v>
      </c>
      <c r="K28" s="11">
        <v>67.0</v>
      </c>
      <c r="L28" s="11">
        <v>52.0</v>
      </c>
      <c r="M28" s="14">
        <f t="shared" si="3"/>
        <v>1</v>
      </c>
      <c r="N28" s="11">
        <v>3.0</v>
      </c>
      <c r="O28" s="14">
        <f t="shared" si="4"/>
        <v>2</v>
      </c>
      <c r="P28" s="11">
        <v>1.0</v>
      </c>
      <c r="Q28" s="15">
        <v>1.0</v>
      </c>
      <c r="R28" s="9">
        <v>10.0</v>
      </c>
      <c r="S28" s="16">
        <f t="shared" si="5"/>
        <v>6</v>
      </c>
      <c r="T28" s="17">
        <f t="shared" si="6"/>
        <v>0.6</v>
      </c>
      <c r="U28" s="14">
        <f t="shared" si="7"/>
        <v>-4</v>
      </c>
      <c r="V28" s="9" t="str">
        <f t="shared" si="8"/>
        <v>Average</v>
      </c>
      <c r="W28" s="9"/>
    </row>
    <row r="29" ht="15.75" customHeight="1">
      <c r="A29" s="6">
        <v>46298.0</v>
      </c>
      <c r="B29" s="7" t="s">
        <v>43</v>
      </c>
      <c r="C29" s="9" t="s">
        <v>40</v>
      </c>
      <c r="D29" s="9" t="s">
        <v>27</v>
      </c>
      <c r="E29" s="10">
        <v>0.0</v>
      </c>
      <c r="F29" s="9">
        <f t="shared" si="1"/>
        <v>0</v>
      </c>
      <c r="G29" s="11">
        <v>0.0</v>
      </c>
      <c r="H29" s="9">
        <f t="shared" si="2"/>
        <v>0</v>
      </c>
      <c r="I29" s="11">
        <v>1.0</v>
      </c>
      <c r="J29" s="18">
        <v>0.0</v>
      </c>
      <c r="K29" s="11">
        <v>67.0</v>
      </c>
      <c r="L29" s="11">
        <v>50.0</v>
      </c>
      <c r="M29" s="14">
        <f t="shared" si="3"/>
        <v>1</v>
      </c>
      <c r="N29" s="11">
        <v>3.0</v>
      </c>
      <c r="O29" s="14">
        <f t="shared" si="4"/>
        <v>2</v>
      </c>
      <c r="P29" s="11">
        <v>1.0</v>
      </c>
      <c r="Q29" s="15">
        <v>1.0</v>
      </c>
      <c r="R29" s="9">
        <v>10.0</v>
      </c>
      <c r="S29" s="16">
        <f t="shared" si="5"/>
        <v>5</v>
      </c>
      <c r="T29" s="17">
        <f t="shared" si="6"/>
        <v>0.5</v>
      </c>
      <c r="U29" s="14">
        <f t="shared" si="7"/>
        <v>-5</v>
      </c>
      <c r="V29" s="9" t="str">
        <f t="shared" si="8"/>
        <v>Average</v>
      </c>
      <c r="W29" s="9"/>
    </row>
    <row r="30" ht="15.75" customHeight="1">
      <c r="A30" s="6">
        <v>46298.0</v>
      </c>
      <c r="B30" s="7" t="s">
        <v>45</v>
      </c>
      <c r="C30" s="18" t="s">
        <v>46</v>
      </c>
      <c r="D30" s="9" t="s">
        <v>27</v>
      </c>
      <c r="E30" s="10">
        <v>0.0</v>
      </c>
      <c r="F30" s="9">
        <f t="shared" si="1"/>
        <v>0</v>
      </c>
      <c r="G30" s="11">
        <v>0.0</v>
      </c>
      <c r="H30" s="9">
        <f t="shared" si="2"/>
        <v>0</v>
      </c>
      <c r="I30" s="11">
        <v>1.0</v>
      </c>
      <c r="J30" s="9">
        <f t="shared" ref="J30:J392" si="12">IF(I30&gt;0,1,0)</f>
        <v>1</v>
      </c>
      <c r="K30" s="11">
        <v>62.0</v>
      </c>
      <c r="L30" s="11">
        <v>50.0</v>
      </c>
      <c r="M30" s="14">
        <f t="shared" si="3"/>
        <v>1</v>
      </c>
      <c r="N30" s="11">
        <v>3.0</v>
      </c>
      <c r="O30" s="14">
        <f t="shared" si="4"/>
        <v>2</v>
      </c>
      <c r="P30" s="11">
        <v>1.0</v>
      </c>
      <c r="Q30" s="15">
        <v>1.0</v>
      </c>
      <c r="R30" s="9">
        <v>10.0</v>
      </c>
      <c r="S30" s="16">
        <f t="shared" si="5"/>
        <v>6</v>
      </c>
      <c r="T30" s="17">
        <f t="shared" si="6"/>
        <v>0.6</v>
      </c>
      <c r="U30" s="14">
        <f t="shared" si="7"/>
        <v>-4</v>
      </c>
      <c r="V30" s="9" t="str">
        <f t="shared" si="8"/>
        <v>Average</v>
      </c>
      <c r="W30" s="9"/>
    </row>
    <row r="31" ht="15.75" customHeight="1">
      <c r="A31" s="6">
        <v>46298.0</v>
      </c>
      <c r="B31" s="7" t="s">
        <v>49</v>
      </c>
      <c r="C31" s="18" t="s">
        <v>46</v>
      </c>
      <c r="D31" s="9" t="s">
        <v>27</v>
      </c>
      <c r="E31" s="10">
        <v>0.0</v>
      </c>
      <c r="F31" s="9">
        <f t="shared" si="1"/>
        <v>0</v>
      </c>
      <c r="G31" s="11">
        <v>0.0</v>
      </c>
      <c r="H31" s="9">
        <f t="shared" si="2"/>
        <v>0</v>
      </c>
      <c r="I31" s="11">
        <v>1.0</v>
      </c>
      <c r="J31" s="9">
        <f t="shared" si="12"/>
        <v>1</v>
      </c>
      <c r="K31" s="11">
        <v>60.0</v>
      </c>
      <c r="L31" s="11">
        <v>50.0</v>
      </c>
      <c r="M31" s="14">
        <f t="shared" si="3"/>
        <v>1</v>
      </c>
      <c r="N31" s="11">
        <v>3.0</v>
      </c>
      <c r="O31" s="14">
        <f t="shared" si="4"/>
        <v>2</v>
      </c>
      <c r="P31" s="11">
        <v>1.0</v>
      </c>
      <c r="Q31" s="15">
        <v>1.0</v>
      </c>
      <c r="R31" s="9">
        <v>10.0</v>
      </c>
      <c r="S31" s="16">
        <f t="shared" si="5"/>
        <v>6</v>
      </c>
      <c r="T31" s="17">
        <f t="shared" si="6"/>
        <v>0.6</v>
      </c>
      <c r="U31" s="14">
        <f t="shared" si="7"/>
        <v>-4</v>
      </c>
      <c r="V31" s="9" t="str">
        <f t="shared" si="8"/>
        <v>Average</v>
      </c>
      <c r="W31" s="9"/>
    </row>
    <row r="32" ht="15.75" customHeight="1">
      <c r="A32" s="6">
        <v>46298.0</v>
      </c>
      <c r="B32" s="22" t="s">
        <v>50</v>
      </c>
      <c r="C32" s="23" t="s">
        <v>46</v>
      </c>
      <c r="D32" s="24" t="s">
        <v>27</v>
      </c>
      <c r="E32" s="10">
        <v>100000.0</v>
      </c>
      <c r="F32" s="9">
        <f t="shared" si="1"/>
        <v>3</v>
      </c>
      <c r="G32" s="11">
        <v>0.0</v>
      </c>
      <c r="H32" s="9">
        <f t="shared" si="2"/>
        <v>0</v>
      </c>
      <c r="I32" s="11">
        <v>1.0</v>
      </c>
      <c r="J32" s="9">
        <f t="shared" si="12"/>
        <v>1</v>
      </c>
      <c r="K32" s="11">
        <v>62.0</v>
      </c>
      <c r="L32" s="11">
        <v>52.0</v>
      </c>
      <c r="M32" s="14">
        <f t="shared" si="3"/>
        <v>1</v>
      </c>
      <c r="N32" s="11">
        <v>3.0</v>
      </c>
      <c r="O32" s="14">
        <f t="shared" si="4"/>
        <v>2</v>
      </c>
      <c r="P32" s="11">
        <v>1.0</v>
      </c>
      <c r="Q32" s="15">
        <v>1.0</v>
      </c>
      <c r="R32" s="9">
        <v>10.0</v>
      </c>
      <c r="S32" s="16">
        <f t="shared" si="5"/>
        <v>9</v>
      </c>
      <c r="T32" s="17">
        <f t="shared" si="6"/>
        <v>0.9</v>
      </c>
      <c r="U32" s="14">
        <f t="shared" si="7"/>
        <v>-1</v>
      </c>
      <c r="V32" s="9" t="str">
        <f t="shared" si="8"/>
        <v>Near Target</v>
      </c>
      <c r="W32" s="9"/>
    </row>
    <row r="33" ht="15.75" customHeight="1">
      <c r="A33" s="6">
        <v>46299.0</v>
      </c>
      <c r="B33" s="7" t="s">
        <v>25</v>
      </c>
      <c r="C33" s="8" t="s">
        <v>26</v>
      </c>
      <c r="D33" s="9" t="s">
        <v>27</v>
      </c>
      <c r="E33" s="10">
        <v>0.0</v>
      </c>
      <c r="F33" s="9">
        <f t="shared" si="1"/>
        <v>0</v>
      </c>
      <c r="G33" s="11">
        <v>0.0</v>
      </c>
      <c r="H33" s="9">
        <f t="shared" si="2"/>
        <v>0</v>
      </c>
      <c r="I33" s="11">
        <v>0.0</v>
      </c>
      <c r="J33" s="9">
        <f t="shared" si="12"/>
        <v>0</v>
      </c>
      <c r="K33" s="11">
        <v>0.0</v>
      </c>
      <c r="L33" s="11">
        <v>0.0</v>
      </c>
      <c r="M33" s="14">
        <f t="shared" si="3"/>
        <v>0</v>
      </c>
      <c r="N33" s="11">
        <v>0.0</v>
      </c>
      <c r="O33" s="14">
        <f t="shared" si="4"/>
        <v>0</v>
      </c>
      <c r="P33" s="11">
        <v>0.0</v>
      </c>
      <c r="Q33" s="15">
        <v>0.0</v>
      </c>
      <c r="R33" s="9">
        <v>10.0</v>
      </c>
      <c r="S33" s="16">
        <f t="shared" si="5"/>
        <v>0</v>
      </c>
      <c r="T33" s="17">
        <f t="shared" si="6"/>
        <v>0</v>
      </c>
      <c r="U33" s="14">
        <f t="shared" si="7"/>
        <v>-10</v>
      </c>
      <c r="V33" s="9" t="str">
        <f t="shared" si="8"/>
        <v>Low Performance</v>
      </c>
      <c r="W33" s="9"/>
    </row>
    <row r="34" ht="15.75" customHeight="1">
      <c r="A34" s="6">
        <v>46299.0</v>
      </c>
      <c r="B34" s="7" t="s">
        <v>30</v>
      </c>
      <c r="C34" s="18" t="s">
        <v>31</v>
      </c>
      <c r="D34" s="9" t="s">
        <v>27</v>
      </c>
      <c r="E34" s="10">
        <v>0.0</v>
      </c>
      <c r="F34" s="9">
        <f t="shared" si="1"/>
        <v>0</v>
      </c>
      <c r="G34" s="11">
        <v>0.0</v>
      </c>
      <c r="H34" s="9">
        <f t="shared" si="2"/>
        <v>0</v>
      </c>
      <c r="I34" s="11">
        <v>0.0</v>
      </c>
      <c r="J34" s="9">
        <f t="shared" si="12"/>
        <v>0</v>
      </c>
      <c r="K34" s="11">
        <v>0.0</v>
      </c>
      <c r="L34" s="11">
        <v>0.0</v>
      </c>
      <c r="M34" s="14">
        <f t="shared" si="3"/>
        <v>0</v>
      </c>
      <c r="N34" s="11">
        <v>0.0</v>
      </c>
      <c r="O34" s="14">
        <f t="shared" si="4"/>
        <v>0</v>
      </c>
      <c r="P34" s="11">
        <v>0.0</v>
      </c>
      <c r="Q34" s="15">
        <v>0.0</v>
      </c>
      <c r="R34" s="9">
        <v>10.0</v>
      </c>
      <c r="S34" s="16">
        <f t="shared" si="5"/>
        <v>0</v>
      </c>
      <c r="T34" s="17">
        <f t="shared" si="6"/>
        <v>0</v>
      </c>
      <c r="U34" s="14">
        <f t="shared" si="7"/>
        <v>-10</v>
      </c>
      <c r="V34" s="9" t="str">
        <f t="shared" si="8"/>
        <v>Low Performance</v>
      </c>
      <c r="W34" s="9"/>
    </row>
    <row r="35" ht="15.75" customHeight="1">
      <c r="A35" s="6">
        <v>46299.0</v>
      </c>
      <c r="B35" s="7" t="s">
        <v>32</v>
      </c>
      <c r="C35" s="18" t="s">
        <v>33</v>
      </c>
      <c r="D35" s="9" t="s">
        <v>27</v>
      </c>
      <c r="E35" s="10">
        <v>0.0</v>
      </c>
      <c r="F35" s="9">
        <f t="shared" si="1"/>
        <v>0</v>
      </c>
      <c r="G35" s="11">
        <v>0.0</v>
      </c>
      <c r="H35" s="9">
        <f t="shared" si="2"/>
        <v>0</v>
      </c>
      <c r="I35" s="11">
        <v>0.0</v>
      </c>
      <c r="J35" s="9">
        <f t="shared" si="12"/>
        <v>0</v>
      </c>
      <c r="K35" s="11">
        <v>0.0</v>
      </c>
      <c r="L35" s="11">
        <v>0.0</v>
      </c>
      <c r="M35" s="14">
        <f t="shared" si="3"/>
        <v>0</v>
      </c>
      <c r="N35" s="11">
        <v>0.0</v>
      </c>
      <c r="O35" s="14">
        <f t="shared" si="4"/>
        <v>0</v>
      </c>
      <c r="P35" s="11">
        <v>0.0</v>
      </c>
      <c r="Q35" s="15">
        <v>0.0</v>
      </c>
      <c r="R35" s="9">
        <v>10.0</v>
      </c>
      <c r="S35" s="16">
        <f t="shared" si="5"/>
        <v>0</v>
      </c>
      <c r="T35" s="17">
        <f t="shared" si="6"/>
        <v>0</v>
      </c>
      <c r="U35" s="14">
        <f t="shared" si="7"/>
        <v>-10</v>
      </c>
      <c r="V35" s="9" t="str">
        <f t="shared" si="8"/>
        <v>Low Performance</v>
      </c>
      <c r="W35" s="9"/>
    </row>
    <row r="36" ht="15.75" customHeight="1">
      <c r="A36" s="6">
        <v>46299.0</v>
      </c>
      <c r="B36" s="7" t="s">
        <v>34</v>
      </c>
      <c r="C36" s="18" t="s">
        <v>35</v>
      </c>
      <c r="D36" s="9" t="s">
        <v>27</v>
      </c>
      <c r="E36" s="10">
        <v>0.0</v>
      </c>
      <c r="F36" s="9">
        <f t="shared" si="1"/>
        <v>0</v>
      </c>
      <c r="G36" s="11">
        <v>0.0</v>
      </c>
      <c r="H36" s="9">
        <f t="shared" si="2"/>
        <v>0</v>
      </c>
      <c r="I36" s="11">
        <v>0.0</v>
      </c>
      <c r="J36" s="9">
        <f t="shared" si="12"/>
        <v>0</v>
      </c>
      <c r="K36" s="11">
        <v>0.0</v>
      </c>
      <c r="L36" s="11">
        <v>0.0</v>
      </c>
      <c r="M36" s="14">
        <f t="shared" si="3"/>
        <v>0</v>
      </c>
      <c r="N36" s="11">
        <v>0.0</v>
      </c>
      <c r="O36" s="14">
        <f t="shared" si="4"/>
        <v>0</v>
      </c>
      <c r="P36" s="11">
        <v>0.0</v>
      </c>
      <c r="Q36" s="15">
        <v>0.0</v>
      </c>
      <c r="R36" s="9">
        <v>10.0</v>
      </c>
      <c r="S36" s="16">
        <f t="shared" si="5"/>
        <v>0</v>
      </c>
      <c r="T36" s="17">
        <f t="shared" si="6"/>
        <v>0</v>
      </c>
      <c r="U36" s="14">
        <f t="shared" si="7"/>
        <v>-10</v>
      </c>
      <c r="V36" s="9" t="str">
        <f t="shared" si="8"/>
        <v>Low Performance</v>
      </c>
      <c r="W36" s="9"/>
    </row>
    <row r="37" ht="15.75" customHeight="1">
      <c r="A37" s="6">
        <v>46299.0</v>
      </c>
      <c r="B37" s="7" t="s">
        <v>28</v>
      </c>
      <c r="C37" s="9" t="s">
        <v>29</v>
      </c>
      <c r="D37" s="9" t="s">
        <v>27</v>
      </c>
      <c r="E37" s="10">
        <v>0.0</v>
      </c>
      <c r="F37" s="9">
        <f t="shared" si="1"/>
        <v>0</v>
      </c>
      <c r="G37" s="11">
        <v>0.0</v>
      </c>
      <c r="H37" s="9">
        <f t="shared" si="2"/>
        <v>0</v>
      </c>
      <c r="I37" s="11">
        <v>0.0</v>
      </c>
      <c r="J37" s="9">
        <f t="shared" si="12"/>
        <v>0</v>
      </c>
      <c r="K37" s="11">
        <v>0.0</v>
      </c>
      <c r="L37" s="11">
        <v>0.0</v>
      </c>
      <c r="M37" s="14">
        <f t="shared" si="3"/>
        <v>0</v>
      </c>
      <c r="N37" s="11">
        <v>0.0</v>
      </c>
      <c r="O37" s="14">
        <f t="shared" si="4"/>
        <v>0</v>
      </c>
      <c r="P37" s="11">
        <v>0.0</v>
      </c>
      <c r="Q37" s="15">
        <v>0.0</v>
      </c>
      <c r="R37" s="9">
        <v>10.0</v>
      </c>
      <c r="S37" s="16">
        <f t="shared" si="5"/>
        <v>0</v>
      </c>
      <c r="T37" s="17">
        <f t="shared" si="6"/>
        <v>0</v>
      </c>
      <c r="U37" s="14">
        <f t="shared" si="7"/>
        <v>-10</v>
      </c>
      <c r="V37" s="9" t="str">
        <f t="shared" si="8"/>
        <v>Low Performance</v>
      </c>
      <c r="W37" s="9"/>
    </row>
    <row r="38" ht="15.75" customHeight="1">
      <c r="A38" s="6">
        <v>46299.0</v>
      </c>
      <c r="B38" s="7" t="s">
        <v>36</v>
      </c>
      <c r="C38" s="9" t="s">
        <v>29</v>
      </c>
      <c r="D38" s="9" t="s">
        <v>27</v>
      </c>
      <c r="E38" s="10">
        <v>0.0</v>
      </c>
      <c r="F38" s="9">
        <f t="shared" si="1"/>
        <v>0</v>
      </c>
      <c r="G38" s="11">
        <v>0.0</v>
      </c>
      <c r="H38" s="9">
        <f t="shared" si="2"/>
        <v>0</v>
      </c>
      <c r="I38" s="11">
        <v>0.0</v>
      </c>
      <c r="J38" s="9">
        <f t="shared" si="12"/>
        <v>0</v>
      </c>
      <c r="K38" s="11">
        <v>0.0</v>
      </c>
      <c r="L38" s="11">
        <v>0.0</v>
      </c>
      <c r="M38" s="14">
        <f t="shared" si="3"/>
        <v>0</v>
      </c>
      <c r="N38" s="11">
        <v>0.0</v>
      </c>
      <c r="O38" s="14">
        <f t="shared" si="4"/>
        <v>0</v>
      </c>
      <c r="P38" s="11">
        <v>0.0</v>
      </c>
      <c r="Q38" s="15">
        <v>0.0</v>
      </c>
      <c r="R38" s="9">
        <v>10.0</v>
      </c>
      <c r="S38" s="16">
        <f t="shared" si="5"/>
        <v>0</v>
      </c>
      <c r="T38" s="17">
        <f t="shared" si="6"/>
        <v>0</v>
      </c>
      <c r="U38" s="14">
        <f t="shared" si="7"/>
        <v>-10</v>
      </c>
      <c r="V38" s="9" t="str">
        <f t="shared" si="8"/>
        <v>Low Performance</v>
      </c>
      <c r="W38" s="9"/>
    </row>
    <row r="39" ht="15.75" customHeight="1">
      <c r="A39" s="6">
        <v>46299.0</v>
      </c>
      <c r="B39" s="7" t="s">
        <v>37</v>
      </c>
      <c r="C39" s="9" t="s">
        <v>29</v>
      </c>
      <c r="D39" s="9" t="s">
        <v>27</v>
      </c>
      <c r="E39" s="10">
        <v>0.0</v>
      </c>
      <c r="F39" s="9">
        <f t="shared" si="1"/>
        <v>0</v>
      </c>
      <c r="G39" s="11">
        <v>0.0</v>
      </c>
      <c r="H39" s="9">
        <f t="shared" si="2"/>
        <v>0</v>
      </c>
      <c r="I39" s="11">
        <v>0.0</v>
      </c>
      <c r="J39" s="9">
        <f t="shared" si="12"/>
        <v>0</v>
      </c>
      <c r="K39" s="11">
        <v>0.0</v>
      </c>
      <c r="L39" s="11">
        <v>0.0</v>
      </c>
      <c r="M39" s="14">
        <f t="shared" si="3"/>
        <v>0</v>
      </c>
      <c r="N39" s="11">
        <v>0.0</v>
      </c>
      <c r="O39" s="14">
        <f t="shared" si="4"/>
        <v>0</v>
      </c>
      <c r="P39" s="11">
        <v>0.0</v>
      </c>
      <c r="Q39" s="15">
        <v>0.0</v>
      </c>
      <c r="R39" s="9">
        <v>10.0</v>
      </c>
      <c r="S39" s="16">
        <f t="shared" si="5"/>
        <v>0</v>
      </c>
      <c r="T39" s="17">
        <f t="shared" si="6"/>
        <v>0</v>
      </c>
      <c r="U39" s="14">
        <f t="shared" si="7"/>
        <v>-10</v>
      </c>
      <c r="V39" s="9" t="str">
        <f t="shared" si="8"/>
        <v>Low Performance</v>
      </c>
      <c r="W39" s="9"/>
    </row>
    <row r="40" ht="15.75" customHeight="1">
      <c r="A40" s="6">
        <v>46299.0</v>
      </c>
      <c r="B40" s="7" t="s">
        <v>38</v>
      </c>
      <c r="C40" s="9" t="s">
        <v>29</v>
      </c>
      <c r="D40" s="9" t="s">
        <v>27</v>
      </c>
      <c r="E40" s="10">
        <v>0.0</v>
      </c>
      <c r="F40" s="9">
        <f t="shared" si="1"/>
        <v>0</v>
      </c>
      <c r="G40" s="11">
        <v>0.0</v>
      </c>
      <c r="H40" s="9">
        <f t="shared" si="2"/>
        <v>0</v>
      </c>
      <c r="I40" s="11">
        <v>0.0</v>
      </c>
      <c r="J40" s="9">
        <f t="shared" si="12"/>
        <v>0</v>
      </c>
      <c r="K40" s="11">
        <v>0.0</v>
      </c>
      <c r="L40" s="11">
        <v>0.0</v>
      </c>
      <c r="M40" s="14">
        <f t="shared" si="3"/>
        <v>0</v>
      </c>
      <c r="N40" s="11">
        <v>0.0</v>
      </c>
      <c r="O40" s="14">
        <f t="shared" si="4"/>
        <v>0</v>
      </c>
      <c r="P40" s="11">
        <v>0.0</v>
      </c>
      <c r="Q40" s="15">
        <v>0.0</v>
      </c>
      <c r="R40" s="9">
        <v>10.0</v>
      </c>
      <c r="S40" s="16">
        <f t="shared" si="5"/>
        <v>0</v>
      </c>
      <c r="T40" s="17">
        <f t="shared" si="6"/>
        <v>0</v>
      </c>
      <c r="U40" s="14">
        <f t="shared" si="7"/>
        <v>-10</v>
      </c>
      <c r="V40" s="9" t="str">
        <f t="shared" si="8"/>
        <v>Low Performance</v>
      </c>
      <c r="W40" s="9"/>
    </row>
    <row r="41" ht="15.75" customHeight="1">
      <c r="A41" s="6">
        <v>46299.0</v>
      </c>
      <c r="B41" s="20" t="s">
        <v>39</v>
      </c>
      <c r="C41" s="9" t="s">
        <v>40</v>
      </c>
      <c r="D41" s="9" t="s">
        <v>27</v>
      </c>
      <c r="E41" s="10">
        <v>0.0</v>
      </c>
      <c r="F41" s="9">
        <f t="shared" si="1"/>
        <v>0</v>
      </c>
      <c r="G41" s="11">
        <v>0.0</v>
      </c>
      <c r="H41" s="9">
        <f t="shared" si="2"/>
        <v>0</v>
      </c>
      <c r="I41" s="11">
        <v>0.0</v>
      </c>
      <c r="J41" s="9">
        <f t="shared" si="12"/>
        <v>0</v>
      </c>
      <c r="K41" s="11">
        <v>0.0</v>
      </c>
      <c r="L41" s="11">
        <v>0.0</v>
      </c>
      <c r="M41" s="14">
        <f t="shared" si="3"/>
        <v>0</v>
      </c>
      <c r="N41" s="11">
        <v>0.0</v>
      </c>
      <c r="O41" s="14">
        <f t="shared" si="4"/>
        <v>0</v>
      </c>
      <c r="P41" s="11">
        <v>0.0</v>
      </c>
      <c r="Q41" s="15">
        <v>0.0</v>
      </c>
      <c r="R41" s="9">
        <v>10.0</v>
      </c>
      <c r="S41" s="16">
        <f t="shared" si="5"/>
        <v>0</v>
      </c>
      <c r="T41" s="17">
        <f t="shared" si="6"/>
        <v>0</v>
      </c>
      <c r="U41" s="14">
        <f t="shared" si="7"/>
        <v>-10</v>
      </c>
      <c r="V41" s="9" t="str">
        <f t="shared" si="8"/>
        <v>Low Performance</v>
      </c>
      <c r="W41" s="9"/>
    </row>
    <row r="42" ht="15.75" customHeight="1">
      <c r="A42" s="6">
        <v>46299.0</v>
      </c>
      <c r="B42" s="7" t="s">
        <v>41</v>
      </c>
      <c r="C42" s="9" t="s">
        <v>40</v>
      </c>
      <c r="D42" s="9" t="s">
        <v>27</v>
      </c>
      <c r="E42" s="10">
        <v>0.0</v>
      </c>
      <c r="F42" s="9">
        <f t="shared" si="1"/>
        <v>0</v>
      </c>
      <c r="G42" s="11">
        <v>0.0</v>
      </c>
      <c r="H42" s="9">
        <f t="shared" si="2"/>
        <v>0</v>
      </c>
      <c r="I42" s="11">
        <v>0.0</v>
      </c>
      <c r="J42" s="9">
        <f t="shared" si="12"/>
        <v>0</v>
      </c>
      <c r="K42" s="11">
        <v>0.0</v>
      </c>
      <c r="L42" s="11">
        <v>0.0</v>
      </c>
      <c r="M42" s="14">
        <f t="shared" si="3"/>
        <v>0</v>
      </c>
      <c r="N42" s="11">
        <v>0.0</v>
      </c>
      <c r="O42" s="14">
        <f t="shared" si="4"/>
        <v>0</v>
      </c>
      <c r="P42" s="11">
        <v>0.0</v>
      </c>
      <c r="Q42" s="15">
        <v>0.0</v>
      </c>
      <c r="R42" s="9">
        <v>10.0</v>
      </c>
      <c r="S42" s="16">
        <f t="shared" si="5"/>
        <v>0</v>
      </c>
      <c r="T42" s="17">
        <f t="shared" si="6"/>
        <v>0</v>
      </c>
      <c r="U42" s="14">
        <f t="shared" si="7"/>
        <v>-10</v>
      </c>
      <c r="V42" s="9" t="str">
        <f t="shared" si="8"/>
        <v>Low Performance</v>
      </c>
      <c r="W42" s="9"/>
    </row>
    <row r="43" ht="15.75" customHeight="1">
      <c r="A43" s="6">
        <v>46299.0</v>
      </c>
      <c r="B43" s="7" t="s">
        <v>42</v>
      </c>
      <c r="C43" s="9" t="s">
        <v>40</v>
      </c>
      <c r="D43" s="9" t="s">
        <v>27</v>
      </c>
      <c r="E43" s="10">
        <v>0.0</v>
      </c>
      <c r="F43" s="9">
        <f t="shared" si="1"/>
        <v>0</v>
      </c>
      <c r="G43" s="11">
        <v>0.0</v>
      </c>
      <c r="H43" s="9">
        <f t="shared" si="2"/>
        <v>0</v>
      </c>
      <c r="I43" s="11">
        <v>0.0</v>
      </c>
      <c r="J43" s="9">
        <f t="shared" si="12"/>
        <v>0</v>
      </c>
      <c r="K43" s="11">
        <v>0.0</v>
      </c>
      <c r="L43" s="11">
        <v>0.0</v>
      </c>
      <c r="M43" s="14">
        <f t="shared" si="3"/>
        <v>0</v>
      </c>
      <c r="N43" s="11">
        <v>0.0</v>
      </c>
      <c r="O43" s="14">
        <f t="shared" si="4"/>
        <v>0</v>
      </c>
      <c r="P43" s="11">
        <v>0.0</v>
      </c>
      <c r="Q43" s="15">
        <v>0.0</v>
      </c>
      <c r="R43" s="9">
        <v>10.0</v>
      </c>
      <c r="S43" s="16">
        <f t="shared" si="5"/>
        <v>0</v>
      </c>
      <c r="T43" s="17">
        <f t="shared" si="6"/>
        <v>0</v>
      </c>
      <c r="U43" s="14">
        <f t="shared" si="7"/>
        <v>-10</v>
      </c>
      <c r="V43" s="9" t="str">
        <f t="shared" si="8"/>
        <v>Low Performance</v>
      </c>
      <c r="W43" s="9"/>
    </row>
    <row r="44" ht="15.75" customHeight="1">
      <c r="A44" s="6">
        <v>46299.0</v>
      </c>
      <c r="B44" s="7" t="s">
        <v>43</v>
      </c>
      <c r="C44" s="9" t="s">
        <v>40</v>
      </c>
      <c r="D44" s="9" t="s">
        <v>27</v>
      </c>
      <c r="E44" s="10">
        <v>0.0</v>
      </c>
      <c r="F44" s="9">
        <f t="shared" si="1"/>
        <v>0</v>
      </c>
      <c r="G44" s="11">
        <v>0.0</v>
      </c>
      <c r="H44" s="9">
        <f t="shared" si="2"/>
        <v>0</v>
      </c>
      <c r="I44" s="11">
        <v>0.0</v>
      </c>
      <c r="J44" s="9">
        <f t="shared" si="12"/>
        <v>0</v>
      </c>
      <c r="K44" s="11">
        <v>0.0</v>
      </c>
      <c r="L44" s="11">
        <v>0.0</v>
      </c>
      <c r="M44" s="14">
        <f t="shared" si="3"/>
        <v>0</v>
      </c>
      <c r="N44" s="11">
        <v>0.0</v>
      </c>
      <c r="O44" s="14">
        <f t="shared" si="4"/>
        <v>0</v>
      </c>
      <c r="P44" s="11">
        <v>0.0</v>
      </c>
      <c r="Q44" s="15">
        <v>0.0</v>
      </c>
      <c r="R44" s="9">
        <v>10.0</v>
      </c>
      <c r="S44" s="16">
        <f t="shared" si="5"/>
        <v>0</v>
      </c>
      <c r="T44" s="17">
        <f t="shared" si="6"/>
        <v>0</v>
      </c>
      <c r="U44" s="14">
        <f t="shared" si="7"/>
        <v>-10</v>
      </c>
      <c r="V44" s="9" t="str">
        <f t="shared" si="8"/>
        <v>Low Performance</v>
      </c>
      <c r="W44" s="9"/>
    </row>
    <row r="45" ht="15.75" customHeight="1">
      <c r="A45" s="6">
        <v>46299.0</v>
      </c>
      <c r="B45" s="7" t="s">
        <v>45</v>
      </c>
      <c r="C45" s="18" t="s">
        <v>46</v>
      </c>
      <c r="D45" s="9" t="s">
        <v>27</v>
      </c>
      <c r="E45" s="10">
        <v>0.0</v>
      </c>
      <c r="F45" s="9">
        <f t="shared" si="1"/>
        <v>0</v>
      </c>
      <c r="G45" s="11">
        <v>0.0</v>
      </c>
      <c r="H45" s="9">
        <f t="shared" si="2"/>
        <v>0</v>
      </c>
      <c r="I45" s="11">
        <v>0.0</v>
      </c>
      <c r="J45" s="9">
        <f t="shared" si="12"/>
        <v>0</v>
      </c>
      <c r="K45" s="11">
        <v>0.0</v>
      </c>
      <c r="L45" s="11">
        <v>0.0</v>
      </c>
      <c r="M45" s="14">
        <f t="shared" si="3"/>
        <v>0</v>
      </c>
      <c r="N45" s="11">
        <v>0.0</v>
      </c>
      <c r="O45" s="14">
        <f t="shared" si="4"/>
        <v>0</v>
      </c>
      <c r="P45" s="11">
        <v>0.0</v>
      </c>
      <c r="Q45" s="15">
        <v>0.0</v>
      </c>
      <c r="R45" s="9">
        <v>10.0</v>
      </c>
      <c r="S45" s="16">
        <f t="shared" si="5"/>
        <v>0</v>
      </c>
      <c r="T45" s="17">
        <f t="shared" si="6"/>
        <v>0</v>
      </c>
      <c r="U45" s="14">
        <f t="shared" si="7"/>
        <v>-10</v>
      </c>
      <c r="V45" s="9" t="str">
        <f t="shared" si="8"/>
        <v>Low Performance</v>
      </c>
      <c r="W45" s="9"/>
    </row>
    <row r="46" ht="15.75" customHeight="1">
      <c r="A46" s="6">
        <v>46299.0</v>
      </c>
      <c r="B46" s="7" t="s">
        <v>49</v>
      </c>
      <c r="C46" s="18" t="s">
        <v>46</v>
      </c>
      <c r="D46" s="9" t="s">
        <v>27</v>
      </c>
      <c r="E46" s="10">
        <v>0.0</v>
      </c>
      <c r="F46" s="9">
        <f t="shared" si="1"/>
        <v>0</v>
      </c>
      <c r="G46" s="11">
        <v>0.0</v>
      </c>
      <c r="H46" s="9">
        <f t="shared" si="2"/>
        <v>0</v>
      </c>
      <c r="I46" s="11">
        <v>0.0</v>
      </c>
      <c r="J46" s="9">
        <f t="shared" si="12"/>
        <v>0</v>
      </c>
      <c r="K46" s="11">
        <v>0.0</v>
      </c>
      <c r="L46" s="11">
        <v>0.0</v>
      </c>
      <c r="M46" s="14">
        <f t="shared" si="3"/>
        <v>0</v>
      </c>
      <c r="N46" s="11">
        <v>0.0</v>
      </c>
      <c r="O46" s="14">
        <f t="shared" si="4"/>
        <v>0</v>
      </c>
      <c r="P46" s="11">
        <v>0.0</v>
      </c>
      <c r="Q46" s="15">
        <v>0.0</v>
      </c>
      <c r="R46" s="9">
        <v>10.0</v>
      </c>
      <c r="S46" s="16">
        <f t="shared" si="5"/>
        <v>0</v>
      </c>
      <c r="T46" s="17">
        <f t="shared" si="6"/>
        <v>0</v>
      </c>
      <c r="U46" s="14">
        <f t="shared" si="7"/>
        <v>-10</v>
      </c>
      <c r="V46" s="9" t="str">
        <f t="shared" si="8"/>
        <v>Low Performance</v>
      </c>
      <c r="W46" s="9"/>
    </row>
    <row r="47" ht="15.75" customHeight="1">
      <c r="A47" s="6">
        <v>46299.0</v>
      </c>
      <c r="B47" s="22" t="s">
        <v>50</v>
      </c>
      <c r="C47" s="23" t="s">
        <v>46</v>
      </c>
      <c r="D47" s="24" t="s">
        <v>27</v>
      </c>
      <c r="E47" s="10">
        <v>0.0</v>
      </c>
      <c r="F47" s="9">
        <f t="shared" si="1"/>
        <v>0</v>
      </c>
      <c r="G47" s="11">
        <v>0.0</v>
      </c>
      <c r="H47" s="9">
        <f t="shared" si="2"/>
        <v>0</v>
      </c>
      <c r="I47" s="11">
        <v>0.0</v>
      </c>
      <c r="J47" s="9">
        <f t="shared" si="12"/>
        <v>0</v>
      </c>
      <c r="K47" s="11">
        <v>0.0</v>
      </c>
      <c r="L47" s="11">
        <v>0.0</v>
      </c>
      <c r="M47" s="14">
        <f t="shared" si="3"/>
        <v>0</v>
      </c>
      <c r="N47" s="11">
        <v>0.0</v>
      </c>
      <c r="O47" s="14">
        <f t="shared" si="4"/>
        <v>0</v>
      </c>
      <c r="P47" s="11">
        <v>0.0</v>
      </c>
      <c r="Q47" s="15">
        <v>0.0</v>
      </c>
      <c r="R47" s="9">
        <v>10.0</v>
      </c>
      <c r="S47" s="16">
        <f t="shared" si="5"/>
        <v>0</v>
      </c>
      <c r="T47" s="17">
        <f t="shared" si="6"/>
        <v>0</v>
      </c>
      <c r="U47" s="14">
        <f t="shared" si="7"/>
        <v>-10</v>
      </c>
      <c r="V47" s="9" t="str">
        <f t="shared" si="8"/>
        <v>Low Performance</v>
      </c>
      <c r="W47" s="9"/>
    </row>
    <row r="48" ht="15.75" customHeight="1">
      <c r="A48" s="6">
        <v>46300.0</v>
      </c>
      <c r="B48" s="7" t="s">
        <v>25</v>
      </c>
      <c r="C48" s="8" t="s">
        <v>26</v>
      </c>
      <c r="D48" s="9" t="s">
        <v>27</v>
      </c>
      <c r="E48" s="10">
        <v>0.0</v>
      </c>
      <c r="F48" s="9">
        <f t="shared" si="1"/>
        <v>0</v>
      </c>
      <c r="G48" s="11">
        <v>0.0</v>
      </c>
      <c r="H48" s="9">
        <f t="shared" si="2"/>
        <v>0</v>
      </c>
      <c r="I48" s="11">
        <v>0.0</v>
      </c>
      <c r="J48" s="9">
        <f t="shared" si="12"/>
        <v>0</v>
      </c>
      <c r="K48" s="11">
        <v>0.0</v>
      </c>
      <c r="L48" s="11">
        <v>0.0</v>
      </c>
      <c r="M48" s="14">
        <f t="shared" si="3"/>
        <v>0</v>
      </c>
      <c r="N48" s="11">
        <v>0.0</v>
      </c>
      <c r="O48" s="14">
        <f t="shared" si="4"/>
        <v>0</v>
      </c>
      <c r="P48" s="11">
        <v>0.0</v>
      </c>
      <c r="Q48" s="15">
        <v>0.0</v>
      </c>
      <c r="R48" s="9">
        <v>10.0</v>
      </c>
      <c r="S48" s="16">
        <f t="shared" si="5"/>
        <v>0</v>
      </c>
      <c r="T48" s="17">
        <f t="shared" si="6"/>
        <v>0</v>
      </c>
      <c r="U48" s="14">
        <f t="shared" si="7"/>
        <v>-10</v>
      </c>
      <c r="V48" s="9" t="str">
        <f t="shared" si="8"/>
        <v>Low Performance</v>
      </c>
      <c r="W48" s="9"/>
    </row>
    <row r="49" ht="15.75" customHeight="1">
      <c r="A49" s="6">
        <v>46300.0</v>
      </c>
      <c r="B49" s="7" t="s">
        <v>30</v>
      </c>
      <c r="C49" s="18" t="s">
        <v>31</v>
      </c>
      <c r="D49" s="9" t="s">
        <v>27</v>
      </c>
      <c r="E49" s="10">
        <v>0.0</v>
      </c>
      <c r="F49" s="9">
        <f t="shared" si="1"/>
        <v>0</v>
      </c>
      <c r="G49" s="11">
        <v>0.0</v>
      </c>
      <c r="H49" s="9">
        <f t="shared" si="2"/>
        <v>0</v>
      </c>
      <c r="I49" s="11">
        <v>0.0</v>
      </c>
      <c r="J49" s="9">
        <f t="shared" si="12"/>
        <v>0</v>
      </c>
      <c r="K49" s="11">
        <v>0.0</v>
      </c>
      <c r="L49" s="11">
        <v>0.0</v>
      </c>
      <c r="M49" s="14">
        <f t="shared" si="3"/>
        <v>0</v>
      </c>
      <c r="N49" s="11">
        <v>0.0</v>
      </c>
      <c r="O49" s="14">
        <f t="shared" si="4"/>
        <v>0</v>
      </c>
      <c r="P49" s="11">
        <v>0.0</v>
      </c>
      <c r="Q49" s="15">
        <v>0.0</v>
      </c>
      <c r="R49" s="9">
        <v>10.0</v>
      </c>
      <c r="S49" s="16">
        <f t="shared" si="5"/>
        <v>0</v>
      </c>
      <c r="T49" s="17">
        <f t="shared" si="6"/>
        <v>0</v>
      </c>
      <c r="U49" s="14">
        <f t="shared" si="7"/>
        <v>-10</v>
      </c>
      <c r="V49" s="9" t="str">
        <f t="shared" si="8"/>
        <v>Low Performance</v>
      </c>
      <c r="W49" s="9"/>
    </row>
    <row r="50" ht="15.75" customHeight="1">
      <c r="A50" s="6">
        <v>46300.0</v>
      </c>
      <c r="B50" s="7" t="s">
        <v>32</v>
      </c>
      <c r="C50" s="18" t="s">
        <v>33</v>
      </c>
      <c r="D50" s="9" t="s">
        <v>27</v>
      </c>
      <c r="E50" s="10">
        <v>0.0</v>
      </c>
      <c r="F50" s="9">
        <f t="shared" si="1"/>
        <v>0</v>
      </c>
      <c r="G50" s="11">
        <v>0.0</v>
      </c>
      <c r="H50" s="9">
        <f t="shared" si="2"/>
        <v>0</v>
      </c>
      <c r="I50" s="11">
        <v>0.0</v>
      </c>
      <c r="J50" s="9">
        <f t="shared" si="12"/>
        <v>0</v>
      </c>
      <c r="K50" s="11">
        <v>0.0</v>
      </c>
      <c r="L50" s="11">
        <v>0.0</v>
      </c>
      <c r="M50" s="14">
        <f t="shared" si="3"/>
        <v>0</v>
      </c>
      <c r="N50" s="11">
        <v>0.0</v>
      </c>
      <c r="O50" s="14">
        <f t="shared" si="4"/>
        <v>0</v>
      </c>
      <c r="P50" s="11">
        <v>0.0</v>
      </c>
      <c r="Q50" s="15">
        <v>0.0</v>
      </c>
      <c r="R50" s="9">
        <v>10.0</v>
      </c>
      <c r="S50" s="16">
        <f t="shared" si="5"/>
        <v>0</v>
      </c>
      <c r="T50" s="17">
        <f t="shared" si="6"/>
        <v>0</v>
      </c>
      <c r="U50" s="14">
        <f t="shared" si="7"/>
        <v>-10</v>
      </c>
      <c r="V50" s="9" t="str">
        <f t="shared" si="8"/>
        <v>Low Performance</v>
      </c>
      <c r="W50" s="9"/>
    </row>
    <row r="51" ht="15.75" customHeight="1">
      <c r="A51" s="6">
        <v>46300.0</v>
      </c>
      <c r="B51" s="7" t="s">
        <v>34</v>
      </c>
      <c r="C51" s="18" t="s">
        <v>35</v>
      </c>
      <c r="D51" s="9" t="s">
        <v>27</v>
      </c>
      <c r="E51" s="10">
        <v>0.0</v>
      </c>
      <c r="F51" s="9">
        <f t="shared" si="1"/>
        <v>0</v>
      </c>
      <c r="G51" s="11">
        <v>0.0</v>
      </c>
      <c r="H51" s="9">
        <f t="shared" si="2"/>
        <v>0</v>
      </c>
      <c r="I51" s="11">
        <v>0.0</v>
      </c>
      <c r="J51" s="9">
        <f t="shared" si="12"/>
        <v>0</v>
      </c>
      <c r="K51" s="11">
        <v>0.0</v>
      </c>
      <c r="L51" s="11">
        <v>0.0</v>
      </c>
      <c r="M51" s="14">
        <f t="shared" si="3"/>
        <v>0</v>
      </c>
      <c r="N51" s="11">
        <v>0.0</v>
      </c>
      <c r="O51" s="14">
        <f t="shared" si="4"/>
        <v>0</v>
      </c>
      <c r="P51" s="11">
        <v>0.0</v>
      </c>
      <c r="Q51" s="15">
        <v>0.0</v>
      </c>
      <c r="R51" s="9">
        <v>10.0</v>
      </c>
      <c r="S51" s="16">
        <f t="shared" si="5"/>
        <v>0</v>
      </c>
      <c r="T51" s="17">
        <f t="shared" si="6"/>
        <v>0</v>
      </c>
      <c r="U51" s="14">
        <f t="shared" si="7"/>
        <v>-10</v>
      </c>
      <c r="V51" s="9" t="str">
        <f t="shared" si="8"/>
        <v>Low Performance</v>
      </c>
      <c r="W51" s="9"/>
    </row>
    <row r="52" ht="15.75" customHeight="1">
      <c r="A52" s="6">
        <v>46300.0</v>
      </c>
      <c r="B52" s="7" t="s">
        <v>28</v>
      </c>
      <c r="C52" s="9" t="s">
        <v>29</v>
      </c>
      <c r="D52" s="9" t="s">
        <v>27</v>
      </c>
      <c r="E52" s="10">
        <v>0.0</v>
      </c>
      <c r="F52" s="9">
        <f t="shared" si="1"/>
        <v>0</v>
      </c>
      <c r="G52" s="11">
        <v>0.0</v>
      </c>
      <c r="H52" s="9">
        <f t="shared" si="2"/>
        <v>0</v>
      </c>
      <c r="I52" s="11">
        <v>0.0</v>
      </c>
      <c r="J52" s="9">
        <f t="shared" si="12"/>
        <v>0</v>
      </c>
      <c r="K52" s="11">
        <v>0.0</v>
      </c>
      <c r="L52" s="11">
        <v>0.0</v>
      </c>
      <c r="M52" s="14">
        <f t="shared" si="3"/>
        <v>0</v>
      </c>
      <c r="N52" s="11">
        <v>0.0</v>
      </c>
      <c r="O52" s="14">
        <f t="shared" si="4"/>
        <v>0</v>
      </c>
      <c r="P52" s="11">
        <v>0.0</v>
      </c>
      <c r="Q52" s="15">
        <v>0.0</v>
      </c>
      <c r="R52" s="9">
        <v>10.0</v>
      </c>
      <c r="S52" s="16">
        <f t="shared" si="5"/>
        <v>0</v>
      </c>
      <c r="T52" s="17">
        <f t="shared" si="6"/>
        <v>0</v>
      </c>
      <c r="U52" s="14">
        <f t="shared" si="7"/>
        <v>-10</v>
      </c>
      <c r="V52" s="9" t="str">
        <f t="shared" si="8"/>
        <v>Low Performance</v>
      </c>
      <c r="W52" s="9"/>
    </row>
    <row r="53" ht="15.75" customHeight="1">
      <c r="A53" s="6">
        <v>46300.0</v>
      </c>
      <c r="B53" s="7" t="s">
        <v>36</v>
      </c>
      <c r="C53" s="9" t="s">
        <v>29</v>
      </c>
      <c r="D53" s="9" t="s">
        <v>27</v>
      </c>
      <c r="E53" s="10">
        <v>0.0</v>
      </c>
      <c r="F53" s="9">
        <f t="shared" si="1"/>
        <v>0</v>
      </c>
      <c r="G53" s="11">
        <v>0.0</v>
      </c>
      <c r="H53" s="9">
        <f t="shared" si="2"/>
        <v>0</v>
      </c>
      <c r="I53" s="11">
        <v>0.0</v>
      </c>
      <c r="J53" s="9">
        <f t="shared" si="12"/>
        <v>0</v>
      </c>
      <c r="K53" s="11">
        <v>0.0</v>
      </c>
      <c r="L53" s="11">
        <v>0.0</v>
      </c>
      <c r="M53" s="14">
        <f t="shared" si="3"/>
        <v>0</v>
      </c>
      <c r="N53" s="11">
        <v>0.0</v>
      </c>
      <c r="O53" s="14">
        <f t="shared" si="4"/>
        <v>0</v>
      </c>
      <c r="P53" s="11">
        <v>0.0</v>
      </c>
      <c r="Q53" s="15">
        <v>0.0</v>
      </c>
      <c r="R53" s="9">
        <v>10.0</v>
      </c>
      <c r="S53" s="16">
        <f t="shared" si="5"/>
        <v>0</v>
      </c>
      <c r="T53" s="17">
        <f t="shared" si="6"/>
        <v>0</v>
      </c>
      <c r="U53" s="14">
        <f t="shared" si="7"/>
        <v>-10</v>
      </c>
      <c r="V53" s="9" t="str">
        <f t="shared" si="8"/>
        <v>Low Performance</v>
      </c>
      <c r="W53" s="9"/>
    </row>
    <row r="54" ht="15.75" customHeight="1">
      <c r="A54" s="6">
        <v>46300.0</v>
      </c>
      <c r="B54" s="7" t="s">
        <v>37</v>
      </c>
      <c r="C54" s="9" t="s">
        <v>29</v>
      </c>
      <c r="D54" s="9" t="s">
        <v>27</v>
      </c>
      <c r="E54" s="10">
        <v>0.0</v>
      </c>
      <c r="F54" s="9">
        <f t="shared" si="1"/>
        <v>0</v>
      </c>
      <c r="G54" s="11">
        <v>0.0</v>
      </c>
      <c r="H54" s="9">
        <f t="shared" si="2"/>
        <v>0</v>
      </c>
      <c r="I54" s="11">
        <v>0.0</v>
      </c>
      <c r="J54" s="9">
        <f t="shared" si="12"/>
        <v>0</v>
      </c>
      <c r="K54" s="11">
        <v>0.0</v>
      </c>
      <c r="L54" s="11">
        <v>0.0</v>
      </c>
      <c r="M54" s="14">
        <f t="shared" si="3"/>
        <v>0</v>
      </c>
      <c r="N54" s="11">
        <v>0.0</v>
      </c>
      <c r="O54" s="14">
        <f t="shared" si="4"/>
        <v>0</v>
      </c>
      <c r="P54" s="11">
        <v>0.0</v>
      </c>
      <c r="Q54" s="15">
        <v>0.0</v>
      </c>
      <c r="R54" s="9">
        <v>10.0</v>
      </c>
      <c r="S54" s="16">
        <f t="shared" si="5"/>
        <v>0</v>
      </c>
      <c r="T54" s="17">
        <f t="shared" si="6"/>
        <v>0</v>
      </c>
      <c r="U54" s="14">
        <f t="shared" si="7"/>
        <v>-10</v>
      </c>
      <c r="V54" s="9" t="str">
        <f t="shared" si="8"/>
        <v>Low Performance</v>
      </c>
      <c r="W54" s="9"/>
    </row>
    <row r="55" ht="15.75" customHeight="1">
      <c r="A55" s="6">
        <v>46300.0</v>
      </c>
      <c r="B55" s="7" t="s">
        <v>38</v>
      </c>
      <c r="C55" s="9" t="s">
        <v>29</v>
      </c>
      <c r="D55" s="9" t="s">
        <v>27</v>
      </c>
      <c r="E55" s="10">
        <v>0.0</v>
      </c>
      <c r="F55" s="9">
        <f t="shared" si="1"/>
        <v>0</v>
      </c>
      <c r="G55" s="11">
        <v>0.0</v>
      </c>
      <c r="H55" s="9">
        <f t="shared" si="2"/>
        <v>0</v>
      </c>
      <c r="I55" s="11">
        <v>0.0</v>
      </c>
      <c r="J55" s="9">
        <f t="shared" si="12"/>
        <v>0</v>
      </c>
      <c r="K55" s="11">
        <v>0.0</v>
      </c>
      <c r="L55" s="11">
        <v>0.0</v>
      </c>
      <c r="M55" s="14">
        <f t="shared" si="3"/>
        <v>0</v>
      </c>
      <c r="N55" s="11">
        <v>0.0</v>
      </c>
      <c r="O55" s="14">
        <f t="shared" si="4"/>
        <v>0</v>
      </c>
      <c r="P55" s="11">
        <v>0.0</v>
      </c>
      <c r="Q55" s="15">
        <v>0.0</v>
      </c>
      <c r="R55" s="9">
        <v>10.0</v>
      </c>
      <c r="S55" s="16">
        <f t="shared" si="5"/>
        <v>0</v>
      </c>
      <c r="T55" s="17">
        <f t="shared" si="6"/>
        <v>0</v>
      </c>
      <c r="U55" s="14">
        <f t="shared" si="7"/>
        <v>-10</v>
      </c>
      <c r="V55" s="9" t="str">
        <f t="shared" si="8"/>
        <v>Low Performance</v>
      </c>
      <c r="W55" s="9"/>
    </row>
    <row r="56" ht="15.75" customHeight="1">
      <c r="A56" s="6">
        <v>46300.0</v>
      </c>
      <c r="B56" s="20" t="s">
        <v>39</v>
      </c>
      <c r="C56" s="9" t="s">
        <v>40</v>
      </c>
      <c r="D56" s="9" t="s">
        <v>27</v>
      </c>
      <c r="E56" s="10">
        <v>0.0</v>
      </c>
      <c r="F56" s="9">
        <f t="shared" si="1"/>
        <v>0</v>
      </c>
      <c r="G56" s="11">
        <v>0.0</v>
      </c>
      <c r="H56" s="9">
        <f t="shared" si="2"/>
        <v>0</v>
      </c>
      <c r="I56" s="11">
        <v>0.0</v>
      </c>
      <c r="J56" s="9">
        <f t="shared" si="12"/>
        <v>0</v>
      </c>
      <c r="K56" s="11">
        <v>0.0</v>
      </c>
      <c r="L56" s="11">
        <v>0.0</v>
      </c>
      <c r="M56" s="14">
        <f t="shared" si="3"/>
        <v>0</v>
      </c>
      <c r="N56" s="11">
        <v>0.0</v>
      </c>
      <c r="O56" s="14">
        <f t="shared" si="4"/>
        <v>0</v>
      </c>
      <c r="P56" s="11">
        <v>0.0</v>
      </c>
      <c r="Q56" s="15">
        <v>0.0</v>
      </c>
      <c r="R56" s="9">
        <v>10.0</v>
      </c>
      <c r="S56" s="16">
        <f t="shared" si="5"/>
        <v>0</v>
      </c>
      <c r="T56" s="17">
        <f t="shared" si="6"/>
        <v>0</v>
      </c>
      <c r="U56" s="14">
        <f t="shared" si="7"/>
        <v>-10</v>
      </c>
      <c r="V56" s="9" t="str">
        <f t="shared" si="8"/>
        <v>Low Performance</v>
      </c>
      <c r="W56" s="9"/>
    </row>
    <row r="57" ht="15.75" customHeight="1">
      <c r="A57" s="6">
        <v>46300.0</v>
      </c>
      <c r="B57" s="7" t="s">
        <v>41</v>
      </c>
      <c r="C57" s="9" t="s">
        <v>40</v>
      </c>
      <c r="D57" s="9" t="s">
        <v>27</v>
      </c>
      <c r="E57" s="10">
        <v>0.0</v>
      </c>
      <c r="F57" s="9">
        <f t="shared" si="1"/>
        <v>0</v>
      </c>
      <c r="G57" s="11">
        <v>0.0</v>
      </c>
      <c r="H57" s="9">
        <f t="shared" si="2"/>
        <v>0</v>
      </c>
      <c r="I57" s="11">
        <v>0.0</v>
      </c>
      <c r="J57" s="9">
        <f t="shared" si="12"/>
        <v>0</v>
      </c>
      <c r="K57" s="11">
        <v>0.0</v>
      </c>
      <c r="L57" s="11">
        <v>0.0</v>
      </c>
      <c r="M57" s="14">
        <f t="shared" si="3"/>
        <v>0</v>
      </c>
      <c r="N57" s="11">
        <v>0.0</v>
      </c>
      <c r="O57" s="14">
        <f t="shared" si="4"/>
        <v>0</v>
      </c>
      <c r="P57" s="11">
        <v>0.0</v>
      </c>
      <c r="Q57" s="15">
        <v>0.0</v>
      </c>
      <c r="R57" s="9">
        <v>10.0</v>
      </c>
      <c r="S57" s="16">
        <f t="shared" si="5"/>
        <v>0</v>
      </c>
      <c r="T57" s="17">
        <f t="shared" si="6"/>
        <v>0</v>
      </c>
      <c r="U57" s="14">
        <f t="shared" si="7"/>
        <v>-10</v>
      </c>
      <c r="V57" s="9" t="str">
        <f t="shared" si="8"/>
        <v>Low Performance</v>
      </c>
      <c r="W57" s="9"/>
    </row>
    <row r="58" ht="15.75" customHeight="1">
      <c r="A58" s="6">
        <v>46300.0</v>
      </c>
      <c r="B58" s="7" t="s">
        <v>42</v>
      </c>
      <c r="C58" s="9" t="s">
        <v>40</v>
      </c>
      <c r="D58" s="9" t="s">
        <v>27</v>
      </c>
      <c r="E58" s="10">
        <v>0.0</v>
      </c>
      <c r="F58" s="9">
        <f t="shared" si="1"/>
        <v>0</v>
      </c>
      <c r="G58" s="11">
        <v>0.0</v>
      </c>
      <c r="H58" s="9">
        <f t="shared" si="2"/>
        <v>0</v>
      </c>
      <c r="I58" s="11">
        <v>0.0</v>
      </c>
      <c r="J58" s="9">
        <f t="shared" si="12"/>
        <v>0</v>
      </c>
      <c r="K58" s="11">
        <v>0.0</v>
      </c>
      <c r="L58" s="11">
        <v>0.0</v>
      </c>
      <c r="M58" s="14">
        <f t="shared" si="3"/>
        <v>0</v>
      </c>
      <c r="N58" s="11">
        <v>0.0</v>
      </c>
      <c r="O58" s="14">
        <f t="shared" si="4"/>
        <v>0</v>
      </c>
      <c r="P58" s="11">
        <v>0.0</v>
      </c>
      <c r="Q58" s="15">
        <v>0.0</v>
      </c>
      <c r="R58" s="9">
        <v>10.0</v>
      </c>
      <c r="S58" s="16">
        <f t="shared" si="5"/>
        <v>0</v>
      </c>
      <c r="T58" s="17">
        <f t="shared" si="6"/>
        <v>0</v>
      </c>
      <c r="U58" s="14">
        <f t="shared" si="7"/>
        <v>-10</v>
      </c>
      <c r="V58" s="9" t="str">
        <f t="shared" si="8"/>
        <v>Low Performance</v>
      </c>
      <c r="W58" s="9"/>
    </row>
    <row r="59" ht="15.75" customHeight="1">
      <c r="A59" s="6">
        <v>46300.0</v>
      </c>
      <c r="B59" s="7" t="s">
        <v>43</v>
      </c>
      <c r="C59" s="9" t="s">
        <v>40</v>
      </c>
      <c r="D59" s="9" t="s">
        <v>27</v>
      </c>
      <c r="E59" s="10">
        <v>0.0</v>
      </c>
      <c r="F59" s="9">
        <f t="shared" si="1"/>
        <v>0</v>
      </c>
      <c r="G59" s="11">
        <v>0.0</v>
      </c>
      <c r="H59" s="9">
        <f t="shared" si="2"/>
        <v>0</v>
      </c>
      <c r="I59" s="11">
        <v>0.0</v>
      </c>
      <c r="J59" s="9">
        <f t="shared" si="12"/>
        <v>0</v>
      </c>
      <c r="K59" s="11">
        <v>0.0</v>
      </c>
      <c r="L59" s="11">
        <v>0.0</v>
      </c>
      <c r="M59" s="14">
        <f t="shared" si="3"/>
        <v>0</v>
      </c>
      <c r="N59" s="11">
        <v>0.0</v>
      </c>
      <c r="O59" s="14">
        <f t="shared" si="4"/>
        <v>0</v>
      </c>
      <c r="P59" s="11">
        <v>0.0</v>
      </c>
      <c r="Q59" s="15">
        <v>0.0</v>
      </c>
      <c r="R59" s="9">
        <v>10.0</v>
      </c>
      <c r="S59" s="16">
        <f t="shared" si="5"/>
        <v>0</v>
      </c>
      <c r="T59" s="17">
        <f t="shared" si="6"/>
        <v>0</v>
      </c>
      <c r="U59" s="14">
        <f t="shared" si="7"/>
        <v>-10</v>
      </c>
      <c r="V59" s="9" t="str">
        <f t="shared" si="8"/>
        <v>Low Performance</v>
      </c>
      <c r="W59" s="9"/>
    </row>
    <row r="60" ht="15.75" customHeight="1">
      <c r="A60" s="6">
        <v>46300.0</v>
      </c>
      <c r="B60" s="7" t="s">
        <v>45</v>
      </c>
      <c r="C60" s="18" t="s">
        <v>46</v>
      </c>
      <c r="D60" s="9" t="s">
        <v>27</v>
      </c>
      <c r="E60" s="10">
        <v>0.0</v>
      </c>
      <c r="F60" s="9">
        <f t="shared" si="1"/>
        <v>0</v>
      </c>
      <c r="G60" s="11">
        <v>0.0</v>
      </c>
      <c r="H60" s="9">
        <f t="shared" si="2"/>
        <v>0</v>
      </c>
      <c r="I60" s="11">
        <v>0.0</v>
      </c>
      <c r="J60" s="9">
        <f t="shared" si="12"/>
        <v>0</v>
      </c>
      <c r="K60" s="11">
        <v>0.0</v>
      </c>
      <c r="L60" s="11">
        <v>0.0</v>
      </c>
      <c r="M60" s="14">
        <f t="shared" si="3"/>
        <v>0</v>
      </c>
      <c r="N60" s="11">
        <v>0.0</v>
      </c>
      <c r="O60" s="14">
        <f t="shared" si="4"/>
        <v>0</v>
      </c>
      <c r="P60" s="11">
        <v>0.0</v>
      </c>
      <c r="Q60" s="15">
        <v>0.0</v>
      </c>
      <c r="R60" s="9">
        <v>10.0</v>
      </c>
      <c r="S60" s="16">
        <f t="shared" si="5"/>
        <v>0</v>
      </c>
      <c r="T60" s="17">
        <f t="shared" si="6"/>
        <v>0</v>
      </c>
      <c r="U60" s="14">
        <f t="shared" si="7"/>
        <v>-10</v>
      </c>
      <c r="V60" s="9" t="str">
        <f t="shared" si="8"/>
        <v>Low Performance</v>
      </c>
      <c r="W60" s="9"/>
    </row>
    <row r="61" ht="15.75" customHeight="1">
      <c r="A61" s="6">
        <v>46300.0</v>
      </c>
      <c r="B61" s="7" t="s">
        <v>49</v>
      </c>
      <c r="C61" s="18" t="s">
        <v>46</v>
      </c>
      <c r="D61" s="9" t="s">
        <v>27</v>
      </c>
      <c r="E61" s="10">
        <v>0.0</v>
      </c>
      <c r="F61" s="9">
        <f t="shared" si="1"/>
        <v>0</v>
      </c>
      <c r="G61" s="11">
        <v>0.0</v>
      </c>
      <c r="H61" s="9">
        <f t="shared" si="2"/>
        <v>0</v>
      </c>
      <c r="I61" s="11">
        <v>0.0</v>
      </c>
      <c r="J61" s="9">
        <f t="shared" si="12"/>
        <v>0</v>
      </c>
      <c r="K61" s="11">
        <v>0.0</v>
      </c>
      <c r="L61" s="11">
        <v>0.0</v>
      </c>
      <c r="M61" s="14">
        <f t="shared" si="3"/>
        <v>0</v>
      </c>
      <c r="N61" s="11">
        <v>0.0</v>
      </c>
      <c r="O61" s="14">
        <f t="shared" si="4"/>
        <v>0</v>
      </c>
      <c r="P61" s="11">
        <v>0.0</v>
      </c>
      <c r="Q61" s="15">
        <v>0.0</v>
      </c>
      <c r="R61" s="9">
        <v>10.0</v>
      </c>
      <c r="S61" s="16">
        <f t="shared" si="5"/>
        <v>0</v>
      </c>
      <c r="T61" s="17">
        <f t="shared" si="6"/>
        <v>0</v>
      </c>
      <c r="U61" s="14">
        <f t="shared" si="7"/>
        <v>-10</v>
      </c>
      <c r="V61" s="9" t="str">
        <f t="shared" si="8"/>
        <v>Low Performance</v>
      </c>
      <c r="W61" s="9"/>
    </row>
    <row r="62" ht="15.75" customHeight="1">
      <c r="A62" s="6">
        <v>46300.0</v>
      </c>
      <c r="B62" s="22" t="s">
        <v>50</v>
      </c>
      <c r="C62" s="23" t="s">
        <v>46</v>
      </c>
      <c r="D62" s="24" t="s">
        <v>27</v>
      </c>
      <c r="E62" s="10">
        <v>0.0</v>
      </c>
      <c r="F62" s="9">
        <f t="shared" si="1"/>
        <v>0</v>
      </c>
      <c r="G62" s="11">
        <v>0.0</v>
      </c>
      <c r="H62" s="9">
        <f t="shared" si="2"/>
        <v>0</v>
      </c>
      <c r="I62" s="11">
        <v>0.0</v>
      </c>
      <c r="J62" s="9">
        <f t="shared" si="12"/>
        <v>0</v>
      </c>
      <c r="K62" s="11">
        <v>0.0</v>
      </c>
      <c r="L62" s="11">
        <v>0.0</v>
      </c>
      <c r="M62" s="14">
        <f t="shared" si="3"/>
        <v>0</v>
      </c>
      <c r="N62" s="11">
        <v>0.0</v>
      </c>
      <c r="O62" s="14">
        <f t="shared" si="4"/>
        <v>0</v>
      </c>
      <c r="P62" s="11">
        <v>0.0</v>
      </c>
      <c r="Q62" s="15">
        <v>0.0</v>
      </c>
      <c r="R62" s="9">
        <v>10.0</v>
      </c>
      <c r="S62" s="16">
        <f t="shared" si="5"/>
        <v>0</v>
      </c>
      <c r="T62" s="17">
        <f t="shared" si="6"/>
        <v>0</v>
      </c>
      <c r="U62" s="14">
        <f t="shared" si="7"/>
        <v>-10</v>
      </c>
      <c r="V62" s="9" t="str">
        <f t="shared" si="8"/>
        <v>Low Performance</v>
      </c>
      <c r="W62" s="9"/>
    </row>
    <row r="63" ht="15.75" customHeight="1">
      <c r="A63" s="6">
        <v>46301.0</v>
      </c>
      <c r="B63" s="7" t="s">
        <v>25</v>
      </c>
      <c r="C63" s="8" t="s">
        <v>26</v>
      </c>
      <c r="D63" s="9" t="s">
        <v>27</v>
      </c>
      <c r="E63" s="10">
        <v>0.0</v>
      </c>
      <c r="F63" s="9">
        <f t="shared" si="1"/>
        <v>0</v>
      </c>
      <c r="G63" s="11">
        <v>0.0</v>
      </c>
      <c r="H63" s="9">
        <f t="shared" si="2"/>
        <v>0</v>
      </c>
      <c r="I63" s="11">
        <v>0.0</v>
      </c>
      <c r="J63" s="9">
        <f t="shared" si="12"/>
        <v>0</v>
      </c>
      <c r="K63" s="11">
        <v>0.0</v>
      </c>
      <c r="L63" s="11">
        <v>0.0</v>
      </c>
      <c r="M63" s="14">
        <f t="shared" si="3"/>
        <v>0</v>
      </c>
      <c r="N63" s="11">
        <v>0.0</v>
      </c>
      <c r="O63" s="14">
        <f t="shared" si="4"/>
        <v>0</v>
      </c>
      <c r="P63" s="11">
        <v>0.0</v>
      </c>
      <c r="Q63" s="15">
        <v>0.0</v>
      </c>
      <c r="R63" s="9">
        <v>10.0</v>
      </c>
      <c r="S63" s="16">
        <f t="shared" si="5"/>
        <v>0</v>
      </c>
      <c r="T63" s="17">
        <f t="shared" si="6"/>
        <v>0</v>
      </c>
      <c r="U63" s="14">
        <f t="shared" si="7"/>
        <v>-10</v>
      </c>
      <c r="V63" s="9" t="str">
        <f t="shared" si="8"/>
        <v>Low Performance</v>
      </c>
      <c r="W63" s="9"/>
    </row>
    <row r="64" ht="15.75" customHeight="1">
      <c r="A64" s="6">
        <v>46301.0</v>
      </c>
      <c r="B64" s="7" t="s">
        <v>30</v>
      </c>
      <c r="C64" s="18" t="s">
        <v>31</v>
      </c>
      <c r="D64" s="9" t="s">
        <v>27</v>
      </c>
      <c r="E64" s="10">
        <v>0.0</v>
      </c>
      <c r="F64" s="9">
        <f t="shared" si="1"/>
        <v>0</v>
      </c>
      <c r="G64" s="11">
        <v>0.0</v>
      </c>
      <c r="H64" s="9">
        <f t="shared" si="2"/>
        <v>0</v>
      </c>
      <c r="I64" s="11">
        <v>0.0</v>
      </c>
      <c r="J64" s="9">
        <f t="shared" si="12"/>
        <v>0</v>
      </c>
      <c r="K64" s="11">
        <v>0.0</v>
      </c>
      <c r="L64" s="11">
        <v>0.0</v>
      </c>
      <c r="M64" s="14">
        <f t="shared" si="3"/>
        <v>0</v>
      </c>
      <c r="N64" s="11">
        <v>0.0</v>
      </c>
      <c r="O64" s="14">
        <f t="shared" si="4"/>
        <v>0</v>
      </c>
      <c r="P64" s="11">
        <v>0.0</v>
      </c>
      <c r="Q64" s="15">
        <v>0.0</v>
      </c>
      <c r="R64" s="9">
        <v>10.0</v>
      </c>
      <c r="S64" s="16">
        <f t="shared" si="5"/>
        <v>0</v>
      </c>
      <c r="T64" s="17">
        <f t="shared" si="6"/>
        <v>0</v>
      </c>
      <c r="U64" s="14">
        <f t="shared" si="7"/>
        <v>-10</v>
      </c>
      <c r="V64" s="9" t="str">
        <f t="shared" si="8"/>
        <v>Low Performance</v>
      </c>
      <c r="W64" s="9"/>
    </row>
    <row r="65" ht="15.75" customHeight="1">
      <c r="A65" s="6">
        <v>46301.0</v>
      </c>
      <c r="B65" s="7" t="s">
        <v>32</v>
      </c>
      <c r="C65" s="18" t="s">
        <v>33</v>
      </c>
      <c r="D65" s="9" t="s">
        <v>27</v>
      </c>
      <c r="E65" s="10">
        <v>0.0</v>
      </c>
      <c r="F65" s="9">
        <f t="shared" si="1"/>
        <v>0</v>
      </c>
      <c r="G65" s="11">
        <v>0.0</v>
      </c>
      <c r="H65" s="9">
        <f t="shared" si="2"/>
        <v>0</v>
      </c>
      <c r="I65" s="11">
        <v>0.0</v>
      </c>
      <c r="J65" s="9">
        <f t="shared" si="12"/>
        <v>0</v>
      </c>
      <c r="K65" s="11">
        <v>0.0</v>
      </c>
      <c r="L65" s="11">
        <v>0.0</v>
      </c>
      <c r="M65" s="14">
        <f t="shared" si="3"/>
        <v>0</v>
      </c>
      <c r="N65" s="11">
        <v>0.0</v>
      </c>
      <c r="O65" s="14">
        <f t="shared" si="4"/>
        <v>0</v>
      </c>
      <c r="P65" s="11">
        <v>0.0</v>
      </c>
      <c r="Q65" s="15">
        <v>0.0</v>
      </c>
      <c r="R65" s="9">
        <v>10.0</v>
      </c>
      <c r="S65" s="16">
        <f t="shared" si="5"/>
        <v>0</v>
      </c>
      <c r="T65" s="17">
        <f t="shared" si="6"/>
        <v>0</v>
      </c>
      <c r="U65" s="14">
        <f t="shared" si="7"/>
        <v>-10</v>
      </c>
      <c r="V65" s="9" t="str">
        <f t="shared" si="8"/>
        <v>Low Performance</v>
      </c>
      <c r="W65" s="9"/>
    </row>
    <row r="66" ht="15.75" customHeight="1">
      <c r="A66" s="6">
        <v>46301.0</v>
      </c>
      <c r="B66" s="7" t="s">
        <v>34</v>
      </c>
      <c r="C66" s="18" t="s">
        <v>35</v>
      </c>
      <c r="D66" s="9" t="s">
        <v>27</v>
      </c>
      <c r="E66" s="10">
        <v>0.0</v>
      </c>
      <c r="F66" s="9">
        <f t="shared" si="1"/>
        <v>0</v>
      </c>
      <c r="G66" s="11">
        <v>0.0</v>
      </c>
      <c r="H66" s="9">
        <f t="shared" si="2"/>
        <v>0</v>
      </c>
      <c r="I66" s="11">
        <v>0.0</v>
      </c>
      <c r="J66" s="9">
        <f t="shared" si="12"/>
        <v>0</v>
      </c>
      <c r="K66" s="11">
        <v>0.0</v>
      </c>
      <c r="L66" s="11">
        <v>0.0</v>
      </c>
      <c r="M66" s="14">
        <f t="shared" si="3"/>
        <v>0</v>
      </c>
      <c r="N66" s="11">
        <v>0.0</v>
      </c>
      <c r="O66" s="14">
        <f t="shared" si="4"/>
        <v>0</v>
      </c>
      <c r="P66" s="11">
        <v>0.0</v>
      </c>
      <c r="Q66" s="15">
        <v>0.0</v>
      </c>
      <c r="R66" s="9">
        <v>10.0</v>
      </c>
      <c r="S66" s="16">
        <f t="shared" si="5"/>
        <v>0</v>
      </c>
      <c r="T66" s="17">
        <f t="shared" si="6"/>
        <v>0</v>
      </c>
      <c r="U66" s="14">
        <f t="shared" si="7"/>
        <v>-10</v>
      </c>
      <c r="V66" s="9" t="str">
        <f t="shared" si="8"/>
        <v>Low Performance</v>
      </c>
      <c r="W66" s="9"/>
    </row>
    <row r="67" ht="15.75" customHeight="1">
      <c r="A67" s="6">
        <v>46301.0</v>
      </c>
      <c r="B67" s="7" t="s">
        <v>28</v>
      </c>
      <c r="C67" s="9" t="s">
        <v>29</v>
      </c>
      <c r="D67" s="9" t="s">
        <v>27</v>
      </c>
      <c r="E67" s="10">
        <v>0.0</v>
      </c>
      <c r="F67" s="9">
        <f t="shared" si="1"/>
        <v>0</v>
      </c>
      <c r="G67" s="11">
        <v>0.0</v>
      </c>
      <c r="H67" s="9">
        <f t="shared" si="2"/>
        <v>0</v>
      </c>
      <c r="I67" s="11">
        <v>0.0</v>
      </c>
      <c r="J67" s="9">
        <f t="shared" si="12"/>
        <v>0</v>
      </c>
      <c r="K67" s="11">
        <v>0.0</v>
      </c>
      <c r="L67" s="11">
        <v>0.0</v>
      </c>
      <c r="M67" s="14">
        <f t="shared" si="3"/>
        <v>0</v>
      </c>
      <c r="N67" s="11">
        <v>0.0</v>
      </c>
      <c r="O67" s="14">
        <f t="shared" si="4"/>
        <v>0</v>
      </c>
      <c r="P67" s="11">
        <v>0.0</v>
      </c>
      <c r="Q67" s="15">
        <v>0.0</v>
      </c>
      <c r="R67" s="9">
        <v>10.0</v>
      </c>
      <c r="S67" s="16">
        <f t="shared" si="5"/>
        <v>0</v>
      </c>
      <c r="T67" s="17">
        <f t="shared" si="6"/>
        <v>0</v>
      </c>
      <c r="U67" s="14">
        <f t="shared" si="7"/>
        <v>-10</v>
      </c>
      <c r="V67" s="9" t="str">
        <f t="shared" si="8"/>
        <v>Low Performance</v>
      </c>
      <c r="W67" s="9"/>
    </row>
    <row r="68" ht="15.75" customHeight="1">
      <c r="A68" s="6">
        <v>46301.0</v>
      </c>
      <c r="B68" s="7" t="s">
        <v>36</v>
      </c>
      <c r="C68" s="9" t="s">
        <v>29</v>
      </c>
      <c r="D68" s="9" t="s">
        <v>27</v>
      </c>
      <c r="E68" s="10">
        <v>0.0</v>
      </c>
      <c r="F68" s="9">
        <f t="shared" si="1"/>
        <v>0</v>
      </c>
      <c r="G68" s="11">
        <v>0.0</v>
      </c>
      <c r="H68" s="9">
        <f t="shared" si="2"/>
        <v>0</v>
      </c>
      <c r="I68" s="11">
        <v>0.0</v>
      </c>
      <c r="J68" s="9">
        <f t="shared" si="12"/>
        <v>0</v>
      </c>
      <c r="K68" s="11">
        <v>0.0</v>
      </c>
      <c r="L68" s="11">
        <v>0.0</v>
      </c>
      <c r="M68" s="14">
        <f t="shared" si="3"/>
        <v>0</v>
      </c>
      <c r="N68" s="11">
        <v>0.0</v>
      </c>
      <c r="O68" s="14">
        <f t="shared" si="4"/>
        <v>0</v>
      </c>
      <c r="P68" s="11">
        <v>0.0</v>
      </c>
      <c r="Q68" s="15">
        <v>0.0</v>
      </c>
      <c r="R68" s="9">
        <v>10.0</v>
      </c>
      <c r="S68" s="16">
        <f t="shared" si="5"/>
        <v>0</v>
      </c>
      <c r="T68" s="17">
        <f t="shared" si="6"/>
        <v>0</v>
      </c>
      <c r="U68" s="14">
        <f t="shared" si="7"/>
        <v>-10</v>
      </c>
      <c r="V68" s="9" t="str">
        <f t="shared" si="8"/>
        <v>Low Performance</v>
      </c>
      <c r="W68" s="9"/>
    </row>
    <row r="69" ht="15.75" customHeight="1">
      <c r="A69" s="6">
        <v>46301.0</v>
      </c>
      <c r="B69" s="7" t="s">
        <v>37</v>
      </c>
      <c r="C69" s="9" t="s">
        <v>29</v>
      </c>
      <c r="D69" s="9" t="s">
        <v>27</v>
      </c>
      <c r="E69" s="10">
        <v>0.0</v>
      </c>
      <c r="F69" s="9">
        <f t="shared" si="1"/>
        <v>0</v>
      </c>
      <c r="G69" s="11">
        <v>0.0</v>
      </c>
      <c r="H69" s="9">
        <f t="shared" si="2"/>
        <v>0</v>
      </c>
      <c r="I69" s="11">
        <v>0.0</v>
      </c>
      <c r="J69" s="9">
        <f t="shared" si="12"/>
        <v>0</v>
      </c>
      <c r="K69" s="11">
        <v>0.0</v>
      </c>
      <c r="L69" s="11">
        <v>0.0</v>
      </c>
      <c r="M69" s="14">
        <f t="shared" si="3"/>
        <v>0</v>
      </c>
      <c r="N69" s="11">
        <v>0.0</v>
      </c>
      <c r="O69" s="14">
        <f t="shared" si="4"/>
        <v>0</v>
      </c>
      <c r="P69" s="11">
        <v>0.0</v>
      </c>
      <c r="Q69" s="15">
        <v>0.0</v>
      </c>
      <c r="R69" s="9">
        <v>10.0</v>
      </c>
      <c r="S69" s="16">
        <f t="shared" si="5"/>
        <v>0</v>
      </c>
      <c r="T69" s="17">
        <f t="shared" si="6"/>
        <v>0</v>
      </c>
      <c r="U69" s="14">
        <f t="shared" si="7"/>
        <v>-10</v>
      </c>
      <c r="V69" s="9" t="str">
        <f t="shared" si="8"/>
        <v>Low Performance</v>
      </c>
      <c r="W69" s="9"/>
    </row>
    <row r="70" ht="15.75" customHeight="1">
      <c r="A70" s="6">
        <v>46301.0</v>
      </c>
      <c r="B70" s="7" t="s">
        <v>38</v>
      </c>
      <c r="C70" s="9" t="s">
        <v>29</v>
      </c>
      <c r="D70" s="9" t="s">
        <v>27</v>
      </c>
      <c r="E70" s="10">
        <v>0.0</v>
      </c>
      <c r="F70" s="9">
        <f t="shared" si="1"/>
        <v>0</v>
      </c>
      <c r="G70" s="11">
        <v>0.0</v>
      </c>
      <c r="H70" s="9">
        <f t="shared" si="2"/>
        <v>0</v>
      </c>
      <c r="I70" s="11">
        <v>0.0</v>
      </c>
      <c r="J70" s="9">
        <f t="shared" si="12"/>
        <v>0</v>
      </c>
      <c r="K70" s="11">
        <v>0.0</v>
      </c>
      <c r="L70" s="11">
        <v>0.0</v>
      </c>
      <c r="M70" s="14">
        <f t="shared" si="3"/>
        <v>0</v>
      </c>
      <c r="N70" s="11">
        <v>0.0</v>
      </c>
      <c r="O70" s="14">
        <f t="shared" si="4"/>
        <v>0</v>
      </c>
      <c r="P70" s="11">
        <v>0.0</v>
      </c>
      <c r="Q70" s="15">
        <v>0.0</v>
      </c>
      <c r="R70" s="9">
        <v>10.0</v>
      </c>
      <c r="S70" s="16">
        <f t="shared" si="5"/>
        <v>0</v>
      </c>
      <c r="T70" s="17">
        <f t="shared" si="6"/>
        <v>0</v>
      </c>
      <c r="U70" s="14">
        <f t="shared" si="7"/>
        <v>-10</v>
      </c>
      <c r="V70" s="9" t="str">
        <f t="shared" si="8"/>
        <v>Low Performance</v>
      </c>
      <c r="W70" s="9"/>
    </row>
    <row r="71" ht="15.75" customHeight="1">
      <c r="A71" s="6">
        <v>46301.0</v>
      </c>
      <c r="B71" s="20" t="s">
        <v>39</v>
      </c>
      <c r="C71" s="9" t="s">
        <v>40</v>
      </c>
      <c r="D71" s="9" t="s">
        <v>27</v>
      </c>
      <c r="E71" s="10">
        <v>0.0</v>
      </c>
      <c r="F71" s="9">
        <f t="shared" si="1"/>
        <v>0</v>
      </c>
      <c r="G71" s="11">
        <v>0.0</v>
      </c>
      <c r="H71" s="9">
        <f t="shared" si="2"/>
        <v>0</v>
      </c>
      <c r="I71" s="11">
        <v>0.0</v>
      </c>
      <c r="J71" s="9">
        <f t="shared" si="12"/>
        <v>0</v>
      </c>
      <c r="K71" s="11">
        <v>0.0</v>
      </c>
      <c r="L71" s="11">
        <v>0.0</v>
      </c>
      <c r="M71" s="14">
        <f t="shared" si="3"/>
        <v>0</v>
      </c>
      <c r="N71" s="11">
        <v>0.0</v>
      </c>
      <c r="O71" s="14">
        <f t="shared" si="4"/>
        <v>0</v>
      </c>
      <c r="P71" s="11">
        <v>0.0</v>
      </c>
      <c r="Q71" s="15">
        <v>0.0</v>
      </c>
      <c r="R71" s="9">
        <v>10.0</v>
      </c>
      <c r="S71" s="16">
        <f t="shared" si="5"/>
        <v>0</v>
      </c>
      <c r="T71" s="17">
        <f t="shared" si="6"/>
        <v>0</v>
      </c>
      <c r="U71" s="14">
        <f t="shared" si="7"/>
        <v>-10</v>
      </c>
      <c r="V71" s="9" t="str">
        <f t="shared" si="8"/>
        <v>Low Performance</v>
      </c>
      <c r="W71" s="9"/>
    </row>
    <row r="72" ht="15.75" customHeight="1">
      <c r="A72" s="6">
        <v>46301.0</v>
      </c>
      <c r="B72" s="7" t="s">
        <v>41</v>
      </c>
      <c r="C72" s="9" t="s">
        <v>40</v>
      </c>
      <c r="D72" s="9" t="s">
        <v>27</v>
      </c>
      <c r="E72" s="10">
        <v>0.0</v>
      </c>
      <c r="F72" s="9">
        <f t="shared" si="1"/>
        <v>0</v>
      </c>
      <c r="G72" s="11">
        <v>0.0</v>
      </c>
      <c r="H72" s="9">
        <f t="shared" si="2"/>
        <v>0</v>
      </c>
      <c r="I72" s="11">
        <v>0.0</v>
      </c>
      <c r="J72" s="9">
        <f t="shared" si="12"/>
        <v>0</v>
      </c>
      <c r="K72" s="11">
        <v>0.0</v>
      </c>
      <c r="L72" s="11">
        <v>0.0</v>
      </c>
      <c r="M72" s="14">
        <f t="shared" si="3"/>
        <v>0</v>
      </c>
      <c r="N72" s="11">
        <v>0.0</v>
      </c>
      <c r="O72" s="14">
        <f t="shared" si="4"/>
        <v>0</v>
      </c>
      <c r="P72" s="11">
        <v>0.0</v>
      </c>
      <c r="Q72" s="15">
        <v>0.0</v>
      </c>
      <c r="R72" s="9">
        <v>10.0</v>
      </c>
      <c r="S72" s="16">
        <f t="shared" si="5"/>
        <v>0</v>
      </c>
      <c r="T72" s="17">
        <f t="shared" si="6"/>
        <v>0</v>
      </c>
      <c r="U72" s="14">
        <f t="shared" si="7"/>
        <v>-10</v>
      </c>
      <c r="V72" s="9" t="str">
        <f t="shared" si="8"/>
        <v>Low Performance</v>
      </c>
      <c r="W72" s="9"/>
    </row>
    <row r="73" ht="15.75" customHeight="1">
      <c r="A73" s="6">
        <v>46301.0</v>
      </c>
      <c r="B73" s="7" t="s">
        <v>42</v>
      </c>
      <c r="C73" s="9" t="s">
        <v>40</v>
      </c>
      <c r="D73" s="9" t="s">
        <v>27</v>
      </c>
      <c r="E73" s="10">
        <v>0.0</v>
      </c>
      <c r="F73" s="9">
        <f t="shared" si="1"/>
        <v>0</v>
      </c>
      <c r="G73" s="11">
        <v>0.0</v>
      </c>
      <c r="H73" s="9">
        <f t="shared" si="2"/>
        <v>0</v>
      </c>
      <c r="I73" s="11">
        <v>0.0</v>
      </c>
      <c r="J73" s="9">
        <f t="shared" si="12"/>
        <v>0</v>
      </c>
      <c r="K73" s="11">
        <v>0.0</v>
      </c>
      <c r="L73" s="11">
        <v>0.0</v>
      </c>
      <c r="M73" s="14">
        <f t="shared" si="3"/>
        <v>0</v>
      </c>
      <c r="N73" s="11">
        <v>0.0</v>
      </c>
      <c r="O73" s="14">
        <f t="shared" si="4"/>
        <v>0</v>
      </c>
      <c r="P73" s="11">
        <v>0.0</v>
      </c>
      <c r="Q73" s="15">
        <v>0.0</v>
      </c>
      <c r="R73" s="9">
        <v>10.0</v>
      </c>
      <c r="S73" s="16">
        <f t="shared" si="5"/>
        <v>0</v>
      </c>
      <c r="T73" s="17">
        <f t="shared" si="6"/>
        <v>0</v>
      </c>
      <c r="U73" s="14">
        <f t="shared" si="7"/>
        <v>-10</v>
      </c>
      <c r="V73" s="9" t="str">
        <f t="shared" si="8"/>
        <v>Low Performance</v>
      </c>
      <c r="W73" s="9"/>
    </row>
    <row r="74" ht="15.75" customHeight="1">
      <c r="A74" s="6">
        <v>46301.0</v>
      </c>
      <c r="B74" s="7" t="s">
        <v>43</v>
      </c>
      <c r="C74" s="9" t="s">
        <v>40</v>
      </c>
      <c r="D74" s="9" t="s">
        <v>27</v>
      </c>
      <c r="E74" s="10">
        <v>0.0</v>
      </c>
      <c r="F74" s="9">
        <f t="shared" si="1"/>
        <v>0</v>
      </c>
      <c r="G74" s="11">
        <v>0.0</v>
      </c>
      <c r="H74" s="9">
        <f t="shared" si="2"/>
        <v>0</v>
      </c>
      <c r="I74" s="11">
        <v>0.0</v>
      </c>
      <c r="J74" s="9">
        <f t="shared" si="12"/>
        <v>0</v>
      </c>
      <c r="K74" s="11">
        <v>0.0</v>
      </c>
      <c r="L74" s="11">
        <v>0.0</v>
      </c>
      <c r="M74" s="14">
        <f t="shared" si="3"/>
        <v>0</v>
      </c>
      <c r="N74" s="11">
        <v>0.0</v>
      </c>
      <c r="O74" s="14">
        <f t="shared" si="4"/>
        <v>0</v>
      </c>
      <c r="P74" s="11">
        <v>0.0</v>
      </c>
      <c r="Q74" s="15">
        <v>0.0</v>
      </c>
      <c r="R74" s="9">
        <v>10.0</v>
      </c>
      <c r="S74" s="16">
        <f t="shared" si="5"/>
        <v>0</v>
      </c>
      <c r="T74" s="17">
        <f t="shared" si="6"/>
        <v>0</v>
      </c>
      <c r="U74" s="14">
        <f t="shared" si="7"/>
        <v>-10</v>
      </c>
      <c r="V74" s="9" t="str">
        <f t="shared" si="8"/>
        <v>Low Performance</v>
      </c>
      <c r="W74" s="9"/>
    </row>
    <row r="75" ht="15.75" customHeight="1">
      <c r="A75" s="6">
        <v>46301.0</v>
      </c>
      <c r="B75" s="7" t="s">
        <v>45</v>
      </c>
      <c r="C75" s="18" t="s">
        <v>46</v>
      </c>
      <c r="D75" s="9" t="s">
        <v>27</v>
      </c>
      <c r="E75" s="10">
        <v>0.0</v>
      </c>
      <c r="F75" s="9">
        <f t="shared" si="1"/>
        <v>0</v>
      </c>
      <c r="G75" s="11">
        <v>0.0</v>
      </c>
      <c r="H75" s="9">
        <f t="shared" si="2"/>
        <v>0</v>
      </c>
      <c r="I75" s="11">
        <v>0.0</v>
      </c>
      <c r="J75" s="9">
        <f t="shared" si="12"/>
        <v>0</v>
      </c>
      <c r="K75" s="11">
        <v>0.0</v>
      </c>
      <c r="L75" s="11">
        <v>0.0</v>
      </c>
      <c r="M75" s="14">
        <f t="shared" si="3"/>
        <v>0</v>
      </c>
      <c r="N75" s="11">
        <v>0.0</v>
      </c>
      <c r="O75" s="14">
        <f t="shared" si="4"/>
        <v>0</v>
      </c>
      <c r="P75" s="11">
        <v>0.0</v>
      </c>
      <c r="Q75" s="15">
        <v>0.0</v>
      </c>
      <c r="R75" s="9">
        <v>10.0</v>
      </c>
      <c r="S75" s="16">
        <f t="shared" si="5"/>
        <v>0</v>
      </c>
      <c r="T75" s="17">
        <f t="shared" si="6"/>
        <v>0</v>
      </c>
      <c r="U75" s="14">
        <f t="shared" si="7"/>
        <v>-10</v>
      </c>
      <c r="V75" s="9" t="str">
        <f t="shared" si="8"/>
        <v>Low Performance</v>
      </c>
      <c r="W75" s="9"/>
    </row>
    <row r="76" ht="15.75" customHeight="1">
      <c r="A76" s="6">
        <v>46301.0</v>
      </c>
      <c r="B76" s="7" t="s">
        <v>49</v>
      </c>
      <c r="C76" s="18" t="s">
        <v>46</v>
      </c>
      <c r="D76" s="9" t="s">
        <v>27</v>
      </c>
      <c r="E76" s="10">
        <v>0.0</v>
      </c>
      <c r="F76" s="9">
        <f t="shared" si="1"/>
        <v>0</v>
      </c>
      <c r="G76" s="11">
        <v>0.0</v>
      </c>
      <c r="H76" s="9">
        <f t="shared" si="2"/>
        <v>0</v>
      </c>
      <c r="I76" s="11">
        <v>0.0</v>
      </c>
      <c r="J76" s="9">
        <f t="shared" si="12"/>
        <v>0</v>
      </c>
      <c r="K76" s="11">
        <v>0.0</v>
      </c>
      <c r="L76" s="11">
        <v>0.0</v>
      </c>
      <c r="M76" s="14">
        <f t="shared" si="3"/>
        <v>0</v>
      </c>
      <c r="N76" s="11">
        <v>0.0</v>
      </c>
      <c r="O76" s="14">
        <f t="shared" si="4"/>
        <v>0</v>
      </c>
      <c r="P76" s="11">
        <v>0.0</v>
      </c>
      <c r="Q76" s="15">
        <v>0.0</v>
      </c>
      <c r="R76" s="9">
        <v>10.0</v>
      </c>
      <c r="S76" s="16">
        <f t="shared" si="5"/>
        <v>0</v>
      </c>
      <c r="T76" s="17">
        <f t="shared" si="6"/>
        <v>0</v>
      </c>
      <c r="U76" s="14">
        <f t="shared" si="7"/>
        <v>-10</v>
      </c>
      <c r="V76" s="9" t="str">
        <f t="shared" si="8"/>
        <v>Low Performance</v>
      </c>
      <c r="W76" s="9"/>
    </row>
    <row r="77" ht="15.75" customHeight="1">
      <c r="A77" s="6">
        <v>46301.0</v>
      </c>
      <c r="B77" s="22" t="s">
        <v>50</v>
      </c>
      <c r="C77" s="23" t="s">
        <v>46</v>
      </c>
      <c r="D77" s="24" t="s">
        <v>27</v>
      </c>
      <c r="E77" s="10">
        <v>0.0</v>
      </c>
      <c r="F77" s="9">
        <f t="shared" si="1"/>
        <v>0</v>
      </c>
      <c r="G77" s="11">
        <v>0.0</v>
      </c>
      <c r="H77" s="9">
        <f t="shared" si="2"/>
        <v>0</v>
      </c>
      <c r="I77" s="11">
        <v>0.0</v>
      </c>
      <c r="J77" s="9">
        <f t="shared" si="12"/>
        <v>0</v>
      </c>
      <c r="K77" s="11">
        <v>0.0</v>
      </c>
      <c r="L77" s="11">
        <v>0.0</v>
      </c>
      <c r="M77" s="14">
        <f t="shared" si="3"/>
        <v>0</v>
      </c>
      <c r="N77" s="11">
        <v>0.0</v>
      </c>
      <c r="O77" s="14">
        <f t="shared" si="4"/>
        <v>0</v>
      </c>
      <c r="P77" s="11">
        <v>0.0</v>
      </c>
      <c r="Q77" s="15">
        <v>0.0</v>
      </c>
      <c r="R77" s="9">
        <v>10.0</v>
      </c>
      <c r="S77" s="16">
        <f t="shared" si="5"/>
        <v>0</v>
      </c>
      <c r="T77" s="17">
        <f t="shared" si="6"/>
        <v>0</v>
      </c>
      <c r="U77" s="14">
        <f t="shared" si="7"/>
        <v>-10</v>
      </c>
      <c r="V77" s="9" t="str">
        <f t="shared" si="8"/>
        <v>Low Performance</v>
      </c>
      <c r="W77" s="9"/>
    </row>
    <row r="78" ht="15.75" customHeight="1">
      <c r="A78" s="6">
        <v>46302.0</v>
      </c>
      <c r="B78" s="7" t="s">
        <v>25</v>
      </c>
      <c r="C78" s="8" t="s">
        <v>26</v>
      </c>
      <c r="D78" s="9" t="s">
        <v>27</v>
      </c>
      <c r="E78" s="10">
        <v>0.0</v>
      </c>
      <c r="F78" s="9">
        <f t="shared" si="1"/>
        <v>0</v>
      </c>
      <c r="G78" s="11">
        <v>0.0</v>
      </c>
      <c r="H78" s="9">
        <f t="shared" si="2"/>
        <v>0</v>
      </c>
      <c r="I78" s="11">
        <v>0.0</v>
      </c>
      <c r="J78" s="9">
        <f t="shared" si="12"/>
        <v>0</v>
      </c>
      <c r="K78" s="11">
        <v>0.0</v>
      </c>
      <c r="L78" s="11">
        <v>0.0</v>
      </c>
      <c r="M78" s="14">
        <f t="shared" si="3"/>
        <v>0</v>
      </c>
      <c r="N78" s="11">
        <v>0.0</v>
      </c>
      <c r="O78" s="14">
        <f t="shared" si="4"/>
        <v>0</v>
      </c>
      <c r="P78" s="11">
        <v>0.0</v>
      </c>
      <c r="Q78" s="15">
        <v>0.0</v>
      </c>
      <c r="R78" s="9">
        <v>10.0</v>
      </c>
      <c r="S78" s="16">
        <f t="shared" si="5"/>
        <v>0</v>
      </c>
      <c r="T78" s="17">
        <f t="shared" si="6"/>
        <v>0</v>
      </c>
      <c r="U78" s="14">
        <f t="shared" si="7"/>
        <v>-10</v>
      </c>
      <c r="V78" s="9" t="str">
        <f t="shared" si="8"/>
        <v>Low Performance</v>
      </c>
      <c r="W78" s="9"/>
    </row>
    <row r="79" ht="15.75" customHeight="1">
      <c r="A79" s="6">
        <v>46302.0</v>
      </c>
      <c r="B79" s="7" t="s">
        <v>30</v>
      </c>
      <c r="C79" s="18" t="s">
        <v>31</v>
      </c>
      <c r="D79" s="9" t="s">
        <v>27</v>
      </c>
      <c r="E79" s="10">
        <v>0.0</v>
      </c>
      <c r="F79" s="9">
        <f t="shared" si="1"/>
        <v>0</v>
      </c>
      <c r="G79" s="11">
        <v>0.0</v>
      </c>
      <c r="H79" s="9">
        <f t="shared" si="2"/>
        <v>0</v>
      </c>
      <c r="I79" s="11">
        <v>0.0</v>
      </c>
      <c r="J79" s="9">
        <f t="shared" si="12"/>
        <v>0</v>
      </c>
      <c r="K79" s="11">
        <v>0.0</v>
      </c>
      <c r="L79" s="11">
        <v>0.0</v>
      </c>
      <c r="M79" s="14">
        <f t="shared" si="3"/>
        <v>0</v>
      </c>
      <c r="N79" s="11">
        <v>0.0</v>
      </c>
      <c r="O79" s="14">
        <f t="shared" si="4"/>
        <v>0</v>
      </c>
      <c r="P79" s="11">
        <v>0.0</v>
      </c>
      <c r="Q79" s="15">
        <v>0.0</v>
      </c>
      <c r="R79" s="9">
        <v>10.0</v>
      </c>
      <c r="S79" s="16">
        <f t="shared" si="5"/>
        <v>0</v>
      </c>
      <c r="T79" s="17">
        <f t="shared" si="6"/>
        <v>0</v>
      </c>
      <c r="U79" s="14">
        <f t="shared" si="7"/>
        <v>-10</v>
      </c>
      <c r="V79" s="9" t="str">
        <f t="shared" si="8"/>
        <v>Low Performance</v>
      </c>
      <c r="W79" s="9"/>
    </row>
    <row r="80" ht="15.75" customHeight="1">
      <c r="A80" s="6">
        <v>46302.0</v>
      </c>
      <c r="B80" s="7" t="s">
        <v>32</v>
      </c>
      <c r="C80" s="18" t="s">
        <v>33</v>
      </c>
      <c r="D80" s="9" t="s">
        <v>27</v>
      </c>
      <c r="E80" s="10">
        <v>0.0</v>
      </c>
      <c r="F80" s="9">
        <f t="shared" si="1"/>
        <v>0</v>
      </c>
      <c r="G80" s="11">
        <v>0.0</v>
      </c>
      <c r="H80" s="9">
        <f t="shared" si="2"/>
        <v>0</v>
      </c>
      <c r="I80" s="11">
        <v>0.0</v>
      </c>
      <c r="J80" s="9">
        <f t="shared" si="12"/>
        <v>0</v>
      </c>
      <c r="K80" s="11">
        <v>0.0</v>
      </c>
      <c r="L80" s="11">
        <v>0.0</v>
      </c>
      <c r="M80" s="14">
        <f t="shared" si="3"/>
        <v>0</v>
      </c>
      <c r="N80" s="11">
        <v>0.0</v>
      </c>
      <c r="O80" s="14">
        <f t="shared" si="4"/>
        <v>0</v>
      </c>
      <c r="P80" s="11">
        <v>0.0</v>
      </c>
      <c r="Q80" s="15">
        <v>0.0</v>
      </c>
      <c r="R80" s="9">
        <v>10.0</v>
      </c>
      <c r="S80" s="16">
        <f t="shared" si="5"/>
        <v>0</v>
      </c>
      <c r="T80" s="17">
        <f t="shared" si="6"/>
        <v>0</v>
      </c>
      <c r="U80" s="14">
        <f t="shared" si="7"/>
        <v>-10</v>
      </c>
      <c r="V80" s="9" t="str">
        <f t="shared" si="8"/>
        <v>Low Performance</v>
      </c>
      <c r="W80" s="9"/>
    </row>
    <row r="81" ht="15.75" customHeight="1">
      <c r="A81" s="6">
        <v>46302.0</v>
      </c>
      <c r="B81" s="7" t="s">
        <v>34</v>
      </c>
      <c r="C81" s="18" t="s">
        <v>35</v>
      </c>
      <c r="D81" s="9" t="s">
        <v>27</v>
      </c>
      <c r="E81" s="10">
        <v>0.0</v>
      </c>
      <c r="F81" s="9">
        <f t="shared" si="1"/>
        <v>0</v>
      </c>
      <c r="G81" s="11">
        <v>0.0</v>
      </c>
      <c r="H81" s="9">
        <f t="shared" si="2"/>
        <v>0</v>
      </c>
      <c r="I81" s="11">
        <v>0.0</v>
      </c>
      <c r="J81" s="9">
        <f t="shared" si="12"/>
        <v>0</v>
      </c>
      <c r="K81" s="11">
        <v>0.0</v>
      </c>
      <c r="L81" s="11">
        <v>0.0</v>
      </c>
      <c r="M81" s="14">
        <f t="shared" si="3"/>
        <v>0</v>
      </c>
      <c r="N81" s="11">
        <v>0.0</v>
      </c>
      <c r="O81" s="14">
        <f t="shared" si="4"/>
        <v>0</v>
      </c>
      <c r="P81" s="11">
        <v>0.0</v>
      </c>
      <c r="Q81" s="15">
        <v>0.0</v>
      </c>
      <c r="R81" s="9">
        <v>10.0</v>
      </c>
      <c r="S81" s="16">
        <f t="shared" si="5"/>
        <v>0</v>
      </c>
      <c r="T81" s="17">
        <f t="shared" si="6"/>
        <v>0</v>
      </c>
      <c r="U81" s="14">
        <f t="shared" si="7"/>
        <v>-10</v>
      </c>
      <c r="V81" s="9" t="str">
        <f t="shared" si="8"/>
        <v>Low Performance</v>
      </c>
      <c r="W81" s="9"/>
    </row>
    <row r="82" ht="15.75" customHeight="1">
      <c r="A82" s="6">
        <v>46302.0</v>
      </c>
      <c r="B82" s="7" t="s">
        <v>28</v>
      </c>
      <c r="C82" s="9" t="s">
        <v>29</v>
      </c>
      <c r="D82" s="9" t="s">
        <v>27</v>
      </c>
      <c r="E82" s="10">
        <v>0.0</v>
      </c>
      <c r="F82" s="9">
        <f t="shared" si="1"/>
        <v>0</v>
      </c>
      <c r="G82" s="11">
        <v>0.0</v>
      </c>
      <c r="H82" s="9">
        <f t="shared" si="2"/>
        <v>0</v>
      </c>
      <c r="I82" s="11">
        <v>0.0</v>
      </c>
      <c r="J82" s="9">
        <f t="shared" si="12"/>
        <v>0</v>
      </c>
      <c r="K82" s="11">
        <v>0.0</v>
      </c>
      <c r="L82" s="11">
        <v>0.0</v>
      </c>
      <c r="M82" s="14">
        <f t="shared" si="3"/>
        <v>0</v>
      </c>
      <c r="N82" s="11">
        <v>0.0</v>
      </c>
      <c r="O82" s="14">
        <f t="shared" si="4"/>
        <v>0</v>
      </c>
      <c r="P82" s="11">
        <v>0.0</v>
      </c>
      <c r="Q82" s="15">
        <v>0.0</v>
      </c>
      <c r="R82" s="9">
        <v>10.0</v>
      </c>
      <c r="S82" s="16">
        <f t="shared" si="5"/>
        <v>0</v>
      </c>
      <c r="T82" s="17">
        <f t="shared" si="6"/>
        <v>0</v>
      </c>
      <c r="U82" s="14">
        <f t="shared" si="7"/>
        <v>-10</v>
      </c>
      <c r="V82" s="9" t="str">
        <f t="shared" si="8"/>
        <v>Low Performance</v>
      </c>
      <c r="W82" s="9"/>
    </row>
    <row r="83" ht="15.75" customHeight="1">
      <c r="A83" s="6">
        <v>46302.0</v>
      </c>
      <c r="B83" s="7" t="s">
        <v>36</v>
      </c>
      <c r="C83" s="9" t="s">
        <v>29</v>
      </c>
      <c r="D83" s="9" t="s">
        <v>27</v>
      </c>
      <c r="E83" s="10">
        <v>0.0</v>
      </c>
      <c r="F83" s="9">
        <f t="shared" si="1"/>
        <v>0</v>
      </c>
      <c r="G83" s="11">
        <v>0.0</v>
      </c>
      <c r="H83" s="9">
        <f t="shared" si="2"/>
        <v>0</v>
      </c>
      <c r="I83" s="11">
        <v>0.0</v>
      </c>
      <c r="J83" s="9">
        <f t="shared" si="12"/>
        <v>0</v>
      </c>
      <c r="K83" s="11">
        <v>0.0</v>
      </c>
      <c r="L83" s="11">
        <v>0.0</v>
      </c>
      <c r="M83" s="14">
        <f t="shared" si="3"/>
        <v>0</v>
      </c>
      <c r="N83" s="11">
        <v>0.0</v>
      </c>
      <c r="O83" s="14">
        <f t="shared" si="4"/>
        <v>0</v>
      </c>
      <c r="P83" s="11">
        <v>0.0</v>
      </c>
      <c r="Q83" s="15">
        <v>0.0</v>
      </c>
      <c r="R83" s="9">
        <v>10.0</v>
      </c>
      <c r="S83" s="16">
        <f t="shared" si="5"/>
        <v>0</v>
      </c>
      <c r="T83" s="17">
        <f t="shared" si="6"/>
        <v>0</v>
      </c>
      <c r="U83" s="14">
        <f t="shared" si="7"/>
        <v>-10</v>
      </c>
      <c r="V83" s="9" t="str">
        <f t="shared" si="8"/>
        <v>Low Performance</v>
      </c>
      <c r="W83" s="9"/>
    </row>
    <row r="84" ht="15.75" customHeight="1">
      <c r="A84" s="6">
        <v>46302.0</v>
      </c>
      <c r="B84" s="7" t="s">
        <v>37</v>
      </c>
      <c r="C84" s="9" t="s">
        <v>29</v>
      </c>
      <c r="D84" s="9" t="s">
        <v>27</v>
      </c>
      <c r="E84" s="10">
        <v>0.0</v>
      </c>
      <c r="F84" s="9">
        <f t="shared" si="1"/>
        <v>0</v>
      </c>
      <c r="G84" s="11">
        <v>0.0</v>
      </c>
      <c r="H84" s="9">
        <f t="shared" si="2"/>
        <v>0</v>
      </c>
      <c r="I84" s="11">
        <v>0.0</v>
      </c>
      <c r="J84" s="9">
        <f t="shared" si="12"/>
        <v>0</v>
      </c>
      <c r="K84" s="11">
        <v>0.0</v>
      </c>
      <c r="L84" s="11">
        <v>0.0</v>
      </c>
      <c r="M84" s="14">
        <f t="shared" si="3"/>
        <v>0</v>
      </c>
      <c r="N84" s="11">
        <v>0.0</v>
      </c>
      <c r="O84" s="14">
        <f t="shared" si="4"/>
        <v>0</v>
      </c>
      <c r="P84" s="11">
        <v>0.0</v>
      </c>
      <c r="Q84" s="15">
        <v>0.0</v>
      </c>
      <c r="R84" s="9">
        <v>10.0</v>
      </c>
      <c r="S84" s="16">
        <f t="shared" si="5"/>
        <v>0</v>
      </c>
      <c r="T84" s="17">
        <f t="shared" si="6"/>
        <v>0</v>
      </c>
      <c r="U84" s="14">
        <f t="shared" si="7"/>
        <v>-10</v>
      </c>
      <c r="V84" s="9" t="str">
        <f t="shared" si="8"/>
        <v>Low Performance</v>
      </c>
      <c r="W84" s="9"/>
    </row>
    <row r="85" ht="15.75" customHeight="1">
      <c r="A85" s="6">
        <v>46302.0</v>
      </c>
      <c r="B85" s="7" t="s">
        <v>38</v>
      </c>
      <c r="C85" s="9" t="s">
        <v>29</v>
      </c>
      <c r="D85" s="9" t="s">
        <v>27</v>
      </c>
      <c r="E85" s="10">
        <v>0.0</v>
      </c>
      <c r="F85" s="9">
        <f t="shared" si="1"/>
        <v>0</v>
      </c>
      <c r="G85" s="11">
        <v>0.0</v>
      </c>
      <c r="H85" s="9">
        <f t="shared" si="2"/>
        <v>0</v>
      </c>
      <c r="I85" s="11">
        <v>0.0</v>
      </c>
      <c r="J85" s="9">
        <f t="shared" si="12"/>
        <v>0</v>
      </c>
      <c r="K85" s="11">
        <v>0.0</v>
      </c>
      <c r="L85" s="11">
        <v>0.0</v>
      </c>
      <c r="M85" s="14">
        <f t="shared" si="3"/>
        <v>0</v>
      </c>
      <c r="N85" s="11">
        <v>0.0</v>
      </c>
      <c r="O85" s="14">
        <f t="shared" si="4"/>
        <v>0</v>
      </c>
      <c r="P85" s="11">
        <v>0.0</v>
      </c>
      <c r="Q85" s="15">
        <v>0.0</v>
      </c>
      <c r="R85" s="9">
        <v>10.0</v>
      </c>
      <c r="S85" s="16">
        <f t="shared" si="5"/>
        <v>0</v>
      </c>
      <c r="T85" s="17">
        <f t="shared" si="6"/>
        <v>0</v>
      </c>
      <c r="U85" s="14">
        <f t="shared" si="7"/>
        <v>-10</v>
      </c>
      <c r="V85" s="9" t="str">
        <f t="shared" si="8"/>
        <v>Low Performance</v>
      </c>
      <c r="W85" s="9"/>
    </row>
    <row r="86" ht="15.75" customHeight="1">
      <c r="A86" s="6">
        <v>46302.0</v>
      </c>
      <c r="B86" s="20" t="s">
        <v>39</v>
      </c>
      <c r="C86" s="9" t="s">
        <v>40</v>
      </c>
      <c r="D86" s="9" t="s">
        <v>27</v>
      </c>
      <c r="E86" s="10">
        <v>0.0</v>
      </c>
      <c r="F86" s="9">
        <f t="shared" si="1"/>
        <v>0</v>
      </c>
      <c r="G86" s="11">
        <v>0.0</v>
      </c>
      <c r="H86" s="9">
        <f t="shared" si="2"/>
        <v>0</v>
      </c>
      <c r="I86" s="11">
        <v>0.0</v>
      </c>
      <c r="J86" s="9">
        <f t="shared" si="12"/>
        <v>0</v>
      </c>
      <c r="K86" s="11">
        <v>0.0</v>
      </c>
      <c r="L86" s="11">
        <v>0.0</v>
      </c>
      <c r="M86" s="14">
        <f t="shared" si="3"/>
        <v>0</v>
      </c>
      <c r="N86" s="11">
        <v>0.0</v>
      </c>
      <c r="O86" s="14">
        <f t="shared" si="4"/>
        <v>0</v>
      </c>
      <c r="P86" s="11">
        <v>0.0</v>
      </c>
      <c r="Q86" s="15">
        <v>0.0</v>
      </c>
      <c r="R86" s="9">
        <v>10.0</v>
      </c>
      <c r="S86" s="16">
        <f t="shared" si="5"/>
        <v>0</v>
      </c>
      <c r="T86" s="17">
        <f t="shared" si="6"/>
        <v>0</v>
      </c>
      <c r="U86" s="14">
        <f t="shared" si="7"/>
        <v>-10</v>
      </c>
      <c r="V86" s="9" t="str">
        <f t="shared" si="8"/>
        <v>Low Performance</v>
      </c>
      <c r="W86" s="9"/>
    </row>
    <row r="87" ht="15.75" customHeight="1">
      <c r="A87" s="6">
        <v>46302.0</v>
      </c>
      <c r="B87" s="7" t="s">
        <v>41</v>
      </c>
      <c r="C87" s="9" t="s">
        <v>40</v>
      </c>
      <c r="D87" s="9" t="s">
        <v>27</v>
      </c>
      <c r="E87" s="10">
        <v>0.0</v>
      </c>
      <c r="F87" s="9">
        <f t="shared" si="1"/>
        <v>0</v>
      </c>
      <c r="G87" s="11">
        <v>0.0</v>
      </c>
      <c r="H87" s="9">
        <f t="shared" si="2"/>
        <v>0</v>
      </c>
      <c r="I87" s="11">
        <v>0.0</v>
      </c>
      <c r="J87" s="9">
        <f t="shared" si="12"/>
        <v>0</v>
      </c>
      <c r="K87" s="11">
        <v>0.0</v>
      </c>
      <c r="L87" s="11">
        <v>0.0</v>
      </c>
      <c r="M87" s="14">
        <f t="shared" si="3"/>
        <v>0</v>
      </c>
      <c r="N87" s="11">
        <v>0.0</v>
      </c>
      <c r="O87" s="14">
        <f t="shared" si="4"/>
        <v>0</v>
      </c>
      <c r="P87" s="11">
        <v>0.0</v>
      </c>
      <c r="Q87" s="15">
        <v>0.0</v>
      </c>
      <c r="R87" s="9">
        <v>10.0</v>
      </c>
      <c r="S87" s="16">
        <f t="shared" si="5"/>
        <v>0</v>
      </c>
      <c r="T87" s="17">
        <f t="shared" si="6"/>
        <v>0</v>
      </c>
      <c r="U87" s="14">
        <f t="shared" si="7"/>
        <v>-10</v>
      </c>
      <c r="V87" s="9" t="str">
        <f t="shared" si="8"/>
        <v>Low Performance</v>
      </c>
      <c r="W87" s="9"/>
    </row>
    <row r="88" ht="15.75" customHeight="1">
      <c r="A88" s="6">
        <v>46302.0</v>
      </c>
      <c r="B88" s="7" t="s">
        <v>42</v>
      </c>
      <c r="C88" s="9" t="s">
        <v>40</v>
      </c>
      <c r="D88" s="9" t="s">
        <v>27</v>
      </c>
      <c r="E88" s="10">
        <v>0.0</v>
      </c>
      <c r="F88" s="9">
        <f t="shared" si="1"/>
        <v>0</v>
      </c>
      <c r="G88" s="11">
        <v>0.0</v>
      </c>
      <c r="H88" s="9">
        <f t="shared" si="2"/>
        <v>0</v>
      </c>
      <c r="I88" s="11">
        <v>0.0</v>
      </c>
      <c r="J88" s="9">
        <f t="shared" si="12"/>
        <v>0</v>
      </c>
      <c r="K88" s="11">
        <v>0.0</v>
      </c>
      <c r="L88" s="11">
        <v>0.0</v>
      </c>
      <c r="M88" s="14">
        <f t="shared" si="3"/>
        <v>0</v>
      </c>
      <c r="N88" s="11">
        <v>0.0</v>
      </c>
      <c r="O88" s="14">
        <f t="shared" si="4"/>
        <v>0</v>
      </c>
      <c r="P88" s="11">
        <v>0.0</v>
      </c>
      <c r="Q88" s="15">
        <v>0.0</v>
      </c>
      <c r="R88" s="9">
        <v>10.0</v>
      </c>
      <c r="S88" s="16">
        <f t="shared" si="5"/>
        <v>0</v>
      </c>
      <c r="T88" s="17">
        <f t="shared" si="6"/>
        <v>0</v>
      </c>
      <c r="U88" s="14">
        <f t="shared" si="7"/>
        <v>-10</v>
      </c>
      <c r="V88" s="9" t="str">
        <f t="shared" si="8"/>
        <v>Low Performance</v>
      </c>
      <c r="W88" s="9"/>
    </row>
    <row r="89" ht="15.75" customHeight="1">
      <c r="A89" s="6">
        <v>46302.0</v>
      </c>
      <c r="B89" s="7" t="s">
        <v>43</v>
      </c>
      <c r="C89" s="9" t="s">
        <v>40</v>
      </c>
      <c r="D89" s="9" t="s">
        <v>27</v>
      </c>
      <c r="E89" s="10">
        <v>0.0</v>
      </c>
      <c r="F89" s="9">
        <f t="shared" si="1"/>
        <v>0</v>
      </c>
      <c r="G89" s="11">
        <v>0.0</v>
      </c>
      <c r="H89" s="9">
        <f t="shared" si="2"/>
        <v>0</v>
      </c>
      <c r="I89" s="11">
        <v>0.0</v>
      </c>
      <c r="J89" s="9">
        <f t="shared" si="12"/>
        <v>0</v>
      </c>
      <c r="K89" s="11">
        <v>0.0</v>
      </c>
      <c r="L89" s="11">
        <v>0.0</v>
      </c>
      <c r="M89" s="14">
        <f t="shared" si="3"/>
        <v>0</v>
      </c>
      <c r="N89" s="11">
        <v>0.0</v>
      </c>
      <c r="O89" s="14">
        <f t="shared" si="4"/>
        <v>0</v>
      </c>
      <c r="P89" s="11">
        <v>0.0</v>
      </c>
      <c r="Q89" s="15">
        <v>0.0</v>
      </c>
      <c r="R89" s="9">
        <v>10.0</v>
      </c>
      <c r="S89" s="16">
        <f t="shared" si="5"/>
        <v>0</v>
      </c>
      <c r="T89" s="17">
        <f t="shared" si="6"/>
        <v>0</v>
      </c>
      <c r="U89" s="14">
        <f t="shared" si="7"/>
        <v>-10</v>
      </c>
      <c r="V89" s="9" t="str">
        <f t="shared" si="8"/>
        <v>Low Performance</v>
      </c>
      <c r="W89" s="9"/>
    </row>
    <row r="90" ht="15.75" customHeight="1">
      <c r="A90" s="6">
        <v>46302.0</v>
      </c>
      <c r="B90" s="7" t="s">
        <v>45</v>
      </c>
      <c r="C90" s="18" t="s">
        <v>46</v>
      </c>
      <c r="D90" s="9" t="s">
        <v>27</v>
      </c>
      <c r="E90" s="10">
        <v>0.0</v>
      </c>
      <c r="F90" s="9">
        <f t="shared" si="1"/>
        <v>0</v>
      </c>
      <c r="G90" s="11">
        <v>0.0</v>
      </c>
      <c r="H90" s="9">
        <f t="shared" si="2"/>
        <v>0</v>
      </c>
      <c r="I90" s="11">
        <v>0.0</v>
      </c>
      <c r="J90" s="9">
        <f t="shared" si="12"/>
        <v>0</v>
      </c>
      <c r="K90" s="11">
        <v>0.0</v>
      </c>
      <c r="L90" s="11">
        <v>0.0</v>
      </c>
      <c r="M90" s="14">
        <f t="shared" si="3"/>
        <v>0</v>
      </c>
      <c r="N90" s="11">
        <v>0.0</v>
      </c>
      <c r="O90" s="14">
        <f t="shared" si="4"/>
        <v>0</v>
      </c>
      <c r="P90" s="11">
        <v>0.0</v>
      </c>
      <c r="Q90" s="15">
        <v>0.0</v>
      </c>
      <c r="R90" s="9">
        <v>10.0</v>
      </c>
      <c r="S90" s="16">
        <f t="shared" si="5"/>
        <v>0</v>
      </c>
      <c r="T90" s="17">
        <f t="shared" si="6"/>
        <v>0</v>
      </c>
      <c r="U90" s="14">
        <f t="shared" si="7"/>
        <v>-10</v>
      </c>
      <c r="V90" s="9" t="str">
        <f t="shared" si="8"/>
        <v>Low Performance</v>
      </c>
      <c r="W90" s="9"/>
    </row>
    <row r="91" ht="15.75" customHeight="1">
      <c r="A91" s="6">
        <v>46302.0</v>
      </c>
      <c r="B91" s="7" t="s">
        <v>49</v>
      </c>
      <c r="C91" s="18" t="s">
        <v>46</v>
      </c>
      <c r="D91" s="9" t="s">
        <v>27</v>
      </c>
      <c r="E91" s="10">
        <v>0.0</v>
      </c>
      <c r="F91" s="9">
        <f t="shared" si="1"/>
        <v>0</v>
      </c>
      <c r="G91" s="11">
        <v>0.0</v>
      </c>
      <c r="H91" s="9">
        <f t="shared" si="2"/>
        <v>0</v>
      </c>
      <c r="I91" s="11">
        <v>0.0</v>
      </c>
      <c r="J91" s="9">
        <f t="shared" si="12"/>
        <v>0</v>
      </c>
      <c r="K91" s="11">
        <v>0.0</v>
      </c>
      <c r="L91" s="11">
        <v>0.0</v>
      </c>
      <c r="M91" s="14">
        <f t="shared" si="3"/>
        <v>0</v>
      </c>
      <c r="N91" s="11">
        <v>0.0</v>
      </c>
      <c r="O91" s="14">
        <f t="shared" si="4"/>
        <v>0</v>
      </c>
      <c r="P91" s="11">
        <v>0.0</v>
      </c>
      <c r="Q91" s="15">
        <v>0.0</v>
      </c>
      <c r="R91" s="9">
        <v>10.0</v>
      </c>
      <c r="S91" s="16">
        <f t="shared" si="5"/>
        <v>0</v>
      </c>
      <c r="T91" s="17">
        <f t="shared" si="6"/>
        <v>0</v>
      </c>
      <c r="U91" s="14">
        <f t="shared" si="7"/>
        <v>-10</v>
      </c>
      <c r="V91" s="9" t="str">
        <f t="shared" si="8"/>
        <v>Low Performance</v>
      </c>
      <c r="W91" s="9"/>
    </row>
    <row r="92" ht="15.75" customHeight="1">
      <c r="A92" s="6">
        <v>46302.0</v>
      </c>
      <c r="B92" s="22" t="s">
        <v>50</v>
      </c>
      <c r="C92" s="23" t="s">
        <v>46</v>
      </c>
      <c r="D92" s="24" t="s">
        <v>27</v>
      </c>
      <c r="E92" s="10">
        <v>0.0</v>
      </c>
      <c r="F92" s="9">
        <f t="shared" si="1"/>
        <v>0</v>
      </c>
      <c r="G92" s="11">
        <v>0.0</v>
      </c>
      <c r="H92" s="9">
        <f t="shared" si="2"/>
        <v>0</v>
      </c>
      <c r="I92" s="11">
        <v>0.0</v>
      </c>
      <c r="J92" s="9">
        <f t="shared" si="12"/>
        <v>0</v>
      </c>
      <c r="K92" s="11">
        <v>0.0</v>
      </c>
      <c r="L92" s="11">
        <v>0.0</v>
      </c>
      <c r="M92" s="14">
        <f t="shared" si="3"/>
        <v>0</v>
      </c>
      <c r="N92" s="11">
        <v>0.0</v>
      </c>
      <c r="O92" s="14">
        <f t="shared" si="4"/>
        <v>0</v>
      </c>
      <c r="P92" s="11">
        <v>0.0</v>
      </c>
      <c r="Q92" s="15">
        <v>0.0</v>
      </c>
      <c r="R92" s="9">
        <v>10.0</v>
      </c>
      <c r="S92" s="16">
        <f t="shared" si="5"/>
        <v>0</v>
      </c>
      <c r="T92" s="17">
        <f t="shared" si="6"/>
        <v>0</v>
      </c>
      <c r="U92" s="14">
        <f t="shared" si="7"/>
        <v>-10</v>
      </c>
      <c r="V92" s="9" t="str">
        <f t="shared" si="8"/>
        <v>Low Performance</v>
      </c>
      <c r="W92" s="9"/>
    </row>
    <row r="93" ht="15.75" customHeight="1">
      <c r="A93" s="6">
        <v>46303.0</v>
      </c>
      <c r="B93" s="7" t="s">
        <v>25</v>
      </c>
      <c r="C93" s="8" t="s">
        <v>26</v>
      </c>
      <c r="D93" s="9" t="s">
        <v>27</v>
      </c>
      <c r="E93" s="10">
        <v>0.0</v>
      </c>
      <c r="F93" s="9">
        <f t="shared" si="1"/>
        <v>0</v>
      </c>
      <c r="G93" s="11">
        <v>0.0</v>
      </c>
      <c r="H93" s="9">
        <f t="shared" si="2"/>
        <v>0</v>
      </c>
      <c r="I93" s="11">
        <v>0.0</v>
      </c>
      <c r="J93" s="9">
        <f t="shared" si="12"/>
        <v>0</v>
      </c>
      <c r="K93" s="11">
        <v>0.0</v>
      </c>
      <c r="L93" s="11">
        <v>0.0</v>
      </c>
      <c r="M93" s="14">
        <f t="shared" si="3"/>
        <v>0</v>
      </c>
      <c r="N93" s="11">
        <v>0.0</v>
      </c>
      <c r="O93" s="14">
        <f t="shared" si="4"/>
        <v>0</v>
      </c>
      <c r="P93" s="11">
        <v>0.0</v>
      </c>
      <c r="Q93" s="15">
        <v>0.0</v>
      </c>
      <c r="R93" s="9">
        <v>10.0</v>
      </c>
      <c r="S93" s="16">
        <f t="shared" si="5"/>
        <v>0</v>
      </c>
      <c r="T93" s="17">
        <f t="shared" si="6"/>
        <v>0</v>
      </c>
      <c r="U93" s="14">
        <f t="shared" si="7"/>
        <v>-10</v>
      </c>
      <c r="V93" s="9" t="str">
        <f t="shared" si="8"/>
        <v>Low Performance</v>
      </c>
      <c r="W93" s="9"/>
    </row>
    <row r="94" ht="15.75" customHeight="1">
      <c r="A94" s="6">
        <v>46303.0</v>
      </c>
      <c r="B94" s="7" t="s">
        <v>30</v>
      </c>
      <c r="C94" s="18" t="s">
        <v>31</v>
      </c>
      <c r="D94" s="9" t="s">
        <v>27</v>
      </c>
      <c r="E94" s="10">
        <v>0.0</v>
      </c>
      <c r="F94" s="9">
        <f t="shared" si="1"/>
        <v>0</v>
      </c>
      <c r="G94" s="11">
        <v>0.0</v>
      </c>
      <c r="H94" s="9">
        <f t="shared" si="2"/>
        <v>0</v>
      </c>
      <c r="I94" s="11">
        <v>0.0</v>
      </c>
      <c r="J94" s="9">
        <f t="shared" si="12"/>
        <v>0</v>
      </c>
      <c r="K94" s="11">
        <v>0.0</v>
      </c>
      <c r="L94" s="11">
        <v>0.0</v>
      </c>
      <c r="M94" s="14">
        <f t="shared" si="3"/>
        <v>0</v>
      </c>
      <c r="N94" s="11">
        <v>0.0</v>
      </c>
      <c r="O94" s="14">
        <f t="shared" si="4"/>
        <v>0</v>
      </c>
      <c r="P94" s="11">
        <v>0.0</v>
      </c>
      <c r="Q94" s="15">
        <v>0.0</v>
      </c>
      <c r="R94" s="9">
        <v>10.0</v>
      </c>
      <c r="S94" s="16">
        <f t="shared" si="5"/>
        <v>0</v>
      </c>
      <c r="T94" s="17">
        <f t="shared" si="6"/>
        <v>0</v>
      </c>
      <c r="U94" s="14">
        <f t="shared" si="7"/>
        <v>-10</v>
      </c>
      <c r="V94" s="9" t="str">
        <f t="shared" si="8"/>
        <v>Low Performance</v>
      </c>
      <c r="W94" s="9"/>
    </row>
    <row r="95" ht="15.75" customHeight="1">
      <c r="A95" s="6">
        <v>46303.0</v>
      </c>
      <c r="B95" s="7" t="s">
        <v>32</v>
      </c>
      <c r="C95" s="18" t="s">
        <v>33</v>
      </c>
      <c r="D95" s="9" t="s">
        <v>27</v>
      </c>
      <c r="E95" s="10">
        <v>0.0</v>
      </c>
      <c r="F95" s="9">
        <f t="shared" si="1"/>
        <v>0</v>
      </c>
      <c r="G95" s="11">
        <v>0.0</v>
      </c>
      <c r="H95" s="9">
        <f t="shared" si="2"/>
        <v>0</v>
      </c>
      <c r="I95" s="11">
        <v>0.0</v>
      </c>
      <c r="J95" s="9">
        <f t="shared" si="12"/>
        <v>0</v>
      </c>
      <c r="K95" s="11">
        <v>0.0</v>
      </c>
      <c r="L95" s="11">
        <v>0.0</v>
      </c>
      <c r="M95" s="14">
        <f t="shared" si="3"/>
        <v>0</v>
      </c>
      <c r="N95" s="11">
        <v>0.0</v>
      </c>
      <c r="O95" s="14">
        <f t="shared" si="4"/>
        <v>0</v>
      </c>
      <c r="P95" s="11">
        <v>0.0</v>
      </c>
      <c r="Q95" s="15">
        <v>0.0</v>
      </c>
      <c r="R95" s="9">
        <v>10.0</v>
      </c>
      <c r="S95" s="16">
        <f t="shared" si="5"/>
        <v>0</v>
      </c>
      <c r="T95" s="17">
        <f t="shared" si="6"/>
        <v>0</v>
      </c>
      <c r="U95" s="14">
        <f t="shared" si="7"/>
        <v>-10</v>
      </c>
      <c r="V95" s="9" t="str">
        <f t="shared" si="8"/>
        <v>Low Performance</v>
      </c>
      <c r="W95" s="9"/>
    </row>
    <row r="96" ht="15.75" customHeight="1">
      <c r="A96" s="6">
        <v>46303.0</v>
      </c>
      <c r="B96" s="7" t="s">
        <v>34</v>
      </c>
      <c r="C96" s="18" t="s">
        <v>35</v>
      </c>
      <c r="D96" s="9" t="s">
        <v>27</v>
      </c>
      <c r="E96" s="10">
        <v>0.0</v>
      </c>
      <c r="F96" s="9">
        <f t="shared" si="1"/>
        <v>0</v>
      </c>
      <c r="G96" s="11">
        <v>0.0</v>
      </c>
      <c r="H96" s="9">
        <f t="shared" si="2"/>
        <v>0</v>
      </c>
      <c r="I96" s="11">
        <v>0.0</v>
      </c>
      <c r="J96" s="9">
        <f t="shared" si="12"/>
        <v>0</v>
      </c>
      <c r="K96" s="11">
        <v>0.0</v>
      </c>
      <c r="L96" s="11">
        <v>0.0</v>
      </c>
      <c r="M96" s="14">
        <f t="shared" si="3"/>
        <v>0</v>
      </c>
      <c r="N96" s="11">
        <v>0.0</v>
      </c>
      <c r="O96" s="14">
        <f t="shared" si="4"/>
        <v>0</v>
      </c>
      <c r="P96" s="11">
        <v>0.0</v>
      </c>
      <c r="Q96" s="15">
        <v>0.0</v>
      </c>
      <c r="R96" s="9">
        <v>10.0</v>
      </c>
      <c r="S96" s="16">
        <f t="shared" si="5"/>
        <v>0</v>
      </c>
      <c r="T96" s="17">
        <f t="shared" si="6"/>
        <v>0</v>
      </c>
      <c r="U96" s="14">
        <f t="shared" si="7"/>
        <v>-10</v>
      </c>
      <c r="V96" s="9" t="str">
        <f t="shared" si="8"/>
        <v>Low Performance</v>
      </c>
      <c r="W96" s="9"/>
    </row>
    <row r="97" ht="15.75" customHeight="1">
      <c r="A97" s="6">
        <v>46303.0</v>
      </c>
      <c r="B97" s="7" t="s">
        <v>28</v>
      </c>
      <c r="C97" s="9" t="s">
        <v>29</v>
      </c>
      <c r="D97" s="9" t="s">
        <v>27</v>
      </c>
      <c r="E97" s="10">
        <v>0.0</v>
      </c>
      <c r="F97" s="9">
        <f t="shared" si="1"/>
        <v>0</v>
      </c>
      <c r="G97" s="11">
        <v>0.0</v>
      </c>
      <c r="H97" s="9">
        <f t="shared" si="2"/>
        <v>0</v>
      </c>
      <c r="I97" s="11">
        <v>0.0</v>
      </c>
      <c r="J97" s="9">
        <f t="shared" si="12"/>
        <v>0</v>
      </c>
      <c r="K97" s="11">
        <v>0.0</v>
      </c>
      <c r="L97" s="11">
        <v>0.0</v>
      </c>
      <c r="M97" s="14">
        <f t="shared" si="3"/>
        <v>0</v>
      </c>
      <c r="N97" s="11">
        <v>0.0</v>
      </c>
      <c r="O97" s="14">
        <f t="shared" si="4"/>
        <v>0</v>
      </c>
      <c r="P97" s="11">
        <v>0.0</v>
      </c>
      <c r="Q97" s="15">
        <v>0.0</v>
      </c>
      <c r="R97" s="9">
        <v>10.0</v>
      </c>
      <c r="S97" s="16">
        <f t="shared" si="5"/>
        <v>0</v>
      </c>
      <c r="T97" s="17">
        <f t="shared" si="6"/>
        <v>0</v>
      </c>
      <c r="U97" s="14">
        <f t="shared" si="7"/>
        <v>-10</v>
      </c>
      <c r="V97" s="9" t="str">
        <f t="shared" si="8"/>
        <v>Low Performance</v>
      </c>
      <c r="W97" s="9"/>
    </row>
    <row r="98" ht="15.75" customHeight="1">
      <c r="A98" s="6">
        <v>46303.0</v>
      </c>
      <c r="B98" s="7" t="s">
        <v>36</v>
      </c>
      <c r="C98" s="9" t="s">
        <v>29</v>
      </c>
      <c r="D98" s="9" t="s">
        <v>27</v>
      </c>
      <c r="E98" s="10">
        <v>0.0</v>
      </c>
      <c r="F98" s="9">
        <f t="shared" si="1"/>
        <v>0</v>
      </c>
      <c r="G98" s="11">
        <v>0.0</v>
      </c>
      <c r="H98" s="9">
        <f t="shared" si="2"/>
        <v>0</v>
      </c>
      <c r="I98" s="11">
        <v>0.0</v>
      </c>
      <c r="J98" s="9">
        <f t="shared" si="12"/>
        <v>0</v>
      </c>
      <c r="K98" s="11">
        <v>0.0</v>
      </c>
      <c r="L98" s="11">
        <v>0.0</v>
      </c>
      <c r="M98" s="14">
        <f t="shared" si="3"/>
        <v>0</v>
      </c>
      <c r="N98" s="11">
        <v>0.0</v>
      </c>
      <c r="O98" s="14">
        <f t="shared" si="4"/>
        <v>0</v>
      </c>
      <c r="P98" s="11">
        <v>0.0</v>
      </c>
      <c r="Q98" s="15">
        <v>0.0</v>
      </c>
      <c r="R98" s="9">
        <v>10.0</v>
      </c>
      <c r="S98" s="16">
        <f t="shared" si="5"/>
        <v>0</v>
      </c>
      <c r="T98" s="17">
        <f t="shared" si="6"/>
        <v>0</v>
      </c>
      <c r="U98" s="14">
        <f t="shared" si="7"/>
        <v>-10</v>
      </c>
      <c r="V98" s="9" t="str">
        <f t="shared" si="8"/>
        <v>Low Performance</v>
      </c>
      <c r="W98" s="9"/>
    </row>
    <row r="99" ht="15.75" customHeight="1">
      <c r="A99" s="6">
        <v>46303.0</v>
      </c>
      <c r="B99" s="7" t="s">
        <v>37</v>
      </c>
      <c r="C99" s="9" t="s">
        <v>29</v>
      </c>
      <c r="D99" s="9" t="s">
        <v>27</v>
      </c>
      <c r="E99" s="10">
        <v>0.0</v>
      </c>
      <c r="F99" s="9">
        <f t="shared" si="1"/>
        <v>0</v>
      </c>
      <c r="G99" s="11">
        <v>0.0</v>
      </c>
      <c r="H99" s="9">
        <f t="shared" si="2"/>
        <v>0</v>
      </c>
      <c r="I99" s="11">
        <v>0.0</v>
      </c>
      <c r="J99" s="9">
        <f t="shared" si="12"/>
        <v>0</v>
      </c>
      <c r="K99" s="11">
        <v>0.0</v>
      </c>
      <c r="L99" s="11">
        <v>0.0</v>
      </c>
      <c r="M99" s="14">
        <f t="shared" si="3"/>
        <v>0</v>
      </c>
      <c r="N99" s="11">
        <v>0.0</v>
      </c>
      <c r="O99" s="14">
        <f t="shared" si="4"/>
        <v>0</v>
      </c>
      <c r="P99" s="11">
        <v>0.0</v>
      </c>
      <c r="Q99" s="15">
        <v>0.0</v>
      </c>
      <c r="R99" s="9">
        <v>10.0</v>
      </c>
      <c r="S99" s="16">
        <f t="shared" si="5"/>
        <v>0</v>
      </c>
      <c r="T99" s="17">
        <f t="shared" si="6"/>
        <v>0</v>
      </c>
      <c r="U99" s="14">
        <f t="shared" si="7"/>
        <v>-10</v>
      </c>
      <c r="V99" s="9" t="str">
        <f t="shared" si="8"/>
        <v>Low Performance</v>
      </c>
      <c r="W99" s="9"/>
    </row>
    <row r="100" ht="15.75" customHeight="1">
      <c r="A100" s="6">
        <v>46303.0</v>
      </c>
      <c r="B100" s="7" t="s">
        <v>38</v>
      </c>
      <c r="C100" s="9" t="s">
        <v>29</v>
      </c>
      <c r="D100" s="9" t="s">
        <v>27</v>
      </c>
      <c r="E100" s="10">
        <v>0.0</v>
      </c>
      <c r="F100" s="9">
        <f t="shared" si="1"/>
        <v>0</v>
      </c>
      <c r="G100" s="11">
        <v>0.0</v>
      </c>
      <c r="H100" s="9">
        <f t="shared" si="2"/>
        <v>0</v>
      </c>
      <c r="I100" s="11">
        <v>0.0</v>
      </c>
      <c r="J100" s="9">
        <f t="shared" si="12"/>
        <v>0</v>
      </c>
      <c r="K100" s="11">
        <v>0.0</v>
      </c>
      <c r="L100" s="11">
        <v>0.0</v>
      </c>
      <c r="M100" s="14">
        <f t="shared" si="3"/>
        <v>0</v>
      </c>
      <c r="N100" s="11">
        <v>0.0</v>
      </c>
      <c r="O100" s="14">
        <f t="shared" si="4"/>
        <v>0</v>
      </c>
      <c r="P100" s="11">
        <v>0.0</v>
      </c>
      <c r="Q100" s="15">
        <v>0.0</v>
      </c>
      <c r="R100" s="9">
        <v>10.0</v>
      </c>
      <c r="S100" s="16">
        <f t="shared" si="5"/>
        <v>0</v>
      </c>
      <c r="T100" s="17">
        <f t="shared" si="6"/>
        <v>0</v>
      </c>
      <c r="U100" s="14">
        <f t="shared" si="7"/>
        <v>-10</v>
      </c>
      <c r="V100" s="9" t="str">
        <f t="shared" si="8"/>
        <v>Low Performance</v>
      </c>
      <c r="W100" s="9"/>
    </row>
    <row r="101" ht="15.75" customHeight="1">
      <c r="A101" s="6">
        <v>46303.0</v>
      </c>
      <c r="B101" s="20" t="s">
        <v>39</v>
      </c>
      <c r="C101" s="9" t="s">
        <v>40</v>
      </c>
      <c r="D101" s="9" t="s">
        <v>27</v>
      </c>
      <c r="E101" s="10">
        <v>0.0</v>
      </c>
      <c r="F101" s="9">
        <f t="shared" si="1"/>
        <v>0</v>
      </c>
      <c r="G101" s="11">
        <v>0.0</v>
      </c>
      <c r="H101" s="9">
        <f t="shared" si="2"/>
        <v>0</v>
      </c>
      <c r="I101" s="11">
        <v>0.0</v>
      </c>
      <c r="J101" s="9">
        <f t="shared" si="12"/>
        <v>0</v>
      </c>
      <c r="K101" s="11">
        <v>0.0</v>
      </c>
      <c r="L101" s="11">
        <v>0.0</v>
      </c>
      <c r="M101" s="14">
        <f t="shared" si="3"/>
        <v>0</v>
      </c>
      <c r="N101" s="11">
        <v>0.0</v>
      </c>
      <c r="O101" s="14">
        <f t="shared" si="4"/>
        <v>0</v>
      </c>
      <c r="P101" s="11">
        <v>0.0</v>
      </c>
      <c r="Q101" s="15">
        <v>0.0</v>
      </c>
      <c r="R101" s="9">
        <v>10.0</v>
      </c>
      <c r="S101" s="16">
        <f t="shared" si="5"/>
        <v>0</v>
      </c>
      <c r="T101" s="17">
        <f t="shared" si="6"/>
        <v>0</v>
      </c>
      <c r="U101" s="14">
        <f t="shared" si="7"/>
        <v>-10</v>
      </c>
      <c r="V101" s="9" t="str">
        <f t="shared" si="8"/>
        <v>Low Performance</v>
      </c>
      <c r="W101" s="9"/>
    </row>
    <row r="102" ht="15.75" customHeight="1">
      <c r="A102" s="6">
        <v>46303.0</v>
      </c>
      <c r="B102" s="7" t="s">
        <v>41</v>
      </c>
      <c r="C102" s="9" t="s">
        <v>40</v>
      </c>
      <c r="D102" s="9" t="s">
        <v>27</v>
      </c>
      <c r="E102" s="10">
        <v>0.0</v>
      </c>
      <c r="F102" s="9">
        <f t="shared" si="1"/>
        <v>0</v>
      </c>
      <c r="G102" s="11">
        <v>0.0</v>
      </c>
      <c r="H102" s="9">
        <f t="shared" si="2"/>
        <v>0</v>
      </c>
      <c r="I102" s="11">
        <v>0.0</v>
      </c>
      <c r="J102" s="9">
        <f t="shared" si="12"/>
        <v>0</v>
      </c>
      <c r="K102" s="11">
        <v>0.0</v>
      </c>
      <c r="L102" s="11">
        <v>0.0</v>
      </c>
      <c r="M102" s="14">
        <f t="shared" si="3"/>
        <v>0</v>
      </c>
      <c r="N102" s="11">
        <v>0.0</v>
      </c>
      <c r="O102" s="14">
        <f t="shared" si="4"/>
        <v>0</v>
      </c>
      <c r="P102" s="11">
        <v>0.0</v>
      </c>
      <c r="Q102" s="15">
        <v>0.0</v>
      </c>
      <c r="R102" s="9">
        <v>10.0</v>
      </c>
      <c r="S102" s="16">
        <f t="shared" si="5"/>
        <v>0</v>
      </c>
      <c r="T102" s="17">
        <f t="shared" si="6"/>
        <v>0</v>
      </c>
      <c r="U102" s="14">
        <f t="shared" si="7"/>
        <v>-10</v>
      </c>
      <c r="V102" s="9" t="str">
        <f t="shared" si="8"/>
        <v>Low Performance</v>
      </c>
      <c r="W102" s="9"/>
    </row>
    <row r="103" ht="15.75" customHeight="1">
      <c r="A103" s="6">
        <v>46303.0</v>
      </c>
      <c r="B103" s="7" t="s">
        <v>42</v>
      </c>
      <c r="C103" s="9" t="s">
        <v>40</v>
      </c>
      <c r="D103" s="9" t="s">
        <v>27</v>
      </c>
      <c r="E103" s="10">
        <v>0.0</v>
      </c>
      <c r="F103" s="9">
        <f t="shared" si="1"/>
        <v>0</v>
      </c>
      <c r="G103" s="11">
        <v>0.0</v>
      </c>
      <c r="H103" s="9">
        <f t="shared" si="2"/>
        <v>0</v>
      </c>
      <c r="I103" s="11">
        <v>0.0</v>
      </c>
      <c r="J103" s="9">
        <f t="shared" si="12"/>
        <v>0</v>
      </c>
      <c r="K103" s="11">
        <v>0.0</v>
      </c>
      <c r="L103" s="11">
        <v>0.0</v>
      </c>
      <c r="M103" s="14">
        <f t="shared" si="3"/>
        <v>0</v>
      </c>
      <c r="N103" s="11">
        <v>0.0</v>
      </c>
      <c r="O103" s="14">
        <f t="shared" si="4"/>
        <v>0</v>
      </c>
      <c r="P103" s="11">
        <v>0.0</v>
      </c>
      <c r="Q103" s="15">
        <v>0.0</v>
      </c>
      <c r="R103" s="9">
        <v>10.0</v>
      </c>
      <c r="S103" s="16">
        <f t="shared" si="5"/>
        <v>0</v>
      </c>
      <c r="T103" s="17">
        <f t="shared" si="6"/>
        <v>0</v>
      </c>
      <c r="U103" s="14">
        <f t="shared" si="7"/>
        <v>-10</v>
      </c>
      <c r="V103" s="9" t="str">
        <f t="shared" si="8"/>
        <v>Low Performance</v>
      </c>
      <c r="W103" s="9"/>
    </row>
    <row r="104" ht="15.75" customHeight="1">
      <c r="A104" s="6">
        <v>46303.0</v>
      </c>
      <c r="B104" s="7" t="s">
        <v>43</v>
      </c>
      <c r="C104" s="9" t="s">
        <v>40</v>
      </c>
      <c r="D104" s="9" t="s">
        <v>27</v>
      </c>
      <c r="E104" s="10">
        <v>0.0</v>
      </c>
      <c r="F104" s="9">
        <f t="shared" si="1"/>
        <v>0</v>
      </c>
      <c r="G104" s="11">
        <v>0.0</v>
      </c>
      <c r="H104" s="9">
        <f t="shared" si="2"/>
        <v>0</v>
      </c>
      <c r="I104" s="11">
        <v>0.0</v>
      </c>
      <c r="J104" s="9">
        <f t="shared" si="12"/>
        <v>0</v>
      </c>
      <c r="K104" s="11">
        <v>0.0</v>
      </c>
      <c r="L104" s="11">
        <v>0.0</v>
      </c>
      <c r="M104" s="14">
        <f t="shared" si="3"/>
        <v>0</v>
      </c>
      <c r="N104" s="11">
        <v>0.0</v>
      </c>
      <c r="O104" s="14">
        <f t="shared" si="4"/>
        <v>0</v>
      </c>
      <c r="P104" s="11">
        <v>0.0</v>
      </c>
      <c r="Q104" s="15">
        <v>0.0</v>
      </c>
      <c r="R104" s="9">
        <v>10.0</v>
      </c>
      <c r="S104" s="16">
        <f t="shared" si="5"/>
        <v>0</v>
      </c>
      <c r="T104" s="17">
        <f t="shared" si="6"/>
        <v>0</v>
      </c>
      <c r="U104" s="14">
        <f t="shared" si="7"/>
        <v>-10</v>
      </c>
      <c r="V104" s="9" t="str">
        <f t="shared" si="8"/>
        <v>Low Performance</v>
      </c>
      <c r="W104" s="9"/>
    </row>
    <row r="105" ht="15.75" customHeight="1">
      <c r="A105" s="6">
        <v>46303.0</v>
      </c>
      <c r="B105" s="7" t="s">
        <v>45</v>
      </c>
      <c r="C105" s="18" t="s">
        <v>46</v>
      </c>
      <c r="D105" s="9" t="s">
        <v>27</v>
      </c>
      <c r="E105" s="10">
        <v>0.0</v>
      </c>
      <c r="F105" s="9">
        <f t="shared" si="1"/>
        <v>0</v>
      </c>
      <c r="G105" s="11">
        <v>0.0</v>
      </c>
      <c r="H105" s="9">
        <f t="shared" si="2"/>
        <v>0</v>
      </c>
      <c r="I105" s="11">
        <v>0.0</v>
      </c>
      <c r="J105" s="9">
        <f t="shared" si="12"/>
        <v>0</v>
      </c>
      <c r="K105" s="11">
        <v>0.0</v>
      </c>
      <c r="L105" s="11">
        <v>0.0</v>
      </c>
      <c r="M105" s="14">
        <f t="shared" si="3"/>
        <v>0</v>
      </c>
      <c r="N105" s="11">
        <v>0.0</v>
      </c>
      <c r="O105" s="14">
        <f t="shared" si="4"/>
        <v>0</v>
      </c>
      <c r="P105" s="11">
        <v>0.0</v>
      </c>
      <c r="Q105" s="15">
        <v>0.0</v>
      </c>
      <c r="R105" s="9">
        <v>10.0</v>
      </c>
      <c r="S105" s="16">
        <f t="shared" si="5"/>
        <v>0</v>
      </c>
      <c r="T105" s="17">
        <f t="shared" si="6"/>
        <v>0</v>
      </c>
      <c r="U105" s="14">
        <f t="shared" si="7"/>
        <v>-10</v>
      </c>
      <c r="V105" s="9" t="str">
        <f t="shared" si="8"/>
        <v>Low Performance</v>
      </c>
      <c r="W105" s="9"/>
    </row>
    <row r="106" ht="15.75" customHeight="1">
      <c r="A106" s="6">
        <v>46303.0</v>
      </c>
      <c r="B106" s="7" t="s">
        <v>49</v>
      </c>
      <c r="C106" s="18" t="s">
        <v>46</v>
      </c>
      <c r="D106" s="9" t="s">
        <v>27</v>
      </c>
      <c r="E106" s="10">
        <v>0.0</v>
      </c>
      <c r="F106" s="9">
        <f t="shared" si="1"/>
        <v>0</v>
      </c>
      <c r="G106" s="11">
        <v>0.0</v>
      </c>
      <c r="H106" s="9">
        <f t="shared" si="2"/>
        <v>0</v>
      </c>
      <c r="I106" s="11">
        <v>0.0</v>
      </c>
      <c r="J106" s="9">
        <f t="shared" si="12"/>
        <v>0</v>
      </c>
      <c r="K106" s="11">
        <v>0.0</v>
      </c>
      <c r="L106" s="11">
        <v>0.0</v>
      </c>
      <c r="M106" s="14">
        <f t="shared" si="3"/>
        <v>0</v>
      </c>
      <c r="N106" s="11">
        <v>0.0</v>
      </c>
      <c r="O106" s="14">
        <f t="shared" si="4"/>
        <v>0</v>
      </c>
      <c r="P106" s="11">
        <v>0.0</v>
      </c>
      <c r="Q106" s="15">
        <v>0.0</v>
      </c>
      <c r="R106" s="9">
        <v>10.0</v>
      </c>
      <c r="S106" s="16">
        <f t="shared" si="5"/>
        <v>0</v>
      </c>
      <c r="T106" s="17">
        <f t="shared" si="6"/>
        <v>0</v>
      </c>
      <c r="U106" s="14">
        <f t="shared" si="7"/>
        <v>-10</v>
      </c>
      <c r="V106" s="9" t="str">
        <f t="shared" si="8"/>
        <v>Low Performance</v>
      </c>
      <c r="W106" s="9"/>
    </row>
    <row r="107" ht="15.75" customHeight="1">
      <c r="A107" s="6">
        <v>46303.0</v>
      </c>
      <c r="B107" s="22" t="s">
        <v>50</v>
      </c>
      <c r="C107" s="23" t="s">
        <v>46</v>
      </c>
      <c r="D107" s="24" t="s">
        <v>27</v>
      </c>
      <c r="E107" s="10">
        <v>0.0</v>
      </c>
      <c r="F107" s="9">
        <f t="shared" si="1"/>
        <v>0</v>
      </c>
      <c r="G107" s="11">
        <v>0.0</v>
      </c>
      <c r="H107" s="9">
        <f t="shared" si="2"/>
        <v>0</v>
      </c>
      <c r="I107" s="11">
        <v>0.0</v>
      </c>
      <c r="J107" s="9">
        <f t="shared" si="12"/>
        <v>0</v>
      </c>
      <c r="K107" s="11">
        <v>0.0</v>
      </c>
      <c r="L107" s="11">
        <v>0.0</v>
      </c>
      <c r="M107" s="14">
        <f t="shared" si="3"/>
        <v>0</v>
      </c>
      <c r="N107" s="11">
        <v>0.0</v>
      </c>
      <c r="O107" s="14">
        <f t="shared" si="4"/>
        <v>0</v>
      </c>
      <c r="P107" s="11">
        <v>0.0</v>
      </c>
      <c r="Q107" s="15">
        <v>0.0</v>
      </c>
      <c r="R107" s="9">
        <v>10.0</v>
      </c>
      <c r="S107" s="16">
        <f t="shared" si="5"/>
        <v>0</v>
      </c>
      <c r="T107" s="17">
        <f t="shared" si="6"/>
        <v>0</v>
      </c>
      <c r="U107" s="14">
        <f t="shared" si="7"/>
        <v>-10</v>
      </c>
      <c r="V107" s="9" t="str">
        <f t="shared" si="8"/>
        <v>Low Performance</v>
      </c>
      <c r="W107" s="9"/>
    </row>
    <row r="108" ht="15.75" customHeight="1">
      <c r="A108" s="6">
        <v>46305.0</v>
      </c>
      <c r="B108" s="7" t="s">
        <v>25</v>
      </c>
      <c r="C108" s="8" t="s">
        <v>26</v>
      </c>
      <c r="D108" s="9" t="s">
        <v>27</v>
      </c>
      <c r="E108" s="10">
        <v>0.0</v>
      </c>
      <c r="F108" s="9">
        <f t="shared" si="1"/>
        <v>0</v>
      </c>
      <c r="G108" s="11">
        <v>0.0</v>
      </c>
      <c r="H108" s="9">
        <f t="shared" si="2"/>
        <v>0</v>
      </c>
      <c r="I108" s="11">
        <v>0.0</v>
      </c>
      <c r="J108" s="9">
        <f t="shared" si="12"/>
        <v>0</v>
      </c>
      <c r="K108" s="11">
        <v>0.0</v>
      </c>
      <c r="L108" s="11">
        <v>0.0</v>
      </c>
      <c r="M108" s="14">
        <f t="shared" si="3"/>
        <v>0</v>
      </c>
      <c r="N108" s="11">
        <v>0.0</v>
      </c>
      <c r="O108" s="14">
        <f t="shared" si="4"/>
        <v>0</v>
      </c>
      <c r="P108" s="11">
        <v>0.0</v>
      </c>
      <c r="Q108" s="15">
        <v>0.0</v>
      </c>
      <c r="R108" s="9">
        <v>10.0</v>
      </c>
      <c r="S108" s="16">
        <f t="shared" si="5"/>
        <v>0</v>
      </c>
      <c r="T108" s="17">
        <f t="shared" si="6"/>
        <v>0</v>
      </c>
      <c r="U108" s="14">
        <f t="shared" si="7"/>
        <v>-10</v>
      </c>
      <c r="V108" s="9" t="str">
        <f t="shared" si="8"/>
        <v>Low Performance</v>
      </c>
      <c r="W108" s="9"/>
    </row>
    <row r="109" ht="15.75" customHeight="1">
      <c r="A109" s="6">
        <v>46305.0</v>
      </c>
      <c r="B109" s="7" t="s">
        <v>30</v>
      </c>
      <c r="C109" s="18" t="s">
        <v>31</v>
      </c>
      <c r="D109" s="9" t="s">
        <v>27</v>
      </c>
      <c r="E109" s="10">
        <v>0.0</v>
      </c>
      <c r="F109" s="9">
        <f t="shared" si="1"/>
        <v>0</v>
      </c>
      <c r="G109" s="11">
        <v>0.0</v>
      </c>
      <c r="H109" s="9">
        <f t="shared" si="2"/>
        <v>0</v>
      </c>
      <c r="I109" s="11">
        <v>0.0</v>
      </c>
      <c r="J109" s="9">
        <f t="shared" si="12"/>
        <v>0</v>
      </c>
      <c r="K109" s="11">
        <v>0.0</v>
      </c>
      <c r="L109" s="11">
        <v>0.0</v>
      </c>
      <c r="M109" s="14">
        <f t="shared" si="3"/>
        <v>0</v>
      </c>
      <c r="N109" s="11">
        <v>0.0</v>
      </c>
      <c r="O109" s="14">
        <f t="shared" si="4"/>
        <v>0</v>
      </c>
      <c r="P109" s="11">
        <v>0.0</v>
      </c>
      <c r="Q109" s="15">
        <v>0.0</v>
      </c>
      <c r="R109" s="9">
        <v>10.0</v>
      </c>
      <c r="S109" s="16">
        <f t="shared" si="5"/>
        <v>0</v>
      </c>
      <c r="T109" s="17">
        <f t="shared" si="6"/>
        <v>0</v>
      </c>
      <c r="U109" s="14">
        <f t="shared" si="7"/>
        <v>-10</v>
      </c>
      <c r="V109" s="9" t="str">
        <f t="shared" si="8"/>
        <v>Low Performance</v>
      </c>
      <c r="W109" s="9"/>
    </row>
    <row r="110" ht="15.75" customHeight="1">
      <c r="A110" s="6">
        <v>46305.0</v>
      </c>
      <c r="B110" s="7" t="s">
        <v>32</v>
      </c>
      <c r="C110" s="18" t="s">
        <v>33</v>
      </c>
      <c r="D110" s="9" t="s">
        <v>27</v>
      </c>
      <c r="E110" s="10">
        <v>0.0</v>
      </c>
      <c r="F110" s="9">
        <f t="shared" si="1"/>
        <v>0</v>
      </c>
      <c r="G110" s="11">
        <v>0.0</v>
      </c>
      <c r="H110" s="9">
        <f t="shared" si="2"/>
        <v>0</v>
      </c>
      <c r="I110" s="11">
        <v>0.0</v>
      </c>
      <c r="J110" s="9">
        <f t="shared" si="12"/>
        <v>0</v>
      </c>
      <c r="K110" s="11">
        <v>0.0</v>
      </c>
      <c r="L110" s="11">
        <v>0.0</v>
      </c>
      <c r="M110" s="14">
        <f t="shared" si="3"/>
        <v>0</v>
      </c>
      <c r="N110" s="11">
        <v>0.0</v>
      </c>
      <c r="O110" s="14">
        <f t="shared" si="4"/>
        <v>0</v>
      </c>
      <c r="P110" s="11">
        <v>0.0</v>
      </c>
      <c r="Q110" s="15">
        <v>0.0</v>
      </c>
      <c r="R110" s="9">
        <v>10.0</v>
      </c>
      <c r="S110" s="16">
        <f t="shared" si="5"/>
        <v>0</v>
      </c>
      <c r="T110" s="17">
        <f t="shared" si="6"/>
        <v>0</v>
      </c>
      <c r="U110" s="14">
        <f t="shared" si="7"/>
        <v>-10</v>
      </c>
      <c r="V110" s="9" t="str">
        <f t="shared" si="8"/>
        <v>Low Performance</v>
      </c>
      <c r="W110" s="9"/>
    </row>
    <row r="111" ht="15.75" customHeight="1">
      <c r="A111" s="6">
        <v>46305.0</v>
      </c>
      <c r="B111" s="7" t="s">
        <v>34</v>
      </c>
      <c r="C111" s="18" t="s">
        <v>35</v>
      </c>
      <c r="D111" s="9" t="s">
        <v>27</v>
      </c>
      <c r="E111" s="10">
        <v>0.0</v>
      </c>
      <c r="F111" s="9">
        <f t="shared" si="1"/>
        <v>0</v>
      </c>
      <c r="G111" s="11">
        <v>0.0</v>
      </c>
      <c r="H111" s="9">
        <f t="shared" si="2"/>
        <v>0</v>
      </c>
      <c r="I111" s="11">
        <v>0.0</v>
      </c>
      <c r="J111" s="9">
        <f t="shared" si="12"/>
        <v>0</v>
      </c>
      <c r="K111" s="11">
        <v>0.0</v>
      </c>
      <c r="L111" s="11">
        <v>0.0</v>
      </c>
      <c r="M111" s="14">
        <f t="shared" si="3"/>
        <v>0</v>
      </c>
      <c r="N111" s="11">
        <v>0.0</v>
      </c>
      <c r="O111" s="14">
        <f t="shared" si="4"/>
        <v>0</v>
      </c>
      <c r="P111" s="11">
        <v>0.0</v>
      </c>
      <c r="Q111" s="15">
        <v>0.0</v>
      </c>
      <c r="R111" s="9">
        <v>10.0</v>
      </c>
      <c r="S111" s="16">
        <f t="shared" si="5"/>
        <v>0</v>
      </c>
      <c r="T111" s="17">
        <f t="shared" si="6"/>
        <v>0</v>
      </c>
      <c r="U111" s="14">
        <f t="shared" si="7"/>
        <v>-10</v>
      </c>
      <c r="V111" s="9" t="str">
        <f t="shared" si="8"/>
        <v>Low Performance</v>
      </c>
      <c r="W111" s="9"/>
    </row>
    <row r="112" ht="15.75" customHeight="1">
      <c r="A112" s="6">
        <v>46305.0</v>
      </c>
      <c r="B112" s="7" t="s">
        <v>28</v>
      </c>
      <c r="C112" s="9" t="s">
        <v>29</v>
      </c>
      <c r="D112" s="9" t="s">
        <v>27</v>
      </c>
      <c r="E112" s="10">
        <v>0.0</v>
      </c>
      <c r="F112" s="9">
        <f t="shared" si="1"/>
        <v>0</v>
      </c>
      <c r="G112" s="11">
        <v>0.0</v>
      </c>
      <c r="H112" s="9">
        <f t="shared" si="2"/>
        <v>0</v>
      </c>
      <c r="I112" s="11">
        <v>0.0</v>
      </c>
      <c r="J112" s="9">
        <f t="shared" si="12"/>
        <v>0</v>
      </c>
      <c r="K112" s="11">
        <v>0.0</v>
      </c>
      <c r="L112" s="11">
        <v>0.0</v>
      </c>
      <c r="M112" s="14">
        <f t="shared" si="3"/>
        <v>0</v>
      </c>
      <c r="N112" s="11">
        <v>0.0</v>
      </c>
      <c r="O112" s="14">
        <f t="shared" si="4"/>
        <v>0</v>
      </c>
      <c r="P112" s="11">
        <v>0.0</v>
      </c>
      <c r="Q112" s="15">
        <v>0.0</v>
      </c>
      <c r="R112" s="9">
        <v>10.0</v>
      </c>
      <c r="S112" s="16">
        <f t="shared" si="5"/>
        <v>0</v>
      </c>
      <c r="T112" s="17">
        <f t="shared" si="6"/>
        <v>0</v>
      </c>
      <c r="U112" s="14">
        <f t="shared" si="7"/>
        <v>-10</v>
      </c>
      <c r="V112" s="9" t="str">
        <f t="shared" si="8"/>
        <v>Low Performance</v>
      </c>
      <c r="W112" s="9"/>
    </row>
    <row r="113" ht="15.75" customHeight="1">
      <c r="A113" s="6">
        <v>46305.0</v>
      </c>
      <c r="B113" s="7" t="s">
        <v>36</v>
      </c>
      <c r="C113" s="9" t="s">
        <v>29</v>
      </c>
      <c r="D113" s="9" t="s">
        <v>27</v>
      </c>
      <c r="E113" s="10">
        <v>0.0</v>
      </c>
      <c r="F113" s="9">
        <f t="shared" si="1"/>
        <v>0</v>
      </c>
      <c r="G113" s="11">
        <v>0.0</v>
      </c>
      <c r="H113" s="9">
        <f t="shared" si="2"/>
        <v>0</v>
      </c>
      <c r="I113" s="11">
        <v>0.0</v>
      </c>
      <c r="J113" s="9">
        <f t="shared" si="12"/>
        <v>0</v>
      </c>
      <c r="K113" s="11">
        <v>0.0</v>
      </c>
      <c r="L113" s="11">
        <v>0.0</v>
      </c>
      <c r="M113" s="14">
        <f t="shared" si="3"/>
        <v>0</v>
      </c>
      <c r="N113" s="11">
        <v>0.0</v>
      </c>
      <c r="O113" s="14">
        <f t="shared" si="4"/>
        <v>0</v>
      </c>
      <c r="P113" s="11">
        <v>0.0</v>
      </c>
      <c r="Q113" s="15">
        <v>0.0</v>
      </c>
      <c r="R113" s="9">
        <v>10.0</v>
      </c>
      <c r="S113" s="16">
        <f t="shared" si="5"/>
        <v>0</v>
      </c>
      <c r="T113" s="17">
        <f t="shared" si="6"/>
        <v>0</v>
      </c>
      <c r="U113" s="14">
        <f t="shared" si="7"/>
        <v>-10</v>
      </c>
      <c r="V113" s="9" t="str">
        <f t="shared" si="8"/>
        <v>Low Performance</v>
      </c>
      <c r="W113" s="9"/>
    </row>
    <row r="114" ht="15.75" customHeight="1">
      <c r="A114" s="6">
        <v>46305.0</v>
      </c>
      <c r="B114" s="7" t="s">
        <v>37</v>
      </c>
      <c r="C114" s="9" t="s">
        <v>29</v>
      </c>
      <c r="D114" s="9" t="s">
        <v>27</v>
      </c>
      <c r="E114" s="10">
        <v>0.0</v>
      </c>
      <c r="F114" s="9">
        <f t="shared" si="1"/>
        <v>0</v>
      </c>
      <c r="G114" s="11">
        <v>0.0</v>
      </c>
      <c r="H114" s="9">
        <f t="shared" si="2"/>
        <v>0</v>
      </c>
      <c r="I114" s="11">
        <v>0.0</v>
      </c>
      <c r="J114" s="9">
        <f t="shared" si="12"/>
        <v>0</v>
      </c>
      <c r="K114" s="11">
        <v>0.0</v>
      </c>
      <c r="L114" s="11">
        <v>0.0</v>
      </c>
      <c r="M114" s="14">
        <f t="shared" si="3"/>
        <v>0</v>
      </c>
      <c r="N114" s="11">
        <v>0.0</v>
      </c>
      <c r="O114" s="14">
        <f t="shared" si="4"/>
        <v>0</v>
      </c>
      <c r="P114" s="11">
        <v>0.0</v>
      </c>
      <c r="Q114" s="15">
        <v>0.0</v>
      </c>
      <c r="R114" s="9">
        <v>10.0</v>
      </c>
      <c r="S114" s="16">
        <f t="shared" si="5"/>
        <v>0</v>
      </c>
      <c r="T114" s="17">
        <f t="shared" si="6"/>
        <v>0</v>
      </c>
      <c r="U114" s="14">
        <f t="shared" si="7"/>
        <v>-10</v>
      </c>
      <c r="V114" s="9" t="str">
        <f t="shared" si="8"/>
        <v>Low Performance</v>
      </c>
      <c r="W114" s="9"/>
    </row>
    <row r="115" ht="15.75" customHeight="1">
      <c r="A115" s="6">
        <v>46305.0</v>
      </c>
      <c r="B115" s="7" t="s">
        <v>38</v>
      </c>
      <c r="C115" s="9" t="s">
        <v>29</v>
      </c>
      <c r="D115" s="9" t="s">
        <v>27</v>
      </c>
      <c r="E115" s="10">
        <v>0.0</v>
      </c>
      <c r="F115" s="9">
        <f t="shared" si="1"/>
        <v>0</v>
      </c>
      <c r="G115" s="11">
        <v>0.0</v>
      </c>
      <c r="H115" s="9">
        <f t="shared" si="2"/>
        <v>0</v>
      </c>
      <c r="I115" s="11">
        <v>0.0</v>
      </c>
      <c r="J115" s="9">
        <f t="shared" si="12"/>
        <v>0</v>
      </c>
      <c r="K115" s="11">
        <v>0.0</v>
      </c>
      <c r="L115" s="11">
        <v>0.0</v>
      </c>
      <c r="M115" s="14">
        <f t="shared" si="3"/>
        <v>0</v>
      </c>
      <c r="N115" s="11">
        <v>0.0</v>
      </c>
      <c r="O115" s="14">
        <f t="shared" si="4"/>
        <v>0</v>
      </c>
      <c r="P115" s="11">
        <v>0.0</v>
      </c>
      <c r="Q115" s="15">
        <v>0.0</v>
      </c>
      <c r="R115" s="9">
        <v>10.0</v>
      </c>
      <c r="S115" s="16">
        <f t="shared" si="5"/>
        <v>0</v>
      </c>
      <c r="T115" s="17">
        <f t="shared" si="6"/>
        <v>0</v>
      </c>
      <c r="U115" s="14">
        <f t="shared" si="7"/>
        <v>-10</v>
      </c>
      <c r="V115" s="9" t="str">
        <f t="shared" si="8"/>
        <v>Low Performance</v>
      </c>
      <c r="W115" s="9"/>
    </row>
    <row r="116" ht="15.75" customHeight="1">
      <c r="A116" s="6">
        <v>46305.0</v>
      </c>
      <c r="B116" s="20" t="s">
        <v>39</v>
      </c>
      <c r="C116" s="9" t="s">
        <v>40</v>
      </c>
      <c r="D116" s="9" t="s">
        <v>27</v>
      </c>
      <c r="E116" s="10">
        <v>0.0</v>
      </c>
      <c r="F116" s="9">
        <f t="shared" si="1"/>
        <v>0</v>
      </c>
      <c r="G116" s="11">
        <v>0.0</v>
      </c>
      <c r="H116" s="9">
        <f t="shared" si="2"/>
        <v>0</v>
      </c>
      <c r="I116" s="11">
        <v>0.0</v>
      </c>
      <c r="J116" s="9">
        <f t="shared" si="12"/>
        <v>0</v>
      </c>
      <c r="K116" s="11">
        <v>0.0</v>
      </c>
      <c r="L116" s="11">
        <v>0.0</v>
      </c>
      <c r="M116" s="14">
        <f t="shared" si="3"/>
        <v>0</v>
      </c>
      <c r="N116" s="11">
        <v>0.0</v>
      </c>
      <c r="O116" s="14">
        <f t="shared" si="4"/>
        <v>0</v>
      </c>
      <c r="P116" s="11">
        <v>0.0</v>
      </c>
      <c r="Q116" s="15">
        <v>0.0</v>
      </c>
      <c r="R116" s="9">
        <v>10.0</v>
      </c>
      <c r="S116" s="16">
        <f t="shared" si="5"/>
        <v>0</v>
      </c>
      <c r="T116" s="17">
        <f t="shared" si="6"/>
        <v>0</v>
      </c>
      <c r="U116" s="14">
        <f t="shared" si="7"/>
        <v>-10</v>
      </c>
      <c r="V116" s="9" t="str">
        <f t="shared" si="8"/>
        <v>Low Performance</v>
      </c>
      <c r="W116" s="9"/>
    </row>
    <row r="117" ht="15.75" customHeight="1">
      <c r="A117" s="6">
        <v>46305.0</v>
      </c>
      <c r="B117" s="7" t="s">
        <v>41</v>
      </c>
      <c r="C117" s="9" t="s">
        <v>40</v>
      </c>
      <c r="D117" s="9" t="s">
        <v>27</v>
      </c>
      <c r="E117" s="10">
        <v>0.0</v>
      </c>
      <c r="F117" s="9">
        <f t="shared" si="1"/>
        <v>0</v>
      </c>
      <c r="G117" s="11">
        <v>0.0</v>
      </c>
      <c r="H117" s="9">
        <f t="shared" si="2"/>
        <v>0</v>
      </c>
      <c r="I117" s="11">
        <v>0.0</v>
      </c>
      <c r="J117" s="9">
        <f t="shared" si="12"/>
        <v>0</v>
      </c>
      <c r="K117" s="11">
        <v>0.0</v>
      </c>
      <c r="L117" s="11">
        <v>0.0</v>
      </c>
      <c r="M117" s="14">
        <f t="shared" si="3"/>
        <v>0</v>
      </c>
      <c r="N117" s="11">
        <v>0.0</v>
      </c>
      <c r="O117" s="14">
        <f t="shared" si="4"/>
        <v>0</v>
      </c>
      <c r="P117" s="11">
        <v>0.0</v>
      </c>
      <c r="Q117" s="15">
        <v>0.0</v>
      </c>
      <c r="R117" s="9">
        <v>10.0</v>
      </c>
      <c r="S117" s="16">
        <f t="shared" si="5"/>
        <v>0</v>
      </c>
      <c r="T117" s="17">
        <f t="shared" si="6"/>
        <v>0</v>
      </c>
      <c r="U117" s="14">
        <f t="shared" si="7"/>
        <v>-10</v>
      </c>
      <c r="V117" s="9" t="str">
        <f t="shared" si="8"/>
        <v>Low Performance</v>
      </c>
      <c r="W117" s="9"/>
    </row>
    <row r="118" ht="15.75" customHeight="1">
      <c r="A118" s="6">
        <v>46305.0</v>
      </c>
      <c r="B118" s="7" t="s">
        <v>42</v>
      </c>
      <c r="C118" s="9" t="s">
        <v>40</v>
      </c>
      <c r="D118" s="9" t="s">
        <v>27</v>
      </c>
      <c r="E118" s="10">
        <v>0.0</v>
      </c>
      <c r="F118" s="9">
        <f t="shared" si="1"/>
        <v>0</v>
      </c>
      <c r="G118" s="11">
        <v>0.0</v>
      </c>
      <c r="H118" s="9">
        <f t="shared" si="2"/>
        <v>0</v>
      </c>
      <c r="I118" s="11">
        <v>0.0</v>
      </c>
      <c r="J118" s="9">
        <f t="shared" si="12"/>
        <v>0</v>
      </c>
      <c r="K118" s="11">
        <v>0.0</v>
      </c>
      <c r="L118" s="11">
        <v>0.0</v>
      </c>
      <c r="M118" s="14">
        <f t="shared" si="3"/>
        <v>0</v>
      </c>
      <c r="N118" s="11">
        <v>0.0</v>
      </c>
      <c r="O118" s="14">
        <f t="shared" si="4"/>
        <v>0</v>
      </c>
      <c r="P118" s="11">
        <v>0.0</v>
      </c>
      <c r="Q118" s="15">
        <v>0.0</v>
      </c>
      <c r="R118" s="9">
        <v>10.0</v>
      </c>
      <c r="S118" s="16">
        <f t="shared" si="5"/>
        <v>0</v>
      </c>
      <c r="T118" s="17">
        <f t="shared" si="6"/>
        <v>0</v>
      </c>
      <c r="U118" s="14">
        <f t="shared" si="7"/>
        <v>-10</v>
      </c>
      <c r="V118" s="9" t="str">
        <f t="shared" si="8"/>
        <v>Low Performance</v>
      </c>
      <c r="W118" s="9"/>
    </row>
    <row r="119" ht="15.75" customHeight="1">
      <c r="A119" s="6">
        <v>46305.0</v>
      </c>
      <c r="B119" s="7" t="s">
        <v>43</v>
      </c>
      <c r="C119" s="9" t="s">
        <v>40</v>
      </c>
      <c r="D119" s="9" t="s">
        <v>27</v>
      </c>
      <c r="E119" s="10">
        <v>0.0</v>
      </c>
      <c r="F119" s="9">
        <f t="shared" si="1"/>
        <v>0</v>
      </c>
      <c r="G119" s="11">
        <v>0.0</v>
      </c>
      <c r="H119" s="9">
        <f t="shared" si="2"/>
        <v>0</v>
      </c>
      <c r="I119" s="11">
        <v>0.0</v>
      </c>
      <c r="J119" s="9">
        <f t="shared" si="12"/>
        <v>0</v>
      </c>
      <c r="K119" s="11">
        <v>0.0</v>
      </c>
      <c r="L119" s="11">
        <v>0.0</v>
      </c>
      <c r="M119" s="14">
        <f t="shared" si="3"/>
        <v>0</v>
      </c>
      <c r="N119" s="11">
        <v>0.0</v>
      </c>
      <c r="O119" s="14">
        <f t="shared" si="4"/>
        <v>0</v>
      </c>
      <c r="P119" s="11">
        <v>0.0</v>
      </c>
      <c r="Q119" s="15">
        <v>0.0</v>
      </c>
      <c r="R119" s="9">
        <v>10.0</v>
      </c>
      <c r="S119" s="16">
        <f t="shared" si="5"/>
        <v>0</v>
      </c>
      <c r="T119" s="17">
        <f t="shared" si="6"/>
        <v>0</v>
      </c>
      <c r="U119" s="14">
        <f t="shared" si="7"/>
        <v>-10</v>
      </c>
      <c r="V119" s="9" t="str">
        <f t="shared" si="8"/>
        <v>Low Performance</v>
      </c>
      <c r="W119" s="9"/>
    </row>
    <row r="120" ht="15.75" customHeight="1">
      <c r="A120" s="6">
        <v>46305.0</v>
      </c>
      <c r="B120" s="7" t="s">
        <v>45</v>
      </c>
      <c r="C120" s="18" t="s">
        <v>46</v>
      </c>
      <c r="D120" s="9" t="s">
        <v>27</v>
      </c>
      <c r="E120" s="10">
        <v>0.0</v>
      </c>
      <c r="F120" s="9">
        <f t="shared" si="1"/>
        <v>0</v>
      </c>
      <c r="G120" s="11">
        <v>0.0</v>
      </c>
      <c r="H120" s="9">
        <f t="shared" si="2"/>
        <v>0</v>
      </c>
      <c r="I120" s="11">
        <v>0.0</v>
      </c>
      <c r="J120" s="9">
        <f t="shared" si="12"/>
        <v>0</v>
      </c>
      <c r="K120" s="11">
        <v>0.0</v>
      </c>
      <c r="L120" s="11">
        <v>0.0</v>
      </c>
      <c r="M120" s="14">
        <f t="shared" si="3"/>
        <v>0</v>
      </c>
      <c r="N120" s="11">
        <v>0.0</v>
      </c>
      <c r="O120" s="14">
        <f t="shared" si="4"/>
        <v>0</v>
      </c>
      <c r="P120" s="11">
        <v>0.0</v>
      </c>
      <c r="Q120" s="15">
        <v>0.0</v>
      </c>
      <c r="R120" s="9">
        <v>10.0</v>
      </c>
      <c r="S120" s="16">
        <f t="shared" si="5"/>
        <v>0</v>
      </c>
      <c r="T120" s="17">
        <f t="shared" si="6"/>
        <v>0</v>
      </c>
      <c r="U120" s="14">
        <f t="shared" si="7"/>
        <v>-10</v>
      </c>
      <c r="V120" s="9" t="str">
        <f t="shared" si="8"/>
        <v>Low Performance</v>
      </c>
      <c r="W120" s="9"/>
    </row>
    <row r="121" ht="15.75" customHeight="1">
      <c r="A121" s="6">
        <v>46305.0</v>
      </c>
      <c r="B121" s="7" t="s">
        <v>49</v>
      </c>
      <c r="C121" s="18" t="s">
        <v>46</v>
      </c>
      <c r="D121" s="9" t="s">
        <v>27</v>
      </c>
      <c r="E121" s="10">
        <v>0.0</v>
      </c>
      <c r="F121" s="9">
        <f t="shared" si="1"/>
        <v>0</v>
      </c>
      <c r="G121" s="11">
        <v>0.0</v>
      </c>
      <c r="H121" s="9">
        <f t="shared" si="2"/>
        <v>0</v>
      </c>
      <c r="I121" s="11">
        <v>0.0</v>
      </c>
      <c r="J121" s="9">
        <f t="shared" si="12"/>
        <v>0</v>
      </c>
      <c r="K121" s="11">
        <v>0.0</v>
      </c>
      <c r="L121" s="11">
        <v>0.0</v>
      </c>
      <c r="M121" s="14">
        <f t="shared" si="3"/>
        <v>0</v>
      </c>
      <c r="N121" s="11">
        <v>0.0</v>
      </c>
      <c r="O121" s="14">
        <f t="shared" si="4"/>
        <v>0</v>
      </c>
      <c r="P121" s="11">
        <v>0.0</v>
      </c>
      <c r="Q121" s="15">
        <v>0.0</v>
      </c>
      <c r="R121" s="9">
        <v>10.0</v>
      </c>
      <c r="S121" s="16">
        <f t="shared" si="5"/>
        <v>0</v>
      </c>
      <c r="T121" s="17">
        <f t="shared" si="6"/>
        <v>0</v>
      </c>
      <c r="U121" s="14">
        <f t="shared" si="7"/>
        <v>-10</v>
      </c>
      <c r="V121" s="9" t="str">
        <f t="shared" si="8"/>
        <v>Low Performance</v>
      </c>
      <c r="W121" s="9"/>
    </row>
    <row r="122" ht="15.75" customHeight="1">
      <c r="A122" s="6">
        <v>46305.0</v>
      </c>
      <c r="B122" s="22" t="s">
        <v>50</v>
      </c>
      <c r="C122" s="23" t="s">
        <v>46</v>
      </c>
      <c r="D122" s="24" t="s">
        <v>27</v>
      </c>
      <c r="E122" s="10">
        <v>0.0</v>
      </c>
      <c r="F122" s="9">
        <f t="shared" si="1"/>
        <v>0</v>
      </c>
      <c r="G122" s="11">
        <v>0.0</v>
      </c>
      <c r="H122" s="9">
        <f t="shared" si="2"/>
        <v>0</v>
      </c>
      <c r="I122" s="11">
        <v>0.0</v>
      </c>
      <c r="J122" s="9">
        <f t="shared" si="12"/>
        <v>0</v>
      </c>
      <c r="K122" s="11">
        <v>0.0</v>
      </c>
      <c r="L122" s="11">
        <v>0.0</v>
      </c>
      <c r="M122" s="14">
        <f t="shared" si="3"/>
        <v>0</v>
      </c>
      <c r="N122" s="11">
        <v>0.0</v>
      </c>
      <c r="O122" s="14">
        <f t="shared" si="4"/>
        <v>0</v>
      </c>
      <c r="P122" s="11">
        <v>0.0</v>
      </c>
      <c r="Q122" s="15">
        <v>0.0</v>
      </c>
      <c r="R122" s="9">
        <v>10.0</v>
      </c>
      <c r="S122" s="16">
        <f t="shared" si="5"/>
        <v>0</v>
      </c>
      <c r="T122" s="17">
        <f t="shared" si="6"/>
        <v>0</v>
      </c>
      <c r="U122" s="14">
        <f t="shared" si="7"/>
        <v>-10</v>
      </c>
      <c r="V122" s="9" t="str">
        <f t="shared" si="8"/>
        <v>Low Performance</v>
      </c>
      <c r="W122" s="9"/>
    </row>
    <row r="123" ht="15.75" customHeight="1">
      <c r="A123" s="6">
        <v>46306.0</v>
      </c>
      <c r="B123" s="7" t="s">
        <v>25</v>
      </c>
      <c r="C123" s="8" t="s">
        <v>26</v>
      </c>
      <c r="D123" s="9" t="s">
        <v>27</v>
      </c>
      <c r="E123" s="10">
        <v>0.0</v>
      </c>
      <c r="F123" s="9">
        <f t="shared" si="1"/>
        <v>0</v>
      </c>
      <c r="G123" s="11">
        <v>0.0</v>
      </c>
      <c r="H123" s="9">
        <f t="shared" si="2"/>
        <v>0</v>
      </c>
      <c r="I123" s="11">
        <v>0.0</v>
      </c>
      <c r="J123" s="9">
        <f t="shared" si="12"/>
        <v>0</v>
      </c>
      <c r="K123" s="11">
        <v>0.0</v>
      </c>
      <c r="L123" s="11">
        <v>0.0</v>
      </c>
      <c r="M123" s="14">
        <f t="shared" si="3"/>
        <v>0</v>
      </c>
      <c r="N123" s="11">
        <v>0.0</v>
      </c>
      <c r="O123" s="14">
        <f t="shared" si="4"/>
        <v>0</v>
      </c>
      <c r="P123" s="11">
        <v>0.0</v>
      </c>
      <c r="Q123" s="15">
        <v>0.0</v>
      </c>
      <c r="R123" s="9">
        <v>10.0</v>
      </c>
      <c r="S123" s="16">
        <f t="shared" si="5"/>
        <v>0</v>
      </c>
      <c r="T123" s="17">
        <f t="shared" si="6"/>
        <v>0</v>
      </c>
      <c r="U123" s="14">
        <f t="shared" si="7"/>
        <v>-10</v>
      </c>
      <c r="V123" s="9" t="str">
        <f t="shared" si="8"/>
        <v>Low Performance</v>
      </c>
      <c r="W123" s="9"/>
    </row>
    <row r="124" ht="15.75" customHeight="1">
      <c r="A124" s="6">
        <v>46306.0</v>
      </c>
      <c r="B124" s="7" t="s">
        <v>30</v>
      </c>
      <c r="C124" s="18" t="s">
        <v>31</v>
      </c>
      <c r="D124" s="9" t="s">
        <v>27</v>
      </c>
      <c r="E124" s="10">
        <v>0.0</v>
      </c>
      <c r="F124" s="9">
        <f t="shared" si="1"/>
        <v>0</v>
      </c>
      <c r="G124" s="11">
        <v>0.0</v>
      </c>
      <c r="H124" s="9">
        <f t="shared" si="2"/>
        <v>0</v>
      </c>
      <c r="I124" s="11">
        <v>0.0</v>
      </c>
      <c r="J124" s="9">
        <f t="shared" si="12"/>
        <v>0</v>
      </c>
      <c r="K124" s="11">
        <v>0.0</v>
      </c>
      <c r="L124" s="11">
        <v>0.0</v>
      </c>
      <c r="M124" s="14">
        <f t="shared" si="3"/>
        <v>0</v>
      </c>
      <c r="N124" s="11">
        <v>0.0</v>
      </c>
      <c r="O124" s="14">
        <f t="shared" si="4"/>
        <v>0</v>
      </c>
      <c r="P124" s="11">
        <v>0.0</v>
      </c>
      <c r="Q124" s="15">
        <v>0.0</v>
      </c>
      <c r="R124" s="9">
        <v>10.0</v>
      </c>
      <c r="S124" s="16">
        <f t="shared" si="5"/>
        <v>0</v>
      </c>
      <c r="T124" s="17">
        <f t="shared" si="6"/>
        <v>0</v>
      </c>
      <c r="U124" s="14">
        <f t="shared" si="7"/>
        <v>-10</v>
      </c>
      <c r="V124" s="9" t="str">
        <f t="shared" si="8"/>
        <v>Low Performance</v>
      </c>
      <c r="W124" s="9"/>
    </row>
    <row r="125" ht="15.75" customHeight="1">
      <c r="A125" s="6">
        <v>46306.0</v>
      </c>
      <c r="B125" s="7" t="s">
        <v>32</v>
      </c>
      <c r="C125" s="18" t="s">
        <v>33</v>
      </c>
      <c r="D125" s="9" t="s">
        <v>27</v>
      </c>
      <c r="E125" s="10">
        <v>0.0</v>
      </c>
      <c r="F125" s="9">
        <f t="shared" si="1"/>
        <v>0</v>
      </c>
      <c r="G125" s="11">
        <v>0.0</v>
      </c>
      <c r="H125" s="9">
        <f t="shared" si="2"/>
        <v>0</v>
      </c>
      <c r="I125" s="11">
        <v>0.0</v>
      </c>
      <c r="J125" s="9">
        <f t="shared" si="12"/>
        <v>0</v>
      </c>
      <c r="K125" s="11">
        <v>0.0</v>
      </c>
      <c r="L125" s="11">
        <v>0.0</v>
      </c>
      <c r="M125" s="14">
        <f t="shared" si="3"/>
        <v>0</v>
      </c>
      <c r="N125" s="11">
        <v>0.0</v>
      </c>
      <c r="O125" s="14">
        <f t="shared" si="4"/>
        <v>0</v>
      </c>
      <c r="P125" s="11">
        <v>0.0</v>
      </c>
      <c r="Q125" s="15">
        <v>0.0</v>
      </c>
      <c r="R125" s="9">
        <v>10.0</v>
      </c>
      <c r="S125" s="16">
        <f t="shared" si="5"/>
        <v>0</v>
      </c>
      <c r="T125" s="17">
        <f t="shared" si="6"/>
        <v>0</v>
      </c>
      <c r="U125" s="14">
        <f t="shared" si="7"/>
        <v>-10</v>
      </c>
      <c r="V125" s="9" t="str">
        <f t="shared" si="8"/>
        <v>Low Performance</v>
      </c>
      <c r="W125" s="9"/>
    </row>
    <row r="126" ht="15.75" customHeight="1">
      <c r="A126" s="6">
        <v>46306.0</v>
      </c>
      <c r="B126" s="7" t="s">
        <v>34</v>
      </c>
      <c r="C126" s="18" t="s">
        <v>35</v>
      </c>
      <c r="D126" s="9" t="s">
        <v>27</v>
      </c>
      <c r="E126" s="10">
        <v>0.0</v>
      </c>
      <c r="F126" s="9">
        <f t="shared" si="1"/>
        <v>0</v>
      </c>
      <c r="G126" s="11">
        <v>0.0</v>
      </c>
      <c r="H126" s="9">
        <f t="shared" si="2"/>
        <v>0</v>
      </c>
      <c r="I126" s="11">
        <v>0.0</v>
      </c>
      <c r="J126" s="9">
        <f t="shared" si="12"/>
        <v>0</v>
      </c>
      <c r="K126" s="11">
        <v>0.0</v>
      </c>
      <c r="L126" s="11">
        <v>0.0</v>
      </c>
      <c r="M126" s="14">
        <f t="shared" si="3"/>
        <v>0</v>
      </c>
      <c r="N126" s="11">
        <v>0.0</v>
      </c>
      <c r="O126" s="14">
        <f t="shared" si="4"/>
        <v>0</v>
      </c>
      <c r="P126" s="11">
        <v>0.0</v>
      </c>
      <c r="Q126" s="15">
        <v>0.0</v>
      </c>
      <c r="R126" s="9">
        <v>10.0</v>
      </c>
      <c r="S126" s="16">
        <f t="shared" si="5"/>
        <v>0</v>
      </c>
      <c r="T126" s="17">
        <f t="shared" si="6"/>
        <v>0</v>
      </c>
      <c r="U126" s="14">
        <f t="shared" si="7"/>
        <v>-10</v>
      </c>
      <c r="V126" s="9" t="str">
        <f t="shared" si="8"/>
        <v>Low Performance</v>
      </c>
      <c r="W126" s="9"/>
    </row>
    <row r="127" ht="15.75" customHeight="1">
      <c r="A127" s="6">
        <v>46306.0</v>
      </c>
      <c r="B127" s="7" t="s">
        <v>28</v>
      </c>
      <c r="C127" s="9" t="s">
        <v>29</v>
      </c>
      <c r="D127" s="9" t="s">
        <v>27</v>
      </c>
      <c r="E127" s="10">
        <v>0.0</v>
      </c>
      <c r="F127" s="9">
        <f t="shared" si="1"/>
        <v>0</v>
      </c>
      <c r="G127" s="11">
        <v>0.0</v>
      </c>
      <c r="H127" s="9">
        <f t="shared" si="2"/>
        <v>0</v>
      </c>
      <c r="I127" s="11">
        <v>0.0</v>
      </c>
      <c r="J127" s="9">
        <f t="shared" si="12"/>
        <v>0</v>
      </c>
      <c r="K127" s="11">
        <v>0.0</v>
      </c>
      <c r="L127" s="11">
        <v>0.0</v>
      </c>
      <c r="M127" s="14">
        <f t="shared" si="3"/>
        <v>0</v>
      </c>
      <c r="N127" s="11">
        <v>0.0</v>
      </c>
      <c r="O127" s="14">
        <f t="shared" si="4"/>
        <v>0</v>
      </c>
      <c r="P127" s="11">
        <v>0.0</v>
      </c>
      <c r="Q127" s="15">
        <v>0.0</v>
      </c>
      <c r="R127" s="9">
        <v>10.0</v>
      </c>
      <c r="S127" s="16">
        <f t="shared" si="5"/>
        <v>0</v>
      </c>
      <c r="T127" s="17">
        <f t="shared" si="6"/>
        <v>0</v>
      </c>
      <c r="U127" s="14">
        <f t="shared" si="7"/>
        <v>-10</v>
      </c>
      <c r="V127" s="9" t="str">
        <f t="shared" si="8"/>
        <v>Low Performance</v>
      </c>
      <c r="W127" s="9"/>
    </row>
    <row r="128" ht="15.75" customHeight="1">
      <c r="A128" s="6">
        <v>46306.0</v>
      </c>
      <c r="B128" s="7" t="s">
        <v>36</v>
      </c>
      <c r="C128" s="9" t="s">
        <v>29</v>
      </c>
      <c r="D128" s="9" t="s">
        <v>27</v>
      </c>
      <c r="E128" s="10">
        <v>0.0</v>
      </c>
      <c r="F128" s="9">
        <f t="shared" si="1"/>
        <v>0</v>
      </c>
      <c r="G128" s="11">
        <v>0.0</v>
      </c>
      <c r="H128" s="9">
        <f t="shared" si="2"/>
        <v>0</v>
      </c>
      <c r="I128" s="11">
        <v>0.0</v>
      </c>
      <c r="J128" s="9">
        <f t="shared" si="12"/>
        <v>0</v>
      </c>
      <c r="K128" s="11">
        <v>0.0</v>
      </c>
      <c r="L128" s="11">
        <v>0.0</v>
      </c>
      <c r="M128" s="14">
        <f t="shared" si="3"/>
        <v>0</v>
      </c>
      <c r="N128" s="11">
        <v>0.0</v>
      </c>
      <c r="O128" s="14">
        <f t="shared" si="4"/>
        <v>0</v>
      </c>
      <c r="P128" s="11">
        <v>0.0</v>
      </c>
      <c r="Q128" s="15">
        <v>0.0</v>
      </c>
      <c r="R128" s="9">
        <v>10.0</v>
      </c>
      <c r="S128" s="16">
        <f t="shared" si="5"/>
        <v>0</v>
      </c>
      <c r="T128" s="17">
        <f t="shared" si="6"/>
        <v>0</v>
      </c>
      <c r="U128" s="14">
        <f t="shared" si="7"/>
        <v>-10</v>
      </c>
      <c r="V128" s="9" t="str">
        <f t="shared" si="8"/>
        <v>Low Performance</v>
      </c>
      <c r="W128" s="9"/>
    </row>
    <row r="129" ht="15.75" customHeight="1">
      <c r="A129" s="6">
        <v>46306.0</v>
      </c>
      <c r="B129" s="7" t="s">
        <v>37</v>
      </c>
      <c r="C129" s="9" t="s">
        <v>29</v>
      </c>
      <c r="D129" s="9" t="s">
        <v>27</v>
      </c>
      <c r="E129" s="10">
        <v>0.0</v>
      </c>
      <c r="F129" s="9">
        <f t="shared" si="1"/>
        <v>0</v>
      </c>
      <c r="G129" s="11">
        <v>0.0</v>
      </c>
      <c r="H129" s="9">
        <f t="shared" si="2"/>
        <v>0</v>
      </c>
      <c r="I129" s="11">
        <v>0.0</v>
      </c>
      <c r="J129" s="9">
        <f t="shared" si="12"/>
        <v>0</v>
      </c>
      <c r="K129" s="11">
        <v>0.0</v>
      </c>
      <c r="L129" s="11">
        <v>0.0</v>
      </c>
      <c r="M129" s="14">
        <f t="shared" si="3"/>
        <v>0</v>
      </c>
      <c r="N129" s="11">
        <v>0.0</v>
      </c>
      <c r="O129" s="14">
        <f t="shared" si="4"/>
        <v>0</v>
      </c>
      <c r="P129" s="11">
        <v>0.0</v>
      </c>
      <c r="Q129" s="15">
        <v>0.0</v>
      </c>
      <c r="R129" s="9">
        <v>10.0</v>
      </c>
      <c r="S129" s="16">
        <f t="shared" si="5"/>
        <v>0</v>
      </c>
      <c r="T129" s="17">
        <f t="shared" si="6"/>
        <v>0</v>
      </c>
      <c r="U129" s="14">
        <f t="shared" si="7"/>
        <v>-10</v>
      </c>
      <c r="V129" s="9" t="str">
        <f t="shared" si="8"/>
        <v>Low Performance</v>
      </c>
      <c r="W129" s="9"/>
    </row>
    <row r="130" ht="15.75" customHeight="1">
      <c r="A130" s="6">
        <v>46306.0</v>
      </c>
      <c r="B130" s="7" t="s">
        <v>38</v>
      </c>
      <c r="C130" s="9" t="s">
        <v>29</v>
      </c>
      <c r="D130" s="9" t="s">
        <v>27</v>
      </c>
      <c r="E130" s="10">
        <v>0.0</v>
      </c>
      <c r="F130" s="9">
        <f t="shared" si="1"/>
        <v>0</v>
      </c>
      <c r="G130" s="11">
        <v>0.0</v>
      </c>
      <c r="H130" s="9">
        <f t="shared" si="2"/>
        <v>0</v>
      </c>
      <c r="I130" s="11">
        <v>0.0</v>
      </c>
      <c r="J130" s="9">
        <f t="shared" si="12"/>
        <v>0</v>
      </c>
      <c r="K130" s="11">
        <v>0.0</v>
      </c>
      <c r="L130" s="11">
        <v>0.0</v>
      </c>
      <c r="M130" s="14">
        <f t="shared" si="3"/>
        <v>0</v>
      </c>
      <c r="N130" s="11">
        <v>0.0</v>
      </c>
      <c r="O130" s="14">
        <f t="shared" si="4"/>
        <v>0</v>
      </c>
      <c r="P130" s="11">
        <v>0.0</v>
      </c>
      <c r="Q130" s="15">
        <v>0.0</v>
      </c>
      <c r="R130" s="9">
        <v>10.0</v>
      </c>
      <c r="S130" s="16">
        <f t="shared" si="5"/>
        <v>0</v>
      </c>
      <c r="T130" s="17">
        <f t="shared" si="6"/>
        <v>0</v>
      </c>
      <c r="U130" s="14">
        <f t="shared" si="7"/>
        <v>-10</v>
      </c>
      <c r="V130" s="9" t="str">
        <f t="shared" si="8"/>
        <v>Low Performance</v>
      </c>
      <c r="W130" s="9"/>
    </row>
    <row r="131" ht="15.75" customHeight="1">
      <c r="A131" s="6">
        <v>46306.0</v>
      </c>
      <c r="B131" s="20" t="s">
        <v>39</v>
      </c>
      <c r="C131" s="9" t="s">
        <v>40</v>
      </c>
      <c r="D131" s="9" t="s">
        <v>27</v>
      </c>
      <c r="E131" s="10">
        <v>0.0</v>
      </c>
      <c r="F131" s="9">
        <f t="shared" si="1"/>
        <v>0</v>
      </c>
      <c r="G131" s="11">
        <v>0.0</v>
      </c>
      <c r="H131" s="9">
        <f t="shared" si="2"/>
        <v>0</v>
      </c>
      <c r="I131" s="11">
        <v>0.0</v>
      </c>
      <c r="J131" s="9">
        <f t="shared" si="12"/>
        <v>0</v>
      </c>
      <c r="K131" s="11">
        <v>0.0</v>
      </c>
      <c r="L131" s="11">
        <v>0.0</v>
      </c>
      <c r="M131" s="14">
        <f t="shared" si="3"/>
        <v>0</v>
      </c>
      <c r="N131" s="11">
        <v>0.0</v>
      </c>
      <c r="O131" s="14">
        <f t="shared" si="4"/>
        <v>0</v>
      </c>
      <c r="P131" s="11">
        <v>0.0</v>
      </c>
      <c r="Q131" s="15">
        <v>0.0</v>
      </c>
      <c r="R131" s="9">
        <v>10.0</v>
      </c>
      <c r="S131" s="16">
        <f t="shared" si="5"/>
        <v>0</v>
      </c>
      <c r="T131" s="17">
        <f t="shared" si="6"/>
        <v>0</v>
      </c>
      <c r="U131" s="14">
        <f t="shared" si="7"/>
        <v>-10</v>
      </c>
      <c r="V131" s="9" t="str">
        <f t="shared" si="8"/>
        <v>Low Performance</v>
      </c>
      <c r="W131" s="9"/>
    </row>
    <row r="132" ht="15.75" customHeight="1">
      <c r="A132" s="6">
        <v>46306.0</v>
      </c>
      <c r="B132" s="7" t="s">
        <v>41</v>
      </c>
      <c r="C132" s="9" t="s">
        <v>40</v>
      </c>
      <c r="D132" s="9" t="s">
        <v>27</v>
      </c>
      <c r="E132" s="10">
        <v>0.0</v>
      </c>
      <c r="F132" s="9">
        <f t="shared" si="1"/>
        <v>0</v>
      </c>
      <c r="G132" s="11">
        <v>0.0</v>
      </c>
      <c r="H132" s="9">
        <f t="shared" si="2"/>
        <v>0</v>
      </c>
      <c r="I132" s="11">
        <v>0.0</v>
      </c>
      <c r="J132" s="9">
        <f t="shared" si="12"/>
        <v>0</v>
      </c>
      <c r="K132" s="11">
        <v>0.0</v>
      </c>
      <c r="L132" s="11">
        <v>0.0</v>
      </c>
      <c r="M132" s="14">
        <f t="shared" si="3"/>
        <v>0</v>
      </c>
      <c r="N132" s="11">
        <v>0.0</v>
      </c>
      <c r="O132" s="14">
        <f t="shared" si="4"/>
        <v>0</v>
      </c>
      <c r="P132" s="11">
        <v>0.0</v>
      </c>
      <c r="Q132" s="15">
        <v>0.0</v>
      </c>
      <c r="R132" s="9">
        <v>10.0</v>
      </c>
      <c r="S132" s="16">
        <f t="shared" si="5"/>
        <v>0</v>
      </c>
      <c r="T132" s="17">
        <f t="shared" si="6"/>
        <v>0</v>
      </c>
      <c r="U132" s="14">
        <f t="shared" si="7"/>
        <v>-10</v>
      </c>
      <c r="V132" s="9" t="str">
        <f t="shared" si="8"/>
        <v>Low Performance</v>
      </c>
      <c r="W132" s="9"/>
    </row>
    <row r="133" ht="15.75" customHeight="1">
      <c r="A133" s="6">
        <v>46306.0</v>
      </c>
      <c r="B133" s="7" t="s">
        <v>42</v>
      </c>
      <c r="C133" s="9" t="s">
        <v>40</v>
      </c>
      <c r="D133" s="9" t="s">
        <v>27</v>
      </c>
      <c r="E133" s="10">
        <v>0.0</v>
      </c>
      <c r="F133" s="9">
        <f t="shared" si="1"/>
        <v>0</v>
      </c>
      <c r="G133" s="11">
        <v>0.0</v>
      </c>
      <c r="H133" s="9">
        <f t="shared" si="2"/>
        <v>0</v>
      </c>
      <c r="I133" s="11">
        <v>0.0</v>
      </c>
      <c r="J133" s="9">
        <f t="shared" si="12"/>
        <v>0</v>
      </c>
      <c r="K133" s="11">
        <v>0.0</v>
      </c>
      <c r="L133" s="11">
        <v>0.0</v>
      </c>
      <c r="M133" s="14">
        <f t="shared" si="3"/>
        <v>0</v>
      </c>
      <c r="N133" s="11">
        <v>0.0</v>
      </c>
      <c r="O133" s="14">
        <f t="shared" si="4"/>
        <v>0</v>
      </c>
      <c r="P133" s="11">
        <v>0.0</v>
      </c>
      <c r="Q133" s="15">
        <v>0.0</v>
      </c>
      <c r="R133" s="9">
        <v>10.0</v>
      </c>
      <c r="S133" s="16">
        <f t="shared" si="5"/>
        <v>0</v>
      </c>
      <c r="T133" s="17">
        <f t="shared" si="6"/>
        <v>0</v>
      </c>
      <c r="U133" s="14">
        <f t="shared" si="7"/>
        <v>-10</v>
      </c>
      <c r="V133" s="9" t="str">
        <f t="shared" si="8"/>
        <v>Low Performance</v>
      </c>
      <c r="W133" s="9"/>
    </row>
    <row r="134" ht="15.75" customHeight="1">
      <c r="A134" s="6">
        <v>46306.0</v>
      </c>
      <c r="B134" s="7" t="s">
        <v>43</v>
      </c>
      <c r="C134" s="9" t="s">
        <v>40</v>
      </c>
      <c r="D134" s="9" t="s">
        <v>27</v>
      </c>
      <c r="E134" s="10">
        <v>0.0</v>
      </c>
      <c r="F134" s="9">
        <f t="shared" si="1"/>
        <v>0</v>
      </c>
      <c r="G134" s="11">
        <v>0.0</v>
      </c>
      <c r="H134" s="9">
        <f t="shared" si="2"/>
        <v>0</v>
      </c>
      <c r="I134" s="11">
        <v>0.0</v>
      </c>
      <c r="J134" s="9">
        <f t="shared" si="12"/>
        <v>0</v>
      </c>
      <c r="K134" s="11">
        <v>0.0</v>
      </c>
      <c r="L134" s="11">
        <v>0.0</v>
      </c>
      <c r="M134" s="14">
        <f t="shared" si="3"/>
        <v>0</v>
      </c>
      <c r="N134" s="11">
        <v>0.0</v>
      </c>
      <c r="O134" s="14">
        <f t="shared" si="4"/>
        <v>0</v>
      </c>
      <c r="P134" s="11">
        <v>0.0</v>
      </c>
      <c r="Q134" s="15">
        <v>0.0</v>
      </c>
      <c r="R134" s="9">
        <v>10.0</v>
      </c>
      <c r="S134" s="16">
        <f t="shared" si="5"/>
        <v>0</v>
      </c>
      <c r="T134" s="17">
        <f t="shared" si="6"/>
        <v>0</v>
      </c>
      <c r="U134" s="14">
        <f t="shared" si="7"/>
        <v>-10</v>
      </c>
      <c r="V134" s="9" t="str">
        <f t="shared" si="8"/>
        <v>Low Performance</v>
      </c>
      <c r="W134" s="9"/>
    </row>
    <row r="135" ht="15.75" customHeight="1">
      <c r="A135" s="6">
        <v>46306.0</v>
      </c>
      <c r="B135" s="7" t="s">
        <v>45</v>
      </c>
      <c r="C135" s="18" t="s">
        <v>46</v>
      </c>
      <c r="D135" s="9" t="s">
        <v>27</v>
      </c>
      <c r="E135" s="10">
        <v>0.0</v>
      </c>
      <c r="F135" s="9">
        <f t="shared" si="1"/>
        <v>0</v>
      </c>
      <c r="G135" s="11">
        <v>0.0</v>
      </c>
      <c r="H135" s="9">
        <f t="shared" si="2"/>
        <v>0</v>
      </c>
      <c r="I135" s="11">
        <v>0.0</v>
      </c>
      <c r="J135" s="9">
        <f t="shared" si="12"/>
        <v>0</v>
      </c>
      <c r="K135" s="11">
        <v>0.0</v>
      </c>
      <c r="L135" s="11">
        <v>0.0</v>
      </c>
      <c r="M135" s="14">
        <f t="shared" si="3"/>
        <v>0</v>
      </c>
      <c r="N135" s="11">
        <v>0.0</v>
      </c>
      <c r="O135" s="14">
        <f t="shared" si="4"/>
        <v>0</v>
      </c>
      <c r="P135" s="11">
        <v>0.0</v>
      </c>
      <c r="Q135" s="15">
        <v>0.0</v>
      </c>
      <c r="R135" s="9">
        <v>10.0</v>
      </c>
      <c r="S135" s="16">
        <f t="shared" si="5"/>
        <v>0</v>
      </c>
      <c r="T135" s="17">
        <f t="shared" si="6"/>
        <v>0</v>
      </c>
      <c r="U135" s="14">
        <f t="shared" si="7"/>
        <v>-10</v>
      </c>
      <c r="V135" s="9" t="str">
        <f t="shared" si="8"/>
        <v>Low Performance</v>
      </c>
      <c r="W135" s="9"/>
    </row>
    <row r="136" ht="15.75" customHeight="1">
      <c r="A136" s="6">
        <v>46306.0</v>
      </c>
      <c r="B136" s="7" t="s">
        <v>49</v>
      </c>
      <c r="C136" s="18" t="s">
        <v>46</v>
      </c>
      <c r="D136" s="9" t="s">
        <v>27</v>
      </c>
      <c r="E136" s="10">
        <v>0.0</v>
      </c>
      <c r="F136" s="9">
        <f t="shared" si="1"/>
        <v>0</v>
      </c>
      <c r="G136" s="11">
        <v>0.0</v>
      </c>
      <c r="H136" s="9">
        <f t="shared" si="2"/>
        <v>0</v>
      </c>
      <c r="I136" s="11">
        <v>0.0</v>
      </c>
      <c r="J136" s="9">
        <f t="shared" si="12"/>
        <v>0</v>
      </c>
      <c r="K136" s="11">
        <v>0.0</v>
      </c>
      <c r="L136" s="11">
        <v>0.0</v>
      </c>
      <c r="M136" s="14">
        <f t="shared" si="3"/>
        <v>0</v>
      </c>
      <c r="N136" s="11">
        <v>0.0</v>
      </c>
      <c r="O136" s="14">
        <f t="shared" si="4"/>
        <v>0</v>
      </c>
      <c r="P136" s="11">
        <v>0.0</v>
      </c>
      <c r="Q136" s="15">
        <v>0.0</v>
      </c>
      <c r="R136" s="9">
        <v>10.0</v>
      </c>
      <c r="S136" s="16">
        <f t="shared" si="5"/>
        <v>0</v>
      </c>
      <c r="T136" s="17">
        <f t="shared" si="6"/>
        <v>0</v>
      </c>
      <c r="U136" s="14">
        <f t="shared" si="7"/>
        <v>-10</v>
      </c>
      <c r="V136" s="9" t="str">
        <f t="shared" si="8"/>
        <v>Low Performance</v>
      </c>
      <c r="W136" s="9"/>
    </row>
    <row r="137" ht="15.75" customHeight="1">
      <c r="A137" s="6">
        <v>46306.0</v>
      </c>
      <c r="B137" s="22" t="s">
        <v>50</v>
      </c>
      <c r="C137" s="23" t="s">
        <v>46</v>
      </c>
      <c r="D137" s="24" t="s">
        <v>27</v>
      </c>
      <c r="E137" s="10">
        <v>0.0</v>
      </c>
      <c r="F137" s="9">
        <f t="shared" si="1"/>
        <v>0</v>
      </c>
      <c r="G137" s="11">
        <v>0.0</v>
      </c>
      <c r="H137" s="9">
        <f t="shared" si="2"/>
        <v>0</v>
      </c>
      <c r="I137" s="11">
        <v>0.0</v>
      </c>
      <c r="J137" s="9">
        <f t="shared" si="12"/>
        <v>0</v>
      </c>
      <c r="K137" s="11">
        <v>0.0</v>
      </c>
      <c r="L137" s="11">
        <v>0.0</v>
      </c>
      <c r="M137" s="14">
        <f t="shared" si="3"/>
        <v>0</v>
      </c>
      <c r="N137" s="11">
        <v>0.0</v>
      </c>
      <c r="O137" s="14">
        <f t="shared" si="4"/>
        <v>0</v>
      </c>
      <c r="P137" s="11">
        <v>0.0</v>
      </c>
      <c r="Q137" s="15">
        <v>0.0</v>
      </c>
      <c r="R137" s="9">
        <v>10.0</v>
      </c>
      <c r="S137" s="16">
        <f t="shared" si="5"/>
        <v>0</v>
      </c>
      <c r="T137" s="17">
        <f t="shared" si="6"/>
        <v>0</v>
      </c>
      <c r="U137" s="14">
        <f t="shared" si="7"/>
        <v>-10</v>
      </c>
      <c r="V137" s="9" t="str">
        <f t="shared" si="8"/>
        <v>Low Performance</v>
      </c>
      <c r="W137" s="9"/>
    </row>
    <row r="138" ht="15.75" customHeight="1">
      <c r="A138" s="6">
        <v>46307.0</v>
      </c>
      <c r="B138" s="7" t="s">
        <v>25</v>
      </c>
      <c r="C138" s="8" t="s">
        <v>26</v>
      </c>
      <c r="D138" s="9" t="s">
        <v>27</v>
      </c>
      <c r="E138" s="10">
        <v>0.0</v>
      </c>
      <c r="F138" s="9">
        <f t="shared" si="1"/>
        <v>0</v>
      </c>
      <c r="G138" s="11">
        <v>0.0</v>
      </c>
      <c r="H138" s="9">
        <f t="shared" si="2"/>
        <v>0</v>
      </c>
      <c r="I138" s="11">
        <v>0.0</v>
      </c>
      <c r="J138" s="9">
        <f t="shared" si="12"/>
        <v>0</v>
      </c>
      <c r="K138" s="11">
        <v>0.0</v>
      </c>
      <c r="L138" s="11">
        <v>0.0</v>
      </c>
      <c r="M138" s="14">
        <f t="shared" si="3"/>
        <v>0</v>
      </c>
      <c r="N138" s="11">
        <v>0.0</v>
      </c>
      <c r="O138" s="14">
        <f t="shared" si="4"/>
        <v>0</v>
      </c>
      <c r="P138" s="11">
        <v>0.0</v>
      </c>
      <c r="Q138" s="15">
        <v>0.0</v>
      </c>
      <c r="R138" s="9">
        <v>10.0</v>
      </c>
      <c r="S138" s="16">
        <f t="shared" si="5"/>
        <v>0</v>
      </c>
      <c r="T138" s="17">
        <f t="shared" si="6"/>
        <v>0</v>
      </c>
      <c r="U138" s="14">
        <f t="shared" si="7"/>
        <v>-10</v>
      </c>
      <c r="V138" s="9" t="str">
        <f t="shared" si="8"/>
        <v>Low Performance</v>
      </c>
      <c r="W138" s="9"/>
    </row>
    <row r="139" ht="15.75" customHeight="1">
      <c r="A139" s="6">
        <v>46307.0</v>
      </c>
      <c r="B139" s="7" t="s">
        <v>30</v>
      </c>
      <c r="C139" s="18" t="s">
        <v>31</v>
      </c>
      <c r="D139" s="9" t="s">
        <v>27</v>
      </c>
      <c r="E139" s="10">
        <v>0.0</v>
      </c>
      <c r="F139" s="9">
        <f t="shared" si="1"/>
        <v>0</v>
      </c>
      <c r="G139" s="11">
        <v>0.0</v>
      </c>
      <c r="H139" s="9">
        <f t="shared" si="2"/>
        <v>0</v>
      </c>
      <c r="I139" s="11">
        <v>0.0</v>
      </c>
      <c r="J139" s="9">
        <f t="shared" si="12"/>
        <v>0</v>
      </c>
      <c r="K139" s="11">
        <v>0.0</v>
      </c>
      <c r="L139" s="11">
        <v>0.0</v>
      </c>
      <c r="M139" s="14">
        <f t="shared" si="3"/>
        <v>0</v>
      </c>
      <c r="N139" s="11">
        <v>0.0</v>
      </c>
      <c r="O139" s="14">
        <f t="shared" si="4"/>
        <v>0</v>
      </c>
      <c r="P139" s="11">
        <v>0.0</v>
      </c>
      <c r="Q139" s="15">
        <v>0.0</v>
      </c>
      <c r="R139" s="9">
        <v>10.0</v>
      </c>
      <c r="S139" s="16">
        <f t="shared" si="5"/>
        <v>0</v>
      </c>
      <c r="T139" s="17">
        <f t="shared" si="6"/>
        <v>0</v>
      </c>
      <c r="U139" s="14">
        <f t="shared" si="7"/>
        <v>-10</v>
      </c>
      <c r="V139" s="9" t="str">
        <f t="shared" si="8"/>
        <v>Low Performance</v>
      </c>
      <c r="W139" s="9"/>
    </row>
    <row r="140" ht="15.75" customHeight="1">
      <c r="A140" s="6">
        <v>46307.0</v>
      </c>
      <c r="B140" s="7" t="s">
        <v>32</v>
      </c>
      <c r="C140" s="18" t="s">
        <v>33</v>
      </c>
      <c r="D140" s="9" t="s">
        <v>27</v>
      </c>
      <c r="E140" s="10">
        <v>0.0</v>
      </c>
      <c r="F140" s="9">
        <f t="shared" si="1"/>
        <v>0</v>
      </c>
      <c r="G140" s="11">
        <v>0.0</v>
      </c>
      <c r="H140" s="9">
        <f t="shared" si="2"/>
        <v>0</v>
      </c>
      <c r="I140" s="11">
        <v>0.0</v>
      </c>
      <c r="J140" s="9">
        <f t="shared" si="12"/>
        <v>0</v>
      </c>
      <c r="K140" s="11">
        <v>0.0</v>
      </c>
      <c r="L140" s="11">
        <v>0.0</v>
      </c>
      <c r="M140" s="14">
        <f t="shared" si="3"/>
        <v>0</v>
      </c>
      <c r="N140" s="11">
        <v>0.0</v>
      </c>
      <c r="O140" s="14">
        <f t="shared" si="4"/>
        <v>0</v>
      </c>
      <c r="P140" s="11">
        <v>0.0</v>
      </c>
      <c r="Q140" s="15">
        <v>0.0</v>
      </c>
      <c r="R140" s="9">
        <v>10.0</v>
      </c>
      <c r="S140" s="16">
        <f t="shared" si="5"/>
        <v>0</v>
      </c>
      <c r="T140" s="17">
        <f t="shared" si="6"/>
        <v>0</v>
      </c>
      <c r="U140" s="14">
        <f t="shared" si="7"/>
        <v>-10</v>
      </c>
      <c r="V140" s="9" t="str">
        <f t="shared" si="8"/>
        <v>Low Performance</v>
      </c>
      <c r="W140" s="9"/>
    </row>
    <row r="141" ht="15.75" customHeight="1">
      <c r="A141" s="6">
        <v>46307.0</v>
      </c>
      <c r="B141" s="7" t="s">
        <v>34</v>
      </c>
      <c r="C141" s="18" t="s">
        <v>35</v>
      </c>
      <c r="D141" s="9" t="s">
        <v>27</v>
      </c>
      <c r="E141" s="10">
        <v>0.0</v>
      </c>
      <c r="F141" s="9">
        <f t="shared" si="1"/>
        <v>0</v>
      </c>
      <c r="G141" s="11">
        <v>0.0</v>
      </c>
      <c r="H141" s="9">
        <f t="shared" si="2"/>
        <v>0</v>
      </c>
      <c r="I141" s="11">
        <v>0.0</v>
      </c>
      <c r="J141" s="9">
        <f t="shared" si="12"/>
        <v>0</v>
      </c>
      <c r="K141" s="11">
        <v>0.0</v>
      </c>
      <c r="L141" s="11">
        <v>0.0</v>
      </c>
      <c r="M141" s="14">
        <f t="shared" si="3"/>
        <v>0</v>
      </c>
      <c r="N141" s="11">
        <v>0.0</v>
      </c>
      <c r="O141" s="14">
        <f t="shared" si="4"/>
        <v>0</v>
      </c>
      <c r="P141" s="11">
        <v>0.0</v>
      </c>
      <c r="Q141" s="15">
        <v>0.0</v>
      </c>
      <c r="R141" s="9">
        <v>10.0</v>
      </c>
      <c r="S141" s="16">
        <f t="shared" si="5"/>
        <v>0</v>
      </c>
      <c r="T141" s="17">
        <f t="shared" si="6"/>
        <v>0</v>
      </c>
      <c r="U141" s="14">
        <f t="shared" si="7"/>
        <v>-10</v>
      </c>
      <c r="V141" s="9" t="str">
        <f t="shared" si="8"/>
        <v>Low Performance</v>
      </c>
      <c r="W141" s="9"/>
    </row>
    <row r="142" ht="15.75" customHeight="1">
      <c r="A142" s="6">
        <v>46307.0</v>
      </c>
      <c r="B142" s="7" t="s">
        <v>28</v>
      </c>
      <c r="C142" s="9" t="s">
        <v>29</v>
      </c>
      <c r="D142" s="9" t="s">
        <v>27</v>
      </c>
      <c r="E142" s="10">
        <v>0.0</v>
      </c>
      <c r="F142" s="9">
        <f t="shared" si="1"/>
        <v>0</v>
      </c>
      <c r="G142" s="11">
        <v>0.0</v>
      </c>
      <c r="H142" s="9">
        <f t="shared" si="2"/>
        <v>0</v>
      </c>
      <c r="I142" s="11">
        <v>0.0</v>
      </c>
      <c r="J142" s="9">
        <f t="shared" si="12"/>
        <v>0</v>
      </c>
      <c r="K142" s="11">
        <v>0.0</v>
      </c>
      <c r="L142" s="11">
        <v>0.0</v>
      </c>
      <c r="M142" s="14">
        <f t="shared" si="3"/>
        <v>0</v>
      </c>
      <c r="N142" s="11">
        <v>0.0</v>
      </c>
      <c r="O142" s="14">
        <f t="shared" si="4"/>
        <v>0</v>
      </c>
      <c r="P142" s="11">
        <v>0.0</v>
      </c>
      <c r="Q142" s="15">
        <v>0.0</v>
      </c>
      <c r="R142" s="9">
        <v>10.0</v>
      </c>
      <c r="S142" s="16">
        <f t="shared" si="5"/>
        <v>0</v>
      </c>
      <c r="T142" s="17">
        <f t="shared" si="6"/>
        <v>0</v>
      </c>
      <c r="U142" s="14">
        <f t="shared" si="7"/>
        <v>-10</v>
      </c>
      <c r="V142" s="9" t="str">
        <f t="shared" si="8"/>
        <v>Low Performance</v>
      </c>
      <c r="W142" s="9"/>
    </row>
    <row r="143" ht="15.75" customHeight="1">
      <c r="A143" s="6">
        <v>46307.0</v>
      </c>
      <c r="B143" s="7" t="s">
        <v>36</v>
      </c>
      <c r="C143" s="9" t="s">
        <v>29</v>
      </c>
      <c r="D143" s="9" t="s">
        <v>27</v>
      </c>
      <c r="E143" s="10">
        <v>0.0</v>
      </c>
      <c r="F143" s="9">
        <f t="shared" si="1"/>
        <v>0</v>
      </c>
      <c r="G143" s="11">
        <v>0.0</v>
      </c>
      <c r="H143" s="9">
        <f t="shared" si="2"/>
        <v>0</v>
      </c>
      <c r="I143" s="11">
        <v>0.0</v>
      </c>
      <c r="J143" s="9">
        <f t="shared" si="12"/>
        <v>0</v>
      </c>
      <c r="K143" s="11">
        <v>0.0</v>
      </c>
      <c r="L143" s="11">
        <v>0.0</v>
      </c>
      <c r="M143" s="14">
        <f t="shared" si="3"/>
        <v>0</v>
      </c>
      <c r="N143" s="11">
        <v>0.0</v>
      </c>
      <c r="O143" s="14">
        <f t="shared" si="4"/>
        <v>0</v>
      </c>
      <c r="P143" s="11">
        <v>0.0</v>
      </c>
      <c r="Q143" s="15">
        <v>0.0</v>
      </c>
      <c r="R143" s="9">
        <v>10.0</v>
      </c>
      <c r="S143" s="16">
        <f t="shared" si="5"/>
        <v>0</v>
      </c>
      <c r="T143" s="17">
        <f t="shared" si="6"/>
        <v>0</v>
      </c>
      <c r="U143" s="14">
        <f t="shared" si="7"/>
        <v>-10</v>
      </c>
      <c r="V143" s="9" t="str">
        <f t="shared" si="8"/>
        <v>Low Performance</v>
      </c>
      <c r="W143" s="9"/>
    </row>
    <row r="144" ht="15.75" customHeight="1">
      <c r="A144" s="6">
        <v>46307.0</v>
      </c>
      <c r="B144" s="7" t="s">
        <v>37</v>
      </c>
      <c r="C144" s="9" t="s">
        <v>29</v>
      </c>
      <c r="D144" s="9" t="s">
        <v>27</v>
      </c>
      <c r="E144" s="10">
        <v>0.0</v>
      </c>
      <c r="F144" s="9">
        <f t="shared" si="1"/>
        <v>0</v>
      </c>
      <c r="G144" s="11">
        <v>0.0</v>
      </c>
      <c r="H144" s="9">
        <f t="shared" si="2"/>
        <v>0</v>
      </c>
      <c r="I144" s="11">
        <v>0.0</v>
      </c>
      <c r="J144" s="9">
        <f t="shared" si="12"/>
        <v>0</v>
      </c>
      <c r="K144" s="11">
        <v>0.0</v>
      </c>
      <c r="L144" s="11">
        <v>0.0</v>
      </c>
      <c r="M144" s="14">
        <f t="shared" si="3"/>
        <v>0</v>
      </c>
      <c r="N144" s="11">
        <v>0.0</v>
      </c>
      <c r="O144" s="14">
        <f t="shared" si="4"/>
        <v>0</v>
      </c>
      <c r="P144" s="11">
        <v>0.0</v>
      </c>
      <c r="Q144" s="15">
        <v>0.0</v>
      </c>
      <c r="R144" s="9">
        <v>10.0</v>
      </c>
      <c r="S144" s="16">
        <f t="shared" si="5"/>
        <v>0</v>
      </c>
      <c r="T144" s="17">
        <f t="shared" si="6"/>
        <v>0</v>
      </c>
      <c r="U144" s="14">
        <f t="shared" si="7"/>
        <v>-10</v>
      </c>
      <c r="V144" s="9" t="str">
        <f t="shared" si="8"/>
        <v>Low Performance</v>
      </c>
      <c r="W144" s="9"/>
    </row>
    <row r="145" ht="15.75" customHeight="1">
      <c r="A145" s="6">
        <v>46307.0</v>
      </c>
      <c r="B145" s="7" t="s">
        <v>38</v>
      </c>
      <c r="C145" s="9" t="s">
        <v>29</v>
      </c>
      <c r="D145" s="9" t="s">
        <v>27</v>
      </c>
      <c r="E145" s="10">
        <v>0.0</v>
      </c>
      <c r="F145" s="9">
        <f t="shared" si="1"/>
        <v>0</v>
      </c>
      <c r="G145" s="11">
        <v>0.0</v>
      </c>
      <c r="H145" s="9">
        <f t="shared" si="2"/>
        <v>0</v>
      </c>
      <c r="I145" s="11">
        <v>0.0</v>
      </c>
      <c r="J145" s="9">
        <f t="shared" si="12"/>
        <v>0</v>
      </c>
      <c r="K145" s="11">
        <v>0.0</v>
      </c>
      <c r="L145" s="11">
        <v>0.0</v>
      </c>
      <c r="M145" s="14">
        <f t="shared" si="3"/>
        <v>0</v>
      </c>
      <c r="N145" s="11">
        <v>0.0</v>
      </c>
      <c r="O145" s="14">
        <f t="shared" si="4"/>
        <v>0</v>
      </c>
      <c r="P145" s="11">
        <v>0.0</v>
      </c>
      <c r="Q145" s="15">
        <v>0.0</v>
      </c>
      <c r="R145" s="9">
        <v>10.0</v>
      </c>
      <c r="S145" s="16">
        <f t="shared" si="5"/>
        <v>0</v>
      </c>
      <c r="T145" s="17">
        <f t="shared" si="6"/>
        <v>0</v>
      </c>
      <c r="U145" s="14">
        <f t="shared" si="7"/>
        <v>-10</v>
      </c>
      <c r="V145" s="9" t="str">
        <f t="shared" si="8"/>
        <v>Low Performance</v>
      </c>
      <c r="W145" s="9"/>
    </row>
    <row r="146" ht="15.75" customHeight="1">
      <c r="A146" s="6">
        <v>46307.0</v>
      </c>
      <c r="B146" s="20" t="s">
        <v>39</v>
      </c>
      <c r="C146" s="9" t="s">
        <v>40</v>
      </c>
      <c r="D146" s="9" t="s">
        <v>27</v>
      </c>
      <c r="E146" s="10">
        <v>0.0</v>
      </c>
      <c r="F146" s="9">
        <f t="shared" si="1"/>
        <v>0</v>
      </c>
      <c r="G146" s="11">
        <v>0.0</v>
      </c>
      <c r="H146" s="9">
        <f t="shared" si="2"/>
        <v>0</v>
      </c>
      <c r="I146" s="11">
        <v>0.0</v>
      </c>
      <c r="J146" s="9">
        <f t="shared" si="12"/>
        <v>0</v>
      </c>
      <c r="K146" s="11">
        <v>0.0</v>
      </c>
      <c r="L146" s="11">
        <v>0.0</v>
      </c>
      <c r="M146" s="14">
        <f t="shared" si="3"/>
        <v>0</v>
      </c>
      <c r="N146" s="11">
        <v>0.0</v>
      </c>
      <c r="O146" s="14">
        <f t="shared" si="4"/>
        <v>0</v>
      </c>
      <c r="P146" s="11">
        <v>0.0</v>
      </c>
      <c r="Q146" s="15">
        <v>0.0</v>
      </c>
      <c r="R146" s="9">
        <v>10.0</v>
      </c>
      <c r="S146" s="16">
        <f t="shared" si="5"/>
        <v>0</v>
      </c>
      <c r="T146" s="17">
        <f t="shared" si="6"/>
        <v>0</v>
      </c>
      <c r="U146" s="14">
        <f t="shared" si="7"/>
        <v>-10</v>
      </c>
      <c r="V146" s="9" t="str">
        <f t="shared" si="8"/>
        <v>Low Performance</v>
      </c>
      <c r="W146" s="9"/>
    </row>
    <row r="147" ht="15.75" customHeight="1">
      <c r="A147" s="6">
        <v>46307.0</v>
      </c>
      <c r="B147" s="7" t="s">
        <v>41</v>
      </c>
      <c r="C147" s="9" t="s">
        <v>40</v>
      </c>
      <c r="D147" s="9" t="s">
        <v>27</v>
      </c>
      <c r="E147" s="10">
        <v>0.0</v>
      </c>
      <c r="F147" s="9">
        <f t="shared" si="1"/>
        <v>0</v>
      </c>
      <c r="G147" s="11">
        <v>0.0</v>
      </c>
      <c r="H147" s="9">
        <f t="shared" si="2"/>
        <v>0</v>
      </c>
      <c r="I147" s="11">
        <v>0.0</v>
      </c>
      <c r="J147" s="9">
        <f t="shared" si="12"/>
        <v>0</v>
      </c>
      <c r="K147" s="11">
        <v>0.0</v>
      </c>
      <c r="L147" s="11">
        <v>0.0</v>
      </c>
      <c r="M147" s="14">
        <f t="shared" si="3"/>
        <v>0</v>
      </c>
      <c r="N147" s="11">
        <v>0.0</v>
      </c>
      <c r="O147" s="14">
        <f t="shared" si="4"/>
        <v>0</v>
      </c>
      <c r="P147" s="11">
        <v>0.0</v>
      </c>
      <c r="Q147" s="15">
        <v>0.0</v>
      </c>
      <c r="R147" s="9">
        <v>10.0</v>
      </c>
      <c r="S147" s="16">
        <f t="shared" si="5"/>
        <v>0</v>
      </c>
      <c r="T147" s="17">
        <f t="shared" si="6"/>
        <v>0</v>
      </c>
      <c r="U147" s="14">
        <f t="shared" si="7"/>
        <v>-10</v>
      </c>
      <c r="V147" s="9" t="str">
        <f t="shared" si="8"/>
        <v>Low Performance</v>
      </c>
      <c r="W147" s="9"/>
    </row>
    <row r="148" ht="15.75" customHeight="1">
      <c r="A148" s="6">
        <v>46307.0</v>
      </c>
      <c r="B148" s="7" t="s">
        <v>42</v>
      </c>
      <c r="C148" s="9" t="s">
        <v>40</v>
      </c>
      <c r="D148" s="9" t="s">
        <v>27</v>
      </c>
      <c r="E148" s="10">
        <v>0.0</v>
      </c>
      <c r="F148" s="9">
        <f t="shared" si="1"/>
        <v>0</v>
      </c>
      <c r="G148" s="11">
        <v>0.0</v>
      </c>
      <c r="H148" s="9">
        <f t="shared" si="2"/>
        <v>0</v>
      </c>
      <c r="I148" s="11">
        <v>0.0</v>
      </c>
      <c r="J148" s="9">
        <f t="shared" si="12"/>
        <v>0</v>
      </c>
      <c r="K148" s="11">
        <v>0.0</v>
      </c>
      <c r="L148" s="11">
        <v>0.0</v>
      </c>
      <c r="M148" s="14">
        <f t="shared" si="3"/>
        <v>0</v>
      </c>
      <c r="N148" s="11">
        <v>0.0</v>
      </c>
      <c r="O148" s="14">
        <f t="shared" si="4"/>
        <v>0</v>
      </c>
      <c r="P148" s="11">
        <v>0.0</v>
      </c>
      <c r="Q148" s="15">
        <v>0.0</v>
      </c>
      <c r="R148" s="9">
        <v>10.0</v>
      </c>
      <c r="S148" s="16">
        <f t="shared" si="5"/>
        <v>0</v>
      </c>
      <c r="T148" s="17">
        <f t="shared" si="6"/>
        <v>0</v>
      </c>
      <c r="U148" s="14">
        <f t="shared" si="7"/>
        <v>-10</v>
      </c>
      <c r="V148" s="9" t="str">
        <f t="shared" si="8"/>
        <v>Low Performance</v>
      </c>
      <c r="W148" s="9"/>
    </row>
    <row r="149" ht="15.75" customHeight="1">
      <c r="A149" s="6">
        <v>46307.0</v>
      </c>
      <c r="B149" s="7" t="s">
        <v>43</v>
      </c>
      <c r="C149" s="9" t="s">
        <v>40</v>
      </c>
      <c r="D149" s="9" t="s">
        <v>27</v>
      </c>
      <c r="E149" s="10">
        <v>0.0</v>
      </c>
      <c r="F149" s="9">
        <f t="shared" si="1"/>
        <v>0</v>
      </c>
      <c r="G149" s="11">
        <v>0.0</v>
      </c>
      <c r="H149" s="9">
        <f t="shared" si="2"/>
        <v>0</v>
      </c>
      <c r="I149" s="11">
        <v>0.0</v>
      </c>
      <c r="J149" s="9">
        <f t="shared" si="12"/>
        <v>0</v>
      </c>
      <c r="K149" s="11">
        <v>0.0</v>
      </c>
      <c r="L149" s="11">
        <v>0.0</v>
      </c>
      <c r="M149" s="14">
        <f t="shared" si="3"/>
        <v>0</v>
      </c>
      <c r="N149" s="11">
        <v>0.0</v>
      </c>
      <c r="O149" s="14">
        <f t="shared" si="4"/>
        <v>0</v>
      </c>
      <c r="P149" s="11">
        <v>0.0</v>
      </c>
      <c r="Q149" s="15">
        <v>0.0</v>
      </c>
      <c r="R149" s="9">
        <v>10.0</v>
      </c>
      <c r="S149" s="16">
        <f t="shared" si="5"/>
        <v>0</v>
      </c>
      <c r="T149" s="17">
        <f t="shared" si="6"/>
        <v>0</v>
      </c>
      <c r="U149" s="14">
        <f t="shared" si="7"/>
        <v>-10</v>
      </c>
      <c r="V149" s="9" t="str">
        <f t="shared" si="8"/>
        <v>Low Performance</v>
      </c>
      <c r="W149" s="9"/>
    </row>
    <row r="150" ht="15.75" customHeight="1">
      <c r="A150" s="6">
        <v>46307.0</v>
      </c>
      <c r="B150" s="7" t="s">
        <v>45</v>
      </c>
      <c r="C150" s="18" t="s">
        <v>46</v>
      </c>
      <c r="D150" s="9" t="s">
        <v>27</v>
      </c>
      <c r="E150" s="10">
        <v>0.0</v>
      </c>
      <c r="F150" s="9">
        <f t="shared" si="1"/>
        <v>0</v>
      </c>
      <c r="G150" s="11">
        <v>0.0</v>
      </c>
      <c r="H150" s="9">
        <f t="shared" si="2"/>
        <v>0</v>
      </c>
      <c r="I150" s="11">
        <v>0.0</v>
      </c>
      <c r="J150" s="9">
        <f t="shared" si="12"/>
        <v>0</v>
      </c>
      <c r="K150" s="11">
        <v>0.0</v>
      </c>
      <c r="L150" s="11">
        <v>0.0</v>
      </c>
      <c r="M150" s="14">
        <f t="shared" si="3"/>
        <v>0</v>
      </c>
      <c r="N150" s="11">
        <v>0.0</v>
      </c>
      <c r="O150" s="14">
        <f t="shared" si="4"/>
        <v>0</v>
      </c>
      <c r="P150" s="11">
        <v>0.0</v>
      </c>
      <c r="Q150" s="15">
        <v>0.0</v>
      </c>
      <c r="R150" s="9">
        <v>10.0</v>
      </c>
      <c r="S150" s="16">
        <f t="shared" si="5"/>
        <v>0</v>
      </c>
      <c r="T150" s="17">
        <f t="shared" si="6"/>
        <v>0</v>
      </c>
      <c r="U150" s="14">
        <f t="shared" si="7"/>
        <v>-10</v>
      </c>
      <c r="V150" s="9" t="str">
        <f t="shared" si="8"/>
        <v>Low Performance</v>
      </c>
      <c r="W150" s="9"/>
    </row>
    <row r="151" ht="15.75" customHeight="1">
      <c r="A151" s="6">
        <v>46307.0</v>
      </c>
      <c r="B151" s="7" t="s">
        <v>49</v>
      </c>
      <c r="C151" s="18" t="s">
        <v>46</v>
      </c>
      <c r="D151" s="9" t="s">
        <v>27</v>
      </c>
      <c r="E151" s="10">
        <v>0.0</v>
      </c>
      <c r="F151" s="9">
        <f t="shared" si="1"/>
        <v>0</v>
      </c>
      <c r="G151" s="11">
        <v>0.0</v>
      </c>
      <c r="H151" s="9">
        <f t="shared" si="2"/>
        <v>0</v>
      </c>
      <c r="I151" s="11">
        <v>0.0</v>
      </c>
      <c r="J151" s="9">
        <f t="shared" si="12"/>
        <v>0</v>
      </c>
      <c r="K151" s="11">
        <v>0.0</v>
      </c>
      <c r="L151" s="11">
        <v>0.0</v>
      </c>
      <c r="M151" s="14">
        <f t="shared" si="3"/>
        <v>0</v>
      </c>
      <c r="N151" s="11">
        <v>0.0</v>
      </c>
      <c r="O151" s="14">
        <f t="shared" si="4"/>
        <v>0</v>
      </c>
      <c r="P151" s="11">
        <v>0.0</v>
      </c>
      <c r="Q151" s="15">
        <v>0.0</v>
      </c>
      <c r="R151" s="9">
        <v>10.0</v>
      </c>
      <c r="S151" s="16">
        <f t="shared" si="5"/>
        <v>0</v>
      </c>
      <c r="T151" s="17">
        <f t="shared" si="6"/>
        <v>0</v>
      </c>
      <c r="U151" s="14">
        <f t="shared" si="7"/>
        <v>-10</v>
      </c>
      <c r="V151" s="9" t="str">
        <f t="shared" si="8"/>
        <v>Low Performance</v>
      </c>
      <c r="W151" s="9"/>
    </row>
    <row r="152" ht="15.75" customHeight="1">
      <c r="A152" s="6">
        <v>46307.0</v>
      </c>
      <c r="B152" s="22" t="s">
        <v>50</v>
      </c>
      <c r="C152" s="23" t="s">
        <v>46</v>
      </c>
      <c r="D152" s="24" t="s">
        <v>27</v>
      </c>
      <c r="E152" s="10">
        <v>0.0</v>
      </c>
      <c r="F152" s="9">
        <f t="shared" si="1"/>
        <v>0</v>
      </c>
      <c r="G152" s="11">
        <v>0.0</v>
      </c>
      <c r="H152" s="9">
        <f t="shared" si="2"/>
        <v>0</v>
      </c>
      <c r="I152" s="11">
        <v>0.0</v>
      </c>
      <c r="J152" s="9">
        <f t="shared" si="12"/>
        <v>0</v>
      </c>
      <c r="K152" s="11">
        <v>0.0</v>
      </c>
      <c r="L152" s="11">
        <v>0.0</v>
      </c>
      <c r="M152" s="14">
        <f t="shared" si="3"/>
        <v>0</v>
      </c>
      <c r="N152" s="11">
        <v>0.0</v>
      </c>
      <c r="O152" s="14">
        <f t="shared" si="4"/>
        <v>0</v>
      </c>
      <c r="P152" s="11">
        <v>0.0</v>
      </c>
      <c r="Q152" s="15">
        <v>0.0</v>
      </c>
      <c r="R152" s="9">
        <v>10.0</v>
      </c>
      <c r="S152" s="16">
        <f t="shared" si="5"/>
        <v>0</v>
      </c>
      <c r="T152" s="17">
        <f t="shared" si="6"/>
        <v>0</v>
      </c>
      <c r="U152" s="14">
        <f t="shared" si="7"/>
        <v>-10</v>
      </c>
      <c r="V152" s="9" t="str">
        <f t="shared" si="8"/>
        <v>Low Performance</v>
      </c>
      <c r="W152" s="9"/>
    </row>
    <row r="153" ht="15.75" customHeight="1">
      <c r="A153" s="6">
        <v>46308.0</v>
      </c>
      <c r="B153" s="7" t="s">
        <v>25</v>
      </c>
      <c r="C153" s="8" t="s">
        <v>26</v>
      </c>
      <c r="D153" s="9" t="s">
        <v>27</v>
      </c>
      <c r="E153" s="10">
        <v>0.0</v>
      </c>
      <c r="F153" s="9">
        <f t="shared" si="1"/>
        <v>0</v>
      </c>
      <c r="G153" s="11">
        <v>0.0</v>
      </c>
      <c r="H153" s="9">
        <f t="shared" si="2"/>
        <v>0</v>
      </c>
      <c r="I153" s="11">
        <v>0.0</v>
      </c>
      <c r="J153" s="9">
        <f t="shared" si="12"/>
        <v>0</v>
      </c>
      <c r="K153" s="11">
        <v>0.0</v>
      </c>
      <c r="L153" s="11">
        <v>0.0</v>
      </c>
      <c r="M153" s="14">
        <f t="shared" si="3"/>
        <v>0</v>
      </c>
      <c r="N153" s="11">
        <v>0.0</v>
      </c>
      <c r="O153" s="14">
        <f t="shared" si="4"/>
        <v>0</v>
      </c>
      <c r="P153" s="11">
        <v>0.0</v>
      </c>
      <c r="Q153" s="15">
        <v>0.0</v>
      </c>
      <c r="R153" s="9">
        <v>10.0</v>
      </c>
      <c r="S153" s="16">
        <f t="shared" si="5"/>
        <v>0</v>
      </c>
      <c r="T153" s="17">
        <f t="shared" si="6"/>
        <v>0</v>
      </c>
      <c r="U153" s="14">
        <f t="shared" si="7"/>
        <v>-10</v>
      </c>
      <c r="V153" s="9" t="str">
        <f t="shared" si="8"/>
        <v>Low Performance</v>
      </c>
      <c r="W153" s="9"/>
    </row>
    <row r="154" ht="15.75" customHeight="1">
      <c r="A154" s="6">
        <v>46308.0</v>
      </c>
      <c r="B154" s="7" t="s">
        <v>30</v>
      </c>
      <c r="C154" s="18" t="s">
        <v>31</v>
      </c>
      <c r="D154" s="9" t="s">
        <v>27</v>
      </c>
      <c r="E154" s="10">
        <v>0.0</v>
      </c>
      <c r="F154" s="9">
        <f t="shared" si="1"/>
        <v>0</v>
      </c>
      <c r="G154" s="11">
        <v>0.0</v>
      </c>
      <c r="H154" s="9">
        <f t="shared" si="2"/>
        <v>0</v>
      </c>
      <c r="I154" s="11">
        <v>0.0</v>
      </c>
      <c r="J154" s="9">
        <f t="shared" si="12"/>
        <v>0</v>
      </c>
      <c r="K154" s="11">
        <v>0.0</v>
      </c>
      <c r="L154" s="11">
        <v>0.0</v>
      </c>
      <c r="M154" s="14">
        <f t="shared" si="3"/>
        <v>0</v>
      </c>
      <c r="N154" s="11">
        <v>0.0</v>
      </c>
      <c r="O154" s="14">
        <f t="shared" si="4"/>
        <v>0</v>
      </c>
      <c r="P154" s="11">
        <v>0.0</v>
      </c>
      <c r="Q154" s="15">
        <v>0.0</v>
      </c>
      <c r="R154" s="9">
        <v>10.0</v>
      </c>
      <c r="S154" s="16">
        <f t="shared" si="5"/>
        <v>0</v>
      </c>
      <c r="T154" s="17">
        <f t="shared" si="6"/>
        <v>0</v>
      </c>
      <c r="U154" s="14">
        <f t="shared" si="7"/>
        <v>-10</v>
      </c>
      <c r="V154" s="9" t="str">
        <f t="shared" si="8"/>
        <v>Low Performance</v>
      </c>
      <c r="W154" s="9"/>
    </row>
    <row r="155" ht="15.75" customHeight="1">
      <c r="A155" s="6">
        <v>46308.0</v>
      </c>
      <c r="B155" s="7" t="s">
        <v>32</v>
      </c>
      <c r="C155" s="18" t="s">
        <v>33</v>
      </c>
      <c r="D155" s="9" t="s">
        <v>27</v>
      </c>
      <c r="E155" s="10">
        <v>0.0</v>
      </c>
      <c r="F155" s="9">
        <f t="shared" si="1"/>
        <v>0</v>
      </c>
      <c r="G155" s="11">
        <v>0.0</v>
      </c>
      <c r="H155" s="9">
        <f t="shared" si="2"/>
        <v>0</v>
      </c>
      <c r="I155" s="11">
        <v>0.0</v>
      </c>
      <c r="J155" s="9">
        <f t="shared" si="12"/>
        <v>0</v>
      </c>
      <c r="K155" s="11">
        <v>0.0</v>
      </c>
      <c r="L155" s="11">
        <v>0.0</v>
      </c>
      <c r="M155" s="14">
        <f t="shared" si="3"/>
        <v>0</v>
      </c>
      <c r="N155" s="11">
        <v>0.0</v>
      </c>
      <c r="O155" s="14">
        <f t="shared" si="4"/>
        <v>0</v>
      </c>
      <c r="P155" s="11">
        <v>0.0</v>
      </c>
      <c r="Q155" s="15">
        <v>0.0</v>
      </c>
      <c r="R155" s="9">
        <v>10.0</v>
      </c>
      <c r="S155" s="16">
        <f t="shared" si="5"/>
        <v>0</v>
      </c>
      <c r="T155" s="17">
        <f t="shared" si="6"/>
        <v>0</v>
      </c>
      <c r="U155" s="14">
        <f t="shared" si="7"/>
        <v>-10</v>
      </c>
      <c r="V155" s="9" t="str">
        <f t="shared" si="8"/>
        <v>Low Performance</v>
      </c>
      <c r="W155" s="9"/>
    </row>
    <row r="156" ht="15.75" customHeight="1">
      <c r="A156" s="6">
        <v>46308.0</v>
      </c>
      <c r="B156" s="7" t="s">
        <v>34</v>
      </c>
      <c r="C156" s="18" t="s">
        <v>35</v>
      </c>
      <c r="D156" s="9" t="s">
        <v>27</v>
      </c>
      <c r="E156" s="10">
        <v>0.0</v>
      </c>
      <c r="F156" s="9">
        <f t="shared" si="1"/>
        <v>0</v>
      </c>
      <c r="G156" s="11">
        <v>0.0</v>
      </c>
      <c r="H156" s="9">
        <f t="shared" si="2"/>
        <v>0</v>
      </c>
      <c r="I156" s="11">
        <v>0.0</v>
      </c>
      <c r="J156" s="9">
        <f t="shared" si="12"/>
        <v>0</v>
      </c>
      <c r="K156" s="11">
        <v>0.0</v>
      </c>
      <c r="L156" s="11">
        <v>0.0</v>
      </c>
      <c r="M156" s="14">
        <f t="shared" si="3"/>
        <v>0</v>
      </c>
      <c r="N156" s="11">
        <v>0.0</v>
      </c>
      <c r="O156" s="14">
        <f t="shared" si="4"/>
        <v>0</v>
      </c>
      <c r="P156" s="11">
        <v>0.0</v>
      </c>
      <c r="Q156" s="15">
        <v>0.0</v>
      </c>
      <c r="R156" s="9">
        <v>10.0</v>
      </c>
      <c r="S156" s="16">
        <f t="shared" si="5"/>
        <v>0</v>
      </c>
      <c r="T156" s="17">
        <f t="shared" si="6"/>
        <v>0</v>
      </c>
      <c r="U156" s="14">
        <f t="shared" si="7"/>
        <v>-10</v>
      </c>
      <c r="V156" s="9" t="str">
        <f t="shared" si="8"/>
        <v>Low Performance</v>
      </c>
      <c r="W156" s="9"/>
    </row>
    <row r="157" ht="15.75" customHeight="1">
      <c r="A157" s="6">
        <v>46308.0</v>
      </c>
      <c r="B157" s="7" t="s">
        <v>28</v>
      </c>
      <c r="C157" s="9" t="s">
        <v>29</v>
      </c>
      <c r="D157" s="9" t="s">
        <v>27</v>
      </c>
      <c r="E157" s="10">
        <v>0.0</v>
      </c>
      <c r="F157" s="9">
        <f t="shared" si="1"/>
        <v>0</v>
      </c>
      <c r="G157" s="11">
        <v>0.0</v>
      </c>
      <c r="H157" s="9">
        <f t="shared" si="2"/>
        <v>0</v>
      </c>
      <c r="I157" s="11">
        <v>0.0</v>
      </c>
      <c r="J157" s="9">
        <f t="shared" si="12"/>
        <v>0</v>
      </c>
      <c r="K157" s="11">
        <v>0.0</v>
      </c>
      <c r="L157" s="11">
        <v>0.0</v>
      </c>
      <c r="M157" s="14">
        <f t="shared" si="3"/>
        <v>0</v>
      </c>
      <c r="N157" s="11">
        <v>0.0</v>
      </c>
      <c r="O157" s="14">
        <f t="shared" si="4"/>
        <v>0</v>
      </c>
      <c r="P157" s="11">
        <v>0.0</v>
      </c>
      <c r="Q157" s="15">
        <v>0.0</v>
      </c>
      <c r="R157" s="9">
        <v>10.0</v>
      </c>
      <c r="S157" s="16">
        <f t="shared" si="5"/>
        <v>0</v>
      </c>
      <c r="T157" s="17">
        <f t="shared" si="6"/>
        <v>0</v>
      </c>
      <c r="U157" s="14">
        <f t="shared" si="7"/>
        <v>-10</v>
      </c>
      <c r="V157" s="9" t="str">
        <f t="shared" si="8"/>
        <v>Low Performance</v>
      </c>
      <c r="W157" s="9"/>
    </row>
    <row r="158" ht="15.75" customHeight="1">
      <c r="A158" s="6">
        <v>46308.0</v>
      </c>
      <c r="B158" s="7" t="s">
        <v>36</v>
      </c>
      <c r="C158" s="9" t="s">
        <v>29</v>
      </c>
      <c r="D158" s="9" t="s">
        <v>27</v>
      </c>
      <c r="E158" s="10">
        <v>0.0</v>
      </c>
      <c r="F158" s="9">
        <f t="shared" si="1"/>
        <v>0</v>
      </c>
      <c r="G158" s="11">
        <v>0.0</v>
      </c>
      <c r="H158" s="9">
        <f t="shared" si="2"/>
        <v>0</v>
      </c>
      <c r="I158" s="11">
        <v>0.0</v>
      </c>
      <c r="J158" s="9">
        <f t="shared" si="12"/>
        <v>0</v>
      </c>
      <c r="K158" s="11">
        <v>0.0</v>
      </c>
      <c r="L158" s="11">
        <v>0.0</v>
      </c>
      <c r="M158" s="14">
        <f t="shared" si="3"/>
        <v>0</v>
      </c>
      <c r="N158" s="11">
        <v>0.0</v>
      </c>
      <c r="O158" s="14">
        <f t="shared" si="4"/>
        <v>0</v>
      </c>
      <c r="P158" s="11">
        <v>0.0</v>
      </c>
      <c r="Q158" s="15">
        <v>0.0</v>
      </c>
      <c r="R158" s="9">
        <v>10.0</v>
      </c>
      <c r="S158" s="16">
        <f t="shared" si="5"/>
        <v>0</v>
      </c>
      <c r="T158" s="17">
        <f t="shared" si="6"/>
        <v>0</v>
      </c>
      <c r="U158" s="14">
        <f t="shared" si="7"/>
        <v>-10</v>
      </c>
      <c r="V158" s="9" t="str">
        <f t="shared" si="8"/>
        <v>Low Performance</v>
      </c>
      <c r="W158" s="9"/>
    </row>
    <row r="159" ht="15.75" customHeight="1">
      <c r="A159" s="6">
        <v>46308.0</v>
      </c>
      <c r="B159" s="7" t="s">
        <v>37</v>
      </c>
      <c r="C159" s="9" t="s">
        <v>29</v>
      </c>
      <c r="D159" s="9" t="s">
        <v>27</v>
      </c>
      <c r="E159" s="10">
        <v>0.0</v>
      </c>
      <c r="F159" s="9">
        <f t="shared" si="1"/>
        <v>0</v>
      </c>
      <c r="G159" s="11">
        <v>0.0</v>
      </c>
      <c r="H159" s="9">
        <f t="shared" si="2"/>
        <v>0</v>
      </c>
      <c r="I159" s="11">
        <v>0.0</v>
      </c>
      <c r="J159" s="9">
        <f t="shared" si="12"/>
        <v>0</v>
      </c>
      <c r="K159" s="11">
        <v>0.0</v>
      </c>
      <c r="L159" s="11">
        <v>0.0</v>
      </c>
      <c r="M159" s="14">
        <f t="shared" si="3"/>
        <v>0</v>
      </c>
      <c r="N159" s="11">
        <v>0.0</v>
      </c>
      <c r="O159" s="14">
        <f t="shared" si="4"/>
        <v>0</v>
      </c>
      <c r="P159" s="11">
        <v>0.0</v>
      </c>
      <c r="Q159" s="15">
        <v>0.0</v>
      </c>
      <c r="R159" s="9">
        <v>10.0</v>
      </c>
      <c r="S159" s="16">
        <f t="shared" si="5"/>
        <v>0</v>
      </c>
      <c r="T159" s="17">
        <f t="shared" si="6"/>
        <v>0</v>
      </c>
      <c r="U159" s="14">
        <f t="shared" si="7"/>
        <v>-10</v>
      </c>
      <c r="V159" s="9" t="str">
        <f t="shared" si="8"/>
        <v>Low Performance</v>
      </c>
      <c r="W159" s="9"/>
    </row>
    <row r="160" ht="15.75" customHeight="1">
      <c r="A160" s="6">
        <v>46308.0</v>
      </c>
      <c r="B160" s="7" t="s">
        <v>38</v>
      </c>
      <c r="C160" s="9" t="s">
        <v>29</v>
      </c>
      <c r="D160" s="9" t="s">
        <v>27</v>
      </c>
      <c r="E160" s="10">
        <v>0.0</v>
      </c>
      <c r="F160" s="9">
        <f t="shared" si="1"/>
        <v>0</v>
      </c>
      <c r="G160" s="11">
        <v>0.0</v>
      </c>
      <c r="H160" s="9">
        <f t="shared" si="2"/>
        <v>0</v>
      </c>
      <c r="I160" s="11">
        <v>0.0</v>
      </c>
      <c r="J160" s="9">
        <f t="shared" si="12"/>
        <v>0</v>
      </c>
      <c r="K160" s="11">
        <v>0.0</v>
      </c>
      <c r="L160" s="11">
        <v>0.0</v>
      </c>
      <c r="M160" s="14">
        <f t="shared" si="3"/>
        <v>0</v>
      </c>
      <c r="N160" s="11">
        <v>0.0</v>
      </c>
      <c r="O160" s="14">
        <f t="shared" si="4"/>
        <v>0</v>
      </c>
      <c r="P160" s="11">
        <v>0.0</v>
      </c>
      <c r="Q160" s="15">
        <v>0.0</v>
      </c>
      <c r="R160" s="9">
        <v>10.0</v>
      </c>
      <c r="S160" s="16">
        <f t="shared" si="5"/>
        <v>0</v>
      </c>
      <c r="T160" s="17">
        <f t="shared" si="6"/>
        <v>0</v>
      </c>
      <c r="U160" s="14">
        <f t="shared" si="7"/>
        <v>-10</v>
      </c>
      <c r="V160" s="9" t="str">
        <f t="shared" si="8"/>
        <v>Low Performance</v>
      </c>
      <c r="W160" s="9"/>
    </row>
    <row r="161" ht="15.75" customHeight="1">
      <c r="A161" s="6">
        <v>46308.0</v>
      </c>
      <c r="B161" s="20" t="s">
        <v>39</v>
      </c>
      <c r="C161" s="9" t="s">
        <v>40</v>
      </c>
      <c r="D161" s="9" t="s">
        <v>27</v>
      </c>
      <c r="E161" s="10">
        <v>0.0</v>
      </c>
      <c r="F161" s="9">
        <f t="shared" si="1"/>
        <v>0</v>
      </c>
      <c r="G161" s="11">
        <v>0.0</v>
      </c>
      <c r="H161" s="9">
        <f t="shared" si="2"/>
        <v>0</v>
      </c>
      <c r="I161" s="11">
        <v>0.0</v>
      </c>
      <c r="J161" s="9">
        <f t="shared" si="12"/>
        <v>0</v>
      </c>
      <c r="K161" s="11">
        <v>0.0</v>
      </c>
      <c r="L161" s="11">
        <v>0.0</v>
      </c>
      <c r="M161" s="14">
        <f t="shared" si="3"/>
        <v>0</v>
      </c>
      <c r="N161" s="11">
        <v>0.0</v>
      </c>
      <c r="O161" s="14">
        <f t="shared" si="4"/>
        <v>0</v>
      </c>
      <c r="P161" s="11">
        <v>0.0</v>
      </c>
      <c r="Q161" s="15">
        <v>0.0</v>
      </c>
      <c r="R161" s="9">
        <v>10.0</v>
      </c>
      <c r="S161" s="16">
        <f t="shared" si="5"/>
        <v>0</v>
      </c>
      <c r="T161" s="17">
        <f t="shared" si="6"/>
        <v>0</v>
      </c>
      <c r="U161" s="14">
        <f t="shared" si="7"/>
        <v>-10</v>
      </c>
      <c r="V161" s="9" t="str">
        <f t="shared" si="8"/>
        <v>Low Performance</v>
      </c>
      <c r="W161" s="9"/>
    </row>
    <row r="162" ht="15.75" customHeight="1">
      <c r="A162" s="6">
        <v>46308.0</v>
      </c>
      <c r="B162" s="7" t="s">
        <v>41</v>
      </c>
      <c r="C162" s="9" t="s">
        <v>40</v>
      </c>
      <c r="D162" s="9" t="s">
        <v>27</v>
      </c>
      <c r="E162" s="10">
        <v>0.0</v>
      </c>
      <c r="F162" s="9">
        <f t="shared" si="1"/>
        <v>0</v>
      </c>
      <c r="G162" s="11">
        <v>0.0</v>
      </c>
      <c r="H162" s="9">
        <f t="shared" si="2"/>
        <v>0</v>
      </c>
      <c r="I162" s="11">
        <v>0.0</v>
      </c>
      <c r="J162" s="9">
        <f t="shared" si="12"/>
        <v>0</v>
      </c>
      <c r="K162" s="11">
        <v>0.0</v>
      </c>
      <c r="L162" s="11">
        <v>0.0</v>
      </c>
      <c r="M162" s="14">
        <f t="shared" si="3"/>
        <v>0</v>
      </c>
      <c r="N162" s="11">
        <v>0.0</v>
      </c>
      <c r="O162" s="14">
        <f t="shared" si="4"/>
        <v>0</v>
      </c>
      <c r="P162" s="11">
        <v>0.0</v>
      </c>
      <c r="Q162" s="15">
        <v>0.0</v>
      </c>
      <c r="R162" s="9">
        <v>10.0</v>
      </c>
      <c r="S162" s="16">
        <f t="shared" si="5"/>
        <v>0</v>
      </c>
      <c r="T162" s="17">
        <f t="shared" si="6"/>
        <v>0</v>
      </c>
      <c r="U162" s="14">
        <f t="shared" si="7"/>
        <v>-10</v>
      </c>
      <c r="V162" s="9" t="str">
        <f t="shared" si="8"/>
        <v>Low Performance</v>
      </c>
      <c r="W162" s="9"/>
    </row>
    <row r="163" ht="15.75" customHeight="1">
      <c r="A163" s="6">
        <v>46308.0</v>
      </c>
      <c r="B163" s="7" t="s">
        <v>42</v>
      </c>
      <c r="C163" s="9" t="s">
        <v>40</v>
      </c>
      <c r="D163" s="9" t="s">
        <v>27</v>
      </c>
      <c r="E163" s="10">
        <v>0.0</v>
      </c>
      <c r="F163" s="9">
        <f t="shared" si="1"/>
        <v>0</v>
      </c>
      <c r="G163" s="11">
        <v>0.0</v>
      </c>
      <c r="H163" s="9">
        <f t="shared" si="2"/>
        <v>0</v>
      </c>
      <c r="I163" s="11">
        <v>0.0</v>
      </c>
      <c r="J163" s="9">
        <f t="shared" si="12"/>
        <v>0</v>
      </c>
      <c r="K163" s="11">
        <v>0.0</v>
      </c>
      <c r="L163" s="11">
        <v>0.0</v>
      </c>
      <c r="M163" s="14">
        <f t="shared" si="3"/>
        <v>0</v>
      </c>
      <c r="N163" s="11">
        <v>0.0</v>
      </c>
      <c r="O163" s="14">
        <f t="shared" si="4"/>
        <v>0</v>
      </c>
      <c r="P163" s="11">
        <v>0.0</v>
      </c>
      <c r="Q163" s="15">
        <v>0.0</v>
      </c>
      <c r="R163" s="9">
        <v>10.0</v>
      </c>
      <c r="S163" s="16">
        <f t="shared" si="5"/>
        <v>0</v>
      </c>
      <c r="T163" s="17">
        <f t="shared" si="6"/>
        <v>0</v>
      </c>
      <c r="U163" s="14">
        <f t="shared" si="7"/>
        <v>-10</v>
      </c>
      <c r="V163" s="9" t="str">
        <f t="shared" si="8"/>
        <v>Low Performance</v>
      </c>
      <c r="W163" s="9"/>
    </row>
    <row r="164" ht="15.75" customHeight="1">
      <c r="A164" s="6">
        <v>46308.0</v>
      </c>
      <c r="B164" s="7" t="s">
        <v>43</v>
      </c>
      <c r="C164" s="9" t="s">
        <v>40</v>
      </c>
      <c r="D164" s="9" t="s">
        <v>27</v>
      </c>
      <c r="E164" s="10">
        <v>0.0</v>
      </c>
      <c r="F164" s="9">
        <f t="shared" si="1"/>
        <v>0</v>
      </c>
      <c r="G164" s="11">
        <v>0.0</v>
      </c>
      <c r="H164" s="9">
        <f t="shared" si="2"/>
        <v>0</v>
      </c>
      <c r="I164" s="11">
        <v>0.0</v>
      </c>
      <c r="J164" s="9">
        <f t="shared" si="12"/>
        <v>0</v>
      </c>
      <c r="K164" s="11">
        <v>0.0</v>
      </c>
      <c r="L164" s="11">
        <v>0.0</v>
      </c>
      <c r="M164" s="14">
        <f t="shared" si="3"/>
        <v>0</v>
      </c>
      <c r="N164" s="11">
        <v>0.0</v>
      </c>
      <c r="O164" s="14">
        <f t="shared" si="4"/>
        <v>0</v>
      </c>
      <c r="P164" s="11">
        <v>0.0</v>
      </c>
      <c r="Q164" s="15">
        <v>0.0</v>
      </c>
      <c r="R164" s="9">
        <v>10.0</v>
      </c>
      <c r="S164" s="16">
        <f t="shared" si="5"/>
        <v>0</v>
      </c>
      <c r="T164" s="17">
        <f t="shared" si="6"/>
        <v>0</v>
      </c>
      <c r="U164" s="14">
        <f t="shared" si="7"/>
        <v>-10</v>
      </c>
      <c r="V164" s="9" t="str">
        <f t="shared" si="8"/>
        <v>Low Performance</v>
      </c>
      <c r="W164" s="9"/>
    </row>
    <row r="165" ht="15.75" customHeight="1">
      <c r="A165" s="6">
        <v>46308.0</v>
      </c>
      <c r="B165" s="7" t="s">
        <v>45</v>
      </c>
      <c r="C165" s="18" t="s">
        <v>46</v>
      </c>
      <c r="D165" s="9" t="s">
        <v>27</v>
      </c>
      <c r="E165" s="10">
        <v>0.0</v>
      </c>
      <c r="F165" s="9">
        <f t="shared" si="1"/>
        <v>0</v>
      </c>
      <c r="G165" s="11">
        <v>0.0</v>
      </c>
      <c r="H165" s="9">
        <f t="shared" si="2"/>
        <v>0</v>
      </c>
      <c r="I165" s="11">
        <v>0.0</v>
      </c>
      <c r="J165" s="9">
        <f t="shared" si="12"/>
        <v>0</v>
      </c>
      <c r="K165" s="11">
        <v>0.0</v>
      </c>
      <c r="L165" s="11">
        <v>0.0</v>
      </c>
      <c r="M165" s="14">
        <f t="shared" si="3"/>
        <v>0</v>
      </c>
      <c r="N165" s="11">
        <v>0.0</v>
      </c>
      <c r="O165" s="14">
        <f t="shared" si="4"/>
        <v>0</v>
      </c>
      <c r="P165" s="11">
        <v>0.0</v>
      </c>
      <c r="Q165" s="15">
        <v>0.0</v>
      </c>
      <c r="R165" s="9">
        <v>10.0</v>
      </c>
      <c r="S165" s="16">
        <f t="shared" si="5"/>
        <v>0</v>
      </c>
      <c r="T165" s="17">
        <f t="shared" si="6"/>
        <v>0</v>
      </c>
      <c r="U165" s="14">
        <f t="shared" si="7"/>
        <v>-10</v>
      </c>
      <c r="V165" s="9" t="str">
        <f t="shared" si="8"/>
        <v>Low Performance</v>
      </c>
      <c r="W165" s="9"/>
    </row>
    <row r="166" ht="15.75" customHeight="1">
      <c r="A166" s="6">
        <v>46308.0</v>
      </c>
      <c r="B166" s="7" t="s">
        <v>49</v>
      </c>
      <c r="C166" s="18" t="s">
        <v>46</v>
      </c>
      <c r="D166" s="9" t="s">
        <v>27</v>
      </c>
      <c r="E166" s="10">
        <v>0.0</v>
      </c>
      <c r="F166" s="9">
        <f t="shared" si="1"/>
        <v>0</v>
      </c>
      <c r="G166" s="11">
        <v>0.0</v>
      </c>
      <c r="H166" s="9">
        <f t="shared" si="2"/>
        <v>0</v>
      </c>
      <c r="I166" s="11">
        <v>0.0</v>
      </c>
      <c r="J166" s="9">
        <f t="shared" si="12"/>
        <v>0</v>
      </c>
      <c r="K166" s="11">
        <v>0.0</v>
      </c>
      <c r="L166" s="11">
        <v>0.0</v>
      </c>
      <c r="M166" s="14">
        <f t="shared" si="3"/>
        <v>0</v>
      </c>
      <c r="N166" s="11">
        <v>0.0</v>
      </c>
      <c r="O166" s="14">
        <f t="shared" si="4"/>
        <v>0</v>
      </c>
      <c r="P166" s="11">
        <v>0.0</v>
      </c>
      <c r="Q166" s="15">
        <v>0.0</v>
      </c>
      <c r="R166" s="9">
        <v>10.0</v>
      </c>
      <c r="S166" s="16">
        <f t="shared" si="5"/>
        <v>0</v>
      </c>
      <c r="T166" s="17">
        <f t="shared" si="6"/>
        <v>0</v>
      </c>
      <c r="U166" s="14">
        <f t="shared" si="7"/>
        <v>-10</v>
      </c>
      <c r="V166" s="9" t="str">
        <f t="shared" si="8"/>
        <v>Low Performance</v>
      </c>
      <c r="W166" s="9"/>
    </row>
    <row r="167" ht="15.75" customHeight="1">
      <c r="A167" s="6">
        <v>46308.0</v>
      </c>
      <c r="B167" s="22" t="s">
        <v>50</v>
      </c>
      <c r="C167" s="23" t="s">
        <v>46</v>
      </c>
      <c r="D167" s="24" t="s">
        <v>27</v>
      </c>
      <c r="E167" s="10">
        <v>0.0</v>
      </c>
      <c r="F167" s="9">
        <f t="shared" si="1"/>
        <v>0</v>
      </c>
      <c r="G167" s="11">
        <v>0.0</v>
      </c>
      <c r="H167" s="9">
        <f t="shared" si="2"/>
        <v>0</v>
      </c>
      <c r="I167" s="11">
        <v>0.0</v>
      </c>
      <c r="J167" s="9">
        <f t="shared" si="12"/>
        <v>0</v>
      </c>
      <c r="K167" s="11">
        <v>0.0</v>
      </c>
      <c r="L167" s="11">
        <v>0.0</v>
      </c>
      <c r="M167" s="14">
        <f t="shared" si="3"/>
        <v>0</v>
      </c>
      <c r="N167" s="11">
        <v>0.0</v>
      </c>
      <c r="O167" s="14">
        <f t="shared" si="4"/>
        <v>0</v>
      </c>
      <c r="P167" s="11">
        <v>0.0</v>
      </c>
      <c r="Q167" s="15">
        <v>0.0</v>
      </c>
      <c r="R167" s="9">
        <v>10.0</v>
      </c>
      <c r="S167" s="16">
        <f t="shared" si="5"/>
        <v>0</v>
      </c>
      <c r="T167" s="17">
        <f t="shared" si="6"/>
        <v>0</v>
      </c>
      <c r="U167" s="14">
        <f t="shared" si="7"/>
        <v>-10</v>
      </c>
      <c r="V167" s="9" t="str">
        <f t="shared" si="8"/>
        <v>Low Performance</v>
      </c>
      <c r="W167" s="9"/>
    </row>
    <row r="168" ht="15.75" customHeight="1">
      <c r="A168" s="6">
        <v>46309.0</v>
      </c>
      <c r="B168" s="7" t="s">
        <v>25</v>
      </c>
      <c r="C168" s="8" t="s">
        <v>26</v>
      </c>
      <c r="D168" s="9" t="s">
        <v>27</v>
      </c>
      <c r="E168" s="10">
        <v>0.0</v>
      </c>
      <c r="F168" s="9">
        <f t="shared" si="1"/>
        <v>0</v>
      </c>
      <c r="G168" s="11">
        <v>0.0</v>
      </c>
      <c r="H168" s="9">
        <f t="shared" si="2"/>
        <v>0</v>
      </c>
      <c r="I168" s="11">
        <v>0.0</v>
      </c>
      <c r="J168" s="9">
        <f t="shared" si="12"/>
        <v>0</v>
      </c>
      <c r="K168" s="11">
        <v>0.0</v>
      </c>
      <c r="L168" s="11">
        <v>0.0</v>
      </c>
      <c r="M168" s="14">
        <f t="shared" si="3"/>
        <v>0</v>
      </c>
      <c r="N168" s="11">
        <v>0.0</v>
      </c>
      <c r="O168" s="14">
        <f t="shared" si="4"/>
        <v>0</v>
      </c>
      <c r="P168" s="11">
        <v>0.0</v>
      </c>
      <c r="Q168" s="15">
        <v>0.0</v>
      </c>
      <c r="R168" s="9">
        <v>10.0</v>
      </c>
      <c r="S168" s="16">
        <f t="shared" si="5"/>
        <v>0</v>
      </c>
      <c r="T168" s="17">
        <f t="shared" si="6"/>
        <v>0</v>
      </c>
      <c r="U168" s="14">
        <f t="shared" si="7"/>
        <v>-10</v>
      </c>
      <c r="V168" s="9" t="str">
        <f t="shared" si="8"/>
        <v>Low Performance</v>
      </c>
      <c r="W168" s="9"/>
    </row>
    <row r="169" ht="15.75" customHeight="1">
      <c r="A169" s="6">
        <v>46309.0</v>
      </c>
      <c r="B169" s="7" t="s">
        <v>30</v>
      </c>
      <c r="C169" s="18" t="s">
        <v>31</v>
      </c>
      <c r="D169" s="9" t="s">
        <v>27</v>
      </c>
      <c r="E169" s="10">
        <v>0.0</v>
      </c>
      <c r="F169" s="9">
        <f t="shared" si="1"/>
        <v>0</v>
      </c>
      <c r="G169" s="11">
        <v>0.0</v>
      </c>
      <c r="H169" s="9">
        <f t="shared" si="2"/>
        <v>0</v>
      </c>
      <c r="I169" s="11">
        <v>0.0</v>
      </c>
      <c r="J169" s="9">
        <f t="shared" si="12"/>
        <v>0</v>
      </c>
      <c r="K169" s="11">
        <v>0.0</v>
      </c>
      <c r="L169" s="11">
        <v>0.0</v>
      </c>
      <c r="M169" s="14">
        <f t="shared" si="3"/>
        <v>0</v>
      </c>
      <c r="N169" s="11">
        <v>0.0</v>
      </c>
      <c r="O169" s="14">
        <f t="shared" si="4"/>
        <v>0</v>
      </c>
      <c r="P169" s="11">
        <v>0.0</v>
      </c>
      <c r="Q169" s="15">
        <v>0.0</v>
      </c>
      <c r="R169" s="9">
        <v>10.0</v>
      </c>
      <c r="S169" s="16">
        <f t="shared" si="5"/>
        <v>0</v>
      </c>
      <c r="T169" s="17">
        <f t="shared" si="6"/>
        <v>0</v>
      </c>
      <c r="U169" s="14">
        <f t="shared" si="7"/>
        <v>-10</v>
      </c>
      <c r="V169" s="9" t="str">
        <f t="shared" si="8"/>
        <v>Low Performance</v>
      </c>
      <c r="W169" s="9"/>
    </row>
    <row r="170" ht="15.75" customHeight="1">
      <c r="A170" s="6">
        <v>46309.0</v>
      </c>
      <c r="B170" s="7" t="s">
        <v>32</v>
      </c>
      <c r="C170" s="18" t="s">
        <v>33</v>
      </c>
      <c r="D170" s="9" t="s">
        <v>27</v>
      </c>
      <c r="E170" s="10">
        <v>0.0</v>
      </c>
      <c r="F170" s="9">
        <f t="shared" si="1"/>
        <v>0</v>
      </c>
      <c r="G170" s="11">
        <v>0.0</v>
      </c>
      <c r="H170" s="9">
        <f t="shared" si="2"/>
        <v>0</v>
      </c>
      <c r="I170" s="11">
        <v>0.0</v>
      </c>
      <c r="J170" s="9">
        <f t="shared" si="12"/>
        <v>0</v>
      </c>
      <c r="K170" s="11">
        <v>0.0</v>
      </c>
      <c r="L170" s="11">
        <v>0.0</v>
      </c>
      <c r="M170" s="14">
        <f t="shared" si="3"/>
        <v>0</v>
      </c>
      <c r="N170" s="11">
        <v>0.0</v>
      </c>
      <c r="O170" s="14">
        <f t="shared" si="4"/>
        <v>0</v>
      </c>
      <c r="P170" s="11">
        <v>0.0</v>
      </c>
      <c r="Q170" s="15">
        <v>0.0</v>
      </c>
      <c r="R170" s="9">
        <v>10.0</v>
      </c>
      <c r="S170" s="16">
        <f t="shared" si="5"/>
        <v>0</v>
      </c>
      <c r="T170" s="17">
        <f t="shared" si="6"/>
        <v>0</v>
      </c>
      <c r="U170" s="14">
        <f t="shared" si="7"/>
        <v>-10</v>
      </c>
      <c r="V170" s="9" t="str">
        <f t="shared" si="8"/>
        <v>Low Performance</v>
      </c>
      <c r="W170" s="9"/>
    </row>
    <row r="171" ht="15.75" customHeight="1">
      <c r="A171" s="6">
        <v>46309.0</v>
      </c>
      <c r="B171" s="7" t="s">
        <v>34</v>
      </c>
      <c r="C171" s="18" t="s">
        <v>35</v>
      </c>
      <c r="D171" s="9" t="s">
        <v>27</v>
      </c>
      <c r="E171" s="10">
        <v>0.0</v>
      </c>
      <c r="F171" s="9">
        <f t="shared" si="1"/>
        <v>0</v>
      </c>
      <c r="G171" s="11">
        <v>0.0</v>
      </c>
      <c r="H171" s="9">
        <f t="shared" si="2"/>
        <v>0</v>
      </c>
      <c r="I171" s="11">
        <v>0.0</v>
      </c>
      <c r="J171" s="9">
        <f t="shared" si="12"/>
        <v>0</v>
      </c>
      <c r="K171" s="11">
        <v>0.0</v>
      </c>
      <c r="L171" s="11">
        <v>0.0</v>
      </c>
      <c r="M171" s="14">
        <f t="shared" si="3"/>
        <v>0</v>
      </c>
      <c r="N171" s="11">
        <v>0.0</v>
      </c>
      <c r="O171" s="14">
        <f t="shared" si="4"/>
        <v>0</v>
      </c>
      <c r="P171" s="11">
        <v>0.0</v>
      </c>
      <c r="Q171" s="15">
        <v>0.0</v>
      </c>
      <c r="R171" s="9">
        <v>10.0</v>
      </c>
      <c r="S171" s="16">
        <f t="shared" si="5"/>
        <v>0</v>
      </c>
      <c r="T171" s="17">
        <f t="shared" si="6"/>
        <v>0</v>
      </c>
      <c r="U171" s="14">
        <f t="shared" si="7"/>
        <v>-10</v>
      </c>
      <c r="V171" s="9" t="str">
        <f t="shared" si="8"/>
        <v>Low Performance</v>
      </c>
      <c r="W171" s="9"/>
    </row>
    <row r="172" ht="15.75" customHeight="1">
      <c r="A172" s="6">
        <v>46309.0</v>
      </c>
      <c r="B172" s="7" t="s">
        <v>28</v>
      </c>
      <c r="C172" s="9" t="s">
        <v>29</v>
      </c>
      <c r="D172" s="9" t="s">
        <v>27</v>
      </c>
      <c r="E172" s="10">
        <v>0.0</v>
      </c>
      <c r="F172" s="9">
        <f t="shared" si="1"/>
        <v>0</v>
      </c>
      <c r="G172" s="11">
        <v>0.0</v>
      </c>
      <c r="H172" s="9">
        <f t="shared" si="2"/>
        <v>0</v>
      </c>
      <c r="I172" s="11">
        <v>0.0</v>
      </c>
      <c r="J172" s="9">
        <f t="shared" si="12"/>
        <v>0</v>
      </c>
      <c r="K172" s="11">
        <v>0.0</v>
      </c>
      <c r="L172" s="11">
        <v>0.0</v>
      </c>
      <c r="M172" s="14">
        <f t="shared" si="3"/>
        <v>0</v>
      </c>
      <c r="N172" s="11">
        <v>0.0</v>
      </c>
      <c r="O172" s="14">
        <f t="shared" si="4"/>
        <v>0</v>
      </c>
      <c r="P172" s="11">
        <v>0.0</v>
      </c>
      <c r="Q172" s="15">
        <v>0.0</v>
      </c>
      <c r="R172" s="9">
        <v>10.0</v>
      </c>
      <c r="S172" s="16">
        <f t="shared" si="5"/>
        <v>0</v>
      </c>
      <c r="T172" s="17">
        <f t="shared" si="6"/>
        <v>0</v>
      </c>
      <c r="U172" s="14">
        <f t="shared" si="7"/>
        <v>-10</v>
      </c>
      <c r="V172" s="9" t="str">
        <f t="shared" si="8"/>
        <v>Low Performance</v>
      </c>
      <c r="W172" s="9"/>
    </row>
    <row r="173" ht="15.75" customHeight="1">
      <c r="A173" s="6">
        <v>46309.0</v>
      </c>
      <c r="B173" s="7" t="s">
        <v>36</v>
      </c>
      <c r="C173" s="9" t="s">
        <v>29</v>
      </c>
      <c r="D173" s="9" t="s">
        <v>27</v>
      </c>
      <c r="E173" s="10">
        <v>0.0</v>
      </c>
      <c r="F173" s="9">
        <f t="shared" si="1"/>
        <v>0</v>
      </c>
      <c r="G173" s="11">
        <v>0.0</v>
      </c>
      <c r="H173" s="9">
        <f t="shared" si="2"/>
        <v>0</v>
      </c>
      <c r="I173" s="11">
        <v>0.0</v>
      </c>
      <c r="J173" s="9">
        <f t="shared" si="12"/>
        <v>0</v>
      </c>
      <c r="K173" s="11">
        <v>0.0</v>
      </c>
      <c r="L173" s="11">
        <v>0.0</v>
      </c>
      <c r="M173" s="14">
        <f t="shared" si="3"/>
        <v>0</v>
      </c>
      <c r="N173" s="11">
        <v>0.0</v>
      </c>
      <c r="O173" s="14">
        <f t="shared" si="4"/>
        <v>0</v>
      </c>
      <c r="P173" s="11">
        <v>0.0</v>
      </c>
      <c r="Q173" s="15">
        <v>0.0</v>
      </c>
      <c r="R173" s="9">
        <v>10.0</v>
      </c>
      <c r="S173" s="16">
        <f t="shared" si="5"/>
        <v>0</v>
      </c>
      <c r="T173" s="17">
        <f t="shared" si="6"/>
        <v>0</v>
      </c>
      <c r="U173" s="14">
        <f t="shared" si="7"/>
        <v>-10</v>
      </c>
      <c r="V173" s="9" t="str">
        <f t="shared" si="8"/>
        <v>Low Performance</v>
      </c>
      <c r="W173" s="9"/>
    </row>
    <row r="174" ht="15.75" customHeight="1">
      <c r="A174" s="6">
        <v>46309.0</v>
      </c>
      <c r="B174" s="7" t="s">
        <v>37</v>
      </c>
      <c r="C174" s="9" t="s">
        <v>29</v>
      </c>
      <c r="D174" s="9" t="s">
        <v>27</v>
      </c>
      <c r="E174" s="10">
        <v>0.0</v>
      </c>
      <c r="F174" s="9">
        <f t="shared" si="1"/>
        <v>0</v>
      </c>
      <c r="G174" s="11">
        <v>0.0</v>
      </c>
      <c r="H174" s="9">
        <f t="shared" si="2"/>
        <v>0</v>
      </c>
      <c r="I174" s="11">
        <v>0.0</v>
      </c>
      <c r="J174" s="9">
        <f t="shared" si="12"/>
        <v>0</v>
      </c>
      <c r="K174" s="11">
        <v>0.0</v>
      </c>
      <c r="L174" s="11">
        <v>0.0</v>
      </c>
      <c r="M174" s="14">
        <f t="shared" si="3"/>
        <v>0</v>
      </c>
      <c r="N174" s="11">
        <v>0.0</v>
      </c>
      <c r="O174" s="14">
        <f t="shared" si="4"/>
        <v>0</v>
      </c>
      <c r="P174" s="11">
        <v>0.0</v>
      </c>
      <c r="Q174" s="15">
        <v>0.0</v>
      </c>
      <c r="R174" s="9">
        <v>10.0</v>
      </c>
      <c r="S174" s="16">
        <f t="shared" si="5"/>
        <v>0</v>
      </c>
      <c r="T174" s="17">
        <f t="shared" si="6"/>
        <v>0</v>
      </c>
      <c r="U174" s="14">
        <f t="shared" si="7"/>
        <v>-10</v>
      </c>
      <c r="V174" s="9" t="str">
        <f t="shared" si="8"/>
        <v>Low Performance</v>
      </c>
      <c r="W174" s="9"/>
    </row>
    <row r="175" ht="15.75" customHeight="1">
      <c r="A175" s="6">
        <v>46309.0</v>
      </c>
      <c r="B175" s="7" t="s">
        <v>38</v>
      </c>
      <c r="C175" s="9" t="s">
        <v>29</v>
      </c>
      <c r="D175" s="9" t="s">
        <v>27</v>
      </c>
      <c r="E175" s="10">
        <v>0.0</v>
      </c>
      <c r="F175" s="9">
        <f t="shared" si="1"/>
        <v>0</v>
      </c>
      <c r="G175" s="11">
        <v>0.0</v>
      </c>
      <c r="H175" s="9">
        <f t="shared" si="2"/>
        <v>0</v>
      </c>
      <c r="I175" s="11">
        <v>0.0</v>
      </c>
      <c r="J175" s="9">
        <f t="shared" si="12"/>
        <v>0</v>
      </c>
      <c r="K175" s="11">
        <v>0.0</v>
      </c>
      <c r="L175" s="11">
        <v>0.0</v>
      </c>
      <c r="M175" s="14">
        <f t="shared" si="3"/>
        <v>0</v>
      </c>
      <c r="N175" s="11">
        <v>0.0</v>
      </c>
      <c r="O175" s="14">
        <f t="shared" si="4"/>
        <v>0</v>
      </c>
      <c r="P175" s="11">
        <v>0.0</v>
      </c>
      <c r="Q175" s="15">
        <v>0.0</v>
      </c>
      <c r="R175" s="9">
        <v>10.0</v>
      </c>
      <c r="S175" s="16">
        <f t="shared" si="5"/>
        <v>0</v>
      </c>
      <c r="T175" s="17">
        <f t="shared" si="6"/>
        <v>0</v>
      </c>
      <c r="U175" s="14">
        <f t="shared" si="7"/>
        <v>-10</v>
      </c>
      <c r="V175" s="9" t="str">
        <f t="shared" si="8"/>
        <v>Low Performance</v>
      </c>
      <c r="W175" s="9"/>
    </row>
    <row r="176" ht="15.75" customHeight="1">
      <c r="A176" s="6">
        <v>46309.0</v>
      </c>
      <c r="B176" s="20" t="s">
        <v>39</v>
      </c>
      <c r="C176" s="9" t="s">
        <v>40</v>
      </c>
      <c r="D176" s="9" t="s">
        <v>27</v>
      </c>
      <c r="E176" s="10">
        <v>0.0</v>
      </c>
      <c r="F176" s="9">
        <f t="shared" si="1"/>
        <v>0</v>
      </c>
      <c r="G176" s="11">
        <v>0.0</v>
      </c>
      <c r="H176" s="9">
        <f t="shared" si="2"/>
        <v>0</v>
      </c>
      <c r="I176" s="11">
        <v>0.0</v>
      </c>
      <c r="J176" s="9">
        <f t="shared" si="12"/>
        <v>0</v>
      </c>
      <c r="K176" s="11">
        <v>0.0</v>
      </c>
      <c r="L176" s="11">
        <v>0.0</v>
      </c>
      <c r="M176" s="14">
        <f t="shared" si="3"/>
        <v>0</v>
      </c>
      <c r="N176" s="11">
        <v>0.0</v>
      </c>
      <c r="O176" s="14">
        <f t="shared" si="4"/>
        <v>0</v>
      </c>
      <c r="P176" s="11">
        <v>0.0</v>
      </c>
      <c r="Q176" s="15">
        <v>0.0</v>
      </c>
      <c r="R176" s="9">
        <v>10.0</v>
      </c>
      <c r="S176" s="16">
        <f t="shared" si="5"/>
        <v>0</v>
      </c>
      <c r="T176" s="17">
        <f t="shared" si="6"/>
        <v>0</v>
      </c>
      <c r="U176" s="14">
        <f t="shared" si="7"/>
        <v>-10</v>
      </c>
      <c r="V176" s="9" t="str">
        <f t="shared" si="8"/>
        <v>Low Performance</v>
      </c>
      <c r="W176" s="9"/>
    </row>
    <row r="177" ht="15.75" customHeight="1">
      <c r="A177" s="6">
        <v>46309.0</v>
      </c>
      <c r="B177" s="7" t="s">
        <v>41</v>
      </c>
      <c r="C177" s="9" t="s">
        <v>40</v>
      </c>
      <c r="D177" s="9" t="s">
        <v>27</v>
      </c>
      <c r="E177" s="10">
        <v>0.0</v>
      </c>
      <c r="F177" s="9">
        <f t="shared" si="1"/>
        <v>0</v>
      </c>
      <c r="G177" s="11">
        <v>0.0</v>
      </c>
      <c r="H177" s="9">
        <f t="shared" si="2"/>
        <v>0</v>
      </c>
      <c r="I177" s="11">
        <v>0.0</v>
      </c>
      <c r="J177" s="9">
        <f t="shared" si="12"/>
        <v>0</v>
      </c>
      <c r="K177" s="11">
        <v>0.0</v>
      </c>
      <c r="L177" s="11">
        <v>0.0</v>
      </c>
      <c r="M177" s="14">
        <f t="shared" si="3"/>
        <v>0</v>
      </c>
      <c r="N177" s="11">
        <v>0.0</v>
      </c>
      <c r="O177" s="14">
        <f t="shared" si="4"/>
        <v>0</v>
      </c>
      <c r="P177" s="11">
        <v>0.0</v>
      </c>
      <c r="Q177" s="15">
        <v>0.0</v>
      </c>
      <c r="R177" s="9">
        <v>10.0</v>
      </c>
      <c r="S177" s="16">
        <f t="shared" si="5"/>
        <v>0</v>
      </c>
      <c r="T177" s="17">
        <f t="shared" si="6"/>
        <v>0</v>
      </c>
      <c r="U177" s="14">
        <f t="shared" si="7"/>
        <v>-10</v>
      </c>
      <c r="V177" s="9" t="str">
        <f t="shared" si="8"/>
        <v>Low Performance</v>
      </c>
      <c r="W177" s="9"/>
    </row>
    <row r="178" ht="15.75" customHeight="1">
      <c r="A178" s="6">
        <v>46309.0</v>
      </c>
      <c r="B178" s="7" t="s">
        <v>42</v>
      </c>
      <c r="C178" s="9" t="s">
        <v>40</v>
      </c>
      <c r="D178" s="9" t="s">
        <v>27</v>
      </c>
      <c r="E178" s="10">
        <v>0.0</v>
      </c>
      <c r="F178" s="9">
        <f t="shared" si="1"/>
        <v>0</v>
      </c>
      <c r="G178" s="11">
        <v>0.0</v>
      </c>
      <c r="H178" s="9">
        <f t="shared" si="2"/>
        <v>0</v>
      </c>
      <c r="I178" s="11">
        <v>0.0</v>
      </c>
      <c r="J178" s="9">
        <f t="shared" si="12"/>
        <v>0</v>
      </c>
      <c r="K178" s="11">
        <v>0.0</v>
      </c>
      <c r="L178" s="11">
        <v>0.0</v>
      </c>
      <c r="M178" s="14">
        <f t="shared" si="3"/>
        <v>0</v>
      </c>
      <c r="N178" s="11">
        <v>0.0</v>
      </c>
      <c r="O178" s="14">
        <f t="shared" si="4"/>
        <v>0</v>
      </c>
      <c r="P178" s="11">
        <v>0.0</v>
      </c>
      <c r="Q178" s="15">
        <v>0.0</v>
      </c>
      <c r="R178" s="9">
        <v>10.0</v>
      </c>
      <c r="S178" s="16">
        <f t="shared" si="5"/>
        <v>0</v>
      </c>
      <c r="T178" s="17">
        <f t="shared" si="6"/>
        <v>0</v>
      </c>
      <c r="U178" s="14">
        <f t="shared" si="7"/>
        <v>-10</v>
      </c>
      <c r="V178" s="9" t="str">
        <f t="shared" si="8"/>
        <v>Low Performance</v>
      </c>
      <c r="W178" s="9"/>
    </row>
    <row r="179" ht="15.75" customHeight="1">
      <c r="A179" s="6">
        <v>46309.0</v>
      </c>
      <c r="B179" s="7" t="s">
        <v>43</v>
      </c>
      <c r="C179" s="9" t="s">
        <v>40</v>
      </c>
      <c r="D179" s="9" t="s">
        <v>27</v>
      </c>
      <c r="E179" s="10">
        <v>0.0</v>
      </c>
      <c r="F179" s="9">
        <f t="shared" si="1"/>
        <v>0</v>
      </c>
      <c r="G179" s="11">
        <v>0.0</v>
      </c>
      <c r="H179" s="9">
        <f t="shared" si="2"/>
        <v>0</v>
      </c>
      <c r="I179" s="11">
        <v>0.0</v>
      </c>
      <c r="J179" s="9">
        <f t="shared" si="12"/>
        <v>0</v>
      </c>
      <c r="K179" s="11">
        <v>0.0</v>
      </c>
      <c r="L179" s="11">
        <v>0.0</v>
      </c>
      <c r="M179" s="14">
        <f t="shared" si="3"/>
        <v>0</v>
      </c>
      <c r="N179" s="11">
        <v>0.0</v>
      </c>
      <c r="O179" s="14">
        <f t="shared" si="4"/>
        <v>0</v>
      </c>
      <c r="P179" s="11">
        <v>0.0</v>
      </c>
      <c r="Q179" s="15">
        <v>0.0</v>
      </c>
      <c r="R179" s="9">
        <v>10.0</v>
      </c>
      <c r="S179" s="16">
        <f t="shared" si="5"/>
        <v>0</v>
      </c>
      <c r="T179" s="17">
        <f t="shared" si="6"/>
        <v>0</v>
      </c>
      <c r="U179" s="14">
        <f t="shared" si="7"/>
        <v>-10</v>
      </c>
      <c r="V179" s="9" t="str">
        <f t="shared" si="8"/>
        <v>Low Performance</v>
      </c>
      <c r="W179" s="9"/>
    </row>
    <row r="180" ht="15.75" customHeight="1">
      <c r="A180" s="6">
        <v>46309.0</v>
      </c>
      <c r="B180" s="7" t="s">
        <v>45</v>
      </c>
      <c r="C180" s="18" t="s">
        <v>46</v>
      </c>
      <c r="D180" s="9" t="s">
        <v>27</v>
      </c>
      <c r="E180" s="10">
        <v>0.0</v>
      </c>
      <c r="F180" s="9">
        <f t="shared" si="1"/>
        <v>0</v>
      </c>
      <c r="G180" s="11">
        <v>0.0</v>
      </c>
      <c r="H180" s="9">
        <f t="shared" si="2"/>
        <v>0</v>
      </c>
      <c r="I180" s="11">
        <v>0.0</v>
      </c>
      <c r="J180" s="9">
        <f t="shared" si="12"/>
        <v>0</v>
      </c>
      <c r="K180" s="11">
        <v>0.0</v>
      </c>
      <c r="L180" s="11">
        <v>0.0</v>
      </c>
      <c r="M180" s="14">
        <f t="shared" si="3"/>
        <v>0</v>
      </c>
      <c r="N180" s="11">
        <v>0.0</v>
      </c>
      <c r="O180" s="14">
        <f t="shared" si="4"/>
        <v>0</v>
      </c>
      <c r="P180" s="11">
        <v>0.0</v>
      </c>
      <c r="Q180" s="15">
        <v>0.0</v>
      </c>
      <c r="R180" s="9">
        <v>10.0</v>
      </c>
      <c r="S180" s="16">
        <f t="shared" si="5"/>
        <v>0</v>
      </c>
      <c r="T180" s="17">
        <f t="shared" si="6"/>
        <v>0</v>
      </c>
      <c r="U180" s="14">
        <f t="shared" si="7"/>
        <v>-10</v>
      </c>
      <c r="V180" s="9" t="str">
        <f t="shared" si="8"/>
        <v>Low Performance</v>
      </c>
      <c r="W180" s="9"/>
    </row>
    <row r="181" ht="15.75" customHeight="1">
      <c r="A181" s="6">
        <v>46309.0</v>
      </c>
      <c r="B181" s="7" t="s">
        <v>49</v>
      </c>
      <c r="C181" s="18" t="s">
        <v>46</v>
      </c>
      <c r="D181" s="9" t="s">
        <v>27</v>
      </c>
      <c r="E181" s="10">
        <v>0.0</v>
      </c>
      <c r="F181" s="9">
        <f t="shared" si="1"/>
        <v>0</v>
      </c>
      <c r="G181" s="11">
        <v>0.0</v>
      </c>
      <c r="H181" s="9">
        <f t="shared" si="2"/>
        <v>0</v>
      </c>
      <c r="I181" s="11">
        <v>0.0</v>
      </c>
      <c r="J181" s="9">
        <f t="shared" si="12"/>
        <v>0</v>
      </c>
      <c r="K181" s="11">
        <v>0.0</v>
      </c>
      <c r="L181" s="11">
        <v>0.0</v>
      </c>
      <c r="M181" s="14">
        <f t="shared" si="3"/>
        <v>0</v>
      </c>
      <c r="N181" s="11">
        <v>0.0</v>
      </c>
      <c r="O181" s="14">
        <f t="shared" si="4"/>
        <v>0</v>
      </c>
      <c r="P181" s="11">
        <v>0.0</v>
      </c>
      <c r="Q181" s="15">
        <v>0.0</v>
      </c>
      <c r="R181" s="9">
        <v>10.0</v>
      </c>
      <c r="S181" s="16">
        <f t="shared" si="5"/>
        <v>0</v>
      </c>
      <c r="T181" s="17">
        <f t="shared" si="6"/>
        <v>0</v>
      </c>
      <c r="U181" s="14">
        <f t="shared" si="7"/>
        <v>-10</v>
      </c>
      <c r="V181" s="9" t="str">
        <f t="shared" si="8"/>
        <v>Low Performance</v>
      </c>
      <c r="W181" s="9"/>
    </row>
    <row r="182" ht="15.75" customHeight="1">
      <c r="A182" s="6">
        <v>46309.0</v>
      </c>
      <c r="B182" s="22" t="s">
        <v>50</v>
      </c>
      <c r="C182" s="23" t="s">
        <v>46</v>
      </c>
      <c r="D182" s="24" t="s">
        <v>27</v>
      </c>
      <c r="E182" s="10">
        <v>0.0</v>
      </c>
      <c r="F182" s="9">
        <f t="shared" si="1"/>
        <v>0</v>
      </c>
      <c r="G182" s="11">
        <v>0.0</v>
      </c>
      <c r="H182" s="9">
        <f t="shared" si="2"/>
        <v>0</v>
      </c>
      <c r="I182" s="11">
        <v>0.0</v>
      </c>
      <c r="J182" s="9">
        <f t="shared" si="12"/>
        <v>0</v>
      </c>
      <c r="K182" s="11">
        <v>0.0</v>
      </c>
      <c r="L182" s="11">
        <v>0.0</v>
      </c>
      <c r="M182" s="14">
        <f t="shared" si="3"/>
        <v>0</v>
      </c>
      <c r="N182" s="11">
        <v>0.0</v>
      </c>
      <c r="O182" s="14">
        <f t="shared" si="4"/>
        <v>0</v>
      </c>
      <c r="P182" s="11">
        <v>0.0</v>
      </c>
      <c r="Q182" s="15">
        <v>0.0</v>
      </c>
      <c r="R182" s="9">
        <v>10.0</v>
      </c>
      <c r="S182" s="16">
        <f t="shared" si="5"/>
        <v>0</v>
      </c>
      <c r="T182" s="17">
        <f t="shared" si="6"/>
        <v>0</v>
      </c>
      <c r="U182" s="14">
        <f t="shared" si="7"/>
        <v>-10</v>
      </c>
      <c r="V182" s="9" t="str">
        <f t="shared" si="8"/>
        <v>Low Performance</v>
      </c>
      <c r="W182" s="9"/>
    </row>
    <row r="183" ht="15.75" customHeight="1">
      <c r="A183" s="6">
        <v>46310.0</v>
      </c>
      <c r="B183" s="7" t="s">
        <v>25</v>
      </c>
      <c r="C183" s="8" t="s">
        <v>26</v>
      </c>
      <c r="D183" s="9" t="s">
        <v>27</v>
      </c>
      <c r="E183" s="10">
        <v>0.0</v>
      </c>
      <c r="F183" s="9">
        <f t="shared" si="1"/>
        <v>0</v>
      </c>
      <c r="G183" s="11">
        <v>0.0</v>
      </c>
      <c r="H183" s="9">
        <f t="shared" si="2"/>
        <v>0</v>
      </c>
      <c r="I183" s="11">
        <v>0.0</v>
      </c>
      <c r="J183" s="9">
        <f t="shared" si="12"/>
        <v>0</v>
      </c>
      <c r="K183" s="11">
        <v>0.0</v>
      </c>
      <c r="L183" s="11">
        <v>0.0</v>
      </c>
      <c r="M183" s="14">
        <f t="shared" si="3"/>
        <v>0</v>
      </c>
      <c r="N183" s="11">
        <v>0.0</v>
      </c>
      <c r="O183" s="14">
        <f t="shared" si="4"/>
        <v>0</v>
      </c>
      <c r="P183" s="11">
        <v>0.0</v>
      </c>
      <c r="Q183" s="15">
        <v>0.0</v>
      </c>
      <c r="R183" s="9">
        <v>10.0</v>
      </c>
      <c r="S183" s="16">
        <f t="shared" si="5"/>
        <v>0</v>
      </c>
      <c r="T183" s="17">
        <f t="shared" si="6"/>
        <v>0</v>
      </c>
      <c r="U183" s="14">
        <f t="shared" si="7"/>
        <v>-10</v>
      </c>
      <c r="V183" s="9" t="str">
        <f t="shared" si="8"/>
        <v>Low Performance</v>
      </c>
      <c r="W183" s="9"/>
    </row>
    <row r="184" ht="15.75" customHeight="1">
      <c r="A184" s="6">
        <v>46310.0</v>
      </c>
      <c r="B184" s="7" t="s">
        <v>30</v>
      </c>
      <c r="C184" s="18" t="s">
        <v>31</v>
      </c>
      <c r="D184" s="9" t="s">
        <v>27</v>
      </c>
      <c r="E184" s="10">
        <v>0.0</v>
      </c>
      <c r="F184" s="9">
        <f t="shared" si="1"/>
        <v>0</v>
      </c>
      <c r="G184" s="11">
        <v>0.0</v>
      </c>
      <c r="H184" s="9">
        <f t="shared" si="2"/>
        <v>0</v>
      </c>
      <c r="I184" s="11">
        <v>0.0</v>
      </c>
      <c r="J184" s="9">
        <f t="shared" si="12"/>
        <v>0</v>
      </c>
      <c r="K184" s="11">
        <v>0.0</v>
      </c>
      <c r="L184" s="11">
        <v>0.0</v>
      </c>
      <c r="M184" s="14">
        <f t="shared" si="3"/>
        <v>0</v>
      </c>
      <c r="N184" s="11">
        <v>0.0</v>
      </c>
      <c r="O184" s="14">
        <f t="shared" si="4"/>
        <v>0</v>
      </c>
      <c r="P184" s="11">
        <v>0.0</v>
      </c>
      <c r="Q184" s="15">
        <v>0.0</v>
      </c>
      <c r="R184" s="9">
        <v>10.0</v>
      </c>
      <c r="S184" s="16">
        <f t="shared" si="5"/>
        <v>0</v>
      </c>
      <c r="T184" s="17">
        <f t="shared" si="6"/>
        <v>0</v>
      </c>
      <c r="U184" s="14">
        <f t="shared" si="7"/>
        <v>-10</v>
      </c>
      <c r="V184" s="9" t="str">
        <f t="shared" si="8"/>
        <v>Low Performance</v>
      </c>
      <c r="W184" s="9"/>
    </row>
    <row r="185" ht="15.75" customHeight="1">
      <c r="A185" s="6">
        <v>46310.0</v>
      </c>
      <c r="B185" s="7" t="s">
        <v>32</v>
      </c>
      <c r="C185" s="18" t="s">
        <v>33</v>
      </c>
      <c r="D185" s="9" t="s">
        <v>27</v>
      </c>
      <c r="E185" s="10">
        <v>0.0</v>
      </c>
      <c r="F185" s="9">
        <f t="shared" si="1"/>
        <v>0</v>
      </c>
      <c r="G185" s="11">
        <v>0.0</v>
      </c>
      <c r="H185" s="9">
        <f t="shared" si="2"/>
        <v>0</v>
      </c>
      <c r="I185" s="11">
        <v>0.0</v>
      </c>
      <c r="J185" s="9">
        <f t="shared" si="12"/>
        <v>0</v>
      </c>
      <c r="K185" s="11">
        <v>0.0</v>
      </c>
      <c r="L185" s="11">
        <v>0.0</v>
      </c>
      <c r="M185" s="14">
        <f t="shared" si="3"/>
        <v>0</v>
      </c>
      <c r="N185" s="11">
        <v>0.0</v>
      </c>
      <c r="O185" s="14">
        <f t="shared" si="4"/>
        <v>0</v>
      </c>
      <c r="P185" s="11">
        <v>0.0</v>
      </c>
      <c r="Q185" s="15">
        <v>0.0</v>
      </c>
      <c r="R185" s="9">
        <v>10.0</v>
      </c>
      <c r="S185" s="16">
        <f t="shared" si="5"/>
        <v>0</v>
      </c>
      <c r="T185" s="17">
        <f t="shared" si="6"/>
        <v>0</v>
      </c>
      <c r="U185" s="14">
        <f t="shared" si="7"/>
        <v>-10</v>
      </c>
      <c r="V185" s="9" t="str">
        <f t="shared" si="8"/>
        <v>Low Performance</v>
      </c>
      <c r="W185" s="9"/>
    </row>
    <row r="186" ht="15.75" customHeight="1">
      <c r="A186" s="6">
        <v>46310.0</v>
      </c>
      <c r="B186" s="7" t="s">
        <v>34</v>
      </c>
      <c r="C186" s="18" t="s">
        <v>35</v>
      </c>
      <c r="D186" s="9" t="s">
        <v>27</v>
      </c>
      <c r="E186" s="10">
        <v>0.0</v>
      </c>
      <c r="F186" s="9">
        <f t="shared" si="1"/>
        <v>0</v>
      </c>
      <c r="G186" s="11">
        <v>0.0</v>
      </c>
      <c r="H186" s="9">
        <f t="shared" si="2"/>
        <v>0</v>
      </c>
      <c r="I186" s="11">
        <v>0.0</v>
      </c>
      <c r="J186" s="9">
        <f t="shared" si="12"/>
        <v>0</v>
      </c>
      <c r="K186" s="11">
        <v>0.0</v>
      </c>
      <c r="L186" s="11">
        <v>0.0</v>
      </c>
      <c r="M186" s="14">
        <f t="shared" si="3"/>
        <v>0</v>
      </c>
      <c r="N186" s="11">
        <v>0.0</v>
      </c>
      <c r="O186" s="14">
        <f t="shared" si="4"/>
        <v>0</v>
      </c>
      <c r="P186" s="11">
        <v>0.0</v>
      </c>
      <c r="Q186" s="15">
        <v>0.0</v>
      </c>
      <c r="R186" s="9">
        <v>10.0</v>
      </c>
      <c r="S186" s="16">
        <f t="shared" si="5"/>
        <v>0</v>
      </c>
      <c r="T186" s="17">
        <f t="shared" si="6"/>
        <v>0</v>
      </c>
      <c r="U186" s="14">
        <f t="shared" si="7"/>
        <v>-10</v>
      </c>
      <c r="V186" s="9" t="str">
        <f t="shared" si="8"/>
        <v>Low Performance</v>
      </c>
      <c r="W186" s="9"/>
    </row>
    <row r="187" ht="15.75" customHeight="1">
      <c r="A187" s="6">
        <v>46310.0</v>
      </c>
      <c r="B187" s="7" t="s">
        <v>28</v>
      </c>
      <c r="C187" s="9" t="s">
        <v>29</v>
      </c>
      <c r="D187" s="9" t="s">
        <v>27</v>
      </c>
      <c r="E187" s="10">
        <v>0.0</v>
      </c>
      <c r="F187" s="9">
        <f t="shared" si="1"/>
        <v>0</v>
      </c>
      <c r="G187" s="11">
        <v>0.0</v>
      </c>
      <c r="H187" s="9">
        <f t="shared" si="2"/>
        <v>0</v>
      </c>
      <c r="I187" s="11">
        <v>0.0</v>
      </c>
      <c r="J187" s="9">
        <f t="shared" si="12"/>
        <v>0</v>
      </c>
      <c r="K187" s="11">
        <v>0.0</v>
      </c>
      <c r="L187" s="11">
        <v>0.0</v>
      </c>
      <c r="M187" s="14">
        <f t="shared" si="3"/>
        <v>0</v>
      </c>
      <c r="N187" s="11">
        <v>0.0</v>
      </c>
      <c r="O187" s="14">
        <f t="shared" si="4"/>
        <v>0</v>
      </c>
      <c r="P187" s="11">
        <v>0.0</v>
      </c>
      <c r="Q187" s="15">
        <v>0.0</v>
      </c>
      <c r="R187" s="9">
        <v>10.0</v>
      </c>
      <c r="S187" s="16">
        <f t="shared" si="5"/>
        <v>0</v>
      </c>
      <c r="T187" s="17">
        <f t="shared" si="6"/>
        <v>0</v>
      </c>
      <c r="U187" s="14">
        <f t="shared" si="7"/>
        <v>-10</v>
      </c>
      <c r="V187" s="9" t="str">
        <f t="shared" si="8"/>
        <v>Low Performance</v>
      </c>
      <c r="W187" s="9"/>
    </row>
    <row r="188" ht="15.75" customHeight="1">
      <c r="A188" s="6">
        <v>46310.0</v>
      </c>
      <c r="B188" s="7" t="s">
        <v>36</v>
      </c>
      <c r="C188" s="9" t="s">
        <v>29</v>
      </c>
      <c r="D188" s="9" t="s">
        <v>27</v>
      </c>
      <c r="E188" s="10">
        <v>0.0</v>
      </c>
      <c r="F188" s="9">
        <f t="shared" si="1"/>
        <v>0</v>
      </c>
      <c r="G188" s="11">
        <v>0.0</v>
      </c>
      <c r="H188" s="9">
        <f t="shared" si="2"/>
        <v>0</v>
      </c>
      <c r="I188" s="11">
        <v>0.0</v>
      </c>
      <c r="J188" s="9">
        <f t="shared" si="12"/>
        <v>0</v>
      </c>
      <c r="K188" s="11">
        <v>0.0</v>
      </c>
      <c r="L188" s="11">
        <v>0.0</v>
      </c>
      <c r="M188" s="14">
        <f t="shared" si="3"/>
        <v>0</v>
      </c>
      <c r="N188" s="11">
        <v>0.0</v>
      </c>
      <c r="O188" s="14">
        <f t="shared" si="4"/>
        <v>0</v>
      </c>
      <c r="P188" s="11">
        <v>0.0</v>
      </c>
      <c r="Q188" s="15">
        <v>0.0</v>
      </c>
      <c r="R188" s="9">
        <v>10.0</v>
      </c>
      <c r="S188" s="16">
        <f t="shared" si="5"/>
        <v>0</v>
      </c>
      <c r="T188" s="17">
        <f t="shared" si="6"/>
        <v>0</v>
      </c>
      <c r="U188" s="14">
        <f t="shared" si="7"/>
        <v>-10</v>
      </c>
      <c r="V188" s="9" t="str">
        <f t="shared" si="8"/>
        <v>Low Performance</v>
      </c>
      <c r="W188" s="9"/>
    </row>
    <row r="189" ht="15.75" customHeight="1">
      <c r="A189" s="6">
        <v>46310.0</v>
      </c>
      <c r="B189" s="7" t="s">
        <v>37</v>
      </c>
      <c r="C189" s="9" t="s">
        <v>29</v>
      </c>
      <c r="D189" s="9" t="s">
        <v>27</v>
      </c>
      <c r="E189" s="10">
        <v>0.0</v>
      </c>
      <c r="F189" s="9">
        <f t="shared" si="1"/>
        <v>0</v>
      </c>
      <c r="G189" s="11">
        <v>0.0</v>
      </c>
      <c r="H189" s="9">
        <f t="shared" si="2"/>
        <v>0</v>
      </c>
      <c r="I189" s="11">
        <v>0.0</v>
      </c>
      <c r="J189" s="9">
        <f t="shared" si="12"/>
        <v>0</v>
      </c>
      <c r="K189" s="11">
        <v>0.0</v>
      </c>
      <c r="L189" s="11">
        <v>0.0</v>
      </c>
      <c r="M189" s="14">
        <f t="shared" si="3"/>
        <v>0</v>
      </c>
      <c r="N189" s="11">
        <v>0.0</v>
      </c>
      <c r="O189" s="14">
        <f t="shared" si="4"/>
        <v>0</v>
      </c>
      <c r="P189" s="11">
        <v>0.0</v>
      </c>
      <c r="Q189" s="15">
        <v>0.0</v>
      </c>
      <c r="R189" s="9">
        <v>10.0</v>
      </c>
      <c r="S189" s="16">
        <f t="shared" si="5"/>
        <v>0</v>
      </c>
      <c r="T189" s="17">
        <f t="shared" si="6"/>
        <v>0</v>
      </c>
      <c r="U189" s="14">
        <f t="shared" si="7"/>
        <v>-10</v>
      </c>
      <c r="V189" s="9" t="str">
        <f t="shared" si="8"/>
        <v>Low Performance</v>
      </c>
      <c r="W189" s="9"/>
    </row>
    <row r="190" ht="15.75" customHeight="1">
      <c r="A190" s="6">
        <v>46310.0</v>
      </c>
      <c r="B190" s="7" t="s">
        <v>38</v>
      </c>
      <c r="C190" s="9" t="s">
        <v>29</v>
      </c>
      <c r="D190" s="9" t="s">
        <v>27</v>
      </c>
      <c r="E190" s="10">
        <v>0.0</v>
      </c>
      <c r="F190" s="9">
        <f t="shared" si="1"/>
        <v>0</v>
      </c>
      <c r="G190" s="11">
        <v>0.0</v>
      </c>
      <c r="H190" s="9">
        <f t="shared" si="2"/>
        <v>0</v>
      </c>
      <c r="I190" s="11">
        <v>0.0</v>
      </c>
      <c r="J190" s="9">
        <f t="shared" si="12"/>
        <v>0</v>
      </c>
      <c r="K190" s="11">
        <v>0.0</v>
      </c>
      <c r="L190" s="11">
        <v>0.0</v>
      </c>
      <c r="M190" s="14">
        <f t="shared" si="3"/>
        <v>0</v>
      </c>
      <c r="N190" s="11">
        <v>0.0</v>
      </c>
      <c r="O190" s="14">
        <f t="shared" si="4"/>
        <v>0</v>
      </c>
      <c r="P190" s="11">
        <v>0.0</v>
      </c>
      <c r="Q190" s="15">
        <v>0.0</v>
      </c>
      <c r="R190" s="9">
        <v>10.0</v>
      </c>
      <c r="S190" s="16">
        <f t="shared" si="5"/>
        <v>0</v>
      </c>
      <c r="T190" s="17">
        <f t="shared" si="6"/>
        <v>0</v>
      </c>
      <c r="U190" s="14">
        <f t="shared" si="7"/>
        <v>-10</v>
      </c>
      <c r="V190" s="9" t="str">
        <f t="shared" si="8"/>
        <v>Low Performance</v>
      </c>
      <c r="W190" s="9"/>
    </row>
    <row r="191" ht="15.75" customHeight="1">
      <c r="A191" s="6">
        <v>46310.0</v>
      </c>
      <c r="B191" s="20" t="s">
        <v>39</v>
      </c>
      <c r="C191" s="9" t="s">
        <v>40</v>
      </c>
      <c r="D191" s="9" t="s">
        <v>27</v>
      </c>
      <c r="E191" s="10">
        <v>0.0</v>
      </c>
      <c r="F191" s="9">
        <f t="shared" si="1"/>
        <v>0</v>
      </c>
      <c r="G191" s="11">
        <v>0.0</v>
      </c>
      <c r="H191" s="9">
        <f t="shared" si="2"/>
        <v>0</v>
      </c>
      <c r="I191" s="11">
        <v>0.0</v>
      </c>
      <c r="J191" s="9">
        <f t="shared" si="12"/>
        <v>0</v>
      </c>
      <c r="K191" s="11">
        <v>0.0</v>
      </c>
      <c r="L191" s="11">
        <v>0.0</v>
      </c>
      <c r="M191" s="14">
        <f t="shared" si="3"/>
        <v>0</v>
      </c>
      <c r="N191" s="11">
        <v>0.0</v>
      </c>
      <c r="O191" s="14">
        <f t="shared" si="4"/>
        <v>0</v>
      </c>
      <c r="P191" s="11">
        <v>0.0</v>
      </c>
      <c r="Q191" s="15">
        <v>0.0</v>
      </c>
      <c r="R191" s="9">
        <v>10.0</v>
      </c>
      <c r="S191" s="16">
        <f t="shared" si="5"/>
        <v>0</v>
      </c>
      <c r="T191" s="17">
        <f t="shared" si="6"/>
        <v>0</v>
      </c>
      <c r="U191" s="14">
        <f t="shared" si="7"/>
        <v>-10</v>
      </c>
      <c r="V191" s="9" t="str">
        <f t="shared" si="8"/>
        <v>Low Performance</v>
      </c>
      <c r="W191" s="9"/>
    </row>
    <row r="192" ht="15.75" customHeight="1">
      <c r="A192" s="6">
        <v>46310.0</v>
      </c>
      <c r="B192" s="7" t="s">
        <v>41</v>
      </c>
      <c r="C192" s="9" t="s">
        <v>40</v>
      </c>
      <c r="D192" s="9" t="s">
        <v>27</v>
      </c>
      <c r="E192" s="10">
        <v>0.0</v>
      </c>
      <c r="F192" s="9">
        <f t="shared" si="1"/>
        <v>0</v>
      </c>
      <c r="G192" s="11">
        <v>0.0</v>
      </c>
      <c r="H192" s="9">
        <f t="shared" si="2"/>
        <v>0</v>
      </c>
      <c r="I192" s="11">
        <v>0.0</v>
      </c>
      <c r="J192" s="9">
        <f t="shared" si="12"/>
        <v>0</v>
      </c>
      <c r="K192" s="11">
        <v>0.0</v>
      </c>
      <c r="L192" s="11">
        <v>0.0</v>
      </c>
      <c r="M192" s="14">
        <f t="shared" si="3"/>
        <v>0</v>
      </c>
      <c r="N192" s="11">
        <v>0.0</v>
      </c>
      <c r="O192" s="14">
        <f t="shared" si="4"/>
        <v>0</v>
      </c>
      <c r="P192" s="11">
        <v>0.0</v>
      </c>
      <c r="Q192" s="15">
        <v>0.0</v>
      </c>
      <c r="R192" s="9">
        <v>10.0</v>
      </c>
      <c r="S192" s="16">
        <f t="shared" si="5"/>
        <v>0</v>
      </c>
      <c r="T192" s="17">
        <f t="shared" si="6"/>
        <v>0</v>
      </c>
      <c r="U192" s="14">
        <f t="shared" si="7"/>
        <v>-10</v>
      </c>
      <c r="V192" s="9" t="str">
        <f t="shared" si="8"/>
        <v>Low Performance</v>
      </c>
      <c r="W192" s="9"/>
    </row>
    <row r="193" ht="15.75" customHeight="1">
      <c r="A193" s="6">
        <v>46310.0</v>
      </c>
      <c r="B193" s="7" t="s">
        <v>42</v>
      </c>
      <c r="C193" s="9" t="s">
        <v>40</v>
      </c>
      <c r="D193" s="9" t="s">
        <v>27</v>
      </c>
      <c r="E193" s="10">
        <v>0.0</v>
      </c>
      <c r="F193" s="9">
        <f t="shared" si="1"/>
        <v>0</v>
      </c>
      <c r="G193" s="11">
        <v>0.0</v>
      </c>
      <c r="H193" s="9">
        <f t="shared" si="2"/>
        <v>0</v>
      </c>
      <c r="I193" s="11">
        <v>0.0</v>
      </c>
      <c r="J193" s="9">
        <f t="shared" si="12"/>
        <v>0</v>
      </c>
      <c r="K193" s="11">
        <v>0.0</v>
      </c>
      <c r="L193" s="11">
        <v>0.0</v>
      </c>
      <c r="M193" s="14">
        <f t="shared" si="3"/>
        <v>0</v>
      </c>
      <c r="N193" s="11">
        <v>0.0</v>
      </c>
      <c r="O193" s="14">
        <f t="shared" si="4"/>
        <v>0</v>
      </c>
      <c r="P193" s="11">
        <v>0.0</v>
      </c>
      <c r="Q193" s="15">
        <v>0.0</v>
      </c>
      <c r="R193" s="9">
        <v>10.0</v>
      </c>
      <c r="S193" s="16">
        <f t="shared" si="5"/>
        <v>0</v>
      </c>
      <c r="T193" s="17">
        <f t="shared" si="6"/>
        <v>0</v>
      </c>
      <c r="U193" s="14">
        <f t="shared" si="7"/>
        <v>-10</v>
      </c>
      <c r="V193" s="9" t="str">
        <f t="shared" si="8"/>
        <v>Low Performance</v>
      </c>
      <c r="W193" s="9"/>
    </row>
    <row r="194" ht="15.75" customHeight="1">
      <c r="A194" s="6">
        <v>46310.0</v>
      </c>
      <c r="B194" s="7" t="s">
        <v>43</v>
      </c>
      <c r="C194" s="9" t="s">
        <v>40</v>
      </c>
      <c r="D194" s="9" t="s">
        <v>27</v>
      </c>
      <c r="E194" s="10">
        <v>0.0</v>
      </c>
      <c r="F194" s="9">
        <f t="shared" si="1"/>
        <v>0</v>
      </c>
      <c r="G194" s="11">
        <v>0.0</v>
      </c>
      <c r="H194" s="9">
        <f t="shared" si="2"/>
        <v>0</v>
      </c>
      <c r="I194" s="11">
        <v>0.0</v>
      </c>
      <c r="J194" s="9">
        <f t="shared" si="12"/>
        <v>0</v>
      </c>
      <c r="K194" s="11">
        <v>0.0</v>
      </c>
      <c r="L194" s="11">
        <v>0.0</v>
      </c>
      <c r="M194" s="14">
        <f t="shared" si="3"/>
        <v>0</v>
      </c>
      <c r="N194" s="11">
        <v>0.0</v>
      </c>
      <c r="O194" s="14">
        <f t="shared" si="4"/>
        <v>0</v>
      </c>
      <c r="P194" s="11">
        <v>0.0</v>
      </c>
      <c r="Q194" s="15">
        <v>0.0</v>
      </c>
      <c r="R194" s="9">
        <v>10.0</v>
      </c>
      <c r="S194" s="16">
        <f t="shared" si="5"/>
        <v>0</v>
      </c>
      <c r="T194" s="17">
        <f t="shared" si="6"/>
        <v>0</v>
      </c>
      <c r="U194" s="14">
        <f t="shared" si="7"/>
        <v>-10</v>
      </c>
      <c r="V194" s="9" t="str">
        <f t="shared" si="8"/>
        <v>Low Performance</v>
      </c>
      <c r="W194" s="9"/>
    </row>
    <row r="195" ht="15.75" customHeight="1">
      <c r="A195" s="6">
        <v>46310.0</v>
      </c>
      <c r="B195" s="7" t="s">
        <v>45</v>
      </c>
      <c r="C195" s="18" t="s">
        <v>46</v>
      </c>
      <c r="D195" s="9" t="s">
        <v>27</v>
      </c>
      <c r="E195" s="10">
        <v>0.0</v>
      </c>
      <c r="F195" s="9">
        <f t="shared" si="1"/>
        <v>0</v>
      </c>
      <c r="G195" s="11">
        <v>0.0</v>
      </c>
      <c r="H195" s="9">
        <f t="shared" si="2"/>
        <v>0</v>
      </c>
      <c r="I195" s="11">
        <v>0.0</v>
      </c>
      <c r="J195" s="9">
        <f t="shared" si="12"/>
        <v>0</v>
      </c>
      <c r="K195" s="11">
        <v>0.0</v>
      </c>
      <c r="L195" s="11">
        <v>0.0</v>
      </c>
      <c r="M195" s="14">
        <f t="shared" si="3"/>
        <v>0</v>
      </c>
      <c r="N195" s="11">
        <v>0.0</v>
      </c>
      <c r="O195" s="14">
        <f t="shared" si="4"/>
        <v>0</v>
      </c>
      <c r="P195" s="11">
        <v>0.0</v>
      </c>
      <c r="Q195" s="15">
        <v>0.0</v>
      </c>
      <c r="R195" s="9">
        <v>10.0</v>
      </c>
      <c r="S195" s="16">
        <f t="shared" si="5"/>
        <v>0</v>
      </c>
      <c r="T195" s="17">
        <f t="shared" si="6"/>
        <v>0</v>
      </c>
      <c r="U195" s="14">
        <f t="shared" si="7"/>
        <v>-10</v>
      </c>
      <c r="V195" s="9" t="str">
        <f t="shared" si="8"/>
        <v>Low Performance</v>
      </c>
      <c r="W195" s="9"/>
    </row>
    <row r="196" ht="15.75" customHeight="1">
      <c r="A196" s="6">
        <v>46310.0</v>
      </c>
      <c r="B196" s="7" t="s">
        <v>49</v>
      </c>
      <c r="C196" s="18" t="s">
        <v>46</v>
      </c>
      <c r="D196" s="9" t="s">
        <v>27</v>
      </c>
      <c r="E196" s="10">
        <v>0.0</v>
      </c>
      <c r="F196" s="9">
        <f t="shared" si="1"/>
        <v>0</v>
      </c>
      <c r="G196" s="11">
        <v>0.0</v>
      </c>
      <c r="H196" s="9">
        <f t="shared" si="2"/>
        <v>0</v>
      </c>
      <c r="I196" s="11">
        <v>0.0</v>
      </c>
      <c r="J196" s="9">
        <f t="shared" si="12"/>
        <v>0</v>
      </c>
      <c r="K196" s="11">
        <v>0.0</v>
      </c>
      <c r="L196" s="11">
        <v>0.0</v>
      </c>
      <c r="M196" s="14">
        <f t="shared" si="3"/>
        <v>0</v>
      </c>
      <c r="N196" s="11">
        <v>0.0</v>
      </c>
      <c r="O196" s="14">
        <f t="shared" si="4"/>
        <v>0</v>
      </c>
      <c r="P196" s="11">
        <v>0.0</v>
      </c>
      <c r="Q196" s="15">
        <v>0.0</v>
      </c>
      <c r="R196" s="9">
        <v>10.0</v>
      </c>
      <c r="S196" s="16">
        <f t="shared" si="5"/>
        <v>0</v>
      </c>
      <c r="T196" s="17">
        <f t="shared" si="6"/>
        <v>0</v>
      </c>
      <c r="U196" s="14">
        <f t="shared" si="7"/>
        <v>-10</v>
      </c>
      <c r="V196" s="9" t="str">
        <f t="shared" si="8"/>
        <v>Low Performance</v>
      </c>
      <c r="W196" s="9"/>
    </row>
    <row r="197" ht="15.75" customHeight="1">
      <c r="A197" s="6">
        <v>46310.0</v>
      </c>
      <c r="B197" s="22" t="s">
        <v>50</v>
      </c>
      <c r="C197" s="23" t="s">
        <v>46</v>
      </c>
      <c r="D197" s="24" t="s">
        <v>27</v>
      </c>
      <c r="E197" s="10">
        <v>0.0</v>
      </c>
      <c r="F197" s="9">
        <f t="shared" si="1"/>
        <v>0</v>
      </c>
      <c r="G197" s="11">
        <v>0.0</v>
      </c>
      <c r="H197" s="9">
        <f t="shared" si="2"/>
        <v>0</v>
      </c>
      <c r="I197" s="11">
        <v>0.0</v>
      </c>
      <c r="J197" s="9">
        <f t="shared" si="12"/>
        <v>0</v>
      </c>
      <c r="K197" s="11">
        <v>0.0</v>
      </c>
      <c r="L197" s="11">
        <v>0.0</v>
      </c>
      <c r="M197" s="14">
        <f t="shared" si="3"/>
        <v>0</v>
      </c>
      <c r="N197" s="11">
        <v>0.0</v>
      </c>
      <c r="O197" s="14">
        <f t="shared" si="4"/>
        <v>0</v>
      </c>
      <c r="P197" s="11">
        <v>0.0</v>
      </c>
      <c r="Q197" s="15">
        <v>0.0</v>
      </c>
      <c r="R197" s="9">
        <v>10.0</v>
      </c>
      <c r="S197" s="16">
        <f t="shared" si="5"/>
        <v>0</v>
      </c>
      <c r="T197" s="17">
        <f t="shared" si="6"/>
        <v>0</v>
      </c>
      <c r="U197" s="14">
        <f t="shared" si="7"/>
        <v>-10</v>
      </c>
      <c r="V197" s="9" t="str">
        <f t="shared" si="8"/>
        <v>Low Performance</v>
      </c>
      <c r="W197" s="9"/>
    </row>
    <row r="198" ht="15.75" customHeight="1">
      <c r="A198" s="6">
        <v>46312.0</v>
      </c>
      <c r="B198" s="7" t="s">
        <v>25</v>
      </c>
      <c r="C198" s="8" t="s">
        <v>26</v>
      </c>
      <c r="D198" s="9" t="s">
        <v>27</v>
      </c>
      <c r="E198" s="10">
        <v>0.0</v>
      </c>
      <c r="F198" s="9">
        <f t="shared" si="1"/>
        <v>0</v>
      </c>
      <c r="G198" s="11">
        <v>0.0</v>
      </c>
      <c r="H198" s="9">
        <f t="shared" si="2"/>
        <v>0</v>
      </c>
      <c r="I198" s="11">
        <v>0.0</v>
      </c>
      <c r="J198" s="9">
        <f t="shared" si="12"/>
        <v>0</v>
      </c>
      <c r="K198" s="11">
        <v>0.0</v>
      </c>
      <c r="L198" s="11">
        <v>0.0</v>
      </c>
      <c r="M198" s="14">
        <f t="shared" si="3"/>
        <v>0</v>
      </c>
      <c r="N198" s="11">
        <v>0.0</v>
      </c>
      <c r="O198" s="14">
        <f t="shared" si="4"/>
        <v>0</v>
      </c>
      <c r="P198" s="11">
        <v>0.0</v>
      </c>
      <c r="Q198" s="15">
        <v>0.0</v>
      </c>
      <c r="R198" s="9">
        <v>10.0</v>
      </c>
      <c r="S198" s="16">
        <f t="shared" si="5"/>
        <v>0</v>
      </c>
      <c r="T198" s="17">
        <f t="shared" si="6"/>
        <v>0</v>
      </c>
      <c r="U198" s="14">
        <f t="shared" si="7"/>
        <v>-10</v>
      </c>
      <c r="V198" s="9" t="str">
        <f t="shared" si="8"/>
        <v>Low Performance</v>
      </c>
      <c r="W198" s="9"/>
    </row>
    <row r="199" ht="15.75" customHeight="1">
      <c r="A199" s="6">
        <v>46312.0</v>
      </c>
      <c r="B199" s="7" t="s">
        <v>30</v>
      </c>
      <c r="C199" s="18" t="s">
        <v>31</v>
      </c>
      <c r="D199" s="9" t="s">
        <v>27</v>
      </c>
      <c r="E199" s="10">
        <v>0.0</v>
      </c>
      <c r="F199" s="9">
        <f t="shared" si="1"/>
        <v>0</v>
      </c>
      <c r="G199" s="11">
        <v>0.0</v>
      </c>
      <c r="H199" s="9">
        <f t="shared" si="2"/>
        <v>0</v>
      </c>
      <c r="I199" s="11">
        <v>0.0</v>
      </c>
      <c r="J199" s="9">
        <f t="shared" si="12"/>
        <v>0</v>
      </c>
      <c r="K199" s="11">
        <v>0.0</v>
      </c>
      <c r="L199" s="11">
        <v>0.0</v>
      </c>
      <c r="M199" s="14">
        <f t="shared" si="3"/>
        <v>0</v>
      </c>
      <c r="N199" s="11">
        <v>0.0</v>
      </c>
      <c r="O199" s="14">
        <f t="shared" si="4"/>
        <v>0</v>
      </c>
      <c r="P199" s="11">
        <v>0.0</v>
      </c>
      <c r="Q199" s="15">
        <v>0.0</v>
      </c>
      <c r="R199" s="9">
        <v>10.0</v>
      </c>
      <c r="S199" s="16">
        <f t="shared" si="5"/>
        <v>0</v>
      </c>
      <c r="T199" s="17">
        <f t="shared" si="6"/>
        <v>0</v>
      </c>
      <c r="U199" s="14">
        <f t="shared" si="7"/>
        <v>-10</v>
      </c>
      <c r="V199" s="9" t="str">
        <f t="shared" si="8"/>
        <v>Low Performance</v>
      </c>
      <c r="W199" s="9"/>
    </row>
    <row r="200" ht="15.75" customHeight="1">
      <c r="A200" s="6">
        <v>46312.0</v>
      </c>
      <c r="B200" s="7" t="s">
        <v>32</v>
      </c>
      <c r="C200" s="18" t="s">
        <v>33</v>
      </c>
      <c r="D200" s="9" t="s">
        <v>27</v>
      </c>
      <c r="E200" s="10">
        <v>0.0</v>
      </c>
      <c r="F200" s="9">
        <f t="shared" si="1"/>
        <v>0</v>
      </c>
      <c r="G200" s="11">
        <v>0.0</v>
      </c>
      <c r="H200" s="9">
        <f t="shared" si="2"/>
        <v>0</v>
      </c>
      <c r="I200" s="11">
        <v>0.0</v>
      </c>
      <c r="J200" s="9">
        <f t="shared" si="12"/>
        <v>0</v>
      </c>
      <c r="K200" s="11">
        <v>0.0</v>
      </c>
      <c r="L200" s="11">
        <v>0.0</v>
      </c>
      <c r="M200" s="14">
        <f t="shared" si="3"/>
        <v>0</v>
      </c>
      <c r="N200" s="11">
        <v>0.0</v>
      </c>
      <c r="O200" s="14">
        <f t="shared" si="4"/>
        <v>0</v>
      </c>
      <c r="P200" s="11">
        <v>0.0</v>
      </c>
      <c r="Q200" s="15">
        <v>0.0</v>
      </c>
      <c r="R200" s="9">
        <v>10.0</v>
      </c>
      <c r="S200" s="16">
        <f t="shared" si="5"/>
        <v>0</v>
      </c>
      <c r="T200" s="17">
        <f t="shared" si="6"/>
        <v>0</v>
      </c>
      <c r="U200" s="14">
        <f t="shared" si="7"/>
        <v>-10</v>
      </c>
      <c r="V200" s="9" t="str">
        <f t="shared" si="8"/>
        <v>Low Performance</v>
      </c>
      <c r="W200" s="9"/>
    </row>
    <row r="201" ht="15.75" customHeight="1">
      <c r="A201" s="6">
        <v>46312.0</v>
      </c>
      <c r="B201" s="7" t="s">
        <v>34</v>
      </c>
      <c r="C201" s="18" t="s">
        <v>35</v>
      </c>
      <c r="D201" s="9" t="s">
        <v>27</v>
      </c>
      <c r="E201" s="10">
        <v>0.0</v>
      </c>
      <c r="F201" s="9">
        <f t="shared" si="1"/>
        <v>0</v>
      </c>
      <c r="G201" s="11">
        <v>0.0</v>
      </c>
      <c r="H201" s="9">
        <f t="shared" si="2"/>
        <v>0</v>
      </c>
      <c r="I201" s="11">
        <v>0.0</v>
      </c>
      <c r="J201" s="9">
        <f t="shared" si="12"/>
        <v>0</v>
      </c>
      <c r="K201" s="11">
        <v>0.0</v>
      </c>
      <c r="L201" s="11">
        <v>0.0</v>
      </c>
      <c r="M201" s="14">
        <f t="shared" si="3"/>
        <v>0</v>
      </c>
      <c r="N201" s="11">
        <v>0.0</v>
      </c>
      <c r="O201" s="14">
        <f t="shared" si="4"/>
        <v>0</v>
      </c>
      <c r="P201" s="11">
        <v>0.0</v>
      </c>
      <c r="Q201" s="15">
        <v>0.0</v>
      </c>
      <c r="R201" s="9">
        <v>10.0</v>
      </c>
      <c r="S201" s="16">
        <f t="shared" si="5"/>
        <v>0</v>
      </c>
      <c r="T201" s="17">
        <f t="shared" si="6"/>
        <v>0</v>
      </c>
      <c r="U201" s="14">
        <f t="shared" si="7"/>
        <v>-10</v>
      </c>
      <c r="V201" s="9" t="str">
        <f t="shared" si="8"/>
        <v>Low Performance</v>
      </c>
      <c r="W201" s="9"/>
    </row>
    <row r="202" ht="15.75" customHeight="1">
      <c r="A202" s="6">
        <v>46312.0</v>
      </c>
      <c r="B202" s="7" t="s">
        <v>28</v>
      </c>
      <c r="C202" s="9" t="s">
        <v>29</v>
      </c>
      <c r="D202" s="9" t="s">
        <v>27</v>
      </c>
      <c r="E202" s="10">
        <v>0.0</v>
      </c>
      <c r="F202" s="9">
        <f t="shared" si="1"/>
        <v>0</v>
      </c>
      <c r="G202" s="11">
        <v>0.0</v>
      </c>
      <c r="H202" s="9">
        <f t="shared" si="2"/>
        <v>0</v>
      </c>
      <c r="I202" s="11">
        <v>0.0</v>
      </c>
      <c r="J202" s="9">
        <f t="shared" si="12"/>
        <v>0</v>
      </c>
      <c r="K202" s="11">
        <v>0.0</v>
      </c>
      <c r="L202" s="11">
        <v>0.0</v>
      </c>
      <c r="M202" s="14">
        <f t="shared" si="3"/>
        <v>0</v>
      </c>
      <c r="N202" s="11">
        <v>0.0</v>
      </c>
      <c r="O202" s="14">
        <f t="shared" si="4"/>
        <v>0</v>
      </c>
      <c r="P202" s="11">
        <v>0.0</v>
      </c>
      <c r="Q202" s="15">
        <v>0.0</v>
      </c>
      <c r="R202" s="9">
        <v>10.0</v>
      </c>
      <c r="S202" s="16">
        <f t="shared" si="5"/>
        <v>0</v>
      </c>
      <c r="T202" s="17">
        <f t="shared" si="6"/>
        <v>0</v>
      </c>
      <c r="U202" s="14">
        <f t="shared" si="7"/>
        <v>-10</v>
      </c>
      <c r="V202" s="9" t="str">
        <f t="shared" si="8"/>
        <v>Low Performance</v>
      </c>
      <c r="W202" s="9"/>
    </row>
    <row r="203" ht="15.75" customHeight="1">
      <c r="A203" s="6">
        <v>46312.0</v>
      </c>
      <c r="B203" s="7" t="s">
        <v>36</v>
      </c>
      <c r="C203" s="9" t="s">
        <v>29</v>
      </c>
      <c r="D203" s="9" t="s">
        <v>27</v>
      </c>
      <c r="E203" s="10">
        <v>0.0</v>
      </c>
      <c r="F203" s="9">
        <f t="shared" si="1"/>
        <v>0</v>
      </c>
      <c r="G203" s="11">
        <v>0.0</v>
      </c>
      <c r="H203" s="9">
        <f t="shared" si="2"/>
        <v>0</v>
      </c>
      <c r="I203" s="11">
        <v>0.0</v>
      </c>
      <c r="J203" s="9">
        <f t="shared" si="12"/>
        <v>0</v>
      </c>
      <c r="K203" s="11">
        <v>0.0</v>
      </c>
      <c r="L203" s="11">
        <v>0.0</v>
      </c>
      <c r="M203" s="14">
        <f t="shared" si="3"/>
        <v>0</v>
      </c>
      <c r="N203" s="11">
        <v>0.0</v>
      </c>
      <c r="O203" s="14">
        <f t="shared" si="4"/>
        <v>0</v>
      </c>
      <c r="P203" s="11">
        <v>0.0</v>
      </c>
      <c r="Q203" s="15">
        <v>0.0</v>
      </c>
      <c r="R203" s="9">
        <v>10.0</v>
      </c>
      <c r="S203" s="16">
        <f t="shared" si="5"/>
        <v>0</v>
      </c>
      <c r="T203" s="17">
        <f t="shared" si="6"/>
        <v>0</v>
      </c>
      <c r="U203" s="14">
        <f t="shared" si="7"/>
        <v>-10</v>
      </c>
      <c r="V203" s="9" t="str">
        <f t="shared" si="8"/>
        <v>Low Performance</v>
      </c>
      <c r="W203" s="9"/>
    </row>
    <row r="204" ht="15.75" customHeight="1">
      <c r="A204" s="6">
        <v>46312.0</v>
      </c>
      <c r="B204" s="7" t="s">
        <v>37</v>
      </c>
      <c r="C204" s="9" t="s">
        <v>29</v>
      </c>
      <c r="D204" s="9" t="s">
        <v>27</v>
      </c>
      <c r="E204" s="10">
        <v>0.0</v>
      </c>
      <c r="F204" s="9">
        <f t="shared" si="1"/>
        <v>0</v>
      </c>
      <c r="G204" s="11">
        <v>0.0</v>
      </c>
      <c r="H204" s="9">
        <f t="shared" si="2"/>
        <v>0</v>
      </c>
      <c r="I204" s="11">
        <v>0.0</v>
      </c>
      <c r="J204" s="9">
        <f t="shared" si="12"/>
        <v>0</v>
      </c>
      <c r="K204" s="11">
        <v>0.0</v>
      </c>
      <c r="L204" s="11">
        <v>0.0</v>
      </c>
      <c r="M204" s="14">
        <f t="shared" si="3"/>
        <v>0</v>
      </c>
      <c r="N204" s="11">
        <v>0.0</v>
      </c>
      <c r="O204" s="14">
        <f t="shared" si="4"/>
        <v>0</v>
      </c>
      <c r="P204" s="11">
        <v>0.0</v>
      </c>
      <c r="Q204" s="15">
        <v>0.0</v>
      </c>
      <c r="R204" s="9">
        <v>10.0</v>
      </c>
      <c r="S204" s="16">
        <f t="shared" si="5"/>
        <v>0</v>
      </c>
      <c r="T204" s="17">
        <f t="shared" si="6"/>
        <v>0</v>
      </c>
      <c r="U204" s="14">
        <f t="shared" si="7"/>
        <v>-10</v>
      </c>
      <c r="V204" s="9" t="str">
        <f t="shared" si="8"/>
        <v>Low Performance</v>
      </c>
      <c r="W204" s="9"/>
    </row>
    <row r="205" ht="15.75" customHeight="1">
      <c r="A205" s="6">
        <v>46312.0</v>
      </c>
      <c r="B205" s="7" t="s">
        <v>38</v>
      </c>
      <c r="C205" s="9" t="s">
        <v>29</v>
      </c>
      <c r="D205" s="9" t="s">
        <v>27</v>
      </c>
      <c r="E205" s="10">
        <v>0.0</v>
      </c>
      <c r="F205" s="9">
        <f t="shared" si="1"/>
        <v>0</v>
      </c>
      <c r="G205" s="11">
        <v>0.0</v>
      </c>
      <c r="H205" s="9">
        <f t="shared" si="2"/>
        <v>0</v>
      </c>
      <c r="I205" s="11">
        <v>0.0</v>
      </c>
      <c r="J205" s="9">
        <f t="shared" si="12"/>
        <v>0</v>
      </c>
      <c r="K205" s="11">
        <v>0.0</v>
      </c>
      <c r="L205" s="11">
        <v>0.0</v>
      </c>
      <c r="M205" s="14">
        <f t="shared" si="3"/>
        <v>0</v>
      </c>
      <c r="N205" s="11">
        <v>0.0</v>
      </c>
      <c r="O205" s="14">
        <f t="shared" si="4"/>
        <v>0</v>
      </c>
      <c r="P205" s="11">
        <v>0.0</v>
      </c>
      <c r="Q205" s="15">
        <v>0.0</v>
      </c>
      <c r="R205" s="9">
        <v>10.0</v>
      </c>
      <c r="S205" s="16">
        <f t="shared" si="5"/>
        <v>0</v>
      </c>
      <c r="T205" s="17">
        <f t="shared" si="6"/>
        <v>0</v>
      </c>
      <c r="U205" s="14">
        <f t="shared" si="7"/>
        <v>-10</v>
      </c>
      <c r="V205" s="9" t="str">
        <f t="shared" si="8"/>
        <v>Low Performance</v>
      </c>
      <c r="W205" s="9"/>
    </row>
    <row r="206" ht="15.75" customHeight="1">
      <c r="A206" s="6">
        <v>46312.0</v>
      </c>
      <c r="B206" s="20" t="s">
        <v>39</v>
      </c>
      <c r="C206" s="9" t="s">
        <v>40</v>
      </c>
      <c r="D206" s="9" t="s">
        <v>27</v>
      </c>
      <c r="E206" s="10">
        <v>0.0</v>
      </c>
      <c r="F206" s="9">
        <f t="shared" si="1"/>
        <v>0</v>
      </c>
      <c r="G206" s="11">
        <v>0.0</v>
      </c>
      <c r="H206" s="9">
        <f t="shared" si="2"/>
        <v>0</v>
      </c>
      <c r="I206" s="11">
        <v>0.0</v>
      </c>
      <c r="J206" s="9">
        <f t="shared" si="12"/>
        <v>0</v>
      </c>
      <c r="K206" s="11">
        <v>0.0</v>
      </c>
      <c r="L206" s="11">
        <v>0.0</v>
      </c>
      <c r="M206" s="14">
        <f t="shared" si="3"/>
        <v>0</v>
      </c>
      <c r="N206" s="11">
        <v>0.0</v>
      </c>
      <c r="O206" s="14">
        <f t="shared" si="4"/>
        <v>0</v>
      </c>
      <c r="P206" s="11">
        <v>0.0</v>
      </c>
      <c r="Q206" s="15">
        <v>0.0</v>
      </c>
      <c r="R206" s="9">
        <v>10.0</v>
      </c>
      <c r="S206" s="16">
        <f t="shared" si="5"/>
        <v>0</v>
      </c>
      <c r="T206" s="17">
        <f t="shared" si="6"/>
        <v>0</v>
      </c>
      <c r="U206" s="14">
        <f t="shared" si="7"/>
        <v>-10</v>
      </c>
      <c r="V206" s="9" t="str">
        <f t="shared" si="8"/>
        <v>Low Performance</v>
      </c>
      <c r="W206" s="9"/>
    </row>
    <row r="207" ht="15.75" customHeight="1">
      <c r="A207" s="6">
        <v>46312.0</v>
      </c>
      <c r="B207" s="7" t="s">
        <v>41</v>
      </c>
      <c r="C207" s="9" t="s">
        <v>40</v>
      </c>
      <c r="D207" s="9" t="s">
        <v>27</v>
      </c>
      <c r="E207" s="10">
        <v>0.0</v>
      </c>
      <c r="F207" s="9">
        <f t="shared" si="1"/>
        <v>0</v>
      </c>
      <c r="G207" s="11">
        <v>0.0</v>
      </c>
      <c r="H207" s="9">
        <f t="shared" si="2"/>
        <v>0</v>
      </c>
      <c r="I207" s="11">
        <v>0.0</v>
      </c>
      <c r="J207" s="9">
        <f t="shared" si="12"/>
        <v>0</v>
      </c>
      <c r="K207" s="11">
        <v>0.0</v>
      </c>
      <c r="L207" s="11">
        <v>0.0</v>
      </c>
      <c r="M207" s="14">
        <f t="shared" si="3"/>
        <v>0</v>
      </c>
      <c r="N207" s="11">
        <v>0.0</v>
      </c>
      <c r="O207" s="14">
        <f t="shared" si="4"/>
        <v>0</v>
      </c>
      <c r="P207" s="11">
        <v>0.0</v>
      </c>
      <c r="Q207" s="15">
        <v>0.0</v>
      </c>
      <c r="R207" s="9">
        <v>10.0</v>
      </c>
      <c r="S207" s="16">
        <f t="shared" si="5"/>
        <v>0</v>
      </c>
      <c r="T207" s="17">
        <f t="shared" si="6"/>
        <v>0</v>
      </c>
      <c r="U207" s="14">
        <f t="shared" si="7"/>
        <v>-10</v>
      </c>
      <c r="V207" s="9" t="str">
        <f t="shared" si="8"/>
        <v>Low Performance</v>
      </c>
      <c r="W207" s="9"/>
    </row>
    <row r="208" ht="15.75" customHeight="1">
      <c r="A208" s="6">
        <v>46312.0</v>
      </c>
      <c r="B208" s="7" t="s">
        <v>42</v>
      </c>
      <c r="C208" s="9" t="s">
        <v>40</v>
      </c>
      <c r="D208" s="9" t="s">
        <v>27</v>
      </c>
      <c r="E208" s="10">
        <v>0.0</v>
      </c>
      <c r="F208" s="9">
        <f t="shared" si="1"/>
        <v>0</v>
      </c>
      <c r="G208" s="11">
        <v>0.0</v>
      </c>
      <c r="H208" s="9">
        <f t="shared" si="2"/>
        <v>0</v>
      </c>
      <c r="I208" s="11">
        <v>0.0</v>
      </c>
      <c r="J208" s="9">
        <f t="shared" si="12"/>
        <v>0</v>
      </c>
      <c r="K208" s="11">
        <v>0.0</v>
      </c>
      <c r="L208" s="11">
        <v>0.0</v>
      </c>
      <c r="M208" s="14">
        <f t="shared" si="3"/>
        <v>0</v>
      </c>
      <c r="N208" s="11">
        <v>0.0</v>
      </c>
      <c r="O208" s="14">
        <f t="shared" si="4"/>
        <v>0</v>
      </c>
      <c r="P208" s="11">
        <v>0.0</v>
      </c>
      <c r="Q208" s="15">
        <v>0.0</v>
      </c>
      <c r="R208" s="9">
        <v>10.0</v>
      </c>
      <c r="S208" s="16">
        <f t="shared" si="5"/>
        <v>0</v>
      </c>
      <c r="T208" s="17">
        <f t="shared" si="6"/>
        <v>0</v>
      </c>
      <c r="U208" s="14">
        <f t="shared" si="7"/>
        <v>-10</v>
      </c>
      <c r="V208" s="9" t="str">
        <f t="shared" si="8"/>
        <v>Low Performance</v>
      </c>
      <c r="W208" s="9"/>
    </row>
    <row r="209" ht="15.75" customHeight="1">
      <c r="A209" s="6">
        <v>46312.0</v>
      </c>
      <c r="B209" s="7" t="s">
        <v>43</v>
      </c>
      <c r="C209" s="9" t="s">
        <v>40</v>
      </c>
      <c r="D209" s="9" t="s">
        <v>27</v>
      </c>
      <c r="E209" s="10">
        <v>0.0</v>
      </c>
      <c r="F209" s="9">
        <f t="shared" si="1"/>
        <v>0</v>
      </c>
      <c r="G209" s="11">
        <v>0.0</v>
      </c>
      <c r="H209" s="9">
        <f t="shared" si="2"/>
        <v>0</v>
      </c>
      <c r="I209" s="11">
        <v>0.0</v>
      </c>
      <c r="J209" s="9">
        <f t="shared" si="12"/>
        <v>0</v>
      </c>
      <c r="K209" s="11">
        <v>0.0</v>
      </c>
      <c r="L209" s="11">
        <v>0.0</v>
      </c>
      <c r="M209" s="14">
        <f t="shared" si="3"/>
        <v>0</v>
      </c>
      <c r="N209" s="11">
        <v>0.0</v>
      </c>
      <c r="O209" s="14">
        <f t="shared" si="4"/>
        <v>0</v>
      </c>
      <c r="P209" s="11">
        <v>0.0</v>
      </c>
      <c r="Q209" s="15">
        <v>0.0</v>
      </c>
      <c r="R209" s="9">
        <v>10.0</v>
      </c>
      <c r="S209" s="16">
        <f t="shared" si="5"/>
        <v>0</v>
      </c>
      <c r="T209" s="17">
        <f t="shared" si="6"/>
        <v>0</v>
      </c>
      <c r="U209" s="14">
        <f t="shared" si="7"/>
        <v>-10</v>
      </c>
      <c r="V209" s="9" t="str">
        <f t="shared" si="8"/>
        <v>Low Performance</v>
      </c>
      <c r="W209" s="9"/>
    </row>
    <row r="210" ht="15.75" customHeight="1">
      <c r="A210" s="6">
        <v>46312.0</v>
      </c>
      <c r="B210" s="7" t="s">
        <v>45</v>
      </c>
      <c r="C210" s="18" t="s">
        <v>46</v>
      </c>
      <c r="D210" s="9" t="s">
        <v>27</v>
      </c>
      <c r="E210" s="10">
        <v>0.0</v>
      </c>
      <c r="F210" s="9">
        <f t="shared" si="1"/>
        <v>0</v>
      </c>
      <c r="G210" s="11">
        <v>0.0</v>
      </c>
      <c r="H210" s="9">
        <f t="shared" si="2"/>
        <v>0</v>
      </c>
      <c r="I210" s="11">
        <v>0.0</v>
      </c>
      <c r="J210" s="9">
        <f t="shared" si="12"/>
        <v>0</v>
      </c>
      <c r="K210" s="11">
        <v>0.0</v>
      </c>
      <c r="L210" s="11">
        <v>0.0</v>
      </c>
      <c r="M210" s="14">
        <f t="shared" si="3"/>
        <v>0</v>
      </c>
      <c r="N210" s="11">
        <v>0.0</v>
      </c>
      <c r="O210" s="14">
        <f t="shared" si="4"/>
        <v>0</v>
      </c>
      <c r="P210" s="11">
        <v>0.0</v>
      </c>
      <c r="Q210" s="15">
        <v>0.0</v>
      </c>
      <c r="R210" s="9">
        <v>10.0</v>
      </c>
      <c r="S210" s="16">
        <f t="shared" si="5"/>
        <v>0</v>
      </c>
      <c r="T210" s="17">
        <f t="shared" si="6"/>
        <v>0</v>
      </c>
      <c r="U210" s="14">
        <f t="shared" si="7"/>
        <v>-10</v>
      </c>
      <c r="V210" s="9" t="str">
        <f t="shared" si="8"/>
        <v>Low Performance</v>
      </c>
      <c r="W210" s="9"/>
    </row>
    <row r="211" ht="15.75" customHeight="1">
      <c r="A211" s="6">
        <v>46312.0</v>
      </c>
      <c r="B211" s="7" t="s">
        <v>49</v>
      </c>
      <c r="C211" s="18" t="s">
        <v>46</v>
      </c>
      <c r="D211" s="9" t="s">
        <v>27</v>
      </c>
      <c r="E211" s="10">
        <v>0.0</v>
      </c>
      <c r="F211" s="9">
        <f t="shared" si="1"/>
        <v>0</v>
      </c>
      <c r="G211" s="11">
        <v>0.0</v>
      </c>
      <c r="H211" s="9">
        <f t="shared" si="2"/>
        <v>0</v>
      </c>
      <c r="I211" s="11">
        <v>0.0</v>
      </c>
      <c r="J211" s="9">
        <f t="shared" si="12"/>
        <v>0</v>
      </c>
      <c r="K211" s="11">
        <v>0.0</v>
      </c>
      <c r="L211" s="11">
        <v>0.0</v>
      </c>
      <c r="M211" s="14">
        <f t="shared" si="3"/>
        <v>0</v>
      </c>
      <c r="N211" s="11">
        <v>0.0</v>
      </c>
      <c r="O211" s="14">
        <f t="shared" si="4"/>
        <v>0</v>
      </c>
      <c r="P211" s="11">
        <v>0.0</v>
      </c>
      <c r="Q211" s="15">
        <v>0.0</v>
      </c>
      <c r="R211" s="9">
        <v>10.0</v>
      </c>
      <c r="S211" s="16">
        <f t="shared" si="5"/>
        <v>0</v>
      </c>
      <c r="T211" s="17">
        <f t="shared" si="6"/>
        <v>0</v>
      </c>
      <c r="U211" s="14">
        <f t="shared" si="7"/>
        <v>-10</v>
      </c>
      <c r="V211" s="9" t="str">
        <f t="shared" si="8"/>
        <v>Low Performance</v>
      </c>
      <c r="W211" s="9"/>
    </row>
    <row r="212" ht="15.75" customHeight="1">
      <c r="A212" s="6">
        <v>46312.0</v>
      </c>
      <c r="B212" s="22" t="s">
        <v>50</v>
      </c>
      <c r="C212" s="23" t="s">
        <v>46</v>
      </c>
      <c r="D212" s="24" t="s">
        <v>27</v>
      </c>
      <c r="E212" s="10">
        <v>0.0</v>
      </c>
      <c r="F212" s="9">
        <f t="shared" si="1"/>
        <v>0</v>
      </c>
      <c r="G212" s="11">
        <v>0.0</v>
      </c>
      <c r="H212" s="9">
        <f t="shared" si="2"/>
        <v>0</v>
      </c>
      <c r="I212" s="11">
        <v>0.0</v>
      </c>
      <c r="J212" s="9">
        <f t="shared" si="12"/>
        <v>0</v>
      </c>
      <c r="K212" s="11">
        <v>0.0</v>
      </c>
      <c r="L212" s="11">
        <v>0.0</v>
      </c>
      <c r="M212" s="14">
        <f t="shared" si="3"/>
        <v>0</v>
      </c>
      <c r="N212" s="11">
        <v>0.0</v>
      </c>
      <c r="O212" s="14">
        <f t="shared" si="4"/>
        <v>0</v>
      </c>
      <c r="P212" s="11">
        <v>0.0</v>
      </c>
      <c r="Q212" s="15">
        <v>0.0</v>
      </c>
      <c r="R212" s="9">
        <v>10.0</v>
      </c>
      <c r="S212" s="16">
        <f t="shared" si="5"/>
        <v>0</v>
      </c>
      <c r="T212" s="17">
        <f t="shared" si="6"/>
        <v>0</v>
      </c>
      <c r="U212" s="14">
        <f t="shared" si="7"/>
        <v>-10</v>
      </c>
      <c r="V212" s="9" t="str">
        <f t="shared" si="8"/>
        <v>Low Performance</v>
      </c>
      <c r="W212" s="9"/>
    </row>
    <row r="213" ht="15.75" customHeight="1">
      <c r="A213" s="6">
        <v>46313.0</v>
      </c>
      <c r="B213" s="7" t="s">
        <v>25</v>
      </c>
      <c r="C213" s="8" t="s">
        <v>26</v>
      </c>
      <c r="D213" s="9" t="s">
        <v>27</v>
      </c>
      <c r="E213" s="10">
        <v>0.0</v>
      </c>
      <c r="F213" s="9">
        <f t="shared" si="1"/>
        <v>0</v>
      </c>
      <c r="G213" s="11">
        <v>0.0</v>
      </c>
      <c r="H213" s="9">
        <f t="shared" si="2"/>
        <v>0</v>
      </c>
      <c r="I213" s="11">
        <v>0.0</v>
      </c>
      <c r="J213" s="9">
        <f t="shared" si="12"/>
        <v>0</v>
      </c>
      <c r="K213" s="11">
        <v>0.0</v>
      </c>
      <c r="L213" s="11">
        <v>0.0</v>
      </c>
      <c r="M213" s="14">
        <f t="shared" si="3"/>
        <v>0</v>
      </c>
      <c r="N213" s="11">
        <v>0.0</v>
      </c>
      <c r="O213" s="14">
        <f t="shared" si="4"/>
        <v>0</v>
      </c>
      <c r="P213" s="11">
        <v>0.0</v>
      </c>
      <c r="Q213" s="15">
        <v>0.0</v>
      </c>
      <c r="R213" s="9">
        <v>10.0</v>
      </c>
      <c r="S213" s="16">
        <f t="shared" si="5"/>
        <v>0</v>
      </c>
      <c r="T213" s="17">
        <f t="shared" si="6"/>
        <v>0</v>
      </c>
      <c r="U213" s="14">
        <f t="shared" si="7"/>
        <v>-10</v>
      </c>
      <c r="V213" s="9" t="str">
        <f t="shared" si="8"/>
        <v>Low Performance</v>
      </c>
      <c r="W213" s="9"/>
    </row>
    <row r="214" ht="15.75" customHeight="1">
      <c r="A214" s="6">
        <v>46313.0</v>
      </c>
      <c r="B214" s="7" t="s">
        <v>30</v>
      </c>
      <c r="C214" s="18" t="s">
        <v>31</v>
      </c>
      <c r="D214" s="9" t="s">
        <v>27</v>
      </c>
      <c r="E214" s="10">
        <v>0.0</v>
      </c>
      <c r="F214" s="9">
        <f t="shared" si="1"/>
        <v>0</v>
      </c>
      <c r="G214" s="11">
        <v>0.0</v>
      </c>
      <c r="H214" s="9">
        <f t="shared" si="2"/>
        <v>0</v>
      </c>
      <c r="I214" s="11">
        <v>0.0</v>
      </c>
      <c r="J214" s="9">
        <f t="shared" si="12"/>
        <v>0</v>
      </c>
      <c r="K214" s="11">
        <v>0.0</v>
      </c>
      <c r="L214" s="11">
        <v>0.0</v>
      </c>
      <c r="M214" s="14">
        <f t="shared" si="3"/>
        <v>0</v>
      </c>
      <c r="N214" s="11">
        <v>0.0</v>
      </c>
      <c r="O214" s="14">
        <f t="shared" si="4"/>
        <v>0</v>
      </c>
      <c r="P214" s="11">
        <v>0.0</v>
      </c>
      <c r="Q214" s="15">
        <v>0.0</v>
      </c>
      <c r="R214" s="9">
        <v>10.0</v>
      </c>
      <c r="S214" s="16">
        <f t="shared" si="5"/>
        <v>0</v>
      </c>
      <c r="T214" s="17">
        <f t="shared" si="6"/>
        <v>0</v>
      </c>
      <c r="U214" s="14">
        <f t="shared" si="7"/>
        <v>-10</v>
      </c>
      <c r="V214" s="9" t="str">
        <f t="shared" si="8"/>
        <v>Low Performance</v>
      </c>
      <c r="W214" s="9"/>
    </row>
    <row r="215" ht="15.75" customHeight="1">
      <c r="A215" s="6">
        <v>46313.0</v>
      </c>
      <c r="B215" s="7" t="s">
        <v>32</v>
      </c>
      <c r="C215" s="18" t="s">
        <v>33</v>
      </c>
      <c r="D215" s="9" t="s">
        <v>27</v>
      </c>
      <c r="E215" s="10">
        <v>0.0</v>
      </c>
      <c r="F215" s="9">
        <f t="shared" si="1"/>
        <v>0</v>
      </c>
      <c r="G215" s="11">
        <v>0.0</v>
      </c>
      <c r="H215" s="9">
        <f t="shared" si="2"/>
        <v>0</v>
      </c>
      <c r="I215" s="11">
        <v>0.0</v>
      </c>
      <c r="J215" s="9">
        <f t="shared" si="12"/>
        <v>0</v>
      </c>
      <c r="K215" s="11">
        <v>0.0</v>
      </c>
      <c r="L215" s="11">
        <v>0.0</v>
      </c>
      <c r="M215" s="14">
        <f t="shared" si="3"/>
        <v>0</v>
      </c>
      <c r="N215" s="11">
        <v>0.0</v>
      </c>
      <c r="O215" s="14">
        <f t="shared" si="4"/>
        <v>0</v>
      </c>
      <c r="P215" s="11">
        <v>0.0</v>
      </c>
      <c r="Q215" s="15">
        <v>0.0</v>
      </c>
      <c r="R215" s="9">
        <v>10.0</v>
      </c>
      <c r="S215" s="16">
        <f t="shared" si="5"/>
        <v>0</v>
      </c>
      <c r="T215" s="17">
        <f t="shared" si="6"/>
        <v>0</v>
      </c>
      <c r="U215" s="14">
        <f t="shared" si="7"/>
        <v>-10</v>
      </c>
      <c r="V215" s="9" t="str">
        <f t="shared" si="8"/>
        <v>Low Performance</v>
      </c>
      <c r="W215" s="9"/>
    </row>
    <row r="216" ht="15.75" customHeight="1">
      <c r="A216" s="6">
        <v>46313.0</v>
      </c>
      <c r="B216" s="7" t="s">
        <v>34</v>
      </c>
      <c r="C216" s="18" t="s">
        <v>35</v>
      </c>
      <c r="D216" s="9" t="s">
        <v>27</v>
      </c>
      <c r="E216" s="10">
        <v>0.0</v>
      </c>
      <c r="F216" s="9">
        <f t="shared" si="1"/>
        <v>0</v>
      </c>
      <c r="G216" s="11">
        <v>0.0</v>
      </c>
      <c r="H216" s="9">
        <f t="shared" si="2"/>
        <v>0</v>
      </c>
      <c r="I216" s="11">
        <v>0.0</v>
      </c>
      <c r="J216" s="9">
        <f t="shared" si="12"/>
        <v>0</v>
      </c>
      <c r="K216" s="11">
        <v>0.0</v>
      </c>
      <c r="L216" s="11">
        <v>0.0</v>
      </c>
      <c r="M216" s="14">
        <f t="shared" si="3"/>
        <v>0</v>
      </c>
      <c r="N216" s="11">
        <v>0.0</v>
      </c>
      <c r="O216" s="14">
        <f t="shared" si="4"/>
        <v>0</v>
      </c>
      <c r="P216" s="11">
        <v>0.0</v>
      </c>
      <c r="Q216" s="15">
        <v>0.0</v>
      </c>
      <c r="R216" s="9">
        <v>10.0</v>
      </c>
      <c r="S216" s="16">
        <f t="shared" si="5"/>
        <v>0</v>
      </c>
      <c r="T216" s="17">
        <f t="shared" si="6"/>
        <v>0</v>
      </c>
      <c r="U216" s="14">
        <f t="shared" si="7"/>
        <v>-10</v>
      </c>
      <c r="V216" s="9" t="str">
        <f t="shared" si="8"/>
        <v>Low Performance</v>
      </c>
      <c r="W216" s="9"/>
    </row>
    <row r="217" ht="15.75" customHeight="1">
      <c r="A217" s="6">
        <v>46313.0</v>
      </c>
      <c r="B217" s="7" t="s">
        <v>28</v>
      </c>
      <c r="C217" s="9" t="s">
        <v>29</v>
      </c>
      <c r="D217" s="9" t="s">
        <v>27</v>
      </c>
      <c r="E217" s="10">
        <v>0.0</v>
      </c>
      <c r="F217" s="9">
        <f t="shared" si="1"/>
        <v>0</v>
      </c>
      <c r="G217" s="11">
        <v>0.0</v>
      </c>
      <c r="H217" s="9">
        <f t="shared" si="2"/>
        <v>0</v>
      </c>
      <c r="I217" s="11">
        <v>0.0</v>
      </c>
      <c r="J217" s="9">
        <f t="shared" si="12"/>
        <v>0</v>
      </c>
      <c r="K217" s="11">
        <v>0.0</v>
      </c>
      <c r="L217" s="11">
        <v>0.0</v>
      </c>
      <c r="M217" s="14">
        <f t="shared" si="3"/>
        <v>0</v>
      </c>
      <c r="N217" s="11">
        <v>0.0</v>
      </c>
      <c r="O217" s="14">
        <f t="shared" si="4"/>
        <v>0</v>
      </c>
      <c r="P217" s="11">
        <v>0.0</v>
      </c>
      <c r="Q217" s="15">
        <v>0.0</v>
      </c>
      <c r="R217" s="9">
        <v>10.0</v>
      </c>
      <c r="S217" s="16">
        <f t="shared" si="5"/>
        <v>0</v>
      </c>
      <c r="T217" s="17">
        <f t="shared" si="6"/>
        <v>0</v>
      </c>
      <c r="U217" s="14">
        <f t="shared" si="7"/>
        <v>-10</v>
      </c>
      <c r="V217" s="9" t="str">
        <f t="shared" si="8"/>
        <v>Low Performance</v>
      </c>
      <c r="W217" s="9"/>
    </row>
    <row r="218" ht="15.75" customHeight="1">
      <c r="A218" s="6">
        <v>46313.0</v>
      </c>
      <c r="B218" s="7" t="s">
        <v>36</v>
      </c>
      <c r="C218" s="9" t="s">
        <v>29</v>
      </c>
      <c r="D218" s="9" t="s">
        <v>27</v>
      </c>
      <c r="E218" s="10">
        <v>0.0</v>
      </c>
      <c r="F218" s="9">
        <f t="shared" si="1"/>
        <v>0</v>
      </c>
      <c r="G218" s="11">
        <v>0.0</v>
      </c>
      <c r="H218" s="9">
        <f t="shared" si="2"/>
        <v>0</v>
      </c>
      <c r="I218" s="11">
        <v>0.0</v>
      </c>
      <c r="J218" s="9">
        <f t="shared" si="12"/>
        <v>0</v>
      </c>
      <c r="K218" s="11">
        <v>0.0</v>
      </c>
      <c r="L218" s="11">
        <v>0.0</v>
      </c>
      <c r="M218" s="14">
        <f t="shared" si="3"/>
        <v>0</v>
      </c>
      <c r="N218" s="11">
        <v>0.0</v>
      </c>
      <c r="O218" s="14">
        <f t="shared" si="4"/>
        <v>0</v>
      </c>
      <c r="P218" s="11">
        <v>0.0</v>
      </c>
      <c r="Q218" s="15">
        <v>0.0</v>
      </c>
      <c r="R218" s="9">
        <v>10.0</v>
      </c>
      <c r="S218" s="16">
        <f t="shared" si="5"/>
        <v>0</v>
      </c>
      <c r="T218" s="17">
        <f t="shared" si="6"/>
        <v>0</v>
      </c>
      <c r="U218" s="14">
        <f t="shared" si="7"/>
        <v>-10</v>
      </c>
      <c r="V218" s="9" t="str">
        <f t="shared" si="8"/>
        <v>Low Performance</v>
      </c>
      <c r="W218" s="9"/>
    </row>
    <row r="219" ht="15.75" customHeight="1">
      <c r="A219" s="6">
        <v>46313.0</v>
      </c>
      <c r="B219" s="7" t="s">
        <v>37</v>
      </c>
      <c r="C219" s="9" t="s">
        <v>29</v>
      </c>
      <c r="D219" s="9" t="s">
        <v>27</v>
      </c>
      <c r="E219" s="10">
        <v>0.0</v>
      </c>
      <c r="F219" s="9">
        <f t="shared" si="1"/>
        <v>0</v>
      </c>
      <c r="G219" s="11">
        <v>0.0</v>
      </c>
      <c r="H219" s="9">
        <f t="shared" si="2"/>
        <v>0</v>
      </c>
      <c r="I219" s="11">
        <v>0.0</v>
      </c>
      <c r="J219" s="9">
        <f t="shared" si="12"/>
        <v>0</v>
      </c>
      <c r="K219" s="11">
        <v>0.0</v>
      </c>
      <c r="L219" s="11">
        <v>0.0</v>
      </c>
      <c r="M219" s="14">
        <f t="shared" si="3"/>
        <v>0</v>
      </c>
      <c r="N219" s="11">
        <v>0.0</v>
      </c>
      <c r="O219" s="14">
        <f t="shared" si="4"/>
        <v>0</v>
      </c>
      <c r="P219" s="11">
        <v>0.0</v>
      </c>
      <c r="Q219" s="15">
        <v>0.0</v>
      </c>
      <c r="R219" s="9">
        <v>10.0</v>
      </c>
      <c r="S219" s="16">
        <f t="shared" si="5"/>
        <v>0</v>
      </c>
      <c r="T219" s="17">
        <f t="shared" si="6"/>
        <v>0</v>
      </c>
      <c r="U219" s="14">
        <f t="shared" si="7"/>
        <v>-10</v>
      </c>
      <c r="V219" s="9" t="str">
        <f t="shared" si="8"/>
        <v>Low Performance</v>
      </c>
      <c r="W219" s="9"/>
    </row>
    <row r="220" ht="15.75" customHeight="1">
      <c r="A220" s="6">
        <v>46313.0</v>
      </c>
      <c r="B220" s="7" t="s">
        <v>38</v>
      </c>
      <c r="C220" s="9" t="s">
        <v>29</v>
      </c>
      <c r="D220" s="9" t="s">
        <v>27</v>
      </c>
      <c r="E220" s="10">
        <v>0.0</v>
      </c>
      <c r="F220" s="9">
        <f t="shared" si="1"/>
        <v>0</v>
      </c>
      <c r="G220" s="11">
        <v>0.0</v>
      </c>
      <c r="H220" s="9">
        <f t="shared" si="2"/>
        <v>0</v>
      </c>
      <c r="I220" s="11">
        <v>0.0</v>
      </c>
      <c r="J220" s="9">
        <f t="shared" si="12"/>
        <v>0</v>
      </c>
      <c r="K220" s="11">
        <v>0.0</v>
      </c>
      <c r="L220" s="11">
        <v>0.0</v>
      </c>
      <c r="M220" s="14">
        <f t="shared" si="3"/>
        <v>0</v>
      </c>
      <c r="N220" s="11">
        <v>0.0</v>
      </c>
      <c r="O220" s="14">
        <f t="shared" si="4"/>
        <v>0</v>
      </c>
      <c r="P220" s="11">
        <v>0.0</v>
      </c>
      <c r="Q220" s="15">
        <v>0.0</v>
      </c>
      <c r="R220" s="9">
        <v>10.0</v>
      </c>
      <c r="S220" s="16">
        <f t="shared" si="5"/>
        <v>0</v>
      </c>
      <c r="T220" s="17">
        <f t="shared" si="6"/>
        <v>0</v>
      </c>
      <c r="U220" s="14">
        <f t="shared" si="7"/>
        <v>-10</v>
      </c>
      <c r="V220" s="9" t="str">
        <f t="shared" si="8"/>
        <v>Low Performance</v>
      </c>
      <c r="W220" s="9"/>
    </row>
    <row r="221" ht="15.75" customHeight="1">
      <c r="A221" s="6">
        <v>46313.0</v>
      </c>
      <c r="B221" s="20" t="s">
        <v>39</v>
      </c>
      <c r="C221" s="9" t="s">
        <v>40</v>
      </c>
      <c r="D221" s="9" t="s">
        <v>27</v>
      </c>
      <c r="E221" s="10">
        <v>0.0</v>
      </c>
      <c r="F221" s="9">
        <f t="shared" si="1"/>
        <v>0</v>
      </c>
      <c r="G221" s="11">
        <v>0.0</v>
      </c>
      <c r="H221" s="9">
        <f t="shared" si="2"/>
        <v>0</v>
      </c>
      <c r="I221" s="11">
        <v>0.0</v>
      </c>
      <c r="J221" s="9">
        <f t="shared" si="12"/>
        <v>0</v>
      </c>
      <c r="K221" s="11">
        <v>0.0</v>
      </c>
      <c r="L221" s="11">
        <v>0.0</v>
      </c>
      <c r="M221" s="14">
        <f t="shared" si="3"/>
        <v>0</v>
      </c>
      <c r="N221" s="11">
        <v>0.0</v>
      </c>
      <c r="O221" s="14">
        <f t="shared" si="4"/>
        <v>0</v>
      </c>
      <c r="P221" s="11">
        <v>0.0</v>
      </c>
      <c r="Q221" s="15">
        <v>0.0</v>
      </c>
      <c r="R221" s="9">
        <v>10.0</v>
      </c>
      <c r="S221" s="16">
        <f t="shared" si="5"/>
        <v>0</v>
      </c>
      <c r="T221" s="17">
        <f t="shared" si="6"/>
        <v>0</v>
      </c>
      <c r="U221" s="14">
        <f t="shared" si="7"/>
        <v>-10</v>
      </c>
      <c r="V221" s="9" t="str">
        <f t="shared" si="8"/>
        <v>Low Performance</v>
      </c>
      <c r="W221" s="9"/>
    </row>
    <row r="222" ht="15.75" customHeight="1">
      <c r="A222" s="6">
        <v>46313.0</v>
      </c>
      <c r="B222" s="7" t="s">
        <v>41</v>
      </c>
      <c r="C222" s="9" t="s">
        <v>40</v>
      </c>
      <c r="D222" s="9" t="s">
        <v>27</v>
      </c>
      <c r="E222" s="10">
        <v>0.0</v>
      </c>
      <c r="F222" s="9">
        <f t="shared" si="1"/>
        <v>0</v>
      </c>
      <c r="G222" s="11">
        <v>0.0</v>
      </c>
      <c r="H222" s="9">
        <f t="shared" si="2"/>
        <v>0</v>
      </c>
      <c r="I222" s="11">
        <v>0.0</v>
      </c>
      <c r="J222" s="9">
        <f t="shared" si="12"/>
        <v>0</v>
      </c>
      <c r="K222" s="11">
        <v>0.0</v>
      </c>
      <c r="L222" s="11">
        <v>0.0</v>
      </c>
      <c r="M222" s="14">
        <f t="shared" si="3"/>
        <v>0</v>
      </c>
      <c r="N222" s="11">
        <v>0.0</v>
      </c>
      <c r="O222" s="14">
        <f t="shared" si="4"/>
        <v>0</v>
      </c>
      <c r="P222" s="11">
        <v>0.0</v>
      </c>
      <c r="Q222" s="15">
        <v>0.0</v>
      </c>
      <c r="R222" s="9">
        <v>10.0</v>
      </c>
      <c r="S222" s="16">
        <f t="shared" si="5"/>
        <v>0</v>
      </c>
      <c r="T222" s="17">
        <f t="shared" si="6"/>
        <v>0</v>
      </c>
      <c r="U222" s="14">
        <f t="shared" si="7"/>
        <v>-10</v>
      </c>
      <c r="V222" s="9" t="str">
        <f t="shared" si="8"/>
        <v>Low Performance</v>
      </c>
      <c r="W222" s="9"/>
    </row>
    <row r="223" ht="15.75" customHeight="1">
      <c r="A223" s="6">
        <v>46313.0</v>
      </c>
      <c r="B223" s="7" t="s">
        <v>42</v>
      </c>
      <c r="C223" s="9" t="s">
        <v>40</v>
      </c>
      <c r="D223" s="9" t="s">
        <v>27</v>
      </c>
      <c r="E223" s="10">
        <v>0.0</v>
      </c>
      <c r="F223" s="9">
        <f t="shared" si="1"/>
        <v>0</v>
      </c>
      <c r="G223" s="11">
        <v>0.0</v>
      </c>
      <c r="H223" s="9">
        <f t="shared" si="2"/>
        <v>0</v>
      </c>
      <c r="I223" s="11">
        <v>0.0</v>
      </c>
      <c r="J223" s="9">
        <f t="shared" si="12"/>
        <v>0</v>
      </c>
      <c r="K223" s="11">
        <v>0.0</v>
      </c>
      <c r="L223" s="11">
        <v>0.0</v>
      </c>
      <c r="M223" s="14">
        <f t="shared" si="3"/>
        <v>0</v>
      </c>
      <c r="N223" s="11">
        <v>0.0</v>
      </c>
      <c r="O223" s="14">
        <f t="shared" si="4"/>
        <v>0</v>
      </c>
      <c r="P223" s="11">
        <v>0.0</v>
      </c>
      <c r="Q223" s="15">
        <v>0.0</v>
      </c>
      <c r="R223" s="9">
        <v>10.0</v>
      </c>
      <c r="S223" s="16">
        <f t="shared" si="5"/>
        <v>0</v>
      </c>
      <c r="T223" s="17">
        <f t="shared" si="6"/>
        <v>0</v>
      </c>
      <c r="U223" s="14">
        <f t="shared" si="7"/>
        <v>-10</v>
      </c>
      <c r="V223" s="9" t="str">
        <f t="shared" si="8"/>
        <v>Low Performance</v>
      </c>
      <c r="W223" s="9"/>
    </row>
    <row r="224" ht="15.75" customHeight="1">
      <c r="A224" s="6">
        <v>46313.0</v>
      </c>
      <c r="B224" s="7" t="s">
        <v>43</v>
      </c>
      <c r="C224" s="9" t="s">
        <v>40</v>
      </c>
      <c r="D224" s="9" t="s">
        <v>27</v>
      </c>
      <c r="E224" s="10">
        <v>0.0</v>
      </c>
      <c r="F224" s="9">
        <f t="shared" si="1"/>
        <v>0</v>
      </c>
      <c r="G224" s="11">
        <v>0.0</v>
      </c>
      <c r="H224" s="9">
        <f t="shared" si="2"/>
        <v>0</v>
      </c>
      <c r="I224" s="11">
        <v>0.0</v>
      </c>
      <c r="J224" s="9">
        <f t="shared" si="12"/>
        <v>0</v>
      </c>
      <c r="K224" s="11">
        <v>0.0</v>
      </c>
      <c r="L224" s="11">
        <v>0.0</v>
      </c>
      <c r="M224" s="14">
        <f t="shared" si="3"/>
        <v>0</v>
      </c>
      <c r="N224" s="11">
        <v>0.0</v>
      </c>
      <c r="O224" s="14">
        <f t="shared" si="4"/>
        <v>0</v>
      </c>
      <c r="P224" s="11">
        <v>0.0</v>
      </c>
      <c r="Q224" s="15">
        <v>0.0</v>
      </c>
      <c r="R224" s="9">
        <v>10.0</v>
      </c>
      <c r="S224" s="16">
        <f t="shared" si="5"/>
        <v>0</v>
      </c>
      <c r="T224" s="17">
        <f t="shared" si="6"/>
        <v>0</v>
      </c>
      <c r="U224" s="14">
        <f t="shared" si="7"/>
        <v>-10</v>
      </c>
      <c r="V224" s="9" t="str">
        <f t="shared" si="8"/>
        <v>Low Performance</v>
      </c>
      <c r="W224" s="9"/>
    </row>
    <row r="225" ht="15.75" customHeight="1">
      <c r="A225" s="6">
        <v>46313.0</v>
      </c>
      <c r="B225" s="7" t="s">
        <v>45</v>
      </c>
      <c r="C225" s="18" t="s">
        <v>46</v>
      </c>
      <c r="D225" s="9" t="s">
        <v>27</v>
      </c>
      <c r="E225" s="10">
        <v>0.0</v>
      </c>
      <c r="F225" s="9">
        <f t="shared" si="1"/>
        <v>0</v>
      </c>
      <c r="G225" s="11">
        <v>0.0</v>
      </c>
      <c r="H225" s="9">
        <f t="shared" si="2"/>
        <v>0</v>
      </c>
      <c r="I225" s="11">
        <v>0.0</v>
      </c>
      <c r="J225" s="9">
        <f t="shared" si="12"/>
        <v>0</v>
      </c>
      <c r="K225" s="11">
        <v>0.0</v>
      </c>
      <c r="L225" s="11">
        <v>0.0</v>
      </c>
      <c r="M225" s="14">
        <f t="shared" si="3"/>
        <v>0</v>
      </c>
      <c r="N225" s="11">
        <v>0.0</v>
      </c>
      <c r="O225" s="14">
        <f t="shared" si="4"/>
        <v>0</v>
      </c>
      <c r="P225" s="11">
        <v>0.0</v>
      </c>
      <c r="Q225" s="15">
        <v>0.0</v>
      </c>
      <c r="R225" s="9">
        <v>10.0</v>
      </c>
      <c r="S225" s="16">
        <f t="shared" si="5"/>
        <v>0</v>
      </c>
      <c r="T225" s="17">
        <f t="shared" si="6"/>
        <v>0</v>
      </c>
      <c r="U225" s="14">
        <f t="shared" si="7"/>
        <v>-10</v>
      </c>
      <c r="V225" s="9" t="str">
        <f t="shared" si="8"/>
        <v>Low Performance</v>
      </c>
      <c r="W225" s="9"/>
    </row>
    <row r="226" ht="15.75" customHeight="1">
      <c r="A226" s="6">
        <v>46313.0</v>
      </c>
      <c r="B226" s="7" t="s">
        <v>49</v>
      </c>
      <c r="C226" s="18" t="s">
        <v>46</v>
      </c>
      <c r="D226" s="9" t="s">
        <v>27</v>
      </c>
      <c r="E226" s="10">
        <v>0.0</v>
      </c>
      <c r="F226" s="9">
        <f t="shared" si="1"/>
        <v>0</v>
      </c>
      <c r="G226" s="11">
        <v>0.0</v>
      </c>
      <c r="H226" s="9">
        <f t="shared" si="2"/>
        <v>0</v>
      </c>
      <c r="I226" s="11">
        <v>0.0</v>
      </c>
      <c r="J226" s="9">
        <f t="shared" si="12"/>
        <v>0</v>
      </c>
      <c r="K226" s="11">
        <v>0.0</v>
      </c>
      <c r="L226" s="11">
        <v>0.0</v>
      </c>
      <c r="M226" s="14">
        <f t="shared" si="3"/>
        <v>0</v>
      </c>
      <c r="N226" s="11">
        <v>0.0</v>
      </c>
      <c r="O226" s="14">
        <f t="shared" si="4"/>
        <v>0</v>
      </c>
      <c r="P226" s="11">
        <v>0.0</v>
      </c>
      <c r="Q226" s="15">
        <v>0.0</v>
      </c>
      <c r="R226" s="9">
        <v>10.0</v>
      </c>
      <c r="S226" s="16">
        <f t="shared" si="5"/>
        <v>0</v>
      </c>
      <c r="T226" s="17">
        <f t="shared" si="6"/>
        <v>0</v>
      </c>
      <c r="U226" s="14">
        <f t="shared" si="7"/>
        <v>-10</v>
      </c>
      <c r="V226" s="9" t="str">
        <f t="shared" si="8"/>
        <v>Low Performance</v>
      </c>
      <c r="W226" s="9"/>
    </row>
    <row r="227" ht="15.75" customHeight="1">
      <c r="A227" s="6">
        <v>46313.0</v>
      </c>
      <c r="B227" s="22" t="s">
        <v>50</v>
      </c>
      <c r="C227" s="23" t="s">
        <v>46</v>
      </c>
      <c r="D227" s="24" t="s">
        <v>27</v>
      </c>
      <c r="E227" s="10">
        <v>0.0</v>
      </c>
      <c r="F227" s="9">
        <f t="shared" si="1"/>
        <v>0</v>
      </c>
      <c r="G227" s="11">
        <v>0.0</v>
      </c>
      <c r="H227" s="9">
        <f t="shared" si="2"/>
        <v>0</v>
      </c>
      <c r="I227" s="11">
        <v>0.0</v>
      </c>
      <c r="J227" s="9">
        <f t="shared" si="12"/>
        <v>0</v>
      </c>
      <c r="K227" s="11">
        <v>0.0</v>
      </c>
      <c r="L227" s="11">
        <v>0.0</v>
      </c>
      <c r="M227" s="14">
        <f t="shared" si="3"/>
        <v>0</v>
      </c>
      <c r="N227" s="11">
        <v>0.0</v>
      </c>
      <c r="O227" s="14">
        <f t="shared" si="4"/>
        <v>0</v>
      </c>
      <c r="P227" s="11">
        <v>0.0</v>
      </c>
      <c r="Q227" s="15">
        <v>0.0</v>
      </c>
      <c r="R227" s="9">
        <v>10.0</v>
      </c>
      <c r="S227" s="16">
        <f t="shared" si="5"/>
        <v>0</v>
      </c>
      <c r="T227" s="17">
        <f t="shared" si="6"/>
        <v>0</v>
      </c>
      <c r="U227" s="14">
        <f t="shared" si="7"/>
        <v>-10</v>
      </c>
      <c r="V227" s="9" t="str">
        <f t="shared" si="8"/>
        <v>Low Performance</v>
      </c>
      <c r="W227" s="9"/>
    </row>
    <row r="228" ht="15.75" customHeight="1">
      <c r="A228" s="6">
        <v>46314.0</v>
      </c>
      <c r="B228" s="7" t="s">
        <v>25</v>
      </c>
      <c r="C228" s="8" t="s">
        <v>26</v>
      </c>
      <c r="D228" s="9" t="s">
        <v>27</v>
      </c>
      <c r="E228" s="10">
        <v>0.0</v>
      </c>
      <c r="F228" s="9">
        <f t="shared" si="1"/>
        <v>0</v>
      </c>
      <c r="G228" s="11">
        <v>0.0</v>
      </c>
      <c r="H228" s="9">
        <f t="shared" si="2"/>
        <v>0</v>
      </c>
      <c r="I228" s="11">
        <v>0.0</v>
      </c>
      <c r="J228" s="9">
        <f t="shared" si="12"/>
        <v>0</v>
      </c>
      <c r="K228" s="11">
        <v>0.0</v>
      </c>
      <c r="L228" s="11">
        <v>0.0</v>
      </c>
      <c r="M228" s="14">
        <f t="shared" si="3"/>
        <v>0</v>
      </c>
      <c r="N228" s="11">
        <v>0.0</v>
      </c>
      <c r="O228" s="14">
        <f t="shared" si="4"/>
        <v>0</v>
      </c>
      <c r="P228" s="11">
        <v>0.0</v>
      </c>
      <c r="Q228" s="15">
        <v>0.0</v>
      </c>
      <c r="R228" s="9">
        <v>10.0</v>
      </c>
      <c r="S228" s="16">
        <f t="shared" si="5"/>
        <v>0</v>
      </c>
      <c r="T228" s="17">
        <f t="shared" si="6"/>
        <v>0</v>
      </c>
      <c r="U228" s="14">
        <f t="shared" si="7"/>
        <v>-10</v>
      </c>
      <c r="V228" s="9" t="str">
        <f t="shared" si="8"/>
        <v>Low Performance</v>
      </c>
      <c r="W228" s="9"/>
    </row>
    <row r="229" ht="15.75" customHeight="1">
      <c r="A229" s="6">
        <v>46314.0</v>
      </c>
      <c r="B229" s="7" t="s">
        <v>30</v>
      </c>
      <c r="C229" s="18" t="s">
        <v>31</v>
      </c>
      <c r="D229" s="9" t="s">
        <v>27</v>
      </c>
      <c r="E229" s="10">
        <v>0.0</v>
      </c>
      <c r="F229" s="9">
        <f t="shared" si="1"/>
        <v>0</v>
      </c>
      <c r="G229" s="11">
        <v>0.0</v>
      </c>
      <c r="H229" s="9">
        <f t="shared" si="2"/>
        <v>0</v>
      </c>
      <c r="I229" s="11">
        <v>0.0</v>
      </c>
      <c r="J229" s="9">
        <f t="shared" si="12"/>
        <v>0</v>
      </c>
      <c r="K229" s="11">
        <v>0.0</v>
      </c>
      <c r="L229" s="11">
        <v>0.0</v>
      </c>
      <c r="M229" s="14">
        <f t="shared" si="3"/>
        <v>0</v>
      </c>
      <c r="N229" s="11">
        <v>0.0</v>
      </c>
      <c r="O229" s="14">
        <f t="shared" si="4"/>
        <v>0</v>
      </c>
      <c r="P229" s="11">
        <v>0.0</v>
      </c>
      <c r="Q229" s="15">
        <v>0.0</v>
      </c>
      <c r="R229" s="9">
        <v>10.0</v>
      </c>
      <c r="S229" s="16">
        <f t="shared" si="5"/>
        <v>0</v>
      </c>
      <c r="T229" s="17">
        <f t="shared" si="6"/>
        <v>0</v>
      </c>
      <c r="U229" s="14">
        <f t="shared" si="7"/>
        <v>-10</v>
      </c>
      <c r="V229" s="9" t="str">
        <f t="shared" si="8"/>
        <v>Low Performance</v>
      </c>
      <c r="W229" s="9"/>
    </row>
    <row r="230" ht="15.75" customHeight="1">
      <c r="A230" s="6">
        <v>46314.0</v>
      </c>
      <c r="B230" s="7" t="s">
        <v>32</v>
      </c>
      <c r="C230" s="18" t="s">
        <v>33</v>
      </c>
      <c r="D230" s="9" t="s">
        <v>27</v>
      </c>
      <c r="E230" s="10">
        <v>0.0</v>
      </c>
      <c r="F230" s="9">
        <f t="shared" si="1"/>
        <v>0</v>
      </c>
      <c r="G230" s="11">
        <v>0.0</v>
      </c>
      <c r="H230" s="9">
        <f t="shared" si="2"/>
        <v>0</v>
      </c>
      <c r="I230" s="11">
        <v>0.0</v>
      </c>
      <c r="J230" s="9">
        <f t="shared" si="12"/>
        <v>0</v>
      </c>
      <c r="K230" s="11">
        <v>0.0</v>
      </c>
      <c r="L230" s="11">
        <v>0.0</v>
      </c>
      <c r="M230" s="14">
        <f t="shared" si="3"/>
        <v>0</v>
      </c>
      <c r="N230" s="11">
        <v>0.0</v>
      </c>
      <c r="O230" s="14">
        <f t="shared" si="4"/>
        <v>0</v>
      </c>
      <c r="P230" s="11">
        <v>0.0</v>
      </c>
      <c r="Q230" s="15">
        <v>0.0</v>
      </c>
      <c r="R230" s="9">
        <v>10.0</v>
      </c>
      <c r="S230" s="16">
        <f t="shared" si="5"/>
        <v>0</v>
      </c>
      <c r="T230" s="17">
        <f t="shared" si="6"/>
        <v>0</v>
      </c>
      <c r="U230" s="14">
        <f t="shared" si="7"/>
        <v>-10</v>
      </c>
      <c r="V230" s="9" t="str">
        <f t="shared" si="8"/>
        <v>Low Performance</v>
      </c>
      <c r="W230" s="9"/>
    </row>
    <row r="231" ht="15.75" customHeight="1">
      <c r="A231" s="6">
        <v>46314.0</v>
      </c>
      <c r="B231" s="7" t="s">
        <v>34</v>
      </c>
      <c r="C231" s="18" t="s">
        <v>35</v>
      </c>
      <c r="D231" s="9" t="s">
        <v>27</v>
      </c>
      <c r="E231" s="10">
        <v>0.0</v>
      </c>
      <c r="F231" s="9">
        <f t="shared" si="1"/>
        <v>0</v>
      </c>
      <c r="G231" s="11">
        <v>0.0</v>
      </c>
      <c r="H231" s="9">
        <f t="shared" si="2"/>
        <v>0</v>
      </c>
      <c r="I231" s="11">
        <v>0.0</v>
      </c>
      <c r="J231" s="9">
        <f t="shared" si="12"/>
        <v>0</v>
      </c>
      <c r="K231" s="11">
        <v>0.0</v>
      </c>
      <c r="L231" s="11">
        <v>0.0</v>
      </c>
      <c r="M231" s="14">
        <f t="shared" si="3"/>
        <v>0</v>
      </c>
      <c r="N231" s="11">
        <v>0.0</v>
      </c>
      <c r="O231" s="14">
        <f t="shared" si="4"/>
        <v>0</v>
      </c>
      <c r="P231" s="11">
        <v>0.0</v>
      </c>
      <c r="Q231" s="15">
        <v>0.0</v>
      </c>
      <c r="R231" s="9">
        <v>10.0</v>
      </c>
      <c r="S231" s="16">
        <f t="shared" si="5"/>
        <v>0</v>
      </c>
      <c r="T231" s="17">
        <f t="shared" si="6"/>
        <v>0</v>
      </c>
      <c r="U231" s="14">
        <f t="shared" si="7"/>
        <v>-10</v>
      </c>
      <c r="V231" s="9" t="str">
        <f t="shared" si="8"/>
        <v>Low Performance</v>
      </c>
      <c r="W231" s="9"/>
    </row>
    <row r="232" ht="15.75" customHeight="1">
      <c r="A232" s="6">
        <v>46314.0</v>
      </c>
      <c r="B232" s="7" t="s">
        <v>28</v>
      </c>
      <c r="C232" s="9" t="s">
        <v>29</v>
      </c>
      <c r="D232" s="9" t="s">
        <v>27</v>
      </c>
      <c r="E232" s="10">
        <v>0.0</v>
      </c>
      <c r="F232" s="9">
        <f t="shared" si="1"/>
        <v>0</v>
      </c>
      <c r="G232" s="11">
        <v>0.0</v>
      </c>
      <c r="H232" s="9">
        <f t="shared" si="2"/>
        <v>0</v>
      </c>
      <c r="I232" s="11">
        <v>0.0</v>
      </c>
      <c r="J232" s="9">
        <f t="shared" si="12"/>
        <v>0</v>
      </c>
      <c r="K232" s="11">
        <v>0.0</v>
      </c>
      <c r="L232" s="11">
        <v>0.0</v>
      </c>
      <c r="M232" s="14">
        <f t="shared" si="3"/>
        <v>0</v>
      </c>
      <c r="N232" s="11">
        <v>0.0</v>
      </c>
      <c r="O232" s="14">
        <f t="shared" si="4"/>
        <v>0</v>
      </c>
      <c r="P232" s="11">
        <v>0.0</v>
      </c>
      <c r="Q232" s="15">
        <v>0.0</v>
      </c>
      <c r="R232" s="9">
        <v>10.0</v>
      </c>
      <c r="S232" s="16">
        <f t="shared" si="5"/>
        <v>0</v>
      </c>
      <c r="T232" s="17">
        <f t="shared" si="6"/>
        <v>0</v>
      </c>
      <c r="U232" s="14">
        <f t="shared" si="7"/>
        <v>-10</v>
      </c>
      <c r="V232" s="9" t="str">
        <f t="shared" si="8"/>
        <v>Low Performance</v>
      </c>
      <c r="W232" s="9"/>
    </row>
    <row r="233" ht="15.75" customHeight="1">
      <c r="A233" s="6">
        <v>46314.0</v>
      </c>
      <c r="B233" s="7" t="s">
        <v>36</v>
      </c>
      <c r="C233" s="9" t="s">
        <v>29</v>
      </c>
      <c r="D233" s="9" t="s">
        <v>27</v>
      </c>
      <c r="E233" s="10">
        <v>0.0</v>
      </c>
      <c r="F233" s="9">
        <f t="shared" si="1"/>
        <v>0</v>
      </c>
      <c r="G233" s="11">
        <v>0.0</v>
      </c>
      <c r="H233" s="9">
        <f t="shared" si="2"/>
        <v>0</v>
      </c>
      <c r="I233" s="11">
        <v>0.0</v>
      </c>
      <c r="J233" s="9">
        <f t="shared" si="12"/>
        <v>0</v>
      </c>
      <c r="K233" s="11">
        <v>0.0</v>
      </c>
      <c r="L233" s="11">
        <v>0.0</v>
      </c>
      <c r="M233" s="14">
        <f t="shared" si="3"/>
        <v>0</v>
      </c>
      <c r="N233" s="11">
        <v>0.0</v>
      </c>
      <c r="O233" s="14">
        <f t="shared" si="4"/>
        <v>0</v>
      </c>
      <c r="P233" s="11">
        <v>0.0</v>
      </c>
      <c r="Q233" s="15">
        <v>0.0</v>
      </c>
      <c r="R233" s="9">
        <v>10.0</v>
      </c>
      <c r="S233" s="16">
        <f t="shared" si="5"/>
        <v>0</v>
      </c>
      <c r="T233" s="17">
        <f t="shared" si="6"/>
        <v>0</v>
      </c>
      <c r="U233" s="14">
        <f t="shared" si="7"/>
        <v>-10</v>
      </c>
      <c r="V233" s="9" t="str">
        <f t="shared" si="8"/>
        <v>Low Performance</v>
      </c>
      <c r="W233" s="9"/>
    </row>
    <row r="234" ht="15.75" customHeight="1">
      <c r="A234" s="6">
        <v>46314.0</v>
      </c>
      <c r="B234" s="7" t="s">
        <v>37</v>
      </c>
      <c r="C234" s="9" t="s">
        <v>29</v>
      </c>
      <c r="D234" s="9" t="s">
        <v>27</v>
      </c>
      <c r="E234" s="10">
        <v>0.0</v>
      </c>
      <c r="F234" s="9">
        <f t="shared" si="1"/>
        <v>0</v>
      </c>
      <c r="G234" s="11">
        <v>0.0</v>
      </c>
      <c r="H234" s="9">
        <f t="shared" si="2"/>
        <v>0</v>
      </c>
      <c r="I234" s="11">
        <v>0.0</v>
      </c>
      <c r="J234" s="9">
        <f t="shared" si="12"/>
        <v>0</v>
      </c>
      <c r="K234" s="11">
        <v>0.0</v>
      </c>
      <c r="L234" s="11">
        <v>0.0</v>
      </c>
      <c r="M234" s="14">
        <f t="shared" si="3"/>
        <v>0</v>
      </c>
      <c r="N234" s="11">
        <v>0.0</v>
      </c>
      <c r="O234" s="14">
        <f t="shared" si="4"/>
        <v>0</v>
      </c>
      <c r="P234" s="11">
        <v>0.0</v>
      </c>
      <c r="Q234" s="15">
        <v>0.0</v>
      </c>
      <c r="R234" s="9">
        <v>10.0</v>
      </c>
      <c r="S234" s="16">
        <f t="shared" si="5"/>
        <v>0</v>
      </c>
      <c r="T234" s="17">
        <f t="shared" si="6"/>
        <v>0</v>
      </c>
      <c r="U234" s="14">
        <f t="shared" si="7"/>
        <v>-10</v>
      </c>
      <c r="V234" s="9" t="str">
        <f t="shared" si="8"/>
        <v>Low Performance</v>
      </c>
      <c r="W234" s="9"/>
    </row>
    <row r="235" ht="15.75" customHeight="1">
      <c r="A235" s="6">
        <v>46314.0</v>
      </c>
      <c r="B235" s="7" t="s">
        <v>38</v>
      </c>
      <c r="C235" s="9" t="s">
        <v>29</v>
      </c>
      <c r="D235" s="9" t="s">
        <v>27</v>
      </c>
      <c r="E235" s="10">
        <v>0.0</v>
      </c>
      <c r="F235" s="9">
        <f t="shared" si="1"/>
        <v>0</v>
      </c>
      <c r="G235" s="11">
        <v>0.0</v>
      </c>
      <c r="H235" s="9">
        <f t="shared" si="2"/>
        <v>0</v>
      </c>
      <c r="I235" s="11">
        <v>0.0</v>
      </c>
      <c r="J235" s="9">
        <f t="shared" si="12"/>
        <v>0</v>
      </c>
      <c r="K235" s="11">
        <v>0.0</v>
      </c>
      <c r="L235" s="11">
        <v>0.0</v>
      </c>
      <c r="M235" s="14">
        <f t="shared" si="3"/>
        <v>0</v>
      </c>
      <c r="N235" s="11">
        <v>0.0</v>
      </c>
      <c r="O235" s="14">
        <f t="shared" si="4"/>
        <v>0</v>
      </c>
      <c r="P235" s="11">
        <v>0.0</v>
      </c>
      <c r="Q235" s="15">
        <v>0.0</v>
      </c>
      <c r="R235" s="9">
        <v>10.0</v>
      </c>
      <c r="S235" s="16">
        <f t="shared" si="5"/>
        <v>0</v>
      </c>
      <c r="T235" s="17">
        <f t="shared" si="6"/>
        <v>0</v>
      </c>
      <c r="U235" s="14">
        <f t="shared" si="7"/>
        <v>-10</v>
      </c>
      <c r="V235" s="9" t="str">
        <f t="shared" si="8"/>
        <v>Low Performance</v>
      </c>
      <c r="W235" s="9"/>
    </row>
    <row r="236" ht="15.75" customHeight="1">
      <c r="A236" s="6">
        <v>46314.0</v>
      </c>
      <c r="B236" s="20" t="s">
        <v>39</v>
      </c>
      <c r="C236" s="9" t="s">
        <v>40</v>
      </c>
      <c r="D236" s="9" t="s">
        <v>27</v>
      </c>
      <c r="E236" s="10">
        <v>0.0</v>
      </c>
      <c r="F236" s="9">
        <f t="shared" si="1"/>
        <v>0</v>
      </c>
      <c r="G236" s="11">
        <v>0.0</v>
      </c>
      <c r="H236" s="9">
        <f t="shared" si="2"/>
        <v>0</v>
      </c>
      <c r="I236" s="11">
        <v>0.0</v>
      </c>
      <c r="J236" s="9">
        <f t="shared" si="12"/>
        <v>0</v>
      </c>
      <c r="K236" s="11">
        <v>0.0</v>
      </c>
      <c r="L236" s="11">
        <v>0.0</v>
      </c>
      <c r="M236" s="14">
        <f t="shared" si="3"/>
        <v>0</v>
      </c>
      <c r="N236" s="11">
        <v>0.0</v>
      </c>
      <c r="O236" s="14">
        <f t="shared" si="4"/>
        <v>0</v>
      </c>
      <c r="P236" s="11">
        <v>0.0</v>
      </c>
      <c r="Q236" s="15">
        <v>0.0</v>
      </c>
      <c r="R236" s="9">
        <v>10.0</v>
      </c>
      <c r="S236" s="16">
        <f t="shared" si="5"/>
        <v>0</v>
      </c>
      <c r="T236" s="17">
        <f t="shared" si="6"/>
        <v>0</v>
      </c>
      <c r="U236" s="14">
        <f t="shared" si="7"/>
        <v>-10</v>
      </c>
      <c r="V236" s="9" t="str">
        <f t="shared" si="8"/>
        <v>Low Performance</v>
      </c>
      <c r="W236" s="9"/>
    </row>
    <row r="237" ht="15.75" customHeight="1">
      <c r="A237" s="6">
        <v>46314.0</v>
      </c>
      <c r="B237" s="7" t="s">
        <v>41</v>
      </c>
      <c r="C237" s="9" t="s">
        <v>40</v>
      </c>
      <c r="D237" s="9" t="s">
        <v>27</v>
      </c>
      <c r="E237" s="10">
        <v>0.0</v>
      </c>
      <c r="F237" s="9">
        <f t="shared" si="1"/>
        <v>0</v>
      </c>
      <c r="G237" s="11">
        <v>0.0</v>
      </c>
      <c r="H237" s="9">
        <f t="shared" si="2"/>
        <v>0</v>
      </c>
      <c r="I237" s="11">
        <v>0.0</v>
      </c>
      <c r="J237" s="9">
        <f t="shared" si="12"/>
        <v>0</v>
      </c>
      <c r="K237" s="11">
        <v>0.0</v>
      </c>
      <c r="L237" s="11">
        <v>0.0</v>
      </c>
      <c r="M237" s="14">
        <f t="shared" si="3"/>
        <v>0</v>
      </c>
      <c r="N237" s="11">
        <v>0.0</v>
      </c>
      <c r="O237" s="14">
        <f t="shared" si="4"/>
        <v>0</v>
      </c>
      <c r="P237" s="11">
        <v>0.0</v>
      </c>
      <c r="Q237" s="15">
        <v>0.0</v>
      </c>
      <c r="R237" s="9">
        <v>10.0</v>
      </c>
      <c r="S237" s="16">
        <f t="shared" si="5"/>
        <v>0</v>
      </c>
      <c r="T237" s="17">
        <f t="shared" si="6"/>
        <v>0</v>
      </c>
      <c r="U237" s="14">
        <f t="shared" si="7"/>
        <v>-10</v>
      </c>
      <c r="V237" s="9" t="str">
        <f t="shared" si="8"/>
        <v>Low Performance</v>
      </c>
      <c r="W237" s="9"/>
    </row>
    <row r="238" ht="15.75" customHeight="1">
      <c r="A238" s="6">
        <v>46314.0</v>
      </c>
      <c r="B238" s="7" t="s">
        <v>42</v>
      </c>
      <c r="C238" s="9" t="s">
        <v>40</v>
      </c>
      <c r="D238" s="9" t="s">
        <v>27</v>
      </c>
      <c r="E238" s="10">
        <v>0.0</v>
      </c>
      <c r="F238" s="9">
        <f t="shared" si="1"/>
        <v>0</v>
      </c>
      <c r="G238" s="11">
        <v>0.0</v>
      </c>
      <c r="H238" s="9">
        <f t="shared" si="2"/>
        <v>0</v>
      </c>
      <c r="I238" s="11">
        <v>0.0</v>
      </c>
      <c r="J238" s="9">
        <f t="shared" si="12"/>
        <v>0</v>
      </c>
      <c r="K238" s="11">
        <v>0.0</v>
      </c>
      <c r="L238" s="11">
        <v>0.0</v>
      </c>
      <c r="M238" s="14">
        <f t="shared" si="3"/>
        <v>0</v>
      </c>
      <c r="N238" s="11">
        <v>0.0</v>
      </c>
      <c r="O238" s="14">
        <f t="shared" si="4"/>
        <v>0</v>
      </c>
      <c r="P238" s="11">
        <v>0.0</v>
      </c>
      <c r="Q238" s="15">
        <v>0.0</v>
      </c>
      <c r="R238" s="9">
        <v>10.0</v>
      </c>
      <c r="S238" s="16">
        <f t="shared" si="5"/>
        <v>0</v>
      </c>
      <c r="T238" s="17">
        <f t="shared" si="6"/>
        <v>0</v>
      </c>
      <c r="U238" s="14">
        <f t="shared" si="7"/>
        <v>-10</v>
      </c>
      <c r="V238" s="9" t="str">
        <f t="shared" si="8"/>
        <v>Low Performance</v>
      </c>
      <c r="W238" s="9"/>
    </row>
    <row r="239" ht="15.75" customHeight="1">
      <c r="A239" s="6">
        <v>46314.0</v>
      </c>
      <c r="B239" s="7" t="s">
        <v>43</v>
      </c>
      <c r="C239" s="9" t="s">
        <v>40</v>
      </c>
      <c r="D239" s="9" t="s">
        <v>27</v>
      </c>
      <c r="E239" s="10">
        <v>0.0</v>
      </c>
      <c r="F239" s="9">
        <f t="shared" si="1"/>
        <v>0</v>
      </c>
      <c r="G239" s="11">
        <v>0.0</v>
      </c>
      <c r="H239" s="9">
        <f t="shared" si="2"/>
        <v>0</v>
      </c>
      <c r="I239" s="11">
        <v>0.0</v>
      </c>
      <c r="J239" s="9">
        <f t="shared" si="12"/>
        <v>0</v>
      </c>
      <c r="K239" s="11">
        <v>0.0</v>
      </c>
      <c r="L239" s="11">
        <v>0.0</v>
      </c>
      <c r="M239" s="14">
        <f t="shared" si="3"/>
        <v>0</v>
      </c>
      <c r="N239" s="11">
        <v>0.0</v>
      </c>
      <c r="O239" s="14">
        <f t="shared" si="4"/>
        <v>0</v>
      </c>
      <c r="P239" s="11">
        <v>0.0</v>
      </c>
      <c r="Q239" s="15">
        <v>0.0</v>
      </c>
      <c r="R239" s="9">
        <v>10.0</v>
      </c>
      <c r="S239" s="16">
        <f t="shared" si="5"/>
        <v>0</v>
      </c>
      <c r="T239" s="17">
        <f t="shared" si="6"/>
        <v>0</v>
      </c>
      <c r="U239" s="14">
        <f t="shared" si="7"/>
        <v>-10</v>
      </c>
      <c r="V239" s="9" t="str">
        <f t="shared" si="8"/>
        <v>Low Performance</v>
      </c>
      <c r="W239" s="9"/>
    </row>
    <row r="240" ht="15.75" customHeight="1">
      <c r="A240" s="6">
        <v>46314.0</v>
      </c>
      <c r="B240" s="7" t="s">
        <v>45</v>
      </c>
      <c r="C240" s="18" t="s">
        <v>46</v>
      </c>
      <c r="D240" s="9" t="s">
        <v>27</v>
      </c>
      <c r="E240" s="10">
        <v>0.0</v>
      </c>
      <c r="F240" s="9">
        <f t="shared" si="1"/>
        <v>0</v>
      </c>
      <c r="G240" s="11">
        <v>0.0</v>
      </c>
      <c r="H240" s="9">
        <f t="shared" si="2"/>
        <v>0</v>
      </c>
      <c r="I240" s="11">
        <v>0.0</v>
      </c>
      <c r="J240" s="9">
        <f t="shared" si="12"/>
        <v>0</v>
      </c>
      <c r="K240" s="11">
        <v>0.0</v>
      </c>
      <c r="L240" s="11">
        <v>0.0</v>
      </c>
      <c r="M240" s="14">
        <f t="shared" si="3"/>
        <v>0</v>
      </c>
      <c r="N240" s="11">
        <v>0.0</v>
      </c>
      <c r="O240" s="14">
        <f t="shared" si="4"/>
        <v>0</v>
      </c>
      <c r="P240" s="11">
        <v>0.0</v>
      </c>
      <c r="Q240" s="15">
        <v>0.0</v>
      </c>
      <c r="R240" s="9">
        <v>10.0</v>
      </c>
      <c r="S240" s="16">
        <f t="shared" si="5"/>
        <v>0</v>
      </c>
      <c r="T240" s="17">
        <f t="shared" si="6"/>
        <v>0</v>
      </c>
      <c r="U240" s="14">
        <f t="shared" si="7"/>
        <v>-10</v>
      </c>
      <c r="V240" s="9" t="str">
        <f t="shared" si="8"/>
        <v>Low Performance</v>
      </c>
      <c r="W240" s="9"/>
    </row>
    <row r="241" ht="15.75" customHeight="1">
      <c r="A241" s="6">
        <v>46314.0</v>
      </c>
      <c r="B241" s="7" t="s">
        <v>49</v>
      </c>
      <c r="C241" s="18" t="s">
        <v>46</v>
      </c>
      <c r="D241" s="9" t="s">
        <v>27</v>
      </c>
      <c r="E241" s="10">
        <v>0.0</v>
      </c>
      <c r="F241" s="9">
        <f t="shared" si="1"/>
        <v>0</v>
      </c>
      <c r="G241" s="11">
        <v>0.0</v>
      </c>
      <c r="H241" s="9">
        <f t="shared" si="2"/>
        <v>0</v>
      </c>
      <c r="I241" s="11">
        <v>0.0</v>
      </c>
      <c r="J241" s="9">
        <f t="shared" si="12"/>
        <v>0</v>
      </c>
      <c r="K241" s="11">
        <v>0.0</v>
      </c>
      <c r="L241" s="11">
        <v>0.0</v>
      </c>
      <c r="M241" s="14">
        <f t="shared" si="3"/>
        <v>0</v>
      </c>
      <c r="N241" s="11">
        <v>0.0</v>
      </c>
      <c r="O241" s="14">
        <f t="shared" si="4"/>
        <v>0</v>
      </c>
      <c r="P241" s="11">
        <v>0.0</v>
      </c>
      <c r="Q241" s="15">
        <v>0.0</v>
      </c>
      <c r="R241" s="9">
        <v>10.0</v>
      </c>
      <c r="S241" s="16">
        <f t="shared" si="5"/>
        <v>0</v>
      </c>
      <c r="T241" s="17">
        <f t="shared" si="6"/>
        <v>0</v>
      </c>
      <c r="U241" s="14">
        <f t="shared" si="7"/>
        <v>-10</v>
      </c>
      <c r="V241" s="9" t="str">
        <f t="shared" si="8"/>
        <v>Low Performance</v>
      </c>
      <c r="W241" s="9"/>
    </row>
    <row r="242" ht="15.75" customHeight="1">
      <c r="A242" s="6">
        <v>46314.0</v>
      </c>
      <c r="B242" s="22" t="s">
        <v>50</v>
      </c>
      <c r="C242" s="23" t="s">
        <v>46</v>
      </c>
      <c r="D242" s="24" t="s">
        <v>27</v>
      </c>
      <c r="E242" s="10">
        <v>0.0</v>
      </c>
      <c r="F242" s="9">
        <f t="shared" si="1"/>
        <v>0</v>
      </c>
      <c r="G242" s="11">
        <v>0.0</v>
      </c>
      <c r="H242" s="9">
        <f t="shared" si="2"/>
        <v>0</v>
      </c>
      <c r="I242" s="11">
        <v>0.0</v>
      </c>
      <c r="J242" s="9">
        <f t="shared" si="12"/>
        <v>0</v>
      </c>
      <c r="K242" s="11">
        <v>0.0</v>
      </c>
      <c r="L242" s="11">
        <v>0.0</v>
      </c>
      <c r="M242" s="14">
        <f t="shared" si="3"/>
        <v>0</v>
      </c>
      <c r="N242" s="11">
        <v>0.0</v>
      </c>
      <c r="O242" s="14">
        <f t="shared" si="4"/>
        <v>0</v>
      </c>
      <c r="P242" s="11">
        <v>0.0</v>
      </c>
      <c r="Q242" s="15">
        <v>0.0</v>
      </c>
      <c r="R242" s="9">
        <v>10.0</v>
      </c>
      <c r="S242" s="16">
        <f t="shared" si="5"/>
        <v>0</v>
      </c>
      <c r="T242" s="17">
        <f t="shared" si="6"/>
        <v>0</v>
      </c>
      <c r="U242" s="14">
        <f t="shared" si="7"/>
        <v>-10</v>
      </c>
      <c r="V242" s="9" t="str">
        <f t="shared" si="8"/>
        <v>Low Performance</v>
      </c>
      <c r="W242" s="9"/>
    </row>
    <row r="243" ht="15.75" customHeight="1">
      <c r="A243" s="6">
        <v>46315.0</v>
      </c>
      <c r="B243" s="7" t="s">
        <v>25</v>
      </c>
      <c r="C243" s="8" t="s">
        <v>26</v>
      </c>
      <c r="D243" s="9" t="s">
        <v>27</v>
      </c>
      <c r="E243" s="10">
        <v>0.0</v>
      </c>
      <c r="F243" s="9">
        <f t="shared" si="1"/>
        <v>0</v>
      </c>
      <c r="G243" s="11">
        <v>0.0</v>
      </c>
      <c r="H243" s="9">
        <f t="shared" si="2"/>
        <v>0</v>
      </c>
      <c r="I243" s="11">
        <v>0.0</v>
      </c>
      <c r="J243" s="9">
        <f t="shared" si="12"/>
        <v>0</v>
      </c>
      <c r="K243" s="11">
        <v>0.0</v>
      </c>
      <c r="L243" s="11">
        <v>0.0</v>
      </c>
      <c r="M243" s="14">
        <f t="shared" si="3"/>
        <v>0</v>
      </c>
      <c r="N243" s="11">
        <v>0.0</v>
      </c>
      <c r="O243" s="14">
        <f t="shared" si="4"/>
        <v>0</v>
      </c>
      <c r="P243" s="11">
        <v>0.0</v>
      </c>
      <c r="Q243" s="15">
        <v>0.0</v>
      </c>
      <c r="R243" s="9">
        <v>10.0</v>
      </c>
      <c r="S243" s="16">
        <f t="shared" si="5"/>
        <v>0</v>
      </c>
      <c r="T243" s="17">
        <f t="shared" si="6"/>
        <v>0</v>
      </c>
      <c r="U243" s="14">
        <f t="shared" si="7"/>
        <v>-10</v>
      </c>
      <c r="V243" s="9" t="str">
        <f t="shared" si="8"/>
        <v>Low Performance</v>
      </c>
      <c r="W243" s="9"/>
    </row>
    <row r="244" ht="15.75" customHeight="1">
      <c r="A244" s="6">
        <v>46315.0</v>
      </c>
      <c r="B244" s="7" t="s">
        <v>30</v>
      </c>
      <c r="C244" s="18" t="s">
        <v>31</v>
      </c>
      <c r="D244" s="9" t="s">
        <v>27</v>
      </c>
      <c r="E244" s="10">
        <v>0.0</v>
      </c>
      <c r="F244" s="9">
        <f t="shared" si="1"/>
        <v>0</v>
      </c>
      <c r="G244" s="11">
        <v>0.0</v>
      </c>
      <c r="H244" s="9">
        <f t="shared" si="2"/>
        <v>0</v>
      </c>
      <c r="I244" s="11">
        <v>0.0</v>
      </c>
      <c r="J244" s="9">
        <f t="shared" si="12"/>
        <v>0</v>
      </c>
      <c r="K244" s="11">
        <v>0.0</v>
      </c>
      <c r="L244" s="11">
        <v>0.0</v>
      </c>
      <c r="M244" s="14">
        <f t="shared" si="3"/>
        <v>0</v>
      </c>
      <c r="N244" s="11">
        <v>0.0</v>
      </c>
      <c r="O244" s="14">
        <f t="shared" si="4"/>
        <v>0</v>
      </c>
      <c r="P244" s="11">
        <v>0.0</v>
      </c>
      <c r="Q244" s="15">
        <v>0.0</v>
      </c>
      <c r="R244" s="9">
        <v>10.0</v>
      </c>
      <c r="S244" s="16">
        <f t="shared" si="5"/>
        <v>0</v>
      </c>
      <c r="T244" s="17">
        <f t="shared" si="6"/>
        <v>0</v>
      </c>
      <c r="U244" s="14">
        <f t="shared" si="7"/>
        <v>-10</v>
      </c>
      <c r="V244" s="9" t="str">
        <f t="shared" si="8"/>
        <v>Low Performance</v>
      </c>
      <c r="W244" s="9"/>
    </row>
    <row r="245" ht="15.75" customHeight="1">
      <c r="A245" s="6">
        <v>46315.0</v>
      </c>
      <c r="B245" s="7" t="s">
        <v>32</v>
      </c>
      <c r="C245" s="18" t="s">
        <v>33</v>
      </c>
      <c r="D245" s="9" t="s">
        <v>27</v>
      </c>
      <c r="E245" s="10">
        <v>0.0</v>
      </c>
      <c r="F245" s="9">
        <f t="shared" si="1"/>
        <v>0</v>
      </c>
      <c r="G245" s="11">
        <v>0.0</v>
      </c>
      <c r="H245" s="9">
        <f t="shared" si="2"/>
        <v>0</v>
      </c>
      <c r="I245" s="11">
        <v>0.0</v>
      </c>
      <c r="J245" s="9">
        <f t="shared" si="12"/>
        <v>0</v>
      </c>
      <c r="K245" s="11">
        <v>0.0</v>
      </c>
      <c r="L245" s="11">
        <v>0.0</v>
      </c>
      <c r="M245" s="14">
        <f t="shared" si="3"/>
        <v>0</v>
      </c>
      <c r="N245" s="11">
        <v>0.0</v>
      </c>
      <c r="O245" s="14">
        <f t="shared" si="4"/>
        <v>0</v>
      </c>
      <c r="P245" s="11">
        <v>0.0</v>
      </c>
      <c r="Q245" s="15">
        <v>0.0</v>
      </c>
      <c r="R245" s="9">
        <v>10.0</v>
      </c>
      <c r="S245" s="16">
        <f t="shared" si="5"/>
        <v>0</v>
      </c>
      <c r="T245" s="17">
        <f t="shared" si="6"/>
        <v>0</v>
      </c>
      <c r="U245" s="14">
        <f t="shared" si="7"/>
        <v>-10</v>
      </c>
      <c r="V245" s="9" t="str">
        <f t="shared" si="8"/>
        <v>Low Performance</v>
      </c>
      <c r="W245" s="9"/>
    </row>
    <row r="246" ht="15.75" customHeight="1">
      <c r="A246" s="6">
        <v>46315.0</v>
      </c>
      <c r="B246" s="7" t="s">
        <v>34</v>
      </c>
      <c r="C246" s="18" t="s">
        <v>35</v>
      </c>
      <c r="D246" s="9" t="s">
        <v>27</v>
      </c>
      <c r="E246" s="10">
        <v>0.0</v>
      </c>
      <c r="F246" s="9">
        <f t="shared" si="1"/>
        <v>0</v>
      </c>
      <c r="G246" s="11">
        <v>0.0</v>
      </c>
      <c r="H246" s="9">
        <f t="shared" si="2"/>
        <v>0</v>
      </c>
      <c r="I246" s="11">
        <v>0.0</v>
      </c>
      <c r="J246" s="9">
        <f t="shared" si="12"/>
        <v>0</v>
      </c>
      <c r="K246" s="11">
        <v>0.0</v>
      </c>
      <c r="L246" s="11">
        <v>0.0</v>
      </c>
      <c r="M246" s="14">
        <f t="shared" si="3"/>
        <v>0</v>
      </c>
      <c r="N246" s="11">
        <v>0.0</v>
      </c>
      <c r="O246" s="14">
        <f t="shared" si="4"/>
        <v>0</v>
      </c>
      <c r="P246" s="11">
        <v>0.0</v>
      </c>
      <c r="Q246" s="15">
        <v>0.0</v>
      </c>
      <c r="R246" s="9">
        <v>10.0</v>
      </c>
      <c r="S246" s="16">
        <f t="shared" si="5"/>
        <v>0</v>
      </c>
      <c r="T246" s="17">
        <f t="shared" si="6"/>
        <v>0</v>
      </c>
      <c r="U246" s="14">
        <f t="shared" si="7"/>
        <v>-10</v>
      </c>
      <c r="V246" s="9" t="str">
        <f t="shared" si="8"/>
        <v>Low Performance</v>
      </c>
      <c r="W246" s="9"/>
    </row>
    <row r="247" ht="15.75" customHeight="1">
      <c r="A247" s="6">
        <v>46315.0</v>
      </c>
      <c r="B247" s="7" t="s">
        <v>28</v>
      </c>
      <c r="C247" s="9" t="s">
        <v>29</v>
      </c>
      <c r="D247" s="9" t="s">
        <v>27</v>
      </c>
      <c r="E247" s="10">
        <v>0.0</v>
      </c>
      <c r="F247" s="9">
        <f t="shared" si="1"/>
        <v>0</v>
      </c>
      <c r="G247" s="11">
        <v>0.0</v>
      </c>
      <c r="H247" s="9">
        <f t="shared" si="2"/>
        <v>0</v>
      </c>
      <c r="I247" s="11">
        <v>0.0</v>
      </c>
      <c r="J247" s="9">
        <f t="shared" si="12"/>
        <v>0</v>
      </c>
      <c r="K247" s="11">
        <v>0.0</v>
      </c>
      <c r="L247" s="11">
        <v>0.0</v>
      </c>
      <c r="M247" s="14">
        <f t="shared" si="3"/>
        <v>0</v>
      </c>
      <c r="N247" s="11">
        <v>0.0</v>
      </c>
      <c r="O247" s="14">
        <f t="shared" si="4"/>
        <v>0</v>
      </c>
      <c r="P247" s="11">
        <v>0.0</v>
      </c>
      <c r="Q247" s="15">
        <v>0.0</v>
      </c>
      <c r="R247" s="9">
        <v>10.0</v>
      </c>
      <c r="S247" s="16">
        <f t="shared" si="5"/>
        <v>0</v>
      </c>
      <c r="T247" s="17">
        <f t="shared" si="6"/>
        <v>0</v>
      </c>
      <c r="U247" s="14">
        <f t="shared" si="7"/>
        <v>-10</v>
      </c>
      <c r="V247" s="9" t="str">
        <f t="shared" si="8"/>
        <v>Low Performance</v>
      </c>
      <c r="W247" s="9"/>
    </row>
    <row r="248" ht="15.75" customHeight="1">
      <c r="A248" s="6">
        <v>46315.0</v>
      </c>
      <c r="B248" s="7" t="s">
        <v>36</v>
      </c>
      <c r="C248" s="9" t="s">
        <v>29</v>
      </c>
      <c r="D248" s="9" t="s">
        <v>27</v>
      </c>
      <c r="E248" s="10">
        <v>0.0</v>
      </c>
      <c r="F248" s="9">
        <f t="shared" si="1"/>
        <v>0</v>
      </c>
      <c r="G248" s="11">
        <v>0.0</v>
      </c>
      <c r="H248" s="9">
        <f t="shared" si="2"/>
        <v>0</v>
      </c>
      <c r="I248" s="11">
        <v>0.0</v>
      </c>
      <c r="J248" s="9">
        <f t="shared" si="12"/>
        <v>0</v>
      </c>
      <c r="K248" s="11">
        <v>0.0</v>
      </c>
      <c r="L248" s="11">
        <v>0.0</v>
      </c>
      <c r="M248" s="14">
        <f t="shared" si="3"/>
        <v>0</v>
      </c>
      <c r="N248" s="11">
        <v>0.0</v>
      </c>
      <c r="O248" s="14">
        <f t="shared" si="4"/>
        <v>0</v>
      </c>
      <c r="P248" s="11">
        <v>0.0</v>
      </c>
      <c r="Q248" s="15">
        <v>0.0</v>
      </c>
      <c r="R248" s="9">
        <v>10.0</v>
      </c>
      <c r="S248" s="16">
        <f t="shared" si="5"/>
        <v>0</v>
      </c>
      <c r="T248" s="17">
        <f t="shared" si="6"/>
        <v>0</v>
      </c>
      <c r="U248" s="14">
        <f t="shared" si="7"/>
        <v>-10</v>
      </c>
      <c r="V248" s="9" t="str">
        <f t="shared" si="8"/>
        <v>Low Performance</v>
      </c>
      <c r="W248" s="9"/>
    </row>
    <row r="249" ht="15.75" customHeight="1">
      <c r="A249" s="6">
        <v>46315.0</v>
      </c>
      <c r="B249" s="7" t="s">
        <v>37</v>
      </c>
      <c r="C249" s="9" t="s">
        <v>29</v>
      </c>
      <c r="D249" s="9" t="s">
        <v>27</v>
      </c>
      <c r="E249" s="10">
        <v>0.0</v>
      </c>
      <c r="F249" s="9">
        <f t="shared" si="1"/>
        <v>0</v>
      </c>
      <c r="G249" s="11">
        <v>0.0</v>
      </c>
      <c r="H249" s="9">
        <f t="shared" si="2"/>
        <v>0</v>
      </c>
      <c r="I249" s="11">
        <v>0.0</v>
      </c>
      <c r="J249" s="9">
        <f t="shared" si="12"/>
        <v>0</v>
      </c>
      <c r="K249" s="11">
        <v>0.0</v>
      </c>
      <c r="L249" s="11">
        <v>0.0</v>
      </c>
      <c r="M249" s="14">
        <f t="shared" si="3"/>
        <v>0</v>
      </c>
      <c r="N249" s="11">
        <v>0.0</v>
      </c>
      <c r="O249" s="14">
        <f t="shared" si="4"/>
        <v>0</v>
      </c>
      <c r="P249" s="11">
        <v>0.0</v>
      </c>
      <c r="Q249" s="15">
        <v>0.0</v>
      </c>
      <c r="R249" s="9">
        <v>10.0</v>
      </c>
      <c r="S249" s="16">
        <f t="shared" si="5"/>
        <v>0</v>
      </c>
      <c r="T249" s="17">
        <f t="shared" si="6"/>
        <v>0</v>
      </c>
      <c r="U249" s="14">
        <f t="shared" si="7"/>
        <v>-10</v>
      </c>
      <c r="V249" s="9" t="str">
        <f t="shared" si="8"/>
        <v>Low Performance</v>
      </c>
      <c r="W249" s="9"/>
    </row>
    <row r="250" ht="15.75" customHeight="1">
      <c r="A250" s="6">
        <v>46315.0</v>
      </c>
      <c r="B250" s="7" t="s">
        <v>38</v>
      </c>
      <c r="C250" s="9" t="s">
        <v>29</v>
      </c>
      <c r="D250" s="9" t="s">
        <v>27</v>
      </c>
      <c r="E250" s="10">
        <v>0.0</v>
      </c>
      <c r="F250" s="9">
        <f t="shared" si="1"/>
        <v>0</v>
      </c>
      <c r="G250" s="11">
        <v>0.0</v>
      </c>
      <c r="H250" s="9">
        <f t="shared" si="2"/>
        <v>0</v>
      </c>
      <c r="I250" s="11">
        <v>0.0</v>
      </c>
      <c r="J250" s="9">
        <f t="shared" si="12"/>
        <v>0</v>
      </c>
      <c r="K250" s="11">
        <v>0.0</v>
      </c>
      <c r="L250" s="11">
        <v>0.0</v>
      </c>
      <c r="M250" s="14">
        <f t="shared" si="3"/>
        <v>0</v>
      </c>
      <c r="N250" s="11">
        <v>0.0</v>
      </c>
      <c r="O250" s="14">
        <f t="shared" si="4"/>
        <v>0</v>
      </c>
      <c r="P250" s="11">
        <v>0.0</v>
      </c>
      <c r="Q250" s="15">
        <v>0.0</v>
      </c>
      <c r="R250" s="9">
        <v>10.0</v>
      </c>
      <c r="S250" s="16">
        <f t="shared" si="5"/>
        <v>0</v>
      </c>
      <c r="T250" s="17">
        <f t="shared" si="6"/>
        <v>0</v>
      </c>
      <c r="U250" s="14">
        <f t="shared" si="7"/>
        <v>-10</v>
      </c>
      <c r="V250" s="9" t="str">
        <f t="shared" si="8"/>
        <v>Low Performance</v>
      </c>
      <c r="W250" s="9"/>
    </row>
    <row r="251" ht="15.75" customHeight="1">
      <c r="A251" s="6">
        <v>46315.0</v>
      </c>
      <c r="B251" s="20" t="s">
        <v>39</v>
      </c>
      <c r="C251" s="9" t="s">
        <v>40</v>
      </c>
      <c r="D251" s="9" t="s">
        <v>27</v>
      </c>
      <c r="E251" s="10">
        <v>0.0</v>
      </c>
      <c r="F251" s="9">
        <f t="shared" si="1"/>
        <v>0</v>
      </c>
      <c r="G251" s="11">
        <v>0.0</v>
      </c>
      <c r="H251" s="9">
        <f t="shared" si="2"/>
        <v>0</v>
      </c>
      <c r="I251" s="11">
        <v>0.0</v>
      </c>
      <c r="J251" s="9">
        <f t="shared" si="12"/>
        <v>0</v>
      </c>
      <c r="K251" s="11">
        <v>0.0</v>
      </c>
      <c r="L251" s="11">
        <v>0.0</v>
      </c>
      <c r="M251" s="14">
        <f t="shared" si="3"/>
        <v>0</v>
      </c>
      <c r="N251" s="11">
        <v>0.0</v>
      </c>
      <c r="O251" s="14">
        <f t="shared" si="4"/>
        <v>0</v>
      </c>
      <c r="P251" s="11">
        <v>0.0</v>
      </c>
      <c r="Q251" s="15">
        <v>0.0</v>
      </c>
      <c r="R251" s="9">
        <v>10.0</v>
      </c>
      <c r="S251" s="16">
        <f t="shared" si="5"/>
        <v>0</v>
      </c>
      <c r="T251" s="17">
        <f t="shared" si="6"/>
        <v>0</v>
      </c>
      <c r="U251" s="14">
        <f t="shared" si="7"/>
        <v>-10</v>
      </c>
      <c r="V251" s="9" t="str">
        <f t="shared" si="8"/>
        <v>Low Performance</v>
      </c>
      <c r="W251" s="9"/>
    </row>
    <row r="252" ht="15.75" customHeight="1">
      <c r="A252" s="6">
        <v>46315.0</v>
      </c>
      <c r="B252" s="7" t="s">
        <v>41</v>
      </c>
      <c r="C252" s="9" t="s">
        <v>40</v>
      </c>
      <c r="D252" s="9" t="s">
        <v>27</v>
      </c>
      <c r="E252" s="10">
        <v>0.0</v>
      </c>
      <c r="F252" s="9">
        <f t="shared" si="1"/>
        <v>0</v>
      </c>
      <c r="G252" s="11">
        <v>0.0</v>
      </c>
      <c r="H252" s="9">
        <f t="shared" si="2"/>
        <v>0</v>
      </c>
      <c r="I252" s="11">
        <v>0.0</v>
      </c>
      <c r="J252" s="9">
        <f t="shared" si="12"/>
        <v>0</v>
      </c>
      <c r="K252" s="11">
        <v>0.0</v>
      </c>
      <c r="L252" s="11">
        <v>0.0</v>
      </c>
      <c r="M252" s="14">
        <f t="shared" si="3"/>
        <v>0</v>
      </c>
      <c r="N252" s="11">
        <v>0.0</v>
      </c>
      <c r="O252" s="14">
        <f t="shared" si="4"/>
        <v>0</v>
      </c>
      <c r="P252" s="11">
        <v>0.0</v>
      </c>
      <c r="Q252" s="15">
        <v>0.0</v>
      </c>
      <c r="R252" s="9">
        <v>10.0</v>
      </c>
      <c r="S252" s="16">
        <f t="shared" si="5"/>
        <v>0</v>
      </c>
      <c r="T252" s="17">
        <f t="shared" si="6"/>
        <v>0</v>
      </c>
      <c r="U252" s="14">
        <f t="shared" si="7"/>
        <v>-10</v>
      </c>
      <c r="V252" s="9" t="str">
        <f t="shared" si="8"/>
        <v>Low Performance</v>
      </c>
      <c r="W252" s="9"/>
    </row>
    <row r="253" ht="15.75" customHeight="1">
      <c r="A253" s="6">
        <v>46315.0</v>
      </c>
      <c r="B253" s="7" t="s">
        <v>42</v>
      </c>
      <c r="C253" s="9" t="s">
        <v>40</v>
      </c>
      <c r="D253" s="9" t="s">
        <v>27</v>
      </c>
      <c r="E253" s="10">
        <v>0.0</v>
      </c>
      <c r="F253" s="9">
        <f t="shared" si="1"/>
        <v>0</v>
      </c>
      <c r="G253" s="11">
        <v>0.0</v>
      </c>
      <c r="H253" s="9">
        <f t="shared" si="2"/>
        <v>0</v>
      </c>
      <c r="I253" s="11">
        <v>0.0</v>
      </c>
      <c r="J253" s="9">
        <f t="shared" si="12"/>
        <v>0</v>
      </c>
      <c r="K253" s="11">
        <v>0.0</v>
      </c>
      <c r="L253" s="11">
        <v>0.0</v>
      </c>
      <c r="M253" s="14">
        <f t="shared" si="3"/>
        <v>0</v>
      </c>
      <c r="N253" s="11">
        <v>0.0</v>
      </c>
      <c r="O253" s="14">
        <f t="shared" si="4"/>
        <v>0</v>
      </c>
      <c r="P253" s="11">
        <v>0.0</v>
      </c>
      <c r="Q253" s="15">
        <v>0.0</v>
      </c>
      <c r="R253" s="9">
        <v>10.0</v>
      </c>
      <c r="S253" s="16">
        <f t="shared" si="5"/>
        <v>0</v>
      </c>
      <c r="T253" s="17">
        <f t="shared" si="6"/>
        <v>0</v>
      </c>
      <c r="U253" s="14">
        <f t="shared" si="7"/>
        <v>-10</v>
      </c>
      <c r="V253" s="9" t="str">
        <f t="shared" si="8"/>
        <v>Low Performance</v>
      </c>
      <c r="W253" s="9"/>
    </row>
    <row r="254" ht="15.75" customHeight="1">
      <c r="A254" s="6">
        <v>46315.0</v>
      </c>
      <c r="B254" s="7" t="s">
        <v>43</v>
      </c>
      <c r="C254" s="9" t="s">
        <v>40</v>
      </c>
      <c r="D254" s="9" t="s">
        <v>27</v>
      </c>
      <c r="E254" s="10">
        <v>0.0</v>
      </c>
      <c r="F254" s="9">
        <f t="shared" si="1"/>
        <v>0</v>
      </c>
      <c r="G254" s="11">
        <v>0.0</v>
      </c>
      <c r="H254" s="9">
        <f t="shared" si="2"/>
        <v>0</v>
      </c>
      <c r="I254" s="11">
        <v>0.0</v>
      </c>
      <c r="J254" s="9">
        <f t="shared" si="12"/>
        <v>0</v>
      </c>
      <c r="K254" s="11">
        <v>0.0</v>
      </c>
      <c r="L254" s="11">
        <v>0.0</v>
      </c>
      <c r="M254" s="14">
        <f t="shared" si="3"/>
        <v>0</v>
      </c>
      <c r="N254" s="11">
        <v>0.0</v>
      </c>
      <c r="O254" s="14">
        <f t="shared" si="4"/>
        <v>0</v>
      </c>
      <c r="P254" s="11">
        <v>0.0</v>
      </c>
      <c r="Q254" s="15">
        <v>0.0</v>
      </c>
      <c r="R254" s="9">
        <v>10.0</v>
      </c>
      <c r="S254" s="16">
        <f t="shared" si="5"/>
        <v>0</v>
      </c>
      <c r="T254" s="17">
        <f t="shared" si="6"/>
        <v>0</v>
      </c>
      <c r="U254" s="14">
        <f t="shared" si="7"/>
        <v>-10</v>
      </c>
      <c r="V254" s="9" t="str">
        <f t="shared" si="8"/>
        <v>Low Performance</v>
      </c>
      <c r="W254" s="9"/>
    </row>
    <row r="255" ht="15.75" customHeight="1">
      <c r="A255" s="6">
        <v>46315.0</v>
      </c>
      <c r="B255" s="7" t="s">
        <v>45</v>
      </c>
      <c r="C255" s="18" t="s">
        <v>46</v>
      </c>
      <c r="D255" s="9" t="s">
        <v>27</v>
      </c>
      <c r="E255" s="10">
        <v>0.0</v>
      </c>
      <c r="F255" s="9">
        <f t="shared" si="1"/>
        <v>0</v>
      </c>
      <c r="G255" s="11">
        <v>0.0</v>
      </c>
      <c r="H255" s="9">
        <f t="shared" si="2"/>
        <v>0</v>
      </c>
      <c r="I255" s="11">
        <v>0.0</v>
      </c>
      <c r="J255" s="9">
        <f t="shared" si="12"/>
        <v>0</v>
      </c>
      <c r="K255" s="11">
        <v>0.0</v>
      </c>
      <c r="L255" s="11">
        <v>0.0</v>
      </c>
      <c r="M255" s="14">
        <f t="shared" si="3"/>
        <v>0</v>
      </c>
      <c r="N255" s="11">
        <v>0.0</v>
      </c>
      <c r="O255" s="14">
        <f t="shared" si="4"/>
        <v>0</v>
      </c>
      <c r="P255" s="11">
        <v>0.0</v>
      </c>
      <c r="Q255" s="15">
        <v>0.0</v>
      </c>
      <c r="R255" s="9">
        <v>10.0</v>
      </c>
      <c r="S255" s="16">
        <f t="shared" si="5"/>
        <v>0</v>
      </c>
      <c r="T255" s="17">
        <f t="shared" si="6"/>
        <v>0</v>
      </c>
      <c r="U255" s="14">
        <f t="shared" si="7"/>
        <v>-10</v>
      </c>
      <c r="V255" s="9" t="str">
        <f t="shared" si="8"/>
        <v>Low Performance</v>
      </c>
      <c r="W255" s="9"/>
    </row>
    <row r="256" ht="15.75" customHeight="1">
      <c r="A256" s="6">
        <v>46315.0</v>
      </c>
      <c r="B256" s="7" t="s">
        <v>49</v>
      </c>
      <c r="C256" s="18" t="s">
        <v>46</v>
      </c>
      <c r="D256" s="9" t="s">
        <v>27</v>
      </c>
      <c r="E256" s="10">
        <v>0.0</v>
      </c>
      <c r="F256" s="9">
        <f t="shared" si="1"/>
        <v>0</v>
      </c>
      <c r="G256" s="11">
        <v>0.0</v>
      </c>
      <c r="H256" s="9">
        <f t="shared" si="2"/>
        <v>0</v>
      </c>
      <c r="I256" s="11">
        <v>0.0</v>
      </c>
      <c r="J256" s="9">
        <f t="shared" si="12"/>
        <v>0</v>
      </c>
      <c r="K256" s="11">
        <v>0.0</v>
      </c>
      <c r="L256" s="11">
        <v>0.0</v>
      </c>
      <c r="M256" s="14">
        <f t="shared" si="3"/>
        <v>0</v>
      </c>
      <c r="N256" s="11">
        <v>0.0</v>
      </c>
      <c r="O256" s="14">
        <f t="shared" si="4"/>
        <v>0</v>
      </c>
      <c r="P256" s="11">
        <v>0.0</v>
      </c>
      <c r="Q256" s="15">
        <v>0.0</v>
      </c>
      <c r="R256" s="9">
        <v>10.0</v>
      </c>
      <c r="S256" s="16">
        <f t="shared" si="5"/>
        <v>0</v>
      </c>
      <c r="T256" s="17">
        <f t="shared" si="6"/>
        <v>0</v>
      </c>
      <c r="U256" s="14">
        <f t="shared" si="7"/>
        <v>-10</v>
      </c>
      <c r="V256" s="9" t="str">
        <f t="shared" si="8"/>
        <v>Low Performance</v>
      </c>
      <c r="W256" s="9"/>
    </row>
    <row r="257" ht="15.75" customHeight="1">
      <c r="A257" s="6">
        <v>46315.0</v>
      </c>
      <c r="B257" s="22" t="s">
        <v>50</v>
      </c>
      <c r="C257" s="23" t="s">
        <v>46</v>
      </c>
      <c r="D257" s="24" t="s">
        <v>27</v>
      </c>
      <c r="E257" s="10">
        <v>0.0</v>
      </c>
      <c r="F257" s="9">
        <f t="shared" si="1"/>
        <v>0</v>
      </c>
      <c r="G257" s="11">
        <v>0.0</v>
      </c>
      <c r="H257" s="9">
        <f t="shared" si="2"/>
        <v>0</v>
      </c>
      <c r="I257" s="11">
        <v>0.0</v>
      </c>
      <c r="J257" s="9">
        <f t="shared" si="12"/>
        <v>0</v>
      </c>
      <c r="K257" s="11">
        <v>0.0</v>
      </c>
      <c r="L257" s="11">
        <v>0.0</v>
      </c>
      <c r="M257" s="14">
        <f t="shared" si="3"/>
        <v>0</v>
      </c>
      <c r="N257" s="11">
        <v>0.0</v>
      </c>
      <c r="O257" s="14">
        <f t="shared" si="4"/>
        <v>0</v>
      </c>
      <c r="P257" s="11">
        <v>0.0</v>
      </c>
      <c r="Q257" s="15">
        <v>0.0</v>
      </c>
      <c r="R257" s="9">
        <v>10.0</v>
      </c>
      <c r="S257" s="16">
        <f t="shared" si="5"/>
        <v>0</v>
      </c>
      <c r="T257" s="17">
        <f t="shared" si="6"/>
        <v>0</v>
      </c>
      <c r="U257" s="14">
        <f t="shared" si="7"/>
        <v>-10</v>
      </c>
      <c r="V257" s="9" t="str">
        <f t="shared" si="8"/>
        <v>Low Performance</v>
      </c>
      <c r="W257" s="9"/>
    </row>
    <row r="258" ht="15.75" customHeight="1">
      <c r="A258" s="6">
        <v>46316.0</v>
      </c>
      <c r="B258" s="7" t="s">
        <v>25</v>
      </c>
      <c r="C258" s="8" t="s">
        <v>26</v>
      </c>
      <c r="D258" s="9" t="s">
        <v>27</v>
      </c>
      <c r="E258" s="10">
        <v>0.0</v>
      </c>
      <c r="F258" s="9">
        <f t="shared" si="1"/>
        <v>0</v>
      </c>
      <c r="G258" s="11">
        <v>0.0</v>
      </c>
      <c r="H258" s="9">
        <f t="shared" si="2"/>
        <v>0</v>
      </c>
      <c r="I258" s="11">
        <v>0.0</v>
      </c>
      <c r="J258" s="9">
        <f t="shared" si="12"/>
        <v>0</v>
      </c>
      <c r="K258" s="11">
        <v>0.0</v>
      </c>
      <c r="L258" s="11">
        <v>0.0</v>
      </c>
      <c r="M258" s="14">
        <f t="shared" si="3"/>
        <v>0</v>
      </c>
      <c r="N258" s="11">
        <v>0.0</v>
      </c>
      <c r="O258" s="14">
        <f t="shared" si="4"/>
        <v>0</v>
      </c>
      <c r="P258" s="11">
        <v>0.0</v>
      </c>
      <c r="Q258" s="15">
        <v>0.0</v>
      </c>
      <c r="R258" s="9">
        <v>10.0</v>
      </c>
      <c r="S258" s="16">
        <f t="shared" si="5"/>
        <v>0</v>
      </c>
      <c r="T258" s="17">
        <f t="shared" si="6"/>
        <v>0</v>
      </c>
      <c r="U258" s="14">
        <f t="shared" si="7"/>
        <v>-10</v>
      </c>
      <c r="V258" s="9" t="str">
        <f t="shared" si="8"/>
        <v>Low Performance</v>
      </c>
      <c r="W258" s="9"/>
    </row>
    <row r="259" ht="15.75" customHeight="1">
      <c r="A259" s="6">
        <v>46316.0</v>
      </c>
      <c r="B259" s="7" t="s">
        <v>30</v>
      </c>
      <c r="C259" s="18" t="s">
        <v>31</v>
      </c>
      <c r="D259" s="9" t="s">
        <v>27</v>
      </c>
      <c r="E259" s="10">
        <v>0.0</v>
      </c>
      <c r="F259" s="9">
        <f t="shared" si="1"/>
        <v>0</v>
      </c>
      <c r="G259" s="11">
        <v>0.0</v>
      </c>
      <c r="H259" s="9">
        <f t="shared" si="2"/>
        <v>0</v>
      </c>
      <c r="I259" s="11">
        <v>0.0</v>
      </c>
      <c r="J259" s="9">
        <f t="shared" si="12"/>
        <v>0</v>
      </c>
      <c r="K259" s="11">
        <v>0.0</v>
      </c>
      <c r="L259" s="11">
        <v>0.0</v>
      </c>
      <c r="M259" s="14">
        <f t="shared" si="3"/>
        <v>0</v>
      </c>
      <c r="N259" s="11">
        <v>0.0</v>
      </c>
      <c r="O259" s="14">
        <f t="shared" si="4"/>
        <v>0</v>
      </c>
      <c r="P259" s="11">
        <v>0.0</v>
      </c>
      <c r="Q259" s="15">
        <v>0.0</v>
      </c>
      <c r="R259" s="9">
        <v>10.0</v>
      </c>
      <c r="S259" s="16">
        <f t="shared" si="5"/>
        <v>0</v>
      </c>
      <c r="T259" s="17">
        <f t="shared" si="6"/>
        <v>0</v>
      </c>
      <c r="U259" s="14">
        <f t="shared" si="7"/>
        <v>-10</v>
      </c>
      <c r="V259" s="9" t="str">
        <f t="shared" si="8"/>
        <v>Low Performance</v>
      </c>
      <c r="W259" s="9"/>
    </row>
    <row r="260" ht="15.75" customHeight="1">
      <c r="A260" s="6">
        <v>46316.0</v>
      </c>
      <c r="B260" s="7" t="s">
        <v>32</v>
      </c>
      <c r="C260" s="18" t="s">
        <v>33</v>
      </c>
      <c r="D260" s="9" t="s">
        <v>27</v>
      </c>
      <c r="E260" s="10">
        <v>0.0</v>
      </c>
      <c r="F260" s="9">
        <f t="shared" si="1"/>
        <v>0</v>
      </c>
      <c r="G260" s="11">
        <v>0.0</v>
      </c>
      <c r="H260" s="9">
        <f t="shared" si="2"/>
        <v>0</v>
      </c>
      <c r="I260" s="11">
        <v>0.0</v>
      </c>
      <c r="J260" s="9">
        <f t="shared" si="12"/>
        <v>0</v>
      </c>
      <c r="K260" s="11">
        <v>0.0</v>
      </c>
      <c r="L260" s="11">
        <v>0.0</v>
      </c>
      <c r="M260" s="14">
        <f t="shared" si="3"/>
        <v>0</v>
      </c>
      <c r="N260" s="11">
        <v>0.0</v>
      </c>
      <c r="O260" s="14">
        <f t="shared" si="4"/>
        <v>0</v>
      </c>
      <c r="P260" s="11">
        <v>0.0</v>
      </c>
      <c r="Q260" s="15">
        <v>0.0</v>
      </c>
      <c r="R260" s="9">
        <v>10.0</v>
      </c>
      <c r="S260" s="16">
        <f t="shared" si="5"/>
        <v>0</v>
      </c>
      <c r="T260" s="17">
        <f t="shared" si="6"/>
        <v>0</v>
      </c>
      <c r="U260" s="14">
        <f t="shared" si="7"/>
        <v>-10</v>
      </c>
      <c r="V260" s="9" t="str">
        <f t="shared" si="8"/>
        <v>Low Performance</v>
      </c>
      <c r="W260" s="9"/>
    </row>
    <row r="261" ht="15.75" customHeight="1">
      <c r="A261" s="6">
        <v>46316.0</v>
      </c>
      <c r="B261" s="7" t="s">
        <v>34</v>
      </c>
      <c r="C261" s="18" t="s">
        <v>35</v>
      </c>
      <c r="D261" s="9" t="s">
        <v>27</v>
      </c>
      <c r="E261" s="10">
        <v>0.0</v>
      </c>
      <c r="F261" s="9">
        <f t="shared" si="1"/>
        <v>0</v>
      </c>
      <c r="G261" s="11">
        <v>0.0</v>
      </c>
      <c r="H261" s="9">
        <f t="shared" si="2"/>
        <v>0</v>
      </c>
      <c r="I261" s="11">
        <v>0.0</v>
      </c>
      <c r="J261" s="9">
        <f t="shared" si="12"/>
        <v>0</v>
      </c>
      <c r="K261" s="11">
        <v>0.0</v>
      </c>
      <c r="L261" s="11">
        <v>0.0</v>
      </c>
      <c r="M261" s="14">
        <f t="shared" si="3"/>
        <v>0</v>
      </c>
      <c r="N261" s="11">
        <v>0.0</v>
      </c>
      <c r="O261" s="14">
        <f t="shared" si="4"/>
        <v>0</v>
      </c>
      <c r="P261" s="11">
        <v>0.0</v>
      </c>
      <c r="Q261" s="15">
        <v>0.0</v>
      </c>
      <c r="R261" s="9">
        <v>10.0</v>
      </c>
      <c r="S261" s="16">
        <f t="shared" si="5"/>
        <v>0</v>
      </c>
      <c r="T261" s="17">
        <f t="shared" si="6"/>
        <v>0</v>
      </c>
      <c r="U261" s="14">
        <f t="shared" si="7"/>
        <v>-10</v>
      </c>
      <c r="V261" s="9" t="str">
        <f t="shared" si="8"/>
        <v>Low Performance</v>
      </c>
      <c r="W261" s="9"/>
    </row>
    <row r="262" ht="15.75" customHeight="1">
      <c r="A262" s="6">
        <v>46316.0</v>
      </c>
      <c r="B262" s="7" t="s">
        <v>28</v>
      </c>
      <c r="C262" s="9" t="s">
        <v>29</v>
      </c>
      <c r="D262" s="9" t="s">
        <v>27</v>
      </c>
      <c r="E262" s="10">
        <v>0.0</v>
      </c>
      <c r="F262" s="9">
        <f t="shared" si="1"/>
        <v>0</v>
      </c>
      <c r="G262" s="11">
        <v>0.0</v>
      </c>
      <c r="H262" s="9">
        <f t="shared" si="2"/>
        <v>0</v>
      </c>
      <c r="I262" s="11">
        <v>0.0</v>
      </c>
      <c r="J262" s="9">
        <f t="shared" si="12"/>
        <v>0</v>
      </c>
      <c r="K262" s="11">
        <v>0.0</v>
      </c>
      <c r="L262" s="11">
        <v>0.0</v>
      </c>
      <c r="M262" s="14">
        <f t="shared" si="3"/>
        <v>0</v>
      </c>
      <c r="N262" s="11">
        <v>0.0</v>
      </c>
      <c r="O262" s="14">
        <f t="shared" si="4"/>
        <v>0</v>
      </c>
      <c r="P262" s="11">
        <v>0.0</v>
      </c>
      <c r="Q262" s="15">
        <v>0.0</v>
      </c>
      <c r="R262" s="9">
        <v>10.0</v>
      </c>
      <c r="S262" s="16">
        <f t="shared" si="5"/>
        <v>0</v>
      </c>
      <c r="T262" s="17">
        <f t="shared" si="6"/>
        <v>0</v>
      </c>
      <c r="U262" s="14">
        <f t="shared" si="7"/>
        <v>-10</v>
      </c>
      <c r="V262" s="9" t="str">
        <f t="shared" si="8"/>
        <v>Low Performance</v>
      </c>
      <c r="W262" s="9"/>
    </row>
    <row r="263" ht="15.75" customHeight="1">
      <c r="A263" s="6">
        <v>46316.0</v>
      </c>
      <c r="B263" s="7" t="s">
        <v>36</v>
      </c>
      <c r="C263" s="9" t="s">
        <v>29</v>
      </c>
      <c r="D263" s="9" t="s">
        <v>27</v>
      </c>
      <c r="E263" s="10">
        <v>0.0</v>
      </c>
      <c r="F263" s="9">
        <f t="shared" si="1"/>
        <v>0</v>
      </c>
      <c r="G263" s="11">
        <v>0.0</v>
      </c>
      <c r="H263" s="9">
        <f t="shared" si="2"/>
        <v>0</v>
      </c>
      <c r="I263" s="11">
        <v>0.0</v>
      </c>
      <c r="J263" s="9">
        <f t="shared" si="12"/>
        <v>0</v>
      </c>
      <c r="K263" s="11">
        <v>0.0</v>
      </c>
      <c r="L263" s="11">
        <v>0.0</v>
      </c>
      <c r="M263" s="14">
        <f t="shared" si="3"/>
        <v>0</v>
      </c>
      <c r="N263" s="11">
        <v>0.0</v>
      </c>
      <c r="O263" s="14">
        <f t="shared" si="4"/>
        <v>0</v>
      </c>
      <c r="P263" s="11">
        <v>0.0</v>
      </c>
      <c r="Q263" s="15">
        <v>0.0</v>
      </c>
      <c r="R263" s="9">
        <v>10.0</v>
      </c>
      <c r="S263" s="16">
        <f t="shared" si="5"/>
        <v>0</v>
      </c>
      <c r="T263" s="17">
        <f t="shared" si="6"/>
        <v>0</v>
      </c>
      <c r="U263" s="14">
        <f t="shared" si="7"/>
        <v>-10</v>
      </c>
      <c r="V263" s="9" t="str">
        <f t="shared" si="8"/>
        <v>Low Performance</v>
      </c>
      <c r="W263" s="9"/>
    </row>
    <row r="264" ht="15.75" customHeight="1">
      <c r="A264" s="6">
        <v>46316.0</v>
      </c>
      <c r="B264" s="7" t="s">
        <v>37</v>
      </c>
      <c r="C264" s="9" t="s">
        <v>29</v>
      </c>
      <c r="D264" s="9" t="s">
        <v>27</v>
      </c>
      <c r="E264" s="10">
        <v>0.0</v>
      </c>
      <c r="F264" s="9">
        <f t="shared" si="1"/>
        <v>0</v>
      </c>
      <c r="G264" s="11">
        <v>0.0</v>
      </c>
      <c r="H264" s="9">
        <f t="shared" si="2"/>
        <v>0</v>
      </c>
      <c r="I264" s="11">
        <v>0.0</v>
      </c>
      <c r="J264" s="9">
        <f t="shared" si="12"/>
        <v>0</v>
      </c>
      <c r="K264" s="11">
        <v>0.0</v>
      </c>
      <c r="L264" s="11">
        <v>0.0</v>
      </c>
      <c r="M264" s="14">
        <f t="shared" si="3"/>
        <v>0</v>
      </c>
      <c r="N264" s="11">
        <v>0.0</v>
      </c>
      <c r="O264" s="14">
        <f t="shared" si="4"/>
        <v>0</v>
      </c>
      <c r="P264" s="11">
        <v>0.0</v>
      </c>
      <c r="Q264" s="15">
        <v>0.0</v>
      </c>
      <c r="R264" s="9">
        <v>10.0</v>
      </c>
      <c r="S264" s="16">
        <f t="shared" si="5"/>
        <v>0</v>
      </c>
      <c r="T264" s="17">
        <f t="shared" si="6"/>
        <v>0</v>
      </c>
      <c r="U264" s="14">
        <f t="shared" si="7"/>
        <v>-10</v>
      </c>
      <c r="V264" s="9" t="str">
        <f t="shared" si="8"/>
        <v>Low Performance</v>
      </c>
      <c r="W264" s="9"/>
    </row>
    <row r="265" ht="15.75" customHeight="1">
      <c r="A265" s="6">
        <v>46316.0</v>
      </c>
      <c r="B265" s="7" t="s">
        <v>38</v>
      </c>
      <c r="C265" s="9" t="s">
        <v>29</v>
      </c>
      <c r="D265" s="9" t="s">
        <v>27</v>
      </c>
      <c r="E265" s="10">
        <v>0.0</v>
      </c>
      <c r="F265" s="9">
        <f t="shared" si="1"/>
        <v>0</v>
      </c>
      <c r="G265" s="11">
        <v>0.0</v>
      </c>
      <c r="H265" s="9">
        <f t="shared" si="2"/>
        <v>0</v>
      </c>
      <c r="I265" s="11">
        <v>0.0</v>
      </c>
      <c r="J265" s="9">
        <f t="shared" si="12"/>
        <v>0</v>
      </c>
      <c r="K265" s="11">
        <v>0.0</v>
      </c>
      <c r="L265" s="11">
        <v>0.0</v>
      </c>
      <c r="M265" s="14">
        <f t="shared" si="3"/>
        <v>0</v>
      </c>
      <c r="N265" s="11">
        <v>0.0</v>
      </c>
      <c r="O265" s="14">
        <f t="shared" si="4"/>
        <v>0</v>
      </c>
      <c r="P265" s="11">
        <v>0.0</v>
      </c>
      <c r="Q265" s="15">
        <v>0.0</v>
      </c>
      <c r="R265" s="9">
        <v>10.0</v>
      </c>
      <c r="S265" s="16">
        <f t="shared" si="5"/>
        <v>0</v>
      </c>
      <c r="T265" s="17">
        <f t="shared" si="6"/>
        <v>0</v>
      </c>
      <c r="U265" s="14">
        <f t="shared" si="7"/>
        <v>-10</v>
      </c>
      <c r="V265" s="9" t="str">
        <f t="shared" si="8"/>
        <v>Low Performance</v>
      </c>
      <c r="W265" s="9"/>
    </row>
    <row r="266" ht="15.75" customHeight="1">
      <c r="A266" s="6">
        <v>46316.0</v>
      </c>
      <c r="B266" s="20" t="s">
        <v>39</v>
      </c>
      <c r="C266" s="9" t="s">
        <v>40</v>
      </c>
      <c r="D266" s="9" t="s">
        <v>27</v>
      </c>
      <c r="E266" s="10">
        <v>0.0</v>
      </c>
      <c r="F266" s="9">
        <f t="shared" si="1"/>
        <v>0</v>
      </c>
      <c r="G266" s="11">
        <v>0.0</v>
      </c>
      <c r="H266" s="9">
        <f t="shared" si="2"/>
        <v>0</v>
      </c>
      <c r="I266" s="11">
        <v>0.0</v>
      </c>
      <c r="J266" s="9">
        <f t="shared" si="12"/>
        <v>0</v>
      </c>
      <c r="K266" s="11">
        <v>0.0</v>
      </c>
      <c r="L266" s="11">
        <v>0.0</v>
      </c>
      <c r="M266" s="14">
        <f t="shared" si="3"/>
        <v>0</v>
      </c>
      <c r="N266" s="11">
        <v>0.0</v>
      </c>
      <c r="O266" s="14">
        <f t="shared" si="4"/>
        <v>0</v>
      </c>
      <c r="P266" s="11">
        <v>0.0</v>
      </c>
      <c r="Q266" s="15">
        <v>0.0</v>
      </c>
      <c r="R266" s="9">
        <v>10.0</v>
      </c>
      <c r="S266" s="16">
        <f t="shared" si="5"/>
        <v>0</v>
      </c>
      <c r="T266" s="17">
        <f t="shared" si="6"/>
        <v>0</v>
      </c>
      <c r="U266" s="14">
        <f t="shared" si="7"/>
        <v>-10</v>
      </c>
      <c r="V266" s="9" t="str">
        <f t="shared" si="8"/>
        <v>Low Performance</v>
      </c>
      <c r="W266" s="9"/>
    </row>
    <row r="267" ht="15.75" customHeight="1">
      <c r="A267" s="6">
        <v>46316.0</v>
      </c>
      <c r="B267" s="7" t="s">
        <v>41</v>
      </c>
      <c r="C267" s="9" t="s">
        <v>40</v>
      </c>
      <c r="D267" s="9" t="s">
        <v>27</v>
      </c>
      <c r="E267" s="10">
        <v>0.0</v>
      </c>
      <c r="F267" s="9">
        <f t="shared" si="1"/>
        <v>0</v>
      </c>
      <c r="G267" s="11">
        <v>0.0</v>
      </c>
      <c r="H267" s="9">
        <f t="shared" si="2"/>
        <v>0</v>
      </c>
      <c r="I267" s="11">
        <v>0.0</v>
      </c>
      <c r="J267" s="9">
        <f t="shared" si="12"/>
        <v>0</v>
      </c>
      <c r="K267" s="11">
        <v>0.0</v>
      </c>
      <c r="L267" s="11">
        <v>0.0</v>
      </c>
      <c r="M267" s="14">
        <f t="shared" si="3"/>
        <v>0</v>
      </c>
      <c r="N267" s="11">
        <v>0.0</v>
      </c>
      <c r="O267" s="14">
        <f t="shared" si="4"/>
        <v>0</v>
      </c>
      <c r="P267" s="11">
        <v>0.0</v>
      </c>
      <c r="Q267" s="15">
        <v>0.0</v>
      </c>
      <c r="R267" s="9">
        <v>10.0</v>
      </c>
      <c r="S267" s="16">
        <f t="shared" si="5"/>
        <v>0</v>
      </c>
      <c r="T267" s="17">
        <f t="shared" si="6"/>
        <v>0</v>
      </c>
      <c r="U267" s="14">
        <f t="shared" si="7"/>
        <v>-10</v>
      </c>
      <c r="V267" s="9" t="str">
        <f t="shared" si="8"/>
        <v>Low Performance</v>
      </c>
      <c r="W267" s="9"/>
    </row>
    <row r="268" ht="15.75" customHeight="1">
      <c r="A268" s="6">
        <v>46316.0</v>
      </c>
      <c r="B268" s="7" t="s">
        <v>42</v>
      </c>
      <c r="C268" s="9" t="s">
        <v>40</v>
      </c>
      <c r="D268" s="9" t="s">
        <v>27</v>
      </c>
      <c r="E268" s="10">
        <v>0.0</v>
      </c>
      <c r="F268" s="9">
        <f t="shared" si="1"/>
        <v>0</v>
      </c>
      <c r="G268" s="11">
        <v>0.0</v>
      </c>
      <c r="H268" s="9">
        <f t="shared" si="2"/>
        <v>0</v>
      </c>
      <c r="I268" s="11">
        <v>0.0</v>
      </c>
      <c r="J268" s="9">
        <f t="shared" si="12"/>
        <v>0</v>
      </c>
      <c r="K268" s="11">
        <v>0.0</v>
      </c>
      <c r="L268" s="11">
        <v>0.0</v>
      </c>
      <c r="M268" s="14">
        <f t="shared" si="3"/>
        <v>0</v>
      </c>
      <c r="N268" s="11">
        <v>0.0</v>
      </c>
      <c r="O268" s="14">
        <f t="shared" si="4"/>
        <v>0</v>
      </c>
      <c r="P268" s="11">
        <v>0.0</v>
      </c>
      <c r="Q268" s="15">
        <v>0.0</v>
      </c>
      <c r="R268" s="9">
        <v>10.0</v>
      </c>
      <c r="S268" s="16">
        <f t="shared" si="5"/>
        <v>0</v>
      </c>
      <c r="T268" s="17">
        <f t="shared" si="6"/>
        <v>0</v>
      </c>
      <c r="U268" s="14">
        <f t="shared" si="7"/>
        <v>-10</v>
      </c>
      <c r="V268" s="9" t="str">
        <f t="shared" si="8"/>
        <v>Low Performance</v>
      </c>
      <c r="W268" s="9"/>
    </row>
    <row r="269" ht="15.75" customHeight="1">
      <c r="A269" s="6">
        <v>46316.0</v>
      </c>
      <c r="B269" s="7" t="s">
        <v>43</v>
      </c>
      <c r="C269" s="9" t="s">
        <v>40</v>
      </c>
      <c r="D269" s="9" t="s">
        <v>27</v>
      </c>
      <c r="E269" s="10">
        <v>0.0</v>
      </c>
      <c r="F269" s="9">
        <f t="shared" si="1"/>
        <v>0</v>
      </c>
      <c r="G269" s="11">
        <v>0.0</v>
      </c>
      <c r="H269" s="9">
        <f t="shared" si="2"/>
        <v>0</v>
      </c>
      <c r="I269" s="11">
        <v>0.0</v>
      </c>
      <c r="J269" s="9">
        <f t="shared" si="12"/>
        <v>0</v>
      </c>
      <c r="K269" s="11">
        <v>0.0</v>
      </c>
      <c r="L269" s="11">
        <v>0.0</v>
      </c>
      <c r="M269" s="14">
        <f t="shared" si="3"/>
        <v>0</v>
      </c>
      <c r="N269" s="11">
        <v>0.0</v>
      </c>
      <c r="O269" s="14">
        <f t="shared" si="4"/>
        <v>0</v>
      </c>
      <c r="P269" s="11">
        <v>0.0</v>
      </c>
      <c r="Q269" s="15">
        <v>0.0</v>
      </c>
      <c r="R269" s="9">
        <v>10.0</v>
      </c>
      <c r="S269" s="16">
        <f t="shared" si="5"/>
        <v>0</v>
      </c>
      <c r="T269" s="17">
        <f t="shared" si="6"/>
        <v>0</v>
      </c>
      <c r="U269" s="14">
        <f t="shared" si="7"/>
        <v>-10</v>
      </c>
      <c r="V269" s="9" t="str">
        <f t="shared" si="8"/>
        <v>Low Performance</v>
      </c>
      <c r="W269" s="9"/>
    </row>
    <row r="270" ht="15.75" customHeight="1">
      <c r="A270" s="6">
        <v>46316.0</v>
      </c>
      <c r="B270" s="7" t="s">
        <v>45</v>
      </c>
      <c r="C270" s="18" t="s">
        <v>46</v>
      </c>
      <c r="D270" s="9" t="s">
        <v>27</v>
      </c>
      <c r="E270" s="10">
        <v>0.0</v>
      </c>
      <c r="F270" s="9">
        <f t="shared" si="1"/>
        <v>0</v>
      </c>
      <c r="G270" s="11">
        <v>0.0</v>
      </c>
      <c r="H270" s="9">
        <f t="shared" si="2"/>
        <v>0</v>
      </c>
      <c r="I270" s="11">
        <v>0.0</v>
      </c>
      <c r="J270" s="9">
        <f t="shared" si="12"/>
        <v>0</v>
      </c>
      <c r="K270" s="11">
        <v>0.0</v>
      </c>
      <c r="L270" s="11">
        <v>0.0</v>
      </c>
      <c r="M270" s="14">
        <f t="shared" si="3"/>
        <v>0</v>
      </c>
      <c r="N270" s="11">
        <v>0.0</v>
      </c>
      <c r="O270" s="14">
        <f t="shared" si="4"/>
        <v>0</v>
      </c>
      <c r="P270" s="11">
        <v>0.0</v>
      </c>
      <c r="Q270" s="15">
        <v>0.0</v>
      </c>
      <c r="R270" s="9">
        <v>10.0</v>
      </c>
      <c r="S270" s="16">
        <f t="shared" si="5"/>
        <v>0</v>
      </c>
      <c r="T270" s="17">
        <f t="shared" si="6"/>
        <v>0</v>
      </c>
      <c r="U270" s="14">
        <f t="shared" si="7"/>
        <v>-10</v>
      </c>
      <c r="V270" s="9" t="str">
        <f t="shared" si="8"/>
        <v>Low Performance</v>
      </c>
      <c r="W270" s="9"/>
    </row>
    <row r="271" ht="15.75" customHeight="1">
      <c r="A271" s="6">
        <v>46316.0</v>
      </c>
      <c r="B271" s="7" t="s">
        <v>49</v>
      </c>
      <c r="C271" s="18" t="s">
        <v>46</v>
      </c>
      <c r="D271" s="9" t="s">
        <v>27</v>
      </c>
      <c r="E271" s="10">
        <v>0.0</v>
      </c>
      <c r="F271" s="9">
        <f t="shared" si="1"/>
        <v>0</v>
      </c>
      <c r="G271" s="11">
        <v>0.0</v>
      </c>
      <c r="H271" s="9">
        <f t="shared" si="2"/>
        <v>0</v>
      </c>
      <c r="I271" s="11">
        <v>0.0</v>
      </c>
      <c r="J271" s="9">
        <f t="shared" si="12"/>
        <v>0</v>
      </c>
      <c r="K271" s="11">
        <v>0.0</v>
      </c>
      <c r="L271" s="11">
        <v>0.0</v>
      </c>
      <c r="M271" s="14">
        <f t="shared" si="3"/>
        <v>0</v>
      </c>
      <c r="N271" s="11">
        <v>0.0</v>
      </c>
      <c r="O271" s="14">
        <f t="shared" si="4"/>
        <v>0</v>
      </c>
      <c r="P271" s="11">
        <v>0.0</v>
      </c>
      <c r="Q271" s="15">
        <v>0.0</v>
      </c>
      <c r="R271" s="9">
        <v>10.0</v>
      </c>
      <c r="S271" s="16">
        <f t="shared" si="5"/>
        <v>0</v>
      </c>
      <c r="T271" s="17">
        <f t="shared" si="6"/>
        <v>0</v>
      </c>
      <c r="U271" s="14">
        <f t="shared" si="7"/>
        <v>-10</v>
      </c>
      <c r="V271" s="9" t="str">
        <f t="shared" si="8"/>
        <v>Low Performance</v>
      </c>
      <c r="W271" s="9"/>
    </row>
    <row r="272" ht="15.75" customHeight="1">
      <c r="A272" s="6">
        <v>46316.0</v>
      </c>
      <c r="B272" s="22" t="s">
        <v>50</v>
      </c>
      <c r="C272" s="23" t="s">
        <v>46</v>
      </c>
      <c r="D272" s="24" t="s">
        <v>27</v>
      </c>
      <c r="E272" s="10">
        <v>0.0</v>
      </c>
      <c r="F272" s="9">
        <f t="shared" si="1"/>
        <v>0</v>
      </c>
      <c r="G272" s="11">
        <v>0.0</v>
      </c>
      <c r="H272" s="9">
        <f t="shared" si="2"/>
        <v>0</v>
      </c>
      <c r="I272" s="11">
        <v>0.0</v>
      </c>
      <c r="J272" s="9">
        <f t="shared" si="12"/>
        <v>0</v>
      </c>
      <c r="K272" s="11">
        <v>0.0</v>
      </c>
      <c r="L272" s="11">
        <v>0.0</v>
      </c>
      <c r="M272" s="14">
        <f t="shared" si="3"/>
        <v>0</v>
      </c>
      <c r="N272" s="11">
        <v>0.0</v>
      </c>
      <c r="O272" s="14">
        <f t="shared" si="4"/>
        <v>0</v>
      </c>
      <c r="P272" s="11">
        <v>0.0</v>
      </c>
      <c r="Q272" s="15">
        <v>0.0</v>
      </c>
      <c r="R272" s="9">
        <v>10.0</v>
      </c>
      <c r="S272" s="16">
        <f t="shared" si="5"/>
        <v>0</v>
      </c>
      <c r="T272" s="17">
        <f t="shared" si="6"/>
        <v>0</v>
      </c>
      <c r="U272" s="14">
        <f t="shared" si="7"/>
        <v>-10</v>
      </c>
      <c r="V272" s="9" t="str">
        <f t="shared" si="8"/>
        <v>Low Performance</v>
      </c>
      <c r="W272" s="9"/>
    </row>
    <row r="273" ht="15.75" customHeight="1">
      <c r="A273" s="6">
        <v>46317.0</v>
      </c>
      <c r="B273" s="7" t="s">
        <v>25</v>
      </c>
      <c r="C273" s="8" t="s">
        <v>26</v>
      </c>
      <c r="D273" s="9" t="s">
        <v>27</v>
      </c>
      <c r="E273" s="10">
        <v>0.0</v>
      </c>
      <c r="F273" s="9">
        <f t="shared" si="1"/>
        <v>0</v>
      </c>
      <c r="G273" s="11">
        <v>0.0</v>
      </c>
      <c r="H273" s="9">
        <f t="shared" si="2"/>
        <v>0</v>
      </c>
      <c r="I273" s="11">
        <v>0.0</v>
      </c>
      <c r="J273" s="9">
        <f t="shared" si="12"/>
        <v>0</v>
      </c>
      <c r="K273" s="11">
        <v>0.0</v>
      </c>
      <c r="L273" s="11">
        <v>0.0</v>
      </c>
      <c r="M273" s="14">
        <f t="shared" si="3"/>
        <v>0</v>
      </c>
      <c r="N273" s="11">
        <v>0.0</v>
      </c>
      <c r="O273" s="14">
        <f t="shared" si="4"/>
        <v>0</v>
      </c>
      <c r="P273" s="11">
        <v>0.0</v>
      </c>
      <c r="Q273" s="15">
        <v>0.0</v>
      </c>
      <c r="R273" s="9">
        <v>10.0</v>
      </c>
      <c r="S273" s="16">
        <f t="shared" si="5"/>
        <v>0</v>
      </c>
      <c r="T273" s="17">
        <f t="shared" si="6"/>
        <v>0</v>
      </c>
      <c r="U273" s="14">
        <f t="shared" si="7"/>
        <v>-10</v>
      </c>
      <c r="V273" s="9" t="str">
        <f t="shared" si="8"/>
        <v>Low Performance</v>
      </c>
      <c r="W273" s="9"/>
    </row>
    <row r="274" ht="15.75" customHeight="1">
      <c r="A274" s="6">
        <v>46317.0</v>
      </c>
      <c r="B274" s="7" t="s">
        <v>30</v>
      </c>
      <c r="C274" s="18" t="s">
        <v>31</v>
      </c>
      <c r="D274" s="9" t="s">
        <v>27</v>
      </c>
      <c r="E274" s="10">
        <v>0.0</v>
      </c>
      <c r="F274" s="9">
        <f t="shared" si="1"/>
        <v>0</v>
      </c>
      <c r="G274" s="11">
        <v>0.0</v>
      </c>
      <c r="H274" s="9">
        <f t="shared" si="2"/>
        <v>0</v>
      </c>
      <c r="I274" s="11">
        <v>0.0</v>
      </c>
      <c r="J274" s="9">
        <f t="shared" si="12"/>
        <v>0</v>
      </c>
      <c r="K274" s="11">
        <v>0.0</v>
      </c>
      <c r="L274" s="11">
        <v>0.0</v>
      </c>
      <c r="M274" s="14">
        <f t="shared" si="3"/>
        <v>0</v>
      </c>
      <c r="N274" s="11">
        <v>0.0</v>
      </c>
      <c r="O274" s="14">
        <f t="shared" si="4"/>
        <v>0</v>
      </c>
      <c r="P274" s="11">
        <v>0.0</v>
      </c>
      <c r="Q274" s="15">
        <v>0.0</v>
      </c>
      <c r="R274" s="9">
        <v>10.0</v>
      </c>
      <c r="S274" s="16">
        <f t="shared" si="5"/>
        <v>0</v>
      </c>
      <c r="T274" s="17">
        <f t="shared" si="6"/>
        <v>0</v>
      </c>
      <c r="U274" s="14">
        <f t="shared" si="7"/>
        <v>-10</v>
      </c>
      <c r="V274" s="9" t="str">
        <f t="shared" si="8"/>
        <v>Low Performance</v>
      </c>
      <c r="W274" s="9"/>
    </row>
    <row r="275" ht="15.75" customHeight="1">
      <c r="A275" s="6">
        <v>46317.0</v>
      </c>
      <c r="B275" s="7" t="s">
        <v>32</v>
      </c>
      <c r="C275" s="18" t="s">
        <v>33</v>
      </c>
      <c r="D275" s="9" t="s">
        <v>27</v>
      </c>
      <c r="E275" s="10">
        <v>0.0</v>
      </c>
      <c r="F275" s="9">
        <f t="shared" si="1"/>
        <v>0</v>
      </c>
      <c r="G275" s="11">
        <v>0.0</v>
      </c>
      <c r="H275" s="9">
        <f t="shared" si="2"/>
        <v>0</v>
      </c>
      <c r="I275" s="11">
        <v>0.0</v>
      </c>
      <c r="J275" s="9">
        <f t="shared" si="12"/>
        <v>0</v>
      </c>
      <c r="K275" s="11">
        <v>0.0</v>
      </c>
      <c r="L275" s="11">
        <v>0.0</v>
      </c>
      <c r="M275" s="14">
        <f t="shared" si="3"/>
        <v>0</v>
      </c>
      <c r="N275" s="11">
        <v>0.0</v>
      </c>
      <c r="O275" s="14">
        <f t="shared" si="4"/>
        <v>0</v>
      </c>
      <c r="P275" s="11">
        <v>0.0</v>
      </c>
      <c r="Q275" s="15">
        <v>0.0</v>
      </c>
      <c r="R275" s="9">
        <v>10.0</v>
      </c>
      <c r="S275" s="16">
        <f t="shared" si="5"/>
        <v>0</v>
      </c>
      <c r="T275" s="17">
        <f t="shared" si="6"/>
        <v>0</v>
      </c>
      <c r="U275" s="14">
        <f t="shared" si="7"/>
        <v>-10</v>
      </c>
      <c r="V275" s="9" t="str">
        <f t="shared" si="8"/>
        <v>Low Performance</v>
      </c>
      <c r="W275" s="9"/>
    </row>
    <row r="276" ht="15.75" customHeight="1">
      <c r="A276" s="6">
        <v>46317.0</v>
      </c>
      <c r="B276" s="7" t="s">
        <v>34</v>
      </c>
      <c r="C276" s="18" t="s">
        <v>35</v>
      </c>
      <c r="D276" s="9" t="s">
        <v>27</v>
      </c>
      <c r="E276" s="10">
        <v>0.0</v>
      </c>
      <c r="F276" s="9">
        <f t="shared" si="1"/>
        <v>0</v>
      </c>
      <c r="G276" s="11">
        <v>0.0</v>
      </c>
      <c r="H276" s="9">
        <f t="shared" si="2"/>
        <v>0</v>
      </c>
      <c r="I276" s="11">
        <v>0.0</v>
      </c>
      <c r="J276" s="9">
        <f t="shared" si="12"/>
        <v>0</v>
      </c>
      <c r="K276" s="11">
        <v>0.0</v>
      </c>
      <c r="L276" s="11">
        <v>0.0</v>
      </c>
      <c r="M276" s="14">
        <f t="shared" si="3"/>
        <v>0</v>
      </c>
      <c r="N276" s="11">
        <v>0.0</v>
      </c>
      <c r="O276" s="14">
        <f t="shared" si="4"/>
        <v>0</v>
      </c>
      <c r="P276" s="11">
        <v>0.0</v>
      </c>
      <c r="Q276" s="15">
        <v>0.0</v>
      </c>
      <c r="R276" s="9">
        <v>10.0</v>
      </c>
      <c r="S276" s="16">
        <f t="shared" si="5"/>
        <v>0</v>
      </c>
      <c r="T276" s="17">
        <f t="shared" si="6"/>
        <v>0</v>
      </c>
      <c r="U276" s="14">
        <f t="shared" si="7"/>
        <v>-10</v>
      </c>
      <c r="V276" s="9" t="str">
        <f t="shared" si="8"/>
        <v>Low Performance</v>
      </c>
      <c r="W276" s="9"/>
    </row>
    <row r="277" ht="15.75" customHeight="1">
      <c r="A277" s="6">
        <v>46317.0</v>
      </c>
      <c r="B277" s="7" t="s">
        <v>28</v>
      </c>
      <c r="C277" s="9" t="s">
        <v>29</v>
      </c>
      <c r="D277" s="9" t="s">
        <v>27</v>
      </c>
      <c r="E277" s="10">
        <v>0.0</v>
      </c>
      <c r="F277" s="9">
        <f t="shared" si="1"/>
        <v>0</v>
      </c>
      <c r="G277" s="11">
        <v>0.0</v>
      </c>
      <c r="H277" s="9">
        <f t="shared" si="2"/>
        <v>0</v>
      </c>
      <c r="I277" s="11">
        <v>0.0</v>
      </c>
      <c r="J277" s="9">
        <f t="shared" si="12"/>
        <v>0</v>
      </c>
      <c r="K277" s="11">
        <v>0.0</v>
      </c>
      <c r="L277" s="11">
        <v>0.0</v>
      </c>
      <c r="M277" s="14">
        <f t="shared" si="3"/>
        <v>0</v>
      </c>
      <c r="N277" s="11">
        <v>0.0</v>
      </c>
      <c r="O277" s="14">
        <f t="shared" si="4"/>
        <v>0</v>
      </c>
      <c r="P277" s="11">
        <v>0.0</v>
      </c>
      <c r="Q277" s="15">
        <v>0.0</v>
      </c>
      <c r="R277" s="9">
        <v>10.0</v>
      </c>
      <c r="S277" s="16">
        <f t="shared" si="5"/>
        <v>0</v>
      </c>
      <c r="T277" s="17">
        <f t="shared" si="6"/>
        <v>0</v>
      </c>
      <c r="U277" s="14">
        <f t="shared" si="7"/>
        <v>-10</v>
      </c>
      <c r="V277" s="9" t="str">
        <f t="shared" si="8"/>
        <v>Low Performance</v>
      </c>
      <c r="W277" s="9"/>
    </row>
    <row r="278" ht="15.75" customHeight="1">
      <c r="A278" s="6">
        <v>46317.0</v>
      </c>
      <c r="B278" s="7" t="s">
        <v>36</v>
      </c>
      <c r="C278" s="9" t="s">
        <v>29</v>
      </c>
      <c r="D278" s="9" t="s">
        <v>27</v>
      </c>
      <c r="E278" s="10">
        <v>0.0</v>
      </c>
      <c r="F278" s="9">
        <f t="shared" si="1"/>
        <v>0</v>
      </c>
      <c r="G278" s="11">
        <v>0.0</v>
      </c>
      <c r="H278" s="9">
        <f t="shared" si="2"/>
        <v>0</v>
      </c>
      <c r="I278" s="11">
        <v>0.0</v>
      </c>
      <c r="J278" s="9">
        <f t="shared" si="12"/>
        <v>0</v>
      </c>
      <c r="K278" s="11">
        <v>0.0</v>
      </c>
      <c r="L278" s="11">
        <v>0.0</v>
      </c>
      <c r="M278" s="14">
        <f t="shared" si="3"/>
        <v>0</v>
      </c>
      <c r="N278" s="11">
        <v>0.0</v>
      </c>
      <c r="O278" s="14">
        <f t="shared" si="4"/>
        <v>0</v>
      </c>
      <c r="P278" s="11">
        <v>0.0</v>
      </c>
      <c r="Q278" s="15">
        <v>0.0</v>
      </c>
      <c r="R278" s="9">
        <v>10.0</v>
      </c>
      <c r="S278" s="16">
        <f t="shared" si="5"/>
        <v>0</v>
      </c>
      <c r="T278" s="17">
        <f t="shared" si="6"/>
        <v>0</v>
      </c>
      <c r="U278" s="14">
        <f t="shared" si="7"/>
        <v>-10</v>
      </c>
      <c r="V278" s="9" t="str">
        <f t="shared" si="8"/>
        <v>Low Performance</v>
      </c>
      <c r="W278" s="9"/>
    </row>
    <row r="279" ht="15.75" customHeight="1">
      <c r="A279" s="6">
        <v>46317.0</v>
      </c>
      <c r="B279" s="7" t="s">
        <v>37</v>
      </c>
      <c r="C279" s="9" t="s">
        <v>29</v>
      </c>
      <c r="D279" s="9" t="s">
        <v>27</v>
      </c>
      <c r="E279" s="10">
        <v>0.0</v>
      </c>
      <c r="F279" s="9">
        <f t="shared" si="1"/>
        <v>0</v>
      </c>
      <c r="G279" s="11">
        <v>0.0</v>
      </c>
      <c r="H279" s="9">
        <f t="shared" si="2"/>
        <v>0</v>
      </c>
      <c r="I279" s="11">
        <v>0.0</v>
      </c>
      <c r="J279" s="9">
        <f t="shared" si="12"/>
        <v>0</v>
      </c>
      <c r="K279" s="11">
        <v>0.0</v>
      </c>
      <c r="L279" s="11">
        <v>0.0</v>
      </c>
      <c r="M279" s="14">
        <f t="shared" si="3"/>
        <v>0</v>
      </c>
      <c r="N279" s="11">
        <v>0.0</v>
      </c>
      <c r="O279" s="14">
        <f t="shared" si="4"/>
        <v>0</v>
      </c>
      <c r="P279" s="11">
        <v>0.0</v>
      </c>
      <c r="Q279" s="15">
        <v>0.0</v>
      </c>
      <c r="R279" s="9">
        <v>10.0</v>
      </c>
      <c r="S279" s="16">
        <f t="shared" si="5"/>
        <v>0</v>
      </c>
      <c r="T279" s="17">
        <f t="shared" si="6"/>
        <v>0</v>
      </c>
      <c r="U279" s="14">
        <f t="shared" si="7"/>
        <v>-10</v>
      </c>
      <c r="V279" s="9" t="str">
        <f t="shared" si="8"/>
        <v>Low Performance</v>
      </c>
      <c r="W279" s="9"/>
    </row>
    <row r="280" ht="15.75" customHeight="1">
      <c r="A280" s="6">
        <v>46317.0</v>
      </c>
      <c r="B280" s="7" t="s">
        <v>38</v>
      </c>
      <c r="C280" s="9" t="s">
        <v>29</v>
      </c>
      <c r="D280" s="9" t="s">
        <v>27</v>
      </c>
      <c r="E280" s="10">
        <v>0.0</v>
      </c>
      <c r="F280" s="9">
        <f t="shared" si="1"/>
        <v>0</v>
      </c>
      <c r="G280" s="11">
        <v>0.0</v>
      </c>
      <c r="H280" s="9">
        <f t="shared" si="2"/>
        <v>0</v>
      </c>
      <c r="I280" s="11">
        <v>0.0</v>
      </c>
      <c r="J280" s="9">
        <f t="shared" si="12"/>
        <v>0</v>
      </c>
      <c r="K280" s="11">
        <v>0.0</v>
      </c>
      <c r="L280" s="11">
        <v>0.0</v>
      </c>
      <c r="M280" s="14">
        <f t="shared" si="3"/>
        <v>0</v>
      </c>
      <c r="N280" s="11">
        <v>0.0</v>
      </c>
      <c r="O280" s="14">
        <f t="shared" si="4"/>
        <v>0</v>
      </c>
      <c r="P280" s="11">
        <v>0.0</v>
      </c>
      <c r="Q280" s="15">
        <v>0.0</v>
      </c>
      <c r="R280" s="9">
        <v>10.0</v>
      </c>
      <c r="S280" s="16">
        <f t="shared" si="5"/>
        <v>0</v>
      </c>
      <c r="T280" s="17">
        <f t="shared" si="6"/>
        <v>0</v>
      </c>
      <c r="U280" s="14">
        <f t="shared" si="7"/>
        <v>-10</v>
      </c>
      <c r="V280" s="9" t="str">
        <f t="shared" si="8"/>
        <v>Low Performance</v>
      </c>
      <c r="W280" s="9"/>
    </row>
    <row r="281" ht="15.75" customHeight="1">
      <c r="A281" s="6">
        <v>46317.0</v>
      </c>
      <c r="B281" s="20" t="s">
        <v>39</v>
      </c>
      <c r="C281" s="9" t="s">
        <v>40</v>
      </c>
      <c r="D281" s="9" t="s">
        <v>27</v>
      </c>
      <c r="E281" s="10">
        <v>0.0</v>
      </c>
      <c r="F281" s="9">
        <f t="shared" si="1"/>
        <v>0</v>
      </c>
      <c r="G281" s="11">
        <v>0.0</v>
      </c>
      <c r="H281" s="9">
        <f t="shared" si="2"/>
        <v>0</v>
      </c>
      <c r="I281" s="11">
        <v>0.0</v>
      </c>
      <c r="J281" s="9">
        <f t="shared" si="12"/>
        <v>0</v>
      </c>
      <c r="K281" s="11">
        <v>0.0</v>
      </c>
      <c r="L281" s="11">
        <v>0.0</v>
      </c>
      <c r="M281" s="14">
        <f t="shared" si="3"/>
        <v>0</v>
      </c>
      <c r="N281" s="11">
        <v>0.0</v>
      </c>
      <c r="O281" s="14">
        <f t="shared" si="4"/>
        <v>0</v>
      </c>
      <c r="P281" s="11">
        <v>0.0</v>
      </c>
      <c r="Q281" s="15">
        <v>0.0</v>
      </c>
      <c r="R281" s="9">
        <v>10.0</v>
      </c>
      <c r="S281" s="16">
        <f t="shared" si="5"/>
        <v>0</v>
      </c>
      <c r="T281" s="17">
        <f t="shared" si="6"/>
        <v>0</v>
      </c>
      <c r="U281" s="14">
        <f t="shared" si="7"/>
        <v>-10</v>
      </c>
      <c r="V281" s="9" t="str">
        <f t="shared" si="8"/>
        <v>Low Performance</v>
      </c>
      <c r="W281" s="9"/>
    </row>
    <row r="282" ht="15.75" customHeight="1">
      <c r="A282" s="6">
        <v>46317.0</v>
      </c>
      <c r="B282" s="7" t="s">
        <v>41</v>
      </c>
      <c r="C282" s="9" t="s">
        <v>40</v>
      </c>
      <c r="D282" s="9" t="s">
        <v>27</v>
      </c>
      <c r="E282" s="10">
        <v>0.0</v>
      </c>
      <c r="F282" s="9">
        <f t="shared" si="1"/>
        <v>0</v>
      </c>
      <c r="G282" s="11">
        <v>0.0</v>
      </c>
      <c r="H282" s="9">
        <f t="shared" si="2"/>
        <v>0</v>
      </c>
      <c r="I282" s="11">
        <v>0.0</v>
      </c>
      <c r="J282" s="9">
        <f t="shared" si="12"/>
        <v>0</v>
      </c>
      <c r="K282" s="11">
        <v>0.0</v>
      </c>
      <c r="L282" s="11">
        <v>0.0</v>
      </c>
      <c r="M282" s="14">
        <f t="shared" si="3"/>
        <v>0</v>
      </c>
      <c r="N282" s="11">
        <v>0.0</v>
      </c>
      <c r="O282" s="14">
        <f t="shared" si="4"/>
        <v>0</v>
      </c>
      <c r="P282" s="11">
        <v>0.0</v>
      </c>
      <c r="Q282" s="15">
        <v>0.0</v>
      </c>
      <c r="R282" s="9">
        <v>10.0</v>
      </c>
      <c r="S282" s="16">
        <f t="shared" si="5"/>
        <v>0</v>
      </c>
      <c r="T282" s="17">
        <f t="shared" si="6"/>
        <v>0</v>
      </c>
      <c r="U282" s="14">
        <f t="shared" si="7"/>
        <v>-10</v>
      </c>
      <c r="V282" s="9" t="str">
        <f t="shared" si="8"/>
        <v>Low Performance</v>
      </c>
      <c r="W282" s="9"/>
    </row>
    <row r="283" ht="15.75" customHeight="1">
      <c r="A283" s="6">
        <v>46317.0</v>
      </c>
      <c r="B283" s="7" t="s">
        <v>42</v>
      </c>
      <c r="C283" s="9" t="s">
        <v>40</v>
      </c>
      <c r="D283" s="9" t="s">
        <v>27</v>
      </c>
      <c r="E283" s="10">
        <v>0.0</v>
      </c>
      <c r="F283" s="9">
        <f t="shared" si="1"/>
        <v>0</v>
      </c>
      <c r="G283" s="11">
        <v>0.0</v>
      </c>
      <c r="H283" s="9">
        <f t="shared" si="2"/>
        <v>0</v>
      </c>
      <c r="I283" s="11">
        <v>0.0</v>
      </c>
      <c r="J283" s="9">
        <f t="shared" si="12"/>
        <v>0</v>
      </c>
      <c r="K283" s="11">
        <v>0.0</v>
      </c>
      <c r="L283" s="11">
        <v>0.0</v>
      </c>
      <c r="M283" s="14">
        <f t="shared" si="3"/>
        <v>0</v>
      </c>
      <c r="N283" s="11">
        <v>0.0</v>
      </c>
      <c r="O283" s="14">
        <f t="shared" si="4"/>
        <v>0</v>
      </c>
      <c r="P283" s="11">
        <v>0.0</v>
      </c>
      <c r="Q283" s="15">
        <v>0.0</v>
      </c>
      <c r="R283" s="9">
        <v>10.0</v>
      </c>
      <c r="S283" s="16">
        <f t="shared" si="5"/>
        <v>0</v>
      </c>
      <c r="T283" s="17">
        <f t="shared" si="6"/>
        <v>0</v>
      </c>
      <c r="U283" s="14">
        <f t="shared" si="7"/>
        <v>-10</v>
      </c>
      <c r="V283" s="9" t="str">
        <f t="shared" si="8"/>
        <v>Low Performance</v>
      </c>
      <c r="W283" s="9"/>
    </row>
    <row r="284" ht="15.75" customHeight="1">
      <c r="A284" s="6">
        <v>46317.0</v>
      </c>
      <c r="B284" s="7" t="s">
        <v>43</v>
      </c>
      <c r="C284" s="9" t="s">
        <v>40</v>
      </c>
      <c r="D284" s="9" t="s">
        <v>27</v>
      </c>
      <c r="E284" s="10">
        <v>0.0</v>
      </c>
      <c r="F284" s="9">
        <f t="shared" si="1"/>
        <v>0</v>
      </c>
      <c r="G284" s="11">
        <v>0.0</v>
      </c>
      <c r="H284" s="9">
        <f t="shared" si="2"/>
        <v>0</v>
      </c>
      <c r="I284" s="11">
        <v>0.0</v>
      </c>
      <c r="J284" s="9">
        <f t="shared" si="12"/>
        <v>0</v>
      </c>
      <c r="K284" s="11">
        <v>0.0</v>
      </c>
      <c r="L284" s="11">
        <v>0.0</v>
      </c>
      <c r="M284" s="14">
        <f t="shared" si="3"/>
        <v>0</v>
      </c>
      <c r="N284" s="11">
        <v>0.0</v>
      </c>
      <c r="O284" s="14">
        <f t="shared" si="4"/>
        <v>0</v>
      </c>
      <c r="P284" s="11">
        <v>0.0</v>
      </c>
      <c r="Q284" s="15">
        <v>0.0</v>
      </c>
      <c r="R284" s="9">
        <v>10.0</v>
      </c>
      <c r="S284" s="16">
        <f t="shared" si="5"/>
        <v>0</v>
      </c>
      <c r="T284" s="17">
        <f t="shared" si="6"/>
        <v>0</v>
      </c>
      <c r="U284" s="14">
        <f t="shared" si="7"/>
        <v>-10</v>
      </c>
      <c r="V284" s="9" t="str">
        <f t="shared" si="8"/>
        <v>Low Performance</v>
      </c>
      <c r="W284" s="9"/>
    </row>
    <row r="285" ht="15.75" customHeight="1">
      <c r="A285" s="6">
        <v>46317.0</v>
      </c>
      <c r="B285" s="7" t="s">
        <v>45</v>
      </c>
      <c r="C285" s="18" t="s">
        <v>46</v>
      </c>
      <c r="D285" s="9" t="s">
        <v>27</v>
      </c>
      <c r="E285" s="10">
        <v>0.0</v>
      </c>
      <c r="F285" s="9">
        <f t="shared" si="1"/>
        <v>0</v>
      </c>
      <c r="G285" s="11">
        <v>0.0</v>
      </c>
      <c r="H285" s="9">
        <f t="shared" si="2"/>
        <v>0</v>
      </c>
      <c r="I285" s="11">
        <v>0.0</v>
      </c>
      <c r="J285" s="9">
        <f t="shared" si="12"/>
        <v>0</v>
      </c>
      <c r="K285" s="11">
        <v>0.0</v>
      </c>
      <c r="L285" s="11">
        <v>0.0</v>
      </c>
      <c r="M285" s="14">
        <f t="shared" si="3"/>
        <v>0</v>
      </c>
      <c r="N285" s="11">
        <v>0.0</v>
      </c>
      <c r="O285" s="14">
        <f t="shared" si="4"/>
        <v>0</v>
      </c>
      <c r="P285" s="11">
        <v>0.0</v>
      </c>
      <c r="Q285" s="15">
        <v>0.0</v>
      </c>
      <c r="R285" s="9">
        <v>10.0</v>
      </c>
      <c r="S285" s="16">
        <f t="shared" si="5"/>
        <v>0</v>
      </c>
      <c r="T285" s="17">
        <f t="shared" si="6"/>
        <v>0</v>
      </c>
      <c r="U285" s="14">
        <f t="shared" si="7"/>
        <v>-10</v>
      </c>
      <c r="V285" s="9" t="str">
        <f t="shared" si="8"/>
        <v>Low Performance</v>
      </c>
      <c r="W285" s="9"/>
    </row>
    <row r="286" ht="15.75" customHeight="1">
      <c r="A286" s="6">
        <v>46317.0</v>
      </c>
      <c r="B286" s="7" t="s">
        <v>49</v>
      </c>
      <c r="C286" s="18" t="s">
        <v>46</v>
      </c>
      <c r="D286" s="9" t="s">
        <v>27</v>
      </c>
      <c r="E286" s="10">
        <v>0.0</v>
      </c>
      <c r="F286" s="9">
        <f t="shared" si="1"/>
        <v>0</v>
      </c>
      <c r="G286" s="11">
        <v>0.0</v>
      </c>
      <c r="H286" s="9">
        <f t="shared" si="2"/>
        <v>0</v>
      </c>
      <c r="I286" s="11">
        <v>0.0</v>
      </c>
      <c r="J286" s="9">
        <f t="shared" si="12"/>
        <v>0</v>
      </c>
      <c r="K286" s="11">
        <v>0.0</v>
      </c>
      <c r="L286" s="11">
        <v>0.0</v>
      </c>
      <c r="M286" s="14">
        <f t="shared" si="3"/>
        <v>0</v>
      </c>
      <c r="N286" s="11">
        <v>0.0</v>
      </c>
      <c r="O286" s="14">
        <f t="shared" si="4"/>
        <v>0</v>
      </c>
      <c r="P286" s="11">
        <v>0.0</v>
      </c>
      <c r="Q286" s="15">
        <v>0.0</v>
      </c>
      <c r="R286" s="9">
        <v>10.0</v>
      </c>
      <c r="S286" s="16">
        <f t="shared" si="5"/>
        <v>0</v>
      </c>
      <c r="T286" s="17">
        <f t="shared" si="6"/>
        <v>0</v>
      </c>
      <c r="U286" s="14">
        <f t="shared" si="7"/>
        <v>-10</v>
      </c>
      <c r="V286" s="9" t="str">
        <f t="shared" si="8"/>
        <v>Low Performance</v>
      </c>
      <c r="W286" s="9"/>
    </row>
    <row r="287" ht="15.75" customHeight="1">
      <c r="A287" s="6">
        <v>46317.0</v>
      </c>
      <c r="B287" s="22" t="s">
        <v>50</v>
      </c>
      <c r="C287" s="23" t="s">
        <v>46</v>
      </c>
      <c r="D287" s="24" t="s">
        <v>27</v>
      </c>
      <c r="E287" s="10">
        <v>0.0</v>
      </c>
      <c r="F287" s="9">
        <f t="shared" si="1"/>
        <v>0</v>
      </c>
      <c r="G287" s="11">
        <v>0.0</v>
      </c>
      <c r="H287" s="9">
        <f t="shared" si="2"/>
        <v>0</v>
      </c>
      <c r="I287" s="11">
        <v>0.0</v>
      </c>
      <c r="J287" s="9">
        <f t="shared" si="12"/>
        <v>0</v>
      </c>
      <c r="K287" s="11">
        <v>0.0</v>
      </c>
      <c r="L287" s="11">
        <v>0.0</v>
      </c>
      <c r="M287" s="14">
        <f t="shared" si="3"/>
        <v>0</v>
      </c>
      <c r="N287" s="11">
        <v>0.0</v>
      </c>
      <c r="O287" s="14">
        <f t="shared" si="4"/>
        <v>0</v>
      </c>
      <c r="P287" s="11">
        <v>0.0</v>
      </c>
      <c r="Q287" s="15">
        <v>0.0</v>
      </c>
      <c r="R287" s="9">
        <v>10.0</v>
      </c>
      <c r="S287" s="16">
        <f t="shared" si="5"/>
        <v>0</v>
      </c>
      <c r="T287" s="17">
        <f t="shared" si="6"/>
        <v>0</v>
      </c>
      <c r="U287" s="14">
        <f t="shared" si="7"/>
        <v>-10</v>
      </c>
      <c r="V287" s="9" t="str">
        <f t="shared" si="8"/>
        <v>Low Performance</v>
      </c>
      <c r="W287" s="9"/>
    </row>
    <row r="288" ht="15.75" customHeight="1">
      <c r="A288" s="6">
        <v>46319.0</v>
      </c>
      <c r="B288" s="7" t="s">
        <v>25</v>
      </c>
      <c r="C288" s="8" t="s">
        <v>26</v>
      </c>
      <c r="D288" s="9" t="s">
        <v>27</v>
      </c>
      <c r="E288" s="10">
        <v>0.0</v>
      </c>
      <c r="F288" s="9">
        <f t="shared" si="1"/>
        <v>0</v>
      </c>
      <c r="G288" s="11">
        <v>0.0</v>
      </c>
      <c r="H288" s="9">
        <f t="shared" si="2"/>
        <v>0</v>
      </c>
      <c r="I288" s="11">
        <v>0.0</v>
      </c>
      <c r="J288" s="9">
        <f t="shared" si="12"/>
        <v>0</v>
      </c>
      <c r="K288" s="11">
        <v>0.0</v>
      </c>
      <c r="L288" s="11">
        <v>0.0</v>
      </c>
      <c r="M288" s="14">
        <f t="shared" si="3"/>
        <v>0</v>
      </c>
      <c r="N288" s="11">
        <v>0.0</v>
      </c>
      <c r="O288" s="14">
        <f t="shared" si="4"/>
        <v>0</v>
      </c>
      <c r="P288" s="11">
        <v>0.0</v>
      </c>
      <c r="Q288" s="15">
        <v>0.0</v>
      </c>
      <c r="R288" s="9">
        <v>10.0</v>
      </c>
      <c r="S288" s="16">
        <f t="shared" si="5"/>
        <v>0</v>
      </c>
      <c r="T288" s="17">
        <f t="shared" si="6"/>
        <v>0</v>
      </c>
      <c r="U288" s="14">
        <f t="shared" si="7"/>
        <v>-10</v>
      </c>
      <c r="V288" s="9" t="str">
        <f t="shared" si="8"/>
        <v>Low Performance</v>
      </c>
      <c r="W288" s="9"/>
    </row>
    <row r="289" ht="15.75" customHeight="1">
      <c r="A289" s="6">
        <v>46319.0</v>
      </c>
      <c r="B289" s="7" t="s">
        <v>30</v>
      </c>
      <c r="C289" s="18" t="s">
        <v>31</v>
      </c>
      <c r="D289" s="9" t="s">
        <v>27</v>
      </c>
      <c r="E289" s="10">
        <v>0.0</v>
      </c>
      <c r="F289" s="9">
        <f t="shared" si="1"/>
        <v>0</v>
      </c>
      <c r="G289" s="11">
        <v>0.0</v>
      </c>
      <c r="H289" s="9">
        <f t="shared" si="2"/>
        <v>0</v>
      </c>
      <c r="I289" s="11">
        <v>0.0</v>
      </c>
      <c r="J289" s="9">
        <f t="shared" si="12"/>
        <v>0</v>
      </c>
      <c r="K289" s="11">
        <v>0.0</v>
      </c>
      <c r="L289" s="11">
        <v>0.0</v>
      </c>
      <c r="M289" s="14">
        <f t="shared" si="3"/>
        <v>0</v>
      </c>
      <c r="N289" s="11">
        <v>0.0</v>
      </c>
      <c r="O289" s="14">
        <f t="shared" si="4"/>
        <v>0</v>
      </c>
      <c r="P289" s="11">
        <v>0.0</v>
      </c>
      <c r="Q289" s="15">
        <v>0.0</v>
      </c>
      <c r="R289" s="9">
        <v>10.0</v>
      </c>
      <c r="S289" s="16">
        <f t="shared" si="5"/>
        <v>0</v>
      </c>
      <c r="T289" s="17">
        <f t="shared" si="6"/>
        <v>0</v>
      </c>
      <c r="U289" s="14">
        <f t="shared" si="7"/>
        <v>-10</v>
      </c>
      <c r="V289" s="9" t="str">
        <f t="shared" si="8"/>
        <v>Low Performance</v>
      </c>
      <c r="W289" s="9"/>
    </row>
    <row r="290" ht="15.75" customHeight="1">
      <c r="A290" s="6">
        <v>46319.0</v>
      </c>
      <c r="B290" s="7" t="s">
        <v>32</v>
      </c>
      <c r="C290" s="18" t="s">
        <v>33</v>
      </c>
      <c r="D290" s="9" t="s">
        <v>27</v>
      </c>
      <c r="E290" s="10">
        <v>0.0</v>
      </c>
      <c r="F290" s="9">
        <f t="shared" si="1"/>
        <v>0</v>
      </c>
      <c r="G290" s="11">
        <v>0.0</v>
      </c>
      <c r="H290" s="9">
        <f t="shared" si="2"/>
        <v>0</v>
      </c>
      <c r="I290" s="11">
        <v>0.0</v>
      </c>
      <c r="J290" s="9">
        <f t="shared" si="12"/>
        <v>0</v>
      </c>
      <c r="K290" s="11">
        <v>0.0</v>
      </c>
      <c r="L290" s="11">
        <v>0.0</v>
      </c>
      <c r="M290" s="14">
        <f t="shared" si="3"/>
        <v>0</v>
      </c>
      <c r="N290" s="11">
        <v>0.0</v>
      </c>
      <c r="O290" s="14">
        <f t="shared" si="4"/>
        <v>0</v>
      </c>
      <c r="P290" s="11">
        <v>0.0</v>
      </c>
      <c r="Q290" s="15">
        <v>0.0</v>
      </c>
      <c r="R290" s="9">
        <v>10.0</v>
      </c>
      <c r="S290" s="16">
        <f t="shared" si="5"/>
        <v>0</v>
      </c>
      <c r="T290" s="17">
        <f t="shared" si="6"/>
        <v>0</v>
      </c>
      <c r="U290" s="14">
        <f t="shared" si="7"/>
        <v>-10</v>
      </c>
      <c r="V290" s="9" t="str">
        <f t="shared" si="8"/>
        <v>Low Performance</v>
      </c>
      <c r="W290" s="9"/>
    </row>
    <row r="291" ht="15.75" customHeight="1">
      <c r="A291" s="6">
        <v>46319.0</v>
      </c>
      <c r="B291" s="7" t="s">
        <v>34</v>
      </c>
      <c r="C291" s="18" t="s">
        <v>35</v>
      </c>
      <c r="D291" s="9" t="s">
        <v>27</v>
      </c>
      <c r="E291" s="10">
        <v>0.0</v>
      </c>
      <c r="F291" s="9">
        <f t="shared" si="1"/>
        <v>0</v>
      </c>
      <c r="G291" s="11">
        <v>0.0</v>
      </c>
      <c r="H291" s="9">
        <f t="shared" si="2"/>
        <v>0</v>
      </c>
      <c r="I291" s="11">
        <v>0.0</v>
      </c>
      <c r="J291" s="9">
        <f t="shared" si="12"/>
        <v>0</v>
      </c>
      <c r="K291" s="11">
        <v>0.0</v>
      </c>
      <c r="L291" s="11">
        <v>0.0</v>
      </c>
      <c r="M291" s="14">
        <f t="shared" si="3"/>
        <v>0</v>
      </c>
      <c r="N291" s="11">
        <v>0.0</v>
      </c>
      <c r="O291" s="14">
        <f t="shared" si="4"/>
        <v>0</v>
      </c>
      <c r="P291" s="11">
        <v>0.0</v>
      </c>
      <c r="Q291" s="15">
        <v>0.0</v>
      </c>
      <c r="R291" s="9">
        <v>10.0</v>
      </c>
      <c r="S291" s="16">
        <f t="shared" si="5"/>
        <v>0</v>
      </c>
      <c r="T291" s="17">
        <f t="shared" si="6"/>
        <v>0</v>
      </c>
      <c r="U291" s="14">
        <f t="shared" si="7"/>
        <v>-10</v>
      </c>
      <c r="V291" s="9" t="str">
        <f t="shared" si="8"/>
        <v>Low Performance</v>
      </c>
      <c r="W291" s="9"/>
    </row>
    <row r="292" ht="15.75" customHeight="1">
      <c r="A292" s="6">
        <v>46319.0</v>
      </c>
      <c r="B292" s="7" t="s">
        <v>28</v>
      </c>
      <c r="C292" s="9" t="s">
        <v>29</v>
      </c>
      <c r="D292" s="9" t="s">
        <v>27</v>
      </c>
      <c r="E292" s="10">
        <v>0.0</v>
      </c>
      <c r="F292" s="9">
        <f t="shared" si="1"/>
        <v>0</v>
      </c>
      <c r="G292" s="11">
        <v>0.0</v>
      </c>
      <c r="H292" s="9">
        <f t="shared" si="2"/>
        <v>0</v>
      </c>
      <c r="I292" s="11">
        <v>0.0</v>
      </c>
      <c r="J292" s="9">
        <f t="shared" si="12"/>
        <v>0</v>
      </c>
      <c r="K292" s="11">
        <v>0.0</v>
      </c>
      <c r="L292" s="11">
        <v>0.0</v>
      </c>
      <c r="M292" s="14">
        <f t="shared" si="3"/>
        <v>0</v>
      </c>
      <c r="N292" s="11">
        <v>0.0</v>
      </c>
      <c r="O292" s="14">
        <f t="shared" si="4"/>
        <v>0</v>
      </c>
      <c r="P292" s="11">
        <v>0.0</v>
      </c>
      <c r="Q292" s="15">
        <v>0.0</v>
      </c>
      <c r="R292" s="9">
        <v>10.0</v>
      </c>
      <c r="S292" s="16">
        <f t="shared" si="5"/>
        <v>0</v>
      </c>
      <c r="T292" s="17">
        <f t="shared" si="6"/>
        <v>0</v>
      </c>
      <c r="U292" s="14">
        <f t="shared" si="7"/>
        <v>-10</v>
      </c>
      <c r="V292" s="9" t="str">
        <f t="shared" si="8"/>
        <v>Low Performance</v>
      </c>
      <c r="W292" s="9"/>
    </row>
    <row r="293" ht="15.75" customHeight="1">
      <c r="A293" s="6">
        <v>46319.0</v>
      </c>
      <c r="B293" s="7" t="s">
        <v>36</v>
      </c>
      <c r="C293" s="9" t="s">
        <v>29</v>
      </c>
      <c r="D293" s="9" t="s">
        <v>27</v>
      </c>
      <c r="E293" s="10">
        <v>0.0</v>
      </c>
      <c r="F293" s="9">
        <f t="shared" si="1"/>
        <v>0</v>
      </c>
      <c r="G293" s="11">
        <v>0.0</v>
      </c>
      <c r="H293" s="9">
        <f t="shared" si="2"/>
        <v>0</v>
      </c>
      <c r="I293" s="11">
        <v>0.0</v>
      </c>
      <c r="J293" s="9">
        <f t="shared" si="12"/>
        <v>0</v>
      </c>
      <c r="K293" s="11">
        <v>0.0</v>
      </c>
      <c r="L293" s="11">
        <v>0.0</v>
      </c>
      <c r="M293" s="14">
        <f t="shared" si="3"/>
        <v>0</v>
      </c>
      <c r="N293" s="11">
        <v>0.0</v>
      </c>
      <c r="O293" s="14">
        <f t="shared" si="4"/>
        <v>0</v>
      </c>
      <c r="P293" s="11">
        <v>0.0</v>
      </c>
      <c r="Q293" s="15">
        <v>0.0</v>
      </c>
      <c r="R293" s="9">
        <v>10.0</v>
      </c>
      <c r="S293" s="16">
        <f t="shared" si="5"/>
        <v>0</v>
      </c>
      <c r="T293" s="17">
        <f t="shared" si="6"/>
        <v>0</v>
      </c>
      <c r="U293" s="14">
        <f t="shared" si="7"/>
        <v>-10</v>
      </c>
      <c r="V293" s="9" t="str">
        <f t="shared" si="8"/>
        <v>Low Performance</v>
      </c>
      <c r="W293" s="9"/>
    </row>
    <row r="294" ht="15.75" customHeight="1">
      <c r="A294" s="6">
        <v>46319.0</v>
      </c>
      <c r="B294" s="7" t="s">
        <v>37</v>
      </c>
      <c r="C294" s="9" t="s">
        <v>29</v>
      </c>
      <c r="D294" s="9" t="s">
        <v>27</v>
      </c>
      <c r="E294" s="10">
        <v>0.0</v>
      </c>
      <c r="F294" s="9">
        <f t="shared" si="1"/>
        <v>0</v>
      </c>
      <c r="G294" s="11">
        <v>0.0</v>
      </c>
      <c r="H294" s="9">
        <f t="shared" si="2"/>
        <v>0</v>
      </c>
      <c r="I294" s="11">
        <v>0.0</v>
      </c>
      <c r="J294" s="9">
        <f t="shared" si="12"/>
        <v>0</v>
      </c>
      <c r="K294" s="11">
        <v>0.0</v>
      </c>
      <c r="L294" s="11">
        <v>0.0</v>
      </c>
      <c r="M294" s="14">
        <f t="shared" si="3"/>
        <v>0</v>
      </c>
      <c r="N294" s="11">
        <v>0.0</v>
      </c>
      <c r="O294" s="14">
        <f t="shared" si="4"/>
        <v>0</v>
      </c>
      <c r="P294" s="11">
        <v>0.0</v>
      </c>
      <c r="Q294" s="15">
        <v>0.0</v>
      </c>
      <c r="R294" s="9">
        <v>10.0</v>
      </c>
      <c r="S294" s="16">
        <f t="shared" si="5"/>
        <v>0</v>
      </c>
      <c r="T294" s="17">
        <f t="shared" si="6"/>
        <v>0</v>
      </c>
      <c r="U294" s="14">
        <f t="shared" si="7"/>
        <v>-10</v>
      </c>
      <c r="V294" s="9" t="str">
        <f t="shared" si="8"/>
        <v>Low Performance</v>
      </c>
      <c r="W294" s="9"/>
    </row>
    <row r="295" ht="15.75" customHeight="1">
      <c r="A295" s="6">
        <v>46319.0</v>
      </c>
      <c r="B295" s="7" t="s">
        <v>38</v>
      </c>
      <c r="C295" s="9" t="s">
        <v>29</v>
      </c>
      <c r="D295" s="9" t="s">
        <v>27</v>
      </c>
      <c r="E295" s="10">
        <v>0.0</v>
      </c>
      <c r="F295" s="9">
        <f t="shared" si="1"/>
        <v>0</v>
      </c>
      <c r="G295" s="11">
        <v>0.0</v>
      </c>
      <c r="H295" s="9">
        <f t="shared" si="2"/>
        <v>0</v>
      </c>
      <c r="I295" s="11">
        <v>0.0</v>
      </c>
      <c r="J295" s="9">
        <f t="shared" si="12"/>
        <v>0</v>
      </c>
      <c r="K295" s="11">
        <v>0.0</v>
      </c>
      <c r="L295" s="11">
        <v>0.0</v>
      </c>
      <c r="M295" s="14">
        <f t="shared" si="3"/>
        <v>0</v>
      </c>
      <c r="N295" s="11">
        <v>0.0</v>
      </c>
      <c r="O295" s="14">
        <f t="shared" si="4"/>
        <v>0</v>
      </c>
      <c r="P295" s="11">
        <v>0.0</v>
      </c>
      <c r="Q295" s="15">
        <v>0.0</v>
      </c>
      <c r="R295" s="9">
        <v>10.0</v>
      </c>
      <c r="S295" s="16">
        <f t="shared" si="5"/>
        <v>0</v>
      </c>
      <c r="T295" s="17">
        <f t="shared" si="6"/>
        <v>0</v>
      </c>
      <c r="U295" s="14">
        <f t="shared" si="7"/>
        <v>-10</v>
      </c>
      <c r="V295" s="9" t="str">
        <f t="shared" si="8"/>
        <v>Low Performance</v>
      </c>
      <c r="W295" s="9"/>
    </row>
    <row r="296" ht="15.75" customHeight="1">
      <c r="A296" s="6">
        <v>46319.0</v>
      </c>
      <c r="B296" s="20" t="s">
        <v>39</v>
      </c>
      <c r="C296" s="9" t="s">
        <v>40</v>
      </c>
      <c r="D296" s="9" t="s">
        <v>27</v>
      </c>
      <c r="E296" s="10">
        <v>0.0</v>
      </c>
      <c r="F296" s="9">
        <f t="shared" si="1"/>
        <v>0</v>
      </c>
      <c r="G296" s="11">
        <v>0.0</v>
      </c>
      <c r="H296" s="9">
        <f t="shared" si="2"/>
        <v>0</v>
      </c>
      <c r="I296" s="11">
        <v>0.0</v>
      </c>
      <c r="J296" s="9">
        <f t="shared" si="12"/>
        <v>0</v>
      </c>
      <c r="K296" s="11">
        <v>0.0</v>
      </c>
      <c r="L296" s="11">
        <v>0.0</v>
      </c>
      <c r="M296" s="14">
        <f t="shared" si="3"/>
        <v>0</v>
      </c>
      <c r="N296" s="11">
        <v>0.0</v>
      </c>
      <c r="O296" s="14">
        <f t="shared" si="4"/>
        <v>0</v>
      </c>
      <c r="P296" s="11">
        <v>0.0</v>
      </c>
      <c r="Q296" s="15">
        <v>0.0</v>
      </c>
      <c r="R296" s="9">
        <v>10.0</v>
      </c>
      <c r="S296" s="16">
        <f t="shared" si="5"/>
        <v>0</v>
      </c>
      <c r="T296" s="17">
        <f t="shared" si="6"/>
        <v>0</v>
      </c>
      <c r="U296" s="14">
        <f t="shared" si="7"/>
        <v>-10</v>
      </c>
      <c r="V296" s="9" t="str">
        <f t="shared" si="8"/>
        <v>Low Performance</v>
      </c>
      <c r="W296" s="9"/>
    </row>
    <row r="297" ht="15.75" customHeight="1">
      <c r="A297" s="6">
        <v>46319.0</v>
      </c>
      <c r="B297" s="7" t="s">
        <v>41</v>
      </c>
      <c r="C297" s="9" t="s">
        <v>40</v>
      </c>
      <c r="D297" s="9" t="s">
        <v>27</v>
      </c>
      <c r="E297" s="10">
        <v>0.0</v>
      </c>
      <c r="F297" s="9">
        <f t="shared" si="1"/>
        <v>0</v>
      </c>
      <c r="G297" s="11">
        <v>0.0</v>
      </c>
      <c r="H297" s="9">
        <f t="shared" si="2"/>
        <v>0</v>
      </c>
      <c r="I297" s="11">
        <v>0.0</v>
      </c>
      <c r="J297" s="9">
        <f t="shared" si="12"/>
        <v>0</v>
      </c>
      <c r="K297" s="11">
        <v>0.0</v>
      </c>
      <c r="L297" s="11">
        <v>0.0</v>
      </c>
      <c r="M297" s="14">
        <f t="shared" si="3"/>
        <v>0</v>
      </c>
      <c r="N297" s="11">
        <v>0.0</v>
      </c>
      <c r="O297" s="14">
        <f t="shared" si="4"/>
        <v>0</v>
      </c>
      <c r="P297" s="11">
        <v>0.0</v>
      </c>
      <c r="Q297" s="15">
        <v>0.0</v>
      </c>
      <c r="R297" s="9">
        <v>10.0</v>
      </c>
      <c r="S297" s="16">
        <f t="shared" si="5"/>
        <v>0</v>
      </c>
      <c r="T297" s="17">
        <f t="shared" si="6"/>
        <v>0</v>
      </c>
      <c r="U297" s="14">
        <f t="shared" si="7"/>
        <v>-10</v>
      </c>
      <c r="V297" s="9" t="str">
        <f t="shared" si="8"/>
        <v>Low Performance</v>
      </c>
      <c r="W297" s="9"/>
    </row>
    <row r="298" ht="15.75" customHeight="1">
      <c r="A298" s="6">
        <v>46319.0</v>
      </c>
      <c r="B298" s="7" t="s">
        <v>42</v>
      </c>
      <c r="C298" s="9" t="s">
        <v>40</v>
      </c>
      <c r="D298" s="9" t="s">
        <v>27</v>
      </c>
      <c r="E298" s="10">
        <v>0.0</v>
      </c>
      <c r="F298" s="9">
        <f t="shared" si="1"/>
        <v>0</v>
      </c>
      <c r="G298" s="11">
        <v>0.0</v>
      </c>
      <c r="H298" s="9">
        <f t="shared" si="2"/>
        <v>0</v>
      </c>
      <c r="I298" s="11">
        <v>0.0</v>
      </c>
      <c r="J298" s="9">
        <f t="shared" si="12"/>
        <v>0</v>
      </c>
      <c r="K298" s="11">
        <v>0.0</v>
      </c>
      <c r="L298" s="11">
        <v>0.0</v>
      </c>
      <c r="M298" s="14">
        <f t="shared" si="3"/>
        <v>0</v>
      </c>
      <c r="N298" s="11">
        <v>0.0</v>
      </c>
      <c r="O298" s="14">
        <f t="shared" si="4"/>
        <v>0</v>
      </c>
      <c r="P298" s="11">
        <v>0.0</v>
      </c>
      <c r="Q298" s="15">
        <v>0.0</v>
      </c>
      <c r="R298" s="9">
        <v>10.0</v>
      </c>
      <c r="S298" s="16">
        <f t="shared" si="5"/>
        <v>0</v>
      </c>
      <c r="T298" s="17">
        <f t="shared" si="6"/>
        <v>0</v>
      </c>
      <c r="U298" s="14">
        <f t="shared" si="7"/>
        <v>-10</v>
      </c>
      <c r="V298" s="9" t="str">
        <f t="shared" si="8"/>
        <v>Low Performance</v>
      </c>
      <c r="W298" s="9"/>
    </row>
    <row r="299" ht="15.75" customHeight="1">
      <c r="A299" s="6">
        <v>46319.0</v>
      </c>
      <c r="B299" s="7" t="s">
        <v>43</v>
      </c>
      <c r="C299" s="9" t="s">
        <v>40</v>
      </c>
      <c r="D299" s="9" t="s">
        <v>27</v>
      </c>
      <c r="E299" s="10">
        <v>0.0</v>
      </c>
      <c r="F299" s="9">
        <f t="shared" si="1"/>
        <v>0</v>
      </c>
      <c r="G299" s="11">
        <v>0.0</v>
      </c>
      <c r="H299" s="9">
        <f t="shared" si="2"/>
        <v>0</v>
      </c>
      <c r="I299" s="11">
        <v>0.0</v>
      </c>
      <c r="J299" s="9">
        <f t="shared" si="12"/>
        <v>0</v>
      </c>
      <c r="K299" s="11">
        <v>0.0</v>
      </c>
      <c r="L299" s="11">
        <v>0.0</v>
      </c>
      <c r="M299" s="14">
        <f t="shared" si="3"/>
        <v>0</v>
      </c>
      <c r="N299" s="11">
        <v>0.0</v>
      </c>
      <c r="O299" s="14">
        <f t="shared" si="4"/>
        <v>0</v>
      </c>
      <c r="P299" s="11">
        <v>0.0</v>
      </c>
      <c r="Q299" s="15">
        <v>0.0</v>
      </c>
      <c r="R299" s="9">
        <v>10.0</v>
      </c>
      <c r="S299" s="16">
        <f t="shared" si="5"/>
        <v>0</v>
      </c>
      <c r="T299" s="17">
        <f t="shared" si="6"/>
        <v>0</v>
      </c>
      <c r="U299" s="14">
        <f t="shared" si="7"/>
        <v>-10</v>
      </c>
      <c r="V299" s="9" t="str">
        <f t="shared" si="8"/>
        <v>Low Performance</v>
      </c>
      <c r="W299" s="9"/>
    </row>
    <row r="300" ht="15.75" customHeight="1">
      <c r="A300" s="6">
        <v>46319.0</v>
      </c>
      <c r="B300" s="7" t="s">
        <v>45</v>
      </c>
      <c r="C300" s="18" t="s">
        <v>46</v>
      </c>
      <c r="D300" s="9" t="s">
        <v>27</v>
      </c>
      <c r="E300" s="10">
        <v>0.0</v>
      </c>
      <c r="F300" s="9">
        <f t="shared" si="1"/>
        <v>0</v>
      </c>
      <c r="G300" s="11">
        <v>0.0</v>
      </c>
      <c r="H300" s="9">
        <f t="shared" si="2"/>
        <v>0</v>
      </c>
      <c r="I300" s="11">
        <v>0.0</v>
      </c>
      <c r="J300" s="9">
        <f t="shared" si="12"/>
        <v>0</v>
      </c>
      <c r="K300" s="11">
        <v>0.0</v>
      </c>
      <c r="L300" s="11">
        <v>0.0</v>
      </c>
      <c r="M300" s="14">
        <f t="shared" si="3"/>
        <v>0</v>
      </c>
      <c r="N300" s="11">
        <v>0.0</v>
      </c>
      <c r="O300" s="14">
        <f t="shared" si="4"/>
        <v>0</v>
      </c>
      <c r="P300" s="11">
        <v>0.0</v>
      </c>
      <c r="Q300" s="15">
        <v>0.0</v>
      </c>
      <c r="R300" s="9">
        <v>10.0</v>
      </c>
      <c r="S300" s="16">
        <f t="shared" si="5"/>
        <v>0</v>
      </c>
      <c r="T300" s="17">
        <f t="shared" si="6"/>
        <v>0</v>
      </c>
      <c r="U300" s="14">
        <f t="shared" si="7"/>
        <v>-10</v>
      </c>
      <c r="V300" s="9" t="str">
        <f t="shared" si="8"/>
        <v>Low Performance</v>
      </c>
      <c r="W300" s="9"/>
    </row>
    <row r="301" ht="15.75" customHeight="1">
      <c r="A301" s="6">
        <v>46319.0</v>
      </c>
      <c r="B301" s="7" t="s">
        <v>49</v>
      </c>
      <c r="C301" s="18" t="s">
        <v>46</v>
      </c>
      <c r="D301" s="9" t="s">
        <v>27</v>
      </c>
      <c r="E301" s="10">
        <v>0.0</v>
      </c>
      <c r="F301" s="9">
        <f t="shared" si="1"/>
        <v>0</v>
      </c>
      <c r="G301" s="11">
        <v>0.0</v>
      </c>
      <c r="H301" s="9">
        <f t="shared" si="2"/>
        <v>0</v>
      </c>
      <c r="I301" s="11">
        <v>0.0</v>
      </c>
      <c r="J301" s="9">
        <f t="shared" si="12"/>
        <v>0</v>
      </c>
      <c r="K301" s="11">
        <v>0.0</v>
      </c>
      <c r="L301" s="11">
        <v>0.0</v>
      </c>
      <c r="M301" s="14">
        <f t="shared" si="3"/>
        <v>0</v>
      </c>
      <c r="N301" s="11">
        <v>0.0</v>
      </c>
      <c r="O301" s="14">
        <f t="shared" si="4"/>
        <v>0</v>
      </c>
      <c r="P301" s="11">
        <v>0.0</v>
      </c>
      <c r="Q301" s="15">
        <v>0.0</v>
      </c>
      <c r="R301" s="9">
        <v>10.0</v>
      </c>
      <c r="S301" s="16">
        <f t="shared" si="5"/>
        <v>0</v>
      </c>
      <c r="T301" s="17">
        <f t="shared" si="6"/>
        <v>0</v>
      </c>
      <c r="U301" s="14">
        <f t="shared" si="7"/>
        <v>-10</v>
      </c>
      <c r="V301" s="9" t="str">
        <f t="shared" si="8"/>
        <v>Low Performance</v>
      </c>
      <c r="W301" s="9"/>
    </row>
    <row r="302" ht="15.75" customHeight="1">
      <c r="A302" s="6">
        <v>46319.0</v>
      </c>
      <c r="B302" s="22" t="s">
        <v>50</v>
      </c>
      <c r="C302" s="23" t="s">
        <v>46</v>
      </c>
      <c r="D302" s="24" t="s">
        <v>27</v>
      </c>
      <c r="E302" s="10">
        <v>0.0</v>
      </c>
      <c r="F302" s="9">
        <f t="shared" si="1"/>
        <v>0</v>
      </c>
      <c r="G302" s="11">
        <v>0.0</v>
      </c>
      <c r="H302" s="9">
        <f t="shared" si="2"/>
        <v>0</v>
      </c>
      <c r="I302" s="11">
        <v>0.0</v>
      </c>
      <c r="J302" s="9">
        <f t="shared" si="12"/>
        <v>0</v>
      </c>
      <c r="K302" s="11">
        <v>0.0</v>
      </c>
      <c r="L302" s="11">
        <v>0.0</v>
      </c>
      <c r="M302" s="14">
        <f t="shared" si="3"/>
        <v>0</v>
      </c>
      <c r="N302" s="11">
        <v>0.0</v>
      </c>
      <c r="O302" s="14">
        <f t="shared" si="4"/>
        <v>0</v>
      </c>
      <c r="P302" s="11">
        <v>0.0</v>
      </c>
      <c r="Q302" s="15">
        <v>0.0</v>
      </c>
      <c r="R302" s="9">
        <v>10.0</v>
      </c>
      <c r="S302" s="16">
        <f t="shared" si="5"/>
        <v>0</v>
      </c>
      <c r="T302" s="17">
        <f t="shared" si="6"/>
        <v>0</v>
      </c>
      <c r="U302" s="14">
        <f t="shared" si="7"/>
        <v>-10</v>
      </c>
      <c r="V302" s="9" t="str">
        <f t="shared" si="8"/>
        <v>Low Performance</v>
      </c>
      <c r="W302" s="9"/>
    </row>
    <row r="303" ht="15.75" customHeight="1">
      <c r="A303" s="6">
        <v>46320.0</v>
      </c>
      <c r="B303" s="7" t="s">
        <v>25</v>
      </c>
      <c r="C303" s="8" t="s">
        <v>26</v>
      </c>
      <c r="D303" s="9" t="s">
        <v>27</v>
      </c>
      <c r="E303" s="10">
        <v>0.0</v>
      </c>
      <c r="F303" s="9">
        <f t="shared" si="1"/>
        <v>0</v>
      </c>
      <c r="G303" s="11">
        <v>0.0</v>
      </c>
      <c r="H303" s="9">
        <f t="shared" si="2"/>
        <v>0</v>
      </c>
      <c r="I303" s="11">
        <v>0.0</v>
      </c>
      <c r="J303" s="9">
        <f t="shared" si="12"/>
        <v>0</v>
      </c>
      <c r="K303" s="11">
        <v>0.0</v>
      </c>
      <c r="L303" s="11">
        <v>0.0</v>
      </c>
      <c r="M303" s="14">
        <f t="shared" si="3"/>
        <v>0</v>
      </c>
      <c r="N303" s="11">
        <v>0.0</v>
      </c>
      <c r="O303" s="14">
        <f t="shared" si="4"/>
        <v>0</v>
      </c>
      <c r="P303" s="11">
        <v>0.0</v>
      </c>
      <c r="Q303" s="15">
        <v>0.0</v>
      </c>
      <c r="R303" s="9">
        <v>10.0</v>
      </c>
      <c r="S303" s="16">
        <f t="shared" si="5"/>
        <v>0</v>
      </c>
      <c r="T303" s="17">
        <f t="shared" si="6"/>
        <v>0</v>
      </c>
      <c r="U303" s="14">
        <f t="shared" si="7"/>
        <v>-10</v>
      </c>
      <c r="V303" s="9" t="str">
        <f t="shared" si="8"/>
        <v>Low Performance</v>
      </c>
      <c r="W303" s="9"/>
    </row>
    <row r="304" ht="15.75" customHeight="1">
      <c r="A304" s="6">
        <v>46320.0</v>
      </c>
      <c r="B304" s="7" t="s">
        <v>30</v>
      </c>
      <c r="C304" s="18" t="s">
        <v>31</v>
      </c>
      <c r="D304" s="9" t="s">
        <v>27</v>
      </c>
      <c r="E304" s="10">
        <v>0.0</v>
      </c>
      <c r="F304" s="9">
        <f t="shared" si="1"/>
        <v>0</v>
      </c>
      <c r="G304" s="11">
        <v>0.0</v>
      </c>
      <c r="H304" s="9">
        <f t="shared" si="2"/>
        <v>0</v>
      </c>
      <c r="I304" s="11">
        <v>0.0</v>
      </c>
      <c r="J304" s="9">
        <f t="shared" si="12"/>
        <v>0</v>
      </c>
      <c r="K304" s="11">
        <v>0.0</v>
      </c>
      <c r="L304" s="11">
        <v>0.0</v>
      </c>
      <c r="M304" s="14">
        <f t="shared" si="3"/>
        <v>0</v>
      </c>
      <c r="N304" s="11">
        <v>0.0</v>
      </c>
      <c r="O304" s="14">
        <f t="shared" si="4"/>
        <v>0</v>
      </c>
      <c r="P304" s="11">
        <v>0.0</v>
      </c>
      <c r="Q304" s="15">
        <v>0.0</v>
      </c>
      <c r="R304" s="9">
        <v>10.0</v>
      </c>
      <c r="S304" s="16">
        <f t="shared" si="5"/>
        <v>0</v>
      </c>
      <c r="T304" s="17">
        <f t="shared" si="6"/>
        <v>0</v>
      </c>
      <c r="U304" s="14">
        <f t="shared" si="7"/>
        <v>-10</v>
      </c>
      <c r="V304" s="9" t="str">
        <f t="shared" si="8"/>
        <v>Low Performance</v>
      </c>
      <c r="W304" s="9"/>
    </row>
    <row r="305" ht="15.75" customHeight="1">
      <c r="A305" s="6">
        <v>46320.0</v>
      </c>
      <c r="B305" s="7" t="s">
        <v>32</v>
      </c>
      <c r="C305" s="18" t="s">
        <v>33</v>
      </c>
      <c r="D305" s="9" t="s">
        <v>27</v>
      </c>
      <c r="E305" s="10">
        <v>0.0</v>
      </c>
      <c r="F305" s="9">
        <f t="shared" si="1"/>
        <v>0</v>
      </c>
      <c r="G305" s="11">
        <v>0.0</v>
      </c>
      <c r="H305" s="9">
        <f t="shared" si="2"/>
        <v>0</v>
      </c>
      <c r="I305" s="11">
        <v>0.0</v>
      </c>
      <c r="J305" s="9">
        <f t="shared" si="12"/>
        <v>0</v>
      </c>
      <c r="K305" s="11">
        <v>0.0</v>
      </c>
      <c r="L305" s="11">
        <v>0.0</v>
      </c>
      <c r="M305" s="14">
        <f t="shared" si="3"/>
        <v>0</v>
      </c>
      <c r="N305" s="11">
        <v>0.0</v>
      </c>
      <c r="O305" s="14">
        <f t="shared" si="4"/>
        <v>0</v>
      </c>
      <c r="P305" s="11">
        <v>0.0</v>
      </c>
      <c r="Q305" s="15">
        <v>0.0</v>
      </c>
      <c r="R305" s="9">
        <v>10.0</v>
      </c>
      <c r="S305" s="16">
        <f t="shared" si="5"/>
        <v>0</v>
      </c>
      <c r="T305" s="17">
        <f t="shared" si="6"/>
        <v>0</v>
      </c>
      <c r="U305" s="14">
        <f t="shared" si="7"/>
        <v>-10</v>
      </c>
      <c r="V305" s="9" t="str">
        <f t="shared" si="8"/>
        <v>Low Performance</v>
      </c>
      <c r="W305" s="9"/>
    </row>
    <row r="306" ht="15.75" customHeight="1">
      <c r="A306" s="6">
        <v>46320.0</v>
      </c>
      <c r="B306" s="7" t="s">
        <v>34</v>
      </c>
      <c r="C306" s="18" t="s">
        <v>35</v>
      </c>
      <c r="D306" s="9" t="s">
        <v>27</v>
      </c>
      <c r="E306" s="10">
        <v>0.0</v>
      </c>
      <c r="F306" s="9">
        <f t="shared" si="1"/>
        <v>0</v>
      </c>
      <c r="G306" s="11">
        <v>0.0</v>
      </c>
      <c r="H306" s="9">
        <f t="shared" si="2"/>
        <v>0</v>
      </c>
      <c r="I306" s="11">
        <v>0.0</v>
      </c>
      <c r="J306" s="9">
        <f t="shared" si="12"/>
        <v>0</v>
      </c>
      <c r="K306" s="11">
        <v>0.0</v>
      </c>
      <c r="L306" s="11">
        <v>0.0</v>
      </c>
      <c r="M306" s="14">
        <f t="shared" si="3"/>
        <v>0</v>
      </c>
      <c r="N306" s="11">
        <v>0.0</v>
      </c>
      <c r="O306" s="14">
        <f t="shared" si="4"/>
        <v>0</v>
      </c>
      <c r="P306" s="11">
        <v>0.0</v>
      </c>
      <c r="Q306" s="15">
        <v>0.0</v>
      </c>
      <c r="R306" s="9">
        <v>10.0</v>
      </c>
      <c r="S306" s="16">
        <f t="shared" si="5"/>
        <v>0</v>
      </c>
      <c r="T306" s="17">
        <f t="shared" si="6"/>
        <v>0</v>
      </c>
      <c r="U306" s="14">
        <f t="shared" si="7"/>
        <v>-10</v>
      </c>
      <c r="V306" s="9" t="str">
        <f t="shared" si="8"/>
        <v>Low Performance</v>
      </c>
      <c r="W306" s="9"/>
    </row>
    <row r="307" ht="15.75" customHeight="1">
      <c r="A307" s="6">
        <v>46320.0</v>
      </c>
      <c r="B307" s="7" t="s">
        <v>28</v>
      </c>
      <c r="C307" s="9" t="s">
        <v>29</v>
      </c>
      <c r="D307" s="9" t="s">
        <v>27</v>
      </c>
      <c r="E307" s="10">
        <v>0.0</v>
      </c>
      <c r="F307" s="9">
        <f t="shared" si="1"/>
        <v>0</v>
      </c>
      <c r="G307" s="11">
        <v>0.0</v>
      </c>
      <c r="H307" s="9">
        <f t="shared" si="2"/>
        <v>0</v>
      </c>
      <c r="I307" s="11">
        <v>0.0</v>
      </c>
      <c r="J307" s="9">
        <f t="shared" si="12"/>
        <v>0</v>
      </c>
      <c r="K307" s="11">
        <v>0.0</v>
      </c>
      <c r="L307" s="11">
        <v>0.0</v>
      </c>
      <c r="M307" s="14">
        <f t="shared" si="3"/>
        <v>0</v>
      </c>
      <c r="N307" s="11">
        <v>0.0</v>
      </c>
      <c r="O307" s="14">
        <f t="shared" si="4"/>
        <v>0</v>
      </c>
      <c r="P307" s="11">
        <v>0.0</v>
      </c>
      <c r="Q307" s="15">
        <v>0.0</v>
      </c>
      <c r="R307" s="9">
        <v>10.0</v>
      </c>
      <c r="S307" s="16">
        <f t="shared" si="5"/>
        <v>0</v>
      </c>
      <c r="T307" s="17">
        <f t="shared" si="6"/>
        <v>0</v>
      </c>
      <c r="U307" s="14">
        <f t="shared" si="7"/>
        <v>-10</v>
      </c>
      <c r="V307" s="9" t="str">
        <f t="shared" si="8"/>
        <v>Low Performance</v>
      </c>
      <c r="W307" s="9"/>
    </row>
    <row r="308" ht="15.75" customHeight="1">
      <c r="A308" s="6">
        <v>46320.0</v>
      </c>
      <c r="B308" s="7" t="s">
        <v>36</v>
      </c>
      <c r="C308" s="9" t="s">
        <v>29</v>
      </c>
      <c r="D308" s="9" t="s">
        <v>27</v>
      </c>
      <c r="E308" s="10">
        <v>0.0</v>
      </c>
      <c r="F308" s="9">
        <f t="shared" si="1"/>
        <v>0</v>
      </c>
      <c r="G308" s="11">
        <v>0.0</v>
      </c>
      <c r="H308" s="9">
        <f t="shared" si="2"/>
        <v>0</v>
      </c>
      <c r="I308" s="11">
        <v>0.0</v>
      </c>
      <c r="J308" s="9">
        <f t="shared" si="12"/>
        <v>0</v>
      </c>
      <c r="K308" s="11">
        <v>0.0</v>
      </c>
      <c r="L308" s="11">
        <v>0.0</v>
      </c>
      <c r="M308" s="14">
        <f t="shared" si="3"/>
        <v>0</v>
      </c>
      <c r="N308" s="11">
        <v>0.0</v>
      </c>
      <c r="O308" s="14">
        <f t="shared" si="4"/>
        <v>0</v>
      </c>
      <c r="P308" s="11">
        <v>0.0</v>
      </c>
      <c r="Q308" s="15">
        <v>0.0</v>
      </c>
      <c r="R308" s="9">
        <v>10.0</v>
      </c>
      <c r="S308" s="16">
        <f t="shared" si="5"/>
        <v>0</v>
      </c>
      <c r="T308" s="17">
        <f t="shared" si="6"/>
        <v>0</v>
      </c>
      <c r="U308" s="14">
        <f t="shared" si="7"/>
        <v>-10</v>
      </c>
      <c r="V308" s="9" t="str">
        <f t="shared" si="8"/>
        <v>Low Performance</v>
      </c>
      <c r="W308" s="9"/>
    </row>
    <row r="309" ht="15.75" customHeight="1">
      <c r="A309" s="6">
        <v>46320.0</v>
      </c>
      <c r="B309" s="7" t="s">
        <v>37</v>
      </c>
      <c r="C309" s="9" t="s">
        <v>29</v>
      </c>
      <c r="D309" s="9" t="s">
        <v>27</v>
      </c>
      <c r="E309" s="10">
        <v>0.0</v>
      </c>
      <c r="F309" s="9">
        <f t="shared" si="1"/>
        <v>0</v>
      </c>
      <c r="G309" s="11">
        <v>0.0</v>
      </c>
      <c r="H309" s="9">
        <f t="shared" si="2"/>
        <v>0</v>
      </c>
      <c r="I309" s="11">
        <v>0.0</v>
      </c>
      <c r="J309" s="9">
        <f t="shared" si="12"/>
        <v>0</v>
      </c>
      <c r="K309" s="11">
        <v>0.0</v>
      </c>
      <c r="L309" s="11">
        <v>0.0</v>
      </c>
      <c r="M309" s="14">
        <f t="shared" si="3"/>
        <v>0</v>
      </c>
      <c r="N309" s="11">
        <v>0.0</v>
      </c>
      <c r="O309" s="14">
        <f t="shared" si="4"/>
        <v>0</v>
      </c>
      <c r="P309" s="11">
        <v>0.0</v>
      </c>
      <c r="Q309" s="15">
        <v>0.0</v>
      </c>
      <c r="R309" s="9">
        <v>10.0</v>
      </c>
      <c r="S309" s="16">
        <f t="shared" si="5"/>
        <v>0</v>
      </c>
      <c r="T309" s="17">
        <f t="shared" si="6"/>
        <v>0</v>
      </c>
      <c r="U309" s="14">
        <f t="shared" si="7"/>
        <v>-10</v>
      </c>
      <c r="V309" s="9" t="str">
        <f t="shared" si="8"/>
        <v>Low Performance</v>
      </c>
      <c r="W309" s="9"/>
    </row>
    <row r="310" ht="15.75" customHeight="1">
      <c r="A310" s="6">
        <v>46320.0</v>
      </c>
      <c r="B310" s="7" t="s">
        <v>38</v>
      </c>
      <c r="C310" s="9" t="s">
        <v>29</v>
      </c>
      <c r="D310" s="9" t="s">
        <v>27</v>
      </c>
      <c r="E310" s="10">
        <v>0.0</v>
      </c>
      <c r="F310" s="9">
        <f t="shared" si="1"/>
        <v>0</v>
      </c>
      <c r="G310" s="11">
        <v>0.0</v>
      </c>
      <c r="H310" s="9">
        <f t="shared" si="2"/>
        <v>0</v>
      </c>
      <c r="I310" s="11">
        <v>0.0</v>
      </c>
      <c r="J310" s="9">
        <f t="shared" si="12"/>
        <v>0</v>
      </c>
      <c r="K310" s="11">
        <v>0.0</v>
      </c>
      <c r="L310" s="11">
        <v>0.0</v>
      </c>
      <c r="M310" s="14">
        <f t="shared" si="3"/>
        <v>0</v>
      </c>
      <c r="N310" s="11">
        <v>0.0</v>
      </c>
      <c r="O310" s="14">
        <f t="shared" si="4"/>
        <v>0</v>
      </c>
      <c r="P310" s="11">
        <v>0.0</v>
      </c>
      <c r="Q310" s="15">
        <v>0.0</v>
      </c>
      <c r="R310" s="9">
        <v>10.0</v>
      </c>
      <c r="S310" s="16">
        <f t="shared" si="5"/>
        <v>0</v>
      </c>
      <c r="T310" s="17">
        <f t="shared" si="6"/>
        <v>0</v>
      </c>
      <c r="U310" s="14">
        <f t="shared" si="7"/>
        <v>-10</v>
      </c>
      <c r="V310" s="9" t="str">
        <f t="shared" si="8"/>
        <v>Low Performance</v>
      </c>
      <c r="W310" s="9"/>
    </row>
    <row r="311" ht="15.75" customHeight="1">
      <c r="A311" s="6">
        <v>46320.0</v>
      </c>
      <c r="B311" s="20" t="s">
        <v>39</v>
      </c>
      <c r="C311" s="9" t="s">
        <v>40</v>
      </c>
      <c r="D311" s="9" t="s">
        <v>27</v>
      </c>
      <c r="E311" s="10">
        <v>0.0</v>
      </c>
      <c r="F311" s="9">
        <f t="shared" si="1"/>
        <v>0</v>
      </c>
      <c r="G311" s="11">
        <v>0.0</v>
      </c>
      <c r="H311" s="9">
        <f t="shared" si="2"/>
        <v>0</v>
      </c>
      <c r="I311" s="11">
        <v>0.0</v>
      </c>
      <c r="J311" s="9">
        <f t="shared" si="12"/>
        <v>0</v>
      </c>
      <c r="K311" s="11">
        <v>0.0</v>
      </c>
      <c r="L311" s="11">
        <v>0.0</v>
      </c>
      <c r="M311" s="14">
        <f t="shared" si="3"/>
        <v>0</v>
      </c>
      <c r="N311" s="11">
        <v>0.0</v>
      </c>
      <c r="O311" s="14">
        <f t="shared" si="4"/>
        <v>0</v>
      </c>
      <c r="P311" s="11">
        <v>0.0</v>
      </c>
      <c r="Q311" s="15">
        <v>0.0</v>
      </c>
      <c r="R311" s="9">
        <v>10.0</v>
      </c>
      <c r="S311" s="16">
        <f t="shared" si="5"/>
        <v>0</v>
      </c>
      <c r="T311" s="17">
        <f t="shared" si="6"/>
        <v>0</v>
      </c>
      <c r="U311" s="14">
        <f t="shared" si="7"/>
        <v>-10</v>
      </c>
      <c r="V311" s="9" t="str">
        <f t="shared" si="8"/>
        <v>Low Performance</v>
      </c>
      <c r="W311" s="9"/>
    </row>
    <row r="312" ht="15.75" customHeight="1">
      <c r="A312" s="6">
        <v>46320.0</v>
      </c>
      <c r="B312" s="7" t="s">
        <v>41</v>
      </c>
      <c r="C312" s="9" t="s">
        <v>40</v>
      </c>
      <c r="D312" s="9" t="s">
        <v>27</v>
      </c>
      <c r="E312" s="10">
        <v>0.0</v>
      </c>
      <c r="F312" s="9">
        <f t="shared" si="1"/>
        <v>0</v>
      </c>
      <c r="G312" s="11">
        <v>0.0</v>
      </c>
      <c r="H312" s="9">
        <f t="shared" si="2"/>
        <v>0</v>
      </c>
      <c r="I312" s="11">
        <v>0.0</v>
      </c>
      <c r="J312" s="9">
        <f t="shared" si="12"/>
        <v>0</v>
      </c>
      <c r="K312" s="11">
        <v>0.0</v>
      </c>
      <c r="L312" s="11">
        <v>0.0</v>
      </c>
      <c r="M312" s="14">
        <f t="shared" si="3"/>
        <v>0</v>
      </c>
      <c r="N312" s="11">
        <v>0.0</v>
      </c>
      <c r="O312" s="14">
        <f t="shared" si="4"/>
        <v>0</v>
      </c>
      <c r="P312" s="11">
        <v>0.0</v>
      </c>
      <c r="Q312" s="15">
        <v>0.0</v>
      </c>
      <c r="R312" s="9">
        <v>10.0</v>
      </c>
      <c r="S312" s="16">
        <f t="shared" si="5"/>
        <v>0</v>
      </c>
      <c r="T312" s="17">
        <f t="shared" si="6"/>
        <v>0</v>
      </c>
      <c r="U312" s="14">
        <f t="shared" si="7"/>
        <v>-10</v>
      </c>
      <c r="V312" s="9" t="str">
        <f t="shared" si="8"/>
        <v>Low Performance</v>
      </c>
      <c r="W312" s="9"/>
    </row>
    <row r="313" ht="15.75" customHeight="1">
      <c r="A313" s="6">
        <v>46320.0</v>
      </c>
      <c r="B313" s="7" t="s">
        <v>42</v>
      </c>
      <c r="C313" s="9" t="s">
        <v>40</v>
      </c>
      <c r="D313" s="9" t="s">
        <v>27</v>
      </c>
      <c r="E313" s="10">
        <v>0.0</v>
      </c>
      <c r="F313" s="9">
        <f t="shared" si="1"/>
        <v>0</v>
      </c>
      <c r="G313" s="11">
        <v>0.0</v>
      </c>
      <c r="H313" s="9">
        <f t="shared" si="2"/>
        <v>0</v>
      </c>
      <c r="I313" s="11">
        <v>0.0</v>
      </c>
      <c r="J313" s="9">
        <f t="shared" si="12"/>
        <v>0</v>
      </c>
      <c r="K313" s="11">
        <v>0.0</v>
      </c>
      <c r="L313" s="11">
        <v>0.0</v>
      </c>
      <c r="M313" s="14">
        <f t="shared" si="3"/>
        <v>0</v>
      </c>
      <c r="N313" s="11">
        <v>0.0</v>
      </c>
      <c r="O313" s="14">
        <f t="shared" si="4"/>
        <v>0</v>
      </c>
      <c r="P313" s="11">
        <v>0.0</v>
      </c>
      <c r="Q313" s="15">
        <v>0.0</v>
      </c>
      <c r="R313" s="9">
        <v>10.0</v>
      </c>
      <c r="S313" s="16">
        <f t="shared" si="5"/>
        <v>0</v>
      </c>
      <c r="T313" s="17">
        <f t="shared" si="6"/>
        <v>0</v>
      </c>
      <c r="U313" s="14">
        <f t="shared" si="7"/>
        <v>-10</v>
      </c>
      <c r="V313" s="9" t="str">
        <f t="shared" si="8"/>
        <v>Low Performance</v>
      </c>
      <c r="W313" s="9"/>
    </row>
    <row r="314" ht="15.75" customHeight="1">
      <c r="A314" s="6">
        <v>46320.0</v>
      </c>
      <c r="B314" s="7" t="s">
        <v>43</v>
      </c>
      <c r="C314" s="9" t="s">
        <v>40</v>
      </c>
      <c r="D314" s="9" t="s">
        <v>27</v>
      </c>
      <c r="E314" s="10">
        <v>0.0</v>
      </c>
      <c r="F314" s="9">
        <f t="shared" si="1"/>
        <v>0</v>
      </c>
      <c r="G314" s="11">
        <v>0.0</v>
      </c>
      <c r="H314" s="9">
        <f t="shared" si="2"/>
        <v>0</v>
      </c>
      <c r="I314" s="11">
        <v>0.0</v>
      </c>
      <c r="J314" s="9">
        <f t="shared" si="12"/>
        <v>0</v>
      </c>
      <c r="K314" s="11">
        <v>0.0</v>
      </c>
      <c r="L314" s="11">
        <v>0.0</v>
      </c>
      <c r="M314" s="14">
        <f t="shared" si="3"/>
        <v>0</v>
      </c>
      <c r="N314" s="11">
        <v>0.0</v>
      </c>
      <c r="O314" s="14">
        <f t="shared" si="4"/>
        <v>0</v>
      </c>
      <c r="P314" s="11">
        <v>0.0</v>
      </c>
      <c r="Q314" s="15">
        <v>0.0</v>
      </c>
      <c r="R314" s="9">
        <v>10.0</v>
      </c>
      <c r="S314" s="16">
        <f t="shared" si="5"/>
        <v>0</v>
      </c>
      <c r="T314" s="17">
        <f t="shared" si="6"/>
        <v>0</v>
      </c>
      <c r="U314" s="14">
        <f t="shared" si="7"/>
        <v>-10</v>
      </c>
      <c r="V314" s="9" t="str">
        <f t="shared" si="8"/>
        <v>Low Performance</v>
      </c>
      <c r="W314" s="9"/>
    </row>
    <row r="315" ht="15.75" customHeight="1">
      <c r="A315" s="6">
        <v>46320.0</v>
      </c>
      <c r="B315" s="7" t="s">
        <v>45</v>
      </c>
      <c r="C315" s="18" t="s">
        <v>46</v>
      </c>
      <c r="D315" s="9" t="s">
        <v>27</v>
      </c>
      <c r="E315" s="10">
        <v>0.0</v>
      </c>
      <c r="F315" s="9">
        <f t="shared" si="1"/>
        <v>0</v>
      </c>
      <c r="G315" s="11">
        <v>0.0</v>
      </c>
      <c r="H315" s="9">
        <f t="shared" si="2"/>
        <v>0</v>
      </c>
      <c r="I315" s="11">
        <v>0.0</v>
      </c>
      <c r="J315" s="9">
        <f t="shared" si="12"/>
        <v>0</v>
      </c>
      <c r="K315" s="11">
        <v>0.0</v>
      </c>
      <c r="L315" s="11">
        <v>0.0</v>
      </c>
      <c r="M315" s="14">
        <f t="shared" si="3"/>
        <v>0</v>
      </c>
      <c r="N315" s="11">
        <v>0.0</v>
      </c>
      <c r="O315" s="14">
        <f t="shared" si="4"/>
        <v>0</v>
      </c>
      <c r="P315" s="11">
        <v>0.0</v>
      </c>
      <c r="Q315" s="15">
        <v>0.0</v>
      </c>
      <c r="R315" s="9">
        <v>10.0</v>
      </c>
      <c r="S315" s="16">
        <f t="shared" si="5"/>
        <v>0</v>
      </c>
      <c r="T315" s="17">
        <f t="shared" si="6"/>
        <v>0</v>
      </c>
      <c r="U315" s="14">
        <f t="shared" si="7"/>
        <v>-10</v>
      </c>
      <c r="V315" s="9" t="str">
        <f t="shared" si="8"/>
        <v>Low Performance</v>
      </c>
      <c r="W315" s="9"/>
    </row>
    <row r="316" ht="15.75" customHeight="1">
      <c r="A316" s="6">
        <v>46320.0</v>
      </c>
      <c r="B316" s="7" t="s">
        <v>49</v>
      </c>
      <c r="C316" s="18" t="s">
        <v>46</v>
      </c>
      <c r="D316" s="9" t="s">
        <v>27</v>
      </c>
      <c r="E316" s="10">
        <v>0.0</v>
      </c>
      <c r="F316" s="9">
        <f t="shared" si="1"/>
        <v>0</v>
      </c>
      <c r="G316" s="11">
        <v>0.0</v>
      </c>
      <c r="H316" s="9">
        <f t="shared" si="2"/>
        <v>0</v>
      </c>
      <c r="I316" s="11">
        <v>0.0</v>
      </c>
      <c r="J316" s="9">
        <f t="shared" si="12"/>
        <v>0</v>
      </c>
      <c r="K316" s="11">
        <v>0.0</v>
      </c>
      <c r="L316" s="11">
        <v>0.0</v>
      </c>
      <c r="M316" s="14">
        <f t="shared" si="3"/>
        <v>0</v>
      </c>
      <c r="N316" s="11">
        <v>0.0</v>
      </c>
      <c r="O316" s="14">
        <f t="shared" si="4"/>
        <v>0</v>
      </c>
      <c r="P316" s="11">
        <v>0.0</v>
      </c>
      <c r="Q316" s="15">
        <v>0.0</v>
      </c>
      <c r="R316" s="9">
        <v>10.0</v>
      </c>
      <c r="S316" s="16">
        <f t="shared" si="5"/>
        <v>0</v>
      </c>
      <c r="T316" s="17">
        <f t="shared" si="6"/>
        <v>0</v>
      </c>
      <c r="U316" s="14">
        <f t="shared" si="7"/>
        <v>-10</v>
      </c>
      <c r="V316" s="9" t="str">
        <f t="shared" si="8"/>
        <v>Low Performance</v>
      </c>
      <c r="W316" s="9"/>
    </row>
    <row r="317" ht="15.75" customHeight="1">
      <c r="A317" s="6">
        <v>46320.0</v>
      </c>
      <c r="B317" s="22" t="s">
        <v>50</v>
      </c>
      <c r="C317" s="23" t="s">
        <v>46</v>
      </c>
      <c r="D317" s="24" t="s">
        <v>27</v>
      </c>
      <c r="E317" s="10">
        <v>0.0</v>
      </c>
      <c r="F317" s="9">
        <f t="shared" si="1"/>
        <v>0</v>
      </c>
      <c r="G317" s="11">
        <v>0.0</v>
      </c>
      <c r="H317" s="9">
        <f t="shared" si="2"/>
        <v>0</v>
      </c>
      <c r="I317" s="11">
        <v>0.0</v>
      </c>
      <c r="J317" s="9">
        <f t="shared" si="12"/>
        <v>0</v>
      </c>
      <c r="K317" s="11">
        <v>0.0</v>
      </c>
      <c r="L317" s="11">
        <v>0.0</v>
      </c>
      <c r="M317" s="14">
        <f t="shared" si="3"/>
        <v>0</v>
      </c>
      <c r="N317" s="11">
        <v>0.0</v>
      </c>
      <c r="O317" s="14">
        <f t="shared" si="4"/>
        <v>0</v>
      </c>
      <c r="P317" s="11">
        <v>0.0</v>
      </c>
      <c r="Q317" s="15">
        <v>0.0</v>
      </c>
      <c r="R317" s="9">
        <v>10.0</v>
      </c>
      <c r="S317" s="16">
        <f t="shared" si="5"/>
        <v>0</v>
      </c>
      <c r="T317" s="17">
        <f t="shared" si="6"/>
        <v>0</v>
      </c>
      <c r="U317" s="14">
        <f t="shared" si="7"/>
        <v>-10</v>
      </c>
      <c r="V317" s="9" t="str">
        <f t="shared" si="8"/>
        <v>Low Performance</v>
      </c>
      <c r="W317" s="9"/>
    </row>
    <row r="318" ht="15.75" customHeight="1">
      <c r="A318" s="6">
        <v>46321.0</v>
      </c>
      <c r="B318" s="7" t="s">
        <v>25</v>
      </c>
      <c r="C318" s="8" t="s">
        <v>26</v>
      </c>
      <c r="D318" s="9" t="s">
        <v>27</v>
      </c>
      <c r="E318" s="10">
        <v>0.0</v>
      </c>
      <c r="F318" s="9">
        <f t="shared" si="1"/>
        <v>0</v>
      </c>
      <c r="G318" s="11">
        <v>0.0</v>
      </c>
      <c r="H318" s="9">
        <f t="shared" si="2"/>
        <v>0</v>
      </c>
      <c r="I318" s="11">
        <v>0.0</v>
      </c>
      <c r="J318" s="9">
        <f t="shared" si="12"/>
        <v>0</v>
      </c>
      <c r="K318" s="11">
        <v>0.0</v>
      </c>
      <c r="L318" s="11">
        <v>0.0</v>
      </c>
      <c r="M318" s="14">
        <f t="shared" si="3"/>
        <v>0</v>
      </c>
      <c r="N318" s="11">
        <v>0.0</v>
      </c>
      <c r="O318" s="14">
        <f t="shared" si="4"/>
        <v>0</v>
      </c>
      <c r="P318" s="11">
        <v>0.0</v>
      </c>
      <c r="Q318" s="15">
        <v>0.0</v>
      </c>
      <c r="R318" s="9">
        <v>10.0</v>
      </c>
      <c r="S318" s="16">
        <f t="shared" si="5"/>
        <v>0</v>
      </c>
      <c r="T318" s="17">
        <f t="shared" si="6"/>
        <v>0</v>
      </c>
      <c r="U318" s="14">
        <f t="shared" si="7"/>
        <v>-10</v>
      </c>
      <c r="V318" s="9" t="str">
        <f t="shared" si="8"/>
        <v>Low Performance</v>
      </c>
      <c r="W318" s="9"/>
    </row>
    <row r="319" ht="15.75" customHeight="1">
      <c r="A319" s="6">
        <v>46321.0</v>
      </c>
      <c r="B319" s="7" t="s">
        <v>30</v>
      </c>
      <c r="C319" s="18" t="s">
        <v>31</v>
      </c>
      <c r="D319" s="9" t="s">
        <v>27</v>
      </c>
      <c r="E319" s="10">
        <v>0.0</v>
      </c>
      <c r="F319" s="9">
        <f t="shared" si="1"/>
        <v>0</v>
      </c>
      <c r="G319" s="11">
        <v>0.0</v>
      </c>
      <c r="H319" s="9">
        <f t="shared" si="2"/>
        <v>0</v>
      </c>
      <c r="I319" s="11">
        <v>0.0</v>
      </c>
      <c r="J319" s="9">
        <f t="shared" si="12"/>
        <v>0</v>
      </c>
      <c r="K319" s="11">
        <v>0.0</v>
      </c>
      <c r="L319" s="11">
        <v>0.0</v>
      </c>
      <c r="M319" s="14">
        <f t="shared" si="3"/>
        <v>0</v>
      </c>
      <c r="N319" s="11">
        <v>0.0</v>
      </c>
      <c r="O319" s="14">
        <f t="shared" si="4"/>
        <v>0</v>
      </c>
      <c r="P319" s="11">
        <v>0.0</v>
      </c>
      <c r="Q319" s="15">
        <v>0.0</v>
      </c>
      <c r="R319" s="9">
        <v>10.0</v>
      </c>
      <c r="S319" s="16">
        <f t="shared" si="5"/>
        <v>0</v>
      </c>
      <c r="T319" s="17">
        <f t="shared" si="6"/>
        <v>0</v>
      </c>
      <c r="U319" s="14">
        <f t="shared" si="7"/>
        <v>-10</v>
      </c>
      <c r="V319" s="9" t="str">
        <f t="shared" si="8"/>
        <v>Low Performance</v>
      </c>
      <c r="W319" s="9"/>
    </row>
    <row r="320" ht="15.75" customHeight="1">
      <c r="A320" s="6">
        <v>46321.0</v>
      </c>
      <c r="B320" s="7" t="s">
        <v>32</v>
      </c>
      <c r="C320" s="18" t="s">
        <v>33</v>
      </c>
      <c r="D320" s="9" t="s">
        <v>27</v>
      </c>
      <c r="E320" s="10">
        <v>0.0</v>
      </c>
      <c r="F320" s="9">
        <f t="shared" si="1"/>
        <v>0</v>
      </c>
      <c r="G320" s="11">
        <v>0.0</v>
      </c>
      <c r="H320" s="9">
        <f t="shared" si="2"/>
        <v>0</v>
      </c>
      <c r="I320" s="11">
        <v>0.0</v>
      </c>
      <c r="J320" s="9">
        <f t="shared" si="12"/>
        <v>0</v>
      </c>
      <c r="K320" s="11">
        <v>0.0</v>
      </c>
      <c r="L320" s="11">
        <v>0.0</v>
      </c>
      <c r="M320" s="14">
        <f t="shared" si="3"/>
        <v>0</v>
      </c>
      <c r="N320" s="11">
        <v>0.0</v>
      </c>
      <c r="O320" s="14">
        <f t="shared" si="4"/>
        <v>0</v>
      </c>
      <c r="P320" s="11">
        <v>0.0</v>
      </c>
      <c r="Q320" s="15">
        <v>0.0</v>
      </c>
      <c r="R320" s="9">
        <v>10.0</v>
      </c>
      <c r="S320" s="16">
        <f t="shared" si="5"/>
        <v>0</v>
      </c>
      <c r="T320" s="17">
        <f t="shared" si="6"/>
        <v>0</v>
      </c>
      <c r="U320" s="14">
        <f t="shared" si="7"/>
        <v>-10</v>
      </c>
      <c r="V320" s="9" t="str">
        <f t="shared" si="8"/>
        <v>Low Performance</v>
      </c>
      <c r="W320" s="9"/>
    </row>
    <row r="321" ht="15.75" customHeight="1">
      <c r="A321" s="6">
        <v>46321.0</v>
      </c>
      <c r="B321" s="7" t="s">
        <v>34</v>
      </c>
      <c r="C321" s="18" t="s">
        <v>35</v>
      </c>
      <c r="D321" s="9" t="s">
        <v>27</v>
      </c>
      <c r="E321" s="10">
        <v>0.0</v>
      </c>
      <c r="F321" s="9">
        <f t="shared" si="1"/>
        <v>0</v>
      </c>
      <c r="G321" s="11">
        <v>0.0</v>
      </c>
      <c r="H321" s="9">
        <f t="shared" si="2"/>
        <v>0</v>
      </c>
      <c r="I321" s="11">
        <v>0.0</v>
      </c>
      <c r="J321" s="9">
        <f t="shared" si="12"/>
        <v>0</v>
      </c>
      <c r="K321" s="11">
        <v>0.0</v>
      </c>
      <c r="L321" s="11">
        <v>0.0</v>
      </c>
      <c r="M321" s="14">
        <f t="shared" si="3"/>
        <v>0</v>
      </c>
      <c r="N321" s="11">
        <v>0.0</v>
      </c>
      <c r="O321" s="14">
        <f t="shared" si="4"/>
        <v>0</v>
      </c>
      <c r="P321" s="11">
        <v>0.0</v>
      </c>
      <c r="Q321" s="15">
        <v>0.0</v>
      </c>
      <c r="R321" s="9">
        <v>10.0</v>
      </c>
      <c r="S321" s="16">
        <f t="shared" si="5"/>
        <v>0</v>
      </c>
      <c r="T321" s="17">
        <f t="shared" si="6"/>
        <v>0</v>
      </c>
      <c r="U321" s="14">
        <f t="shared" si="7"/>
        <v>-10</v>
      </c>
      <c r="V321" s="9" t="str">
        <f t="shared" si="8"/>
        <v>Low Performance</v>
      </c>
      <c r="W321" s="9"/>
    </row>
    <row r="322" ht="15.75" customHeight="1">
      <c r="A322" s="6">
        <v>46321.0</v>
      </c>
      <c r="B322" s="7" t="s">
        <v>28</v>
      </c>
      <c r="C322" s="9" t="s">
        <v>29</v>
      </c>
      <c r="D322" s="9" t="s">
        <v>27</v>
      </c>
      <c r="E322" s="10">
        <v>0.0</v>
      </c>
      <c r="F322" s="9">
        <f t="shared" si="1"/>
        <v>0</v>
      </c>
      <c r="G322" s="11">
        <v>0.0</v>
      </c>
      <c r="H322" s="9">
        <f t="shared" si="2"/>
        <v>0</v>
      </c>
      <c r="I322" s="11">
        <v>0.0</v>
      </c>
      <c r="J322" s="9">
        <f t="shared" si="12"/>
        <v>0</v>
      </c>
      <c r="K322" s="11">
        <v>0.0</v>
      </c>
      <c r="L322" s="11">
        <v>0.0</v>
      </c>
      <c r="M322" s="14">
        <f t="shared" si="3"/>
        <v>0</v>
      </c>
      <c r="N322" s="11">
        <v>0.0</v>
      </c>
      <c r="O322" s="14">
        <f t="shared" si="4"/>
        <v>0</v>
      </c>
      <c r="P322" s="11">
        <v>0.0</v>
      </c>
      <c r="Q322" s="15">
        <v>0.0</v>
      </c>
      <c r="R322" s="9">
        <v>10.0</v>
      </c>
      <c r="S322" s="16">
        <f t="shared" si="5"/>
        <v>0</v>
      </c>
      <c r="T322" s="17">
        <f t="shared" si="6"/>
        <v>0</v>
      </c>
      <c r="U322" s="14">
        <f t="shared" si="7"/>
        <v>-10</v>
      </c>
      <c r="V322" s="9" t="str">
        <f t="shared" si="8"/>
        <v>Low Performance</v>
      </c>
      <c r="W322" s="9"/>
    </row>
    <row r="323" ht="15.75" customHeight="1">
      <c r="A323" s="6">
        <v>46321.0</v>
      </c>
      <c r="B323" s="7" t="s">
        <v>36</v>
      </c>
      <c r="C323" s="9" t="s">
        <v>29</v>
      </c>
      <c r="D323" s="9" t="s">
        <v>27</v>
      </c>
      <c r="E323" s="10">
        <v>0.0</v>
      </c>
      <c r="F323" s="9">
        <f t="shared" si="1"/>
        <v>0</v>
      </c>
      <c r="G323" s="11">
        <v>0.0</v>
      </c>
      <c r="H323" s="9">
        <f t="shared" si="2"/>
        <v>0</v>
      </c>
      <c r="I323" s="11">
        <v>0.0</v>
      </c>
      <c r="J323" s="9">
        <f t="shared" si="12"/>
        <v>0</v>
      </c>
      <c r="K323" s="11">
        <v>0.0</v>
      </c>
      <c r="L323" s="11">
        <v>0.0</v>
      </c>
      <c r="M323" s="14">
        <f t="shared" si="3"/>
        <v>0</v>
      </c>
      <c r="N323" s="11">
        <v>0.0</v>
      </c>
      <c r="O323" s="14">
        <f t="shared" si="4"/>
        <v>0</v>
      </c>
      <c r="P323" s="11">
        <v>0.0</v>
      </c>
      <c r="Q323" s="15">
        <v>0.0</v>
      </c>
      <c r="R323" s="9">
        <v>10.0</v>
      </c>
      <c r="S323" s="16">
        <f t="shared" si="5"/>
        <v>0</v>
      </c>
      <c r="T323" s="17">
        <f t="shared" si="6"/>
        <v>0</v>
      </c>
      <c r="U323" s="14">
        <f t="shared" si="7"/>
        <v>-10</v>
      </c>
      <c r="V323" s="9" t="str">
        <f t="shared" si="8"/>
        <v>Low Performance</v>
      </c>
      <c r="W323" s="9"/>
    </row>
    <row r="324" ht="15.75" customHeight="1">
      <c r="A324" s="6">
        <v>46321.0</v>
      </c>
      <c r="B324" s="7" t="s">
        <v>37</v>
      </c>
      <c r="C324" s="9" t="s">
        <v>29</v>
      </c>
      <c r="D324" s="9" t="s">
        <v>27</v>
      </c>
      <c r="E324" s="10">
        <v>0.0</v>
      </c>
      <c r="F324" s="9">
        <f t="shared" si="1"/>
        <v>0</v>
      </c>
      <c r="G324" s="11">
        <v>0.0</v>
      </c>
      <c r="H324" s="9">
        <f t="shared" si="2"/>
        <v>0</v>
      </c>
      <c r="I324" s="11">
        <v>0.0</v>
      </c>
      <c r="J324" s="9">
        <f t="shared" si="12"/>
        <v>0</v>
      </c>
      <c r="K324" s="11">
        <v>0.0</v>
      </c>
      <c r="L324" s="11">
        <v>0.0</v>
      </c>
      <c r="M324" s="14">
        <f t="shared" si="3"/>
        <v>0</v>
      </c>
      <c r="N324" s="11">
        <v>0.0</v>
      </c>
      <c r="O324" s="14">
        <f t="shared" si="4"/>
        <v>0</v>
      </c>
      <c r="P324" s="11">
        <v>0.0</v>
      </c>
      <c r="Q324" s="15">
        <v>0.0</v>
      </c>
      <c r="R324" s="9">
        <v>10.0</v>
      </c>
      <c r="S324" s="16">
        <f t="shared" si="5"/>
        <v>0</v>
      </c>
      <c r="T324" s="17">
        <f t="shared" si="6"/>
        <v>0</v>
      </c>
      <c r="U324" s="14">
        <f t="shared" si="7"/>
        <v>-10</v>
      </c>
      <c r="V324" s="9" t="str">
        <f t="shared" si="8"/>
        <v>Low Performance</v>
      </c>
      <c r="W324" s="9"/>
    </row>
    <row r="325" ht="15.75" customHeight="1">
      <c r="A325" s="6">
        <v>46321.0</v>
      </c>
      <c r="B325" s="7" t="s">
        <v>38</v>
      </c>
      <c r="C325" s="9" t="s">
        <v>29</v>
      </c>
      <c r="D325" s="9" t="s">
        <v>27</v>
      </c>
      <c r="E325" s="10">
        <v>0.0</v>
      </c>
      <c r="F325" s="9">
        <f t="shared" si="1"/>
        <v>0</v>
      </c>
      <c r="G325" s="11">
        <v>0.0</v>
      </c>
      <c r="H325" s="9">
        <f t="shared" si="2"/>
        <v>0</v>
      </c>
      <c r="I325" s="11">
        <v>0.0</v>
      </c>
      <c r="J325" s="9">
        <f t="shared" si="12"/>
        <v>0</v>
      </c>
      <c r="K325" s="11">
        <v>0.0</v>
      </c>
      <c r="L325" s="11">
        <v>0.0</v>
      </c>
      <c r="M325" s="14">
        <f t="shared" si="3"/>
        <v>0</v>
      </c>
      <c r="N325" s="11">
        <v>0.0</v>
      </c>
      <c r="O325" s="14">
        <f t="shared" si="4"/>
        <v>0</v>
      </c>
      <c r="P325" s="11">
        <v>0.0</v>
      </c>
      <c r="Q325" s="15">
        <v>0.0</v>
      </c>
      <c r="R325" s="9">
        <v>10.0</v>
      </c>
      <c r="S325" s="16">
        <f t="shared" si="5"/>
        <v>0</v>
      </c>
      <c r="T325" s="17">
        <f t="shared" si="6"/>
        <v>0</v>
      </c>
      <c r="U325" s="14">
        <f t="shared" si="7"/>
        <v>-10</v>
      </c>
      <c r="V325" s="9" t="str">
        <f t="shared" si="8"/>
        <v>Low Performance</v>
      </c>
      <c r="W325" s="9"/>
    </row>
    <row r="326" ht="15.75" customHeight="1">
      <c r="A326" s="6">
        <v>46321.0</v>
      </c>
      <c r="B326" s="20" t="s">
        <v>39</v>
      </c>
      <c r="C326" s="9" t="s">
        <v>40</v>
      </c>
      <c r="D326" s="9" t="s">
        <v>27</v>
      </c>
      <c r="E326" s="10">
        <v>0.0</v>
      </c>
      <c r="F326" s="9">
        <f t="shared" si="1"/>
        <v>0</v>
      </c>
      <c r="G326" s="11">
        <v>0.0</v>
      </c>
      <c r="H326" s="9">
        <f t="shared" si="2"/>
        <v>0</v>
      </c>
      <c r="I326" s="11">
        <v>0.0</v>
      </c>
      <c r="J326" s="9">
        <f t="shared" si="12"/>
        <v>0</v>
      </c>
      <c r="K326" s="11">
        <v>0.0</v>
      </c>
      <c r="L326" s="11">
        <v>0.0</v>
      </c>
      <c r="M326" s="14">
        <f t="shared" si="3"/>
        <v>0</v>
      </c>
      <c r="N326" s="11">
        <v>0.0</v>
      </c>
      <c r="O326" s="14">
        <f t="shared" si="4"/>
        <v>0</v>
      </c>
      <c r="P326" s="11">
        <v>0.0</v>
      </c>
      <c r="Q326" s="15">
        <v>0.0</v>
      </c>
      <c r="R326" s="9">
        <v>10.0</v>
      </c>
      <c r="S326" s="16">
        <f t="shared" si="5"/>
        <v>0</v>
      </c>
      <c r="T326" s="17">
        <f t="shared" si="6"/>
        <v>0</v>
      </c>
      <c r="U326" s="14">
        <f t="shared" si="7"/>
        <v>-10</v>
      </c>
      <c r="V326" s="9" t="str">
        <f t="shared" si="8"/>
        <v>Low Performance</v>
      </c>
      <c r="W326" s="9"/>
    </row>
    <row r="327" ht="15.75" customHeight="1">
      <c r="A327" s="6">
        <v>46321.0</v>
      </c>
      <c r="B327" s="7" t="s">
        <v>41</v>
      </c>
      <c r="C327" s="9" t="s">
        <v>40</v>
      </c>
      <c r="D327" s="9" t="s">
        <v>27</v>
      </c>
      <c r="E327" s="10">
        <v>0.0</v>
      </c>
      <c r="F327" s="9">
        <f t="shared" si="1"/>
        <v>0</v>
      </c>
      <c r="G327" s="11">
        <v>0.0</v>
      </c>
      <c r="H327" s="9">
        <f t="shared" si="2"/>
        <v>0</v>
      </c>
      <c r="I327" s="11">
        <v>0.0</v>
      </c>
      <c r="J327" s="9">
        <f t="shared" si="12"/>
        <v>0</v>
      </c>
      <c r="K327" s="11">
        <v>0.0</v>
      </c>
      <c r="L327" s="11">
        <v>0.0</v>
      </c>
      <c r="M327" s="14">
        <f t="shared" si="3"/>
        <v>0</v>
      </c>
      <c r="N327" s="11">
        <v>0.0</v>
      </c>
      <c r="O327" s="14">
        <f t="shared" si="4"/>
        <v>0</v>
      </c>
      <c r="P327" s="11">
        <v>0.0</v>
      </c>
      <c r="Q327" s="15">
        <v>0.0</v>
      </c>
      <c r="R327" s="9">
        <v>10.0</v>
      </c>
      <c r="S327" s="16">
        <f t="shared" si="5"/>
        <v>0</v>
      </c>
      <c r="T327" s="17">
        <f t="shared" si="6"/>
        <v>0</v>
      </c>
      <c r="U327" s="14">
        <f t="shared" si="7"/>
        <v>-10</v>
      </c>
      <c r="V327" s="9" t="str">
        <f t="shared" si="8"/>
        <v>Low Performance</v>
      </c>
      <c r="W327" s="9"/>
    </row>
    <row r="328" ht="15.75" customHeight="1">
      <c r="A328" s="6">
        <v>46321.0</v>
      </c>
      <c r="B328" s="7" t="s">
        <v>42</v>
      </c>
      <c r="C328" s="9" t="s">
        <v>40</v>
      </c>
      <c r="D328" s="9" t="s">
        <v>27</v>
      </c>
      <c r="E328" s="10">
        <v>0.0</v>
      </c>
      <c r="F328" s="9">
        <f t="shared" si="1"/>
        <v>0</v>
      </c>
      <c r="G328" s="11">
        <v>0.0</v>
      </c>
      <c r="H328" s="9">
        <f t="shared" si="2"/>
        <v>0</v>
      </c>
      <c r="I328" s="11">
        <v>0.0</v>
      </c>
      <c r="J328" s="9">
        <f t="shared" si="12"/>
        <v>0</v>
      </c>
      <c r="K328" s="11">
        <v>0.0</v>
      </c>
      <c r="L328" s="11">
        <v>0.0</v>
      </c>
      <c r="M328" s="14">
        <f t="shared" si="3"/>
        <v>0</v>
      </c>
      <c r="N328" s="11">
        <v>0.0</v>
      </c>
      <c r="O328" s="14">
        <f t="shared" si="4"/>
        <v>0</v>
      </c>
      <c r="P328" s="11">
        <v>0.0</v>
      </c>
      <c r="Q328" s="15">
        <v>0.0</v>
      </c>
      <c r="R328" s="9">
        <v>10.0</v>
      </c>
      <c r="S328" s="16">
        <f t="shared" si="5"/>
        <v>0</v>
      </c>
      <c r="T328" s="17">
        <f t="shared" si="6"/>
        <v>0</v>
      </c>
      <c r="U328" s="14">
        <f t="shared" si="7"/>
        <v>-10</v>
      </c>
      <c r="V328" s="9" t="str">
        <f t="shared" si="8"/>
        <v>Low Performance</v>
      </c>
      <c r="W328" s="9"/>
    </row>
    <row r="329" ht="15.75" customHeight="1">
      <c r="A329" s="6">
        <v>46321.0</v>
      </c>
      <c r="B329" s="7" t="s">
        <v>43</v>
      </c>
      <c r="C329" s="9" t="s">
        <v>40</v>
      </c>
      <c r="D329" s="9" t="s">
        <v>27</v>
      </c>
      <c r="E329" s="10">
        <v>0.0</v>
      </c>
      <c r="F329" s="9">
        <f t="shared" si="1"/>
        <v>0</v>
      </c>
      <c r="G329" s="11">
        <v>0.0</v>
      </c>
      <c r="H329" s="9">
        <f t="shared" si="2"/>
        <v>0</v>
      </c>
      <c r="I329" s="11">
        <v>0.0</v>
      </c>
      <c r="J329" s="9">
        <f t="shared" si="12"/>
        <v>0</v>
      </c>
      <c r="K329" s="11">
        <v>0.0</v>
      </c>
      <c r="L329" s="11">
        <v>0.0</v>
      </c>
      <c r="M329" s="14">
        <f t="shared" si="3"/>
        <v>0</v>
      </c>
      <c r="N329" s="11">
        <v>0.0</v>
      </c>
      <c r="O329" s="14">
        <f t="shared" si="4"/>
        <v>0</v>
      </c>
      <c r="P329" s="11">
        <v>0.0</v>
      </c>
      <c r="Q329" s="15">
        <v>0.0</v>
      </c>
      <c r="R329" s="9">
        <v>10.0</v>
      </c>
      <c r="S329" s="16">
        <f t="shared" si="5"/>
        <v>0</v>
      </c>
      <c r="T329" s="17">
        <f t="shared" si="6"/>
        <v>0</v>
      </c>
      <c r="U329" s="14">
        <f t="shared" si="7"/>
        <v>-10</v>
      </c>
      <c r="V329" s="9" t="str">
        <f t="shared" si="8"/>
        <v>Low Performance</v>
      </c>
      <c r="W329" s="9"/>
    </row>
    <row r="330" ht="15.75" customHeight="1">
      <c r="A330" s="6">
        <v>46321.0</v>
      </c>
      <c r="B330" s="7" t="s">
        <v>45</v>
      </c>
      <c r="C330" s="18" t="s">
        <v>46</v>
      </c>
      <c r="D330" s="9" t="s">
        <v>27</v>
      </c>
      <c r="E330" s="10">
        <v>0.0</v>
      </c>
      <c r="F330" s="9">
        <f t="shared" si="1"/>
        <v>0</v>
      </c>
      <c r="G330" s="11">
        <v>0.0</v>
      </c>
      <c r="H330" s="9">
        <f t="shared" si="2"/>
        <v>0</v>
      </c>
      <c r="I330" s="11">
        <v>0.0</v>
      </c>
      <c r="J330" s="9">
        <f t="shared" si="12"/>
        <v>0</v>
      </c>
      <c r="K330" s="11">
        <v>0.0</v>
      </c>
      <c r="L330" s="11">
        <v>0.0</v>
      </c>
      <c r="M330" s="14">
        <f t="shared" si="3"/>
        <v>0</v>
      </c>
      <c r="N330" s="11">
        <v>0.0</v>
      </c>
      <c r="O330" s="14">
        <f t="shared" si="4"/>
        <v>0</v>
      </c>
      <c r="P330" s="11">
        <v>0.0</v>
      </c>
      <c r="Q330" s="15">
        <v>0.0</v>
      </c>
      <c r="R330" s="9">
        <v>10.0</v>
      </c>
      <c r="S330" s="16">
        <f t="shared" si="5"/>
        <v>0</v>
      </c>
      <c r="T330" s="17">
        <f t="shared" si="6"/>
        <v>0</v>
      </c>
      <c r="U330" s="14">
        <f t="shared" si="7"/>
        <v>-10</v>
      </c>
      <c r="V330" s="9" t="str">
        <f t="shared" si="8"/>
        <v>Low Performance</v>
      </c>
      <c r="W330" s="9"/>
    </row>
    <row r="331" ht="15.75" customHeight="1">
      <c r="A331" s="6">
        <v>46321.0</v>
      </c>
      <c r="B331" s="7" t="s">
        <v>49</v>
      </c>
      <c r="C331" s="18" t="s">
        <v>46</v>
      </c>
      <c r="D331" s="9" t="s">
        <v>27</v>
      </c>
      <c r="E331" s="10">
        <v>0.0</v>
      </c>
      <c r="F331" s="9">
        <f t="shared" si="1"/>
        <v>0</v>
      </c>
      <c r="G331" s="11">
        <v>0.0</v>
      </c>
      <c r="H331" s="9">
        <f t="shared" si="2"/>
        <v>0</v>
      </c>
      <c r="I331" s="11">
        <v>0.0</v>
      </c>
      <c r="J331" s="9">
        <f t="shared" si="12"/>
        <v>0</v>
      </c>
      <c r="K331" s="11">
        <v>0.0</v>
      </c>
      <c r="L331" s="11">
        <v>0.0</v>
      </c>
      <c r="M331" s="14">
        <f t="shared" si="3"/>
        <v>0</v>
      </c>
      <c r="N331" s="11">
        <v>0.0</v>
      </c>
      <c r="O331" s="14">
        <f t="shared" si="4"/>
        <v>0</v>
      </c>
      <c r="P331" s="11">
        <v>0.0</v>
      </c>
      <c r="Q331" s="15">
        <v>0.0</v>
      </c>
      <c r="R331" s="9">
        <v>10.0</v>
      </c>
      <c r="S331" s="16">
        <f t="shared" si="5"/>
        <v>0</v>
      </c>
      <c r="T331" s="17">
        <f t="shared" si="6"/>
        <v>0</v>
      </c>
      <c r="U331" s="14">
        <f t="shared" si="7"/>
        <v>-10</v>
      </c>
      <c r="V331" s="9" t="str">
        <f t="shared" si="8"/>
        <v>Low Performance</v>
      </c>
      <c r="W331" s="9"/>
    </row>
    <row r="332" ht="15.75" customHeight="1">
      <c r="A332" s="6">
        <v>46321.0</v>
      </c>
      <c r="B332" s="22" t="s">
        <v>50</v>
      </c>
      <c r="C332" s="23" t="s">
        <v>46</v>
      </c>
      <c r="D332" s="24" t="s">
        <v>27</v>
      </c>
      <c r="E332" s="10">
        <v>0.0</v>
      </c>
      <c r="F332" s="9">
        <f t="shared" si="1"/>
        <v>0</v>
      </c>
      <c r="G332" s="11">
        <v>0.0</v>
      </c>
      <c r="H332" s="9">
        <f t="shared" si="2"/>
        <v>0</v>
      </c>
      <c r="I332" s="11">
        <v>0.0</v>
      </c>
      <c r="J332" s="9">
        <f t="shared" si="12"/>
        <v>0</v>
      </c>
      <c r="K332" s="11">
        <v>0.0</v>
      </c>
      <c r="L332" s="11">
        <v>0.0</v>
      </c>
      <c r="M332" s="14">
        <f t="shared" si="3"/>
        <v>0</v>
      </c>
      <c r="N332" s="11">
        <v>0.0</v>
      </c>
      <c r="O332" s="14">
        <f t="shared" si="4"/>
        <v>0</v>
      </c>
      <c r="P332" s="11">
        <v>0.0</v>
      </c>
      <c r="Q332" s="15">
        <v>0.0</v>
      </c>
      <c r="R332" s="9">
        <v>10.0</v>
      </c>
      <c r="S332" s="16">
        <f t="shared" si="5"/>
        <v>0</v>
      </c>
      <c r="T332" s="17">
        <f t="shared" si="6"/>
        <v>0</v>
      </c>
      <c r="U332" s="14">
        <f t="shared" si="7"/>
        <v>-10</v>
      </c>
      <c r="V332" s="9" t="str">
        <f t="shared" si="8"/>
        <v>Low Performance</v>
      </c>
      <c r="W332" s="9"/>
    </row>
    <row r="333" ht="15.75" customHeight="1">
      <c r="A333" s="6">
        <v>46322.0</v>
      </c>
      <c r="B333" s="7" t="s">
        <v>25</v>
      </c>
      <c r="C333" s="8" t="s">
        <v>26</v>
      </c>
      <c r="D333" s="9" t="s">
        <v>27</v>
      </c>
      <c r="E333" s="10">
        <v>0.0</v>
      </c>
      <c r="F333" s="9">
        <f t="shared" si="1"/>
        <v>0</v>
      </c>
      <c r="G333" s="11">
        <v>0.0</v>
      </c>
      <c r="H333" s="9">
        <f t="shared" si="2"/>
        <v>0</v>
      </c>
      <c r="I333" s="11">
        <v>0.0</v>
      </c>
      <c r="J333" s="9">
        <f t="shared" si="12"/>
        <v>0</v>
      </c>
      <c r="K333" s="11">
        <v>0.0</v>
      </c>
      <c r="L333" s="11">
        <v>0.0</v>
      </c>
      <c r="M333" s="14">
        <f t="shared" si="3"/>
        <v>0</v>
      </c>
      <c r="N333" s="11">
        <v>0.0</v>
      </c>
      <c r="O333" s="14">
        <f t="shared" si="4"/>
        <v>0</v>
      </c>
      <c r="P333" s="11">
        <v>0.0</v>
      </c>
      <c r="Q333" s="15">
        <v>0.0</v>
      </c>
      <c r="R333" s="9">
        <v>10.0</v>
      </c>
      <c r="S333" s="16">
        <f t="shared" si="5"/>
        <v>0</v>
      </c>
      <c r="T333" s="17">
        <f t="shared" si="6"/>
        <v>0</v>
      </c>
      <c r="U333" s="14">
        <f t="shared" si="7"/>
        <v>-10</v>
      </c>
      <c r="V333" s="9" t="str">
        <f t="shared" si="8"/>
        <v>Low Performance</v>
      </c>
      <c r="W333" s="9"/>
    </row>
    <row r="334" ht="15.75" customHeight="1">
      <c r="A334" s="6">
        <v>46322.0</v>
      </c>
      <c r="B334" s="7" t="s">
        <v>30</v>
      </c>
      <c r="C334" s="18" t="s">
        <v>31</v>
      </c>
      <c r="D334" s="9" t="s">
        <v>27</v>
      </c>
      <c r="E334" s="10">
        <v>0.0</v>
      </c>
      <c r="F334" s="9">
        <f t="shared" si="1"/>
        <v>0</v>
      </c>
      <c r="G334" s="11">
        <v>0.0</v>
      </c>
      <c r="H334" s="9">
        <f t="shared" si="2"/>
        <v>0</v>
      </c>
      <c r="I334" s="11">
        <v>0.0</v>
      </c>
      <c r="J334" s="9">
        <f t="shared" si="12"/>
        <v>0</v>
      </c>
      <c r="K334" s="11">
        <v>0.0</v>
      </c>
      <c r="L334" s="11">
        <v>0.0</v>
      </c>
      <c r="M334" s="14">
        <f t="shared" si="3"/>
        <v>0</v>
      </c>
      <c r="N334" s="11">
        <v>0.0</v>
      </c>
      <c r="O334" s="14">
        <f t="shared" si="4"/>
        <v>0</v>
      </c>
      <c r="P334" s="11">
        <v>0.0</v>
      </c>
      <c r="Q334" s="15">
        <v>0.0</v>
      </c>
      <c r="R334" s="9">
        <v>10.0</v>
      </c>
      <c r="S334" s="16">
        <f t="shared" si="5"/>
        <v>0</v>
      </c>
      <c r="T334" s="17">
        <f t="shared" si="6"/>
        <v>0</v>
      </c>
      <c r="U334" s="14">
        <f t="shared" si="7"/>
        <v>-10</v>
      </c>
      <c r="V334" s="9" t="str">
        <f t="shared" si="8"/>
        <v>Low Performance</v>
      </c>
      <c r="W334" s="9"/>
    </row>
    <row r="335" ht="15.75" customHeight="1">
      <c r="A335" s="6">
        <v>46322.0</v>
      </c>
      <c r="B335" s="7" t="s">
        <v>32</v>
      </c>
      <c r="C335" s="18" t="s">
        <v>33</v>
      </c>
      <c r="D335" s="9" t="s">
        <v>27</v>
      </c>
      <c r="E335" s="10">
        <v>0.0</v>
      </c>
      <c r="F335" s="9">
        <f t="shared" si="1"/>
        <v>0</v>
      </c>
      <c r="G335" s="11">
        <v>0.0</v>
      </c>
      <c r="H335" s="9">
        <f t="shared" si="2"/>
        <v>0</v>
      </c>
      <c r="I335" s="11">
        <v>0.0</v>
      </c>
      <c r="J335" s="9">
        <f t="shared" si="12"/>
        <v>0</v>
      </c>
      <c r="K335" s="11">
        <v>0.0</v>
      </c>
      <c r="L335" s="11">
        <v>0.0</v>
      </c>
      <c r="M335" s="14">
        <f t="shared" si="3"/>
        <v>0</v>
      </c>
      <c r="N335" s="11">
        <v>0.0</v>
      </c>
      <c r="O335" s="14">
        <f t="shared" si="4"/>
        <v>0</v>
      </c>
      <c r="P335" s="11">
        <v>0.0</v>
      </c>
      <c r="Q335" s="15">
        <v>0.0</v>
      </c>
      <c r="R335" s="9">
        <v>10.0</v>
      </c>
      <c r="S335" s="16">
        <f t="shared" si="5"/>
        <v>0</v>
      </c>
      <c r="T335" s="17">
        <f t="shared" si="6"/>
        <v>0</v>
      </c>
      <c r="U335" s="14">
        <f t="shared" si="7"/>
        <v>-10</v>
      </c>
      <c r="V335" s="9" t="str">
        <f t="shared" si="8"/>
        <v>Low Performance</v>
      </c>
      <c r="W335" s="9"/>
    </row>
    <row r="336" ht="15.75" customHeight="1">
      <c r="A336" s="6">
        <v>46322.0</v>
      </c>
      <c r="B336" s="7" t="s">
        <v>34</v>
      </c>
      <c r="C336" s="18" t="s">
        <v>35</v>
      </c>
      <c r="D336" s="9" t="s">
        <v>27</v>
      </c>
      <c r="E336" s="10">
        <v>0.0</v>
      </c>
      <c r="F336" s="9">
        <f t="shared" si="1"/>
        <v>0</v>
      </c>
      <c r="G336" s="11">
        <v>0.0</v>
      </c>
      <c r="H336" s="9">
        <f t="shared" si="2"/>
        <v>0</v>
      </c>
      <c r="I336" s="11">
        <v>0.0</v>
      </c>
      <c r="J336" s="9">
        <f t="shared" si="12"/>
        <v>0</v>
      </c>
      <c r="K336" s="11">
        <v>0.0</v>
      </c>
      <c r="L336" s="11">
        <v>0.0</v>
      </c>
      <c r="M336" s="14">
        <f t="shared" si="3"/>
        <v>0</v>
      </c>
      <c r="N336" s="11">
        <v>0.0</v>
      </c>
      <c r="O336" s="14">
        <f t="shared" si="4"/>
        <v>0</v>
      </c>
      <c r="P336" s="11">
        <v>0.0</v>
      </c>
      <c r="Q336" s="15">
        <v>0.0</v>
      </c>
      <c r="R336" s="9">
        <v>10.0</v>
      </c>
      <c r="S336" s="16">
        <f t="shared" si="5"/>
        <v>0</v>
      </c>
      <c r="T336" s="17">
        <f t="shared" si="6"/>
        <v>0</v>
      </c>
      <c r="U336" s="14">
        <f t="shared" si="7"/>
        <v>-10</v>
      </c>
      <c r="V336" s="9" t="str">
        <f t="shared" si="8"/>
        <v>Low Performance</v>
      </c>
      <c r="W336" s="9"/>
    </row>
    <row r="337" ht="15.75" customHeight="1">
      <c r="A337" s="6">
        <v>46322.0</v>
      </c>
      <c r="B337" s="7" t="s">
        <v>28</v>
      </c>
      <c r="C337" s="9" t="s">
        <v>29</v>
      </c>
      <c r="D337" s="9" t="s">
        <v>27</v>
      </c>
      <c r="E337" s="10">
        <v>0.0</v>
      </c>
      <c r="F337" s="9">
        <f t="shared" si="1"/>
        <v>0</v>
      </c>
      <c r="G337" s="11">
        <v>0.0</v>
      </c>
      <c r="H337" s="9">
        <f t="shared" si="2"/>
        <v>0</v>
      </c>
      <c r="I337" s="11">
        <v>0.0</v>
      </c>
      <c r="J337" s="9">
        <f t="shared" si="12"/>
        <v>0</v>
      </c>
      <c r="K337" s="11">
        <v>0.0</v>
      </c>
      <c r="L337" s="11">
        <v>0.0</v>
      </c>
      <c r="M337" s="14">
        <f t="shared" si="3"/>
        <v>0</v>
      </c>
      <c r="N337" s="11">
        <v>0.0</v>
      </c>
      <c r="O337" s="14">
        <f t="shared" si="4"/>
        <v>0</v>
      </c>
      <c r="P337" s="11">
        <v>0.0</v>
      </c>
      <c r="Q337" s="15">
        <v>0.0</v>
      </c>
      <c r="R337" s="9">
        <v>10.0</v>
      </c>
      <c r="S337" s="16">
        <f t="shared" si="5"/>
        <v>0</v>
      </c>
      <c r="T337" s="17">
        <f t="shared" si="6"/>
        <v>0</v>
      </c>
      <c r="U337" s="14">
        <f t="shared" si="7"/>
        <v>-10</v>
      </c>
      <c r="V337" s="9" t="str">
        <f t="shared" si="8"/>
        <v>Low Performance</v>
      </c>
      <c r="W337" s="9"/>
    </row>
    <row r="338" ht="15.75" customHeight="1">
      <c r="A338" s="6">
        <v>46322.0</v>
      </c>
      <c r="B338" s="7" t="s">
        <v>36</v>
      </c>
      <c r="C338" s="9" t="s">
        <v>29</v>
      </c>
      <c r="D338" s="9" t="s">
        <v>27</v>
      </c>
      <c r="E338" s="10">
        <v>0.0</v>
      </c>
      <c r="F338" s="9">
        <f t="shared" si="1"/>
        <v>0</v>
      </c>
      <c r="G338" s="11">
        <v>0.0</v>
      </c>
      <c r="H338" s="9">
        <f t="shared" si="2"/>
        <v>0</v>
      </c>
      <c r="I338" s="11">
        <v>0.0</v>
      </c>
      <c r="J338" s="9">
        <f t="shared" si="12"/>
        <v>0</v>
      </c>
      <c r="K338" s="11">
        <v>0.0</v>
      </c>
      <c r="L338" s="11">
        <v>0.0</v>
      </c>
      <c r="M338" s="14">
        <f t="shared" si="3"/>
        <v>0</v>
      </c>
      <c r="N338" s="11">
        <v>0.0</v>
      </c>
      <c r="O338" s="14">
        <f t="shared" si="4"/>
        <v>0</v>
      </c>
      <c r="P338" s="11">
        <v>0.0</v>
      </c>
      <c r="Q338" s="15">
        <v>0.0</v>
      </c>
      <c r="R338" s="9">
        <v>10.0</v>
      </c>
      <c r="S338" s="16">
        <f t="shared" si="5"/>
        <v>0</v>
      </c>
      <c r="T338" s="17">
        <f t="shared" si="6"/>
        <v>0</v>
      </c>
      <c r="U338" s="14">
        <f t="shared" si="7"/>
        <v>-10</v>
      </c>
      <c r="V338" s="9" t="str">
        <f t="shared" si="8"/>
        <v>Low Performance</v>
      </c>
      <c r="W338" s="9"/>
    </row>
    <row r="339" ht="15.75" customHeight="1">
      <c r="A339" s="6">
        <v>46322.0</v>
      </c>
      <c r="B339" s="7" t="s">
        <v>37</v>
      </c>
      <c r="C339" s="9" t="s">
        <v>29</v>
      </c>
      <c r="D339" s="9" t="s">
        <v>27</v>
      </c>
      <c r="E339" s="10">
        <v>0.0</v>
      </c>
      <c r="F339" s="9">
        <f t="shared" si="1"/>
        <v>0</v>
      </c>
      <c r="G339" s="11">
        <v>0.0</v>
      </c>
      <c r="H339" s="9">
        <f t="shared" si="2"/>
        <v>0</v>
      </c>
      <c r="I339" s="11">
        <v>0.0</v>
      </c>
      <c r="J339" s="9">
        <f t="shared" si="12"/>
        <v>0</v>
      </c>
      <c r="K339" s="11">
        <v>0.0</v>
      </c>
      <c r="L339" s="11">
        <v>0.0</v>
      </c>
      <c r="M339" s="14">
        <f t="shared" si="3"/>
        <v>0</v>
      </c>
      <c r="N339" s="11">
        <v>0.0</v>
      </c>
      <c r="O339" s="14">
        <f t="shared" si="4"/>
        <v>0</v>
      </c>
      <c r="P339" s="11">
        <v>0.0</v>
      </c>
      <c r="Q339" s="15">
        <v>0.0</v>
      </c>
      <c r="R339" s="9">
        <v>10.0</v>
      </c>
      <c r="S339" s="16">
        <f t="shared" si="5"/>
        <v>0</v>
      </c>
      <c r="T339" s="17">
        <f t="shared" si="6"/>
        <v>0</v>
      </c>
      <c r="U339" s="14">
        <f t="shared" si="7"/>
        <v>-10</v>
      </c>
      <c r="V339" s="9" t="str">
        <f t="shared" si="8"/>
        <v>Low Performance</v>
      </c>
      <c r="W339" s="9"/>
    </row>
    <row r="340" ht="15.75" customHeight="1">
      <c r="A340" s="6">
        <v>46322.0</v>
      </c>
      <c r="B340" s="7" t="s">
        <v>38</v>
      </c>
      <c r="C340" s="9" t="s">
        <v>29</v>
      </c>
      <c r="D340" s="9" t="s">
        <v>27</v>
      </c>
      <c r="E340" s="10">
        <v>0.0</v>
      </c>
      <c r="F340" s="9">
        <f t="shared" si="1"/>
        <v>0</v>
      </c>
      <c r="G340" s="11">
        <v>0.0</v>
      </c>
      <c r="H340" s="9">
        <f t="shared" si="2"/>
        <v>0</v>
      </c>
      <c r="I340" s="11">
        <v>0.0</v>
      </c>
      <c r="J340" s="9">
        <f t="shared" si="12"/>
        <v>0</v>
      </c>
      <c r="K340" s="11">
        <v>0.0</v>
      </c>
      <c r="L340" s="11">
        <v>0.0</v>
      </c>
      <c r="M340" s="14">
        <f t="shared" si="3"/>
        <v>0</v>
      </c>
      <c r="N340" s="11">
        <v>0.0</v>
      </c>
      <c r="O340" s="14">
        <f t="shared" si="4"/>
        <v>0</v>
      </c>
      <c r="P340" s="11">
        <v>0.0</v>
      </c>
      <c r="Q340" s="15">
        <v>0.0</v>
      </c>
      <c r="R340" s="9">
        <v>10.0</v>
      </c>
      <c r="S340" s="16">
        <f t="shared" si="5"/>
        <v>0</v>
      </c>
      <c r="T340" s="17">
        <f t="shared" si="6"/>
        <v>0</v>
      </c>
      <c r="U340" s="14">
        <f t="shared" si="7"/>
        <v>-10</v>
      </c>
      <c r="V340" s="9" t="str">
        <f t="shared" si="8"/>
        <v>Low Performance</v>
      </c>
      <c r="W340" s="9"/>
    </row>
    <row r="341" ht="15.75" customHeight="1">
      <c r="A341" s="6">
        <v>46322.0</v>
      </c>
      <c r="B341" s="20" t="s">
        <v>39</v>
      </c>
      <c r="C341" s="9" t="s">
        <v>40</v>
      </c>
      <c r="D341" s="9" t="s">
        <v>27</v>
      </c>
      <c r="E341" s="10">
        <v>0.0</v>
      </c>
      <c r="F341" s="9">
        <f t="shared" si="1"/>
        <v>0</v>
      </c>
      <c r="G341" s="11">
        <v>0.0</v>
      </c>
      <c r="H341" s="9">
        <f t="shared" si="2"/>
        <v>0</v>
      </c>
      <c r="I341" s="11">
        <v>0.0</v>
      </c>
      <c r="J341" s="9">
        <f t="shared" si="12"/>
        <v>0</v>
      </c>
      <c r="K341" s="11">
        <v>0.0</v>
      </c>
      <c r="L341" s="11">
        <v>0.0</v>
      </c>
      <c r="M341" s="14">
        <f t="shared" si="3"/>
        <v>0</v>
      </c>
      <c r="N341" s="11">
        <v>0.0</v>
      </c>
      <c r="O341" s="14">
        <f t="shared" si="4"/>
        <v>0</v>
      </c>
      <c r="P341" s="11">
        <v>0.0</v>
      </c>
      <c r="Q341" s="15">
        <v>0.0</v>
      </c>
      <c r="R341" s="9">
        <v>10.0</v>
      </c>
      <c r="S341" s="16">
        <f t="shared" si="5"/>
        <v>0</v>
      </c>
      <c r="T341" s="17">
        <f t="shared" si="6"/>
        <v>0</v>
      </c>
      <c r="U341" s="14">
        <f t="shared" si="7"/>
        <v>-10</v>
      </c>
      <c r="V341" s="9" t="str">
        <f t="shared" si="8"/>
        <v>Low Performance</v>
      </c>
      <c r="W341" s="9"/>
    </row>
    <row r="342" ht="15.75" customHeight="1">
      <c r="A342" s="6">
        <v>46322.0</v>
      </c>
      <c r="B342" s="7" t="s">
        <v>41</v>
      </c>
      <c r="C342" s="9" t="s">
        <v>40</v>
      </c>
      <c r="D342" s="9" t="s">
        <v>27</v>
      </c>
      <c r="E342" s="10">
        <v>0.0</v>
      </c>
      <c r="F342" s="9">
        <f t="shared" si="1"/>
        <v>0</v>
      </c>
      <c r="G342" s="11">
        <v>0.0</v>
      </c>
      <c r="H342" s="9">
        <f t="shared" si="2"/>
        <v>0</v>
      </c>
      <c r="I342" s="11">
        <v>0.0</v>
      </c>
      <c r="J342" s="9">
        <f t="shared" si="12"/>
        <v>0</v>
      </c>
      <c r="K342" s="11">
        <v>0.0</v>
      </c>
      <c r="L342" s="11">
        <v>0.0</v>
      </c>
      <c r="M342" s="14">
        <f t="shared" si="3"/>
        <v>0</v>
      </c>
      <c r="N342" s="11">
        <v>0.0</v>
      </c>
      <c r="O342" s="14">
        <f t="shared" si="4"/>
        <v>0</v>
      </c>
      <c r="P342" s="11">
        <v>0.0</v>
      </c>
      <c r="Q342" s="15">
        <v>0.0</v>
      </c>
      <c r="R342" s="9">
        <v>10.0</v>
      </c>
      <c r="S342" s="16">
        <f t="shared" si="5"/>
        <v>0</v>
      </c>
      <c r="T342" s="17">
        <f t="shared" si="6"/>
        <v>0</v>
      </c>
      <c r="U342" s="14">
        <f t="shared" si="7"/>
        <v>-10</v>
      </c>
      <c r="V342" s="9" t="str">
        <f t="shared" si="8"/>
        <v>Low Performance</v>
      </c>
      <c r="W342" s="9"/>
    </row>
    <row r="343" ht="15.75" customHeight="1">
      <c r="A343" s="6">
        <v>46322.0</v>
      </c>
      <c r="B343" s="7" t="s">
        <v>42</v>
      </c>
      <c r="C343" s="9" t="s">
        <v>40</v>
      </c>
      <c r="D343" s="9" t="s">
        <v>27</v>
      </c>
      <c r="E343" s="10">
        <v>0.0</v>
      </c>
      <c r="F343" s="9">
        <f t="shared" si="1"/>
        <v>0</v>
      </c>
      <c r="G343" s="11">
        <v>0.0</v>
      </c>
      <c r="H343" s="9">
        <f t="shared" si="2"/>
        <v>0</v>
      </c>
      <c r="I343" s="11">
        <v>0.0</v>
      </c>
      <c r="J343" s="9">
        <f t="shared" si="12"/>
        <v>0</v>
      </c>
      <c r="K343" s="11">
        <v>0.0</v>
      </c>
      <c r="L343" s="11">
        <v>0.0</v>
      </c>
      <c r="M343" s="14">
        <f t="shared" si="3"/>
        <v>0</v>
      </c>
      <c r="N343" s="11">
        <v>0.0</v>
      </c>
      <c r="O343" s="14">
        <f t="shared" si="4"/>
        <v>0</v>
      </c>
      <c r="P343" s="11">
        <v>0.0</v>
      </c>
      <c r="Q343" s="15">
        <v>0.0</v>
      </c>
      <c r="R343" s="9">
        <v>10.0</v>
      </c>
      <c r="S343" s="16">
        <f t="shared" si="5"/>
        <v>0</v>
      </c>
      <c r="T343" s="17">
        <f t="shared" si="6"/>
        <v>0</v>
      </c>
      <c r="U343" s="14">
        <f t="shared" si="7"/>
        <v>-10</v>
      </c>
      <c r="V343" s="9" t="str">
        <f t="shared" si="8"/>
        <v>Low Performance</v>
      </c>
      <c r="W343" s="9"/>
    </row>
    <row r="344" ht="15.75" customHeight="1">
      <c r="A344" s="6">
        <v>46322.0</v>
      </c>
      <c r="B344" s="7" t="s">
        <v>43</v>
      </c>
      <c r="C344" s="9" t="s">
        <v>40</v>
      </c>
      <c r="D344" s="9" t="s">
        <v>27</v>
      </c>
      <c r="E344" s="10">
        <v>0.0</v>
      </c>
      <c r="F344" s="9">
        <f t="shared" si="1"/>
        <v>0</v>
      </c>
      <c r="G344" s="11">
        <v>0.0</v>
      </c>
      <c r="H344" s="9">
        <f t="shared" si="2"/>
        <v>0</v>
      </c>
      <c r="I344" s="11">
        <v>0.0</v>
      </c>
      <c r="J344" s="9">
        <f t="shared" si="12"/>
        <v>0</v>
      </c>
      <c r="K344" s="11">
        <v>0.0</v>
      </c>
      <c r="L344" s="11">
        <v>0.0</v>
      </c>
      <c r="M344" s="14">
        <f t="shared" si="3"/>
        <v>0</v>
      </c>
      <c r="N344" s="11">
        <v>0.0</v>
      </c>
      <c r="O344" s="14">
        <f t="shared" si="4"/>
        <v>0</v>
      </c>
      <c r="P344" s="11">
        <v>0.0</v>
      </c>
      <c r="Q344" s="15">
        <v>0.0</v>
      </c>
      <c r="R344" s="9">
        <v>10.0</v>
      </c>
      <c r="S344" s="16">
        <f t="shared" si="5"/>
        <v>0</v>
      </c>
      <c r="T344" s="17">
        <f t="shared" si="6"/>
        <v>0</v>
      </c>
      <c r="U344" s="14">
        <f t="shared" si="7"/>
        <v>-10</v>
      </c>
      <c r="V344" s="9" t="str">
        <f t="shared" si="8"/>
        <v>Low Performance</v>
      </c>
      <c r="W344" s="9"/>
    </row>
    <row r="345" ht="15.75" customHeight="1">
      <c r="A345" s="6">
        <v>46322.0</v>
      </c>
      <c r="B345" s="7" t="s">
        <v>45</v>
      </c>
      <c r="C345" s="18" t="s">
        <v>46</v>
      </c>
      <c r="D345" s="9" t="s">
        <v>27</v>
      </c>
      <c r="E345" s="10">
        <v>0.0</v>
      </c>
      <c r="F345" s="9">
        <f t="shared" si="1"/>
        <v>0</v>
      </c>
      <c r="G345" s="11">
        <v>0.0</v>
      </c>
      <c r="H345" s="9">
        <f t="shared" si="2"/>
        <v>0</v>
      </c>
      <c r="I345" s="11">
        <v>0.0</v>
      </c>
      <c r="J345" s="9">
        <f t="shared" si="12"/>
        <v>0</v>
      </c>
      <c r="K345" s="11">
        <v>0.0</v>
      </c>
      <c r="L345" s="11">
        <v>0.0</v>
      </c>
      <c r="M345" s="14">
        <f t="shared" si="3"/>
        <v>0</v>
      </c>
      <c r="N345" s="11">
        <v>0.0</v>
      </c>
      <c r="O345" s="14">
        <f t="shared" si="4"/>
        <v>0</v>
      </c>
      <c r="P345" s="11">
        <v>0.0</v>
      </c>
      <c r="Q345" s="15">
        <v>0.0</v>
      </c>
      <c r="R345" s="9">
        <v>10.0</v>
      </c>
      <c r="S345" s="16">
        <f t="shared" si="5"/>
        <v>0</v>
      </c>
      <c r="T345" s="17">
        <f t="shared" si="6"/>
        <v>0</v>
      </c>
      <c r="U345" s="14">
        <f t="shared" si="7"/>
        <v>-10</v>
      </c>
      <c r="V345" s="9" t="str">
        <f t="shared" si="8"/>
        <v>Low Performance</v>
      </c>
      <c r="W345" s="9"/>
    </row>
    <row r="346" ht="15.75" customHeight="1">
      <c r="A346" s="6">
        <v>46322.0</v>
      </c>
      <c r="B346" s="7" t="s">
        <v>49</v>
      </c>
      <c r="C346" s="18" t="s">
        <v>46</v>
      </c>
      <c r="D346" s="9" t="s">
        <v>27</v>
      </c>
      <c r="E346" s="10">
        <v>0.0</v>
      </c>
      <c r="F346" s="9">
        <f t="shared" si="1"/>
        <v>0</v>
      </c>
      <c r="G346" s="11">
        <v>0.0</v>
      </c>
      <c r="H346" s="9">
        <f t="shared" si="2"/>
        <v>0</v>
      </c>
      <c r="I346" s="11">
        <v>0.0</v>
      </c>
      <c r="J346" s="9">
        <f t="shared" si="12"/>
        <v>0</v>
      </c>
      <c r="K346" s="11">
        <v>0.0</v>
      </c>
      <c r="L346" s="11">
        <v>0.0</v>
      </c>
      <c r="M346" s="14">
        <f t="shared" si="3"/>
        <v>0</v>
      </c>
      <c r="N346" s="11">
        <v>0.0</v>
      </c>
      <c r="O346" s="14">
        <f t="shared" si="4"/>
        <v>0</v>
      </c>
      <c r="P346" s="11">
        <v>0.0</v>
      </c>
      <c r="Q346" s="15">
        <v>0.0</v>
      </c>
      <c r="R346" s="9">
        <v>10.0</v>
      </c>
      <c r="S346" s="16">
        <f t="shared" si="5"/>
        <v>0</v>
      </c>
      <c r="T346" s="17">
        <f t="shared" si="6"/>
        <v>0</v>
      </c>
      <c r="U346" s="14">
        <f t="shared" si="7"/>
        <v>-10</v>
      </c>
      <c r="V346" s="9" t="str">
        <f t="shared" si="8"/>
        <v>Low Performance</v>
      </c>
      <c r="W346" s="9"/>
    </row>
    <row r="347" ht="15.75" customHeight="1">
      <c r="A347" s="6">
        <v>46322.0</v>
      </c>
      <c r="B347" s="22" t="s">
        <v>50</v>
      </c>
      <c r="C347" s="23" t="s">
        <v>46</v>
      </c>
      <c r="D347" s="24" t="s">
        <v>27</v>
      </c>
      <c r="E347" s="10">
        <v>0.0</v>
      </c>
      <c r="F347" s="9">
        <f t="shared" si="1"/>
        <v>0</v>
      </c>
      <c r="G347" s="11">
        <v>0.0</v>
      </c>
      <c r="H347" s="9">
        <f t="shared" si="2"/>
        <v>0</v>
      </c>
      <c r="I347" s="11">
        <v>0.0</v>
      </c>
      <c r="J347" s="9">
        <f t="shared" si="12"/>
        <v>0</v>
      </c>
      <c r="K347" s="11">
        <v>0.0</v>
      </c>
      <c r="L347" s="11">
        <v>0.0</v>
      </c>
      <c r="M347" s="14">
        <f t="shared" si="3"/>
        <v>0</v>
      </c>
      <c r="N347" s="11">
        <v>0.0</v>
      </c>
      <c r="O347" s="14">
        <f t="shared" si="4"/>
        <v>0</v>
      </c>
      <c r="P347" s="11">
        <v>0.0</v>
      </c>
      <c r="Q347" s="15">
        <v>0.0</v>
      </c>
      <c r="R347" s="9">
        <v>10.0</v>
      </c>
      <c r="S347" s="16">
        <f t="shared" si="5"/>
        <v>0</v>
      </c>
      <c r="T347" s="17">
        <f t="shared" si="6"/>
        <v>0</v>
      </c>
      <c r="U347" s="14">
        <f t="shared" si="7"/>
        <v>-10</v>
      </c>
      <c r="V347" s="9" t="str">
        <f t="shared" si="8"/>
        <v>Low Performance</v>
      </c>
      <c r="W347" s="9"/>
    </row>
    <row r="348" ht="15.75" customHeight="1">
      <c r="A348" s="6">
        <v>46323.0</v>
      </c>
      <c r="B348" s="7" t="s">
        <v>25</v>
      </c>
      <c r="C348" s="8" t="s">
        <v>26</v>
      </c>
      <c r="D348" s="9" t="s">
        <v>27</v>
      </c>
      <c r="E348" s="10">
        <v>0.0</v>
      </c>
      <c r="F348" s="9">
        <f t="shared" si="1"/>
        <v>0</v>
      </c>
      <c r="G348" s="11">
        <v>0.0</v>
      </c>
      <c r="H348" s="9">
        <f t="shared" si="2"/>
        <v>0</v>
      </c>
      <c r="I348" s="11">
        <v>0.0</v>
      </c>
      <c r="J348" s="9">
        <f t="shared" si="12"/>
        <v>0</v>
      </c>
      <c r="K348" s="11">
        <v>0.0</v>
      </c>
      <c r="L348" s="11">
        <v>0.0</v>
      </c>
      <c r="M348" s="14">
        <f t="shared" si="3"/>
        <v>0</v>
      </c>
      <c r="N348" s="11">
        <v>0.0</v>
      </c>
      <c r="O348" s="14">
        <f t="shared" si="4"/>
        <v>0</v>
      </c>
      <c r="P348" s="11">
        <v>0.0</v>
      </c>
      <c r="Q348" s="15">
        <v>0.0</v>
      </c>
      <c r="R348" s="9">
        <v>10.0</v>
      </c>
      <c r="S348" s="16">
        <f t="shared" si="5"/>
        <v>0</v>
      </c>
      <c r="T348" s="17">
        <f t="shared" si="6"/>
        <v>0</v>
      </c>
      <c r="U348" s="14">
        <f t="shared" si="7"/>
        <v>-10</v>
      </c>
      <c r="V348" s="9" t="str">
        <f t="shared" si="8"/>
        <v>Low Performance</v>
      </c>
      <c r="W348" s="9"/>
    </row>
    <row r="349" ht="15.75" customHeight="1">
      <c r="A349" s="6">
        <v>46323.0</v>
      </c>
      <c r="B349" s="7" t="s">
        <v>30</v>
      </c>
      <c r="C349" s="18" t="s">
        <v>31</v>
      </c>
      <c r="D349" s="9" t="s">
        <v>27</v>
      </c>
      <c r="E349" s="10">
        <v>0.0</v>
      </c>
      <c r="F349" s="9">
        <f t="shared" si="1"/>
        <v>0</v>
      </c>
      <c r="G349" s="11">
        <v>0.0</v>
      </c>
      <c r="H349" s="9">
        <f t="shared" si="2"/>
        <v>0</v>
      </c>
      <c r="I349" s="11">
        <v>0.0</v>
      </c>
      <c r="J349" s="9">
        <f t="shared" si="12"/>
        <v>0</v>
      </c>
      <c r="K349" s="11">
        <v>0.0</v>
      </c>
      <c r="L349" s="11">
        <v>0.0</v>
      </c>
      <c r="M349" s="14">
        <f t="shared" si="3"/>
        <v>0</v>
      </c>
      <c r="N349" s="11">
        <v>0.0</v>
      </c>
      <c r="O349" s="14">
        <f t="shared" si="4"/>
        <v>0</v>
      </c>
      <c r="P349" s="11">
        <v>0.0</v>
      </c>
      <c r="Q349" s="15">
        <v>0.0</v>
      </c>
      <c r="R349" s="9">
        <v>10.0</v>
      </c>
      <c r="S349" s="16">
        <f t="shared" si="5"/>
        <v>0</v>
      </c>
      <c r="T349" s="17">
        <f t="shared" si="6"/>
        <v>0</v>
      </c>
      <c r="U349" s="14">
        <f t="shared" si="7"/>
        <v>-10</v>
      </c>
      <c r="V349" s="9" t="str">
        <f t="shared" si="8"/>
        <v>Low Performance</v>
      </c>
      <c r="W349" s="9"/>
    </row>
    <row r="350" ht="15.75" customHeight="1">
      <c r="A350" s="6">
        <v>46323.0</v>
      </c>
      <c r="B350" s="7" t="s">
        <v>32</v>
      </c>
      <c r="C350" s="18" t="s">
        <v>33</v>
      </c>
      <c r="D350" s="9" t="s">
        <v>27</v>
      </c>
      <c r="E350" s="10">
        <v>0.0</v>
      </c>
      <c r="F350" s="9">
        <f t="shared" si="1"/>
        <v>0</v>
      </c>
      <c r="G350" s="11">
        <v>0.0</v>
      </c>
      <c r="H350" s="9">
        <f t="shared" si="2"/>
        <v>0</v>
      </c>
      <c r="I350" s="11">
        <v>0.0</v>
      </c>
      <c r="J350" s="9">
        <f t="shared" si="12"/>
        <v>0</v>
      </c>
      <c r="K350" s="11">
        <v>0.0</v>
      </c>
      <c r="L350" s="11">
        <v>0.0</v>
      </c>
      <c r="M350" s="14">
        <f t="shared" si="3"/>
        <v>0</v>
      </c>
      <c r="N350" s="11">
        <v>0.0</v>
      </c>
      <c r="O350" s="14">
        <f t="shared" si="4"/>
        <v>0</v>
      </c>
      <c r="P350" s="11">
        <v>0.0</v>
      </c>
      <c r="Q350" s="15">
        <v>0.0</v>
      </c>
      <c r="R350" s="9">
        <v>10.0</v>
      </c>
      <c r="S350" s="16">
        <f t="shared" si="5"/>
        <v>0</v>
      </c>
      <c r="T350" s="17">
        <f t="shared" si="6"/>
        <v>0</v>
      </c>
      <c r="U350" s="14">
        <f t="shared" si="7"/>
        <v>-10</v>
      </c>
      <c r="V350" s="9" t="str">
        <f t="shared" si="8"/>
        <v>Low Performance</v>
      </c>
      <c r="W350" s="9"/>
    </row>
    <row r="351" ht="15.75" customHeight="1">
      <c r="A351" s="6">
        <v>46323.0</v>
      </c>
      <c r="B351" s="7" t="s">
        <v>34</v>
      </c>
      <c r="C351" s="18" t="s">
        <v>35</v>
      </c>
      <c r="D351" s="9" t="s">
        <v>27</v>
      </c>
      <c r="E351" s="10">
        <v>0.0</v>
      </c>
      <c r="F351" s="9">
        <f t="shared" si="1"/>
        <v>0</v>
      </c>
      <c r="G351" s="11">
        <v>0.0</v>
      </c>
      <c r="H351" s="9">
        <f t="shared" si="2"/>
        <v>0</v>
      </c>
      <c r="I351" s="11">
        <v>0.0</v>
      </c>
      <c r="J351" s="9">
        <f t="shared" si="12"/>
        <v>0</v>
      </c>
      <c r="K351" s="11">
        <v>0.0</v>
      </c>
      <c r="L351" s="11">
        <v>0.0</v>
      </c>
      <c r="M351" s="14">
        <f t="shared" si="3"/>
        <v>0</v>
      </c>
      <c r="N351" s="11">
        <v>0.0</v>
      </c>
      <c r="O351" s="14">
        <f t="shared" si="4"/>
        <v>0</v>
      </c>
      <c r="P351" s="11">
        <v>0.0</v>
      </c>
      <c r="Q351" s="15">
        <v>0.0</v>
      </c>
      <c r="R351" s="9">
        <v>10.0</v>
      </c>
      <c r="S351" s="16">
        <f t="shared" si="5"/>
        <v>0</v>
      </c>
      <c r="T351" s="17">
        <f t="shared" si="6"/>
        <v>0</v>
      </c>
      <c r="U351" s="14">
        <f t="shared" si="7"/>
        <v>-10</v>
      </c>
      <c r="V351" s="9" t="str">
        <f t="shared" si="8"/>
        <v>Low Performance</v>
      </c>
      <c r="W351" s="9"/>
    </row>
    <row r="352" ht="15.75" customHeight="1">
      <c r="A352" s="6">
        <v>46323.0</v>
      </c>
      <c r="B352" s="7" t="s">
        <v>28</v>
      </c>
      <c r="C352" s="9" t="s">
        <v>29</v>
      </c>
      <c r="D352" s="9" t="s">
        <v>27</v>
      </c>
      <c r="E352" s="10">
        <v>0.0</v>
      </c>
      <c r="F352" s="9">
        <f t="shared" si="1"/>
        <v>0</v>
      </c>
      <c r="G352" s="11">
        <v>0.0</v>
      </c>
      <c r="H352" s="9">
        <f t="shared" si="2"/>
        <v>0</v>
      </c>
      <c r="I352" s="11">
        <v>0.0</v>
      </c>
      <c r="J352" s="9">
        <f t="shared" si="12"/>
        <v>0</v>
      </c>
      <c r="K352" s="11">
        <v>0.0</v>
      </c>
      <c r="L352" s="11">
        <v>0.0</v>
      </c>
      <c r="M352" s="14">
        <f t="shared" si="3"/>
        <v>0</v>
      </c>
      <c r="N352" s="11">
        <v>0.0</v>
      </c>
      <c r="O352" s="14">
        <f t="shared" si="4"/>
        <v>0</v>
      </c>
      <c r="P352" s="11">
        <v>0.0</v>
      </c>
      <c r="Q352" s="15">
        <v>0.0</v>
      </c>
      <c r="R352" s="9">
        <v>10.0</v>
      </c>
      <c r="S352" s="16">
        <f t="shared" si="5"/>
        <v>0</v>
      </c>
      <c r="T352" s="17">
        <f t="shared" si="6"/>
        <v>0</v>
      </c>
      <c r="U352" s="14">
        <f t="shared" si="7"/>
        <v>-10</v>
      </c>
      <c r="V352" s="9" t="str">
        <f t="shared" si="8"/>
        <v>Low Performance</v>
      </c>
      <c r="W352" s="9"/>
    </row>
    <row r="353" ht="15.75" customHeight="1">
      <c r="A353" s="6">
        <v>46323.0</v>
      </c>
      <c r="B353" s="7" t="s">
        <v>36</v>
      </c>
      <c r="C353" s="9" t="s">
        <v>29</v>
      </c>
      <c r="D353" s="9" t="s">
        <v>27</v>
      </c>
      <c r="E353" s="10">
        <v>0.0</v>
      </c>
      <c r="F353" s="9">
        <f t="shared" si="1"/>
        <v>0</v>
      </c>
      <c r="G353" s="11">
        <v>0.0</v>
      </c>
      <c r="H353" s="9">
        <f t="shared" si="2"/>
        <v>0</v>
      </c>
      <c r="I353" s="11">
        <v>0.0</v>
      </c>
      <c r="J353" s="9">
        <f t="shared" si="12"/>
        <v>0</v>
      </c>
      <c r="K353" s="11">
        <v>0.0</v>
      </c>
      <c r="L353" s="11">
        <v>0.0</v>
      </c>
      <c r="M353" s="14">
        <f t="shared" si="3"/>
        <v>0</v>
      </c>
      <c r="N353" s="11">
        <v>0.0</v>
      </c>
      <c r="O353" s="14">
        <f t="shared" si="4"/>
        <v>0</v>
      </c>
      <c r="P353" s="11">
        <v>0.0</v>
      </c>
      <c r="Q353" s="15">
        <v>0.0</v>
      </c>
      <c r="R353" s="9">
        <v>10.0</v>
      </c>
      <c r="S353" s="16">
        <f t="shared" si="5"/>
        <v>0</v>
      </c>
      <c r="T353" s="17">
        <f t="shared" si="6"/>
        <v>0</v>
      </c>
      <c r="U353" s="14">
        <f t="shared" si="7"/>
        <v>-10</v>
      </c>
      <c r="V353" s="9" t="str">
        <f t="shared" si="8"/>
        <v>Low Performance</v>
      </c>
      <c r="W353" s="9"/>
    </row>
    <row r="354" ht="15.75" customHeight="1">
      <c r="A354" s="6">
        <v>46323.0</v>
      </c>
      <c r="B354" s="7" t="s">
        <v>37</v>
      </c>
      <c r="C354" s="9" t="s">
        <v>29</v>
      </c>
      <c r="D354" s="9" t="s">
        <v>27</v>
      </c>
      <c r="E354" s="10">
        <v>0.0</v>
      </c>
      <c r="F354" s="9">
        <f t="shared" si="1"/>
        <v>0</v>
      </c>
      <c r="G354" s="11">
        <v>0.0</v>
      </c>
      <c r="H354" s="9">
        <f t="shared" si="2"/>
        <v>0</v>
      </c>
      <c r="I354" s="11">
        <v>0.0</v>
      </c>
      <c r="J354" s="9">
        <f t="shared" si="12"/>
        <v>0</v>
      </c>
      <c r="K354" s="11">
        <v>0.0</v>
      </c>
      <c r="L354" s="11">
        <v>0.0</v>
      </c>
      <c r="M354" s="14">
        <f t="shared" si="3"/>
        <v>0</v>
      </c>
      <c r="N354" s="11">
        <v>0.0</v>
      </c>
      <c r="O354" s="14">
        <f t="shared" si="4"/>
        <v>0</v>
      </c>
      <c r="P354" s="11">
        <v>0.0</v>
      </c>
      <c r="Q354" s="15">
        <v>0.0</v>
      </c>
      <c r="R354" s="9">
        <v>10.0</v>
      </c>
      <c r="S354" s="16">
        <f t="shared" si="5"/>
        <v>0</v>
      </c>
      <c r="T354" s="17">
        <f t="shared" si="6"/>
        <v>0</v>
      </c>
      <c r="U354" s="14">
        <f t="shared" si="7"/>
        <v>-10</v>
      </c>
      <c r="V354" s="9" t="str">
        <f t="shared" si="8"/>
        <v>Low Performance</v>
      </c>
      <c r="W354" s="9"/>
    </row>
    <row r="355" ht="15.75" customHeight="1">
      <c r="A355" s="6">
        <v>46323.0</v>
      </c>
      <c r="B355" s="7" t="s">
        <v>38</v>
      </c>
      <c r="C355" s="9" t="s">
        <v>29</v>
      </c>
      <c r="D355" s="9" t="s">
        <v>27</v>
      </c>
      <c r="E355" s="10">
        <v>0.0</v>
      </c>
      <c r="F355" s="9">
        <f t="shared" si="1"/>
        <v>0</v>
      </c>
      <c r="G355" s="11">
        <v>0.0</v>
      </c>
      <c r="H355" s="9">
        <f t="shared" si="2"/>
        <v>0</v>
      </c>
      <c r="I355" s="11">
        <v>0.0</v>
      </c>
      <c r="J355" s="9">
        <f t="shared" si="12"/>
        <v>0</v>
      </c>
      <c r="K355" s="11">
        <v>0.0</v>
      </c>
      <c r="L355" s="11">
        <v>0.0</v>
      </c>
      <c r="M355" s="14">
        <f t="shared" si="3"/>
        <v>0</v>
      </c>
      <c r="N355" s="11">
        <v>0.0</v>
      </c>
      <c r="O355" s="14">
        <f t="shared" si="4"/>
        <v>0</v>
      </c>
      <c r="P355" s="11">
        <v>0.0</v>
      </c>
      <c r="Q355" s="15">
        <v>0.0</v>
      </c>
      <c r="R355" s="9">
        <v>10.0</v>
      </c>
      <c r="S355" s="16">
        <f t="shared" si="5"/>
        <v>0</v>
      </c>
      <c r="T355" s="17">
        <f t="shared" si="6"/>
        <v>0</v>
      </c>
      <c r="U355" s="14">
        <f t="shared" si="7"/>
        <v>-10</v>
      </c>
      <c r="V355" s="9" t="str">
        <f t="shared" si="8"/>
        <v>Low Performance</v>
      </c>
      <c r="W355" s="9"/>
    </row>
    <row r="356" ht="15.75" customHeight="1">
      <c r="A356" s="6">
        <v>46323.0</v>
      </c>
      <c r="B356" s="20" t="s">
        <v>39</v>
      </c>
      <c r="C356" s="9" t="s">
        <v>40</v>
      </c>
      <c r="D356" s="9" t="s">
        <v>27</v>
      </c>
      <c r="E356" s="10">
        <v>0.0</v>
      </c>
      <c r="F356" s="9">
        <f t="shared" si="1"/>
        <v>0</v>
      </c>
      <c r="G356" s="11">
        <v>0.0</v>
      </c>
      <c r="H356" s="9">
        <f t="shared" si="2"/>
        <v>0</v>
      </c>
      <c r="I356" s="11">
        <v>0.0</v>
      </c>
      <c r="J356" s="9">
        <f t="shared" si="12"/>
        <v>0</v>
      </c>
      <c r="K356" s="11">
        <v>0.0</v>
      </c>
      <c r="L356" s="11">
        <v>0.0</v>
      </c>
      <c r="M356" s="14">
        <f t="shared" si="3"/>
        <v>0</v>
      </c>
      <c r="N356" s="11">
        <v>0.0</v>
      </c>
      <c r="O356" s="14">
        <f t="shared" si="4"/>
        <v>0</v>
      </c>
      <c r="P356" s="11">
        <v>0.0</v>
      </c>
      <c r="Q356" s="15">
        <v>0.0</v>
      </c>
      <c r="R356" s="9">
        <v>10.0</v>
      </c>
      <c r="S356" s="16">
        <f t="shared" si="5"/>
        <v>0</v>
      </c>
      <c r="T356" s="17">
        <f t="shared" si="6"/>
        <v>0</v>
      </c>
      <c r="U356" s="14">
        <f t="shared" si="7"/>
        <v>-10</v>
      </c>
      <c r="V356" s="9" t="str">
        <f t="shared" si="8"/>
        <v>Low Performance</v>
      </c>
      <c r="W356" s="9"/>
    </row>
    <row r="357" ht="15.75" customHeight="1">
      <c r="A357" s="6">
        <v>46323.0</v>
      </c>
      <c r="B357" s="7" t="s">
        <v>41</v>
      </c>
      <c r="C357" s="9" t="s">
        <v>40</v>
      </c>
      <c r="D357" s="9" t="s">
        <v>27</v>
      </c>
      <c r="E357" s="10">
        <v>0.0</v>
      </c>
      <c r="F357" s="9">
        <f t="shared" si="1"/>
        <v>0</v>
      </c>
      <c r="G357" s="11">
        <v>0.0</v>
      </c>
      <c r="H357" s="9">
        <f t="shared" si="2"/>
        <v>0</v>
      </c>
      <c r="I357" s="11">
        <v>0.0</v>
      </c>
      <c r="J357" s="9">
        <f t="shared" si="12"/>
        <v>0</v>
      </c>
      <c r="K357" s="11">
        <v>0.0</v>
      </c>
      <c r="L357" s="11">
        <v>0.0</v>
      </c>
      <c r="M357" s="14">
        <f t="shared" si="3"/>
        <v>0</v>
      </c>
      <c r="N357" s="11">
        <v>0.0</v>
      </c>
      <c r="O357" s="14">
        <f t="shared" si="4"/>
        <v>0</v>
      </c>
      <c r="P357" s="11">
        <v>0.0</v>
      </c>
      <c r="Q357" s="15">
        <v>0.0</v>
      </c>
      <c r="R357" s="9">
        <v>10.0</v>
      </c>
      <c r="S357" s="16">
        <f t="shared" si="5"/>
        <v>0</v>
      </c>
      <c r="T357" s="17">
        <f t="shared" si="6"/>
        <v>0</v>
      </c>
      <c r="U357" s="14">
        <f t="shared" si="7"/>
        <v>-10</v>
      </c>
      <c r="V357" s="9" t="str">
        <f t="shared" si="8"/>
        <v>Low Performance</v>
      </c>
      <c r="W357" s="9"/>
    </row>
    <row r="358" ht="15.75" customHeight="1">
      <c r="A358" s="6">
        <v>46323.0</v>
      </c>
      <c r="B358" s="7" t="s">
        <v>42</v>
      </c>
      <c r="C358" s="9" t="s">
        <v>40</v>
      </c>
      <c r="D358" s="9" t="s">
        <v>27</v>
      </c>
      <c r="E358" s="10">
        <v>0.0</v>
      </c>
      <c r="F358" s="9">
        <f t="shared" si="1"/>
        <v>0</v>
      </c>
      <c r="G358" s="11">
        <v>0.0</v>
      </c>
      <c r="H358" s="9">
        <f t="shared" si="2"/>
        <v>0</v>
      </c>
      <c r="I358" s="11">
        <v>0.0</v>
      </c>
      <c r="J358" s="9">
        <f t="shared" si="12"/>
        <v>0</v>
      </c>
      <c r="K358" s="11">
        <v>0.0</v>
      </c>
      <c r="L358" s="11">
        <v>0.0</v>
      </c>
      <c r="M358" s="14">
        <f t="shared" si="3"/>
        <v>0</v>
      </c>
      <c r="N358" s="11">
        <v>0.0</v>
      </c>
      <c r="O358" s="14">
        <f t="shared" si="4"/>
        <v>0</v>
      </c>
      <c r="P358" s="11">
        <v>0.0</v>
      </c>
      <c r="Q358" s="15">
        <v>0.0</v>
      </c>
      <c r="R358" s="9">
        <v>10.0</v>
      </c>
      <c r="S358" s="16">
        <f t="shared" si="5"/>
        <v>0</v>
      </c>
      <c r="T358" s="17">
        <f t="shared" si="6"/>
        <v>0</v>
      </c>
      <c r="U358" s="14">
        <f t="shared" si="7"/>
        <v>-10</v>
      </c>
      <c r="V358" s="9" t="str">
        <f t="shared" si="8"/>
        <v>Low Performance</v>
      </c>
      <c r="W358" s="9"/>
    </row>
    <row r="359" ht="15.75" customHeight="1">
      <c r="A359" s="6">
        <v>46323.0</v>
      </c>
      <c r="B359" s="7" t="s">
        <v>43</v>
      </c>
      <c r="C359" s="9" t="s">
        <v>40</v>
      </c>
      <c r="D359" s="9" t="s">
        <v>27</v>
      </c>
      <c r="E359" s="10">
        <v>0.0</v>
      </c>
      <c r="F359" s="9">
        <f t="shared" si="1"/>
        <v>0</v>
      </c>
      <c r="G359" s="11">
        <v>0.0</v>
      </c>
      <c r="H359" s="9">
        <f t="shared" si="2"/>
        <v>0</v>
      </c>
      <c r="I359" s="11">
        <v>0.0</v>
      </c>
      <c r="J359" s="9">
        <f t="shared" si="12"/>
        <v>0</v>
      </c>
      <c r="K359" s="11">
        <v>0.0</v>
      </c>
      <c r="L359" s="11">
        <v>0.0</v>
      </c>
      <c r="M359" s="14">
        <f t="shared" si="3"/>
        <v>0</v>
      </c>
      <c r="N359" s="11">
        <v>0.0</v>
      </c>
      <c r="O359" s="14">
        <f t="shared" si="4"/>
        <v>0</v>
      </c>
      <c r="P359" s="11">
        <v>0.0</v>
      </c>
      <c r="Q359" s="15">
        <v>0.0</v>
      </c>
      <c r="R359" s="9">
        <v>10.0</v>
      </c>
      <c r="S359" s="16">
        <f t="shared" si="5"/>
        <v>0</v>
      </c>
      <c r="T359" s="17">
        <f t="shared" si="6"/>
        <v>0</v>
      </c>
      <c r="U359" s="14">
        <f t="shared" si="7"/>
        <v>-10</v>
      </c>
      <c r="V359" s="9" t="str">
        <f t="shared" si="8"/>
        <v>Low Performance</v>
      </c>
      <c r="W359" s="9"/>
    </row>
    <row r="360" ht="15.75" customHeight="1">
      <c r="A360" s="6">
        <v>46323.0</v>
      </c>
      <c r="B360" s="7" t="s">
        <v>45</v>
      </c>
      <c r="C360" s="18" t="s">
        <v>46</v>
      </c>
      <c r="D360" s="9" t="s">
        <v>27</v>
      </c>
      <c r="E360" s="10">
        <v>0.0</v>
      </c>
      <c r="F360" s="9">
        <f t="shared" si="1"/>
        <v>0</v>
      </c>
      <c r="G360" s="11">
        <v>0.0</v>
      </c>
      <c r="H360" s="9">
        <f t="shared" si="2"/>
        <v>0</v>
      </c>
      <c r="I360" s="11">
        <v>0.0</v>
      </c>
      <c r="J360" s="9">
        <f t="shared" si="12"/>
        <v>0</v>
      </c>
      <c r="K360" s="11">
        <v>0.0</v>
      </c>
      <c r="L360" s="11">
        <v>0.0</v>
      </c>
      <c r="M360" s="14">
        <f t="shared" si="3"/>
        <v>0</v>
      </c>
      <c r="N360" s="11">
        <v>0.0</v>
      </c>
      <c r="O360" s="14">
        <f t="shared" si="4"/>
        <v>0</v>
      </c>
      <c r="P360" s="11">
        <v>0.0</v>
      </c>
      <c r="Q360" s="15">
        <v>0.0</v>
      </c>
      <c r="R360" s="9">
        <v>10.0</v>
      </c>
      <c r="S360" s="16">
        <f t="shared" si="5"/>
        <v>0</v>
      </c>
      <c r="T360" s="17">
        <f t="shared" si="6"/>
        <v>0</v>
      </c>
      <c r="U360" s="14">
        <f t="shared" si="7"/>
        <v>-10</v>
      </c>
      <c r="V360" s="9" t="str">
        <f t="shared" si="8"/>
        <v>Low Performance</v>
      </c>
      <c r="W360" s="9"/>
    </row>
    <row r="361" ht="15.75" customHeight="1">
      <c r="A361" s="6">
        <v>46323.0</v>
      </c>
      <c r="B361" s="7" t="s">
        <v>49</v>
      </c>
      <c r="C361" s="18" t="s">
        <v>46</v>
      </c>
      <c r="D361" s="9" t="s">
        <v>27</v>
      </c>
      <c r="E361" s="10">
        <v>0.0</v>
      </c>
      <c r="F361" s="9">
        <f t="shared" si="1"/>
        <v>0</v>
      </c>
      <c r="G361" s="11">
        <v>0.0</v>
      </c>
      <c r="H361" s="9">
        <f t="shared" si="2"/>
        <v>0</v>
      </c>
      <c r="I361" s="11">
        <v>0.0</v>
      </c>
      <c r="J361" s="9">
        <f t="shared" si="12"/>
        <v>0</v>
      </c>
      <c r="K361" s="11">
        <v>0.0</v>
      </c>
      <c r="L361" s="11">
        <v>0.0</v>
      </c>
      <c r="M361" s="14">
        <f t="shared" si="3"/>
        <v>0</v>
      </c>
      <c r="N361" s="11">
        <v>0.0</v>
      </c>
      <c r="O361" s="14">
        <f t="shared" si="4"/>
        <v>0</v>
      </c>
      <c r="P361" s="11">
        <v>0.0</v>
      </c>
      <c r="Q361" s="15">
        <v>0.0</v>
      </c>
      <c r="R361" s="9">
        <v>10.0</v>
      </c>
      <c r="S361" s="16">
        <f t="shared" si="5"/>
        <v>0</v>
      </c>
      <c r="T361" s="17">
        <f t="shared" si="6"/>
        <v>0</v>
      </c>
      <c r="U361" s="14">
        <f t="shared" si="7"/>
        <v>-10</v>
      </c>
      <c r="V361" s="9" t="str">
        <f t="shared" si="8"/>
        <v>Low Performance</v>
      </c>
      <c r="W361" s="9"/>
    </row>
    <row r="362" ht="15.75" customHeight="1">
      <c r="A362" s="6">
        <v>46323.0</v>
      </c>
      <c r="B362" s="22" t="s">
        <v>50</v>
      </c>
      <c r="C362" s="23" t="s">
        <v>46</v>
      </c>
      <c r="D362" s="24" t="s">
        <v>27</v>
      </c>
      <c r="E362" s="10">
        <v>0.0</v>
      </c>
      <c r="F362" s="9">
        <f t="shared" si="1"/>
        <v>0</v>
      </c>
      <c r="G362" s="11">
        <v>0.0</v>
      </c>
      <c r="H362" s="9">
        <f t="shared" si="2"/>
        <v>0</v>
      </c>
      <c r="I362" s="11">
        <v>0.0</v>
      </c>
      <c r="J362" s="9">
        <f t="shared" si="12"/>
        <v>0</v>
      </c>
      <c r="K362" s="11">
        <v>0.0</v>
      </c>
      <c r="L362" s="11">
        <v>0.0</v>
      </c>
      <c r="M362" s="14">
        <f t="shared" si="3"/>
        <v>0</v>
      </c>
      <c r="N362" s="11">
        <v>0.0</v>
      </c>
      <c r="O362" s="14">
        <f t="shared" si="4"/>
        <v>0</v>
      </c>
      <c r="P362" s="11">
        <v>0.0</v>
      </c>
      <c r="Q362" s="15">
        <v>0.0</v>
      </c>
      <c r="R362" s="9">
        <v>10.0</v>
      </c>
      <c r="S362" s="16">
        <f t="shared" si="5"/>
        <v>0</v>
      </c>
      <c r="T362" s="17">
        <f t="shared" si="6"/>
        <v>0</v>
      </c>
      <c r="U362" s="14">
        <f t="shared" si="7"/>
        <v>-10</v>
      </c>
      <c r="V362" s="9" t="str">
        <f t="shared" si="8"/>
        <v>Low Performance</v>
      </c>
      <c r="W362" s="9"/>
    </row>
    <row r="363" ht="15.75" customHeight="1">
      <c r="A363" s="6">
        <v>46324.0</v>
      </c>
      <c r="B363" s="7" t="s">
        <v>25</v>
      </c>
      <c r="C363" s="8" t="s">
        <v>26</v>
      </c>
      <c r="D363" s="9" t="s">
        <v>27</v>
      </c>
      <c r="E363" s="10">
        <v>0.0</v>
      </c>
      <c r="F363" s="9">
        <f t="shared" si="1"/>
        <v>0</v>
      </c>
      <c r="G363" s="11">
        <v>0.0</v>
      </c>
      <c r="H363" s="9">
        <f t="shared" si="2"/>
        <v>0</v>
      </c>
      <c r="I363" s="11">
        <v>0.0</v>
      </c>
      <c r="J363" s="9">
        <f t="shared" si="12"/>
        <v>0</v>
      </c>
      <c r="K363" s="11">
        <v>0.0</v>
      </c>
      <c r="L363" s="11">
        <v>0.0</v>
      </c>
      <c r="M363" s="14">
        <f t="shared" si="3"/>
        <v>0</v>
      </c>
      <c r="N363" s="11">
        <v>0.0</v>
      </c>
      <c r="O363" s="14">
        <f t="shared" si="4"/>
        <v>0</v>
      </c>
      <c r="P363" s="11">
        <v>0.0</v>
      </c>
      <c r="Q363" s="15">
        <v>0.0</v>
      </c>
      <c r="R363" s="9">
        <v>10.0</v>
      </c>
      <c r="S363" s="16">
        <f t="shared" si="5"/>
        <v>0</v>
      </c>
      <c r="T363" s="17">
        <f t="shared" si="6"/>
        <v>0</v>
      </c>
      <c r="U363" s="14">
        <f t="shared" si="7"/>
        <v>-10</v>
      </c>
      <c r="V363" s="9" t="str">
        <f t="shared" si="8"/>
        <v>Low Performance</v>
      </c>
      <c r="W363" s="9"/>
    </row>
    <row r="364" ht="15.75" customHeight="1">
      <c r="A364" s="6">
        <v>46324.0</v>
      </c>
      <c r="B364" s="7" t="s">
        <v>30</v>
      </c>
      <c r="C364" s="18" t="s">
        <v>31</v>
      </c>
      <c r="D364" s="9" t="s">
        <v>27</v>
      </c>
      <c r="E364" s="10">
        <v>0.0</v>
      </c>
      <c r="F364" s="9">
        <f t="shared" si="1"/>
        <v>0</v>
      </c>
      <c r="G364" s="11">
        <v>0.0</v>
      </c>
      <c r="H364" s="9">
        <f t="shared" si="2"/>
        <v>0</v>
      </c>
      <c r="I364" s="11">
        <v>0.0</v>
      </c>
      <c r="J364" s="9">
        <f t="shared" si="12"/>
        <v>0</v>
      </c>
      <c r="K364" s="11">
        <v>0.0</v>
      </c>
      <c r="L364" s="11">
        <v>0.0</v>
      </c>
      <c r="M364" s="14">
        <f t="shared" si="3"/>
        <v>0</v>
      </c>
      <c r="N364" s="11">
        <v>0.0</v>
      </c>
      <c r="O364" s="14">
        <f t="shared" si="4"/>
        <v>0</v>
      </c>
      <c r="P364" s="11">
        <v>0.0</v>
      </c>
      <c r="Q364" s="15">
        <v>0.0</v>
      </c>
      <c r="R364" s="9">
        <v>10.0</v>
      </c>
      <c r="S364" s="16">
        <f t="shared" si="5"/>
        <v>0</v>
      </c>
      <c r="T364" s="17">
        <f t="shared" si="6"/>
        <v>0</v>
      </c>
      <c r="U364" s="14">
        <f t="shared" si="7"/>
        <v>-10</v>
      </c>
      <c r="V364" s="9" t="str">
        <f t="shared" si="8"/>
        <v>Low Performance</v>
      </c>
      <c r="W364" s="9"/>
    </row>
    <row r="365" ht="15.75" customHeight="1">
      <c r="A365" s="6">
        <v>46324.0</v>
      </c>
      <c r="B365" s="7" t="s">
        <v>32</v>
      </c>
      <c r="C365" s="18" t="s">
        <v>33</v>
      </c>
      <c r="D365" s="9" t="s">
        <v>27</v>
      </c>
      <c r="E365" s="10">
        <v>0.0</v>
      </c>
      <c r="F365" s="9">
        <f t="shared" si="1"/>
        <v>0</v>
      </c>
      <c r="G365" s="11">
        <v>0.0</v>
      </c>
      <c r="H365" s="9">
        <f t="shared" si="2"/>
        <v>0</v>
      </c>
      <c r="I365" s="11">
        <v>0.0</v>
      </c>
      <c r="J365" s="9">
        <f t="shared" si="12"/>
        <v>0</v>
      </c>
      <c r="K365" s="11">
        <v>0.0</v>
      </c>
      <c r="L365" s="11">
        <v>0.0</v>
      </c>
      <c r="M365" s="14">
        <f t="shared" si="3"/>
        <v>0</v>
      </c>
      <c r="N365" s="11">
        <v>0.0</v>
      </c>
      <c r="O365" s="14">
        <f t="shared" si="4"/>
        <v>0</v>
      </c>
      <c r="P365" s="11">
        <v>0.0</v>
      </c>
      <c r="Q365" s="15">
        <v>0.0</v>
      </c>
      <c r="R365" s="9">
        <v>10.0</v>
      </c>
      <c r="S365" s="16">
        <f t="shared" si="5"/>
        <v>0</v>
      </c>
      <c r="T365" s="17">
        <f t="shared" si="6"/>
        <v>0</v>
      </c>
      <c r="U365" s="14">
        <f t="shared" si="7"/>
        <v>-10</v>
      </c>
      <c r="V365" s="9" t="str">
        <f t="shared" si="8"/>
        <v>Low Performance</v>
      </c>
      <c r="W365" s="9"/>
    </row>
    <row r="366" ht="15.75" customHeight="1">
      <c r="A366" s="6">
        <v>46324.0</v>
      </c>
      <c r="B366" s="7" t="s">
        <v>34</v>
      </c>
      <c r="C366" s="18" t="s">
        <v>35</v>
      </c>
      <c r="D366" s="9" t="s">
        <v>27</v>
      </c>
      <c r="E366" s="10">
        <v>0.0</v>
      </c>
      <c r="F366" s="9">
        <f t="shared" si="1"/>
        <v>0</v>
      </c>
      <c r="G366" s="11">
        <v>0.0</v>
      </c>
      <c r="H366" s="9">
        <f t="shared" si="2"/>
        <v>0</v>
      </c>
      <c r="I366" s="11">
        <v>0.0</v>
      </c>
      <c r="J366" s="9">
        <f t="shared" si="12"/>
        <v>0</v>
      </c>
      <c r="K366" s="11">
        <v>0.0</v>
      </c>
      <c r="L366" s="11">
        <v>0.0</v>
      </c>
      <c r="M366" s="14">
        <f t="shared" si="3"/>
        <v>0</v>
      </c>
      <c r="N366" s="11">
        <v>0.0</v>
      </c>
      <c r="O366" s="14">
        <f t="shared" si="4"/>
        <v>0</v>
      </c>
      <c r="P366" s="11">
        <v>0.0</v>
      </c>
      <c r="Q366" s="15">
        <v>0.0</v>
      </c>
      <c r="R366" s="9">
        <v>10.0</v>
      </c>
      <c r="S366" s="16">
        <f t="shared" si="5"/>
        <v>0</v>
      </c>
      <c r="T366" s="17">
        <f t="shared" si="6"/>
        <v>0</v>
      </c>
      <c r="U366" s="14">
        <f t="shared" si="7"/>
        <v>-10</v>
      </c>
      <c r="V366" s="9" t="str">
        <f t="shared" si="8"/>
        <v>Low Performance</v>
      </c>
      <c r="W366" s="9"/>
    </row>
    <row r="367" ht="15.75" customHeight="1">
      <c r="A367" s="6">
        <v>46324.0</v>
      </c>
      <c r="B367" s="7" t="s">
        <v>28</v>
      </c>
      <c r="C367" s="9" t="s">
        <v>29</v>
      </c>
      <c r="D367" s="9" t="s">
        <v>27</v>
      </c>
      <c r="E367" s="10">
        <v>0.0</v>
      </c>
      <c r="F367" s="9">
        <f t="shared" si="1"/>
        <v>0</v>
      </c>
      <c r="G367" s="11">
        <v>0.0</v>
      </c>
      <c r="H367" s="9">
        <f t="shared" si="2"/>
        <v>0</v>
      </c>
      <c r="I367" s="11">
        <v>0.0</v>
      </c>
      <c r="J367" s="9">
        <f t="shared" si="12"/>
        <v>0</v>
      </c>
      <c r="K367" s="11">
        <v>0.0</v>
      </c>
      <c r="L367" s="11">
        <v>0.0</v>
      </c>
      <c r="M367" s="14">
        <f t="shared" si="3"/>
        <v>0</v>
      </c>
      <c r="N367" s="11">
        <v>0.0</v>
      </c>
      <c r="O367" s="14">
        <f t="shared" si="4"/>
        <v>0</v>
      </c>
      <c r="P367" s="11">
        <v>0.0</v>
      </c>
      <c r="Q367" s="15">
        <v>0.0</v>
      </c>
      <c r="R367" s="9">
        <v>10.0</v>
      </c>
      <c r="S367" s="16">
        <f t="shared" si="5"/>
        <v>0</v>
      </c>
      <c r="T367" s="17">
        <f t="shared" si="6"/>
        <v>0</v>
      </c>
      <c r="U367" s="14">
        <f t="shared" si="7"/>
        <v>-10</v>
      </c>
      <c r="V367" s="9" t="str">
        <f t="shared" si="8"/>
        <v>Low Performance</v>
      </c>
      <c r="W367" s="9"/>
    </row>
    <row r="368" ht="15.75" customHeight="1">
      <c r="A368" s="6">
        <v>46324.0</v>
      </c>
      <c r="B368" s="7" t="s">
        <v>36</v>
      </c>
      <c r="C368" s="9" t="s">
        <v>29</v>
      </c>
      <c r="D368" s="9" t="s">
        <v>27</v>
      </c>
      <c r="E368" s="10">
        <v>0.0</v>
      </c>
      <c r="F368" s="9">
        <f t="shared" si="1"/>
        <v>0</v>
      </c>
      <c r="G368" s="11">
        <v>0.0</v>
      </c>
      <c r="H368" s="9">
        <f t="shared" si="2"/>
        <v>0</v>
      </c>
      <c r="I368" s="11">
        <v>0.0</v>
      </c>
      <c r="J368" s="9">
        <f t="shared" si="12"/>
        <v>0</v>
      </c>
      <c r="K368" s="11">
        <v>0.0</v>
      </c>
      <c r="L368" s="11">
        <v>0.0</v>
      </c>
      <c r="M368" s="14">
        <f t="shared" si="3"/>
        <v>0</v>
      </c>
      <c r="N368" s="11">
        <v>0.0</v>
      </c>
      <c r="O368" s="14">
        <f t="shared" si="4"/>
        <v>0</v>
      </c>
      <c r="P368" s="11">
        <v>0.0</v>
      </c>
      <c r="Q368" s="15">
        <v>0.0</v>
      </c>
      <c r="R368" s="9">
        <v>10.0</v>
      </c>
      <c r="S368" s="16">
        <f t="shared" si="5"/>
        <v>0</v>
      </c>
      <c r="T368" s="17">
        <f t="shared" si="6"/>
        <v>0</v>
      </c>
      <c r="U368" s="14">
        <f t="shared" si="7"/>
        <v>-10</v>
      </c>
      <c r="V368" s="9" t="str">
        <f t="shared" si="8"/>
        <v>Low Performance</v>
      </c>
      <c r="W368" s="9"/>
    </row>
    <row r="369" ht="15.75" customHeight="1">
      <c r="A369" s="6">
        <v>46324.0</v>
      </c>
      <c r="B369" s="7" t="s">
        <v>37</v>
      </c>
      <c r="C369" s="9" t="s">
        <v>29</v>
      </c>
      <c r="D369" s="9" t="s">
        <v>27</v>
      </c>
      <c r="E369" s="10">
        <v>0.0</v>
      </c>
      <c r="F369" s="9">
        <f t="shared" si="1"/>
        <v>0</v>
      </c>
      <c r="G369" s="11">
        <v>0.0</v>
      </c>
      <c r="H369" s="9">
        <f t="shared" si="2"/>
        <v>0</v>
      </c>
      <c r="I369" s="11">
        <v>0.0</v>
      </c>
      <c r="J369" s="9">
        <f t="shared" si="12"/>
        <v>0</v>
      </c>
      <c r="K369" s="11">
        <v>0.0</v>
      </c>
      <c r="L369" s="11">
        <v>0.0</v>
      </c>
      <c r="M369" s="14">
        <f t="shared" si="3"/>
        <v>0</v>
      </c>
      <c r="N369" s="11">
        <v>0.0</v>
      </c>
      <c r="O369" s="14">
        <f t="shared" si="4"/>
        <v>0</v>
      </c>
      <c r="P369" s="11">
        <v>0.0</v>
      </c>
      <c r="Q369" s="15">
        <v>0.0</v>
      </c>
      <c r="R369" s="9">
        <v>10.0</v>
      </c>
      <c r="S369" s="16">
        <f t="shared" si="5"/>
        <v>0</v>
      </c>
      <c r="T369" s="17">
        <f t="shared" si="6"/>
        <v>0</v>
      </c>
      <c r="U369" s="14">
        <f t="shared" si="7"/>
        <v>-10</v>
      </c>
      <c r="V369" s="9" t="str">
        <f t="shared" si="8"/>
        <v>Low Performance</v>
      </c>
      <c r="W369" s="9"/>
    </row>
    <row r="370" ht="15.75" customHeight="1">
      <c r="A370" s="6">
        <v>46324.0</v>
      </c>
      <c r="B370" s="7" t="s">
        <v>38</v>
      </c>
      <c r="C370" s="9" t="s">
        <v>29</v>
      </c>
      <c r="D370" s="9" t="s">
        <v>27</v>
      </c>
      <c r="E370" s="10">
        <v>0.0</v>
      </c>
      <c r="F370" s="9">
        <f t="shared" si="1"/>
        <v>0</v>
      </c>
      <c r="G370" s="11">
        <v>0.0</v>
      </c>
      <c r="H370" s="9">
        <f t="shared" si="2"/>
        <v>0</v>
      </c>
      <c r="I370" s="11">
        <v>0.0</v>
      </c>
      <c r="J370" s="9">
        <f t="shared" si="12"/>
        <v>0</v>
      </c>
      <c r="K370" s="11">
        <v>0.0</v>
      </c>
      <c r="L370" s="11">
        <v>0.0</v>
      </c>
      <c r="M370" s="14">
        <f t="shared" si="3"/>
        <v>0</v>
      </c>
      <c r="N370" s="11">
        <v>0.0</v>
      </c>
      <c r="O370" s="14">
        <f t="shared" si="4"/>
        <v>0</v>
      </c>
      <c r="P370" s="11">
        <v>0.0</v>
      </c>
      <c r="Q370" s="15">
        <v>0.0</v>
      </c>
      <c r="R370" s="9">
        <v>10.0</v>
      </c>
      <c r="S370" s="16">
        <f t="shared" si="5"/>
        <v>0</v>
      </c>
      <c r="T370" s="17">
        <f t="shared" si="6"/>
        <v>0</v>
      </c>
      <c r="U370" s="14">
        <f t="shared" si="7"/>
        <v>-10</v>
      </c>
      <c r="V370" s="9" t="str">
        <f t="shared" si="8"/>
        <v>Low Performance</v>
      </c>
      <c r="W370" s="9"/>
    </row>
    <row r="371" ht="15.75" customHeight="1">
      <c r="A371" s="6">
        <v>46324.0</v>
      </c>
      <c r="B371" s="20" t="s">
        <v>39</v>
      </c>
      <c r="C371" s="9" t="s">
        <v>40</v>
      </c>
      <c r="D371" s="9" t="s">
        <v>27</v>
      </c>
      <c r="E371" s="10">
        <v>0.0</v>
      </c>
      <c r="F371" s="9">
        <f t="shared" si="1"/>
        <v>0</v>
      </c>
      <c r="G371" s="11">
        <v>0.0</v>
      </c>
      <c r="H371" s="9">
        <f t="shared" si="2"/>
        <v>0</v>
      </c>
      <c r="I371" s="11">
        <v>0.0</v>
      </c>
      <c r="J371" s="9">
        <f t="shared" si="12"/>
        <v>0</v>
      </c>
      <c r="K371" s="11">
        <v>0.0</v>
      </c>
      <c r="L371" s="11">
        <v>0.0</v>
      </c>
      <c r="M371" s="14">
        <f t="shared" si="3"/>
        <v>0</v>
      </c>
      <c r="N371" s="11">
        <v>0.0</v>
      </c>
      <c r="O371" s="14">
        <f t="shared" si="4"/>
        <v>0</v>
      </c>
      <c r="P371" s="11">
        <v>0.0</v>
      </c>
      <c r="Q371" s="15">
        <v>0.0</v>
      </c>
      <c r="R371" s="9">
        <v>10.0</v>
      </c>
      <c r="S371" s="16">
        <f t="shared" si="5"/>
        <v>0</v>
      </c>
      <c r="T371" s="17">
        <f t="shared" si="6"/>
        <v>0</v>
      </c>
      <c r="U371" s="14">
        <f t="shared" si="7"/>
        <v>-10</v>
      </c>
      <c r="V371" s="9" t="str">
        <f t="shared" si="8"/>
        <v>Low Performance</v>
      </c>
      <c r="W371" s="9"/>
    </row>
    <row r="372" ht="15.75" customHeight="1">
      <c r="A372" s="6">
        <v>46324.0</v>
      </c>
      <c r="B372" s="7" t="s">
        <v>41</v>
      </c>
      <c r="C372" s="9" t="s">
        <v>40</v>
      </c>
      <c r="D372" s="9" t="s">
        <v>27</v>
      </c>
      <c r="E372" s="10">
        <v>0.0</v>
      </c>
      <c r="F372" s="9">
        <f t="shared" si="1"/>
        <v>0</v>
      </c>
      <c r="G372" s="11">
        <v>0.0</v>
      </c>
      <c r="H372" s="9">
        <f t="shared" si="2"/>
        <v>0</v>
      </c>
      <c r="I372" s="11">
        <v>0.0</v>
      </c>
      <c r="J372" s="9">
        <f t="shared" si="12"/>
        <v>0</v>
      </c>
      <c r="K372" s="11">
        <v>0.0</v>
      </c>
      <c r="L372" s="11">
        <v>0.0</v>
      </c>
      <c r="M372" s="14">
        <f t="shared" si="3"/>
        <v>0</v>
      </c>
      <c r="N372" s="11">
        <v>0.0</v>
      </c>
      <c r="O372" s="14">
        <f t="shared" si="4"/>
        <v>0</v>
      </c>
      <c r="P372" s="11">
        <v>0.0</v>
      </c>
      <c r="Q372" s="15">
        <v>0.0</v>
      </c>
      <c r="R372" s="9">
        <v>10.0</v>
      </c>
      <c r="S372" s="16">
        <f t="shared" si="5"/>
        <v>0</v>
      </c>
      <c r="T372" s="17">
        <f t="shared" si="6"/>
        <v>0</v>
      </c>
      <c r="U372" s="14">
        <f t="shared" si="7"/>
        <v>-10</v>
      </c>
      <c r="V372" s="9" t="str">
        <f t="shared" si="8"/>
        <v>Low Performance</v>
      </c>
      <c r="W372" s="9"/>
    </row>
    <row r="373" ht="15.75" customHeight="1">
      <c r="A373" s="6">
        <v>46324.0</v>
      </c>
      <c r="B373" s="7" t="s">
        <v>42</v>
      </c>
      <c r="C373" s="9" t="s">
        <v>40</v>
      </c>
      <c r="D373" s="9" t="s">
        <v>27</v>
      </c>
      <c r="E373" s="10">
        <v>0.0</v>
      </c>
      <c r="F373" s="9">
        <f t="shared" si="1"/>
        <v>0</v>
      </c>
      <c r="G373" s="11">
        <v>0.0</v>
      </c>
      <c r="H373" s="9">
        <f t="shared" si="2"/>
        <v>0</v>
      </c>
      <c r="I373" s="11">
        <v>0.0</v>
      </c>
      <c r="J373" s="9">
        <f t="shared" si="12"/>
        <v>0</v>
      </c>
      <c r="K373" s="11">
        <v>0.0</v>
      </c>
      <c r="L373" s="11">
        <v>0.0</v>
      </c>
      <c r="M373" s="14">
        <f t="shared" si="3"/>
        <v>0</v>
      </c>
      <c r="N373" s="11">
        <v>0.0</v>
      </c>
      <c r="O373" s="14">
        <f t="shared" si="4"/>
        <v>0</v>
      </c>
      <c r="P373" s="11">
        <v>0.0</v>
      </c>
      <c r="Q373" s="15">
        <v>0.0</v>
      </c>
      <c r="R373" s="9">
        <v>10.0</v>
      </c>
      <c r="S373" s="16">
        <f t="shared" si="5"/>
        <v>0</v>
      </c>
      <c r="T373" s="17">
        <f t="shared" si="6"/>
        <v>0</v>
      </c>
      <c r="U373" s="14">
        <f t="shared" si="7"/>
        <v>-10</v>
      </c>
      <c r="V373" s="9" t="str">
        <f t="shared" si="8"/>
        <v>Low Performance</v>
      </c>
      <c r="W373" s="9"/>
    </row>
    <row r="374" ht="15.75" customHeight="1">
      <c r="A374" s="6">
        <v>46324.0</v>
      </c>
      <c r="B374" s="7" t="s">
        <v>43</v>
      </c>
      <c r="C374" s="9" t="s">
        <v>40</v>
      </c>
      <c r="D374" s="9" t="s">
        <v>27</v>
      </c>
      <c r="E374" s="10">
        <v>0.0</v>
      </c>
      <c r="F374" s="9">
        <f t="shared" si="1"/>
        <v>0</v>
      </c>
      <c r="G374" s="11">
        <v>0.0</v>
      </c>
      <c r="H374" s="9">
        <f t="shared" si="2"/>
        <v>0</v>
      </c>
      <c r="I374" s="11">
        <v>0.0</v>
      </c>
      <c r="J374" s="9">
        <f t="shared" si="12"/>
        <v>0</v>
      </c>
      <c r="K374" s="11">
        <v>0.0</v>
      </c>
      <c r="L374" s="11">
        <v>0.0</v>
      </c>
      <c r="M374" s="14">
        <f t="shared" si="3"/>
        <v>0</v>
      </c>
      <c r="N374" s="11">
        <v>0.0</v>
      </c>
      <c r="O374" s="14">
        <f t="shared" si="4"/>
        <v>0</v>
      </c>
      <c r="P374" s="11">
        <v>0.0</v>
      </c>
      <c r="Q374" s="15">
        <v>0.0</v>
      </c>
      <c r="R374" s="9">
        <v>10.0</v>
      </c>
      <c r="S374" s="16">
        <f t="shared" si="5"/>
        <v>0</v>
      </c>
      <c r="T374" s="17">
        <f t="shared" si="6"/>
        <v>0</v>
      </c>
      <c r="U374" s="14">
        <f t="shared" si="7"/>
        <v>-10</v>
      </c>
      <c r="V374" s="9" t="str">
        <f t="shared" si="8"/>
        <v>Low Performance</v>
      </c>
      <c r="W374" s="9"/>
    </row>
    <row r="375" ht="15.75" customHeight="1">
      <c r="A375" s="6">
        <v>46324.0</v>
      </c>
      <c r="B375" s="7" t="s">
        <v>45</v>
      </c>
      <c r="C375" s="18" t="s">
        <v>46</v>
      </c>
      <c r="D375" s="9" t="s">
        <v>27</v>
      </c>
      <c r="E375" s="10">
        <v>0.0</v>
      </c>
      <c r="F375" s="9">
        <f t="shared" si="1"/>
        <v>0</v>
      </c>
      <c r="G375" s="11">
        <v>0.0</v>
      </c>
      <c r="H375" s="9">
        <f t="shared" si="2"/>
        <v>0</v>
      </c>
      <c r="I375" s="11">
        <v>0.0</v>
      </c>
      <c r="J375" s="9">
        <f t="shared" si="12"/>
        <v>0</v>
      </c>
      <c r="K375" s="11">
        <v>0.0</v>
      </c>
      <c r="L375" s="11">
        <v>0.0</v>
      </c>
      <c r="M375" s="14">
        <f t="shared" si="3"/>
        <v>0</v>
      </c>
      <c r="N375" s="11">
        <v>0.0</v>
      </c>
      <c r="O375" s="14">
        <f t="shared" si="4"/>
        <v>0</v>
      </c>
      <c r="P375" s="11">
        <v>0.0</v>
      </c>
      <c r="Q375" s="15">
        <v>0.0</v>
      </c>
      <c r="R375" s="9">
        <v>10.0</v>
      </c>
      <c r="S375" s="16">
        <f t="shared" si="5"/>
        <v>0</v>
      </c>
      <c r="T375" s="17">
        <f t="shared" si="6"/>
        <v>0</v>
      </c>
      <c r="U375" s="14">
        <f t="shared" si="7"/>
        <v>-10</v>
      </c>
      <c r="V375" s="9" t="str">
        <f t="shared" si="8"/>
        <v>Low Performance</v>
      </c>
      <c r="W375" s="9"/>
    </row>
    <row r="376" ht="15.75" customHeight="1">
      <c r="A376" s="6">
        <v>46324.0</v>
      </c>
      <c r="B376" s="7" t="s">
        <v>49</v>
      </c>
      <c r="C376" s="18" t="s">
        <v>46</v>
      </c>
      <c r="D376" s="9" t="s">
        <v>27</v>
      </c>
      <c r="E376" s="10">
        <v>0.0</v>
      </c>
      <c r="F376" s="9">
        <f t="shared" si="1"/>
        <v>0</v>
      </c>
      <c r="G376" s="11">
        <v>0.0</v>
      </c>
      <c r="H376" s="9">
        <f t="shared" si="2"/>
        <v>0</v>
      </c>
      <c r="I376" s="11">
        <v>0.0</v>
      </c>
      <c r="J376" s="9">
        <f t="shared" si="12"/>
        <v>0</v>
      </c>
      <c r="K376" s="11">
        <v>0.0</v>
      </c>
      <c r="L376" s="11">
        <v>0.0</v>
      </c>
      <c r="M376" s="14">
        <f t="shared" si="3"/>
        <v>0</v>
      </c>
      <c r="N376" s="11">
        <v>0.0</v>
      </c>
      <c r="O376" s="14">
        <f t="shared" si="4"/>
        <v>0</v>
      </c>
      <c r="P376" s="11">
        <v>0.0</v>
      </c>
      <c r="Q376" s="15">
        <v>0.0</v>
      </c>
      <c r="R376" s="9">
        <v>10.0</v>
      </c>
      <c r="S376" s="16">
        <f t="shared" si="5"/>
        <v>0</v>
      </c>
      <c r="T376" s="17">
        <f t="shared" si="6"/>
        <v>0</v>
      </c>
      <c r="U376" s="14">
        <f t="shared" si="7"/>
        <v>-10</v>
      </c>
      <c r="V376" s="9" t="str">
        <f t="shared" si="8"/>
        <v>Low Performance</v>
      </c>
      <c r="W376" s="9"/>
    </row>
    <row r="377" ht="15.75" customHeight="1">
      <c r="A377" s="6">
        <v>46324.0</v>
      </c>
      <c r="B377" s="22" t="s">
        <v>50</v>
      </c>
      <c r="C377" s="23" t="s">
        <v>46</v>
      </c>
      <c r="D377" s="24" t="s">
        <v>27</v>
      </c>
      <c r="E377" s="10">
        <v>0.0</v>
      </c>
      <c r="F377" s="9">
        <f t="shared" si="1"/>
        <v>0</v>
      </c>
      <c r="G377" s="11">
        <v>0.0</v>
      </c>
      <c r="H377" s="9">
        <f t="shared" si="2"/>
        <v>0</v>
      </c>
      <c r="I377" s="11">
        <v>0.0</v>
      </c>
      <c r="J377" s="9">
        <f t="shared" si="12"/>
        <v>0</v>
      </c>
      <c r="K377" s="11">
        <v>0.0</v>
      </c>
      <c r="L377" s="11">
        <v>0.0</v>
      </c>
      <c r="M377" s="14">
        <f t="shared" si="3"/>
        <v>0</v>
      </c>
      <c r="N377" s="11">
        <v>0.0</v>
      </c>
      <c r="O377" s="14">
        <f t="shared" si="4"/>
        <v>0</v>
      </c>
      <c r="P377" s="11">
        <v>0.0</v>
      </c>
      <c r="Q377" s="15">
        <v>0.0</v>
      </c>
      <c r="R377" s="9">
        <v>10.0</v>
      </c>
      <c r="S377" s="16">
        <f t="shared" si="5"/>
        <v>0</v>
      </c>
      <c r="T377" s="17">
        <f t="shared" si="6"/>
        <v>0</v>
      </c>
      <c r="U377" s="14">
        <f t="shared" si="7"/>
        <v>-10</v>
      </c>
      <c r="V377" s="9" t="str">
        <f t="shared" si="8"/>
        <v>Low Performance</v>
      </c>
      <c r="W377" s="9"/>
    </row>
    <row r="378" ht="15.75" customHeight="1">
      <c r="A378" s="6">
        <v>46326.0</v>
      </c>
      <c r="B378" s="7" t="s">
        <v>25</v>
      </c>
      <c r="C378" s="8" t="s">
        <v>26</v>
      </c>
      <c r="D378" s="9" t="s">
        <v>27</v>
      </c>
      <c r="E378" s="10">
        <v>0.0</v>
      </c>
      <c r="F378" s="9">
        <f t="shared" si="1"/>
        <v>0</v>
      </c>
      <c r="G378" s="11">
        <v>0.0</v>
      </c>
      <c r="H378" s="9">
        <f t="shared" si="2"/>
        <v>0</v>
      </c>
      <c r="I378" s="11">
        <v>0.0</v>
      </c>
      <c r="J378" s="9">
        <f t="shared" si="12"/>
        <v>0</v>
      </c>
      <c r="K378" s="11">
        <v>0.0</v>
      </c>
      <c r="L378" s="11">
        <v>0.0</v>
      </c>
      <c r="M378" s="14">
        <f t="shared" si="3"/>
        <v>0</v>
      </c>
      <c r="N378" s="11">
        <v>0.0</v>
      </c>
      <c r="O378" s="14">
        <f t="shared" si="4"/>
        <v>0</v>
      </c>
      <c r="P378" s="11">
        <v>0.0</v>
      </c>
      <c r="Q378" s="15">
        <v>0.0</v>
      </c>
      <c r="R378" s="9">
        <v>10.0</v>
      </c>
      <c r="S378" s="16">
        <f t="shared" si="5"/>
        <v>0</v>
      </c>
      <c r="T378" s="17">
        <f t="shared" si="6"/>
        <v>0</v>
      </c>
      <c r="U378" s="14">
        <f t="shared" si="7"/>
        <v>-10</v>
      </c>
      <c r="V378" s="9" t="str">
        <f t="shared" si="8"/>
        <v>Low Performance</v>
      </c>
      <c r="W378" s="9"/>
    </row>
    <row r="379" ht="15.75" customHeight="1">
      <c r="A379" s="6">
        <v>46326.0</v>
      </c>
      <c r="B379" s="7" t="s">
        <v>30</v>
      </c>
      <c r="C379" s="18" t="s">
        <v>31</v>
      </c>
      <c r="D379" s="9" t="s">
        <v>27</v>
      </c>
      <c r="E379" s="10">
        <v>0.0</v>
      </c>
      <c r="F379" s="9">
        <f t="shared" si="1"/>
        <v>0</v>
      </c>
      <c r="G379" s="11">
        <v>0.0</v>
      </c>
      <c r="H379" s="9">
        <f t="shared" si="2"/>
        <v>0</v>
      </c>
      <c r="I379" s="11">
        <v>0.0</v>
      </c>
      <c r="J379" s="9">
        <f t="shared" si="12"/>
        <v>0</v>
      </c>
      <c r="K379" s="11">
        <v>0.0</v>
      </c>
      <c r="L379" s="11">
        <v>0.0</v>
      </c>
      <c r="M379" s="14">
        <f t="shared" si="3"/>
        <v>0</v>
      </c>
      <c r="N379" s="11">
        <v>0.0</v>
      </c>
      <c r="O379" s="14">
        <f t="shared" si="4"/>
        <v>0</v>
      </c>
      <c r="P379" s="11">
        <v>0.0</v>
      </c>
      <c r="Q379" s="15">
        <v>0.0</v>
      </c>
      <c r="R379" s="9">
        <v>10.0</v>
      </c>
      <c r="S379" s="16">
        <f t="shared" si="5"/>
        <v>0</v>
      </c>
      <c r="T379" s="17">
        <f t="shared" si="6"/>
        <v>0</v>
      </c>
      <c r="U379" s="14">
        <f t="shared" si="7"/>
        <v>-10</v>
      </c>
      <c r="V379" s="9" t="str">
        <f t="shared" si="8"/>
        <v>Low Performance</v>
      </c>
      <c r="W379" s="9"/>
    </row>
    <row r="380" ht="15.75" customHeight="1">
      <c r="A380" s="6">
        <v>46326.0</v>
      </c>
      <c r="B380" s="7" t="s">
        <v>32</v>
      </c>
      <c r="C380" s="18" t="s">
        <v>33</v>
      </c>
      <c r="D380" s="9" t="s">
        <v>27</v>
      </c>
      <c r="E380" s="10">
        <v>0.0</v>
      </c>
      <c r="F380" s="9">
        <f t="shared" si="1"/>
        <v>0</v>
      </c>
      <c r="G380" s="11">
        <v>0.0</v>
      </c>
      <c r="H380" s="9">
        <f t="shared" si="2"/>
        <v>0</v>
      </c>
      <c r="I380" s="11">
        <v>0.0</v>
      </c>
      <c r="J380" s="9">
        <f t="shared" si="12"/>
        <v>0</v>
      </c>
      <c r="K380" s="11">
        <v>0.0</v>
      </c>
      <c r="L380" s="11">
        <v>0.0</v>
      </c>
      <c r="M380" s="14">
        <f t="shared" si="3"/>
        <v>0</v>
      </c>
      <c r="N380" s="11">
        <v>0.0</v>
      </c>
      <c r="O380" s="14">
        <f t="shared" si="4"/>
        <v>0</v>
      </c>
      <c r="P380" s="11">
        <v>0.0</v>
      </c>
      <c r="Q380" s="15">
        <v>0.0</v>
      </c>
      <c r="R380" s="9">
        <v>10.0</v>
      </c>
      <c r="S380" s="16">
        <f t="shared" si="5"/>
        <v>0</v>
      </c>
      <c r="T380" s="17">
        <f t="shared" si="6"/>
        <v>0</v>
      </c>
      <c r="U380" s="14">
        <f t="shared" si="7"/>
        <v>-10</v>
      </c>
      <c r="V380" s="9" t="str">
        <f t="shared" si="8"/>
        <v>Low Performance</v>
      </c>
      <c r="W380" s="9"/>
    </row>
    <row r="381" ht="15.75" customHeight="1">
      <c r="A381" s="6">
        <v>46326.0</v>
      </c>
      <c r="B381" s="7" t="s">
        <v>34</v>
      </c>
      <c r="C381" s="18" t="s">
        <v>35</v>
      </c>
      <c r="D381" s="9" t="s">
        <v>27</v>
      </c>
      <c r="E381" s="10">
        <v>0.0</v>
      </c>
      <c r="F381" s="9">
        <f t="shared" si="1"/>
        <v>0</v>
      </c>
      <c r="G381" s="11">
        <v>0.0</v>
      </c>
      <c r="H381" s="9">
        <f t="shared" si="2"/>
        <v>0</v>
      </c>
      <c r="I381" s="11">
        <v>0.0</v>
      </c>
      <c r="J381" s="9">
        <f t="shared" si="12"/>
        <v>0</v>
      </c>
      <c r="K381" s="11">
        <v>0.0</v>
      </c>
      <c r="L381" s="11">
        <v>0.0</v>
      </c>
      <c r="M381" s="14">
        <f t="shared" si="3"/>
        <v>0</v>
      </c>
      <c r="N381" s="11">
        <v>0.0</v>
      </c>
      <c r="O381" s="14">
        <f t="shared" si="4"/>
        <v>0</v>
      </c>
      <c r="P381" s="11">
        <v>0.0</v>
      </c>
      <c r="Q381" s="15">
        <v>0.0</v>
      </c>
      <c r="R381" s="9">
        <v>10.0</v>
      </c>
      <c r="S381" s="16">
        <f t="shared" si="5"/>
        <v>0</v>
      </c>
      <c r="T381" s="17">
        <f t="shared" si="6"/>
        <v>0</v>
      </c>
      <c r="U381" s="14">
        <f t="shared" si="7"/>
        <v>-10</v>
      </c>
      <c r="V381" s="9" t="str">
        <f t="shared" si="8"/>
        <v>Low Performance</v>
      </c>
      <c r="W381" s="9"/>
    </row>
    <row r="382" ht="15.75" customHeight="1">
      <c r="A382" s="6">
        <v>46326.0</v>
      </c>
      <c r="B382" s="7" t="s">
        <v>28</v>
      </c>
      <c r="C382" s="9" t="s">
        <v>29</v>
      </c>
      <c r="D382" s="9" t="s">
        <v>27</v>
      </c>
      <c r="E382" s="10">
        <v>0.0</v>
      </c>
      <c r="F382" s="9">
        <f t="shared" si="1"/>
        <v>0</v>
      </c>
      <c r="G382" s="11">
        <v>0.0</v>
      </c>
      <c r="H382" s="9">
        <f t="shared" si="2"/>
        <v>0</v>
      </c>
      <c r="I382" s="11">
        <v>0.0</v>
      </c>
      <c r="J382" s="9">
        <f t="shared" si="12"/>
        <v>0</v>
      </c>
      <c r="K382" s="11">
        <v>0.0</v>
      </c>
      <c r="L382" s="11">
        <v>0.0</v>
      </c>
      <c r="M382" s="14">
        <f t="shared" si="3"/>
        <v>0</v>
      </c>
      <c r="N382" s="11">
        <v>0.0</v>
      </c>
      <c r="O382" s="14">
        <f t="shared" si="4"/>
        <v>0</v>
      </c>
      <c r="P382" s="11">
        <v>0.0</v>
      </c>
      <c r="Q382" s="15">
        <v>0.0</v>
      </c>
      <c r="R382" s="9">
        <v>10.0</v>
      </c>
      <c r="S382" s="16">
        <f t="shared" si="5"/>
        <v>0</v>
      </c>
      <c r="T382" s="17">
        <f t="shared" si="6"/>
        <v>0</v>
      </c>
      <c r="U382" s="14">
        <f t="shared" si="7"/>
        <v>-10</v>
      </c>
      <c r="V382" s="9" t="str">
        <f t="shared" si="8"/>
        <v>Low Performance</v>
      </c>
      <c r="W382" s="9"/>
    </row>
    <row r="383" ht="15.75" customHeight="1">
      <c r="A383" s="6">
        <v>46326.0</v>
      </c>
      <c r="B383" s="7" t="s">
        <v>36</v>
      </c>
      <c r="C383" s="9" t="s">
        <v>29</v>
      </c>
      <c r="D383" s="9" t="s">
        <v>27</v>
      </c>
      <c r="E383" s="10">
        <v>0.0</v>
      </c>
      <c r="F383" s="9">
        <f t="shared" si="1"/>
        <v>0</v>
      </c>
      <c r="G383" s="11">
        <v>0.0</v>
      </c>
      <c r="H383" s="9">
        <f t="shared" si="2"/>
        <v>0</v>
      </c>
      <c r="I383" s="11">
        <v>0.0</v>
      </c>
      <c r="J383" s="9">
        <f t="shared" si="12"/>
        <v>0</v>
      </c>
      <c r="K383" s="11">
        <v>0.0</v>
      </c>
      <c r="L383" s="11">
        <v>0.0</v>
      </c>
      <c r="M383" s="14">
        <f t="shared" si="3"/>
        <v>0</v>
      </c>
      <c r="N383" s="11">
        <v>0.0</v>
      </c>
      <c r="O383" s="14">
        <f t="shared" si="4"/>
        <v>0</v>
      </c>
      <c r="P383" s="11">
        <v>0.0</v>
      </c>
      <c r="Q383" s="15">
        <v>0.0</v>
      </c>
      <c r="R383" s="9">
        <v>10.0</v>
      </c>
      <c r="S383" s="16">
        <f t="shared" si="5"/>
        <v>0</v>
      </c>
      <c r="T383" s="17">
        <f t="shared" si="6"/>
        <v>0</v>
      </c>
      <c r="U383" s="14">
        <f t="shared" si="7"/>
        <v>-10</v>
      </c>
      <c r="V383" s="9" t="str">
        <f t="shared" si="8"/>
        <v>Low Performance</v>
      </c>
      <c r="W383" s="9"/>
    </row>
    <row r="384" ht="15.75" customHeight="1">
      <c r="A384" s="6">
        <v>46326.0</v>
      </c>
      <c r="B384" s="7" t="s">
        <v>37</v>
      </c>
      <c r="C384" s="9" t="s">
        <v>29</v>
      </c>
      <c r="D384" s="9" t="s">
        <v>27</v>
      </c>
      <c r="E384" s="10">
        <v>0.0</v>
      </c>
      <c r="F384" s="9">
        <f t="shared" si="1"/>
        <v>0</v>
      </c>
      <c r="G384" s="11">
        <v>0.0</v>
      </c>
      <c r="H384" s="9">
        <f t="shared" si="2"/>
        <v>0</v>
      </c>
      <c r="I384" s="11">
        <v>0.0</v>
      </c>
      <c r="J384" s="9">
        <f t="shared" si="12"/>
        <v>0</v>
      </c>
      <c r="K384" s="11">
        <v>0.0</v>
      </c>
      <c r="L384" s="11">
        <v>0.0</v>
      </c>
      <c r="M384" s="14">
        <f t="shared" si="3"/>
        <v>0</v>
      </c>
      <c r="N384" s="11">
        <v>0.0</v>
      </c>
      <c r="O384" s="14">
        <f t="shared" si="4"/>
        <v>0</v>
      </c>
      <c r="P384" s="11">
        <v>0.0</v>
      </c>
      <c r="Q384" s="15">
        <v>0.0</v>
      </c>
      <c r="R384" s="9">
        <v>10.0</v>
      </c>
      <c r="S384" s="16">
        <f t="shared" si="5"/>
        <v>0</v>
      </c>
      <c r="T384" s="17">
        <f t="shared" si="6"/>
        <v>0</v>
      </c>
      <c r="U384" s="14">
        <f t="shared" si="7"/>
        <v>-10</v>
      </c>
      <c r="V384" s="9" t="str">
        <f t="shared" si="8"/>
        <v>Low Performance</v>
      </c>
      <c r="W384" s="9"/>
    </row>
    <row r="385" ht="15.75" customHeight="1">
      <c r="A385" s="6">
        <v>46326.0</v>
      </c>
      <c r="B385" s="7" t="s">
        <v>38</v>
      </c>
      <c r="C385" s="9" t="s">
        <v>29</v>
      </c>
      <c r="D385" s="9" t="s">
        <v>27</v>
      </c>
      <c r="E385" s="10">
        <v>0.0</v>
      </c>
      <c r="F385" s="9">
        <f t="shared" si="1"/>
        <v>0</v>
      </c>
      <c r="G385" s="11">
        <v>0.0</v>
      </c>
      <c r="H385" s="9">
        <f t="shared" si="2"/>
        <v>0</v>
      </c>
      <c r="I385" s="11">
        <v>0.0</v>
      </c>
      <c r="J385" s="9">
        <f t="shared" si="12"/>
        <v>0</v>
      </c>
      <c r="K385" s="11">
        <v>0.0</v>
      </c>
      <c r="L385" s="11">
        <v>0.0</v>
      </c>
      <c r="M385" s="14">
        <f t="shared" si="3"/>
        <v>0</v>
      </c>
      <c r="N385" s="11">
        <v>0.0</v>
      </c>
      <c r="O385" s="14">
        <f t="shared" si="4"/>
        <v>0</v>
      </c>
      <c r="P385" s="11">
        <v>0.0</v>
      </c>
      <c r="Q385" s="15">
        <v>0.0</v>
      </c>
      <c r="R385" s="9">
        <v>10.0</v>
      </c>
      <c r="S385" s="16">
        <f t="shared" si="5"/>
        <v>0</v>
      </c>
      <c r="T385" s="17">
        <f t="shared" si="6"/>
        <v>0</v>
      </c>
      <c r="U385" s="14">
        <f t="shared" si="7"/>
        <v>-10</v>
      </c>
      <c r="V385" s="9" t="str">
        <f t="shared" si="8"/>
        <v>Low Performance</v>
      </c>
      <c r="W385" s="9"/>
    </row>
    <row r="386" ht="15.75" customHeight="1">
      <c r="A386" s="6">
        <v>46326.0</v>
      </c>
      <c r="B386" s="20" t="s">
        <v>39</v>
      </c>
      <c r="C386" s="9" t="s">
        <v>40</v>
      </c>
      <c r="D386" s="9" t="s">
        <v>27</v>
      </c>
      <c r="E386" s="10">
        <v>0.0</v>
      </c>
      <c r="F386" s="9">
        <f t="shared" si="1"/>
        <v>0</v>
      </c>
      <c r="G386" s="11">
        <v>0.0</v>
      </c>
      <c r="H386" s="9">
        <f t="shared" si="2"/>
        <v>0</v>
      </c>
      <c r="I386" s="11">
        <v>0.0</v>
      </c>
      <c r="J386" s="9">
        <f t="shared" si="12"/>
        <v>0</v>
      </c>
      <c r="K386" s="11">
        <v>0.0</v>
      </c>
      <c r="L386" s="11">
        <v>0.0</v>
      </c>
      <c r="M386" s="14">
        <f t="shared" si="3"/>
        <v>0</v>
      </c>
      <c r="N386" s="11">
        <v>0.0</v>
      </c>
      <c r="O386" s="14">
        <f t="shared" si="4"/>
        <v>0</v>
      </c>
      <c r="P386" s="11">
        <v>0.0</v>
      </c>
      <c r="Q386" s="15">
        <v>0.0</v>
      </c>
      <c r="R386" s="9">
        <v>10.0</v>
      </c>
      <c r="S386" s="16">
        <f t="shared" si="5"/>
        <v>0</v>
      </c>
      <c r="T386" s="17">
        <f t="shared" si="6"/>
        <v>0</v>
      </c>
      <c r="U386" s="14">
        <f t="shared" si="7"/>
        <v>-10</v>
      </c>
      <c r="V386" s="9" t="str">
        <f t="shared" si="8"/>
        <v>Low Performance</v>
      </c>
      <c r="W386" s="9"/>
    </row>
    <row r="387" ht="15.75" customHeight="1">
      <c r="A387" s="6">
        <v>46326.0</v>
      </c>
      <c r="B387" s="7" t="s">
        <v>41</v>
      </c>
      <c r="C387" s="9" t="s">
        <v>40</v>
      </c>
      <c r="D387" s="9" t="s">
        <v>27</v>
      </c>
      <c r="E387" s="10">
        <v>0.0</v>
      </c>
      <c r="F387" s="9">
        <f t="shared" si="1"/>
        <v>0</v>
      </c>
      <c r="G387" s="11">
        <v>0.0</v>
      </c>
      <c r="H387" s="9">
        <f t="shared" si="2"/>
        <v>0</v>
      </c>
      <c r="I387" s="11">
        <v>0.0</v>
      </c>
      <c r="J387" s="9">
        <f t="shared" si="12"/>
        <v>0</v>
      </c>
      <c r="K387" s="11">
        <v>0.0</v>
      </c>
      <c r="L387" s="11">
        <v>0.0</v>
      </c>
      <c r="M387" s="14">
        <f t="shared" si="3"/>
        <v>0</v>
      </c>
      <c r="N387" s="11">
        <v>0.0</v>
      </c>
      <c r="O387" s="14">
        <f t="shared" si="4"/>
        <v>0</v>
      </c>
      <c r="P387" s="11">
        <v>0.0</v>
      </c>
      <c r="Q387" s="15">
        <v>0.0</v>
      </c>
      <c r="R387" s="9">
        <v>10.0</v>
      </c>
      <c r="S387" s="16">
        <f t="shared" si="5"/>
        <v>0</v>
      </c>
      <c r="T387" s="17">
        <f t="shared" si="6"/>
        <v>0</v>
      </c>
      <c r="U387" s="14">
        <f t="shared" si="7"/>
        <v>-10</v>
      </c>
      <c r="V387" s="9" t="str">
        <f t="shared" si="8"/>
        <v>Low Performance</v>
      </c>
      <c r="W387" s="9"/>
    </row>
    <row r="388" ht="15.75" customHeight="1">
      <c r="A388" s="6">
        <v>46326.0</v>
      </c>
      <c r="B388" s="7" t="s">
        <v>42</v>
      </c>
      <c r="C388" s="9" t="s">
        <v>40</v>
      </c>
      <c r="D388" s="9" t="s">
        <v>27</v>
      </c>
      <c r="E388" s="10">
        <v>0.0</v>
      </c>
      <c r="F388" s="9">
        <f t="shared" si="1"/>
        <v>0</v>
      </c>
      <c r="G388" s="11">
        <v>0.0</v>
      </c>
      <c r="H388" s="9">
        <f t="shared" si="2"/>
        <v>0</v>
      </c>
      <c r="I388" s="11">
        <v>0.0</v>
      </c>
      <c r="J388" s="9">
        <f t="shared" si="12"/>
        <v>0</v>
      </c>
      <c r="K388" s="11">
        <v>0.0</v>
      </c>
      <c r="L388" s="11">
        <v>0.0</v>
      </c>
      <c r="M388" s="14">
        <f t="shared" si="3"/>
        <v>0</v>
      </c>
      <c r="N388" s="11">
        <v>0.0</v>
      </c>
      <c r="O388" s="14">
        <f t="shared" si="4"/>
        <v>0</v>
      </c>
      <c r="P388" s="11">
        <v>0.0</v>
      </c>
      <c r="Q388" s="15">
        <v>0.0</v>
      </c>
      <c r="R388" s="9">
        <v>10.0</v>
      </c>
      <c r="S388" s="16">
        <f t="shared" si="5"/>
        <v>0</v>
      </c>
      <c r="T388" s="17">
        <f t="shared" si="6"/>
        <v>0</v>
      </c>
      <c r="U388" s="14">
        <f t="shared" si="7"/>
        <v>-10</v>
      </c>
      <c r="V388" s="9" t="str">
        <f t="shared" si="8"/>
        <v>Low Performance</v>
      </c>
      <c r="W388" s="9"/>
    </row>
    <row r="389" ht="15.75" customHeight="1">
      <c r="A389" s="6">
        <v>46326.0</v>
      </c>
      <c r="B389" s="7" t="s">
        <v>43</v>
      </c>
      <c r="C389" s="9" t="s">
        <v>40</v>
      </c>
      <c r="D389" s="9" t="s">
        <v>27</v>
      </c>
      <c r="E389" s="10">
        <v>0.0</v>
      </c>
      <c r="F389" s="9">
        <f t="shared" si="1"/>
        <v>0</v>
      </c>
      <c r="G389" s="11">
        <v>0.0</v>
      </c>
      <c r="H389" s="9">
        <f t="shared" si="2"/>
        <v>0</v>
      </c>
      <c r="I389" s="11">
        <v>0.0</v>
      </c>
      <c r="J389" s="9">
        <f t="shared" si="12"/>
        <v>0</v>
      </c>
      <c r="K389" s="11">
        <v>0.0</v>
      </c>
      <c r="L389" s="11">
        <v>0.0</v>
      </c>
      <c r="M389" s="14">
        <f t="shared" si="3"/>
        <v>0</v>
      </c>
      <c r="N389" s="11">
        <v>0.0</v>
      </c>
      <c r="O389" s="14">
        <f t="shared" si="4"/>
        <v>0</v>
      </c>
      <c r="P389" s="11">
        <v>0.0</v>
      </c>
      <c r="Q389" s="15">
        <v>0.0</v>
      </c>
      <c r="R389" s="9">
        <v>10.0</v>
      </c>
      <c r="S389" s="16">
        <f t="shared" si="5"/>
        <v>0</v>
      </c>
      <c r="T389" s="17">
        <f t="shared" si="6"/>
        <v>0</v>
      </c>
      <c r="U389" s="14">
        <f t="shared" si="7"/>
        <v>-10</v>
      </c>
      <c r="V389" s="9" t="str">
        <f t="shared" si="8"/>
        <v>Low Performance</v>
      </c>
      <c r="W389" s="9"/>
    </row>
    <row r="390" ht="15.75" customHeight="1">
      <c r="A390" s="6">
        <v>46326.0</v>
      </c>
      <c r="B390" s="7" t="s">
        <v>45</v>
      </c>
      <c r="C390" s="18" t="s">
        <v>46</v>
      </c>
      <c r="D390" s="9" t="s">
        <v>27</v>
      </c>
      <c r="E390" s="10">
        <v>0.0</v>
      </c>
      <c r="F390" s="9">
        <f t="shared" si="1"/>
        <v>0</v>
      </c>
      <c r="G390" s="11">
        <v>0.0</v>
      </c>
      <c r="H390" s="9">
        <f t="shared" si="2"/>
        <v>0</v>
      </c>
      <c r="I390" s="11">
        <v>0.0</v>
      </c>
      <c r="J390" s="9">
        <f t="shared" si="12"/>
        <v>0</v>
      </c>
      <c r="K390" s="11">
        <v>0.0</v>
      </c>
      <c r="L390" s="11">
        <v>0.0</v>
      </c>
      <c r="M390" s="14">
        <f t="shared" si="3"/>
        <v>0</v>
      </c>
      <c r="N390" s="11">
        <v>0.0</v>
      </c>
      <c r="O390" s="14">
        <f t="shared" si="4"/>
        <v>0</v>
      </c>
      <c r="P390" s="11">
        <v>0.0</v>
      </c>
      <c r="Q390" s="15">
        <v>0.0</v>
      </c>
      <c r="R390" s="9">
        <v>10.0</v>
      </c>
      <c r="S390" s="16">
        <f t="shared" si="5"/>
        <v>0</v>
      </c>
      <c r="T390" s="17">
        <f t="shared" si="6"/>
        <v>0</v>
      </c>
      <c r="U390" s="14">
        <f t="shared" si="7"/>
        <v>-10</v>
      </c>
      <c r="V390" s="9" t="str">
        <f t="shared" si="8"/>
        <v>Low Performance</v>
      </c>
      <c r="W390" s="9"/>
    </row>
    <row r="391" ht="15.75" customHeight="1">
      <c r="A391" s="6">
        <v>46326.0</v>
      </c>
      <c r="B391" s="7" t="s">
        <v>49</v>
      </c>
      <c r="C391" s="18" t="s">
        <v>46</v>
      </c>
      <c r="D391" s="9" t="s">
        <v>27</v>
      </c>
      <c r="E391" s="10">
        <v>0.0</v>
      </c>
      <c r="F391" s="9">
        <f t="shared" si="1"/>
        <v>0</v>
      </c>
      <c r="G391" s="11">
        <v>0.0</v>
      </c>
      <c r="H391" s="9">
        <f t="shared" si="2"/>
        <v>0</v>
      </c>
      <c r="I391" s="11">
        <v>0.0</v>
      </c>
      <c r="J391" s="9">
        <f t="shared" si="12"/>
        <v>0</v>
      </c>
      <c r="K391" s="11">
        <v>0.0</v>
      </c>
      <c r="L391" s="11">
        <v>0.0</v>
      </c>
      <c r="M391" s="14">
        <f t="shared" si="3"/>
        <v>0</v>
      </c>
      <c r="N391" s="11">
        <v>0.0</v>
      </c>
      <c r="O391" s="14">
        <f t="shared" si="4"/>
        <v>0</v>
      </c>
      <c r="P391" s="11">
        <v>0.0</v>
      </c>
      <c r="Q391" s="15">
        <v>0.0</v>
      </c>
      <c r="R391" s="9">
        <v>10.0</v>
      </c>
      <c r="S391" s="16">
        <f t="shared" si="5"/>
        <v>0</v>
      </c>
      <c r="T391" s="17">
        <f t="shared" si="6"/>
        <v>0</v>
      </c>
      <c r="U391" s="14">
        <f t="shared" si="7"/>
        <v>-10</v>
      </c>
      <c r="V391" s="9" t="str">
        <f t="shared" si="8"/>
        <v>Low Performance</v>
      </c>
      <c r="W391" s="9"/>
    </row>
    <row r="392" ht="15.75" customHeight="1">
      <c r="A392" s="6">
        <v>46326.0</v>
      </c>
      <c r="B392" s="22" t="s">
        <v>50</v>
      </c>
      <c r="C392" s="23" t="s">
        <v>46</v>
      </c>
      <c r="D392" s="24" t="s">
        <v>27</v>
      </c>
      <c r="E392" s="10">
        <v>0.0</v>
      </c>
      <c r="F392" s="9">
        <f t="shared" si="1"/>
        <v>0</v>
      </c>
      <c r="G392" s="11">
        <v>0.0</v>
      </c>
      <c r="H392" s="9">
        <f t="shared" si="2"/>
        <v>0</v>
      </c>
      <c r="I392" s="11">
        <v>0.0</v>
      </c>
      <c r="J392" s="9">
        <f t="shared" si="12"/>
        <v>0</v>
      </c>
      <c r="K392" s="11">
        <v>0.0</v>
      </c>
      <c r="L392" s="11">
        <v>0.0</v>
      </c>
      <c r="M392" s="14">
        <f t="shared" si="3"/>
        <v>0</v>
      </c>
      <c r="N392" s="11">
        <v>0.0</v>
      </c>
      <c r="O392" s="14">
        <f t="shared" si="4"/>
        <v>0</v>
      </c>
      <c r="P392" s="11">
        <v>0.0</v>
      </c>
      <c r="Q392" s="15">
        <v>0.0</v>
      </c>
      <c r="R392" s="9">
        <v>10.0</v>
      </c>
      <c r="S392" s="16">
        <f t="shared" si="5"/>
        <v>0</v>
      </c>
      <c r="T392" s="17">
        <f t="shared" si="6"/>
        <v>0</v>
      </c>
      <c r="U392" s="14">
        <f t="shared" si="7"/>
        <v>-10</v>
      </c>
      <c r="V392" s="9" t="str">
        <f t="shared" si="8"/>
        <v>Low Performance</v>
      </c>
      <c r="W392" s="9"/>
    </row>
    <row r="393" ht="15.75" customHeight="1">
      <c r="A393" s="61"/>
      <c r="B393" s="62"/>
      <c r="C393" s="63"/>
      <c r="D393" s="63"/>
      <c r="E393" s="64">
        <f t="shared" ref="E393:Q393" si="13">SUBTOTAL(109,E7:E392)</f>
        <v>1450000</v>
      </c>
      <c r="F393" s="64">
        <f t="shared" si="13"/>
        <v>12</v>
      </c>
      <c r="G393" s="64">
        <f t="shared" si="13"/>
        <v>5</v>
      </c>
      <c r="H393" s="64">
        <f t="shared" si="13"/>
        <v>5</v>
      </c>
      <c r="I393" s="64">
        <f t="shared" si="13"/>
        <v>23</v>
      </c>
      <c r="J393" s="64">
        <f t="shared" si="13"/>
        <v>17</v>
      </c>
      <c r="K393" s="64">
        <f t="shared" si="13"/>
        <v>1511</v>
      </c>
      <c r="L393" s="64">
        <f t="shared" si="13"/>
        <v>1109</v>
      </c>
      <c r="M393" s="64">
        <f t="shared" si="13"/>
        <v>21</v>
      </c>
      <c r="N393" s="64">
        <f t="shared" si="13"/>
        <v>63</v>
      </c>
      <c r="O393" s="64">
        <f t="shared" si="13"/>
        <v>42</v>
      </c>
      <c r="P393" s="64">
        <f t="shared" si="13"/>
        <v>21</v>
      </c>
      <c r="Q393" s="64">
        <f t="shared" si="13"/>
        <v>21</v>
      </c>
      <c r="R393" s="63">
        <f>SUBTOTAL(101,'Daily KPI Entry'!$R$3:$R$15)</f>
        <v>10</v>
      </c>
      <c r="S393" s="65">
        <f t="shared" si="5"/>
        <v>139</v>
      </c>
      <c r="T393" s="66">
        <f>IFERROR(S393/10,0)</f>
        <v>13.9</v>
      </c>
      <c r="U393" s="67">
        <f>S393-10</f>
        <v>129</v>
      </c>
      <c r="V393" s="63" t="str">
        <f t="shared" si="8"/>
        <v>Achieved</v>
      </c>
      <c r="W393" s="63"/>
    </row>
    <row r="394" ht="15.75" customHeight="1">
      <c r="E394" s="42"/>
    </row>
    <row r="395" ht="15.75" customHeight="1">
      <c r="E395" s="42"/>
    </row>
    <row r="396" ht="15.75" customHeight="1">
      <c r="E396" s="42"/>
    </row>
    <row r="397" ht="15.75" customHeight="1">
      <c r="E397" s="42"/>
    </row>
    <row r="398" ht="15.75" customHeight="1">
      <c r="E398" s="42"/>
    </row>
    <row r="399" ht="15.75" customHeight="1">
      <c r="E399" s="42"/>
    </row>
    <row r="400" ht="15.75" customHeight="1">
      <c r="E400" s="42"/>
    </row>
    <row r="401" ht="15.75" customHeight="1">
      <c r="E401" s="42"/>
    </row>
    <row r="402" ht="15.75" customHeight="1">
      <c r="E402" s="42"/>
    </row>
    <row r="403" ht="15.75" customHeight="1">
      <c r="E403" s="42"/>
    </row>
    <row r="404" ht="15.75" customHeight="1">
      <c r="E404" s="42"/>
    </row>
    <row r="405" ht="15.75" customHeight="1">
      <c r="E405" s="42"/>
    </row>
    <row r="406" ht="15.75" customHeight="1">
      <c r="E406" s="42"/>
    </row>
    <row r="407" ht="15.75" customHeight="1">
      <c r="E407" s="42"/>
    </row>
    <row r="408" ht="15.75" customHeight="1">
      <c r="E408" s="42"/>
    </row>
    <row r="409" ht="15.75" customHeight="1">
      <c r="E409" s="42"/>
    </row>
    <row r="410" ht="15.75" customHeight="1">
      <c r="E410" s="42"/>
    </row>
    <row r="411" ht="15.75" customHeight="1">
      <c r="E411" s="42"/>
    </row>
    <row r="412" ht="15.75" customHeight="1">
      <c r="E412" s="42"/>
    </row>
    <row r="413" ht="15.75" customHeight="1">
      <c r="E413" s="42"/>
    </row>
    <row r="414" ht="15.75" customHeight="1">
      <c r="E414" s="42"/>
    </row>
    <row r="415" ht="15.75" customHeight="1">
      <c r="E415" s="42"/>
    </row>
    <row r="416" ht="15.75" customHeight="1">
      <c r="E416" s="42"/>
    </row>
    <row r="417" ht="15.75" customHeight="1">
      <c r="E417" s="42"/>
    </row>
    <row r="418" ht="15.75" customHeight="1">
      <c r="E418" s="42"/>
    </row>
    <row r="419" ht="15.75" customHeight="1">
      <c r="E419" s="42"/>
    </row>
    <row r="420" ht="15.75" customHeight="1">
      <c r="E420" s="42"/>
    </row>
    <row r="421" ht="15.75" customHeight="1">
      <c r="E421" s="42"/>
    </row>
    <row r="422" ht="15.75" customHeight="1">
      <c r="E422" s="42"/>
    </row>
    <row r="423" ht="15.75" customHeight="1">
      <c r="E423" s="42"/>
    </row>
    <row r="424" ht="15.75" customHeight="1">
      <c r="E424" s="42"/>
    </row>
    <row r="425" ht="15.75" customHeight="1">
      <c r="E425" s="42"/>
    </row>
    <row r="426" ht="15.75" customHeight="1">
      <c r="E426" s="42"/>
    </row>
    <row r="427" ht="15.75" customHeight="1">
      <c r="E427" s="42"/>
    </row>
    <row r="428" ht="15.75" customHeight="1">
      <c r="E428" s="42"/>
    </row>
    <row r="429" ht="15.75" customHeight="1">
      <c r="E429" s="42"/>
    </row>
    <row r="430" ht="15.75" customHeight="1">
      <c r="E430" s="42"/>
    </row>
    <row r="431" ht="15.75" customHeight="1">
      <c r="E431" s="42"/>
    </row>
    <row r="432" ht="15.75" customHeight="1">
      <c r="E432" s="42"/>
    </row>
    <row r="433" ht="15.75" customHeight="1">
      <c r="E433" s="42"/>
    </row>
    <row r="434" ht="15.75" customHeight="1">
      <c r="E434" s="42"/>
    </row>
    <row r="435" ht="15.75" customHeight="1">
      <c r="E435" s="42"/>
    </row>
    <row r="436" ht="15.75" customHeight="1">
      <c r="E436" s="42"/>
    </row>
    <row r="437" ht="15.75" customHeight="1">
      <c r="E437" s="42"/>
    </row>
    <row r="438" ht="15.75" customHeight="1">
      <c r="E438" s="42"/>
    </row>
    <row r="439" ht="15.75" customHeight="1">
      <c r="E439" s="42"/>
    </row>
    <row r="440" ht="15.75" customHeight="1">
      <c r="E440" s="42"/>
    </row>
    <row r="441" ht="15.75" customHeight="1">
      <c r="E441" s="42"/>
    </row>
    <row r="442" ht="15.75" customHeight="1">
      <c r="E442" s="42"/>
    </row>
    <row r="443" ht="15.75" customHeight="1">
      <c r="E443" s="42"/>
    </row>
    <row r="444" ht="15.75" customHeight="1">
      <c r="E444" s="42"/>
    </row>
    <row r="445" ht="15.75" customHeight="1">
      <c r="E445" s="42"/>
    </row>
    <row r="446" ht="15.75" customHeight="1">
      <c r="E446" s="42"/>
    </row>
    <row r="447" ht="15.75" customHeight="1">
      <c r="E447" s="42"/>
    </row>
    <row r="448" ht="15.75" customHeight="1">
      <c r="E448" s="42"/>
    </row>
    <row r="449" ht="15.75" customHeight="1">
      <c r="E449" s="42"/>
    </row>
    <row r="450" ht="15.75" customHeight="1">
      <c r="E450" s="42"/>
    </row>
    <row r="451" ht="15.75" customHeight="1">
      <c r="E451" s="42"/>
    </row>
    <row r="452" ht="15.75" customHeight="1">
      <c r="E452" s="42"/>
    </row>
    <row r="453" ht="15.75" customHeight="1">
      <c r="E453" s="42"/>
    </row>
    <row r="454" ht="15.75" customHeight="1">
      <c r="E454" s="42"/>
    </row>
    <row r="455" ht="15.75" customHeight="1">
      <c r="E455" s="42"/>
    </row>
    <row r="456" ht="15.75" customHeight="1">
      <c r="E456" s="42"/>
    </row>
    <row r="457" ht="15.75" customHeight="1">
      <c r="E457" s="42"/>
    </row>
    <row r="458" ht="15.75" customHeight="1">
      <c r="E458" s="42"/>
    </row>
    <row r="459" ht="15.75" customHeight="1">
      <c r="E459" s="42"/>
    </row>
    <row r="460" ht="15.75" customHeight="1">
      <c r="E460" s="42"/>
    </row>
    <row r="461" ht="15.75" customHeight="1">
      <c r="E461" s="42"/>
    </row>
    <row r="462" ht="15.75" customHeight="1">
      <c r="E462" s="42"/>
    </row>
    <row r="463" ht="15.75" customHeight="1">
      <c r="E463" s="42"/>
    </row>
    <row r="464" ht="15.75" customHeight="1">
      <c r="E464" s="42"/>
    </row>
    <row r="465" ht="15.75" customHeight="1">
      <c r="E465" s="42"/>
    </row>
    <row r="466" ht="15.75" customHeight="1">
      <c r="E466" s="42"/>
    </row>
    <row r="467" ht="15.75" customHeight="1">
      <c r="E467" s="42"/>
    </row>
    <row r="468" ht="15.75" customHeight="1">
      <c r="E468" s="42"/>
    </row>
    <row r="469" ht="15.75" customHeight="1">
      <c r="E469" s="42"/>
    </row>
    <row r="470" ht="15.75" customHeight="1">
      <c r="E470" s="42"/>
    </row>
    <row r="471" ht="15.75" customHeight="1">
      <c r="E471" s="42"/>
    </row>
    <row r="472" ht="15.75" customHeight="1">
      <c r="E472" s="42"/>
    </row>
    <row r="473" ht="15.75" customHeight="1">
      <c r="E473" s="42"/>
    </row>
    <row r="474" ht="15.75" customHeight="1">
      <c r="E474" s="42"/>
    </row>
    <row r="475" ht="15.75" customHeight="1">
      <c r="E475" s="42"/>
    </row>
    <row r="476" ht="15.75" customHeight="1">
      <c r="E476" s="42"/>
    </row>
    <row r="477" ht="15.75" customHeight="1">
      <c r="E477" s="42"/>
    </row>
    <row r="478" ht="15.75" customHeight="1">
      <c r="E478" s="42"/>
    </row>
    <row r="479" ht="15.75" customHeight="1">
      <c r="E479" s="42"/>
    </row>
    <row r="480" ht="15.75" customHeight="1">
      <c r="E480" s="42"/>
    </row>
    <row r="481" ht="15.75" customHeight="1">
      <c r="E481" s="42"/>
    </row>
    <row r="482" ht="15.75" customHeight="1">
      <c r="E482" s="42"/>
    </row>
    <row r="483" ht="15.75" customHeight="1">
      <c r="E483" s="42"/>
    </row>
    <row r="484" ht="15.75" customHeight="1">
      <c r="E484" s="42"/>
    </row>
    <row r="485" ht="15.75" customHeight="1">
      <c r="E485" s="42"/>
    </row>
    <row r="486" ht="15.75" customHeight="1">
      <c r="E486" s="42"/>
    </row>
    <row r="487" ht="15.75" customHeight="1">
      <c r="E487" s="42"/>
    </row>
    <row r="488" ht="15.75" customHeight="1">
      <c r="E488" s="42"/>
    </row>
    <row r="489" ht="15.75" customHeight="1">
      <c r="E489" s="42"/>
    </row>
    <row r="490" ht="15.75" customHeight="1">
      <c r="E490" s="42"/>
    </row>
    <row r="491" ht="15.75" customHeight="1">
      <c r="E491" s="42"/>
    </row>
    <row r="492" ht="15.75" customHeight="1">
      <c r="E492" s="42"/>
    </row>
    <row r="493" ht="15.75" customHeight="1">
      <c r="E493" s="42"/>
    </row>
    <row r="494" ht="15.75" customHeight="1">
      <c r="E494" s="42"/>
    </row>
    <row r="495" ht="15.75" customHeight="1">
      <c r="E495" s="42"/>
    </row>
    <row r="496" ht="15.75" customHeight="1">
      <c r="E496" s="42"/>
    </row>
    <row r="497" ht="15.75" customHeight="1">
      <c r="E497" s="42"/>
    </row>
    <row r="498" ht="15.75" customHeight="1">
      <c r="E498" s="42"/>
    </row>
    <row r="499" ht="15.75" customHeight="1">
      <c r="E499" s="42"/>
    </row>
    <row r="500" ht="15.75" customHeight="1">
      <c r="E500" s="42"/>
    </row>
    <row r="501" ht="15.75" customHeight="1">
      <c r="E501" s="42"/>
    </row>
    <row r="502" ht="15.75" customHeight="1">
      <c r="E502" s="42"/>
    </row>
    <row r="503" ht="15.75" customHeight="1">
      <c r="E503" s="42"/>
    </row>
    <row r="504" ht="15.75" customHeight="1">
      <c r="E504" s="42"/>
    </row>
    <row r="505" ht="15.75" customHeight="1">
      <c r="E505" s="42"/>
    </row>
    <row r="506" ht="15.75" customHeight="1">
      <c r="E506" s="42"/>
    </row>
    <row r="507" ht="15.75" customHeight="1">
      <c r="E507" s="42"/>
    </row>
    <row r="508" ht="15.75" customHeight="1">
      <c r="E508" s="42"/>
    </row>
    <row r="509" ht="15.75" customHeight="1">
      <c r="E509" s="42"/>
    </row>
    <row r="510" ht="15.75" customHeight="1">
      <c r="E510" s="42"/>
    </row>
    <row r="511" ht="15.75" customHeight="1">
      <c r="E511" s="42"/>
    </row>
    <row r="512" ht="15.75" customHeight="1">
      <c r="E512" s="42"/>
    </row>
    <row r="513" ht="15.75" customHeight="1">
      <c r="E513" s="42"/>
    </row>
    <row r="514" ht="15.75" customHeight="1">
      <c r="E514" s="42"/>
    </row>
    <row r="515" ht="15.75" customHeight="1">
      <c r="E515" s="42"/>
    </row>
    <row r="516" ht="15.75" customHeight="1">
      <c r="E516" s="42"/>
    </row>
    <row r="517" ht="15.75" customHeight="1">
      <c r="E517" s="42"/>
    </row>
    <row r="518" ht="15.75" customHeight="1">
      <c r="E518" s="42"/>
    </row>
    <row r="519" ht="15.75" customHeight="1">
      <c r="E519" s="42"/>
    </row>
    <row r="520" ht="15.75" customHeight="1">
      <c r="E520" s="42"/>
    </row>
    <row r="521" ht="15.75" customHeight="1">
      <c r="E521" s="42"/>
    </row>
    <row r="522" ht="15.75" customHeight="1">
      <c r="E522" s="42"/>
    </row>
    <row r="523" ht="15.75" customHeight="1">
      <c r="E523" s="42"/>
    </row>
    <row r="524" ht="15.75" customHeight="1">
      <c r="E524" s="42"/>
    </row>
    <row r="525" ht="15.75" customHeight="1">
      <c r="E525" s="42"/>
    </row>
    <row r="526" ht="15.75" customHeight="1">
      <c r="E526" s="42"/>
    </row>
    <row r="527" ht="15.75" customHeight="1">
      <c r="E527" s="42"/>
    </row>
    <row r="528" ht="15.75" customHeight="1">
      <c r="E528" s="42"/>
    </row>
    <row r="529" ht="15.75" customHeight="1">
      <c r="E529" s="42"/>
    </row>
    <row r="530" ht="15.75" customHeight="1">
      <c r="E530" s="42"/>
    </row>
    <row r="531" ht="15.75" customHeight="1">
      <c r="E531" s="42"/>
    </row>
    <row r="532" ht="15.75" customHeight="1">
      <c r="E532" s="42"/>
    </row>
    <row r="533" ht="15.75" customHeight="1">
      <c r="E533" s="42"/>
    </row>
    <row r="534" ht="15.75" customHeight="1">
      <c r="E534" s="42"/>
    </row>
    <row r="535" ht="15.75" customHeight="1">
      <c r="E535" s="42"/>
    </row>
    <row r="536" ht="15.75" customHeight="1">
      <c r="E536" s="42"/>
    </row>
    <row r="537" ht="15.75" customHeight="1">
      <c r="E537" s="42"/>
    </row>
    <row r="538" ht="15.75" customHeight="1">
      <c r="E538" s="42"/>
    </row>
    <row r="539" ht="15.75" customHeight="1">
      <c r="E539" s="42"/>
    </row>
    <row r="540" ht="15.75" customHeight="1">
      <c r="E540" s="42"/>
    </row>
    <row r="541" ht="15.75" customHeight="1">
      <c r="E541" s="42"/>
    </row>
    <row r="542" ht="15.75" customHeight="1">
      <c r="E542" s="42"/>
    </row>
    <row r="543" ht="15.75" customHeight="1">
      <c r="E543" s="42"/>
    </row>
    <row r="544" ht="15.75" customHeight="1">
      <c r="E544" s="42"/>
    </row>
    <row r="545" ht="15.75" customHeight="1">
      <c r="E545" s="42"/>
    </row>
    <row r="546" ht="15.75" customHeight="1">
      <c r="E546" s="42"/>
    </row>
    <row r="547" ht="15.75" customHeight="1">
      <c r="E547" s="42"/>
    </row>
    <row r="548" ht="15.75" customHeight="1">
      <c r="E548" s="42"/>
    </row>
    <row r="549" ht="15.75" customHeight="1">
      <c r="E549" s="42"/>
    </row>
    <row r="550" ht="15.75" customHeight="1">
      <c r="E550" s="42"/>
    </row>
    <row r="551" ht="15.75" customHeight="1">
      <c r="E551" s="42"/>
    </row>
    <row r="552" ht="15.75" customHeight="1">
      <c r="E552" s="42"/>
    </row>
    <row r="553" ht="15.75" customHeight="1">
      <c r="E553" s="42"/>
    </row>
    <row r="554" ht="15.75" customHeight="1">
      <c r="E554" s="42"/>
    </row>
    <row r="555" ht="15.75" customHeight="1">
      <c r="E555" s="42"/>
    </row>
    <row r="556" ht="15.75" customHeight="1">
      <c r="E556" s="42"/>
    </row>
    <row r="557" ht="15.75" customHeight="1">
      <c r="E557" s="42"/>
    </row>
    <row r="558" ht="15.75" customHeight="1">
      <c r="E558" s="42"/>
    </row>
    <row r="559" ht="15.75" customHeight="1">
      <c r="E559" s="42"/>
    </row>
    <row r="560" ht="15.75" customHeight="1">
      <c r="E560" s="42"/>
    </row>
    <row r="561" ht="15.75" customHeight="1">
      <c r="E561" s="42"/>
    </row>
    <row r="562" ht="15.75" customHeight="1">
      <c r="E562" s="42"/>
    </row>
    <row r="563" ht="15.75" customHeight="1">
      <c r="E563" s="42"/>
    </row>
    <row r="564" ht="15.75" customHeight="1">
      <c r="E564" s="42"/>
    </row>
    <row r="565" ht="15.75" customHeight="1">
      <c r="E565" s="42"/>
    </row>
    <row r="566" ht="15.75" customHeight="1">
      <c r="E566" s="42"/>
    </row>
    <row r="567" ht="15.75" customHeight="1">
      <c r="E567" s="42"/>
    </row>
    <row r="568" ht="15.75" customHeight="1">
      <c r="E568" s="42"/>
    </row>
    <row r="569" ht="15.75" customHeight="1">
      <c r="E569" s="42"/>
    </row>
    <row r="570" ht="15.75" customHeight="1">
      <c r="E570" s="42"/>
    </row>
    <row r="571" ht="15.75" customHeight="1">
      <c r="E571" s="42"/>
    </row>
    <row r="572" ht="15.75" customHeight="1">
      <c r="E572" s="42"/>
    </row>
    <row r="573" ht="15.75" customHeight="1">
      <c r="E573" s="42"/>
    </row>
    <row r="574" ht="15.75" customHeight="1">
      <c r="E574" s="42"/>
    </row>
    <row r="575" ht="15.75" customHeight="1">
      <c r="E575" s="42"/>
    </row>
    <row r="576" ht="15.75" customHeight="1">
      <c r="E576" s="42"/>
    </row>
    <row r="577" ht="15.75" customHeight="1">
      <c r="E577" s="42"/>
    </row>
    <row r="578" ht="15.75" customHeight="1">
      <c r="E578" s="42"/>
    </row>
    <row r="579" ht="15.75" customHeight="1">
      <c r="E579" s="42"/>
    </row>
    <row r="580" ht="15.75" customHeight="1">
      <c r="E580" s="42"/>
    </row>
    <row r="581" ht="15.75" customHeight="1">
      <c r="E581" s="42"/>
    </row>
    <row r="582" ht="15.75" customHeight="1">
      <c r="E582" s="42"/>
    </row>
    <row r="583" ht="15.75" customHeight="1">
      <c r="E583" s="42"/>
    </row>
    <row r="584" ht="15.75" customHeight="1">
      <c r="E584" s="42"/>
    </row>
    <row r="585" ht="15.75" customHeight="1">
      <c r="E585" s="42"/>
    </row>
    <row r="586" ht="15.75" customHeight="1">
      <c r="E586" s="42"/>
    </row>
    <row r="587" ht="15.75" customHeight="1">
      <c r="E587" s="42"/>
    </row>
    <row r="588" ht="15.75" customHeight="1">
      <c r="E588" s="42"/>
    </row>
    <row r="589" ht="15.75" customHeight="1">
      <c r="E589" s="42"/>
    </row>
    <row r="590" ht="15.75" customHeight="1">
      <c r="E590" s="42"/>
    </row>
    <row r="591" ht="15.75" customHeight="1">
      <c r="E591" s="42"/>
    </row>
    <row r="592" ht="15.75" customHeight="1">
      <c r="E592" s="42"/>
    </row>
    <row r="593" ht="15.75" customHeight="1">
      <c r="E593" s="42"/>
    </row>
    <row r="594" ht="15.75" customHeight="1">
      <c r="E594" s="42"/>
    </row>
    <row r="595" ht="15.75" customHeight="1">
      <c r="E595" s="42"/>
    </row>
    <row r="596" ht="15.75" customHeight="1">
      <c r="E596" s="42"/>
    </row>
    <row r="597" ht="15.75" customHeight="1">
      <c r="E597" s="42"/>
    </row>
    <row r="598" ht="15.75" customHeight="1">
      <c r="E598" s="42"/>
    </row>
    <row r="599" ht="15.75" customHeight="1">
      <c r="E599" s="42"/>
    </row>
    <row r="600" ht="15.75" customHeight="1">
      <c r="E600" s="42"/>
    </row>
    <row r="601" ht="15.75" customHeight="1">
      <c r="E601" s="42"/>
    </row>
    <row r="602" ht="15.75" customHeight="1">
      <c r="E602" s="42"/>
    </row>
    <row r="603" ht="15.75" customHeight="1">
      <c r="E603" s="42"/>
    </row>
    <row r="604" ht="15.75" customHeight="1">
      <c r="E604" s="42"/>
    </row>
    <row r="605" ht="15.75" customHeight="1">
      <c r="E605" s="42"/>
    </row>
    <row r="606" ht="15.75" customHeight="1">
      <c r="E606" s="42"/>
    </row>
    <row r="607" ht="15.75" customHeight="1">
      <c r="E607" s="42"/>
    </row>
    <row r="608" ht="15.75" customHeight="1">
      <c r="E608" s="42"/>
    </row>
    <row r="609" ht="15.75" customHeight="1">
      <c r="E609" s="42"/>
    </row>
    <row r="610" ht="15.75" customHeight="1">
      <c r="E610" s="42"/>
    </row>
    <row r="611" ht="15.75" customHeight="1">
      <c r="E611" s="42"/>
    </row>
    <row r="612" ht="15.75" customHeight="1">
      <c r="E612" s="42"/>
    </row>
    <row r="613" ht="15.75" customHeight="1">
      <c r="E613" s="42"/>
    </row>
    <row r="614" ht="15.75" customHeight="1">
      <c r="E614" s="42"/>
    </row>
    <row r="615" ht="15.75" customHeight="1">
      <c r="E615" s="42"/>
    </row>
    <row r="616" ht="15.75" customHeight="1">
      <c r="E616" s="42"/>
    </row>
    <row r="617" ht="15.75" customHeight="1">
      <c r="E617" s="42"/>
    </row>
    <row r="618" ht="15.75" customHeight="1">
      <c r="E618" s="42"/>
    </row>
    <row r="619" ht="15.75" customHeight="1">
      <c r="E619" s="42"/>
    </row>
    <row r="620" ht="15.75" customHeight="1">
      <c r="E620" s="42"/>
    </row>
    <row r="621" ht="15.75" customHeight="1">
      <c r="E621" s="42"/>
    </row>
    <row r="622" ht="15.75" customHeight="1">
      <c r="E622" s="42"/>
    </row>
    <row r="623" ht="15.75" customHeight="1">
      <c r="E623" s="42"/>
    </row>
    <row r="624" ht="15.75" customHeight="1">
      <c r="E624" s="42"/>
    </row>
    <row r="625" ht="15.75" customHeight="1">
      <c r="E625" s="42"/>
    </row>
    <row r="626" ht="15.75" customHeight="1">
      <c r="E626" s="42"/>
    </row>
    <row r="627" ht="15.75" customHeight="1">
      <c r="E627" s="42"/>
    </row>
    <row r="628" ht="15.75" customHeight="1">
      <c r="E628" s="42"/>
    </row>
    <row r="629" ht="15.75" customHeight="1">
      <c r="E629" s="42"/>
    </row>
    <row r="630" ht="15.75" customHeight="1">
      <c r="E630" s="42"/>
    </row>
    <row r="631" ht="15.75" customHeight="1">
      <c r="E631" s="42"/>
    </row>
    <row r="632" ht="15.75" customHeight="1">
      <c r="E632" s="42"/>
    </row>
    <row r="633" ht="15.75" customHeight="1">
      <c r="E633" s="42"/>
    </row>
    <row r="634" ht="15.75" customHeight="1">
      <c r="E634" s="42"/>
    </row>
    <row r="635" ht="15.75" customHeight="1">
      <c r="E635" s="42"/>
    </row>
    <row r="636" ht="15.75" customHeight="1">
      <c r="E636" s="42"/>
    </row>
    <row r="637" ht="15.75" customHeight="1">
      <c r="E637" s="42"/>
    </row>
    <row r="638" ht="15.75" customHeight="1">
      <c r="E638" s="42"/>
    </row>
    <row r="639" ht="15.75" customHeight="1">
      <c r="E639" s="42"/>
    </row>
    <row r="640" ht="15.75" customHeight="1">
      <c r="E640" s="42"/>
    </row>
    <row r="641" ht="15.75" customHeight="1">
      <c r="E641" s="42"/>
    </row>
    <row r="642" ht="15.75" customHeight="1">
      <c r="E642" s="42"/>
    </row>
    <row r="643" ht="15.75" customHeight="1">
      <c r="E643" s="42"/>
    </row>
    <row r="644" ht="15.75" customHeight="1">
      <c r="E644" s="42"/>
    </row>
    <row r="645" ht="15.75" customHeight="1">
      <c r="E645" s="42"/>
    </row>
    <row r="646" ht="15.75" customHeight="1">
      <c r="E646" s="42"/>
    </row>
    <row r="647" ht="15.75" customHeight="1">
      <c r="E647" s="42"/>
    </row>
    <row r="648" ht="15.75" customHeight="1">
      <c r="E648" s="42"/>
    </row>
    <row r="649" ht="15.75" customHeight="1">
      <c r="E649" s="42"/>
    </row>
    <row r="650" ht="15.75" customHeight="1">
      <c r="E650" s="42"/>
    </row>
    <row r="651" ht="15.75" customHeight="1">
      <c r="E651" s="42"/>
    </row>
    <row r="652" ht="15.75" customHeight="1">
      <c r="E652" s="42"/>
    </row>
    <row r="653" ht="15.75" customHeight="1">
      <c r="E653" s="42"/>
    </row>
    <row r="654" ht="15.75" customHeight="1">
      <c r="E654" s="42"/>
    </row>
    <row r="655" ht="15.75" customHeight="1">
      <c r="E655" s="42"/>
    </row>
    <row r="656" ht="15.75" customHeight="1">
      <c r="E656" s="42"/>
    </row>
    <row r="657" ht="15.75" customHeight="1">
      <c r="E657" s="42"/>
    </row>
    <row r="658" ht="15.75" customHeight="1">
      <c r="E658" s="42"/>
    </row>
    <row r="659" ht="15.75" customHeight="1">
      <c r="E659" s="42"/>
    </row>
    <row r="660" ht="15.75" customHeight="1">
      <c r="E660" s="42"/>
    </row>
    <row r="661" ht="15.75" customHeight="1">
      <c r="E661" s="42"/>
    </row>
    <row r="662" ht="15.75" customHeight="1">
      <c r="E662" s="42"/>
    </row>
    <row r="663" ht="15.75" customHeight="1">
      <c r="E663" s="42"/>
    </row>
    <row r="664" ht="15.75" customHeight="1">
      <c r="E664" s="42"/>
    </row>
    <row r="665" ht="15.75" customHeight="1">
      <c r="E665" s="42"/>
    </row>
    <row r="666" ht="15.75" customHeight="1">
      <c r="E666" s="42"/>
    </row>
    <row r="667" ht="15.75" customHeight="1">
      <c r="E667" s="42"/>
    </row>
    <row r="668" ht="15.75" customHeight="1">
      <c r="E668" s="42"/>
    </row>
    <row r="669" ht="15.75" customHeight="1">
      <c r="E669" s="42"/>
    </row>
    <row r="670" ht="15.75" customHeight="1">
      <c r="E670" s="42"/>
    </row>
    <row r="671" ht="15.75" customHeight="1">
      <c r="E671" s="42"/>
    </row>
    <row r="672" ht="15.75" customHeight="1">
      <c r="E672" s="42"/>
    </row>
    <row r="673" ht="15.75" customHeight="1">
      <c r="E673" s="42"/>
    </row>
    <row r="674" ht="15.75" customHeight="1">
      <c r="E674" s="42"/>
    </row>
    <row r="675" ht="15.75" customHeight="1">
      <c r="E675" s="42"/>
    </row>
    <row r="676" ht="15.75" customHeight="1">
      <c r="E676" s="42"/>
    </row>
    <row r="677" ht="15.75" customHeight="1">
      <c r="E677" s="42"/>
    </row>
    <row r="678" ht="15.75" customHeight="1">
      <c r="E678" s="42"/>
    </row>
    <row r="679" ht="15.75" customHeight="1">
      <c r="E679" s="42"/>
    </row>
    <row r="680" ht="15.75" customHeight="1">
      <c r="E680" s="42"/>
    </row>
    <row r="681" ht="15.75" customHeight="1">
      <c r="E681" s="42"/>
    </row>
    <row r="682" ht="15.75" customHeight="1">
      <c r="E682" s="42"/>
    </row>
    <row r="683" ht="15.75" customHeight="1">
      <c r="E683" s="42"/>
    </row>
    <row r="684" ht="15.75" customHeight="1">
      <c r="E684" s="42"/>
    </row>
    <row r="685" ht="15.75" customHeight="1">
      <c r="E685" s="42"/>
    </row>
    <row r="686" ht="15.75" customHeight="1">
      <c r="E686" s="42"/>
    </row>
    <row r="687" ht="15.75" customHeight="1">
      <c r="E687" s="42"/>
    </row>
    <row r="688" ht="15.75" customHeight="1">
      <c r="E688" s="42"/>
    </row>
    <row r="689" ht="15.75" customHeight="1">
      <c r="E689" s="42"/>
    </row>
    <row r="690" ht="15.75" customHeight="1">
      <c r="E690" s="42"/>
    </row>
    <row r="691" ht="15.75" customHeight="1">
      <c r="E691" s="42"/>
    </row>
    <row r="692" ht="15.75" customHeight="1">
      <c r="E692" s="42"/>
    </row>
    <row r="693" ht="15.75" customHeight="1">
      <c r="E693" s="42"/>
    </row>
    <row r="694" ht="15.75" customHeight="1">
      <c r="E694" s="42"/>
    </row>
    <row r="695" ht="15.75" customHeight="1">
      <c r="E695" s="42"/>
    </row>
    <row r="696" ht="15.75" customHeight="1">
      <c r="E696" s="42"/>
    </row>
    <row r="697" ht="15.75" customHeight="1">
      <c r="E697" s="42"/>
    </row>
    <row r="698" ht="15.75" customHeight="1">
      <c r="E698" s="42"/>
    </row>
    <row r="699" ht="15.75" customHeight="1">
      <c r="E699" s="42"/>
    </row>
    <row r="700" ht="15.75" customHeight="1">
      <c r="E700" s="42"/>
    </row>
    <row r="701" ht="15.75" customHeight="1">
      <c r="E701" s="42"/>
    </row>
    <row r="702" ht="15.75" customHeight="1">
      <c r="E702" s="42"/>
    </row>
    <row r="703" ht="15.75" customHeight="1">
      <c r="E703" s="42"/>
    </row>
    <row r="704" ht="15.75" customHeight="1">
      <c r="E704" s="42"/>
    </row>
    <row r="705" ht="15.75" customHeight="1">
      <c r="E705" s="42"/>
    </row>
    <row r="706" ht="15.75" customHeight="1">
      <c r="E706" s="42"/>
    </row>
    <row r="707" ht="15.75" customHeight="1">
      <c r="E707" s="42"/>
    </row>
    <row r="708" ht="15.75" customHeight="1">
      <c r="E708" s="42"/>
    </row>
    <row r="709" ht="15.75" customHeight="1">
      <c r="E709" s="42"/>
    </row>
    <row r="710" ht="15.75" customHeight="1">
      <c r="E710" s="42"/>
    </row>
    <row r="711" ht="15.75" customHeight="1">
      <c r="E711" s="42"/>
    </row>
    <row r="712" ht="15.75" customHeight="1">
      <c r="E712" s="42"/>
    </row>
    <row r="713" ht="15.75" customHeight="1">
      <c r="E713" s="42"/>
    </row>
    <row r="714" ht="15.75" customHeight="1">
      <c r="E714" s="42"/>
    </row>
    <row r="715" ht="15.75" customHeight="1">
      <c r="E715" s="42"/>
    </row>
    <row r="716" ht="15.75" customHeight="1">
      <c r="E716" s="42"/>
    </row>
    <row r="717" ht="15.75" customHeight="1">
      <c r="E717" s="42"/>
    </row>
    <row r="718" ht="15.75" customHeight="1">
      <c r="E718" s="42"/>
    </row>
    <row r="719" ht="15.75" customHeight="1">
      <c r="E719" s="42"/>
    </row>
    <row r="720" ht="15.75" customHeight="1">
      <c r="E720" s="42"/>
    </row>
    <row r="721" ht="15.75" customHeight="1">
      <c r="E721" s="42"/>
    </row>
    <row r="722" ht="15.75" customHeight="1">
      <c r="E722" s="42"/>
    </row>
    <row r="723" ht="15.75" customHeight="1">
      <c r="E723" s="42"/>
    </row>
    <row r="724" ht="15.75" customHeight="1">
      <c r="E724" s="42"/>
    </row>
    <row r="725" ht="15.75" customHeight="1">
      <c r="E725" s="42"/>
    </row>
    <row r="726" ht="15.75" customHeight="1">
      <c r="E726" s="42"/>
    </row>
    <row r="727" ht="15.75" customHeight="1">
      <c r="E727" s="42"/>
    </row>
    <row r="728" ht="15.75" customHeight="1">
      <c r="E728" s="42"/>
    </row>
    <row r="729" ht="15.75" customHeight="1">
      <c r="E729" s="42"/>
    </row>
    <row r="730" ht="15.75" customHeight="1">
      <c r="E730" s="42"/>
    </row>
    <row r="731" ht="15.75" customHeight="1">
      <c r="E731" s="42"/>
    </row>
    <row r="732" ht="15.75" customHeight="1">
      <c r="E732" s="42"/>
    </row>
    <row r="733" ht="15.75" customHeight="1">
      <c r="E733" s="42"/>
    </row>
    <row r="734" ht="15.75" customHeight="1">
      <c r="E734" s="42"/>
    </row>
    <row r="735" ht="15.75" customHeight="1">
      <c r="E735" s="42"/>
    </row>
    <row r="736" ht="15.75" customHeight="1">
      <c r="E736" s="42"/>
    </row>
    <row r="737" ht="15.75" customHeight="1">
      <c r="E737" s="42"/>
    </row>
    <row r="738" ht="15.75" customHeight="1">
      <c r="E738" s="42"/>
    </row>
    <row r="739" ht="15.75" customHeight="1">
      <c r="E739" s="42"/>
    </row>
    <row r="740" ht="15.75" customHeight="1">
      <c r="E740" s="42"/>
    </row>
    <row r="741" ht="15.75" customHeight="1">
      <c r="E741" s="42"/>
    </row>
    <row r="742" ht="15.75" customHeight="1">
      <c r="E742" s="42"/>
    </row>
    <row r="743" ht="15.75" customHeight="1">
      <c r="E743" s="42"/>
    </row>
    <row r="744" ht="15.75" customHeight="1">
      <c r="E744" s="42"/>
    </row>
    <row r="745" ht="15.75" customHeight="1">
      <c r="E745" s="42"/>
    </row>
    <row r="746" ht="15.75" customHeight="1">
      <c r="E746" s="42"/>
    </row>
    <row r="747" ht="15.75" customHeight="1">
      <c r="E747" s="42"/>
    </row>
    <row r="748" ht="15.75" customHeight="1">
      <c r="E748" s="42"/>
    </row>
    <row r="749" ht="15.75" customHeight="1">
      <c r="E749" s="42"/>
    </row>
    <row r="750" ht="15.75" customHeight="1">
      <c r="E750" s="42"/>
    </row>
    <row r="751" ht="15.75" customHeight="1">
      <c r="E751" s="42"/>
    </row>
    <row r="752" ht="15.75" customHeight="1">
      <c r="E752" s="42"/>
    </row>
    <row r="753" ht="15.75" customHeight="1">
      <c r="E753" s="42"/>
    </row>
    <row r="754" ht="15.75" customHeight="1">
      <c r="E754" s="42"/>
    </row>
    <row r="755" ht="15.75" customHeight="1">
      <c r="E755" s="42"/>
    </row>
    <row r="756" ht="15.75" customHeight="1">
      <c r="E756" s="42"/>
    </row>
    <row r="757" ht="15.75" customHeight="1">
      <c r="E757" s="42"/>
    </row>
    <row r="758" ht="15.75" customHeight="1">
      <c r="E758" s="42"/>
    </row>
    <row r="759" ht="15.75" customHeight="1">
      <c r="E759" s="42"/>
    </row>
    <row r="760" ht="15.75" customHeight="1">
      <c r="E760" s="42"/>
    </row>
    <row r="761" ht="15.75" customHeight="1">
      <c r="E761" s="42"/>
    </row>
    <row r="762" ht="15.75" customHeight="1">
      <c r="E762" s="42"/>
    </row>
    <row r="763" ht="15.75" customHeight="1">
      <c r="E763" s="42"/>
    </row>
    <row r="764" ht="15.75" customHeight="1">
      <c r="E764" s="42"/>
    </row>
    <row r="765" ht="15.75" customHeight="1">
      <c r="E765" s="42"/>
    </row>
    <row r="766" ht="15.75" customHeight="1">
      <c r="E766" s="42"/>
    </row>
    <row r="767" ht="15.75" customHeight="1">
      <c r="E767" s="42"/>
    </row>
    <row r="768" ht="15.75" customHeight="1">
      <c r="E768" s="42"/>
    </row>
    <row r="769" ht="15.75" customHeight="1">
      <c r="E769" s="42"/>
    </row>
    <row r="770" ht="15.75" customHeight="1">
      <c r="E770" s="42"/>
    </row>
    <row r="771" ht="15.75" customHeight="1">
      <c r="E771" s="42"/>
    </row>
    <row r="772" ht="15.75" customHeight="1">
      <c r="E772" s="42"/>
    </row>
    <row r="773" ht="15.75" customHeight="1">
      <c r="E773" s="42"/>
    </row>
    <row r="774" ht="15.75" customHeight="1">
      <c r="E774" s="42"/>
    </row>
    <row r="775" ht="15.75" customHeight="1">
      <c r="E775" s="42"/>
    </row>
    <row r="776" ht="15.75" customHeight="1">
      <c r="E776" s="42"/>
    </row>
    <row r="777" ht="15.75" customHeight="1">
      <c r="E777" s="42"/>
    </row>
    <row r="778" ht="15.75" customHeight="1">
      <c r="E778" s="42"/>
    </row>
    <row r="779" ht="15.75" customHeight="1">
      <c r="E779" s="42"/>
    </row>
    <row r="780" ht="15.75" customHeight="1">
      <c r="E780" s="42"/>
    </row>
    <row r="781" ht="15.75" customHeight="1">
      <c r="E781" s="42"/>
    </row>
    <row r="782" ht="15.75" customHeight="1">
      <c r="E782" s="42"/>
    </row>
    <row r="783" ht="15.75" customHeight="1">
      <c r="E783" s="42"/>
    </row>
    <row r="784" ht="15.75" customHeight="1">
      <c r="E784" s="42"/>
    </row>
    <row r="785" ht="15.75" customHeight="1">
      <c r="E785" s="42"/>
    </row>
    <row r="786" ht="15.75" customHeight="1">
      <c r="E786" s="42"/>
    </row>
    <row r="787" ht="15.75" customHeight="1">
      <c r="E787" s="42"/>
    </row>
    <row r="788" ht="15.75" customHeight="1">
      <c r="E788" s="42"/>
    </row>
    <row r="789" ht="15.75" customHeight="1">
      <c r="E789" s="42"/>
    </row>
    <row r="790" ht="15.75" customHeight="1">
      <c r="E790" s="42"/>
    </row>
    <row r="791" ht="15.75" customHeight="1">
      <c r="E791" s="42"/>
    </row>
    <row r="792" ht="15.75" customHeight="1">
      <c r="E792" s="42"/>
    </row>
    <row r="793" ht="15.75" customHeight="1">
      <c r="E793" s="42"/>
    </row>
    <row r="794" ht="15.75" customHeight="1">
      <c r="E794" s="42"/>
    </row>
    <row r="795" ht="15.75" customHeight="1">
      <c r="E795" s="42"/>
    </row>
    <row r="796" ht="15.75" customHeight="1">
      <c r="E796" s="42"/>
    </row>
    <row r="797" ht="15.75" customHeight="1">
      <c r="E797" s="42"/>
    </row>
    <row r="798" ht="15.75" customHeight="1">
      <c r="E798" s="42"/>
    </row>
    <row r="799" ht="15.75" customHeight="1">
      <c r="E799" s="42"/>
    </row>
    <row r="800" ht="15.75" customHeight="1">
      <c r="E800" s="42"/>
    </row>
    <row r="801" ht="15.75" customHeight="1">
      <c r="E801" s="42"/>
    </row>
    <row r="802" ht="15.75" customHeight="1">
      <c r="E802" s="42"/>
    </row>
    <row r="803" ht="15.75" customHeight="1">
      <c r="E803" s="42"/>
    </row>
    <row r="804" ht="15.75" customHeight="1">
      <c r="E804" s="42"/>
    </row>
    <row r="805" ht="15.75" customHeight="1">
      <c r="E805" s="42"/>
    </row>
    <row r="806" ht="15.75" customHeight="1">
      <c r="E806" s="42"/>
    </row>
    <row r="807" ht="15.75" customHeight="1">
      <c r="E807" s="42"/>
    </row>
    <row r="808" ht="15.75" customHeight="1">
      <c r="E808" s="42"/>
    </row>
    <row r="809" ht="15.75" customHeight="1">
      <c r="E809" s="42"/>
    </row>
    <row r="810" ht="15.75" customHeight="1">
      <c r="E810" s="42"/>
    </row>
    <row r="811" ht="15.75" customHeight="1">
      <c r="E811" s="42"/>
    </row>
    <row r="812" ht="15.75" customHeight="1">
      <c r="E812" s="42"/>
    </row>
    <row r="813" ht="15.75" customHeight="1">
      <c r="E813" s="42"/>
    </row>
    <row r="814" ht="15.75" customHeight="1">
      <c r="E814" s="42"/>
    </row>
    <row r="815" ht="15.75" customHeight="1">
      <c r="E815" s="42"/>
    </row>
    <row r="816" ht="15.75" customHeight="1">
      <c r="E816" s="42"/>
    </row>
    <row r="817" ht="15.75" customHeight="1">
      <c r="E817" s="42"/>
    </row>
    <row r="818" ht="15.75" customHeight="1">
      <c r="E818" s="42"/>
    </row>
    <row r="819" ht="15.75" customHeight="1">
      <c r="E819" s="42"/>
    </row>
    <row r="820" ht="15.75" customHeight="1">
      <c r="E820" s="42"/>
    </row>
    <row r="821" ht="15.75" customHeight="1">
      <c r="E821" s="42"/>
    </row>
    <row r="822" ht="15.75" customHeight="1">
      <c r="E822" s="42"/>
    </row>
    <row r="823" ht="15.75" customHeight="1">
      <c r="E823" s="42"/>
    </row>
    <row r="824" ht="15.75" customHeight="1">
      <c r="E824" s="42"/>
    </row>
    <row r="825" ht="15.75" customHeight="1">
      <c r="E825" s="42"/>
    </row>
    <row r="826" ht="15.75" customHeight="1">
      <c r="E826" s="42"/>
    </row>
    <row r="827" ht="15.75" customHeight="1">
      <c r="E827" s="42"/>
    </row>
    <row r="828" ht="15.75" customHeight="1">
      <c r="E828" s="42"/>
    </row>
    <row r="829" ht="15.75" customHeight="1">
      <c r="E829" s="42"/>
    </row>
    <row r="830" ht="15.75" customHeight="1">
      <c r="E830" s="42"/>
    </row>
    <row r="831" ht="15.75" customHeight="1">
      <c r="E831" s="42"/>
    </row>
    <row r="832" ht="15.75" customHeight="1">
      <c r="E832" s="42"/>
    </row>
    <row r="833" ht="15.75" customHeight="1">
      <c r="E833" s="42"/>
    </row>
    <row r="834" ht="15.75" customHeight="1">
      <c r="E834" s="42"/>
    </row>
    <row r="835" ht="15.75" customHeight="1">
      <c r="E835" s="42"/>
    </row>
    <row r="836" ht="15.75" customHeight="1">
      <c r="E836" s="42"/>
    </row>
    <row r="837" ht="15.75" customHeight="1">
      <c r="E837" s="42"/>
    </row>
    <row r="838" ht="15.75" customHeight="1">
      <c r="E838" s="42"/>
    </row>
    <row r="839" ht="15.75" customHeight="1">
      <c r="E839" s="42"/>
    </row>
    <row r="840" ht="15.75" customHeight="1">
      <c r="E840" s="42"/>
    </row>
    <row r="841" ht="15.75" customHeight="1">
      <c r="E841" s="42"/>
    </row>
    <row r="842" ht="15.75" customHeight="1">
      <c r="E842" s="42"/>
    </row>
    <row r="843" ht="15.75" customHeight="1">
      <c r="E843" s="42"/>
    </row>
    <row r="844" ht="15.75" customHeight="1">
      <c r="E844" s="42"/>
    </row>
    <row r="845" ht="15.75" customHeight="1">
      <c r="E845" s="42"/>
    </row>
    <row r="846" ht="15.75" customHeight="1">
      <c r="E846" s="42"/>
    </row>
    <row r="847" ht="15.75" customHeight="1">
      <c r="E847" s="42"/>
    </row>
    <row r="848" ht="15.75" customHeight="1">
      <c r="E848" s="42"/>
    </row>
    <row r="849" ht="15.75" customHeight="1">
      <c r="E849" s="42"/>
    </row>
    <row r="850" ht="15.75" customHeight="1">
      <c r="E850" s="42"/>
    </row>
    <row r="851" ht="15.75" customHeight="1">
      <c r="E851" s="42"/>
    </row>
    <row r="852" ht="15.75" customHeight="1">
      <c r="E852" s="42"/>
    </row>
    <row r="853" ht="15.75" customHeight="1">
      <c r="E853" s="42"/>
    </row>
    <row r="854" ht="15.75" customHeight="1">
      <c r="E854" s="42"/>
    </row>
    <row r="855" ht="15.75" customHeight="1">
      <c r="E855" s="42"/>
    </row>
    <row r="856" ht="15.75" customHeight="1">
      <c r="E856" s="42"/>
    </row>
    <row r="857" ht="15.75" customHeight="1">
      <c r="E857" s="42"/>
    </row>
    <row r="858" ht="15.75" customHeight="1">
      <c r="E858" s="42"/>
    </row>
    <row r="859" ht="15.75" customHeight="1">
      <c r="E859" s="42"/>
    </row>
    <row r="860" ht="15.75" customHeight="1">
      <c r="E860" s="42"/>
    </row>
    <row r="861" ht="15.75" customHeight="1">
      <c r="E861" s="42"/>
    </row>
    <row r="862" ht="15.75" customHeight="1">
      <c r="E862" s="42"/>
    </row>
    <row r="863" ht="15.75" customHeight="1">
      <c r="E863" s="42"/>
    </row>
    <row r="864" ht="15.75" customHeight="1">
      <c r="E864" s="42"/>
    </row>
    <row r="865" ht="15.75" customHeight="1">
      <c r="E865" s="42"/>
    </row>
    <row r="866" ht="15.75" customHeight="1">
      <c r="E866" s="42"/>
    </row>
    <row r="867" ht="15.75" customHeight="1">
      <c r="E867" s="42"/>
    </row>
    <row r="868" ht="15.75" customHeight="1">
      <c r="E868" s="42"/>
    </row>
    <row r="869" ht="15.75" customHeight="1">
      <c r="E869" s="42"/>
    </row>
    <row r="870" ht="15.75" customHeight="1">
      <c r="E870" s="42"/>
    </row>
    <row r="871" ht="15.75" customHeight="1">
      <c r="E871" s="42"/>
    </row>
    <row r="872" ht="15.75" customHeight="1">
      <c r="E872" s="42"/>
    </row>
    <row r="873" ht="15.75" customHeight="1">
      <c r="E873" s="42"/>
    </row>
    <row r="874" ht="15.75" customHeight="1">
      <c r="E874" s="42"/>
    </row>
    <row r="875" ht="15.75" customHeight="1">
      <c r="E875" s="42"/>
    </row>
    <row r="876" ht="15.75" customHeight="1">
      <c r="E876" s="42"/>
    </row>
    <row r="877" ht="15.75" customHeight="1">
      <c r="E877" s="42"/>
    </row>
    <row r="878" ht="15.75" customHeight="1">
      <c r="E878" s="42"/>
    </row>
    <row r="879" ht="15.75" customHeight="1">
      <c r="E879" s="42"/>
    </row>
    <row r="880" ht="15.75" customHeight="1">
      <c r="E880" s="42"/>
    </row>
    <row r="881" ht="15.75" customHeight="1">
      <c r="E881" s="42"/>
    </row>
    <row r="882" ht="15.75" customHeight="1">
      <c r="E882" s="42"/>
    </row>
    <row r="883" ht="15.75" customHeight="1">
      <c r="E883" s="42"/>
    </row>
    <row r="884" ht="15.75" customHeight="1">
      <c r="E884" s="42"/>
    </row>
    <row r="885" ht="15.75" customHeight="1">
      <c r="E885" s="42"/>
    </row>
    <row r="886" ht="15.75" customHeight="1">
      <c r="E886" s="42"/>
    </row>
    <row r="887" ht="15.75" customHeight="1">
      <c r="E887" s="42"/>
    </row>
    <row r="888" ht="15.75" customHeight="1">
      <c r="E888" s="42"/>
    </row>
    <row r="889" ht="15.75" customHeight="1">
      <c r="E889" s="42"/>
    </row>
    <row r="890" ht="15.75" customHeight="1">
      <c r="E890" s="42"/>
    </row>
    <row r="891" ht="15.75" customHeight="1">
      <c r="E891" s="42"/>
    </row>
    <row r="892" ht="15.75" customHeight="1">
      <c r="E892" s="42"/>
    </row>
    <row r="893" ht="15.75" customHeight="1">
      <c r="E893" s="42"/>
    </row>
    <row r="894" ht="15.75" customHeight="1">
      <c r="E894" s="42"/>
    </row>
    <row r="895" ht="15.75" customHeight="1">
      <c r="E895" s="42"/>
    </row>
    <row r="896" ht="15.75" customHeight="1">
      <c r="E896" s="42"/>
    </row>
    <row r="897" ht="15.75" customHeight="1">
      <c r="E897" s="42"/>
    </row>
    <row r="898" ht="15.75" customHeight="1">
      <c r="E898" s="42"/>
    </row>
    <row r="899" ht="15.75" customHeight="1">
      <c r="E899" s="42"/>
    </row>
    <row r="900" ht="15.75" customHeight="1">
      <c r="E900" s="42"/>
    </row>
    <row r="901" ht="15.75" customHeight="1">
      <c r="E901" s="42"/>
    </row>
    <row r="902" ht="15.75" customHeight="1">
      <c r="E902" s="42"/>
    </row>
    <row r="903" ht="15.75" customHeight="1">
      <c r="E903" s="42"/>
    </row>
    <row r="904" ht="15.75" customHeight="1">
      <c r="E904" s="42"/>
    </row>
    <row r="905" ht="15.75" customHeight="1">
      <c r="E905" s="42"/>
    </row>
    <row r="906" ht="15.75" customHeight="1">
      <c r="E906" s="42"/>
    </row>
    <row r="907" ht="15.75" customHeight="1">
      <c r="E907" s="42"/>
    </row>
    <row r="908" ht="15.75" customHeight="1">
      <c r="E908" s="42"/>
    </row>
    <row r="909" ht="15.75" customHeight="1">
      <c r="E909" s="42"/>
    </row>
    <row r="910" ht="15.75" customHeight="1">
      <c r="E910" s="42"/>
    </row>
    <row r="911" ht="15.75" customHeight="1">
      <c r="E911" s="42"/>
    </row>
    <row r="912" ht="15.75" customHeight="1">
      <c r="E912" s="42"/>
    </row>
    <row r="913" ht="15.75" customHeight="1">
      <c r="E913" s="42"/>
    </row>
    <row r="914" ht="15.75" customHeight="1">
      <c r="E914" s="42"/>
    </row>
    <row r="915" ht="15.75" customHeight="1">
      <c r="E915" s="42"/>
    </row>
    <row r="916" ht="15.75" customHeight="1">
      <c r="E916" s="42"/>
    </row>
    <row r="917" ht="15.75" customHeight="1">
      <c r="E917" s="42"/>
    </row>
    <row r="918" ht="15.75" customHeight="1">
      <c r="E918" s="42"/>
    </row>
    <row r="919" ht="15.75" customHeight="1">
      <c r="E919" s="42"/>
    </row>
    <row r="920" ht="15.75" customHeight="1">
      <c r="E920" s="42"/>
    </row>
    <row r="921" ht="15.75" customHeight="1">
      <c r="E921" s="42"/>
    </row>
    <row r="922" ht="15.75" customHeight="1">
      <c r="E922" s="42"/>
    </row>
    <row r="923" ht="15.75" customHeight="1">
      <c r="E923" s="42"/>
    </row>
    <row r="924" ht="15.75" customHeight="1">
      <c r="E924" s="42"/>
    </row>
    <row r="925" ht="15.75" customHeight="1">
      <c r="E925" s="42"/>
    </row>
    <row r="926" ht="15.75" customHeight="1">
      <c r="E926" s="42"/>
    </row>
    <row r="927" ht="15.75" customHeight="1">
      <c r="E927" s="42"/>
    </row>
    <row r="928" ht="15.75" customHeight="1">
      <c r="E928" s="42"/>
    </row>
    <row r="929" ht="15.75" customHeight="1">
      <c r="E929" s="42"/>
    </row>
    <row r="930" ht="15.75" customHeight="1">
      <c r="E930" s="42"/>
    </row>
    <row r="931" ht="15.75" customHeight="1">
      <c r="E931" s="42"/>
    </row>
    <row r="932" ht="15.75" customHeight="1">
      <c r="E932" s="42"/>
    </row>
    <row r="933" ht="15.75" customHeight="1">
      <c r="E933" s="42"/>
    </row>
    <row r="934" ht="15.75" customHeight="1">
      <c r="E934" s="42"/>
    </row>
    <row r="935" ht="15.75" customHeight="1">
      <c r="E935" s="42"/>
    </row>
    <row r="936" ht="15.75" customHeight="1">
      <c r="E936" s="42"/>
    </row>
    <row r="937" ht="15.75" customHeight="1">
      <c r="E937" s="42"/>
    </row>
    <row r="938" ht="15.75" customHeight="1">
      <c r="E938" s="42"/>
    </row>
    <row r="939" ht="15.75" customHeight="1">
      <c r="E939" s="42"/>
    </row>
    <row r="940" ht="15.75" customHeight="1">
      <c r="E940" s="42"/>
    </row>
    <row r="941" ht="15.75" customHeight="1">
      <c r="E941" s="42"/>
    </row>
    <row r="942" ht="15.75" customHeight="1">
      <c r="E942" s="42"/>
    </row>
    <row r="943" ht="15.75" customHeight="1">
      <c r="E943" s="42"/>
    </row>
    <row r="944" ht="15.75" customHeight="1">
      <c r="E944" s="42"/>
    </row>
    <row r="945" ht="15.75" customHeight="1">
      <c r="E945" s="42"/>
    </row>
    <row r="946" ht="15.75" customHeight="1">
      <c r="E946" s="42"/>
    </row>
    <row r="947" ht="15.75" customHeight="1">
      <c r="E947" s="42"/>
    </row>
    <row r="948" ht="15.75" customHeight="1">
      <c r="E948" s="42"/>
    </row>
    <row r="949" ht="15.75" customHeight="1">
      <c r="E949" s="42"/>
    </row>
    <row r="950" ht="15.75" customHeight="1">
      <c r="E950" s="42"/>
    </row>
    <row r="951" ht="15.75" customHeight="1">
      <c r="E951" s="42"/>
    </row>
    <row r="952" ht="15.75" customHeight="1">
      <c r="E952" s="42"/>
    </row>
    <row r="953" ht="15.75" customHeight="1">
      <c r="E953" s="42"/>
    </row>
    <row r="954" ht="15.75" customHeight="1">
      <c r="E954" s="42"/>
    </row>
    <row r="955" ht="15.75" customHeight="1">
      <c r="E955" s="42"/>
    </row>
    <row r="956" ht="15.75" customHeight="1">
      <c r="E956" s="42"/>
    </row>
    <row r="957" ht="15.75" customHeight="1">
      <c r="E957" s="42"/>
    </row>
    <row r="958" ht="15.75" customHeight="1">
      <c r="E958" s="42"/>
    </row>
    <row r="959" ht="15.75" customHeight="1">
      <c r="E959" s="42"/>
    </row>
    <row r="960" ht="15.75" customHeight="1">
      <c r="E960" s="42"/>
    </row>
    <row r="961" ht="15.75" customHeight="1">
      <c r="E961" s="42"/>
    </row>
    <row r="962" ht="15.75" customHeight="1">
      <c r="E962" s="42"/>
    </row>
    <row r="963" ht="15.75" customHeight="1">
      <c r="E963" s="42"/>
    </row>
    <row r="964" ht="15.75" customHeight="1">
      <c r="E964" s="42"/>
    </row>
    <row r="965" ht="15.75" customHeight="1">
      <c r="E965" s="42"/>
    </row>
    <row r="966" ht="15.75" customHeight="1">
      <c r="E966" s="42"/>
    </row>
    <row r="967" ht="15.75" customHeight="1">
      <c r="E967" s="42"/>
    </row>
    <row r="968" ht="15.75" customHeight="1">
      <c r="E968" s="42"/>
    </row>
    <row r="969" ht="15.75" customHeight="1">
      <c r="E969" s="42"/>
    </row>
    <row r="970" ht="15.75" customHeight="1">
      <c r="E970" s="42"/>
    </row>
    <row r="971" ht="15.75" customHeight="1">
      <c r="E971" s="42"/>
    </row>
    <row r="972" ht="15.75" customHeight="1">
      <c r="E972" s="42"/>
    </row>
    <row r="973" ht="15.75" customHeight="1">
      <c r="E973" s="42"/>
    </row>
    <row r="974" ht="15.75" customHeight="1">
      <c r="E974" s="42"/>
    </row>
    <row r="975" ht="15.75" customHeight="1">
      <c r="E975" s="42"/>
    </row>
    <row r="976" ht="15.75" customHeight="1">
      <c r="E976" s="42"/>
    </row>
    <row r="977" ht="15.75" customHeight="1">
      <c r="E977" s="42"/>
    </row>
    <row r="978" ht="15.75" customHeight="1">
      <c r="E978" s="42"/>
    </row>
    <row r="979" ht="15.75" customHeight="1">
      <c r="E979" s="42"/>
    </row>
    <row r="980" ht="15.75" customHeight="1">
      <c r="E980" s="42"/>
    </row>
    <row r="981" ht="15.75" customHeight="1">
      <c r="E981" s="42"/>
    </row>
    <row r="982" ht="15.75" customHeight="1">
      <c r="E982" s="42"/>
    </row>
    <row r="983" ht="15.75" customHeight="1">
      <c r="E983" s="42"/>
    </row>
    <row r="984" ht="15.75" customHeight="1">
      <c r="E984" s="42"/>
    </row>
    <row r="985" ht="15.75" customHeight="1">
      <c r="E985" s="42"/>
    </row>
    <row r="986" ht="15.75" customHeight="1">
      <c r="E986" s="42"/>
    </row>
    <row r="987" ht="15.75" customHeight="1">
      <c r="E987" s="42"/>
    </row>
    <row r="988" ht="15.75" customHeight="1">
      <c r="E988" s="42"/>
    </row>
    <row r="989" ht="15.75" customHeight="1">
      <c r="E989" s="42"/>
    </row>
    <row r="990" ht="15.75" customHeight="1">
      <c r="E990" s="42"/>
    </row>
    <row r="991" ht="15.75" customHeight="1">
      <c r="E991" s="42"/>
    </row>
    <row r="992" ht="15.75" customHeight="1">
      <c r="E992" s="42"/>
    </row>
    <row r="993" ht="15.75" customHeight="1">
      <c r="E993" s="42"/>
    </row>
    <row r="994" ht="15.75" customHeight="1">
      <c r="E994" s="42"/>
    </row>
    <row r="995" ht="15.75" customHeight="1">
      <c r="E995" s="42"/>
    </row>
    <row r="996" ht="15.75" customHeight="1">
      <c r="E996" s="42"/>
    </row>
    <row r="997" ht="15.75" customHeight="1">
      <c r="E997" s="42"/>
    </row>
    <row r="998" ht="15.75" customHeight="1">
      <c r="E998" s="42"/>
    </row>
    <row r="999" ht="15.75" customHeight="1">
      <c r="E999" s="42"/>
    </row>
    <row r="1000" ht="15.75" customHeight="1">
      <c r="E1000" s="42"/>
    </row>
    <row r="1001" ht="15.75" customHeight="1">
      <c r="E1001" s="42"/>
    </row>
    <row r="1002" ht="15.75" customHeight="1">
      <c r="E1002" s="42"/>
    </row>
    <row r="1003" ht="15.75" customHeight="1">
      <c r="E1003" s="42"/>
    </row>
    <row r="1004" ht="15.75" customHeight="1">
      <c r="E1004" s="42"/>
    </row>
    <row r="1005" ht="15.75" customHeight="1">
      <c r="E1005" s="42"/>
    </row>
    <row r="1006" ht="15.75" customHeight="1">
      <c r="E1006" s="42"/>
    </row>
    <row r="1007" ht="15.75" customHeight="1">
      <c r="E1007" s="42"/>
    </row>
    <row r="1008" ht="15.75" customHeight="1">
      <c r="E1008" s="42"/>
    </row>
    <row r="1009" ht="15.75" customHeight="1">
      <c r="E1009" s="42"/>
    </row>
    <row r="1010" ht="15.75" customHeight="1">
      <c r="E1010" s="42"/>
    </row>
    <row r="1011" ht="15.75" customHeight="1">
      <c r="E1011" s="42"/>
    </row>
    <row r="1012" ht="15.75" customHeight="1">
      <c r="E1012" s="42"/>
    </row>
    <row r="1013" ht="15.75" customHeight="1">
      <c r="E1013" s="42"/>
    </row>
    <row r="1014" ht="15.75" customHeight="1">
      <c r="E1014" s="42"/>
    </row>
    <row r="1015" ht="15.75" customHeight="1">
      <c r="E1015" s="42"/>
    </row>
    <row r="1016" ht="15.75" customHeight="1">
      <c r="E1016" s="42"/>
    </row>
    <row r="1017" ht="15.75" customHeight="1">
      <c r="E1017" s="42"/>
    </row>
    <row r="1018" ht="15.75" customHeight="1">
      <c r="E1018" s="42"/>
    </row>
    <row r="1019" ht="15.75" customHeight="1">
      <c r="E1019" s="42"/>
    </row>
    <row r="1020" ht="15.75" customHeight="1">
      <c r="E1020" s="42"/>
    </row>
    <row r="1021" ht="15.75" customHeight="1">
      <c r="E1021" s="42"/>
    </row>
    <row r="1022" ht="15.75" customHeight="1">
      <c r="E1022" s="42"/>
    </row>
    <row r="1023" ht="15.75" customHeight="1">
      <c r="E1023" s="42"/>
    </row>
  </sheetData>
  <customSheetViews>
    <customSheetView guid="{E8F1DD2B-7BC7-410E-BB6F-1687C0FEC8CE}" filter="1" showAutoFilter="1">
      <autoFilter ref="$A$2:$W$393"/>
    </customSheetView>
  </customSheetViews>
  <mergeCells count="1">
    <mergeCell ref="A1:W1"/>
  </mergeCells>
  <conditionalFormatting sqref="T3:T393">
    <cfRule type="cellIs" dxfId="6" priority="1" operator="greaterThanOrEqual">
      <formula>1</formula>
    </cfRule>
  </conditionalFormatting>
  <conditionalFormatting sqref="T3:T393">
    <cfRule type="cellIs" dxfId="7" priority="2" operator="between">
      <formula>0.8</formula>
      <formula>0.999999</formula>
    </cfRule>
  </conditionalFormatting>
  <conditionalFormatting sqref="T3:T393">
    <cfRule type="cellIs" dxfId="8" priority="3" operator="lessThan">
      <formula>0.8</formula>
    </cfRule>
  </conditionalFormatting>
  <printOptions/>
  <pageMargins bottom="0.25" footer="0.0" header="0.0" left="0.25" right="0.25" top="0.25"/>
  <pageSetup fitToHeight="0" paperSize="9"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71"/>
    <col customWidth="1" min="2" max="2" width="20.29"/>
    <col customWidth="1" min="3" max="3" width="9.86"/>
    <col customWidth="1" min="4" max="4" width="15.29"/>
    <col customWidth="1" min="5" max="5" width="10.0"/>
    <col customWidth="1" min="6" max="6" width="8.86"/>
    <col customWidth="1" min="7" max="7" width="11.14"/>
    <col customWidth="1" min="8" max="8" width="12.29"/>
    <col customWidth="1" min="9" max="9" width="11.86"/>
    <col customWidth="1" min="10" max="10" width="11.29"/>
    <col customWidth="1" min="11" max="11" width="9.14"/>
    <col customWidth="1" min="12" max="12" width="15.57"/>
    <col customWidth="1" min="13" max="13" width="16.0"/>
    <col customWidth="1" min="14" max="14" width="13.43"/>
    <col customWidth="1" min="15" max="15" width="19.43"/>
    <col customWidth="1" min="16" max="16" width="14.57"/>
    <col customWidth="1" min="17" max="17" width="14.86"/>
    <col customWidth="1" min="18" max="18" width="14.0"/>
    <col customWidth="1" min="19" max="19" width="13.86"/>
    <col customWidth="1" min="20" max="20" width="12.57"/>
    <col customWidth="1" min="21" max="21" width="7.71"/>
    <col customWidth="1" min="22" max="22" width="17.86"/>
    <col customWidth="1" min="23" max="26" width="8.71"/>
  </cols>
  <sheetData>
    <row r="1" ht="30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/>
      <c r="Y1" s="4"/>
      <c r="Z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</row>
    <row r="3" ht="15.0" customHeight="1">
      <c r="A3" s="6">
        <v>46301.0</v>
      </c>
      <c r="B3" s="7" t="s">
        <v>28</v>
      </c>
      <c r="C3" s="9" t="s">
        <v>29</v>
      </c>
      <c r="D3" s="9" t="s">
        <v>27</v>
      </c>
      <c r="E3" s="10">
        <v>50000.0</v>
      </c>
      <c r="F3" s="12">
        <f t="shared" ref="F3:F15" si="1">IF(E3&gt;0,3,0)</f>
        <v>3</v>
      </c>
      <c r="G3" s="11">
        <v>1.0</v>
      </c>
      <c r="H3" s="12">
        <f t="shared" ref="H3:H15" si="2">IF(G3&gt;0,1,0)</f>
        <v>1</v>
      </c>
      <c r="I3" s="11">
        <v>1.0</v>
      </c>
      <c r="J3" s="12">
        <f t="shared" ref="J3:J15" si="3">IF(I3&gt;0,1,0)</f>
        <v>1</v>
      </c>
      <c r="K3" s="11">
        <v>108.0</v>
      </c>
      <c r="L3" s="11">
        <v>56.0</v>
      </c>
      <c r="M3" s="14">
        <f t="shared" ref="M3:M15" si="4">MIN(L3/50,1)</f>
        <v>1</v>
      </c>
      <c r="N3" s="11">
        <v>3.0</v>
      </c>
      <c r="O3" s="14">
        <f t="shared" ref="O3:O15" si="5">SUM(N3/3)*2</f>
        <v>2</v>
      </c>
      <c r="P3" s="11">
        <v>1.0</v>
      </c>
      <c r="Q3" s="15">
        <v>1.0</v>
      </c>
      <c r="R3" s="9">
        <v>10.0</v>
      </c>
      <c r="S3" s="16">
        <f t="shared" ref="S3:S15" si="6">SUM(F3,H3,J3,M3,O3,P3,Q3)</f>
        <v>10</v>
      </c>
      <c r="T3" s="17">
        <f t="shared" ref="T3:T15" si="7">IFERROR(S3/10,0)</f>
        <v>1</v>
      </c>
      <c r="U3" s="14">
        <f t="shared" ref="U3:U15" si="8">S3-10</f>
        <v>0</v>
      </c>
      <c r="V3" s="9" t="str">
        <f t="shared" ref="V3:V15" si="9">IF(T3&gt;=1,"Achieved",IF(T3&gt;=0.7,"Near Target",IF(T3&gt;=0.5,"Average","Low Performance")))</f>
        <v>Achieved</v>
      </c>
      <c r="W3" s="9"/>
    </row>
    <row r="4" ht="15.0" customHeight="1">
      <c r="A4" s="6">
        <v>46301.0</v>
      </c>
      <c r="B4" s="7" t="s">
        <v>36</v>
      </c>
      <c r="C4" s="9" t="s">
        <v>29</v>
      </c>
      <c r="D4" s="9" t="s">
        <v>27</v>
      </c>
      <c r="E4" s="10">
        <v>0.0</v>
      </c>
      <c r="F4" s="12">
        <f t="shared" si="1"/>
        <v>0</v>
      </c>
      <c r="G4" s="11">
        <v>0.0</v>
      </c>
      <c r="H4" s="12">
        <f t="shared" si="2"/>
        <v>0</v>
      </c>
      <c r="I4" s="11">
        <v>1.0</v>
      </c>
      <c r="J4" s="12">
        <f t="shared" si="3"/>
        <v>1</v>
      </c>
      <c r="K4" s="11">
        <v>69.0</v>
      </c>
      <c r="L4" s="11">
        <v>55.0</v>
      </c>
      <c r="M4" s="14">
        <f t="shared" si="4"/>
        <v>1</v>
      </c>
      <c r="N4" s="11">
        <v>3.0</v>
      </c>
      <c r="O4" s="14">
        <f t="shared" si="5"/>
        <v>2</v>
      </c>
      <c r="P4" s="11">
        <v>1.0</v>
      </c>
      <c r="Q4" s="15">
        <v>1.0</v>
      </c>
      <c r="R4" s="9">
        <v>10.0</v>
      </c>
      <c r="S4" s="16">
        <f t="shared" si="6"/>
        <v>6</v>
      </c>
      <c r="T4" s="17">
        <f t="shared" si="7"/>
        <v>0.6</v>
      </c>
      <c r="U4" s="14">
        <f t="shared" si="8"/>
        <v>-4</v>
      </c>
      <c r="V4" s="9" t="str">
        <f t="shared" si="9"/>
        <v>Average</v>
      </c>
      <c r="W4" s="9"/>
    </row>
    <row r="5" ht="15.0" customHeight="1">
      <c r="A5" s="6">
        <v>46301.0</v>
      </c>
      <c r="B5" s="7" t="s">
        <v>37</v>
      </c>
      <c r="C5" s="9" t="s">
        <v>29</v>
      </c>
      <c r="D5" s="9" t="s">
        <v>27</v>
      </c>
      <c r="E5" s="10">
        <v>0.0</v>
      </c>
      <c r="F5" s="12">
        <f t="shared" si="1"/>
        <v>0</v>
      </c>
      <c r="G5" s="11">
        <v>1.0</v>
      </c>
      <c r="H5" s="12">
        <f t="shared" si="2"/>
        <v>1</v>
      </c>
      <c r="I5" s="11">
        <v>1.0</v>
      </c>
      <c r="J5" s="12">
        <f t="shared" si="3"/>
        <v>1</v>
      </c>
      <c r="K5" s="11">
        <v>65.0</v>
      </c>
      <c r="L5" s="11">
        <v>53.0</v>
      </c>
      <c r="M5" s="14">
        <f t="shared" si="4"/>
        <v>1</v>
      </c>
      <c r="N5" s="11">
        <v>3.0</v>
      </c>
      <c r="O5" s="14">
        <f t="shared" si="5"/>
        <v>2</v>
      </c>
      <c r="P5" s="11">
        <v>1.0</v>
      </c>
      <c r="Q5" s="15">
        <v>1.0</v>
      </c>
      <c r="R5" s="9">
        <v>10.0</v>
      </c>
      <c r="S5" s="16">
        <f t="shared" si="6"/>
        <v>7</v>
      </c>
      <c r="T5" s="17">
        <f t="shared" si="7"/>
        <v>0.7</v>
      </c>
      <c r="U5" s="14">
        <f t="shared" si="8"/>
        <v>-3</v>
      </c>
      <c r="V5" s="9" t="str">
        <f t="shared" si="9"/>
        <v>Near Target</v>
      </c>
      <c r="W5" s="9"/>
    </row>
    <row r="6" ht="15.0" customHeight="1">
      <c r="A6" s="6">
        <v>46301.0</v>
      </c>
      <c r="B6" s="7" t="s">
        <v>38</v>
      </c>
      <c r="C6" s="9" t="s">
        <v>29</v>
      </c>
      <c r="D6" s="9" t="s">
        <v>27</v>
      </c>
      <c r="E6" s="10">
        <v>0.0</v>
      </c>
      <c r="F6" s="12">
        <f t="shared" si="1"/>
        <v>0</v>
      </c>
      <c r="G6" s="11">
        <v>0.0</v>
      </c>
      <c r="H6" s="12">
        <f t="shared" si="2"/>
        <v>0</v>
      </c>
      <c r="I6" s="11">
        <v>1.0</v>
      </c>
      <c r="J6" s="12">
        <f t="shared" si="3"/>
        <v>1</v>
      </c>
      <c r="K6" s="11">
        <v>79.0</v>
      </c>
      <c r="L6" s="11">
        <v>52.0</v>
      </c>
      <c r="M6" s="14">
        <f t="shared" si="4"/>
        <v>1</v>
      </c>
      <c r="N6" s="11">
        <v>3.0</v>
      </c>
      <c r="O6" s="14">
        <f t="shared" si="5"/>
        <v>2</v>
      </c>
      <c r="P6" s="11">
        <v>1.0</v>
      </c>
      <c r="Q6" s="15">
        <v>1.0</v>
      </c>
      <c r="R6" s="9">
        <v>10.0</v>
      </c>
      <c r="S6" s="16">
        <f t="shared" si="6"/>
        <v>6</v>
      </c>
      <c r="T6" s="17">
        <f t="shared" si="7"/>
        <v>0.6</v>
      </c>
      <c r="U6" s="14">
        <f t="shared" si="8"/>
        <v>-4</v>
      </c>
      <c r="V6" s="9" t="str">
        <f t="shared" si="9"/>
        <v>Average</v>
      </c>
      <c r="W6" s="9"/>
    </row>
    <row r="7" ht="15.0" customHeight="1">
      <c r="A7" s="6">
        <v>46301.0</v>
      </c>
      <c r="B7" s="7" t="s">
        <v>44</v>
      </c>
      <c r="C7" s="9" t="s">
        <v>29</v>
      </c>
      <c r="D7" s="9" t="s">
        <v>27</v>
      </c>
      <c r="E7" s="10">
        <v>0.0</v>
      </c>
      <c r="F7" s="12">
        <f t="shared" si="1"/>
        <v>0</v>
      </c>
      <c r="G7" s="11">
        <v>0.0</v>
      </c>
      <c r="H7" s="12">
        <f t="shared" si="2"/>
        <v>0</v>
      </c>
      <c r="I7" s="11">
        <v>0.0</v>
      </c>
      <c r="J7" s="12">
        <f t="shared" si="3"/>
        <v>0</v>
      </c>
      <c r="K7" s="11">
        <v>25.0</v>
      </c>
      <c r="L7" s="11">
        <v>20.0</v>
      </c>
      <c r="M7" s="14">
        <f t="shared" si="4"/>
        <v>0.4</v>
      </c>
      <c r="N7" s="11">
        <v>0.0</v>
      </c>
      <c r="O7" s="14">
        <f t="shared" si="5"/>
        <v>0</v>
      </c>
      <c r="P7" s="11">
        <v>1.0</v>
      </c>
      <c r="Q7" s="15">
        <v>1.0</v>
      </c>
      <c r="R7" s="9">
        <v>10.0</v>
      </c>
      <c r="S7" s="16">
        <f t="shared" si="6"/>
        <v>2.4</v>
      </c>
      <c r="T7" s="17">
        <f t="shared" si="7"/>
        <v>0.24</v>
      </c>
      <c r="U7" s="14">
        <f t="shared" si="8"/>
        <v>-7.6</v>
      </c>
      <c r="V7" s="9" t="str">
        <f t="shared" si="9"/>
        <v>Low Performance</v>
      </c>
      <c r="W7" s="9"/>
    </row>
    <row r="8" ht="15.0" customHeight="1">
      <c r="A8" s="6">
        <v>46301.0</v>
      </c>
      <c r="B8" s="20" t="s">
        <v>39</v>
      </c>
      <c r="C8" s="9" t="s">
        <v>40</v>
      </c>
      <c r="D8" s="9" t="s">
        <v>27</v>
      </c>
      <c r="E8" s="10">
        <v>0.0</v>
      </c>
      <c r="F8" s="12">
        <f t="shared" si="1"/>
        <v>0</v>
      </c>
      <c r="G8" s="11">
        <v>0.0</v>
      </c>
      <c r="H8" s="12">
        <f t="shared" si="2"/>
        <v>0</v>
      </c>
      <c r="I8" s="11">
        <v>1.0</v>
      </c>
      <c r="J8" s="12">
        <f t="shared" si="3"/>
        <v>1</v>
      </c>
      <c r="K8" s="11">
        <v>80.0</v>
      </c>
      <c r="L8" s="11">
        <v>56.0</v>
      </c>
      <c r="M8" s="14">
        <f t="shared" si="4"/>
        <v>1</v>
      </c>
      <c r="N8" s="11">
        <v>3.0</v>
      </c>
      <c r="O8" s="14">
        <f t="shared" si="5"/>
        <v>2</v>
      </c>
      <c r="P8" s="11">
        <v>1.0</v>
      </c>
      <c r="Q8" s="15">
        <v>1.0</v>
      </c>
      <c r="R8" s="9">
        <v>10.0</v>
      </c>
      <c r="S8" s="16">
        <f t="shared" si="6"/>
        <v>6</v>
      </c>
      <c r="T8" s="17">
        <f t="shared" si="7"/>
        <v>0.6</v>
      </c>
      <c r="U8" s="14">
        <f t="shared" si="8"/>
        <v>-4</v>
      </c>
      <c r="V8" s="9" t="str">
        <f t="shared" si="9"/>
        <v>Average</v>
      </c>
      <c r="W8" s="9"/>
    </row>
    <row r="9" ht="15.0" customHeight="1">
      <c r="A9" s="6">
        <v>46301.0</v>
      </c>
      <c r="B9" s="7" t="s">
        <v>41</v>
      </c>
      <c r="C9" s="9" t="s">
        <v>40</v>
      </c>
      <c r="D9" s="9" t="s">
        <v>27</v>
      </c>
      <c r="E9" s="10">
        <v>0.0</v>
      </c>
      <c r="F9" s="12">
        <f t="shared" si="1"/>
        <v>0</v>
      </c>
      <c r="G9" s="11">
        <v>0.0</v>
      </c>
      <c r="H9" s="12">
        <f t="shared" si="2"/>
        <v>0</v>
      </c>
      <c r="I9" s="11">
        <v>1.0</v>
      </c>
      <c r="J9" s="12">
        <f t="shared" si="3"/>
        <v>1</v>
      </c>
      <c r="K9" s="11">
        <v>75.0</v>
      </c>
      <c r="L9" s="11">
        <v>51.0</v>
      </c>
      <c r="M9" s="14">
        <f t="shared" si="4"/>
        <v>1</v>
      </c>
      <c r="N9" s="11">
        <v>3.0</v>
      </c>
      <c r="O9" s="14">
        <f t="shared" si="5"/>
        <v>2</v>
      </c>
      <c r="P9" s="11">
        <v>1.0</v>
      </c>
      <c r="Q9" s="15">
        <v>1.0</v>
      </c>
      <c r="R9" s="9">
        <v>10.0</v>
      </c>
      <c r="S9" s="16">
        <f t="shared" si="6"/>
        <v>6</v>
      </c>
      <c r="T9" s="17">
        <f t="shared" si="7"/>
        <v>0.6</v>
      </c>
      <c r="U9" s="14">
        <f t="shared" si="8"/>
        <v>-4</v>
      </c>
      <c r="V9" s="9" t="str">
        <f t="shared" si="9"/>
        <v>Average</v>
      </c>
      <c r="W9" s="9"/>
    </row>
    <row r="10" ht="15.0" customHeight="1">
      <c r="A10" s="6">
        <v>46301.0</v>
      </c>
      <c r="B10" s="7" t="s">
        <v>43</v>
      </c>
      <c r="C10" s="9" t="s">
        <v>40</v>
      </c>
      <c r="D10" s="9" t="s">
        <v>27</v>
      </c>
      <c r="E10" s="10">
        <v>0.0</v>
      </c>
      <c r="F10" s="12">
        <f t="shared" si="1"/>
        <v>0</v>
      </c>
      <c r="G10" s="11">
        <v>0.0</v>
      </c>
      <c r="H10" s="12">
        <f t="shared" si="2"/>
        <v>0</v>
      </c>
      <c r="I10" s="11">
        <v>1.0</v>
      </c>
      <c r="J10" s="12">
        <f t="shared" si="3"/>
        <v>1</v>
      </c>
      <c r="K10" s="11">
        <v>68.0</v>
      </c>
      <c r="L10" s="11">
        <v>52.0</v>
      </c>
      <c r="M10" s="14">
        <f t="shared" si="4"/>
        <v>1</v>
      </c>
      <c r="N10" s="11">
        <v>3.0</v>
      </c>
      <c r="O10" s="14">
        <f t="shared" si="5"/>
        <v>2</v>
      </c>
      <c r="P10" s="11">
        <v>1.0</v>
      </c>
      <c r="Q10" s="15">
        <v>1.0</v>
      </c>
      <c r="R10" s="9">
        <v>10.0</v>
      </c>
      <c r="S10" s="16">
        <f t="shared" si="6"/>
        <v>6</v>
      </c>
      <c r="T10" s="17">
        <f t="shared" si="7"/>
        <v>0.6</v>
      </c>
      <c r="U10" s="14">
        <f t="shared" si="8"/>
        <v>-4</v>
      </c>
      <c r="V10" s="9" t="str">
        <f t="shared" si="9"/>
        <v>Average</v>
      </c>
      <c r="W10" s="9"/>
    </row>
    <row r="11" ht="15.0" customHeight="1">
      <c r="A11" s="6">
        <v>46301.0</v>
      </c>
      <c r="B11" s="7" t="s">
        <v>53</v>
      </c>
      <c r="C11" s="9" t="s">
        <v>40</v>
      </c>
      <c r="D11" s="9" t="s">
        <v>27</v>
      </c>
      <c r="E11" s="10">
        <v>0.0</v>
      </c>
      <c r="F11" s="12">
        <f t="shared" si="1"/>
        <v>0</v>
      </c>
      <c r="G11" s="11">
        <v>0.0</v>
      </c>
      <c r="H11" s="12">
        <f t="shared" si="2"/>
        <v>0</v>
      </c>
      <c r="I11" s="11">
        <v>1.0</v>
      </c>
      <c r="J11" s="12">
        <f t="shared" si="3"/>
        <v>1</v>
      </c>
      <c r="K11" s="11">
        <v>20.0</v>
      </c>
      <c r="L11" s="11">
        <v>62.0</v>
      </c>
      <c r="M11" s="14">
        <f t="shared" si="4"/>
        <v>1</v>
      </c>
      <c r="N11" s="11">
        <v>2.0</v>
      </c>
      <c r="O11" s="14">
        <f t="shared" si="5"/>
        <v>1.333333333</v>
      </c>
      <c r="P11" s="11">
        <v>1.0</v>
      </c>
      <c r="Q11" s="15">
        <v>1.0</v>
      </c>
      <c r="R11" s="9">
        <v>10.0</v>
      </c>
      <c r="S11" s="16">
        <f t="shared" si="6"/>
        <v>5.333333333</v>
      </c>
      <c r="T11" s="17">
        <f t="shared" si="7"/>
        <v>0.5333333333</v>
      </c>
      <c r="U11" s="14">
        <f t="shared" si="8"/>
        <v>-4.666666667</v>
      </c>
      <c r="V11" s="9" t="str">
        <f t="shared" si="9"/>
        <v>Average</v>
      </c>
      <c r="W11" s="9"/>
    </row>
    <row r="12" ht="15.0" customHeight="1">
      <c r="A12" s="6">
        <v>46301.0</v>
      </c>
      <c r="B12" s="7" t="s">
        <v>42</v>
      </c>
      <c r="C12" s="9" t="s">
        <v>40</v>
      </c>
      <c r="D12" s="9" t="s">
        <v>27</v>
      </c>
      <c r="E12" s="10">
        <v>0.0</v>
      </c>
      <c r="F12" s="12">
        <f t="shared" si="1"/>
        <v>0</v>
      </c>
      <c r="G12" s="11">
        <v>0.0</v>
      </c>
      <c r="H12" s="12">
        <f t="shared" si="2"/>
        <v>0</v>
      </c>
      <c r="I12" s="11">
        <v>1.0</v>
      </c>
      <c r="J12" s="12">
        <f t="shared" si="3"/>
        <v>1</v>
      </c>
      <c r="K12" s="11">
        <v>62.0</v>
      </c>
      <c r="L12" s="11">
        <v>52.0</v>
      </c>
      <c r="M12" s="14">
        <f t="shared" si="4"/>
        <v>1</v>
      </c>
      <c r="N12" s="11">
        <v>3.0</v>
      </c>
      <c r="O12" s="14">
        <f t="shared" si="5"/>
        <v>2</v>
      </c>
      <c r="P12" s="11">
        <v>1.0</v>
      </c>
      <c r="Q12" s="15">
        <v>1.0</v>
      </c>
      <c r="R12" s="9">
        <v>10.0</v>
      </c>
      <c r="S12" s="16">
        <f t="shared" si="6"/>
        <v>6</v>
      </c>
      <c r="T12" s="17">
        <f t="shared" si="7"/>
        <v>0.6</v>
      </c>
      <c r="U12" s="14">
        <f t="shared" si="8"/>
        <v>-4</v>
      </c>
      <c r="V12" s="9" t="str">
        <f t="shared" si="9"/>
        <v>Average</v>
      </c>
      <c r="W12" s="9"/>
    </row>
    <row r="13" ht="15.0" customHeight="1">
      <c r="A13" s="6">
        <v>46301.0</v>
      </c>
      <c r="B13" s="7" t="s">
        <v>45</v>
      </c>
      <c r="C13" s="18" t="s">
        <v>46</v>
      </c>
      <c r="D13" s="9" t="s">
        <v>27</v>
      </c>
      <c r="E13" s="10">
        <v>0.0</v>
      </c>
      <c r="F13" s="12">
        <f t="shared" si="1"/>
        <v>0</v>
      </c>
      <c r="G13" s="11">
        <v>0.0</v>
      </c>
      <c r="H13" s="12">
        <f t="shared" si="2"/>
        <v>0</v>
      </c>
      <c r="I13" s="11">
        <v>2.0</v>
      </c>
      <c r="J13" s="12">
        <f t="shared" si="3"/>
        <v>1</v>
      </c>
      <c r="K13" s="11">
        <v>65.0</v>
      </c>
      <c r="L13" s="11">
        <v>57.0</v>
      </c>
      <c r="M13" s="14">
        <f t="shared" si="4"/>
        <v>1</v>
      </c>
      <c r="N13" s="11">
        <v>3.0</v>
      </c>
      <c r="O13" s="14">
        <f t="shared" si="5"/>
        <v>2</v>
      </c>
      <c r="P13" s="11">
        <v>1.0</v>
      </c>
      <c r="Q13" s="15">
        <v>1.0</v>
      </c>
      <c r="R13" s="9">
        <v>10.0</v>
      </c>
      <c r="S13" s="16">
        <f t="shared" si="6"/>
        <v>6</v>
      </c>
      <c r="T13" s="17">
        <f t="shared" si="7"/>
        <v>0.6</v>
      </c>
      <c r="U13" s="14">
        <f t="shared" si="8"/>
        <v>-4</v>
      </c>
      <c r="V13" s="9" t="str">
        <f t="shared" si="9"/>
        <v>Average</v>
      </c>
      <c r="W13" s="9"/>
    </row>
    <row r="14" ht="15.0" customHeight="1">
      <c r="A14" s="6">
        <v>46301.0</v>
      </c>
      <c r="B14" s="7" t="s">
        <v>49</v>
      </c>
      <c r="C14" s="18" t="s">
        <v>46</v>
      </c>
      <c r="D14" s="9" t="s">
        <v>27</v>
      </c>
      <c r="E14" s="10">
        <v>0.0</v>
      </c>
      <c r="F14" s="12">
        <f t="shared" si="1"/>
        <v>0</v>
      </c>
      <c r="G14" s="11">
        <v>0.0</v>
      </c>
      <c r="H14" s="12">
        <f t="shared" si="2"/>
        <v>0</v>
      </c>
      <c r="I14" s="11">
        <v>2.0</v>
      </c>
      <c r="J14" s="12">
        <f t="shared" si="3"/>
        <v>1</v>
      </c>
      <c r="K14" s="11">
        <v>60.0</v>
      </c>
      <c r="L14" s="11">
        <v>50.0</v>
      </c>
      <c r="M14" s="14">
        <f t="shared" si="4"/>
        <v>1</v>
      </c>
      <c r="N14" s="11">
        <v>3.0</v>
      </c>
      <c r="O14" s="14">
        <f t="shared" si="5"/>
        <v>2</v>
      </c>
      <c r="P14" s="11">
        <v>1.0</v>
      </c>
      <c r="Q14" s="15">
        <v>1.0</v>
      </c>
      <c r="R14" s="9">
        <v>10.0</v>
      </c>
      <c r="S14" s="16">
        <f t="shared" si="6"/>
        <v>6</v>
      </c>
      <c r="T14" s="17">
        <f t="shared" si="7"/>
        <v>0.6</v>
      </c>
      <c r="U14" s="14">
        <f t="shared" si="8"/>
        <v>-4</v>
      </c>
      <c r="V14" s="9" t="str">
        <f t="shared" si="9"/>
        <v>Average</v>
      </c>
      <c r="W14" s="9"/>
    </row>
    <row r="15" ht="15.75" customHeight="1">
      <c r="A15" s="6">
        <v>46301.0</v>
      </c>
      <c r="B15" s="22" t="s">
        <v>50</v>
      </c>
      <c r="C15" s="23" t="s">
        <v>46</v>
      </c>
      <c r="D15" s="24" t="s">
        <v>27</v>
      </c>
      <c r="E15" s="10">
        <v>0.0</v>
      </c>
      <c r="F15" s="12">
        <f t="shared" si="1"/>
        <v>0</v>
      </c>
      <c r="G15" s="11">
        <v>0.0</v>
      </c>
      <c r="H15" s="12">
        <f t="shared" si="2"/>
        <v>0</v>
      </c>
      <c r="I15" s="11">
        <v>1.0</v>
      </c>
      <c r="J15" s="12">
        <f t="shared" si="3"/>
        <v>1</v>
      </c>
      <c r="K15" s="11">
        <v>0.0</v>
      </c>
      <c r="L15" s="11">
        <v>50.0</v>
      </c>
      <c r="M15" s="14">
        <f t="shared" si="4"/>
        <v>1</v>
      </c>
      <c r="N15" s="11">
        <v>3.0</v>
      </c>
      <c r="O15" s="14">
        <f t="shared" si="5"/>
        <v>2</v>
      </c>
      <c r="P15" s="11">
        <v>1.0</v>
      </c>
      <c r="Q15" s="15">
        <v>1.0</v>
      </c>
      <c r="R15" s="9">
        <v>10.0</v>
      </c>
      <c r="S15" s="16">
        <f t="shared" si="6"/>
        <v>6</v>
      </c>
      <c r="T15" s="17">
        <f t="shared" si="7"/>
        <v>0.6</v>
      </c>
      <c r="U15" s="14">
        <f t="shared" si="8"/>
        <v>-4</v>
      </c>
      <c r="V15" s="9" t="str">
        <f t="shared" si="9"/>
        <v>Average</v>
      </c>
      <c r="W15" s="9"/>
    </row>
    <row r="16" ht="22.5" customHeight="1">
      <c r="A16" s="35"/>
      <c r="B16" s="35"/>
      <c r="C16" s="35"/>
      <c r="D16" s="36" t="s">
        <v>54</v>
      </c>
      <c r="E16" s="35">
        <f>SUBTOTAL(109,E3:E15)</f>
        <v>50000</v>
      </c>
      <c r="F16" s="37">
        <f>SUBTOTAL(109,F3:F15)/11</f>
        <v>0.2727272727</v>
      </c>
      <c r="G16" s="35">
        <f>SUBTOTAL(109,G3:G15)</f>
        <v>2</v>
      </c>
      <c r="H16" s="38">
        <f>SUBTOTAL(109,H3:H15)/13</f>
        <v>0.1538461538</v>
      </c>
      <c r="I16" s="35">
        <f>SUBTOTAL(109,I3:I15)</f>
        <v>14</v>
      </c>
      <c r="J16" s="38">
        <f>SUBTOTAL(109,J3:J15)/13</f>
        <v>0.9230769231</v>
      </c>
      <c r="K16" s="35">
        <f t="shared" ref="K16:L16" si="10">SUBTOTAL(109,K3:K15)</f>
        <v>776</v>
      </c>
      <c r="L16" s="35">
        <f t="shared" si="10"/>
        <v>666</v>
      </c>
      <c r="M16" s="39">
        <f>SUBTOTAL(109,M3:M15)/13</f>
        <v>0.9538461538</v>
      </c>
      <c r="N16" s="35">
        <f>SUBTOTAL(109,N3:N15)</f>
        <v>35</v>
      </c>
      <c r="O16" s="39">
        <f t="shared" ref="O16:R16" si="11">SUBTOTAL(109,O3:O15)/13</f>
        <v>1.794871795</v>
      </c>
      <c r="P16" s="39">
        <f t="shared" si="11"/>
        <v>1</v>
      </c>
      <c r="Q16" s="39">
        <f t="shared" si="11"/>
        <v>1</v>
      </c>
      <c r="R16" s="35">
        <f t="shared" si="11"/>
        <v>10</v>
      </c>
      <c r="S16" s="39">
        <f>'Daily KPI Entry'!$F16+'Daily KPI Entry'!$H16+'Daily KPI Entry'!$J16+'Daily KPI Entry'!$M16+'Daily KPI Entry'!$O16+'Daily KPI Entry'!$P16+'Daily KPI Entry'!$Q16</f>
        <v>6.098368298</v>
      </c>
      <c r="T16" s="40">
        <f>SUBTOTAL(109,T3:T15)/13</f>
        <v>0.6056410256</v>
      </c>
      <c r="U16" s="39">
        <f>'Daily KPI Entry'!$R16-'Daily KPI Entry'!$S16</f>
        <v>3.901631702</v>
      </c>
      <c r="V16" s="41" t="str">
        <f>IF(T16&gt;=1,"Achieved",IF(T16&gt;=0.7,"Near Target",IF(T16&gt;=0.5,"Average","Low Performance")))</f>
        <v>Average</v>
      </c>
      <c r="W16" s="35"/>
    </row>
    <row r="17" ht="15.75" customHeight="1">
      <c r="E17" s="42"/>
    </row>
    <row r="18" ht="15.75" customHeight="1">
      <c r="E18" s="42"/>
    </row>
    <row r="19" ht="15.75" customHeight="1">
      <c r="E19" s="42"/>
    </row>
    <row r="20" ht="15.75" customHeight="1">
      <c r="B20" s="43"/>
      <c r="C20" s="43"/>
      <c r="D20" s="43"/>
      <c r="E20" s="42"/>
    </row>
    <row r="21" ht="15.75" customHeight="1">
      <c r="E21" s="42"/>
    </row>
    <row r="22" ht="15.75" customHeight="1">
      <c r="E22" s="42"/>
    </row>
    <row r="23" ht="15.75" customHeight="1">
      <c r="E23" s="42"/>
    </row>
    <row r="24" ht="15.75" customHeight="1">
      <c r="E24" s="42"/>
    </row>
    <row r="25" ht="15.75" customHeight="1">
      <c r="E25" s="42"/>
    </row>
    <row r="26" ht="15.75" customHeight="1">
      <c r="E26" s="42"/>
    </row>
    <row r="27" ht="15.75" customHeight="1">
      <c r="E27" s="42"/>
    </row>
    <row r="28" ht="15.75" customHeight="1">
      <c r="E28" s="42"/>
    </row>
    <row r="29" ht="15.75" customHeight="1">
      <c r="E29" s="42"/>
    </row>
    <row r="30" ht="15.75" customHeight="1">
      <c r="E30" s="42"/>
    </row>
    <row r="31" ht="15.75" customHeight="1">
      <c r="E31" s="42"/>
    </row>
    <row r="32" ht="15.75" customHeight="1">
      <c r="E32" s="42"/>
    </row>
    <row r="33" ht="15.75" customHeight="1">
      <c r="E33" s="42"/>
    </row>
    <row r="34" ht="15.75" customHeight="1">
      <c r="E34" s="42"/>
    </row>
    <row r="35" ht="15.75" customHeight="1">
      <c r="E35" s="42"/>
    </row>
    <row r="36" ht="15.75" customHeight="1">
      <c r="E36" s="42"/>
    </row>
    <row r="37" ht="15.75" customHeight="1">
      <c r="E37" s="42"/>
    </row>
    <row r="38" ht="15.75" customHeight="1">
      <c r="E38" s="42"/>
    </row>
    <row r="39" ht="15.75" customHeight="1">
      <c r="E39" s="42"/>
    </row>
    <row r="40" ht="15.75" customHeight="1">
      <c r="E40" s="42"/>
    </row>
    <row r="41" ht="15.75" customHeight="1">
      <c r="E41" s="42"/>
    </row>
    <row r="42" ht="15.75" customHeight="1">
      <c r="E42" s="42"/>
    </row>
    <row r="43" ht="15.75" customHeight="1">
      <c r="E43" s="42"/>
    </row>
    <row r="44" ht="15.75" customHeight="1">
      <c r="E44" s="42"/>
    </row>
    <row r="45" ht="15.75" customHeight="1">
      <c r="E45" s="42"/>
    </row>
    <row r="46" ht="15.75" customHeight="1">
      <c r="E46" s="42"/>
    </row>
    <row r="47" ht="15.75" customHeight="1">
      <c r="E47" s="42"/>
    </row>
    <row r="48" ht="15.75" customHeight="1">
      <c r="E48" s="42"/>
    </row>
    <row r="49" ht="15.75" customHeight="1">
      <c r="E49" s="42"/>
    </row>
    <row r="50" ht="15.75" customHeight="1">
      <c r="E50" s="42"/>
    </row>
    <row r="51" ht="15.75" customHeight="1">
      <c r="E51" s="42"/>
    </row>
    <row r="52" ht="15.75" customHeight="1">
      <c r="E52" s="42"/>
    </row>
    <row r="53" ht="15.75" customHeight="1">
      <c r="E53" s="42"/>
    </row>
    <row r="54" ht="15.75" customHeight="1">
      <c r="E54" s="42"/>
    </row>
    <row r="55" ht="15.75" customHeight="1">
      <c r="E55" s="42"/>
    </row>
    <row r="56" ht="15.75" customHeight="1">
      <c r="E56" s="42"/>
    </row>
    <row r="57" ht="15.75" customHeight="1">
      <c r="E57" s="42"/>
    </row>
    <row r="58" ht="15.75" customHeight="1">
      <c r="E58" s="42"/>
    </row>
    <row r="59" ht="15.75" customHeight="1">
      <c r="E59" s="42"/>
    </row>
    <row r="60" ht="15.75" customHeight="1">
      <c r="E60" s="42"/>
    </row>
    <row r="61" ht="15.75" customHeight="1">
      <c r="E61" s="42"/>
    </row>
    <row r="62" ht="15.75" customHeight="1">
      <c r="E62" s="42"/>
    </row>
    <row r="63" ht="15.75" customHeight="1">
      <c r="E63" s="42"/>
    </row>
    <row r="64" ht="15.75" customHeight="1">
      <c r="E64" s="42"/>
    </row>
    <row r="65" ht="15.75" customHeight="1">
      <c r="E65" s="42"/>
    </row>
    <row r="66" ht="15.75" customHeight="1">
      <c r="E66" s="42"/>
    </row>
    <row r="67" ht="15.75" customHeight="1">
      <c r="E67" s="42"/>
    </row>
    <row r="68" ht="15.75" customHeight="1">
      <c r="E68" s="42"/>
    </row>
    <row r="69" ht="15.75" customHeight="1">
      <c r="E69" s="42"/>
    </row>
    <row r="70" ht="15.75" customHeight="1">
      <c r="E70" s="42"/>
    </row>
    <row r="71" ht="15.75" customHeight="1">
      <c r="E71" s="42"/>
    </row>
    <row r="72" ht="15.75" customHeight="1">
      <c r="E72" s="42"/>
    </row>
    <row r="73" ht="15.75" customHeight="1">
      <c r="E73" s="42"/>
    </row>
    <row r="74" ht="15.75" customHeight="1">
      <c r="E74" s="42"/>
    </row>
    <row r="75" ht="15.75" customHeight="1">
      <c r="E75" s="42"/>
    </row>
    <row r="76" ht="15.75" customHeight="1">
      <c r="E76" s="42"/>
    </row>
    <row r="77" ht="15.75" customHeight="1">
      <c r="E77" s="42"/>
    </row>
    <row r="78" ht="15.75" customHeight="1">
      <c r="E78" s="42"/>
    </row>
    <row r="79" ht="15.75" customHeight="1">
      <c r="E79" s="42"/>
    </row>
    <row r="80" ht="15.75" customHeight="1">
      <c r="E80" s="42"/>
    </row>
    <row r="81" ht="15.75" customHeight="1">
      <c r="E81" s="42"/>
    </row>
    <row r="82" ht="15.75" customHeight="1">
      <c r="E82" s="42"/>
    </row>
    <row r="83" ht="15.75" customHeight="1">
      <c r="E83" s="42"/>
    </row>
    <row r="84" ht="15.75" customHeight="1">
      <c r="E84" s="42"/>
    </row>
    <row r="85" ht="15.75" customHeight="1">
      <c r="E85" s="42"/>
    </row>
    <row r="86" ht="15.75" customHeight="1">
      <c r="E86" s="42"/>
    </row>
    <row r="87" ht="15.75" customHeight="1">
      <c r="E87" s="42"/>
    </row>
    <row r="88" ht="15.75" customHeight="1">
      <c r="E88" s="42"/>
    </row>
    <row r="89" ht="15.75" customHeight="1">
      <c r="E89" s="42"/>
    </row>
    <row r="90" ht="15.75" customHeight="1">
      <c r="E90" s="42"/>
    </row>
    <row r="91" ht="15.75" customHeight="1">
      <c r="E91" s="42"/>
    </row>
    <row r="92" ht="15.75" customHeight="1">
      <c r="E92" s="42"/>
    </row>
    <row r="93" ht="15.75" customHeight="1">
      <c r="E93" s="42"/>
    </row>
    <row r="94" ht="15.75" customHeight="1">
      <c r="E94" s="42"/>
    </row>
    <row r="95" ht="15.75" customHeight="1">
      <c r="E95" s="42"/>
    </row>
    <row r="96" ht="15.75" customHeight="1">
      <c r="E96" s="42"/>
    </row>
    <row r="97" ht="15.75" customHeight="1">
      <c r="E97" s="42"/>
    </row>
    <row r="98" ht="15.75" customHeight="1">
      <c r="E98" s="42"/>
    </row>
    <row r="99" ht="15.75" customHeight="1">
      <c r="E99" s="42"/>
    </row>
    <row r="100" ht="15.75" customHeight="1">
      <c r="E100" s="42"/>
    </row>
    <row r="101" ht="15.75" customHeight="1">
      <c r="E101" s="42"/>
    </row>
    <row r="102" ht="15.75" customHeight="1">
      <c r="E102" s="42"/>
    </row>
    <row r="103" ht="15.75" customHeight="1">
      <c r="E103" s="42"/>
    </row>
    <row r="104" ht="15.75" customHeight="1">
      <c r="E104" s="42"/>
    </row>
    <row r="105" ht="15.75" customHeight="1">
      <c r="E105" s="42"/>
    </row>
    <row r="106" ht="15.75" customHeight="1">
      <c r="E106" s="42"/>
    </row>
    <row r="107" ht="15.75" customHeight="1">
      <c r="E107" s="42"/>
    </row>
    <row r="108" ht="15.75" customHeight="1">
      <c r="E108" s="42"/>
    </row>
    <row r="109" ht="15.75" customHeight="1">
      <c r="E109" s="42"/>
    </row>
    <row r="110" ht="15.75" customHeight="1">
      <c r="E110" s="42"/>
    </row>
    <row r="111" ht="15.75" customHeight="1">
      <c r="E111" s="42"/>
    </row>
    <row r="112" ht="15.75" customHeight="1">
      <c r="E112" s="42"/>
    </row>
    <row r="113" ht="15.75" customHeight="1">
      <c r="E113" s="42"/>
    </row>
    <row r="114" ht="15.75" customHeight="1">
      <c r="E114" s="42"/>
    </row>
    <row r="115" ht="15.75" customHeight="1">
      <c r="E115" s="42"/>
    </row>
    <row r="116" ht="15.75" customHeight="1">
      <c r="E116" s="42"/>
    </row>
    <row r="117" ht="15.75" customHeight="1">
      <c r="E117" s="42"/>
    </row>
    <row r="118" ht="15.75" customHeight="1">
      <c r="E118" s="42"/>
    </row>
    <row r="119" ht="15.75" customHeight="1">
      <c r="E119" s="42"/>
    </row>
    <row r="120" ht="15.75" customHeight="1">
      <c r="E120" s="42"/>
    </row>
    <row r="121" ht="15.75" customHeight="1">
      <c r="E121" s="42"/>
    </row>
    <row r="122" ht="15.75" customHeight="1">
      <c r="E122" s="42"/>
    </row>
    <row r="123" ht="15.75" customHeight="1">
      <c r="E123" s="42"/>
    </row>
    <row r="124" ht="15.75" customHeight="1">
      <c r="E124" s="42"/>
    </row>
    <row r="125" ht="15.75" customHeight="1">
      <c r="E125" s="42"/>
    </row>
    <row r="126" ht="15.75" customHeight="1">
      <c r="E126" s="42"/>
    </row>
    <row r="127" ht="15.75" customHeight="1">
      <c r="E127" s="42"/>
    </row>
    <row r="128" ht="15.75" customHeight="1">
      <c r="E128" s="42"/>
    </row>
    <row r="129" ht="15.75" customHeight="1">
      <c r="E129" s="42"/>
    </row>
    <row r="130" ht="15.75" customHeight="1">
      <c r="E130" s="42"/>
    </row>
    <row r="131" ht="15.75" customHeight="1">
      <c r="E131" s="42"/>
    </row>
    <row r="132" ht="15.75" customHeight="1">
      <c r="E132" s="42"/>
    </row>
    <row r="133" ht="15.75" customHeight="1">
      <c r="E133" s="42"/>
    </row>
    <row r="134" ht="15.75" customHeight="1">
      <c r="E134" s="42"/>
    </row>
    <row r="135" ht="15.75" customHeight="1">
      <c r="E135" s="42"/>
    </row>
    <row r="136" ht="15.75" customHeight="1">
      <c r="E136" s="42"/>
    </row>
    <row r="137" ht="15.75" customHeight="1">
      <c r="E137" s="42"/>
    </row>
    <row r="138" ht="15.75" customHeight="1">
      <c r="E138" s="42"/>
    </row>
    <row r="139" ht="15.75" customHeight="1">
      <c r="E139" s="42"/>
    </row>
    <row r="140" ht="15.75" customHeight="1">
      <c r="E140" s="42"/>
    </row>
    <row r="141" ht="15.75" customHeight="1">
      <c r="E141" s="42"/>
    </row>
    <row r="142" ht="15.75" customHeight="1">
      <c r="E142" s="42"/>
    </row>
    <row r="143" ht="15.75" customHeight="1">
      <c r="E143" s="42"/>
    </row>
    <row r="144" ht="15.75" customHeight="1">
      <c r="E144" s="42"/>
    </row>
    <row r="145" ht="15.75" customHeight="1">
      <c r="E145" s="42"/>
    </row>
    <row r="146" ht="15.75" customHeight="1">
      <c r="E146" s="42"/>
    </row>
    <row r="147" ht="15.75" customHeight="1">
      <c r="E147" s="42"/>
    </row>
    <row r="148" ht="15.75" customHeight="1">
      <c r="E148" s="42"/>
    </row>
    <row r="149" ht="15.75" customHeight="1">
      <c r="E149" s="42"/>
    </row>
    <row r="150" ht="15.75" customHeight="1">
      <c r="E150" s="42"/>
    </row>
    <row r="151" ht="15.75" customHeight="1">
      <c r="E151" s="42"/>
    </row>
    <row r="152" ht="15.75" customHeight="1">
      <c r="E152" s="42"/>
    </row>
    <row r="153" ht="15.75" customHeight="1">
      <c r="E153" s="42"/>
    </row>
    <row r="154" ht="15.75" customHeight="1">
      <c r="E154" s="42"/>
    </row>
    <row r="155" ht="15.75" customHeight="1">
      <c r="E155" s="42"/>
    </row>
    <row r="156" ht="15.75" customHeight="1">
      <c r="E156" s="42"/>
    </row>
    <row r="157" ht="15.75" customHeight="1">
      <c r="E157" s="42"/>
    </row>
    <row r="158" ht="15.75" customHeight="1">
      <c r="E158" s="42"/>
    </row>
    <row r="159" ht="15.75" customHeight="1">
      <c r="E159" s="42"/>
    </row>
    <row r="160" ht="15.75" customHeight="1">
      <c r="E160" s="42"/>
    </row>
    <row r="161" ht="15.75" customHeight="1">
      <c r="E161" s="42"/>
    </row>
    <row r="162" ht="15.75" customHeight="1">
      <c r="E162" s="42"/>
    </row>
    <row r="163" ht="15.75" customHeight="1">
      <c r="E163" s="42"/>
    </row>
    <row r="164" ht="15.75" customHeight="1">
      <c r="E164" s="42"/>
    </row>
    <row r="165" ht="15.75" customHeight="1">
      <c r="E165" s="42"/>
    </row>
    <row r="166" ht="15.75" customHeight="1">
      <c r="E166" s="42"/>
    </row>
    <row r="167" ht="15.75" customHeight="1">
      <c r="E167" s="42"/>
    </row>
    <row r="168" ht="15.75" customHeight="1">
      <c r="E168" s="42"/>
    </row>
    <row r="169" ht="15.75" customHeight="1">
      <c r="E169" s="42"/>
    </row>
    <row r="170" ht="15.75" customHeight="1">
      <c r="E170" s="42"/>
    </row>
    <row r="171" ht="15.75" customHeight="1">
      <c r="E171" s="42"/>
    </row>
    <row r="172" ht="15.75" customHeight="1">
      <c r="E172" s="42"/>
    </row>
    <row r="173" ht="15.75" customHeight="1">
      <c r="E173" s="42"/>
    </row>
    <row r="174" ht="15.75" customHeight="1">
      <c r="E174" s="42"/>
    </row>
    <row r="175" ht="15.75" customHeight="1">
      <c r="E175" s="42"/>
    </row>
    <row r="176" ht="15.75" customHeight="1">
      <c r="E176" s="42"/>
    </row>
    <row r="177" ht="15.75" customHeight="1">
      <c r="E177" s="42"/>
    </row>
    <row r="178" ht="15.75" customHeight="1">
      <c r="E178" s="42"/>
    </row>
    <row r="179" ht="15.75" customHeight="1">
      <c r="E179" s="42"/>
    </row>
    <row r="180" ht="15.75" customHeight="1">
      <c r="E180" s="42"/>
    </row>
    <row r="181" ht="15.75" customHeight="1">
      <c r="E181" s="42"/>
    </row>
    <row r="182" ht="15.75" customHeight="1">
      <c r="E182" s="42"/>
    </row>
    <row r="183" ht="15.75" customHeight="1">
      <c r="E183" s="42"/>
    </row>
    <row r="184" ht="15.75" customHeight="1">
      <c r="E184" s="42"/>
    </row>
    <row r="185" ht="15.75" customHeight="1">
      <c r="E185" s="42"/>
    </row>
    <row r="186" ht="15.75" customHeight="1">
      <c r="E186" s="42"/>
    </row>
    <row r="187" ht="15.75" customHeight="1">
      <c r="E187" s="42"/>
    </row>
    <row r="188" ht="15.75" customHeight="1">
      <c r="E188" s="42"/>
    </row>
    <row r="189" ht="15.75" customHeight="1">
      <c r="E189" s="42"/>
    </row>
    <row r="190" ht="15.75" customHeight="1">
      <c r="E190" s="42"/>
    </row>
    <row r="191" ht="15.75" customHeight="1">
      <c r="E191" s="42"/>
    </row>
    <row r="192" ht="15.75" customHeight="1">
      <c r="E192" s="42"/>
    </row>
    <row r="193" ht="15.75" customHeight="1">
      <c r="E193" s="42"/>
    </row>
    <row r="194" ht="15.75" customHeight="1">
      <c r="E194" s="42"/>
    </row>
    <row r="195" ht="15.75" customHeight="1">
      <c r="E195" s="42"/>
    </row>
    <row r="196" ht="15.75" customHeight="1">
      <c r="E196" s="42"/>
    </row>
    <row r="197" ht="15.75" customHeight="1">
      <c r="E197" s="42"/>
    </row>
    <row r="198" ht="15.75" customHeight="1">
      <c r="E198" s="42"/>
    </row>
    <row r="199" ht="15.75" customHeight="1">
      <c r="E199" s="42"/>
    </row>
    <row r="200" ht="15.75" customHeight="1">
      <c r="E200" s="42"/>
    </row>
    <row r="201" ht="15.75" customHeight="1">
      <c r="E201" s="42"/>
    </row>
    <row r="202" ht="15.75" customHeight="1">
      <c r="E202" s="42"/>
    </row>
    <row r="203" ht="15.75" customHeight="1">
      <c r="E203" s="42"/>
    </row>
    <row r="204" ht="15.75" customHeight="1">
      <c r="E204" s="42"/>
    </row>
    <row r="205" ht="15.75" customHeight="1">
      <c r="E205" s="42"/>
    </row>
    <row r="206" ht="15.75" customHeight="1">
      <c r="E206" s="42"/>
    </row>
    <row r="207" ht="15.75" customHeight="1">
      <c r="E207" s="42"/>
    </row>
    <row r="208" ht="15.75" customHeight="1">
      <c r="E208" s="42"/>
    </row>
    <row r="209" ht="15.75" customHeight="1">
      <c r="E209" s="42"/>
    </row>
    <row r="210" ht="15.75" customHeight="1">
      <c r="E210" s="42"/>
    </row>
    <row r="211" ht="15.75" customHeight="1">
      <c r="E211" s="42"/>
    </row>
    <row r="212" ht="15.75" customHeight="1">
      <c r="E212" s="42"/>
    </row>
    <row r="213" ht="15.75" customHeight="1">
      <c r="E213" s="42"/>
    </row>
    <row r="214" ht="15.75" customHeight="1">
      <c r="E214" s="42"/>
    </row>
    <row r="215" ht="15.75" customHeight="1">
      <c r="E215" s="42"/>
    </row>
    <row r="216" ht="15.75" customHeight="1">
      <c r="E216" s="42"/>
    </row>
    <row r="217" ht="15.75" customHeight="1">
      <c r="E217" s="42"/>
    </row>
    <row r="218" ht="15.75" customHeight="1">
      <c r="E218" s="42"/>
    </row>
    <row r="219" ht="15.75" customHeight="1">
      <c r="E219" s="42"/>
    </row>
    <row r="220" ht="15.75" customHeight="1">
      <c r="E220" s="42"/>
    </row>
    <row r="221" ht="15.75" customHeight="1">
      <c r="E221" s="4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E8F1DD2B-7BC7-410E-BB6F-1687C0FEC8CE}" filter="1" showAutoFilter="1">
      <autoFilter ref="$A$2:$W$16"/>
    </customSheetView>
  </customSheetViews>
  <mergeCells count="1">
    <mergeCell ref="A1:W1"/>
  </mergeCells>
  <conditionalFormatting sqref="T3:T15">
    <cfRule type="cellIs" dxfId="6" priority="1" operator="greaterThanOrEqual">
      <formula>1</formula>
    </cfRule>
  </conditionalFormatting>
  <conditionalFormatting sqref="T3:T15">
    <cfRule type="cellIs" dxfId="7" priority="2" operator="between">
      <formula>0.8</formula>
      <formula>0.999999</formula>
    </cfRule>
  </conditionalFormatting>
  <conditionalFormatting sqref="T3:T15">
    <cfRule type="cellIs" dxfId="8" priority="3" operator="lessThan">
      <formula>0.8</formula>
    </cfRule>
  </conditionalFormatting>
  <dataValidations>
    <dataValidation type="custom" allowBlank="1" showDropDown="1" sqref="F3:F16 H3:H16 J3:J16">
      <formula1>AND(ISNUMBER(F3),(NOT(OR(NOT(ISERROR(DATEVALUE(F3))), AND(ISNUMBER(F3), LEFT(CELL("format", F3))="D")))))</formula1>
    </dataValidation>
  </dataValidations>
  <printOptions/>
  <pageMargins bottom="0.25" footer="0.0" header="0.0" left="0.25" right="0.25" top="0.25"/>
  <pageSetup fitToHeight="0" paperSize="9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71"/>
    <col customWidth="1" min="2" max="2" width="20.29"/>
    <col customWidth="1" min="3" max="3" width="9.86"/>
    <col customWidth="1" min="4" max="4" width="10.29"/>
    <col customWidth="1" min="5" max="5" width="10.0"/>
    <col customWidth="1" min="6" max="6" width="8.71"/>
    <col customWidth="1" min="7" max="7" width="11.14"/>
    <col customWidth="1" min="8" max="8" width="12.29"/>
    <col customWidth="1" min="9" max="9" width="11.86"/>
    <col customWidth="1" min="10" max="10" width="11.29"/>
    <col customWidth="1" min="11" max="11" width="9.14"/>
    <col customWidth="1" min="12" max="12" width="15.57"/>
    <col customWidth="1" min="13" max="13" width="16.0"/>
    <col customWidth="1" min="14" max="14" width="13.43"/>
    <col customWidth="1" min="15" max="15" width="19.43"/>
    <col customWidth="1" min="16" max="16" width="14.57"/>
    <col customWidth="1" min="17" max="17" width="14.86"/>
    <col customWidth="1" min="18" max="18" width="14.0"/>
    <col customWidth="1" min="19" max="19" width="13.86"/>
    <col customWidth="1" min="20" max="20" width="12.57"/>
    <col customWidth="1" min="21" max="21" width="7.71"/>
    <col customWidth="1" min="22" max="22" width="17.86"/>
    <col customWidth="1" min="23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/>
      <c r="Y1" s="4"/>
      <c r="Z1" s="4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</row>
    <row r="3">
      <c r="A3" s="13">
        <v>46266.0</v>
      </c>
      <c r="B3" s="7" t="s">
        <v>28</v>
      </c>
      <c r="C3" s="9" t="s">
        <v>29</v>
      </c>
      <c r="D3" s="9" t="s">
        <v>27</v>
      </c>
      <c r="E3" s="10">
        <v>0.0</v>
      </c>
      <c r="F3" s="9">
        <f t="shared" ref="F3:F314" si="1">IF(E3&gt;0,3,0)</f>
        <v>0</v>
      </c>
      <c r="G3" s="11">
        <v>0.0</v>
      </c>
      <c r="H3" s="9">
        <f t="shared" ref="H3:H245" si="2">IF(G3&gt;0,1,0)</f>
        <v>0</v>
      </c>
      <c r="I3" s="11">
        <v>0.0</v>
      </c>
      <c r="J3" s="9">
        <f t="shared" ref="J3:J21" si="3">IF(I3&gt;0,1,0)</f>
        <v>0</v>
      </c>
      <c r="K3" s="11">
        <v>107.0</v>
      </c>
      <c r="L3" s="11">
        <v>50.0</v>
      </c>
      <c r="M3" s="14">
        <f t="shared" ref="M3:M314" si="4">MIN(L3/50,1)</f>
        <v>1</v>
      </c>
      <c r="N3" s="11">
        <v>2.0</v>
      </c>
      <c r="O3" s="14">
        <f t="shared" ref="O3:O314" si="5">SUM(N3/3)*2</f>
        <v>1.333333333</v>
      </c>
      <c r="P3" s="11">
        <v>1.0</v>
      </c>
      <c r="Q3" s="15">
        <v>1.0</v>
      </c>
      <c r="R3" s="9">
        <v>10.0</v>
      </c>
      <c r="S3" s="16">
        <f t="shared" ref="S3:S315" si="6">SUM(F3,H3,J3,M3,O3,P3,Q3)</f>
        <v>4.333333333</v>
      </c>
      <c r="T3" s="17">
        <f t="shared" ref="T3:T314" si="7">IFERROR(S3/10,0)</f>
        <v>0.4333333333</v>
      </c>
      <c r="U3" s="14">
        <f t="shared" ref="U3:U314" si="8">S3-10</f>
        <v>-5.666666667</v>
      </c>
      <c r="V3" s="9" t="str">
        <f t="shared" ref="V3:V315" si="9">IF(T3&gt;=1,"Achieved",IF(T3&gt;=0.7,"Near Target",IF(T3&gt;=0.5,"Average","Low Performance")))</f>
        <v>Low Performance</v>
      </c>
      <c r="W3" s="9"/>
    </row>
    <row r="4">
      <c r="A4" s="13">
        <v>46266.0</v>
      </c>
      <c r="B4" s="7" t="s">
        <v>36</v>
      </c>
      <c r="C4" s="9" t="s">
        <v>29</v>
      </c>
      <c r="D4" s="9" t="s">
        <v>27</v>
      </c>
      <c r="E4" s="10">
        <v>0.0</v>
      </c>
      <c r="F4" s="9">
        <f t="shared" si="1"/>
        <v>0</v>
      </c>
      <c r="G4" s="11">
        <v>0.0</v>
      </c>
      <c r="H4" s="9">
        <f t="shared" si="2"/>
        <v>0</v>
      </c>
      <c r="I4" s="11">
        <v>1.0</v>
      </c>
      <c r="J4" s="9">
        <f t="shared" si="3"/>
        <v>1</v>
      </c>
      <c r="K4" s="11">
        <v>66.0</v>
      </c>
      <c r="L4" s="11">
        <v>39.0</v>
      </c>
      <c r="M4" s="14">
        <f t="shared" si="4"/>
        <v>0.78</v>
      </c>
      <c r="N4" s="11">
        <v>2.0</v>
      </c>
      <c r="O4" s="14">
        <f t="shared" si="5"/>
        <v>1.333333333</v>
      </c>
      <c r="P4" s="11">
        <v>1.0</v>
      </c>
      <c r="Q4" s="15">
        <v>0.75</v>
      </c>
      <c r="R4" s="9">
        <v>10.0</v>
      </c>
      <c r="S4" s="16">
        <f t="shared" si="6"/>
        <v>4.863333333</v>
      </c>
      <c r="T4" s="17">
        <f t="shared" si="7"/>
        <v>0.4863333333</v>
      </c>
      <c r="U4" s="14">
        <f t="shared" si="8"/>
        <v>-5.136666667</v>
      </c>
      <c r="V4" s="9" t="str">
        <f t="shared" si="9"/>
        <v>Low Performance</v>
      </c>
      <c r="W4" s="9"/>
    </row>
    <row r="5">
      <c r="A5" s="13">
        <v>46266.0</v>
      </c>
      <c r="B5" s="7" t="s">
        <v>37</v>
      </c>
      <c r="C5" s="9" t="s">
        <v>29</v>
      </c>
      <c r="D5" s="9" t="s">
        <v>27</v>
      </c>
      <c r="E5" s="10">
        <v>0.0</v>
      </c>
      <c r="F5" s="9">
        <f t="shared" si="1"/>
        <v>0</v>
      </c>
      <c r="G5" s="11">
        <v>0.0</v>
      </c>
      <c r="H5" s="9">
        <f t="shared" si="2"/>
        <v>0</v>
      </c>
      <c r="I5" s="11">
        <v>1.0</v>
      </c>
      <c r="J5" s="9">
        <f t="shared" si="3"/>
        <v>1</v>
      </c>
      <c r="K5" s="11">
        <v>74.0</v>
      </c>
      <c r="L5" s="11">
        <v>50.0</v>
      </c>
      <c r="M5" s="14">
        <f t="shared" si="4"/>
        <v>1</v>
      </c>
      <c r="N5" s="11">
        <v>3.0</v>
      </c>
      <c r="O5" s="14">
        <f t="shared" si="5"/>
        <v>2</v>
      </c>
      <c r="P5" s="11">
        <v>1.0</v>
      </c>
      <c r="Q5" s="15">
        <v>0.75</v>
      </c>
      <c r="R5" s="9">
        <v>10.0</v>
      </c>
      <c r="S5" s="16">
        <f t="shared" si="6"/>
        <v>5.75</v>
      </c>
      <c r="T5" s="17">
        <f t="shared" si="7"/>
        <v>0.575</v>
      </c>
      <c r="U5" s="14">
        <f t="shared" si="8"/>
        <v>-4.25</v>
      </c>
      <c r="V5" s="9" t="str">
        <f t="shared" si="9"/>
        <v>Average</v>
      </c>
      <c r="W5" s="9"/>
    </row>
    <row r="6">
      <c r="A6" s="13">
        <v>46266.0</v>
      </c>
      <c r="B6" s="7" t="s">
        <v>38</v>
      </c>
      <c r="C6" s="9" t="s">
        <v>29</v>
      </c>
      <c r="D6" s="9" t="s">
        <v>27</v>
      </c>
      <c r="E6" s="10">
        <v>20000.0</v>
      </c>
      <c r="F6" s="9">
        <f t="shared" si="1"/>
        <v>3</v>
      </c>
      <c r="G6" s="11">
        <v>0.0</v>
      </c>
      <c r="H6" s="9">
        <f t="shared" si="2"/>
        <v>0</v>
      </c>
      <c r="I6" s="11">
        <v>1.0</v>
      </c>
      <c r="J6" s="9">
        <f t="shared" si="3"/>
        <v>1</v>
      </c>
      <c r="K6" s="11">
        <v>87.0</v>
      </c>
      <c r="L6" s="11">
        <v>40.0</v>
      </c>
      <c r="M6" s="14">
        <f t="shared" si="4"/>
        <v>0.8</v>
      </c>
      <c r="N6" s="11">
        <v>2.0</v>
      </c>
      <c r="O6" s="14">
        <f t="shared" si="5"/>
        <v>1.333333333</v>
      </c>
      <c r="P6" s="11">
        <v>1.0</v>
      </c>
      <c r="Q6" s="15">
        <v>0.75</v>
      </c>
      <c r="R6" s="9">
        <v>10.0</v>
      </c>
      <c r="S6" s="16">
        <f t="shared" si="6"/>
        <v>7.883333333</v>
      </c>
      <c r="T6" s="17">
        <f t="shared" si="7"/>
        <v>0.7883333333</v>
      </c>
      <c r="U6" s="14">
        <f t="shared" si="8"/>
        <v>-2.116666667</v>
      </c>
      <c r="V6" s="9" t="str">
        <f t="shared" si="9"/>
        <v>Near Target</v>
      </c>
      <c r="W6" s="9"/>
    </row>
    <row r="7">
      <c r="A7" s="13">
        <v>46266.0</v>
      </c>
      <c r="B7" s="20" t="s">
        <v>39</v>
      </c>
      <c r="C7" s="9" t="s">
        <v>40</v>
      </c>
      <c r="D7" s="9" t="s">
        <v>27</v>
      </c>
      <c r="E7" s="10">
        <v>0.0</v>
      </c>
      <c r="F7" s="9">
        <f t="shared" si="1"/>
        <v>0</v>
      </c>
      <c r="G7" s="11">
        <v>0.0</v>
      </c>
      <c r="H7" s="9">
        <f t="shared" si="2"/>
        <v>0</v>
      </c>
      <c r="I7" s="11">
        <v>0.0</v>
      </c>
      <c r="J7" s="9">
        <f t="shared" si="3"/>
        <v>0</v>
      </c>
      <c r="K7" s="11">
        <v>60.0</v>
      </c>
      <c r="L7" s="11">
        <v>41.0</v>
      </c>
      <c r="M7" s="14">
        <f t="shared" si="4"/>
        <v>0.82</v>
      </c>
      <c r="N7" s="11">
        <v>1.0</v>
      </c>
      <c r="O7" s="14">
        <f t="shared" si="5"/>
        <v>0.6666666667</v>
      </c>
      <c r="P7" s="11">
        <v>1.0</v>
      </c>
      <c r="Q7" s="15">
        <v>1.0</v>
      </c>
      <c r="R7" s="9">
        <v>10.0</v>
      </c>
      <c r="S7" s="16">
        <f t="shared" si="6"/>
        <v>3.486666667</v>
      </c>
      <c r="T7" s="17">
        <f t="shared" si="7"/>
        <v>0.3486666667</v>
      </c>
      <c r="U7" s="14">
        <f t="shared" si="8"/>
        <v>-6.513333333</v>
      </c>
      <c r="V7" s="9" t="str">
        <f t="shared" si="9"/>
        <v>Low Performance</v>
      </c>
      <c r="W7" s="9"/>
    </row>
    <row r="8">
      <c r="A8" s="13">
        <v>46266.0</v>
      </c>
      <c r="B8" s="7" t="s">
        <v>41</v>
      </c>
      <c r="C8" s="9" t="s">
        <v>40</v>
      </c>
      <c r="D8" s="9" t="s">
        <v>27</v>
      </c>
      <c r="E8" s="10">
        <v>0.0</v>
      </c>
      <c r="F8" s="9">
        <f t="shared" si="1"/>
        <v>0</v>
      </c>
      <c r="G8" s="11">
        <v>0.0</v>
      </c>
      <c r="H8" s="9">
        <f t="shared" si="2"/>
        <v>0</v>
      </c>
      <c r="I8" s="11">
        <v>0.0</v>
      </c>
      <c r="J8" s="9">
        <f t="shared" si="3"/>
        <v>0</v>
      </c>
      <c r="K8" s="11">
        <v>102.0</v>
      </c>
      <c r="L8" s="11">
        <v>26.0</v>
      </c>
      <c r="M8" s="14">
        <f t="shared" si="4"/>
        <v>0.52</v>
      </c>
      <c r="N8" s="11">
        <v>1.0</v>
      </c>
      <c r="O8" s="14">
        <f t="shared" si="5"/>
        <v>0.6666666667</v>
      </c>
      <c r="P8" s="11">
        <v>1.0</v>
      </c>
      <c r="Q8" s="15">
        <v>1.0</v>
      </c>
      <c r="R8" s="9">
        <v>10.0</v>
      </c>
      <c r="S8" s="16">
        <f t="shared" si="6"/>
        <v>3.186666667</v>
      </c>
      <c r="T8" s="17">
        <f t="shared" si="7"/>
        <v>0.3186666667</v>
      </c>
      <c r="U8" s="14">
        <f t="shared" si="8"/>
        <v>-6.813333333</v>
      </c>
      <c r="V8" s="9" t="str">
        <f t="shared" si="9"/>
        <v>Low Performance</v>
      </c>
      <c r="W8" s="9"/>
    </row>
    <row r="9">
      <c r="A9" s="13">
        <v>46266.0</v>
      </c>
      <c r="B9" s="7" t="s">
        <v>42</v>
      </c>
      <c r="C9" s="9" t="s">
        <v>40</v>
      </c>
      <c r="D9" s="9" t="s">
        <v>27</v>
      </c>
      <c r="E9" s="10">
        <v>0.0</v>
      </c>
      <c r="F9" s="9">
        <f t="shared" si="1"/>
        <v>0</v>
      </c>
      <c r="G9" s="11">
        <v>0.0</v>
      </c>
      <c r="H9" s="9">
        <f t="shared" si="2"/>
        <v>0</v>
      </c>
      <c r="I9" s="11">
        <v>0.0</v>
      </c>
      <c r="J9" s="9">
        <f t="shared" si="3"/>
        <v>0</v>
      </c>
      <c r="K9" s="11">
        <v>62.0</v>
      </c>
      <c r="L9" s="11">
        <v>35.0</v>
      </c>
      <c r="M9" s="14">
        <f t="shared" si="4"/>
        <v>0.7</v>
      </c>
      <c r="N9" s="11">
        <v>2.0</v>
      </c>
      <c r="O9" s="14">
        <f t="shared" si="5"/>
        <v>1.333333333</v>
      </c>
      <c r="P9" s="11">
        <v>1.0</v>
      </c>
      <c r="Q9" s="15">
        <v>1.0</v>
      </c>
      <c r="R9" s="9">
        <v>10.0</v>
      </c>
      <c r="S9" s="16">
        <f t="shared" si="6"/>
        <v>4.033333333</v>
      </c>
      <c r="T9" s="17">
        <f t="shared" si="7"/>
        <v>0.4033333333</v>
      </c>
      <c r="U9" s="14">
        <f t="shared" si="8"/>
        <v>-5.966666667</v>
      </c>
      <c r="V9" s="9" t="str">
        <f t="shared" si="9"/>
        <v>Low Performance</v>
      </c>
      <c r="W9" s="9"/>
    </row>
    <row r="10">
      <c r="A10" s="13">
        <v>46266.0</v>
      </c>
      <c r="B10" s="7" t="s">
        <v>43</v>
      </c>
      <c r="C10" s="9" t="s">
        <v>40</v>
      </c>
      <c r="D10" s="9" t="s">
        <v>27</v>
      </c>
      <c r="E10" s="10">
        <v>0.0</v>
      </c>
      <c r="F10" s="9">
        <f t="shared" si="1"/>
        <v>0</v>
      </c>
      <c r="G10" s="11">
        <v>0.0</v>
      </c>
      <c r="H10" s="9">
        <f t="shared" si="2"/>
        <v>0</v>
      </c>
      <c r="I10" s="11">
        <v>0.0</v>
      </c>
      <c r="J10" s="9">
        <f t="shared" si="3"/>
        <v>0</v>
      </c>
      <c r="K10" s="11">
        <v>60.0</v>
      </c>
      <c r="L10" s="11">
        <v>50.0</v>
      </c>
      <c r="M10" s="14">
        <f t="shared" si="4"/>
        <v>1</v>
      </c>
      <c r="N10" s="11">
        <v>2.0</v>
      </c>
      <c r="O10" s="14">
        <f t="shared" si="5"/>
        <v>1.333333333</v>
      </c>
      <c r="P10" s="11">
        <v>1.0</v>
      </c>
      <c r="Q10" s="15">
        <v>0.75</v>
      </c>
      <c r="R10" s="9">
        <v>10.0</v>
      </c>
      <c r="S10" s="16">
        <f t="shared" si="6"/>
        <v>4.083333333</v>
      </c>
      <c r="T10" s="17">
        <f t="shared" si="7"/>
        <v>0.4083333333</v>
      </c>
      <c r="U10" s="14">
        <f t="shared" si="8"/>
        <v>-5.916666667</v>
      </c>
      <c r="V10" s="9" t="str">
        <f t="shared" si="9"/>
        <v>Low Performance</v>
      </c>
      <c r="W10" s="9"/>
    </row>
    <row r="11">
      <c r="A11" s="13">
        <v>46266.0</v>
      </c>
      <c r="B11" s="7" t="s">
        <v>47</v>
      </c>
      <c r="C11" s="9" t="s">
        <v>48</v>
      </c>
      <c r="D11" s="9" t="s">
        <v>27</v>
      </c>
      <c r="E11" s="10">
        <v>0.0</v>
      </c>
      <c r="F11" s="9">
        <f t="shared" si="1"/>
        <v>0</v>
      </c>
      <c r="G11" s="11">
        <v>0.0</v>
      </c>
      <c r="H11" s="9">
        <f t="shared" si="2"/>
        <v>0</v>
      </c>
      <c r="I11" s="11">
        <v>0.0</v>
      </c>
      <c r="J11" s="9">
        <f t="shared" si="3"/>
        <v>0</v>
      </c>
      <c r="K11" s="11">
        <v>61.0</v>
      </c>
      <c r="L11" s="11">
        <v>38.0</v>
      </c>
      <c r="M11" s="14">
        <f t="shared" si="4"/>
        <v>0.76</v>
      </c>
      <c r="N11" s="11">
        <v>1.0</v>
      </c>
      <c r="O11" s="14">
        <f t="shared" si="5"/>
        <v>0.6666666667</v>
      </c>
      <c r="P11" s="11">
        <v>1.0</v>
      </c>
      <c r="Q11" s="15">
        <v>0.5</v>
      </c>
      <c r="R11" s="9">
        <v>10.0</v>
      </c>
      <c r="S11" s="16">
        <f t="shared" si="6"/>
        <v>2.926666667</v>
      </c>
      <c r="T11" s="17">
        <f t="shared" si="7"/>
        <v>0.2926666667</v>
      </c>
      <c r="U11" s="14">
        <f t="shared" si="8"/>
        <v>-7.073333333</v>
      </c>
      <c r="V11" s="9" t="str">
        <f t="shared" si="9"/>
        <v>Low Performance</v>
      </c>
      <c r="W11" s="9"/>
    </row>
    <row r="12">
      <c r="A12" s="13">
        <v>46266.0</v>
      </c>
      <c r="B12" s="7" t="s">
        <v>45</v>
      </c>
      <c r="C12" s="9" t="s">
        <v>48</v>
      </c>
      <c r="D12" s="9" t="s">
        <v>27</v>
      </c>
      <c r="E12" s="10">
        <v>0.0</v>
      </c>
      <c r="F12" s="9">
        <f t="shared" si="1"/>
        <v>0</v>
      </c>
      <c r="G12" s="11">
        <v>0.0</v>
      </c>
      <c r="H12" s="9">
        <f t="shared" si="2"/>
        <v>0</v>
      </c>
      <c r="I12" s="11">
        <v>1.0</v>
      </c>
      <c r="J12" s="9">
        <f t="shared" si="3"/>
        <v>1</v>
      </c>
      <c r="K12" s="11">
        <v>60.0</v>
      </c>
      <c r="L12" s="11">
        <v>40.0</v>
      </c>
      <c r="M12" s="14">
        <f t="shared" si="4"/>
        <v>0.8</v>
      </c>
      <c r="N12" s="11">
        <v>2.0</v>
      </c>
      <c r="O12" s="14">
        <f t="shared" si="5"/>
        <v>1.333333333</v>
      </c>
      <c r="P12" s="11">
        <v>1.0</v>
      </c>
      <c r="Q12" s="15">
        <v>0.75</v>
      </c>
      <c r="R12" s="9">
        <v>10.0</v>
      </c>
      <c r="S12" s="16">
        <f t="shared" si="6"/>
        <v>4.883333333</v>
      </c>
      <c r="T12" s="17">
        <f t="shared" si="7"/>
        <v>0.4883333333</v>
      </c>
      <c r="U12" s="14">
        <f t="shared" si="8"/>
        <v>-5.116666667</v>
      </c>
      <c r="V12" s="9" t="str">
        <f t="shared" si="9"/>
        <v>Low Performance</v>
      </c>
      <c r="W12" s="9"/>
    </row>
    <row r="13">
      <c r="A13" s="13">
        <v>46266.0</v>
      </c>
      <c r="B13" s="7" t="s">
        <v>49</v>
      </c>
      <c r="C13" s="9" t="s">
        <v>48</v>
      </c>
      <c r="D13" s="9" t="s">
        <v>27</v>
      </c>
      <c r="E13" s="25">
        <v>0.0</v>
      </c>
      <c r="F13" s="26">
        <f t="shared" si="1"/>
        <v>0</v>
      </c>
      <c r="G13" s="27">
        <v>0.0</v>
      </c>
      <c r="H13" s="26">
        <f t="shared" si="2"/>
        <v>0</v>
      </c>
      <c r="I13" s="27">
        <v>0.0</v>
      </c>
      <c r="J13" s="26">
        <f t="shared" si="3"/>
        <v>0</v>
      </c>
      <c r="K13" s="27">
        <v>0.0</v>
      </c>
      <c r="L13" s="27">
        <v>0.0</v>
      </c>
      <c r="M13" s="29">
        <f t="shared" si="4"/>
        <v>0</v>
      </c>
      <c r="N13" s="26"/>
      <c r="O13" s="29">
        <f t="shared" si="5"/>
        <v>0</v>
      </c>
      <c r="P13" s="27">
        <v>0.0</v>
      </c>
      <c r="Q13" s="30">
        <v>0.0</v>
      </c>
      <c r="R13" s="26">
        <v>10.0</v>
      </c>
      <c r="S13" s="29">
        <f t="shared" si="6"/>
        <v>0</v>
      </c>
      <c r="T13" s="28">
        <f t="shared" si="7"/>
        <v>0</v>
      </c>
      <c r="U13" s="29">
        <f t="shared" si="8"/>
        <v>-10</v>
      </c>
      <c r="V13" s="26" t="str">
        <f t="shared" si="9"/>
        <v>Low Performance</v>
      </c>
      <c r="W13" s="31" t="s">
        <v>51</v>
      </c>
    </row>
    <row r="14">
      <c r="A14" s="13">
        <v>46266.0</v>
      </c>
      <c r="B14" s="22" t="s">
        <v>50</v>
      </c>
      <c r="C14" s="24" t="s">
        <v>48</v>
      </c>
      <c r="D14" s="24" t="s">
        <v>27</v>
      </c>
      <c r="E14" s="25">
        <v>0.0</v>
      </c>
      <c r="F14" s="26">
        <f t="shared" si="1"/>
        <v>0</v>
      </c>
      <c r="G14" s="27">
        <v>0.0</v>
      </c>
      <c r="H14" s="26">
        <f t="shared" si="2"/>
        <v>0</v>
      </c>
      <c r="I14" s="27">
        <v>0.0</v>
      </c>
      <c r="J14" s="26">
        <f t="shared" si="3"/>
        <v>0</v>
      </c>
      <c r="K14" s="27">
        <v>0.0</v>
      </c>
      <c r="L14" s="27">
        <v>0.0</v>
      </c>
      <c r="M14" s="29">
        <f t="shared" si="4"/>
        <v>0</v>
      </c>
      <c r="N14" s="26"/>
      <c r="O14" s="29">
        <f t="shared" si="5"/>
        <v>0</v>
      </c>
      <c r="P14" s="27">
        <v>0.0</v>
      </c>
      <c r="Q14" s="30">
        <v>0.0</v>
      </c>
      <c r="R14" s="26">
        <v>10.0</v>
      </c>
      <c r="S14" s="29">
        <f t="shared" si="6"/>
        <v>0</v>
      </c>
      <c r="T14" s="28">
        <f t="shared" si="7"/>
        <v>0</v>
      </c>
      <c r="U14" s="29">
        <f t="shared" si="8"/>
        <v>-10</v>
      </c>
      <c r="V14" s="26" t="str">
        <f t="shared" si="9"/>
        <v>Low Performance</v>
      </c>
      <c r="W14" s="32" t="s">
        <v>52</v>
      </c>
    </row>
    <row r="15">
      <c r="A15" s="6">
        <v>46267.0</v>
      </c>
      <c r="B15" s="7" t="s">
        <v>28</v>
      </c>
      <c r="C15" s="9" t="s">
        <v>29</v>
      </c>
      <c r="D15" s="9" t="s">
        <v>27</v>
      </c>
      <c r="E15" s="10">
        <v>0.0</v>
      </c>
      <c r="F15" s="9">
        <f t="shared" si="1"/>
        <v>0</v>
      </c>
      <c r="G15" s="11">
        <v>1.0</v>
      </c>
      <c r="H15" s="9">
        <f t="shared" si="2"/>
        <v>1</v>
      </c>
      <c r="I15" s="11">
        <v>0.0</v>
      </c>
      <c r="J15" s="9">
        <f t="shared" si="3"/>
        <v>0</v>
      </c>
      <c r="K15" s="11">
        <v>125.0</v>
      </c>
      <c r="L15" s="11">
        <v>50.0</v>
      </c>
      <c r="M15" s="14">
        <f t="shared" si="4"/>
        <v>1</v>
      </c>
      <c r="N15" s="11">
        <v>2.0</v>
      </c>
      <c r="O15" s="14">
        <f t="shared" si="5"/>
        <v>1.333333333</v>
      </c>
      <c r="P15" s="11">
        <v>1.0</v>
      </c>
      <c r="Q15" s="15">
        <v>1.0</v>
      </c>
      <c r="R15" s="9">
        <v>10.0</v>
      </c>
      <c r="S15" s="16">
        <f t="shared" si="6"/>
        <v>5.333333333</v>
      </c>
      <c r="T15" s="17">
        <f t="shared" si="7"/>
        <v>0.5333333333</v>
      </c>
      <c r="U15" s="14">
        <f t="shared" si="8"/>
        <v>-4.666666667</v>
      </c>
      <c r="V15" s="9" t="str">
        <f t="shared" si="9"/>
        <v>Average</v>
      </c>
      <c r="W15" s="9"/>
    </row>
    <row r="16">
      <c r="A16" s="6">
        <v>46267.0</v>
      </c>
      <c r="B16" s="7" t="s">
        <v>36</v>
      </c>
      <c r="C16" s="9" t="s">
        <v>29</v>
      </c>
      <c r="D16" s="9" t="s">
        <v>27</v>
      </c>
      <c r="E16" s="10">
        <v>0.0</v>
      </c>
      <c r="F16" s="9">
        <f t="shared" si="1"/>
        <v>0</v>
      </c>
      <c r="G16" s="11">
        <v>0.0</v>
      </c>
      <c r="H16" s="9">
        <f t="shared" si="2"/>
        <v>0</v>
      </c>
      <c r="I16" s="11">
        <v>1.0</v>
      </c>
      <c r="J16" s="9">
        <f t="shared" si="3"/>
        <v>1</v>
      </c>
      <c r="K16" s="11">
        <v>63.0</v>
      </c>
      <c r="L16" s="11">
        <v>42.0</v>
      </c>
      <c r="M16" s="14">
        <f t="shared" si="4"/>
        <v>0.84</v>
      </c>
      <c r="N16" s="11">
        <v>2.0</v>
      </c>
      <c r="O16" s="14">
        <f t="shared" si="5"/>
        <v>1.333333333</v>
      </c>
      <c r="P16" s="11">
        <v>1.0</v>
      </c>
      <c r="Q16" s="15">
        <v>0.75</v>
      </c>
      <c r="R16" s="9">
        <v>10.0</v>
      </c>
      <c r="S16" s="16">
        <f t="shared" si="6"/>
        <v>4.923333333</v>
      </c>
      <c r="T16" s="17">
        <f t="shared" si="7"/>
        <v>0.4923333333</v>
      </c>
      <c r="U16" s="14">
        <f t="shared" si="8"/>
        <v>-5.076666667</v>
      </c>
      <c r="V16" s="9" t="str">
        <f t="shared" si="9"/>
        <v>Low Performance</v>
      </c>
      <c r="W16" s="9"/>
    </row>
    <row r="17">
      <c r="A17" s="6">
        <v>46267.0</v>
      </c>
      <c r="B17" s="7" t="s">
        <v>37</v>
      </c>
      <c r="C17" s="9" t="s">
        <v>29</v>
      </c>
      <c r="D17" s="9" t="s">
        <v>27</v>
      </c>
      <c r="E17" s="10">
        <v>0.0</v>
      </c>
      <c r="F17" s="9">
        <f t="shared" si="1"/>
        <v>0</v>
      </c>
      <c r="G17" s="11">
        <v>0.0</v>
      </c>
      <c r="H17" s="9">
        <f t="shared" si="2"/>
        <v>0</v>
      </c>
      <c r="I17" s="11">
        <v>1.0</v>
      </c>
      <c r="J17" s="9">
        <f t="shared" si="3"/>
        <v>1</v>
      </c>
      <c r="K17" s="11">
        <v>69.0</v>
      </c>
      <c r="L17" s="11">
        <v>50.0</v>
      </c>
      <c r="M17" s="14">
        <f t="shared" si="4"/>
        <v>1</v>
      </c>
      <c r="N17" s="11">
        <v>3.0</v>
      </c>
      <c r="O17" s="14">
        <f t="shared" si="5"/>
        <v>2</v>
      </c>
      <c r="P17" s="11">
        <v>1.0</v>
      </c>
      <c r="Q17" s="15">
        <v>0.75</v>
      </c>
      <c r="R17" s="9">
        <v>10.0</v>
      </c>
      <c r="S17" s="16">
        <f t="shared" si="6"/>
        <v>5.75</v>
      </c>
      <c r="T17" s="17">
        <f t="shared" si="7"/>
        <v>0.575</v>
      </c>
      <c r="U17" s="14">
        <f t="shared" si="8"/>
        <v>-4.25</v>
      </c>
      <c r="V17" s="9" t="str">
        <f t="shared" si="9"/>
        <v>Average</v>
      </c>
      <c r="W17" s="9"/>
    </row>
    <row r="18" ht="15.75" customHeight="1">
      <c r="A18" s="6">
        <v>46267.0</v>
      </c>
      <c r="B18" s="7" t="s">
        <v>38</v>
      </c>
      <c r="C18" s="9" t="s">
        <v>29</v>
      </c>
      <c r="D18" s="9" t="s">
        <v>27</v>
      </c>
      <c r="E18" s="33"/>
      <c r="F18" s="9">
        <f t="shared" si="1"/>
        <v>0</v>
      </c>
      <c r="G18" s="34"/>
      <c r="H18" s="9">
        <f t="shared" si="2"/>
        <v>0</v>
      </c>
      <c r="I18" s="11">
        <v>4.0</v>
      </c>
      <c r="J18" s="9">
        <f t="shared" si="3"/>
        <v>1</v>
      </c>
      <c r="K18" s="11">
        <v>66.0</v>
      </c>
      <c r="L18" s="11">
        <v>50.0</v>
      </c>
      <c r="M18" s="14">
        <f t="shared" si="4"/>
        <v>1</v>
      </c>
      <c r="N18" s="11">
        <v>3.0</v>
      </c>
      <c r="O18" s="14">
        <f t="shared" si="5"/>
        <v>2</v>
      </c>
      <c r="P18" s="11">
        <v>1.0</v>
      </c>
      <c r="Q18" s="15">
        <v>0.75</v>
      </c>
      <c r="R18" s="9">
        <v>10.0</v>
      </c>
      <c r="S18" s="16">
        <f t="shared" si="6"/>
        <v>5.75</v>
      </c>
      <c r="T18" s="17">
        <f t="shared" si="7"/>
        <v>0.575</v>
      </c>
      <c r="U18" s="14">
        <f t="shared" si="8"/>
        <v>-4.25</v>
      </c>
      <c r="V18" s="9" t="str">
        <f t="shared" si="9"/>
        <v>Average</v>
      </c>
      <c r="W18" s="9"/>
    </row>
    <row r="19" ht="15.75" customHeight="1">
      <c r="A19" s="6">
        <v>46267.0</v>
      </c>
      <c r="B19" s="20" t="s">
        <v>39</v>
      </c>
      <c r="C19" s="9" t="s">
        <v>40</v>
      </c>
      <c r="D19" s="9" t="s">
        <v>27</v>
      </c>
      <c r="E19" s="10">
        <v>0.0</v>
      </c>
      <c r="F19" s="9">
        <f t="shared" si="1"/>
        <v>0</v>
      </c>
      <c r="G19" s="11">
        <v>0.0</v>
      </c>
      <c r="H19" s="9">
        <f t="shared" si="2"/>
        <v>0</v>
      </c>
      <c r="I19" s="11">
        <v>0.0</v>
      </c>
      <c r="J19" s="9">
        <f t="shared" si="3"/>
        <v>0</v>
      </c>
      <c r="K19" s="11"/>
      <c r="L19" s="11">
        <v>50.0</v>
      </c>
      <c r="M19" s="14">
        <f t="shared" si="4"/>
        <v>1</v>
      </c>
      <c r="N19" s="11">
        <v>2.0</v>
      </c>
      <c r="O19" s="14">
        <f t="shared" si="5"/>
        <v>1.333333333</v>
      </c>
      <c r="P19" s="11">
        <v>1.0</v>
      </c>
      <c r="Q19" s="15">
        <v>1.0</v>
      </c>
      <c r="R19" s="9">
        <v>10.0</v>
      </c>
      <c r="S19" s="16">
        <f t="shared" si="6"/>
        <v>4.333333333</v>
      </c>
      <c r="T19" s="17">
        <f t="shared" si="7"/>
        <v>0.4333333333</v>
      </c>
      <c r="U19" s="14">
        <f t="shared" si="8"/>
        <v>-5.666666667</v>
      </c>
      <c r="V19" s="9" t="str">
        <f t="shared" si="9"/>
        <v>Low Performance</v>
      </c>
      <c r="W19" s="9"/>
    </row>
    <row r="20" ht="15.75" customHeight="1">
      <c r="A20" s="6">
        <v>46267.0</v>
      </c>
      <c r="B20" s="7" t="s">
        <v>41</v>
      </c>
      <c r="C20" s="9" t="s">
        <v>40</v>
      </c>
      <c r="D20" s="9" t="s">
        <v>27</v>
      </c>
      <c r="E20" s="10">
        <v>0.0</v>
      </c>
      <c r="F20" s="9">
        <f t="shared" si="1"/>
        <v>0</v>
      </c>
      <c r="G20" s="11">
        <v>0.0</v>
      </c>
      <c r="H20" s="9">
        <f t="shared" si="2"/>
        <v>0</v>
      </c>
      <c r="I20" s="11">
        <v>1.0</v>
      </c>
      <c r="J20" s="9">
        <f t="shared" si="3"/>
        <v>1</v>
      </c>
      <c r="K20" s="11">
        <v>91.0</v>
      </c>
      <c r="L20" s="11">
        <v>31.0</v>
      </c>
      <c r="M20" s="14">
        <f t="shared" si="4"/>
        <v>0.62</v>
      </c>
      <c r="N20" s="11">
        <v>2.0</v>
      </c>
      <c r="O20" s="14">
        <f t="shared" si="5"/>
        <v>1.333333333</v>
      </c>
      <c r="P20" s="11">
        <v>1.0</v>
      </c>
      <c r="Q20" s="15">
        <v>1.0</v>
      </c>
      <c r="R20" s="9">
        <v>10.0</v>
      </c>
      <c r="S20" s="16">
        <f t="shared" si="6"/>
        <v>4.953333333</v>
      </c>
      <c r="T20" s="17">
        <f t="shared" si="7"/>
        <v>0.4953333333</v>
      </c>
      <c r="U20" s="14">
        <f t="shared" si="8"/>
        <v>-5.046666667</v>
      </c>
      <c r="V20" s="9" t="str">
        <f t="shared" si="9"/>
        <v>Low Performance</v>
      </c>
      <c r="W20" s="9"/>
    </row>
    <row r="21" ht="15.75" customHeight="1">
      <c r="A21" s="6">
        <v>46267.0</v>
      </c>
      <c r="B21" s="7" t="s">
        <v>42</v>
      </c>
      <c r="C21" s="9" t="s">
        <v>40</v>
      </c>
      <c r="D21" s="9" t="s">
        <v>27</v>
      </c>
      <c r="E21" s="10">
        <v>0.0</v>
      </c>
      <c r="F21" s="9">
        <f t="shared" si="1"/>
        <v>0</v>
      </c>
      <c r="G21" s="11">
        <v>0.0</v>
      </c>
      <c r="H21" s="9">
        <f t="shared" si="2"/>
        <v>0</v>
      </c>
      <c r="I21" s="11">
        <v>0.0</v>
      </c>
      <c r="J21" s="9">
        <f t="shared" si="3"/>
        <v>0</v>
      </c>
      <c r="K21" s="11">
        <v>69.0</v>
      </c>
      <c r="L21" s="11">
        <v>50.0</v>
      </c>
      <c r="M21" s="14">
        <f t="shared" si="4"/>
        <v>1</v>
      </c>
      <c r="N21" s="11">
        <v>2.0</v>
      </c>
      <c r="O21" s="14">
        <f t="shared" si="5"/>
        <v>1.333333333</v>
      </c>
      <c r="P21" s="11">
        <v>1.0</v>
      </c>
      <c r="Q21" s="15">
        <v>1.0</v>
      </c>
      <c r="R21" s="9">
        <v>10.0</v>
      </c>
      <c r="S21" s="16">
        <f t="shared" si="6"/>
        <v>4.333333333</v>
      </c>
      <c r="T21" s="17">
        <f t="shared" si="7"/>
        <v>0.4333333333</v>
      </c>
      <c r="U21" s="14">
        <f t="shared" si="8"/>
        <v>-5.666666667</v>
      </c>
      <c r="V21" s="9" t="str">
        <f t="shared" si="9"/>
        <v>Low Performance</v>
      </c>
      <c r="W21" s="9"/>
    </row>
    <row r="22" ht="15.75" customHeight="1">
      <c r="A22" s="6">
        <v>46267.0</v>
      </c>
      <c r="B22" s="7" t="s">
        <v>43</v>
      </c>
      <c r="C22" s="9" t="s">
        <v>40</v>
      </c>
      <c r="D22" s="9" t="s">
        <v>27</v>
      </c>
      <c r="E22" s="10">
        <v>0.0</v>
      </c>
      <c r="F22" s="9">
        <f t="shared" si="1"/>
        <v>0</v>
      </c>
      <c r="G22" s="11">
        <v>0.0</v>
      </c>
      <c r="H22" s="9">
        <f t="shared" si="2"/>
        <v>0</v>
      </c>
      <c r="I22" s="11">
        <v>0.0</v>
      </c>
      <c r="J22" s="18">
        <v>0.0</v>
      </c>
      <c r="K22" s="11">
        <v>65.0</v>
      </c>
      <c r="L22" s="11">
        <v>50.0</v>
      </c>
      <c r="M22" s="14">
        <f t="shared" si="4"/>
        <v>1</v>
      </c>
      <c r="N22" s="11">
        <v>2.0</v>
      </c>
      <c r="O22" s="14">
        <f t="shared" si="5"/>
        <v>1.333333333</v>
      </c>
      <c r="P22" s="11">
        <v>1.0</v>
      </c>
      <c r="Q22" s="15">
        <v>0.75</v>
      </c>
      <c r="R22" s="9">
        <v>10.0</v>
      </c>
      <c r="S22" s="16">
        <f t="shared" si="6"/>
        <v>4.083333333</v>
      </c>
      <c r="T22" s="17">
        <f t="shared" si="7"/>
        <v>0.4083333333</v>
      </c>
      <c r="U22" s="14">
        <f t="shared" si="8"/>
        <v>-5.916666667</v>
      </c>
      <c r="V22" s="9" t="str">
        <f t="shared" si="9"/>
        <v>Low Performance</v>
      </c>
      <c r="W22" s="9"/>
    </row>
    <row r="23" ht="15.75" customHeight="1">
      <c r="A23" s="6">
        <v>46267.0</v>
      </c>
      <c r="B23" s="7" t="s">
        <v>47</v>
      </c>
      <c r="C23" s="9" t="s">
        <v>48</v>
      </c>
      <c r="D23" s="9" t="s">
        <v>27</v>
      </c>
      <c r="E23" s="10">
        <v>0.0</v>
      </c>
      <c r="F23" s="9">
        <f t="shared" si="1"/>
        <v>0</v>
      </c>
      <c r="G23" s="11">
        <v>0.0</v>
      </c>
      <c r="H23" s="9">
        <f t="shared" si="2"/>
        <v>0</v>
      </c>
      <c r="I23" s="11">
        <v>0.0</v>
      </c>
      <c r="J23" s="9">
        <f t="shared" ref="J23:J314" si="10">IF(I23&gt;0,1,0)</f>
        <v>0</v>
      </c>
      <c r="K23" s="11">
        <v>27.0</v>
      </c>
      <c r="L23" s="11">
        <v>39.0</v>
      </c>
      <c r="M23" s="14">
        <f t="shared" si="4"/>
        <v>0.78</v>
      </c>
      <c r="N23" s="11">
        <v>1.0</v>
      </c>
      <c r="O23" s="14">
        <f t="shared" si="5"/>
        <v>0.6666666667</v>
      </c>
      <c r="P23" s="11">
        <v>1.0</v>
      </c>
      <c r="Q23" s="15">
        <v>0.75</v>
      </c>
      <c r="R23" s="9">
        <v>10.0</v>
      </c>
      <c r="S23" s="16">
        <f t="shared" si="6"/>
        <v>3.196666667</v>
      </c>
      <c r="T23" s="17">
        <f t="shared" si="7"/>
        <v>0.3196666667</v>
      </c>
      <c r="U23" s="14">
        <f t="shared" si="8"/>
        <v>-6.803333333</v>
      </c>
      <c r="V23" s="9" t="str">
        <f t="shared" si="9"/>
        <v>Low Performance</v>
      </c>
      <c r="W23" s="9"/>
    </row>
    <row r="24" ht="15.75" customHeight="1">
      <c r="A24" s="6">
        <v>46267.0</v>
      </c>
      <c r="B24" s="7" t="s">
        <v>45</v>
      </c>
      <c r="C24" s="9" t="s">
        <v>48</v>
      </c>
      <c r="D24" s="9" t="s">
        <v>27</v>
      </c>
      <c r="E24" s="10">
        <v>0.0</v>
      </c>
      <c r="F24" s="9">
        <f t="shared" si="1"/>
        <v>0</v>
      </c>
      <c r="G24" s="11">
        <v>0.0</v>
      </c>
      <c r="H24" s="9">
        <f t="shared" si="2"/>
        <v>0</v>
      </c>
      <c r="I24" s="11">
        <v>3.0</v>
      </c>
      <c r="J24" s="9">
        <f t="shared" si="10"/>
        <v>1</v>
      </c>
      <c r="K24" s="11">
        <v>35.0</v>
      </c>
      <c r="L24" s="11">
        <v>35.0</v>
      </c>
      <c r="M24" s="14">
        <f t="shared" si="4"/>
        <v>0.7</v>
      </c>
      <c r="N24" s="11">
        <v>2.0</v>
      </c>
      <c r="O24" s="14">
        <f t="shared" si="5"/>
        <v>1.333333333</v>
      </c>
      <c r="P24" s="11">
        <v>1.0</v>
      </c>
      <c r="Q24" s="15">
        <v>0.75</v>
      </c>
      <c r="R24" s="9">
        <v>10.0</v>
      </c>
      <c r="S24" s="16">
        <f t="shared" si="6"/>
        <v>4.783333333</v>
      </c>
      <c r="T24" s="17">
        <f t="shared" si="7"/>
        <v>0.4783333333</v>
      </c>
      <c r="U24" s="14">
        <f t="shared" si="8"/>
        <v>-5.216666667</v>
      </c>
      <c r="V24" s="9" t="str">
        <f t="shared" si="9"/>
        <v>Low Performance</v>
      </c>
      <c r="W24" s="9"/>
    </row>
    <row r="25" ht="15.75" customHeight="1">
      <c r="A25" s="6">
        <v>46267.0</v>
      </c>
      <c r="B25" s="7" t="s">
        <v>49</v>
      </c>
      <c r="C25" s="9" t="s">
        <v>48</v>
      </c>
      <c r="D25" s="9" t="s">
        <v>27</v>
      </c>
      <c r="E25" s="25">
        <v>0.0</v>
      </c>
      <c r="F25" s="26">
        <f t="shared" si="1"/>
        <v>0</v>
      </c>
      <c r="G25" s="27">
        <v>0.0</v>
      </c>
      <c r="H25" s="26">
        <f t="shared" si="2"/>
        <v>0</v>
      </c>
      <c r="I25" s="27">
        <v>0.0</v>
      </c>
      <c r="J25" s="26">
        <f t="shared" si="10"/>
        <v>0</v>
      </c>
      <c r="K25" s="27">
        <v>0.0</v>
      </c>
      <c r="L25" s="27">
        <v>0.0</v>
      </c>
      <c r="M25" s="29">
        <f t="shared" si="4"/>
        <v>0</v>
      </c>
      <c r="N25" s="26"/>
      <c r="O25" s="29">
        <f t="shared" si="5"/>
        <v>0</v>
      </c>
      <c r="P25" s="27">
        <v>0.0</v>
      </c>
      <c r="Q25" s="30">
        <v>0.0</v>
      </c>
      <c r="R25" s="26">
        <v>10.0</v>
      </c>
      <c r="S25" s="29">
        <f t="shared" si="6"/>
        <v>0</v>
      </c>
      <c r="T25" s="28">
        <f t="shared" si="7"/>
        <v>0</v>
      </c>
      <c r="U25" s="29">
        <f t="shared" si="8"/>
        <v>-10</v>
      </c>
      <c r="V25" s="26" t="str">
        <f t="shared" si="9"/>
        <v>Low Performance</v>
      </c>
      <c r="W25" s="31" t="s">
        <v>51</v>
      </c>
    </row>
    <row r="26" ht="15.75" customHeight="1">
      <c r="A26" s="6">
        <v>46267.0</v>
      </c>
      <c r="B26" s="22" t="s">
        <v>50</v>
      </c>
      <c r="C26" s="24" t="s">
        <v>48</v>
      </c>
      <c r="D26" s="24" t="s">
        <v>27</v>
      </c>
      <c r="E26" s="10">
        <v>0.0</v>
      </c>
      <c r="F26" s="9">
        <f t="shared" si="1"/>
        <v>0</v>
      </c>
      <c r="G26" s="11">
        <v>0.0</v>
      </c>
      <c r="H26" s="9">
        <f t="shared" si="2"/>
        <v>0</v>
      </c>
      <c r="I26" s="11">
        <v>0.0</v>
      </c>
      <c r="J26" s="9">
        <f t="shared" si="10"/>
        <v>0</v>
      </c>
      <c r="K26" s="11">
        <v>44.0</v>
      </c>
      <c r="L26" s="11">
        <v>38.0</v>
      </c>
      <c r="M26" s="14">
        <f t="shared" si="4"/>
        <v>0.76</v>
      </c>
      <c r="N26" s="11">
        <v>2.0</v>
      </c>
      <c r="O26" s="14">
        <f t="shared" si="5"/>
        <v>1.333333333</v>
      </c>
      <c r="P26" s="11">
        <v>1.0</v>
      </c>
      <c r="Q26" s="15">
        <v>0.75</v>
      </c>
      <c r="R26" s="9">
        <v>10.0</v>
      </c>
      <c r="S26" s="16">
        <f t="shared" si="6"/>
        <v>3.843333333</v>
      </c>
      <c r="T26" s="17">
        <f t="shared" si="7"/>
        <v>0.3843333333</v>
      </c>
      <c r="U26" s="14">
        <f t="shared" si="8"/>
        <v>-6.156666667</v>
      </c>
      <c r="V26" s="9" t="str">
        <f t="shared" si="9"/>
        <v>Low Performance</v>
      </c>
      <c r="W26" s="9"/>
    </row>
    <row r="27" ht="15.75" customHeight="1">
      <c r="A27" s="6">
        <v>46268.0</v>
      </c>
      <c r="B27" s="7" t="s">
        <v>28</v>
      </c>
      <c r="C27" s="9" t="s">
        <v>29</v>
      </c>
      <c r="D27" s="9" t="s">
        <v>27</v>
      </c>
      <c r="E27" s="10">
        <v>0.0</v>
      </c>
      <c r="F27" s="9">
        <f t="shared" si="1"/>
        <v>0</v>
      </c>
      <c r="G27" s="11">
        <v>0.0</v>
      </c>
      <c r="H27" s="9">
        <f t="shared" si="2"/>
        <v>0</v>
      </c>
      <c r="I27" s="11">
        <v>0.0</v>
      </c>
      <c r="J27" s="9">
        <f t="shared" si="10"/>
        <v>0</v>
      </c>
      <c r="K27" s="11">
        <v>120.0</v>
      </c>
      <c r="L27" s="11">
        <v>50.0</v>
      </c>
      <c r="M27" s="14">
        <f t="shared" si="4"/>
        <v>1</v>
      </c>
      <c r="N27" s="11">
        <v>2.0</v>
      </c>
      <c r="O27" s="14">
        <f t="shared" si="5"/>
        <v>1.333333333</v>
      </c>
      <c r="P27" s="11">
        <v>1.0</v>
      </c>
      <c r="Q27" s="15">
        <v>1.0</v>
      </c>
      <c r="R27" s="9">
        <v>10.0</v>
      </c>
      <c r="S27" s="16">
        <f t="shared" si="6"/>
        <v>4.333333333</v>
      </c>
      <c r="T27" s="17">
        <f t="shared" si="7"/>
        <v>0.4333333333</v>
      </c>
      <c r="U27" s="14">
        <f t="shared" si="8"/>
        <v>-5.666666667</v>
      </c>
      <c r="V27" s="9" t="str">
        <f t="shared" si="9"/>
        <v>Low Performance</v>
      </c>
      <c r="W27" s="9"/>
    </row>
    <row r="28" ht="15.75" customHeight="1">
      <c r="A28" s="6">
        <v>46268.0</v>
      </c>
      <c r="B28" s="7" t="s">
        <v>36</v>
      </c>
      <c r="C28" s="9" t="s">
        <v>29</v>
      </c>
      <c r="D28" s="9" t="s">
        <v>27</v>
      </c>
      <c r="E28" s="10">
        <v>0.0</v>
      </c>
      <c r="F28" s="9">
        <f t="shared" si="1"/>
        <v>0</v>
      </c>
      <c r="G28" s="11">
        <v>1.0</v>
      </c>
      <c r="H28" s="9">
        <f t="shared" si="2"/>
        <v>1</v>
      </c>
      <c r="I28" s="11">
        <v>1.0</v>
      </c>
      <c r="J28" s="9">
        <f t="shared" si="10"/>
        <v>1</v>
      </c>
      <c r="K28" s="11">
        <v>64.0</v>
      </c>
      <c r="L28" s="11">
        <v>47.0</v>
      </c>
      <c r="M28" s="14">
        <f t="shared" si="4"/>
        <v>0.94</v>
      </c>
      <c r="N28" s="11">
        <v>2.0</v>
      </c>
      <c r="O28" s="14">
        <f t="shared" si="5"/>
        <v>1.333333333</v>
      </c>
      <c r="P28" s="11">
        <v>1.0</v>
      </c>
      <c r="Q28" s="15">
        <v>0.75</v>
      </c>
      <c r="R28" s="9">
        <v>10.0</v>
      </c>
      <c r="S28" s="16">
        <f t="shared" si="6"/>
        <v>6.023333333</v>
      </c>
      <c r="T28" s="17">
        <f t="shared" si="7"/>
        <v>0.6023333333</v>
      </c>
      <c r="U28" s="14">
        <f t="shared" si="8"/>
        <v>-3.976666667</v>
      </c>
      <c r="V28" s="9" t="str">
        <f t="shared" si="9"/>
        <v>Average</v>
      </c>
      <c r="W28" s="9"/>
    </row>
    <row r="29" ht="15.75" customHeight="1">
      <c r="A29" s="6">
        <v>46268.0</v>
      </c>
      <c r="B29" s="7" t="s">
        <v>37</v>
      </c>
      <c r="C29" s="9" t="s">
        <v>29</v>
      </c>
      <c r="D29" s="9" t="s">
        <v>27</v>
      </c>
      <c r="E29" s="25">
        <v>0.0</v>
      </c>
      <c r="F29" s="26">
        <f t="shared" si="1"/>
        <v>0</v>
      </c>
      <c r="G29" s="27">
        <v>0.0</v>
      </c>
      <c r="H29" s="26">
        <f t="shared" si="2"/>
        <v>0</v>
      </c>
      <c r="I29" s="27">
        <v>0.0</v>
      </c>
      <c r="J29" s="26">
        <f t="shared" si="10"/>
        <v>0</v>
      </c>
      <c r="K29" s="27">
        <v>0.0</v>
      </c>
      <c r="L29" s="27">
        <v>0.0</v>
      </c>
      <c r="M29" s="29">
        <f t="shared" si="4"/>
        <v>0</v>
      </c>
      <c r="N29" s="26"/>
      <c r="O29" s="29">
        <f t="shared" si="5"/>
        <v>0</v>
      </c>
      <c r="P29" s="27">
        <v>0.0</v>
      </c>
      <c r="Q29" s="30">
        <v>0.0</v>
      </c>
      <c r="R29" s="26">
        <v>10.0</v>
      </c>
      <c r="S29" s="29">
        <f t="shared" si="6"/>
        <v>0</v>
      </c>
      <c r="T29" s="28">
        <f t="shared" si="7"/>
        <v>0</v>
      </c>
      <c r="U29" s="29">
        <f t="shared" si="8"/>
        <v>-10</v>
      </c>
      <c r="V29" s="26" t="str">
        <f t="shared" si="9"/>
        <v>Low Performance</v>
      </c>
      <c r="W29" s="31" t="s">
        <v>51</v>
      </c>
    </row>
    <row r="30" ht="15.75" customHeight="1">
      <c r="A30" s="6">
        <v>46268.0</v>
      </c>
      <c r="B30" s="7" t="s">
        <v>38</v>
      </c>
      <c r="C30" s="9" t="s">
        <v>29</v>
      </c>
      <c r="D30" s="9" t="s">
        <v>27</v>
      </c>
      <c r="E30" s="10">
        <v>0.0</v>
      </c>
      <c r="F30" s="9">
        <f t="shared" si="1"/>
        <v>0</v>
      </c>
      <c r="G30" s="11">
        <v>0.0</v>
      </c>
      <c r="H30" s="9">
        <f t="shared" si="2"/>
        <v>0</v>
      </c>
      <c r="I30" s="11">
        <v>1.0</v>
      </c>
      <c r="J30" s="9">
        <f t="shared" si="10"/>
        <v>1</v>
      </c>
      <c r="K30" s="11">
        <v>10.0</v>
      </c>
      <c r="L30" s="11">
        <v>50.0</v>
      </c>
      <c r="M30" s="14">
        <f t="shared" si="4"/>
        <v>1</v>
      </c>
      <c r="N30" s="11">
        <v>3.0</v>
      </c>
      <c r="O30" s="14">
        <f t="shared" si="5"/>
        <v>2</v>
      </c>
      <c r="P30" s="11">
        <v>1.0</v>
      </c>
      <c r="Q30" s="15">
        <v>0.75</v>
      </c>
      <c r="R30" s="9">
        <v>10.0</v>
      </c>
      <c r="S30" s="16">
        <f t="shared" si="6"/>
        <v>5.75</v>
      </c>
      <c r="T30" s="17">
        <f t="shared" si="7"/>
        <v>0.575</v>
      </c>
      <c r="U30" s="14">
        <f t="shared" si="8"/>
        <v>-4.25</v>
      </c>
      <c r="V30" s="9" t="str">
        <f t="shared" si="9"/>
        <v>Average</v>
      </c>
      <c r="W30" s="9"/>
    </row>
    <row r="31" ht="15.75" customHeight="1">
      <c r="A31" s="6">
        <v>46268.0</v>
      </c>
      <c r="B31" s="20" t="s">
        <v>39</v>
      </c>
      <c r="C31" s="9" t="s">
        <v>40</v>
      </c>
      <c r="D31" s="9" t="s">
        <v>27</v>
      </c>
      <c r="E31" s="10">
        <v>0.0</v>
      </c>
      <c r="F31" s="9">
        <f t="shared" si="1"/>
        <v>0</v>
      </c>
      <c r="G31" s="11">
        <v>0.0</v>
      </c>
      <c r="H31" s="9">
        <f t="shared" si="2"/>
        <v>0</v>
      </c>
      <c r="I31" s="11">
        <v>0.0</v>
      </c>
      <c r="J31" s="9">
        <f t="shared" si="10"/>
        <v>0</v>
      </c>
      <c r="K31" s="11">
        <v>71.0</v>
      </c>
      <c r="L31" s="11">
        <v>50.0</v>
      </c>
      <c r="M31" s="14">
        <f t="shared" si="4"/>
        <v>1</v>
      </c>
      <c r="N31" s="11">
        <v>2.0</v>
      </c>
      <c r="O31" s="14">
        <f t="shared" si="5"/>
        <v>1.333333333</v>
      </c>
      <c r="P31" s="11">
        <v>1.0</v>
      </c>
      <c r="Q31" s="15">
        <v>1.0</v>
      </c>
      <c r="R31" s="9">
        <v>10.0</v>
      </c>
      <c r="S31" s="16">
        <f t="shared" si="6"/>
        <v>4.333333333</v>
      </c>
      <c r="T31" s="17">
        <f t="shared" si="7"/>
        <v>0.4333333333</v>
      </c>
      <c r="U31" s="14">
        <f t="shared" si="8"/>
        <v>-5.666666667</v>
      </c>
      <c r="V31" s="9" t="str">
        <f t="shared" si="9"/>
        <v>Low Performance</v>
      </c>
      <c r="W31" s="9"/>
    </row>
    <row r="32" ht="15.75" customHeight="1">
      <c r="A32" s="6">
        <v>46268.0</v>
      </c>
      <c r="B32" s="7" t="s">
        <v>41</v>
      </c>
      <c r="C32" s="9" t="s">
        <v>40</v>
      </c>
      <c r="D32" s="9" t="s">
        <v>27</v>
      </c>
      <c r="E32" s="10">
        <v>0.0</v>
      </c>
      <c r="F32" s="9">
        <f t="shared" si="1"/>
        <v>0</v>
      </c>
      <c r="G32" s="11">
        <v>0.0</v>
      </c>
      <c r="H32" s="9">
        <f t="shared" si="2"/>
        <v>0</v>
      </c>
      <c r="I32" s="11">
        <v>1.0</v>
      </c>
      <c r="J32" s="9">
        <f t="shared" si="10"/>
        <v>1</v>
      </c>
      <c r="K32" s="11">
        <v>86.0</v>
      </c>
      <c r="L32" s="11">
        <v>47.0</v>
      </c>
      <c r="M32" s="14">
        <f t="shared" si="4"/>
        <v>0.94</v>
      </c>
      <c r="N32" s="11">
        <v>3.0</v>
      </c>
      <c r="O32" s="14">
        <f t="shared" si="5"/>
        <v>2</v>
      </c>
      <c r="P32" s="11">
        <v>1.0</v>
      </c>
      <c r="Q32" s="15">
        <v>1.0</v>
      </c>
      <c r="R32" s="9">
        <v>10.0</v>
      </c>
      <c r="S32" s="16">
        <f t="shared" si="6"/>
        <v>5.94</v>
      </c>
      <c r="T32" s="17">
        <f t="shared" si="7"/>
        <v>0.594</v>
      </c>
      <c r="U32" s="14">
        <f t="shared" si="8"/>
        <v>-4.06</v>
      </c>
      <c r="V32" s="9" t="str">
        <f t="shared" si="9"/>
        <v>Average</v>
      </c>
      <c r="W32" s="9"/>
    </row>
    <row r="33" ht="15.75" customHeight="1">
      <c r="A33" s="6">
        <v>46268.0</v>
      </c>
      <c r="B33" s="7" t="s">
        <v>42</v>
      </c>
      <c r="C33" s="9" t="s">
        <v>40</v>
      </c>
      <c r="D33" s="9" t="s">
        <v>27</v>
      </c>
      <c r="E33" s="10">
        <v>0.0</v>
      </c>
      <c r="F33" s="9">
        <f t="shared" si="1"/>
        <v>0</v>
      </c>
      <c r="G33" s="11">
        <v>0.0</v>
      </c>
      <c r="H33" s="9">
        <f t="shared" si="2"/>
        <v>0</v>
      </c>
      <c r="I33" s="11">
        <v>0.0</v>
      </c>
      <c r="J33" s="9">
        <f t="shared" si="10"/>
        <v>0</v>
      </c>
      <c r="K33" s="11">
        <v>62.0</v>
      </c>
      <c r="L33" s="11">
        <v>50.0</v>
      </c>
      <c r="M33" s="14">
        <f t="shared" si="4"/>
        <v>1</v>
      </c>
      <c r="N33" s="11">
        <v>2.0</v>
      </c>
      <c r="O33" s="14">
        <f t="shared" si="5"/>
        <v>1.333333333</v>
      </c>
      <c r="P33" s="11">
        <v>1.0</v>
      </c>
      <c r="Q33" s="15">
        <v>1.0</v>
      </c>
      <c r="R33" s="9">
        <v>10.0</v>
      </c>
      <c r="S33" s="16">
        <f t="shared" si="6"/>
        <v>4.333333333</v>
      </c>
      <c r="T33" s="17">
        <f t="shared" si="7"/>
        <v>0.4333333333</v>
      </c>
      <c r="U33" s="14">
        <f t="shared" si="8"/>
        <v>-5.666666667</v>
      </c>
      <c r="V33" s="9" t="str">
        <f t="shared" si="9"/>
        <v>Low Performance</v>
      </c>
      <c r="W33" s="9"/>
    </row>
    <row r="34" ht="15.75" customHeight="1">
      <c r="A34" s="6">
        <v>46268.0</v>
      </c>
      <c r="B34" s="7" t="s">
        <v>43</v>
      </c>
      <c r="C34" s="9" t="s">
        <v>40</v>
      </c>
      <c r="D34" s="9" t="s">
        <v>27</v>
      </c>
      <c r="E34" s="10">
        <v>0.0</v>
      </c>
      <c r="F34" s="9">
        <f t="shared" si="1"/>
        <v>0</v>
      </c>
      <c r="G34" s="11">
        <v>0.0</v>
      </c>
      <c r="H34" s="9">
        <f t="shared" si="2"/>
        <v>0</v>
      </c>
      <c r="I34" s="11">
        <v>0.0</v>
      </c>
      <c r="J34" s="9">
        <f t="shared" si="10"/>
        <v>0</v>
      </c>
      <c r="K34" s="11">
        <v>62.0</v>
      </c>
      <c r="L34" s="11">
        <v>50.0</v>
      </c>
      <c r="M34" s="14">
        <f t="shared" si="4"/>
        <v>1</v>
      </c>
      <c r="N34" s="11">
        <v>1.0</v>
      </c>
      <c r="O34" s="14">
        <f t="shared" si="5"/>
        <v>0.6666666667</v>
      </c>
      <c r="P34" s="11">
        <v>1.0</v>
      </c>
      <c r="Q34" s="15">
        <v>0.75</v>
      </c>
      <c r="R34" s="9">
        <v>10.0</v>
      </c>
      <c r="S34" s="16">
        <f t="shared" si="6"/>
        <v>3.416666667</v>
      </c>
      <c r="T34" s="17">
        <f t="shared" si="7"/>
        <v>0.3416666667</v>
      </c>
      <c r="U34" s="14">
        <f t="shared" si="8"/>
        <v>-6.583333333</v>
      </c>
      <c r="V34" s="9" t="str">
        <f t="shared" si="9"/>
        <v>Low Performance</v>
      </c>
      <c r="W34" s="9"/>
    </row>
    <row r="35" ht="15.75" customHeight="1">
      <c r="A35" s="6">
        <v>46268.0</v>
      </c>
      <c r="B35" s="7" t="s">
        <v>47</v>
      </c>
      <c r="C35" s="9" t="s">
        <v>48</v>
      </c>
      <c r="D35" s="9" t="s">
        <v>27</v>
      </c>
      <c r="E35" s="10">
        <v>0.0</v>
      </c>
      <c r="F35" s="9">
        <f t="shared" si="1"/>
        <v>0</v>
      </c>
      <c r="G35" s="11">
        <v>1.0</v>
      </c>
      <c r="H35" s="9">
        <f t="shared" si="2"/>
        <v>1</v>
      </c>
      <c r="I35" s="11">
        <v>0.0</v>
      </c>
      <c r="J35" s="9">
        <f t="shared" si="10"/>
        <v>0</v>
      </c>
      <c r="K35" s="11">
        <v>63.0</v>
      </c>
      <c r="L35" s="11">
        <v>38.0</v>
      </c>
      <c r="M35" s="14">
        <f t="shared" si="4"/>
        <v>0.76</v>
      </c>
      <c r="N35" s="11">
        <v>2.0</v>
      </c>
      <c r="O35" s="14">
        <f t="shared" si="5"/>
        <v>1.333333333</v>
      </c>
      <c r="P35" s="11">
        <v>1.0</v>
      </c>
      <c r="Q35" s="44"/>
      <c r="R35" s="9">
        <v>10.0</v>
      </c>
      <c r="S35" s="16">
        <f t="shared" si="6"/>
        <v>4.093333333</v>
      </c>
      <c r="T35" s="17">
        <f t="shared" si="7"/>
        <v>0.4093333333</v>
      </c>
      <c r="U35" s="14">
        <f t="shared" si="8"/>
        <v>-5.906666667</v>
      </c>
      <c r="V35" s="9" t="str">
        <f t="shared" si="9"/>
        <v>Low Performance</v>
      </c>
      <c r="W35" s="9"/>
    </row>
    <row r="36" ht="15.75" customHeight="1">
      <c r="A36" s="6">
        <v>46268.0</v>
      </c>
      <c r="B36" s="7" t="s">
        <v>45</v>
      </c>
      <c r="C36" s="9" t="s">
        <v>48</v>
      </c>
      <c r="D36" s="9" t="s">
        <v>27</v>
      </c>
      <c r="E36" s="10">
        <v>0.0</v>
      </c>
      <c r="F36" s="9">
        <f t="shared" si="1"/>
        <v>0</v>
      </c>
      <c r="G36" s="11">
        <v>1.0</v>
      </c>
      <c r="H36" s="9">
        <f t="shared" si="2"/>
        <v>1</v>
      </c>
      <c r="I36" s="11">
        <v>0.0</v>
      </c>
      <c r="J36" s="9">
        <f t="shared" si="10"/>
        <v>0</v>
      </c>
      <c r="K36" s="11">
        <v>60.0</v>
      </c>
      <c r="L36" s="11">
        <v>37.0</v>
      </c>
      <c r="M36" s="14">
        <f t="shared" si="4"/>
        <v>0.74</v>
      </c>
      <c r="N36" s="11">
        <v>2.0</v>
      </c>
      <c r="O36" s="14">
        <f t="shared" si="5"/>
        <v>1.333333333</v>
      </c>
      <c r="P36" s="11">
        <v>1.0</v>
      </c>
      <c r="Q36" s="15">
        <v>0.75</v>
      </c>
      <c r="R36" s="9">
        <v>10.0</v>
      </c>
      <c r="S36" s="16">
        <f t="shared" si="6"/>
        <v>4.823333333</v>
      </c>
      <c r="T36" s="17">
        <f t="shared" si="7"/>
        <v>0.4823333333</v>
      </c>
      <c r="U36" s="14">
        <f t="shared" si="8"/>
        <v>-5.176666667</v>
      </c>
      <c r="V36" s="9" t="str">
        <f t="shared" si="9"/>
        <v>Low Performance</v>
      </c>
      <c r="W36" s="9"/>
    </row>
    <row r="37" ht="15.75" customHeight="1">
      <c r="A37" s="6">
        <v>46268.0</v>
      </c>
      <c r="B37" s="7" t="s">
        <v>49</v>
      </c>
      <c r="C37" s="9" t="s">
        <v>48</v>
      </c>
      <c r="D37" s="9" t="s">
        <v>27</v>
      </c>
      <c r="E37" s="25">
        <v>0.0</v>
      </c>
      <c r="F37" s="26">
        <f t="shared" si="1"/>
        <v>0</v>
      </c>
      <c r="G37" s="27">
        <v>0.0</v>
      </c>
      <c r="H37" s="26">
        <f t="shared" si="2"/>
        <v>0</v>
      </c>
      <c r="I37" s="27">
        <v>0.0</v>
      </c>
      <c r="J37" s="26">
        <f t="shared" si="10"/>
        <v>0</v>
      </c>
      <c r="K37" s="27">
        <v>0.0</v>
      </c>
      <c r="L37" s="27">
        <v>0.0</v>
      </c>
      <c r="M37" s="29">
        <f t="shared" si="4"/>
        <v>0</v>
      </c>
      <c r="N37" s="26"/>
      <c r="O37" s="29">
        <f t="shared" si="5"/>
        <v>0</v>
      </c>
      <c r="P37" s="27">
        <v>0.0</v>
      </c>
      <c r="Q37" s="30">
        <v>0.0</v>
      </c>
      <c r="R37" s="26">
        <v>10.0</v>
      </c>
      <c r="S37" s="29">
        <f t="shared" si="6"/>
        <v>0</v>
      </c>
      <c r="T37" s="28">
        <f t="shared" si="7"/>
        <v>0</v>
      </c>
      <c r="U37" s="29">
        <f t="shared" si="8"/>
        <v>-10</v>
      </c>
      <c r="V37" s="26" t="str">
        <f t="shared" si="9"/>
        <v>Low Performance</v>
      </c>
      <c r="W37" s="31" t="s">
        <v>51</v>
      </c>
    </row>
    <row r="38" ht="15.75" customHeight="1">
      <c r="A38" s="6">
        <v>46268.0</v>
      </c>
      <c r="B38" s="22" t="s">
        <v>50</v>
      </c>
      <c r="C38" s="24" t="s">
        <v>48</v>
      </c>
      <c r="D38" s="24" t="s">
        <v>27</v>
      </c>
      <c r="E38" s="10">
        <v>0.0</v>
      </c>
      <c r="F38" s="9">
        <f t="shared" si="1"/>
        <v>0</v>
      </c>
      <c r="G38" s="11">
        <v>1.0</v>
      </c>
      <c r="H38" s="9">
        <f t="shared" si="2"/>
        <v>1</v>
      </c>
      <c r="I38" s="11">
        <v>1.0</v>
      </c>
      <c r="J38" s="9">
        <f t="shared" si="10"/>
        <v>1</v>
      </c>
      <c r="K38" s="11">
        <v>43.0</v>
      </c>
      <c r="L38" s="11">
        <v>42.0</v>
      </c>
      <c r="M38" s="14">
        <f t="shared" si="4"/>
        <v>0.84</v>
      </c>
      <c r="N38" s="11">
        <v>2.0</v>
      </c>
      <c r="O38" s="14">
        <f t="shared" si="5"/>
        <v>1.333333333</v>
      </c>
      <c r="P38" s="11">
        <v>1.0</v>
      </c>
      <c r="Q38" s="15">
        <v>0.75</v>
      </c>
      <c r="R38" s="9">
        <v>10.0</v>
      </c>
      <c r="S38" s="16">
        <f t="shared" si="6"/>
        <v>5.923333333</v>
      </c>
      <c r="T38" s="17">
        <f t="shared" si="7"/>
        <v>0.5923333333</v>
      </c>
      <c r="U38" s="14">
        <f t="shared" si="8"/>
        <v>-4.076666667</v>
      </c>
      <c r="V38" s="9" t="str">
        <f t="shared" si="9"/>
        <v>Average</v>
      </c>
      <c r="W38" s="9"/>
    </row>
    <row r="39" ht="15.75" customHeight="1">
      <c r="A39" s="6">
        <v>46270.0</v>
      </c>
      <c r="B39" s="7" t="s">
        <v>28</v>
      </c>
      <c r="C39" s="9" t="s">
        <v>29</v>
      </c>
      <c r="D39" s="9" t="s">
        <v>27</v>
      </c>
      <c r="E39" s="10">
        <v>0.0</v>
      </c>
      <c r="F39" s="9">
        <f t="shared" si="1"/>
        <v>0</v>
      </c>
      <c r="G39" s="11">
        <v>0.0</v>
      </c>
      <c r="H39" s="9">
        <f t="shared" si="2"/>
        <v>0</v>
      </c>
      <c r="I39" s="11">
        <v>0.0</v>
      </c>
      <c r="J39" s="9">
        <f t="shared" si="10"/>
        <v>0</v>
      </c>
      <c r="K39" s="11">
        <v>119.0</v>
      </c>
      <c r="L39" s="11">
        <v>50.0</v>
      </c>
      <c r="M39" s="14">
        <f t="shared" si="4"/>
        <v>1</v>
      </c>
      <c r="N39" s="11">
        <v>3.0</v>
      </c>
      <c r="O39" s="14">
        <f t="shared" si="5"/>
        <v>2</v>
      </c>
      <c r="P39" s="11">
        <v>1.0</v>
      </c>
      <c r="Q39" s="15">
        <v>1.0</v>
      </c>
      <c r="R39" s="9">
        <v>10.0</v>
      </c>
      <c r="S39" s="16">
        <f t="shared" si="6"/>
        <v>5</v>
      </c>
      <c r="T39" s="17">
        <f t="shared" si="7"/>
        <v>0.5</v>
      </c>
      <c r="U39" s="14">
        <f t="shared" si="8"/>
        <v>-5</v>
      </c>
      <c r="V39" s="9" t="str">
        <f t="shared" si="9"/>
        <v>Average</v>
      </c>
      <c r="W39" s="9"/>
    </row>
    <row r="40" ht="15.75" customHeight="1">
      <c r="A40" s="6">
        <v>46270.0</v>
      </c>
      <c r="B40" s="7" t="s">
        <v>36</v>
      </c>
      <c r="C40" s="9" t="s">
        <v>29</v>
      </c>
      <c r="D40" s="9" t="s">
        <v>27</v>
      </c>
      <c r="E40" s="10">
        <v>0.0</v>
      </c>
      <c r="F40" s="9">
        <f t="shared" si="1"/>
        <v>0</v>
      </c>
      <c r="G40" s="11">
        <v>0.0</v>
      </c>
      <c r="H40" s="9">
        <f t="shared" si="2"/>
        <v>0</v>
      </c>
      <c r="I40" s="11">
        <v>1.0</v>
      </c>
      <c r="J40" s="9">
        <f t="shared" si="10"/>
        <v>1</v>
      </c>
      <c r="K40" s="11">
        <v>57.0</v>
      </c>
      <c r="L40" s="11">
        <v>41.0</v>
      </c>
      <c r="M40" s="14">
        <f t="shared" si="4"/>
        <v>0.82</v>
      </c>
      <c r="N40" s="11">
        <v>2.0</v>
      </c>
      <c r="O40" s="14">
        <f t="shared" si="5"/>
        <v>1.333333333</v>
      </c>
      <c r="P40" s="11">
        <v>1.0</v>
      </c>
      <c r="Q40" s="15">
        <v>1.0</v>
      </c>
      <c r="R40" s="9">
        <v>10.0</v>
      </c>
      <c r="S40" s="16">
        <f t="shared" si="6"/>
        <v>5.153333333</v>
      </c>
      <c r="T40" s="17">
        <f t="shared" si="7"/>
        <v>0.5153333333</v>
      </c>
      <c r="U40" s="14">
        <f t="shared" si="8"/>
        <v>-4.846666667</v>
      </c>
      <c r="V40" s="9" t="str">
        <f t="shared" si="9"/>
        <v>Average</v>
      </c>
      <c r="W40" s="9"/>
    </row>
    <row r="41" ht="15.75" customHeight="1">
      <c r="A41" s="6">
        <v>46270.0</v>
      </c>
      <c r="B41" s="7" t="s">
        <v>37</v>
      </c>
      <c r="C41" s="9" t="s">
        <v>29</v>
      </c>
      <c r="D41" s="9" t="s">
        <v>27</v>
      </c>
      <c r="E41" s="25">
        <v>0.0</v>
      </c>
      <c r="F41" s="26">
        <f t="shared" si="1"/>
        <v>0</v>
      </c>
      <c r="G41" s="27">
        <v>0.0</v>
      </c>
      <c r="H41" s="26">
        <f t="shared" si="2"/>
        <v>0</v>
      </c>
      <c r="I41" s="27">
        <v>0.0</v>
      </c>
      <c r="J41" s="26">
        <f t="shared" si="10"/>
        <v>0</v>
      </c>
      <c r="K41" s="27">
        <v>0.0</v>
      </c>
      <c r="L41" s="27">
        <v>0.0</v>
      </c>
      <c r="M41" s="29">
        <f t="shared" si="4"/>
        <v>0</v>
      </c>
      <c r="N41" s="26"/>
      <c r="O41" s="29">
        <f t="shared" si="5"/>
        <v>0</v>
      </c>
      <c r="P41" s="27">
        <v>0.0</v>
      </c>
      <c r="Q41" s="30">
        <v>0.0</v>
      </c>
      <c r="R41" s="26">
        <v>10.0</v>
      </c>
      <c r="S41" s="29">
        <f t="shared" si="6"/>
        <v>0</v>
      </c>
      <c r="T41" s="28">
        <f t="shared" si="7"/>
        <v>0</v>
      </c>
      <c r="U41" s="29">
        <f t="shared" si="8"/>
        <v>-10</v>
      </c>
      <c r="V41" s="26" t="str">
        <f t="shared" si="9"/>
        <v>Low Performance</v>
      </c>
      <c r="W41" s="31" t="s">
        <v>51</v>
      </c>
    </row>
    <row r="42" ht="15.75" customHeight="1">
      <c r="A42" s="6">
        <v>46270.0</v>
      </c>
      <c r="B42" s="7" t="s">
        <v>38</v>
      </c>
      <c r="C42" s="9" t="s">
        <v>29</v>
      </c>
      <c r="D42" s="9" t="s">
        <v>27</v>
      </c>
      <c r="E42" s="10">
        <v>0.0</v>
      </c>
      <c r="F42" s="9">
        <f t="shared" si="1"/>
        <v>0</v>
      </c>
      <c r="G42" s="11">
        <v>1.0</v>
      </c>
      <c r="H42" s="9">
        <f t="shared" si="2"/>
        <v>1</v>
      </c>
      <c r="I42" s="11">
        <v>2.0</v>
      </c>
      <c r="J42" s="9">
        <f t="shared" si="10"/>
        <v>1</v>
      </c>
      <c r="K42" s="11">
        <v>79.0</v>
      </c>
      <c r="L42" s="11">
        <v>50.0</v>
      </c>
      <c r="M42" s="14">
        <f t="shared" si="4"/>
        <v>1</v>
      </c>
      <c r="N42" s="11">
        <v>3.0</v>
      </c>
      <c r="O42" s="14">
        <f t="shared" si="5"/>
        <v>2</v>
      </c>
      <c r="P42" s="11">
        <v>1.0</v>
      </c>
      <c r="Q42" s="15">
        <v>0.75</v>
      </c>
      <c r="R42" s="9">
        <v>10.0</v>
      </c>
      <c r="S42" s="16">
        <f t="shared" si="6"/>
        <v>6.75</v>
      </c>
      <c r="T42" s="17">
        <f t="shared" si="7"/>
        <v>0.675</v>
      </c>
      <c r="U42" s="14">
        <f t="shared" si="8"/>
        <v>-3.25</v>
      </c>
      <c r="V42" s="9" t="str">
        <f t="shared" si="9"/>
        <v>Average</v>
      </c>
      <c r="W42" s="9"/>
    </row>
    <row r="43" ht="15.75" customHeight="1">
      <c r="A43" s="6">
        <v>46270.0</v>
      </c>
      <c r="B43" s="20" t="s">
        <v>39</v>
      </c>
      <c r="C43" s="9" t="s">
        <v>40</v>
      </c>
      <c r="D43" s="9" t="s">
        <v>27</v>
      </c>
      <c r="E43" s="10">
        <v>0.0</v>
      </c>
      <c r="F43" s="9">
        <f t="shared" si="1"/>
        <v>0</v>
      </c>
      <c r="G43" s="11">
        <v>0.0</v>
      </c>
      <c r="H43" s="9">
        <f t="shared" si="2"/>
        <v>0</v>
      </c>
      <c r="I43" s="11">
        <v>0.0</v>
      </c>
      <c r="J43" s="9">
        <f t="shared" si="10"/>
        <v>0</v>
      </c>
      <c r="K43" s="11">
        <v>71.0</v>
      </c>
      <c r="L43" s="11">
        <v>50.0</v>
      </c>
      <c r="M43" s="14">
        <f t="shared" si="4"/>
        <v>1</v>
      </c>
      <c r="N43" s="11">
        <v>2.0</v>
      </c>
      <c r="O43" s="14">
        <f t="shared" si="5"/>
        <v>1.333333333</v>
      </c>
      <c r="P43" s="11">
        <v>1.0</v>
      </c>
      <c r="Q43" s="15">
        <v>1.0</v>
      </c>
      <c r="R43" s="9">
        <v>10.0</v>
      </c>
      <c r="S43" s="16">
        <f t="shared" si="6"/>
        <v>4.333333333</v>
      </c>
      <c r="T43" s="17">
        <f t="shared" si="7"/>
        <v>0.4333333333</v>
      </c>
      <c r="U43" s="14">
        <f t="shared" si="8"/>
        <v>-5.666666667</v>
      </c>
      <c r="V43" s="9" t="str">
        <f t="shared" si="9"/>
        <v>Low Performance</v>
      </c>
      <c r="W43" s="9"/>
    </row>
    <row r="44" ht="15.75" customHeight="1">
      <c r="A44" s="6">
        <v>46270.0</v>
      </c>
      <c r="B44" s="7" t="s">
        <v>41</v>
      </c>
      <c r="C44" s="9" t="s">
        <v>40</v>
      </c>
      <c r="D44" s="9" t="s">
        <v>27</v>
      </c>
      <c r="E44" s="10">
        <v>0.0</v>
      </c>
      <c r="F44" s="9">
        <f t="shared" si="1"/>
        <v>0</v>
      </c>
      <c r="G44" s="11">
        <v>0.0</v>
      </c>
      <c r="H44" s="9">
        <f t="shared" si="2"/>
        <v>0</v>
      </c>
      <c r="I44" s="11">
        <v>1.0</v>
      </c>
      <c r="J44" s="9">
        <f t="shared" si="10"/>
        <v>1</v>
      </c>
      <c r="K44" s="11">
        <v>46.0</v>
      </c>
      <c r="L44" s="11">
        <v>17.0</v>
      </c>
      <c r="M44" s="14">
        <f t="shared" si="4"/>
        <v>0.34</v>
      </c>
      <c r="N44" s="11">
        <v>1.0</v>
      </c>
      <c r="O44" s="14">
        <f t="shared" si="5"/>
        <v>0.6666666667</v>
      </c>
      <c r="P44" s="11">
        <v>1.0</v>
      </c>
      <c r="Q44" s="15">
        <v>1.0</v>
      </c>
      <c r="R44" s="9">
        <v>10.0</v>
      </c>
      <c r="S44" s="16">
        <f t="shared" si="6"/>
        <v>4.006666667</v>
      </c>
      <c r="T44" s="17">
        <f t="shared" si="7"/>
        <v>0.4006666667</v>
      </c>
      <c r="U44" s="14">
        <f t="shared" si="8"/>
        <v>-5.993333333</v>
      </c>
      <c r="V44" s="9" t="str">
        <f t="shared" si="9"/>
        <v>Low Performance</v>
      </c>
      <c r="W44" s="9"/>
    </row>
    <row r="45" ht="15.75" customHeight="1">
      <c r="A45" s="6">
        <v>46270.0</v>
      </c>
      <c r="B45" s="7" t="s">
        <v>42</v>
      </c>
      <c r="C45" s="9" t="s">
        <v>40</v>
      </c>
      <c r="D45" s="9" t="s">
        <v>27</v>
      </c>
      <c r="E45" s="10">
        <v>0.0</v>
      </c>
      <c r="F45" s="9">
        <f t="shared" si="1"/>
        <v>0</v>
      </c>
      <c r="G45" s="11">
        <v>0.0</v>
      </c>
      <c r="H45" s="9">
        <f t="shared" si="2"/>
        <v>0</v>
      </c>
      <c r="I45" s="11">
        <v>0.0</v>
      </c>
      <c r="J45" s="9">
        <f t="shared" si="10"/>
        <v>0</v>
      </c>
      <c r="K45" s="11">
        <v>60.0</v>
      </c>
      <c r="L45" s="11">
        <v>50.0</v>
      </c>
      <c r="M45" s="14">
        <f t="shared" si="4"/>
        <v>1</v>
      </c>
      <c r="N45" s="11">
        <v>2.0</v>
      </c>
      <c r="O45" s="14">
        <f t="shared" si="5"/>
        <v>1.333333333</v>
      </c>
      <c r="P45" s="11">
        <v>1.0</v>
      </c>
      <c r="Q45" s="15">
        <v>1.0</v>
      </c>
      <c r="R45" s="9">
        <v>10.0</v>
      </c>
      <c r="S45" s="16">
        <f t="shared" si="6"/>
        <v>4.333333333</v>
      </c>
      <c r="T45" s="17">
        <f t="shared" si="7"/>
        <v>0.4333333333</v>
      </c>
      <c r="U45" s="14">
        <f t="shared" si="8"/>
        <v>-5.666666667</v>
      </c>
      <c r="V45" s="9" t="str">
        <f t="shared" si="9"/>
        <v>Low Performance</v>
      </c>
      <c r="W45" s="9"/>
    </row>
    <row r="46" ht="15.75" customHeight="1">
      <c r="A46" s="6">
        <v>46270.0</v>
      </c>
      <c r="B46" s="7" t="s">
        <v>43</v>
      </c>
      <c r="C46" s="9" t="s">
        <v>40</v>
      </c>
      <c r="D46" s="9" t="s">
        <v>27</v>
      </c>
      <c r="E46" s="10">
        <v>0.0</v>
      </c>
      <c r="F46" s="9">
        <f t="shared" si="1"/>
        <v>0</v>
      </c>
      <c r="G46" s="11">
        <v>0.0</v>
      </c>
      <c r="H46" s="9">
        <f t="shared" si="2"/>
        <v>0</v>
      </c>
      <c r="I46" s="11">
        <v>0.0</v>
      </c>
      <c r="J46" s="9">
        <f t="shared" si="10"/>
        <v>0</v>
      </c>
      <c r="K46" s="11">
        <v>45.0</v>
      </c>
      <c r="L46" s="11">
        <v>45.0</v>
      </c>
      <c r="M46" s="14">
        <f t="shared" si="4"/>
        <v>0.9</v>
      </c>
      <c r="N46" s="11">
        <v>2.0</v>
      </c>
      <c r="O46" s="14">
        <f t="shared" si="5"/>
        <v>1.333333333</v>
      </c>
      <c r="P46" s="11">
        <v>1.0</v>
      </c>
      <c r="Q46" s="15">
        <v>0.75</v>
      </c>
      <c r="R46" s="9">
        <v>10.0</v>
      </c>
      <c r="S46" s="16">
        <f t="shared" si="6"/>
        <v>3.983333333</v>
      </c>
      <c r="T46" s="17">
        <f t="shared" si="7"/>
        <v>0.3983333333</v>
      </c>
      <c r="U46" s="14">
        <f t="shared" si="8"/>
        <v>-6.016666667</v>
      </c>
      <c r="V46" s="9" t="str">
        <f t="shared" si="9"/>
        <v>Low Performance</v>
      </c>
      <c r="W46" s="9"/>
    </row>
    <row r="47" ht="15.75" customHeight="1">
      <c r="A47" s="6">
        <v>46270.0</v>
      </c>
      <c r="B47" s="7" t="s">
        <v>47</v>
      </c>
      <c r="C47" s="9" t="s">
        <v>48</v>
      </c>
      <c r="D47" s="9" t="s">
        <v>27</v>
      </c>
      <c r="E47" s="10">
        <v>0.0</v>
      </c>
      <c r="F47" s="9">
        <f t="shared" si="1"/>
        <v>0</v>
      </c>
      <c r="G47" s="11">
        <v>0.0</v>
      </c>
      <c r="H47" s="9">
        <f t="shared" si="2"/>
        <v>0</v>
      </c>
      <c r="I47" s="11">
        <v>0.0</v>
      </c>
      <c r="J47" s="9">
        <f t="shared" si="10"/>
        <v>0</v>
      </c>
      <c r="K47" s="11">
        <v>46.0</v>
      </c>
      <c r="L47" s="11">
        <v>32.0</v>
      </c>
      <c r="M47" s="14">
        <f t="shared" si="4"/>
        <v>0.64</v>
      </c>
      <c r="N47" s="11">
        <v>2.0</v>
      </c>
      <c r="O47" s="14">
        <f t="shared" si="5"/>
        <v>1.333333333</v>
      </c>
      <c r="P47" s="11">
        <v>1.0</v>
      </c>
      <c r="Q47" s="15">
        <v>0.75</v>
      </c>
      <c r="R47" s="9">
        <v>10.0</v>
      </c>
      <c r="S47" s="16">
        <f t="shared" si="6"/>
        <v>3.723333333</v>
      </c>
      <c r="T47" s="17">
        <f t="shared" si="7"/>
        <v>0.3723333333</v>
      </c>
      <c r="U47" s="14">
        <f t="shared" si="8"/>
        <v>-6.276666667</v>
      </c>
      <c r="V47" s="9" t="str">
        <f t="shared" si="9"/>
        <v>Low Performance</v>
      </c>
      <c r="W47" s="9"/>
    </row>
    <row r="48" ht="15.75" customHeight="1">
      <c r="A48" s="6">
        <v>46270.0</v>
      </c>
      <c r="B48" s="7" t="s">
        <v>45</v>
      </c>
      <c r="C48" s="9" t="s">
        <v>48</v>
      </c>
      <c r="D48" s="9" t="s">
        <v>27</v>
      </c>
      <c r="E48" s="10">
        <v>0.0</v>
      </c>
      <c r="F48" s="9">
        <f t="shared" si="1"/>
        <v>0</v>
      </c>
      <c r="G48" s="11">
        <v>1.0</v>
      </c>
      <c r="H48" s="9">
        <f t="shared" si="2"/>
        <v>1</v>
      </c>
      <c r="I48" s="11">
        <v>0.0</v>
      </c>
      <c r="J48" s="9">
        <f t="shared" si="10"/>
        <v>0</v>
      </c>
      <c r="K48" s="11">
        <v>60.0</v>
      </c>
      <c r="L48" s="11">
        <v>35.0</v>
      </c>
      <c r="M48" s="14">
        <f t="shared" si="4"/>
        <v>0.7</v>
      </c>
      <c r="N48" s="11">
        <v>2.0</v>
      </c>
      <c r="O48" s="14">
        <f t="shared" si="5"/>
        <v>1.333333333</v>
      </c>
      <c r="P48" s="11">
        <v>1.0</v>
      </c>
      <c r="Q48" s="15">
        <v>0.75</v>
      </c>
      <c r="R48" s="9">
        <v>10.0</v>
      </c>
      <c r="S48" s="16">
        <f t="shared" si="6"/>
        <v>4.783333333</v>
      </c>
      <c r="T48" s="17">
        <f t="shared" si="7"/>
        <v>0.4783333333</v>
      </c>
      <c r="U48" s="14">
        <f t="shared" si="8"/>
        <v>-5.216666667</v>
      </c>
      <c r="V48" s="9" t="str">
        <f t="shared" si="9"/>
        <v>Low Performance</v>
      </c>
      <c r="W48" s="9"/>
    </row>
    <row r="49" ht="15.75" customHeight="1">
      <c r="A49" s="6">
        <v>46270.0</v>
      </c>
      <c r="B49" s="7" t="s">
        <v>49</v>
      </c>
      <c r="C49" s="9" t="s">
        <v>48</v>
      </c>
      <c r="D49" s="9" t="s">
        <v>27</v>
      </c>
      <c r="E49" s="10">
        <v>0.0</v>
      </c>
      <c r="F49" s="9">
        <f t="shared" si="1"/>
        <v>0</v>
      </c>
      <c r="G49" s="11">
        <v>0.0</v>
      </c>
      <c r="H49" s="9">
        <f t="shared" si="2"/>
        <v>0</v>
      </c>
      <c r="I49" s="11">
        <v>0.0</v>
      </c>
      <c r="J49" s="9">
        <f t="shared" si="10"/>
        <v>0</v>
      </c>
      <c r="K49" s="11">
        <v>37.0</v>
      </c>
      <c r="L49" s="11">
        <v>35.0</v>
      </c>
      <c r="M49" s="14">
        <f t="shared" si="4"/>
        <v>0.7</v>
      </c>
      <c r="N49" s="11">
        <v>1.0</v>
      </c>
      <c r="O49" s="14">
        <f t="shared" si="5"/>
        <v>0.6666666667</v>
      </c>
      <c r="P49" s="11">
        <v>1.0</v>
      </c>
      <c r="Q49" s="15">
        <v>0.75</v>
      </c>
      <c r="R49" s="9">
        <v>10.0</v>
      </c>
      <c r="S49" s="16">
        <f t="shared" si="6"/>
        <v>3.116666667</v>
      </c>
      <c r="T49" s="17">
        <f t="shared" si="7"/>
        <v>0.3116666667</v>
      </c>
      <c r="U49" s="14">
        <f t="shared" si="8"/>
        <v>-6.883333333</v>
      </c>
      <c r="V49" s="9" t="str">
        <f t="shared" si="9"/>
        <v>Low Performance</v>
      </c>
      <c r="W49" s="9"/>
    </row>
    <row r="50" ht="15.75" customHeight="1">
      <c r="A50" s="6">
        <v>46270.0</v>
      </c>
      <c r="B50" s="22" t="s">
        <v>50</v>
      </c>
      <c r="C50" s="24" t="s">
        <v>48</v>
      </c>
      <c r="D50" s="24" t="s">
        <v>27</v>
      </c>
      <c r="E50" s="10">
        <v>0.0</v>
      </c>
      <c r="F50" s="9">
        <f t="shared" si="1"/>
        <v>0</v>
      </c>
      <c r="G50" s="11">
        <v>0.0</v>
      </c>
      <c r="H50" s="9">
        <f t="shared" si="2"/>
        <v>0</v>
      </c>
      <c r="I50" s="11">
        <v>0.0</v>
      </c>
      <c r="J50" s="9">
        <f t="shared" si="10"/>
        <v>0</v>
      </c>
      <c r="K50" s="11">
        <v>50.0</v>
      </c>
      <c r="L50" s="11">
        <v>43.0</v>
      </c>
      <c r="M50" s="14">
        <f t="shared" si="4"/>
        <v>0.86</v>
      </c>
      <c r="N50" s="11">
        <v>2.0</v>
      </c>
      <c r="O50" s="14">
        <f t="shared" si="5"/>
        <v>1.333333333</v>
      </c>
      <c r="P50" s="11">
        <v>1.0</v>
      </c>
      <c r="Q50" s="15">
        <v>0.75</v>
      </c>
      <c r="R50" s="9">
        <v>10.0</v>
      </c>
      <c r="S50" s="16">
        <f t="shared" si="6"/>
        <v>3.943333333</v>
      </c>
      <c r="T50" s="17">
        <f t="shared" si="7"/>
        <v>0.3943333333</v>
      </c>
      <c r="U50" s="14">
        <f t="shared" si="8"/>
        <v>-6.056666667</v>
      </c>
      <c r="V50" s="9" t="str">
        <f t="shared" si="9"/>
        <v>Low Performance</v>
      </c>
      <c r="W50" s="9"/>
    </row>
    <row r="51" ht="15.75" customHeight="1">
      <c r="A51" s="6">
        <v>46271.0</v>
      </c>
      <c r="B51" s="7" t="s">
        <v>28</v>
      </c>
      <c r="C51" s="9" t="s">
        <v>29</v>
      </c>
      <c r="D51" s="9" t="s">
        <v>27</v>
      </c>
      <c r="E51" s="10">
        <v>0.0</v>
      </c>
      <c r="F51" s="9">
        <f t="shared" si="1"/>
        <v>0</v>
      </c>
      <c r="G51" s="11">
        <v>0.0</v>
      </c>
      <c r="H51" s="9">
        <f t="shared" si="2"/>
        <v>0</v>
      </c>
      <c r="I51" s="11">
        <v>0.0</v>
      </c>
      <c r="J51" s="9">
        <f t="shared" si="10"/>
        <v>0</v>
      </c>
      <c r="K51" s="11">
        <v>117.0</v>
      </c>
      <c r="L51" s="11">
        <v>50.0</v>
      </c>
      <c r="M51" s="14">
        <f t="shared" si="4"/>
        <v>1</v>
      </c>
      <c r="N51" s="11">
        <v>2.0</v>
      </c>
      <c r="O51" s="14">
        <f t="shared" si="5"/>
        <v>1.333333333</v>
      </c>
      <c r="P51" s="11">
        <v>1.0</v>
      </c>
      <c r="Q51" s="15">
        <v>1.0</v>
      </c>
      <c r="R51" s="9">
        <v>10.0</v>
      </c>
      <c r="S51" s="16">
        <f t="shared" si="6"/>
        <v>4.333333333</v>
      </c>
      <c r="T51" s="17">
        <f t="shared" si="7"/>
        <v>0.4333333333</v>
      </c>
      <c r="U51" s="14">
        <f t="shared" si="8"/>
        <v>-5.666666667</v>
      </c>
      <c r="V51" s="9" t="str">
        <f t="shared" si="9"/>
        <v>Low Performance</v>
      </c>
      <c r="W51" s="9"/>
    </row>
    <row r="52" ht="15.75" customHeight="1">
      <c r="A52" s="6">
        <v>46271.0</v>
      </c>
      <c r="B52" s="7" t="s">
        <v>36</v>
      </c>
      <c r="C52" s="9" t="s">
        <v>29</v>
      </c>
      <c r="D52" s="9" t="s">
        <v>27</v>
      </c>
      <c r="E52" s="10">
        <v>0.0</v>
      </c>
      <c r="F52" s="9">
        <f t="shared" si="1"/>
        <v>0</v>
      </c>
      <c r="G52" s="11">
        <v>0.0</v>
      </c>
      <c r="H52" s="9">
        <f t="shared" si="2"/>
        <v>0</v>
      </c>
      <c r="I52" s="11">
        <v>1.0</v>
      </c>
      <c r="J52" s="9">
        <f t="shared" si="10"/>
        <v>1</v>
      </c>
      <c r="K52" s="11">
        <v>63.0</v>
      </c>
      <c r="L52" s="11">
        <v>50.0</v>
      </c>
      <c r="M52" s="14">
        <f t="shared" si="4"/>
        <v>1</v>
      </c>
      <c r="N52" s="11">
        <v>2.0</v>
      </c>
      <c r="O52" s="14">
        <f t="shared" si="5"/>
        <v>1.333333333</v>
      </c>
      <c r="P52" s="11">
        <v>1.0</v>
      </c>
      <c r="Q52" s="15">
        <v>1.0</v>
      </c>
      <c r="R52" s="9">
        <v>10.0</v>
      </c>
      <c r="S52" s="16">
        <f t="shared" si="6"/>
        <v>5.333333333</v>
      </c>
      <c r="T52" s="17">
        <f t="shared" si="7"/>
        <v>0.5333333333</v>
      </c>
      <c r="U52" s="14">
        <f t="shared" si="8"/>
        <v>-4.666666667</v>
      </c>
      <c r="V52" s="9" t="str">
        <f t="shared" si="9"/>
        <v>Average</v>
      </c>
      <c r="W52" s="9"/>
    </row>
    <row r="53" ht="15.75" customHeight="1">
      <c r="A53" s="6">
        <v>46271.0</v>
      </c>
      <c r="B53" s="7" t="s">
        <v>37</v>
      </c>
      <c r="C53" s="9" t="s">
        <v>29</v>
      </c>
      <c r="D53" s="9" t="s">
        <v>27</v>
      </c>
      <c r="E53" s="25">
        <v>0.0</v>
      </c>
      <c r="F53" s="26">
        <f t="shared" si="1"/>
        <v>0</v>
      </c>
      <c r="G53" s="27">
        <v>0.0</v>
      </c>
      <c r="H53" s="26">
        <f t="shared" si="2"/>
        <v>0</v>
      </c>
      <c r="I53" s="27">
        <v>0.0</v>
      </c>
      <c r="J53" s="26">
        <f t="shared" si="10"/>
        <v>0</v>
      </c>
      <c r="K53" s="27">
        <v>0.0</v>
      </c>
      <c r="L53" s="27">
        <v>0.0</v>
      </c>
      <c r="M53" s="29">
        <f t="shared" si="4"/>
        <v>0</v>
      </c>
      <c r="N53" s="26"/>
      <c r="O53" s="29">
        <f t="shared" si="5"/>
        <v>0</v>
      </c>
      <c r="P53" s="27">
        <v>0.0</v>
      </c>
      <c r="Q53" s="30">
        <v>0.0</v>
      </c>
      <c r="R53" s="26">
        <v>10.0</v>
      </c>
      <c r="S53" s="29">
        <f t="shared" si="6"/>
        <v>0</v>
      </c>
      <c r="T53" s="28">
        <f t="shared" si="7"/>
        <v>0</v>
      </c>
      <c r="U53" s="29">
        <f t="shared" si="8"/>
        <v>-10</v>
      </c>
      <c r="V53" s="26" t="str">
        <f t="shared" si="9"/>
        <v>Low Performance</v>
      </c>
      <c r="W53" s="31" t="s">
        <v>51</v>
      </c>
    </row>
    <row r="54" ht="15.75" customHeight="1">
      <c r="A54" s="6">
        <v>46271.0</v>
      </c>
      <c r="B54" s="7" t="s">
        <v>38</v>
      </c>
      <c r="C54" s="9" t="s">
        <v>29</v>
      </c>
      <c r="D54" s="9" t="s">
        <v>27</v>
      </c>
      <c r="E54" s="10">
        <v>1900000.0</v>
      </c>
      <c r="F54" s="9">
        <f t="shared" si="1"/>
        <v>3</v>
      </c>
      <c r="G54" s="11">
        <v>1.0</v>
      </c>
      <c r="H54" s="9">
        <f t="shared" si="2"/>
        <v>1</v>
      </c>
      <c r="I54" s="11">
        <v>2.0</v>
      </c>
      <c r="J54" s="9">
        <f t="shared" si="10"/>
        <v>1</v>
      </c>
      <c r="K54" s="11">
        <v>75.0</v>
      </c>
      <c r="L54" s="11">
        <v>50.0</v>
      </c>
      <c r="M54" s="14">
        <f t="shared" si="4"/>
        <v>1</v>
      </c>
      <c r="N54" s="11">
        <v>3.0</v>
      </c>
      <c r="O54" s="14">
        <f t="shared" si="5"/>
        <v>2</v>
      </c>
      <c r="P54" s="11">
        <v>1.0</v>
      </c>
      <c r="Q54" s="15">
        <v>1.0</v>
      </c>
      <c r="R54" s="9">
        <v>10.0</v>
      </c>
      <c r="S54" s="16">
        <f t="shared" si="6"/>
        <v>10</v>
      </c>
      <c r="T54" s="17">
        <f t="shared" si="7"/>
        <v>1</v>
      </c>
      <c r="U54" s="14">
        <f t="shared" si="8"/>
        <v>0</v>
      </c>
      <c r="V54" s="9" t="str">
        <f t="shared" si="9"/>
        <v>Achieved</v>
      </c>
      <c r="W54" s="9"/>
    </row>
    <row r="55" ht="15.75" customHeight="1">
      <c r="A55" s="6">
        <v>46271.0</v>
      </c>
      <c r="B55" s="20" t="s">
        <v>39</v>
      </c>
      <c r="C55" s="9" t="s">
        <v>40</v>
      </c>
      <c r="D55" s="9" t="s">
        <v>27</v>
      </c>
      <c r="E55" s="10">
        <v>0.0</v>
      </c>
      <c r="F55" s="9">
        <f t="shared" si="1"/>
        <v>0</v>
      </c>
      <c r="G55" s="11">
        <v>0.0</v>
      </c>
      <c r="H55" s="9">
        <f t="shared" si="2"/>
        <v>0</v>
      </c>
      <c r="I55" s="11">
        <v>0.0</v>
      </c>
      <c r="J55" s="9">
        <f t="shared" si="10"/>
        <v>0</v>
      </c>
      <c r="K55" s="11">
        <v>72.0</v>
      </c>
      <c r="L55" s="11">
        <v>50.0</v>
      </c>
      <c r="M55" s="14">
        <f t="shared" si="4"/>
        <v>1</v>
      </c>
      <c r="N55" s="11">
        <v>2.0</v>
      </c>
      <c r="O55" s="14">
        <f t="shared" si="5"/>
        <v>1.333333333</v>
      </c>
      <c r="P55" s="11">
        <v>1.0</v>
      </c>
      <c r="Q55" s="15">
        <v>1.0</v>
      </c>
      <c r="R55" s="9">
        <v>10.0</v>
      </c>
      <c r="S55" s="16">
        <f t="shared" si="6"/>
        <v>4.333333333</v>
      </c>
      <c r="T55" s="17">
        <f t="shared" si="7"/>
        <v>0.4333333333</v>
      </c>
      <c r="U55" s="14">
        <f t="shared" si="8"/>
        <v>-5.666666667</v>
      </c>
      <c r="V55" s="9" t="str">
        <f t="shared" si="9"/>
        <v>Low Performance</v>
      </c>
      <c r="W55" s="9"/>
    </row>
    <row r="56" ht="15.75" customHeight="1">
      <c r="A56" s="6">
        <v>46271.0</v>
      </c>
      <c r="B56" s="7" t="s">
        <v>41</v>
      </c>
      <c r="C56" s="9" t="s">
        <v>40</v>
      </c>
      <c r="D56" s="9" t="s">
        <v>27</v>
      </c>
      <c r="E56" s="10">
        <v>0.0</v>
      </c>
      <c r="F56" s="9">
        <f t="shared" si="1"/>
        <v>0</v>
      </c>
      <c r="G56" s="11">
        <v>0.0</v>
      </c>
      <c r="H56" s="9">
        <f t="shared" si="2"/>
        <v>0</v>
      </c>
      <c r="I56" s="11">
        <v>0.0</v>
      </c>
      <c r="J56" s="9">
        <f t="shared" si="10"/>
        <v>0</v>
      </c>
      <c r="K56" s="11">
        <v>80.0</v>
      </c>
      <c r="L56" s="11">
        <v>45.0</v>
      </c>
      <c r="M56" s="14">
        <f t="shared" si="4"/>
        <v>0.9</v>
      </c>
      <c r="N56" s="11">
        <v>1.0</v>
      </c>
      <c r="O56" s="14">
        <f t="shared" si="5"/>
        <v>0.6666666667</v>
      </c>
      <c r="P56" s="11">
        <v>1.0</v>
      </c>
      <c r="Q56" s="15">
        <v>1.0</v>
      </c>
      <c r="R56" s="9">
        <v>10.0</v>
      </c>
      <c r="S56" s="16">
        <f t="shared" si="6"/>
        <v>3.566666667</v>
      </c>
      <c r="T56" s="17">
        <f t="shared" si="7"/>
        <v>0.3566666667</v>
      </c>
      <c r="U56" s="14">
        <f t="shared" si="8"/>
        <v>-6.433333333</v>
      </c>
      <c r="V56" s="9" t="str">
        <f t="shared" si="9"/>
        <v>Low Performance</v>
      </c>
      <c r="W56" s="9"/>
    </row>
    <row r="57" ht="15.75" customHeight="1">
      <c r="A57" s="6">
        <v>46271.0</v>
      </c>
      <c r="B57" s="7" t="s">
        <v>42</v>
      </c>
      <c r="C57" s="9" t="s">
        <v>40</v>
      </c>
      <c r="D57" s="9" t="s">
        <v>27</v>
      </c>
      <c r="E57" s="10">
        <v>0.0</v>
      </c>
      <c r="F57" s="9">
        <f t="shared" si="1"/>
        <v>0</v>
      </c>
      <c r="G57" s="11">
        <v>0.0</v>
      </c>
      <c r="H57" s="9">
        <f t="shared" si="2"/>
        <v>0</v>
      </c>
      <c r="I57" s="11">
        <v>0.0</v>
      </c>
      <c r="J57" s="9">
        <f t="shared" si="10"/>
        <v>0</v>
      </c>
      <c r="K57" s="11">
        <v>61.0</v>
      </c>
      <c r="L57" s="11">
        <v>50.0</v>
      </c>
      <c r="M57" s="14">
        <f t="shared" si="4"/>
        <v>1</v>
      </c>
      <c r="N57" s="11">
        <v>2.0</v>
      </c>
      <c r="O57" s="14">
        <f t="shared" si="5"/>
        <v>1.333333333</v>
      </c>
      <c r="P57" s="11">
        <v>1.0</v>
      </c>
      <c r="Q57" s="15">
        <v>1.0</v>
      </c>
      <c r="R57" s="9">
        <v>10.0</v>
      </c>
      <c r="S57" s="16">
        <f t="shared" si="6"/>
        <v>4.333333333</v>
      </c>
      <c r="T57" s="17">
        <f t="shared" si="7"/>
        <v>0.4333333333</v>
      </c>
      <c r="U57" s="14">
        <f t="shared" si="8"/>
        <v>-5.666666667</v>
      </c>
      <c r="V57" s="9" t="str">
        <f t="shared" si="9"/>
        <v>Low Performance</v>
      </c>
      <c r="W57" s="9"/>
    </row>
    <row r="58" ht="15.75" customHeight="1">
      <c r="A58" s="6">
        <v>46271.0</v>
      </c>
      <c r="B58" s="7" t="s">
        <v>43</v>
      </c>
      <c r="C58" s="9" t="s">
        <v>40</v>
      </c>
      <c r="D58" s="9" t="s">
        <v>27</v>
      </c>
      <c r="E58" s="10">
        <v>0.0</v>
      </c>
      <c r="F58" s="9">
        <f t="shared" si="1"/>
        <v>0</v>
      </c>
      <c r="G58" s="11">
        <v>0.0</v>
      </c>
      <c r="H58" s="9">
        <f t="shared" si="2"/>
        <v>0</v>
      </c>
      <c r="I58" s="11">
        <v>1.0</v>
      </c>
      <c r="J58" s="9">
        <f t="shared" si="10"/>
        <v>1</v>
      </c>
      <c r="K58" s="11">
        <v>55.0</v>
      </c>
      <c r="L58" s="11">
        <v>50.0</v>
      </c>
      <c r="M58" s="14">
        <f t="shared" si="4"/>
        <v>1</v>
      </c>
      <c r="N58" s="11">
        <v>2.0</v>
      </c>
      <c r="O58" s="14">
        <f t="shared" si="5"/>
        <v>1.333333333</v>
      </c>
      <c r="P58" s="11">
        <v>1.0</v>
      </c>
      <c r="Q58" s="15">
        <v>1.0</v>
      </c>
      <c r="R58" s="9">
        <v>10.0</v>
      </c>
      <c r="S58" s="16">
        <f t="shared" si="6"/>
        <v>5.333333333</v>
      </c>
      <c r="T58" s="17">
        <f t="shared" si="7"/>
        <v>0.5333333333</v>
      </c>
      <c r="U58" s="14">
        <f t="shared" si="8"/>
        <v>-4.666666667</v>
      </c>
      <c r="V58" s="9" t="str">
        <f t="shared" si="9"/>
        <v>Average</v>
      </c>
      <c r="W58" s="9"/>
    </row>
    <row r="59" ht="15.75" customHeight="1">
      <c r="A59" s="6">
        <v>46271.0</v>
      </c>
      <c r="B59" s="7" t="s">
        <v>47</v>
      </c>
      <c r="C59" s="9" t="s">
        <v>48</v>
      </c>
      <c r="D59" s="9" t="s">
        <v>27</v>
      </c>
      <c r="E59" s="10">
        <v>0.0</v>
      </c>
      <c r="F59" s="9">
        <f t="shared" si="1"/>
        <v>0</v>
      </c>
      <c r="G59" s="11">
        <v>0.0</v>
      </c>
      <c r="H59" s="9">
        <f t="shared" si="2"/>
        <v>0</v>
      </c>
      <c r="I59" s="11">
        <v>0.0</v>
      </c>
      <c r="J59" s="9">
        <f t="shared" si="10"/>
        <v>0</v>
      </c>
      <c r="K59" s="11">
        <v>57.0</v>
      </c>
      <c r="L59" s="11">
        <v>38.0</v>
      </c>
      <c r="M59" s="14">
        <f t="shared" si="4"/>
        <v>0.76</v>
      </c>
      <c r="N59" s="11">
        <v>1.0</v>
      </c>
      <c r="O59" s="14">
        <f t="shared" si="5"/>
        <v>0.6666666667</v>
      </c>
      <c r="P59" s="11">
        <v>1.0</v>
      </c>
      <c r="Q59" s="15">
        <v>0.75</v>
      </c>
      <c r="R59" s="9">
        <v>10.0</v>
      </c>
      <c r="S59" s="16">
        <f t="shared" si="6"/>
        <v>3.176666667</v>
      </c>
      <c r="T59" s="17">
        <f t="shared" si="7"/>
        <v>0.3176666667</v>
      </c>
      <c r="U59" s="14">
        <f t="shared" si="8"/>
        <v>-6.823333333</v>
      </c>
      <c r="V59" s="9" t="str">
        <f t="shared" si="9"/>
        <v>Low Performance</v>
      </c>
      <c r="W59" s="9"/>
    </row>
    <row r="60" ht="15.75" customHeight="1">
      <c r="A60" s="6">
        <v>46271.0</v>
      </c>
      <c r="B60" s="7" t="s">
        <v>45</v>
      </c>
      <c r="C60" s="9" t="s">
        <v>48</v>
      </c>
      <c r="D60" s="9" t="s">
        <v>27</v>
      </c>
      <c r="E60" s="10">
        <v>100000.0</v>
      </c>
      <c r="F60" s="9">
        <f t="shared" si="1"/>
        <v>3</v>
      </c>
      <c r="G60" s="11">
        <v>1.0</v>
      </c>
      <c r="H60" s="9">
        <f t="shared" si="2"/>
        <v>1</v>
      </c>
      <c r="I60" s="11">
        <v>0.0</v>
      </c>
      <c r="J60" s="9">
        <f t="shared" si="10"/>
        <v>0</v>
      </c>
      <c r="K60" s="11">
        <v>60.0</v>
      </c>
      <c r="L60" s="11">
        <v>40.0</v>
      </c>
      <c r="M60" s="14">
        <f t="shared" si="4"/>
        <v>0.8</v>
      </c>
      <c r="N60" s="11">
        <v>2.0</v>
      </c>
      <c r="O60" s="14">
        <f t="shared" si="5"/>
        <v>1.333333333</v>
      </c>
      <c r="P60" s="11">
        <v>1.0</v>
      </c>
      <c r="Q60" s="15">
        <v>1.0</v>
      </c>
      <c r="R60" s="9">
        <v>10.0</v>
      </c>
      <c r="S60" s="16">
        <f t="shared" si="6"/>
        <v>8.133333333</v>
      </c>
      <c r="T60" s="17">
        <f t="shared" si="7"/>
        <v>0.8133333333</v>
      </c>
      <c r="U60" s="14">
        <f t="shared" si="8"/>
        <v>-1.866666667</v>
      </c>
      <c r="V60" s="9" t="str">
        <f t="shared" si="9"/>
        <v>Near Target</v>
      </c>
      <c r="W60" s="9"/>
    </row>
    <row r="61" ht="15.75" customHeight="1">
      <c r="A61" s="6">
        <v>46271.0</v>
      </c>
      <c r="B61" s="7" t="s">
        <v>49</v>
      </c>
      <c r="C61" s="9" t="s">
        <v>48</v>
      </c>
      <c r="D61" s="9" t="s">
        <v>27</v>
      </c>
      <c r="E61" s="10">
        <v>0.0</v>
      </c>
      <c r="F61" s="9">
        <f t="shared" si="1"/>
        <v>0</v>
      </c>
      <c r="G61" s="11">
        <v>0.0</v>
      </c>
      <c r="H61" s="9">
        <f t="shared" si="2"/>
        <v>0</v>
      </c>
      <c r="I61" s="11">
        <v>1.0</v>
      </c>
      <c r="J61" s="9">
        <f t="shared" si="10"/>
        <v>1</v>
      </c>
      <c r="K61" s="11">
        <v>53.0</v>
      </c>
      <c r="L61" s="11">
        <v>50.0</v>
      </c>
      <c r="M61" s="14">
        <f t="shared" si="4"/>
        <v>1</v>
      </c>
      <c r="N61" s="11">
        <v>1.0</v>
      </c>
      <c r="O61" s="14">
        <f t="shared" si="5"/>
        <v>0.6666666667</v>
      </c>
      <c r="P61" s="11">
        <v>1.0</v>
      </c>
      <c r="Q61" s="15">
        <v>1.0</v>
      </c>
      <c r="R61" s="9">
        <v>10.0</v>
      </c>
      <c r="S61" s="16">
        <f t="shared" si="6"/>
        <v>4.666666667</v>
      </c>
      <c r="T61" s="17">
        <f t="shared" si="7"/>
        <v>0.4666666667</v>
      </c>
      <c r="U61" s="14">
        <f t="shared" si="8"/>
        <v>-5.333333333</v>
      </c>
      <c r="V61" s="9" t="str">
        <f t="shared" si="9"/>
        <v>Low Performance</v>
      </c>
      <c r="W61" s="9"/>
    </row>
    <row r="62" ht="15.75" customHeight="1">
      <c r="A62" s="6">
        <v>46271.0</v>
      </c>
      <c r="B62" s="22" t="s">
        <v>50</v>
      </c>
      <c r="C62" s="24" t="s">
        <v>48</v>
      </c>
      <c r="D62" s="24" t="s">
        <v>27</v>
      </c>
      <c r="E62" s="10">
        <v>0.0</v>
      </c>
      <c r="F62" s="9">
        <f t="shared" si="1"/>
        <v>0</v>
      </c>
      <c r="G62" s="11">
        <v>0.0</v>
      </c>
      <c r="H62" s="9">
        <f t="shared" si="2"/>
        <v>0</v>
      </c>
      <c r="I62" s="11">
        <v>1.0</v>
      </c>
      <c r="J62" s="9">
        <f t="shared" si="10"/>
        <v>1</v>
      </c>
      <c r="K62" s="11">
        <v>56.0</v>
      </c>
      <c r="L62" s="11">
        <v>50.0</v>
      </c>
      <c r="M62" s="14">
        <f t="shared" si="4"/>
        <v>1</v>
      </c>
      <c r="N62" s="11">
        <v>2.0</v>
      </c>
      <c r="O62" s="14">
        <f t="shared" si="5"/>
        <v>1.333333333</v>
      </c>
      <c r="P62" s="11">
        <v>1.0</v>
      </c>
      <c r="Q62" s="15">
        <v>1.0</v>
      </c>
      <c r="R62" s="9">
        <v>10.0</v>
      </c>
      <c r="S62" s="16">
        <f t="shared" si="6"/>
        <v>5.333333333</v>
      </c>
      <c r="T62" s="17">
        <f t="shared" si="7"/>
        <v>0.5333333333</v>
      </c>
      <c r="U62" s="14">
        <f t="shared" si="8"/>
        <v>-4.666666667</v>
      </c>
      <c r="V62" s="9" t="str">
        <f t="shared" si="9"/>
        <v>Average</v>
      </c>
      <c r="W62" s="9"/>
    </row>
    <row r="63" ht="15.75" customHeight="1">
      <c r="A63" s="6">
        <v>46272.0</v>
      </c>
      <c r="B63" s="7" t="s">
        <v>28</v>
      </c>
      <c r="C63" s="9" t="s">
        <v>29</v>
      </c>
      <c r="D63" s="9" t="s">
        <v>27</v>
      </c>
      <c r="E63" s="10">
        <v>0.0</v>
      </c>
      <c r="F63" s="9">
        <f t="shared" si="1"/>
        <v>0</v>
      </c>
      <c r="G63" s="11">
        <v>0.0</v>
      </c>
      <c r="H63" s="9">
        <f t="shared" si="2"/>
        <v>0</v>
      </c>
      <c r="I63" s="11">
        <v>0.0</v>
      </c>
      <c r="J63" s="9">
        <f t="shared" si="10"/>
        <v>0</v>
      </c>
      <c r="K63" s="11">
        <v>116.0</v>
      </c>
      <c r="L63" s="11">
        <v>50.0</v>
      </c>
      <c r="M63" s="14">
        <f t="shared" si="4"/>
        <v>1</v>
      </c>
      <c r="N63" s="11">
        <v>3.0</v>
      </c>
      <c r="O63" s="14">
        <f t="shared" si="5"/>
        <v>2</v>
      </c>
      <c r="P63" s="11">
        <v>1.0</v>
      </c>
      <c r="Q63" s="15">
        <v>1.0</v>
      </c>
      <c r="R63" s="9">
        <v>10.0</v>
      </c>
      <c r="S63" s="16">
        <f t="shared" si="6"/>
        <v>5</v>
      </c>
      <c r="T63" s="17">
        <f t="shared" si="7"/>
        <v>0.5</v>
      </c>
      <c r="U63" s="14">
        <f t="shared" si="8"/>
        <v>-5</v>
      </c>
      <c r="V63" s="9" t="str">
        <f t="shared" si="9"/>
        <v>Average</v>
      </c>
      <c r="W63" s="9"/>
    </row>
    <row r="64" ht="15.75" customHeight="1">
      <c r="A64" s="6">
        <v>46272.0</v>
      </c>
      <c r="B64" s="7" t="s">
        <v>36</v>
      </c>
      <c r="C64" s="9" t="s">
        <v>29</v>
      </c>
      <c r="D64" s="9" t="s">
        <v>27</v>
      </c>
      <c r="E64" s="10">
        <v>0.0</v>
      </c>
      <c r="F64" s="9">
        <f t="shared" si="1"/>
        <v>0</v>
      </c>
      <c r="G64" s="11">
        <v>1.0</v>
      </c>
      <c r="H64" s="9">
        <f t="shared" si="2"/>
        <v>1</v>
      </c>
      <c r="I64" s="11">
        <v>1.0</v>
      </c>
      <c r="J64" s="9">
        <f t="shared" si="10"/>
        <v>1</v>
      </c>
      <c r="K64" s="11">
        <v>65.0</v>
      </c>
      <c r="L64" s="11">
        <v>48.0</v>
      </c>
      <c r="M64" s="14">
        <f t="shared" si="4"/>
        <v>0.96</v>
      </c>
      <c r="N64" s="11">
        <v>2.0</v>
      </c>
      <c r="O64" s="14">
        <f t="shared" si="5"/>
        <v>1.333333333</v>
      </c>
      <c r="P64" s="11">
        <v>1.0</v>
      </c>
      <c r="Q64" s="15">
        <v>1.0</v>
      </c>
      <c r="R64" s="9">
        <v>10.0</v>
      </c>
      <c r="S64" s="16">
        <f t="shared" si="6"/>
        <v>6.293333333</v>
      </c>
      <c r="T64" s="17">
        <f t="shared" si="7"/>
        <v>0.6293333333</v>
      </c>
      <c r="U64" s="14">
        <f t="shared" si="8"/>
        <v>-3.706666667</v>
      </c>
      <c r="V64" s="9" t="str">
        <f t="shared" si="9"/>
        <v>Average</v>
      </c>
      <c r="W64" s="9"/>
    </row>
    <row r="65" ht="15.75" customHeight="1">
      <c r="A65" s="6">
        <v>46272.0</v>
      </c>
      <c r="B65" s="7" t="s">
        <v>37</v>
      </c>
      <c r="C65" s="9" t="s">
        <v>29</v>
      </c>
      <c r="D65" s="9" t="s">
        <v>27</v>
      </c>
      <c r="E65" s="10">
        <v>0.0</v>
      </c>
      <c r="F65" s="9">
        <f t="shared" si="1"/>
        <v>0</v>
      </c>
      <c r="G65" s="11">
        <v>0.0</v>
      </c>
      <c r="H65" s="9">
        <f t="shared" si="2"/>
        <v>0</v>
      </c>
      <c r="I65" s="11">
        <v>1.0</v>
      </c>
      <c r="J65" s="9">
        <f t="shared" si="10"/>
        <v>1</v>
      </c>
      <c r="K65" s="11">
        <v>67.0</v>
      </c>
      <c r="L65" s="11">
        <v>50.0</v>
      </c>
      <c r="M65" s="14">
        <f t="shared" si="4"/>
        <v>1</v>
      </c>
      <c r="N65" s="11">
        <v>3.0</v>
      </c>
      <c r="O65" s="14">
        <f t="shared" si="5"/>
        <v>2</v>
      </c>
      <c r="P65" s="11">
        <v>1.0</v>
      </c>
      <c r="Q65" s="15">
        <v>1.0</v>
      </c>
      <c r="R65" s="9">
        <v>10.0</v>
      </c>
      <c r="S65" s="16">
        <f t="shared" si="6"/>
        <v>6</v>
      </c>
      <c r="T65" s="17">
        <f t="shared" si="7"/>
        <v>0.6</v>
      </c>
      <c r="U65" s="14">
        <f t="shared" si="8"/>
        <v>-4</v>
      </c>
      <c r="V65" s="9" t="str">
        <f t="shared" si="9"/>
        <v>Average</v>
      </c>
      <c r="W65" s="9"/>
    </row>
    <row r="66" ht="15.75" customHeight="1">
      <c r="A66" s="6">
        <v>46272.0</v>
      </c>
      <c r="B66" s="7" t="s">
        <v>38</v>
      </c>
      <c r="C66" s="9" t="s">
        <v>29</v>
      </c>
      <c r="D66" s="9" t="s">
        <v>27</v>
      </c>
      <c r="E66" s="10">
        <v>0.0</v>
      </c>
      <c r="F66" s="9">
        <f t="shared" si="1"/>
        <v>0</v>
      </c>
      <c r="G66" s="11">
        <v>0.0</v>
      </c>
      <c r="H66" s="9">
        <f t="shared" si="2"/>
        <v>0</v>
      </c>
      <c r="I66" s="11">
        <v>1.0</v>
      </c>
      <c r="J66" s="9">
        <f t="shared" si="10"/>
        <v>1</v>
      </c>
      <c r="K66" s="11">
        <v>75.0</v>
      </c>
      <c r="L66" s="11">
        <v>50.0</v>
      </c>
      <c r="M66" s="14">
        <f t="shared" si="4"/>
        <v>1</v>
      </c>
      <c r="N66" s="11">
        <v>3.0</v>
      </c>
      <c r="O66" s="14">
        <f t="shared" si="5"/>
        <v>2</v>
      </c>
      <c r="P66" s="11">
        <v>1.0</v>
      </c>
      <c r="Q66" s="15">
        <v>1.0</v>
      </c>
      <c r="R66" s="9">
        <v>10.0</v>
      </c>
      <c r="S66" s="16">
        <f t="shared" si="6"/>
        <v>6</v>
      </c>
      <c r="T66" s="17">
        <f t="shared" si="7"/>
        <v>0.6</v>
      </c>
      <c r="U66" s="14">
        <f t="shared" si="8"/>
        <v>-4</v>
      </c>
      <c r="V66" s="9" t="str">
        <f t="shared" si="9"/>
        <v>Average</v>
      </c>
      <c r="W66" s="9"/>
    </row>
    <row r="67" ht="15.75" customHeight="1">
      <c r="A67" s="6">
        <v>46272.0</v>
      </c>
      <c r="B67" s="20" t="s">
        <v>39</v>
      </c>
      <c r="C67" s="9" t="s">
        <v>40</v>
      </c>
      <c r="D67" s="9" t="s">
        <v>27</v>
      </c>
      <c r="E67" s="10">
        <v>0.0</v>
      </c>
      <c r="F67" s="9">
        <f t="shared" si="1"/>
        <v>0</v>
      </c>
      <c r="G67" s="11">
        <v>0.0</v>
      </c>
      <c r="H67" s="9">
        <f t="shared" si="2"/>
        <v>0</v>
      </c>
      <c r="I67" s="11">
        <v>1.0</v>
      </c>
      <c r="J67" s="9">
        <f t="shared" si="10"/>
        <v>1</v>
      </c>
      <c r="K67" s="11">
        <v>80.0</v>
      </c>
      <c r="L67" s="11">
        <v>42.0</v>
      </c>
      <c r="M67" s="14">
        <f t="shared" si="4"/>
        <v>0.84</v>
      </c>
      <c r="N67" s="11">
        <v>1.0</v>
      </c>
      <c r="O67" s="14">
        <f t="shared" si="5"/>
        <v>0.6666666667</v>
      </c>
      <c r="P67" s="11">
        <v>1.0</v>
      </c>
      <c r="Q67" s="15">
        <v>1.0</v>
      </c>
      <c r="R67" s="9">
        <v>10.0</v>
      </c>
      <c r="S67" s="16">
        <f t="shared" si="6"/>
        <v>4.506666667</v>
      </c>
      <c r="T67" s="17">
        <f t="shared" si="7"/>
        <v>0.4506666667</v>
      </c>
      <c r="U67" s="14">
        <f t="shared" si="8"/>
        <v>-5.493333333</v>
      </c>
      <c r="V67" s="9" t="str">
        <f t="shared" si="9"/>
        <v>Low Performance</v>
      </c>
      <c r="W67" s="9"/>
    </row>
    <row r="68" ht="15.75" customHeight="1">
      <c r="A68" s="6">
        <v>46272.0</v>
      </c>
      <c r="B68" s="7" t="s">
        <v>41</v>
      </c>
      <c r="C68" s="9" t="s">
        <v>40</v>
      </c>
      <c r="D68" s="9" t="s">
        <v>27</v>
      </c>
      <c r="E68" s="10">
        <v>0.0</v>
      </c>
      <c r="F68" s="9">
        <f t="shared" si="1"/>
        <v>0</v>
      </c>
      <c r="G68" s="11">
        <v>0.0</v>
      </c>
      <c r="H68" s="9">
        <f t="shared" si="2"/>
        <v>0</v>
      </c>
      <c r="I68" s="11">
        <v>1.0</v>
      </c>
      <c r="J68" s="9">
        <f t="shared" si="10"/>
        <v>1</v>
      </c>
      <c r="K68" s="11">
        <v>75.0</v>
      </c>
      <c r="L68" s="11">
        <v>50.0</v>
      </c>
      <c r="M68" s="14">
        <f t="shared" si="4"/>
        <v>1</v>
      </c>
      <c r="N68" s="11">
        <v>3.0</v>
      </c>
      <c r="O68" s="14">
        <f t="shared" si="5"/>
        <v>2</v>
      </c>
      <c r="P68" s="11">
        <v>1.0</v>
      </c>
      <c r="Q68" s="15">
        <v>1.0</v>
      </c>
      <c r="R68" s="9">
        <v>10.0</v>
      </c>
      <c r="S68" s="16">
        <f t="shared" si="6"/>
        <v>6</v>
      </c>
      <c r="T68" s="17">
        <f t="shared" si="7"/>
        <v>0.6</v>
      </c>
      <c r="U68" s="14">
        <f t="shared" si="8"/>
        <v>-4</v>
      </c>
      <c r="V68" s="9" t="str">
        <f t="shared" si="9"/>
        <v>Average</v>
      </c>
      <c r="W68" s="9"/>
    </row>
    <row r="69" ht="15.75" customHeight="1">
      <c r="A69" s="6">
        <v>46272.0</v>
      </c>
      <c r="B69" s="7" t="s">
        <v>42</v>
      </c>
      <c r="C69" s="9" t="s">
        <v>40</v>
      </c>
      <c r="D69" s="9" t="s">
        <v>27</v>
      </c>
      <c r="E69" s="10">
        <v>0.0</v>
      </c>
      <c r="F69" s="9">
        <f t="shared" si="1"/>
        <v>0</v>
      </c>
      <c r="G69" s="11">
        <v>0.0</v>
      </c>
      <c r="H69" s="9">
        <f t="shared" si="2"/>
        <v>0</v>
      </c>
      <c r="I69" s="11">
        <v>1.0</v>
      </c>
      <c r="J69" s="9">
        <f t="shared" si="10"/>
        <v>1</v>
      </c>
      <c r="K69" s="11">
        <v>62.0</v>
      </c>
      <c r="L69" s="11">
        <v>31.0</v>
      </c>
      <c r="M69" s="14">
        <f t="shared" si="4"/>
        <v>0.62</v>
      </c>
      <c r="N69" s="11">
        <v>2.0</v>
      </c>
      <c r="O69" s="14">
        <f t="shared" si="5"/>
        <v>1.333333333</v>
      </c>
      <c r="P69" s="11">
        <v>1.0</v>
      </c>
      <c r="Q69" s="15">
        <v>1.0</v>
      </c>
      <c r="R69" s="9">
        <v>10.0</v>
      </c>
      <c r="S69" s="16">
        <f t="shared" si="6"/>
        <v>4.953333333</v>
      </c>
      <c r="T69" s="17">
        <f t="shared" si="7"/>
        <v>0.4953333333</v>
      </c>
      <c r="U69" s="14">
        <f t="shared" si="8"/>
        <v>-5.046666667</v>
      </c>
      <c r="V69" s="9" t="str">
        <f t="shared" si="9"/>
        <v>Low Performance</v>
      </c>
      <c r="W69" s="9"/>
    </row>
    <row r="70" ht="15.75" customHeight="1">
      <c r="A70" s="6">
        <v>46272.0</v>
      </c>
      <c r="B70" s="7" t="s">
        <v>43</v>
      </c>
      <c r="C70" s="9" t="s">
        <v>40</v>
      </c>
      <c r="D70" s="9" t="s">
        <v>27</v>
      </c>
      <c r="E70" s="10">
        <v>0.0</v>
      </c>
      <c r="F70" s="9">
        <f t="shared" si="1"/>
        <v>0</v>
      </c>
      <c r="G70" s="11">
        <v>0.0</v>
      </c>
      <c r="H70" s="9">
        <f t="shared" si="2"/>
        <v>0</v>
      </c>
      <c r="I70" s="11">
        <v>1.0</v>
      </c>
      <c r="J70" s="9">
        <f t="shared" si="10"/>
        <v>1</v>
      </c>
      <c r="K70" s="11">
        <v>62.0</v>
      </c>
      <c r="L70" s="11">
        <v>50.0</v>
      </c>
      <c r="M70" s="14">
        <f t="shared" si="4"/>
        <v>1</v>
      </c>
      <c r="N70" s="11">
        <v>2.0</v>
      </c>
      <c r="O70" s="14">
        <f t="shared" si="5"/>
        <v>1.333333333</v>
      </c>
      <c r="P70" s="11">
        <v>1.0</v>
      </c>
      <c r="Q70" s="15">
        <v>1.0</v>
      </c>
      <c r="R70" s="9">
        <v>10.0</v>
      </c>
      <c r="S70" s="16">
        <f t="shared" si="6"/>
        <v>5.333333333</v>
      </c>
      <c r="T70" s="17">
        <f t="shared" si="7"/>
        <v>0.5333333333</v>
      </c>
      <c r="U70" s="14">
        <f t="shared" si="8"/>
        <v>-4.666666667</v>
      </c>
      <c r="V70" s="9" t="str">
        <f t="shared" si="9"/>
        <v>Average</v>
      </c>
      <c r="W70" s="9"/>
    </row>
    <row r="71" ht="15.75" customHeight="1">
      <c r="A71" s="6">
        <v>46272.0</v>
      </c>
      <c r="B71" s="7" t="s">
        <v>47</v>
      </c>
      <c r="C71" s="9" t="s">
        <v>48</v>
      </c>
      <c r="D71" s="9" t="s">
        <v>27</v>
      </c>
      <c r="E71" s="10">
        <v>0.0</v>
      </c>
      <c r="F71" s="9">
        <f t="shared" si="1"/>
        <v>0</v>
      </c>
      <c r="G71" s="11">
        <v>0.0</v>
      </c>
      <c r="H71" s="9">
        <f t="shared" si="2"/>
        <v>0</v>
      </c>
      <c r="I71" s="11">
        <v>0.0</v>
      </c>
      <c r="J71" s="9">
        <f t="shared" si="10"/>
        <v>0</v>
      </c>
      <c r="K71" s="11">
        <v>0.0</v>
      </c>
      <c r="L71" s="11">
        <v>0.0</v>
      </c>
      <c r="M71" s="14">
        <f t="shared" si="4"/>
        <v>0</v>
      </c>
      <c r="N71" s="11">
        <v>0.0</v>
      </c>
      <c r="O71" s="14">
        <f t="shared" si="5"/>
        <v>0</v>
      </c>
      <c r="P71" s="11">
        <v>1.0</v>
      </c>
      <c r="Q71" s="15">
        <v>1.0</v>
      </c>
      <c r="R71" s="9">
        <v>10.0</v>
      </c>
      <c r="S71" s="16">
        <f t="shared" si="6"/>
        <v>2</v>
      </c>
      <c r="T71" s="17">
        <f t="shared" si="7"/>
        <v>0.2</v>
      </c>
      <c r="U71" s="14">
        <f t="shared" si="8"/>
        <v>-8</v>
      </c>
      <c r="V71" s="9" t="str">
        <f t="shared" si="9"/>
        <v>Low Performance</v>
      </c>
      <c r="W71" s="9"/>
    </row>
    <row r="72" ht="15.75" customHeight="1">
      <c r="A72" s="6">
        <v>46272.0</v>
      </c>
      <c r="B72" s="7" t="s">
        <v>45</v>
      </c>
      <c r="C72" s="9" t="s">
        <v>48</v>
      </c>
      <c r="D72" s="9" t="s">
        <v>27</v>
      </c>
      <c r="E72" s="10">
        <v>0.0</v>
      </c>
      <c r="F72" s="9">
        <f t="shared" si="1"/>
        <v>0</v>
      </c>
      <c r="G72" s="11">
        <v>0.0</v>
      </c>
      <c r="H72" s="9">
        <f t="shared" si="2"/>
        <v>0</v>
      </c>
      <c r="I72" s="11">
        <v>1.0</v>
      </c>
      <c r="J72" s="9">
        <f t="shared" si="10"/>
        <v>1</v>
      </c>
      <c r="K72" s="11">
        <v>60.0</v>
      </c>
      <c r="L72" s="11">
        <v>50.0</v>
      </c>
      <c r="M72" s="14">
        <f t="shared" si="4"/>
        <v>1</v>
      </c>
      <c r="N72" s="11">
        <v>2.0</v>
      </c>
      <c r="O72" s="14">
        <f t="shared" si="5"/>
        <v>1.333333333</v>
      </c>
      <c r="P72" s="11">
        <v>1.0</v>
      </c>
      <c r="Q72" s="15">
        <v>1.0</v>
      </c>
      <c r="R72" s="9">
        <v>10.0</v>
      </c>
      <c r="S72" s="16">
        <f t="shared" si="6"/>
        <v>5.333333333</v>
      </c>
      <c r="T72" s="17">
        <f t="shared" si="7"/>
        <v>0.5333333333</v>
      </c>
      <c r="U72" s="14">
        <f t="shared" si="8"/>
        <v>-4.666666667</v>
      </c>
      <c r="V72" s="9" t="str">
        <f t="shared" si="9"/>
        <v>Average</v>
      </c>
      <c r="W72" s="9"/>
    </row>
    <row r="73" ht="15.75" customHeight="1">
      <c r="A73" s="6">
        <v>46272.0</v>
      </c>
      <c r="B73" s="7" t="s">
        <v>49</v>
      </c>
      <c r="C73" s="9" t="s">
        <v>48</v>
      </c>
      <c r="D73" s="9" t="s">
        <v>27</v>
      </c>
      <c r="E73" s="10">
        <v>0.0</v>
      </c>
      <c r="F73" s="9">
        <f t="shared" si="1"/>
        <v>0</v>
      </c>
      <c r="G73" s="11">
        <v>1.0</v>
      </c>
      <c r="H73" s="9">
        <f t="shared" si="2"/>
        <v>1</v>
      </c>
      <c r="I73" s="11">
        <v>1.0</v>
      </c>
      <c r="J73" s="9">
        <f t="shared" si="10"/>
        <v>1</v>
      </c>
      <c r="K73" s="11">
        <v>55.0</v>
      </c>
      <c r="L73" s="11">
        <v>50.0</v>
      </c>
      <c r="M73" s="14">
        <f t="shared" si="4"/>
        <v>1</v>
      </c>
      <c r="N73" s="11">
        <v>2.0</v>
      </c>
      <c r="O73" s="14">
        <f t="shared" si="5"/>
        <v>1.333333333</v>
      </c>
      <c r="P73" s="11">
        <v>1.0</v>
      </c>
      <c r="Q73" s="15">
        <v>1.0</v>
      </c>
      <c r="R73" s="9">
        <v>10.0</v>
      </c>
      <c r="S73" s="16">
        <f t="shared" si="6"/>
        <v>6.333333333</v>
      </c>
      <c r="T73" s="17">
        <f t="shared" si="7"/>
        <v>0.6333333333</v>
      </c>
      <c r="U73" s="14">
        <f t="shared" si="8"/>
        <v>-3.666666667</v>
      </c>
      <c r="V73" s="9" t="str">
        <f t="shared" si="9"/>
        <v>Average</v>
      </c>
      <c r="W73" s="9"/>
    </row>
    <row r="74" ht="15.75" customHeight="1">
      <c r="A74" s="6">
        <v>46272.0</v>
      </c>
      <c r="B74" s="22" t="s">
        <v>50</v>
      </c>
      <c r="C74" s="24" t="s">
        <v>48</v>
      </c>
      <c r="D74" s="24" t="s">
        <v>27</v>
      </c>
      <c r="E74" s="10">
        <v>0.0</v>
      </c>
      <c r="F74" s="9">
        <f t="shared" si="1"/>
        <v>0</v>
      </c>
      <c r="G74" s="11">
        <v>0.0</v>
      </c>
      <c r="H74" s="9">
        <f t="shared" si="2"/>
        <v>0</v>
      </c>
      <c r="I74" s="11">
        <v>1.0</v>
      </c>
      <c r="J74" s="9">
        <f t="shared" si="10"/>
        <v>1</v>
      </c>
      <c r="K74" s="11">
        <v>58.0</v>
      </c>
      <c r="L74" s="11">
        <v>50.0</v>
      </c>
      <c r="M74" s="14">
        <f t="shared" si="4"/>
        <v>1</v>
      </c>
      <c r="N74" s="11">
        <v>2.0</v>
      </c>
      <c r="O74" s="14">
        <f t="shared" si="5"/>
        <v>1.333333333</v>
      </c>
      <c r="P74" s="11">
        <v>1.0</v>
      </c>
      <c r="Q74" s="15">
        <v>1.0</v>
      </c>
      <c r="R74" s="9">
        <v>10.0</v>
      </c>
      <c r="S74" s="16">
        <f t="shared" si="6"/>
        <v>5.333333333</v>
      </c>
      <c r="T74" s="17">
        <f t="shared" si="7"/>
        <v>0.5333333333</v>
      </c>
      <c r="U74" s="14">
        <f t="shared" si="8"/>
        <v>-4.666666667</v>
      </c>
      <c r="V74" s="9" t="str">
        <f t="shared" si="9"/>
        <v>Average</v>
      </c>
      <c r="W74" s="9"/>
    </row>
    <row r="75" ht="15.75" customHeight="1">
      <c r="A75" s="6">
        <v>46273.0</v>
      </c>
      <c r="B75" s="7" t="s">
        <v>28</v>
      </c>
      <c r="C75" s="9" t="s">
        <v>29</v>
      </c>
      <c r="D75" s="9" t="s">
        <v>27</v>
      </c>
      <c r="E75" s="10">
        <v>0.0</v>
      </c>
      <c r="F75" s="9">
        <f t="shared" si="1"/>
        <v>0</v>
      </c>
      <c r="G75" s="11">
        <v>0.0</v>
      </c>
      <c r="H75" s="9">
        <f t="shared" si="2"/>
        <v>0</v>
      </c>
      <c r="I75" s="11">
        <v>0.0</v>
      </c>
      <c r="J75" s="9">
        <f t="shared" si="10"/>
        <v>0</v>
      </c>
      <c r="K75" s="11">
        <v>121.0</v>
      </c>
      <c r="L75" s="11">
        <v>50.0</v>
      </c>
      <c r="M75" s="14">
        <f t="shared" si="4"/>
        <v>1</v>
      </c>
      <c r="N75" s="11">
        <v>3.0</v>
      </c>
      <c r="O75" s="14">
        <f t="shared" si="5"/>
        <v>2</v>
      </c>
      <c r="P75" s="11">
        <v>1.0</v>
      </c>
      <c r="Q75" s="15">
        <v>1.0</v>
      </c>
      <c r="R75" s="9">
        <v>10.0</v>
      </c>
      <c r="S75" s="16">
        <f t="shared" si="6"/>
        <v>5</v>
      </c>
      <c r="T75" s="17">
        <f t="shared" si="7"/>
        <v>0.5</v>
      </c>
      <c r="U75" s="14">
        <f t="shared" si="8"/>
        <v>-5</v>
      </c>
      <c r="V75" s="9" t="str">
        <f t="shared" si="9"/>
        <v>Average</v>
      </c>
      <c r="W75" s="9"/>
    </row>
    <row r="76" ht="15.75" customHeight="1">
      <c r="A76" s="6">
        <v>46273.0</v>
      </c>
      <c r="B76" s="7" t="s">
        <v>36</v>
      </c>
      <c r="C76" s="9" t="s">
        <v>29</v>
      </c>
      <c r="D76" s="9" t="s">
        <v>27</v>
      </c>
      <c r="E76" s="10">
        <v>0.0</v>
      </c>
      <c r="F76" s="9">
        <f t="shared" si="1"/>
        <v>0</v>
      </c>
      <c r="G76" s="11">
        <v>0.0</v>
      </c>
      <c r="H76" s="9">
        <f t="shared" si="2"/>
        <v>0</v>
      </c>
      <c r="I76" s="11">
        <v>1.0</v>
      </c>
      <c r="J76" s="9">
        <f t="shared" si="10"/>
        <v>1</v>
      </c>
      <c r="K76" s="11">
        <v>52.0</v>
      </c>
      <c r="L76" s="11">
        <v>50.0</v>
      </c>
      <c r="M76" s="14">
        <f t="shared" si="4"/>
        <v>1</v>
      </c>
      <c r="N76" s="11">
        <v>2.0</v>
      </c>
      <c r="O76" s="14">
        <f t="shared" si="5"/>
        <v>1.333333333</v>
      </c>
      <c r="P76" s="11">
        <v>1.0</v>
      </c>
      <c r="Q76" s="15">
        <v>1.0</v>
      </c>
      <c r="R76" s="9">
        <v>10.0</v>
      </c>
      <c r="S76" s="16">
        <f t="shared" si="6"/>
        <v>5.333333333</v>
      </c>
      <c r="T76" s="17">
        <f t="shared" si="7"/>
        <v>0.5333333333</v>
      </c>
      <c r="U76" s="14">
        <f t="shared" si="8"/>
        <v>-4.666666667</v>
      </c>
      <c r="V76" s="9" t="str">
        <f t="shared" si="9"/>
        <v>Average</v>
      </c>
      <c r="W76" s="9"/>
    </row>
    <row r="77" ht="15.75" customHeight="1">
      <c r="A77" s="6">
        <v>46273.0</v>
      </c>
      <c r="B77" s="7" t="s">
        <v>37</v>
      </c>
      <c r="C77" s="9" t="s">
        <v>29</v>
      </c>
      <c r="D77" s="9" t="s">
        <v>27</v>
      </c>
      <c r="E77" s="10">
        <v>0.0</v>
      </c>
      <c r="F77" s="9">
        <f t="shared" si="1"/>
        <v>0</v>
      </c>
      <c r="G77" s="11">
        <v>0.0</v>
      </c>
      <c r="H77" s="9">
        <f t="shared" si="2"/>
        <v>0</v>
      </c>
      <c r="I77" s="11">
        <v>2.0</v>
      </c>
      <c r="J77" s="9">
        <f t="shared" si="10"/>
        <v>1</v>
      </c>
      <c r="K77" s="11">
        <v>68.0</v>
      </c>
      <c r="L77" s="11">
        <v>50.0</v>
      </c>
      <c r="M77" s="14">
        <f t="shared" si="4"/>
        <v>1</v>
      </c>
      <c r="N77" s="11">
        <v>3.0</v>
      </c>
      <c r="O77" s="14">
        <f t="shared" si="5"/>
        <v>2</v>
      </c>
      <c r="P77" s="11">
        <v>1.0</v>
      </c>
      <c r="Q77" s="15">
        <v>1.0</v>
      </c>
      <c r="R77" s="9">
        <v>10.0</v>
      </c>
      <c r="S77" s="16">
        <f t="shared" si="6"/>
        <v>6</v>
      </c>
      <c r="T77" s="17">
        <f t="shared" si="7"/>
        <v>0.6</v>
      </c>
      <c r="U77" s="14">
        <f t="shared" si="8"/>
        <v>-4</v>
      </c>
      <c r="V77" s="9" t="str">
        <f t="shared" si="9"/>
        <v>Average</v>
      </c>
      <c r="W77" s="9"/>
    </row>
    <row r="78" ht="15.75" customHeight="1">
      <c r="A78" s="6">
        <v>46273.0</v>
      </c>
      <c r="B78" s="7" t="s">
        <v>38</v>
      </c>
      <c r="C78" s="9" t="s">
        <v>29</v>
      </c>
      <c r="D78" s="9" t="s">
        <v>27</v>
      </c>
      <c r="E78" s="10">
        <v>300000.0</v>
      </c>
      <c r="F78" s="9">
        <f t="shared" si="1"/>
        <v>3</v>
      </c>
      <c r="G78" s="11">
        <v>0.0</v>
      </c>
      <c r="H78" s="9">
        <f t="shared" si="2"/>
        <v>0</v>
      </c>
      <c r="I78" s="11">
        <v>1.0</v>
      </c>
      <c r="J78" s="9">
        <f t="shared" si="10"/>
        <v>1</v>
      </c>
      <c r="K78" s="11">
        <v>73.0</v>
      </c>
      <c r="L78" s="11">
        <v>50.0</v>
      </c>
      <c r="M78" s="14">
        <f t="shared" si="4"/>
        <v>1</v>
      </c>
      <c r="N78" s="11">
        <v>3.0</v>
      </c>
      <c r="O78" s="14">
        <f t="shared" si="5"/>
        <v>2</v>
      </c>
      <c r="P78" s="11">
        <v>1.0</v>
      </c>
      <c r="Q78" s="15">
        <v>1.0</v>
      </c>
      <c r="R78" s="9">
        <v>10.0</v>
      </c>
      <c r="S78" s="16">
        <f t="shared" si="6"/>
        <v>9</v>
      </c>
      <c r="T78" s="17">
        <f t="shared" si="7"/>
        <v>0.9</v>
      </c>
      <c r="U78" s="14">
        <f t="shared" si="8"/>
        <v>-1</v>
      </c>
      <c r="V78" s="9" t="str">
        <f t="shared" si="9"/>
        <v>Near Target</v>
      </c>
      <c r="W78" s="9"/>
    </row>
    <row r="79" ht="15.75" customHeight="1">
      <c r="A79" s="6">
        <v>46273.0</v>
      </c>
      <c r="B79" s="20" t="s">
        <v>39</v>
      </c>
      <c r="C79" s="9" t="s">
        <v>40</v>
      </c>
      <c r="D79" s="9" t="s">
        <v>27</v>
      </c>
      <c r="E79" s="10">
        <v>0.0</v>
      </c>
      <c r="F79" s="9">
        <f t="shared" si="1"/>
        <v>0</v>
      </c>
      <c r="G79" s="11">
        <v>0.0</v>
      </c>
      <c r="H79" s="9">
        <f t="shared" si="2"/>
        <v>0</v>
      </c>
      <c r="I79" s="11">
        <v>1.0</v>
      </c>
      <c r="J79" s="9">
        <f t="shared" si="10"/>
        <v>1</v>
      </c>
      <c r="K79" s="11">
        <v>77.0</v>
      </c>
      <c r="L79" s="11">
        <v>50.0</v>
      </c>
      <c r="M79" s="14">
        <f t="shared" si="4"/>
        <v>1</v>
      </c>
      <c r="N79" s="11">
        <v>2.0</v>
      </c>
      <c r="O79" s="14">
        <f t="shared" si="5"/>
        <v>1.333333333</v>
      </c>
      <c r="P79" s="11">
        <v>1.0</v>
      </c>
      <c r="Q79" s="15">
        <v>1.0</v>
      </c>
      <c r="R79" s="9">
        <v>10.0</v>
      </c>
      <c r="S79" s="16">
        <f t="shared" si="6"/>
        <v>5.333333333</v>
      </c>
      <c r="T79" s="17">
        <f t="shared" si="7"/>
        <v>0.5333333333</v>
      </c>
      <c r="U79" s="14">
        <f t="shared" si="8"/>
        <v>-4.666666667</v>
      </c>
      <c r="V79" s="9" t="str">
        <f t="shared" si="9"/>
        <v>Average</v>
      </c>
      <c r="W79" s="9"/>
    </row>
    <row r="80" ht="15.75" customHeight="1">
      <c r="A80" s="6">
        <v>46273.0</v>
      </c>
      <c r="B80" s="7" t="s">
        <v>41</v>
      </c>
      <c r="C80" s="9" t="s">
        <v>40</v>
      </c>
      <c r="D80" s="9" t="s">
        <v>27</v>
      </c>
      <c r="E80" s="10">
        <v>0.0</v>
      </c>
      <c r="F80" s="9">
        <f t="shared" si="1"/>
        <v>0</v>
      </c>
      <c r="G80" s="11">
        <v>0.0</v>
      </c>
      <c r="H80" s="9">
        <f t="shared" si="2"/>
        <v>0</v>
      </c>
      <c r="I80" s="11">
        <v>1.0</v>
      </c>
      <c r="J80" s="9">
        <f t="shared" si="10"/>
        <v>1</v>
      </c>
      <c r="K80" s="11">
        <v>88.0</v>
      </c>
      <c r="L80" s="11">
        <v>50.0</v>
      </c>
      <c r="M80" s="14">
        <f t="shared" si="4"/>
        <v>1</v>
      </c>
      <c r="N80" s="11">
        <v>3.0</v>
      </c>
      <c r="O80" s="14">
        <f t="shared" si="5"/>
        <v>2</v>
      </c>
      <c r="P80" s="11">
        <v>1.0</v>
      </c>
      <c r="Q80" s="15">
        <v>1.0</v>
      </c>
      <c r="R80" s="9">
        <v>10.0</v>
      </c>
      <c r="S80" s="16">
        <f t="shared" si="6"/>
        <v>6</v>
      </c>
      <c r="T80" s="17">
        <f t="shared" si="7"/>
        <v>0.6</v>
      </c>
      <c r="U80" s="14">
        <f t="shared" si="8"/>
        <v>-4</v>
      </c>
      <c r="V80" s="9" t="str">
        <f t="shared" si="9"/>
        <v>Average</v>
      </c>
      <c r="W80" s="9"/>
    </row>
    <row r="81" ht="15.75" customHeight="1">
      <c r="A81" s="6">
        <v>46273.0</v>
      </c>
      <c r="B81" s="7" t="s">
        <v>42</v>
      </c>
      <c r="C81" s="9" t="s">
        <v>40</v>
      </c>
      <c r="D81" s="9" t="s">
        <v>27</v>
      </c>
      <c r="E81" s="10">
        <v>0.0</v>
      </c>
      <c r="F81" s="9">
        <f t="shared" si="1"/>
        <v>0</v>
      </c>
      <c r="G81" s="11">
        <v>0.0</v>
      </c>
      <c r="H81" s="9">
        <f t="shared" si="2"/>
        <v>0</v>
      </c>
      <c r="I81" s="11">
        <v>0.0</v>
      </c>
      <c r="J81" s="9">
        <f t="shared" si="10"/>
        <v>0</v>
      </c>
      <c r="K81" s="11">
        <v>62.0</v>
      </c>
      <c r="L81" s="11">
        <v>50.0</v>
      </c>
      <c r="M81" s="14">
        <f t="shared" si="4"/>
        <v>1</v>
      </c>
      <c r="N81" s="11">
        <v>3.0</v>
      </c>
      <c r="O81" s="14">
        <f t="shared" si="5"/>
        <v>2</v>
      </c>
      <c r="P81" s="11">
        <v>1.0</v>
      </c>
      <c r="Q81" s="15">
        <v>1.0</v>
      </c>
      <c r="R81" s="9">
        <v>10.0</v>
      </c>
      <c r="S81" s="16">
        <f t="shared" si="6"/>
        <v>5</v>
      </c>
      <c r="T81" s="17">
        <f t="shared" si="7"/>
        <v>0.5</v>
      </c>
      <c r="U81" s="14">
        <f t="shared" si="8"/>
        <v>-5</v>
      </c>
      <c r="V81" s="9" t="str">
        <f t="shared" si="9"/>
        <v>Average</v>
      </c>
      <c r="W81" s="9"/>
    </row>
    <row r="82" ht="15.75" customHeight="1">
      <c r="A82" s="6">
        <v>46273.0</v>
      </c>
      <c r="B82" s="7" t="s">
        <v>43</v>
      </c>
      <c r="C82" s="9" t="s">
        <v>40</v>
      </c>
      <c r="D82" s="9" t="s">
        <v>27</v>
      </c>
      <c r="E82" s="10">
        <v>0.0</v>
      </c>
      <c r="F82" s="9">
        <f t="shared" si="1"/>
        <v>0</v>
      </c>
      <c r="G82" s="11">
        <v>0.0</v>
      </c>
      <c r="H82" s="9">
        <f t="shared" si="2"/>
        <v>0</v>
      </c>
      <c r="I82" s="11">
        <v>1.0</v>
      </c>
      <c r="J82" s="9">
        <f t="shared" si="10"/>
        <v>1</v>
      </c>
      <c r="K82" s="11">
        <v>80.0</v>
      </c>
      <c r="L82" s="11">
        <v>50.0</v>
      </c>
      <c r="M82" s="14">
        <f t="shared" si="4"/>
        <v>1</v>
      </c>
      <c r="N82" s="11">
        <v>3.0</v>
      </c>
      <c r="O82" s="14">
        <f t="shared" si="5"/>
        <v>2</v>
      </c>
      <c r="P82" s="11">
        <v>1.0</v>
      </c>
      <c r="Q82" s="15">
        <v>1.0</v>
      </c>
      <c r="R82" s="9">
        <v>10.0</v>
      </c>
      <c r="S82" s="16">
        <f t="shared" si="6"/>
        <v>6</v>
      </c>
      <c r="T82" s="17">
        <f t="shared" si="7"/>
        <v>0.6</v>
      </c>
      <c r="U82" s="14">
        <f t="shared" si="8"/>
        <v>-4</v>
      </c>
      <c r="V82" s="9" t="str">
        <f t="shared" si="9"/>
        <v>Average</v>
      </c>
      <c r="W82" s="9"/>
    </row>
    <row r="83" ht="15.75" customHeight="1">
      <c r="A83" s="6">
        <v>46273.0</v>
      </c>
      <c r="B83" s="7" t="s">
        <v>47</v>
      </c>
      <c r="C83" s="9" t="s">
        <v>48</v>
      </c>
      <c r="D83" s="9" t="s">
        <v>27</v>
      </c>
      <c r="E83" s="10">
        <v>0.0</v>
      </c>
      <c r="F83" s="9">
        <f t="shared" si="1"/>
        <v>0</v>
      </c>
      <c r="G83" s="11">
        <v>0.0</v>
      </c>
      <c r="H83" s="9">
        <f t="shared" si="2"/>
        <v>0</v>
      </c>
      <c r="I83" s="11">
        <v>1.0</v>
      </c>
      <c r="J83" s="9">
        <f t="shared" si="10"/>
        <v>1</v>
      </c>
      <c r="K83" s="11">
        <v>68.0</v>
      </c>
      <c r="L83" s="11">
        <v>50.0</v>
      </c>
      <c r="M83" s="14">
        <f t="shared" si="4"/>
        <v>1</v>
      </c>
      <c r="N83" s="11">
        <v>2.0</v>
      </c>
      <c r="O83" s="14">
        <f t="shared" si="5"/>
        <v>1.333333333</v>
      </c>
      <c r="P83" s="11">
        <v>1.0</v>
      </c>
      <c r="Q83" s="15">
        <v>1.0</v>
      </c>
      <c r="R83" s="9">
        <v>10.0</v>
      </c>
      <c r="S83" s="16">
        <f t="shared" si="6"/>
        <v>5.333333333</v>
      </c>
      <c r="T83" s="17">
        <f t="shared" si="7"/>
        <v>0.5333333333</v>
      </c>
      <c r="U83" s="14">
        <f t="shared" si="8"/>
        <v>-4.666666667</v>
      </c>
      <c r="V83" s="9" t="str">
        <f t="shared" si="9"/>
        <v>Average</v>
      </c>
      <c r="W83" s="9"/>
    </row>
    <row r="84" ht="15.75" customHeight="1">
      <c r="A84" s="6">
        <v>46273.0</v>
      </c>
      <c r="B84" s="7" t="s">
        <v>45</v>
      </c>
      <c r="C84" s="9" t="s">
        <v>48</v>
      </c>
      <c r="D84" s="9" t="s">
        <v>27</v>
      </c>
      <c r="E84" s="10">
        <v>50000.0</v>
      </c>
      <c r="F84" s="9">
        <f t="shared" si="1"/>
        <v>3</v>
      </c>
      <c r="G84" s="11">
        <v>0.0</v>
      </c>
      <c r="H84" s="9">
        <f t="shared" si="2"/>
        <v>0</v>
      </c>
      <c r="I84" s="11">
        <v>1.0</v>
      </c>
      <c r="J84" s="9">
        <f t="shared" si="10"/>
        <v>1</v>
      </c>
      <c r="K84" s="11">
        <v>60.0</v>
      </c>
      <c r="L84" s="11">
        <v>50.0</v>
      </c>
      <c r="M84" s="14">
        <f t="shared" si="4"/>
        <v>1</v>
      </c>
      <c r="N84" s="11">
        <v>2.0</v>
      </c>
      <c r="O84" s="14">
        <f t="shared" si="5"/>
        <v>1.333333333</v>
      </c>
      <c r="P84" s="11">
        <v>1.0</v>
      </c>
      <c r="Q84" s="15">
        <v>1.0</v>
      </c>
      <c r="R84" s="9">
        <v>10.0</v>
      </c>
      <c r="S84" s="16">
        <f t="shared" si="6"/>
        <v>8.333333333</v>
      </c>
      <c r="T84" s="17">
        <f t="shared" si="7"/>
        <v>0.8333333333</v>
      </c>
      <c r="U84" s="14">
        <f t="shared" si="8"/>
        <v>-1.666666667</v>
      </c>
      <c r="V84" s="9" t="str">
        <f t="shared" si="9"/>
        <v>Near Target</v>
      </c>
      <c r="W84" s="9"/>
    </row>
    <row r="85" ht="15.75" customHeight="1">
      <c r="A85" s="6">
        <v>46273.0</v>
      </c>
      <c r="B85" s="7" t="s">
        <v>49</v>
      </c>
      <c r="C85" s="9" t="s">
        <v>48</v>
      </c>
      <c r="D85" s="9" t="s">
        <v>27</v>
      </c>
      <c r="E85" s="10">
        <v>0.0</v>
      </c>
      <c r="F85" s="9">
        <f t="shared" si="1"/>
        <v>0</v>
      </c>
      <c r="G85" s="11">
        <v>0.0</v>
      </c>
      <c r="H85" s="9">
        <f t="shared" si="2"/>
        <v>0</v>
      </c>
      <c r="I85" s="11">
        <v>1.0</v>
      </c>
      <c r="J85" s="9">
        <f t="shared" si="10"/>
        <v>1</v>
      </c>
      <c r="K85" s="11">
        <v>60.0</v>
      </c>
      <c r="L85" s="11">
        <v>50.0</v>
      </c>
      <c r="M85" s="14">
        <f t="shared" si="4"/>
        <v>1</v>
      </c>
      <c r="N85" s="11">
        <v>2.0</v>
      </c>
      <c r="O85" s="14">
        <f t="shared" si="5"/>
        <v>1.333333333</v>
      </c>
      <c r="P85" s="11">
        <v>1.0</v>
      </c>
      <c r="Q85" s="15">
        <v>1.0</v>
      </c>
      <c r="R85" s="9">
        <v>10.0</v>
      </c>
      <c r="S85" s="16">
        <f t="shared" si="6"/>
        <v>5.333333333</v>
      </c>
      <c r="T85" s="17">
        <f t="shared" si="7"/>
        <v>0.5333333333</v>
      </c>
      <c r="U85" s="14">
        <f t="shared" si="8"/>
        <v>-4.666666667</v>
      </c>
      <c r="V85" s="9" t="str">
        <f t="shared" si="9"/>
        <v>Average</v>
      </c>
      <c r="W85" s="9"/>
    </row>
    <row r="86" ht="15.75" customHeight="1">
      <c r="A86" s="6">
        <v>46273.0</v>
      </c>
      <c r="B86" s="22" t="s">
        <v>50</v>
      </c>
      <c r="C86" s="24" t="s">
        <v>48</v>
      </c>
      <c r="D86" s="24" t="s">
        <v>27</v>
      </c>
      <c r="E86" s="10">
        <v>0.0</v>
      </c>
      <c r="F86" s="9">
        <f t="shared" si="1"/>
        <v>0</v>
      </c>
      <c r="G86" s="11">
        <v>0.0</v>
      </c>
      <c r="H86" s="9">
        <f t="shared" si="2"/>
        <v>0</v>
      </c>
      <c r="I86" s="11">
        <v>1.0</v>
      </c>
      <c r="J86" s="9">
        <f t="shared" si="10"/>
        <v>1</v>
      </c>
      <c r="K86" s="11">
        <v>56.0</v>
      </c>
      <c r="L86" s="11">
        <v>50.0</v>
      </c>
      <c r="M86" s="14">
        <f t="shared" si="4"/>
        <v>1</v>
      </c>
      <c r="N86" s="11">
        <v>3.0</v>
      </c>
      <c r="O86" s="14">
        <f t="shared" si="5"/>
        <v>2</v>
      </c>
      <c r="P86" s="11">
        <v>1.0</v>
      </c>
      <c r="Q86" s="15">
        <v>1.0</v>
      </c>
      <c r="R86" s="9">
        <v>10.0</v>
      </c>
      <c r="S86" s="16">
        <f t="shared" si="6"/>
        <v>6</v>
      </c>
      <c r="T86" s="17">
        <f t="shared" si="7"/>
        <v>0.6</v>
      </c>
      <c r="U86" s="14">
        <f t="shared" si="8"/>
        <v>-4</v>
      </c>
      <c r="V86" s="9" t="str">
        <f t="shared" si="9"/>
        <v>Average</v>
      </c>
      <c r="W86" s="9"/>
    </row>
    <row r="87" ht="15.75" customHeight="1">
      <c r="A87" s="6">
        <v>46274.0</v>
      </c>
      <c r="B87" s="7" t="s">
        <v>28</v>
      </c>
      <c r="C87" s="9" t="s">
        <v>29</v>
      </c>
      <c r="D87" s="9" t="s">
        <v>27</v>
      </c>
      <c r="E87" s="10">
        <v>0.0</v>
      </c>
      <c r="F87" s="9">
        <f t="shared" si="1"/>
        <v>0</v>
      </c>
      <c r="G87" s="11">
        <v>0.0</v>
      </c>
      <c r="H87" s="9">
        <f t="shared" si="2"/>
        <v>0</v>
      </c>
      <c r="I87" s="11">
        <v>1.0</v>
      </c>
      <c r="J87" s="9">
        <f t="shared" si="10"/>
        <v>1</v>
      </c>
      <c r="K87" s="11">
        <v>116.0</v>
      </c>
      <c r="L87" s="11">
        <v>50.0</v>
      </c>
      <c r="M87" s="14">
        <f t="shared" si="4"/>
        <v>1</v>
      </c>
      <c r="N87" s="11">
        <v>3.0</v>
      </c>
      <c r="O87" s="14">
        <f t="shared" si="5"/>
        <v>2</v>
      </c>
      <c r="P87" s="11">
        <v>1.0</v>
      </c>
      <c r="Q87" s="15">
        <v>1.0</v>
      </c>
      <c r="R87" s="9">
        <v>10.0</v>
      </c>
      <c r="S87" s="16">
        <f t="shared" si="6"/>
        <v>6</v>
      </c>
      <c r="T87" s="17">
        <f t="shared" si="7"/>
        <v>0.6</v>
      </c>
      <c r="U87" s="14">
        <f t="shared" si="8"/>
        <v>-4</v>
      </c>
      <c r="V87" s="9" t="str">
        <f t="shared" si="9"/>
        <v>Average</v>
      </c>
      <c r="W87" s="9"/>
    </row>
    <row r="88" ht="15.75" customHeight="1">
      <c r="A88" s="6">
        <v>46274.0</v>
      </c>
      <c r="B88" s="7" t="s">
        <v>36</v>
      </c>
      <c r="C88" s="9" t="s">
        <v>29</v>
      </c>
      <c r="D88" s="9" t="s">
        <v>27</v>
      </c>
      <c r="E88" s="10">
        <v>200000.0</v>
      </c>
      <c r="F88" s="9">
        <f t="shared" si="1"/>
        <v>3</v>
      </c>
      <c r="G88" s="11">
        <v>3.0</v>
      </c>
      <c r="H88" s="9">
        <f t="shared" si="2"/>
        <v>1</v>
      </c>
      <c r="I88" s="11">
        <v>2.0</v>
      </c>
      <c r="J88" s="9">
        <f t="shared" si="10"/>
        <v>1</v>
      </c>
      <c r="K88" s="11">
        <v>66.0</v>
      </c>
      <c r="L88" s="11">
        <v>35.0</v>
      </c>
      <c r="M88" s="14">
        <f t="shared" si="4"/>
        <v>0.7</v>
      </c>
      <c r="N88" s="11">
        <v>2.0</v>
      </c>
      <c r="O88" s="14">
        <f t="shared" si="5"/>
        <v>1.333333333</v>
      </c>
      <c r="P88" s="11">
        <v>1.0</v>
      </c>
      <c r="Q88" s="15">
        <v>1.0</v>
      </c>
      <c r="R88" s="9">
        <v>10.0</v>
      </c>
      <c r="S88" s="16">
        <f t="shared" si="6"/>
        <v>9.033333333</v>
      </c>
      <c r="T88" s="17">
        <f t="shared" si="7"/>
        <v>0.9033333333</v>
      </c>
      <c r="U88" s="14">
        <f t="shared" si="8"/>
        <v>-0.9666666667</v>
      </c>
      <c r="V88" s="9" t="str">
        <f t="shared" si="9"/>
        <v>Near Target</v>
      </c>
      <c r="W88" s="9"/>
    </row>
    <row r="89" ht="15.75" customHeight="1">
      <c r="A89" s="6">
        <v>46274.0</v>
      </c>
      <c r="B89" s="7" t="s">
        <v>37</v>
      </c>
      <c r="C89" s="9" t="s">
        <v>29</v>
      </c>
      <c r="D89" s="9" t="s">
        <v>27</v>
      </c>
      <c r="E89" s="10">
        <v>0.0</v>
      </c>
      <c r="F89" s="9">
        <f t="shared" si="1"/>
        <v>0</v>
      </c>
      <c r="G89" s="11">
        <v>0.0</v>
      </c>
      <c r="H89" s="9">
        <f t="shared" si="2"/>
        <v>0</v>
      </c>
      <c r="I89" s="11">
        <v>1.0</v>
      </c>
      <c r="J89" s="9">
        <f t="shared" si="10"/>
        <v>1</v>
      </c>
      <c r="K89" s="11">
        <v>70.0</v>
      </c>
      <c r="L89" s="11">
        <v>50.0</v>
      </c>
      <c r="M89" s="14">
        <f t="shared" si="4"/>
        <v>1</v>
      </c>
      <c r="N89" s="11">
        <v>3.0</v>
      </c>
      <c r="O89" s="14">
        <f t="shared" si="5"/>
        <v>2</v>
      </c>
      <c r="P89" s="11">
        <v>1.0</v>
      </c>
      <c r="Q89" s="15">
        <v>1.0</v>
      </c>
      <c r="R89" s="9">
        <v>10.0</v>
      </c>
      <c r="S89" s="16">
        <f t="shared" si="6"/>
        <v>6</v>
      </c>
      <c r="T89" s="17">
        <f t="shared" si="7"/>
        <v>0.6</v>
      </c>
      <c r="U89" s="14">
        <f t="shared" si="8"/>
        <v>-4</v>
      </c>
      <c r="V89" s="9" t="str">
        <f t="shared" si="9"/>
        <v>Average</v>
      </c>
      <c r="W89" s="9"/>
    </row>
    <row r="90" ht="15.75" customHeight="1">
      <c r="A90" s="6">
        <v>46274.0</v>
      </c>
      <c r="B90" s="7" t="s">
        <v>38</v>
      </c>
      <c r="C90" s="9" t="s">
        <v>29</v>
      </c>
      <c r="D90" s="9" t="s">
        <v>27</v>
      </c>
      <c r="E90" s="10">
        <v>0.0</v>
      </c>
      <c r="F90" s="9">
        <f t="shared" si="1"/>
        <v>0</v>
      </c>
      <c r="G90" s="11">
        <v>0.0</v>
      </c>
      <c r="H90" s="9">
        <f t="shared" si="2"/>
        <v>0</v>
      </c>
      <c r="I90" s="11">
        <v>2.0</v>
      </c>
      <c r="J90" s="9">
        <f t="shared" si="10"/>
        <v>1</v>
      </c>
      <c r="K90" s="11">
        <v>72.0</v>
      </c>
      <c r="L90" s="11">
        <v>50.0</v>
      </c>
      <c r="M90" s="14">
        <f t="shared" si="4"/>
        <v>1</v>
      </c>
      <c r="N90" s="11">
        <v>3.0</v>
      </c>
      <c r="O90" s="14">
        <f t="shared" si="5"/>
        <v>2</v>
      </c>
      <c r="P90" s="11">
        <v>1.0</v>
      </c>
      <c r="Q90" s="15">
        <v>1.0</v>
      </c>
      <c r="R90" s="9">
        <v>10.0</v>
      </c>
      <c r="S90" s="16">
        <f t="shared" si="6"/>
        <v>6</v>
      </c>
      <c r="T90" s="17">
        <f t="shared" si="7"/>
        <v>0.6</v>
      </c>
      <c r="U90" s="14">
        <f t="shared" si="8"/>
        <v>-4</v>
      </c>
      <c r="V90" s="9" t="str">
        <f t="shared" si="9"/>
        <v>Average</v>
      </c>
      <c r="W90" s="9"/>
    </row>
    <row r="91" ht="15.75" customHeight="1">
      <c r="A91" s="6">
        <v>46274.0</v>
      </c>
      <c r="B91" s="20" t="s">
        <v>39</v>
      </c>
      <c r="C91" s="9" t="s">
        <v>40</v>
      </c>
      <c r="D91" s="9" t="s">
        <v>27</v>
      </c>
      <c r="E91" s="10">
        <v>0.0</v>
      </c>
      <c r="F91" s="9">
        <f t="shared" si="1"/>
        <v>0</v>
      </c>
      <c r="G91" s="11">
        <v>0.0</v>
      </c>
      <c r="H91" s="9">
        <f t="shared" si="2"/>
        <v>0</v>
      </c>
      <c r="I91" s="11">
        <v>0.0</v>
      </c>
      <c r="J91" s="9">
        <f t="shared" si="10"/>
        <v>0</v>
      </c>
      <c r="K91" s="11">
        <v>75.0</v>
      </c>
      <c r="L91" s="11">
        <v>50.0</v>
      </c>
      <c r="M91" s="14">
        <f t="shared" si="4"/>
        <v>1</v>
      </c>
      <c r="N91" s="11">
        <v>2.0</v>
      </c>
      <c r="O91" s="14">
        <f t="shared" si="5"/>
        <v>1.333333333</v>
      </c>
      <c r="P91" s="11">
        <v>1.0</v>
      </c>
      <c r="Q91" s="15">
        <v>1.0</v>
      </c>
      <c r="R91" s="9">
        <v>10.0</v>
      </c>
      <c r="S91" s="16">
        <f t="shared" si="6"/>
        <v>4.333333333</v>
      </c>
      <c r="T91" s="17">
        <f t="shared" si="7"/>
        <v>0.4333333333</v>
      </c>
      <c r="U91" s="14">
        <f t="shared" si="8"/>
        <v>-5.666666667</v>
      </c>
      <c r="V91" s="9" t="str">
        <f t="shared" si="9"/>
        <v>Low Performance</v>
      </c>
      <c r="W91" s="9"/>
    </row>
    <row r="92" ht="15.75" customHeight="1">
      <c r="A92" s="6">
        <v>46274.0</v>
      </c>
      <c r="B92" s="7" t="s">
        <v>41</v>
      </c>
      <c r="C92" s="9" t="s">
        <v>40</v>
      </c>
      <c r="D92" s="9" t="s">
        <v>27</v>
      </c>
      <c r="E92" s="10">
        <v>0.0</v>
      </c>
      <c r="F92" s="9">
        <f t="shared" si="1"/>
        <v>0</v>
      </c>
      <c r="G92" s="11">
        <v>0.0</v>
      </c>
      <c r="H92" s="9">
        <f t="shared" si="2"/>
        <v>0</v>
      </c>
      <c r="I92" s="11">
        <v>1.0</v>
      </c>
      <c r="J92" s="9">
        <f t="shared" si="10"/>
        <v>1</v>
      </c>
      <c r="K92" s="11">
        <v>89.0</v>
      </c>
      <c r="L92" s="11">
        <v>50.0</v>
      </c>
      <c r="M92" s="14">
        <f t="shared" si="4"/>
        <v>1</v>
      </c>
      <c r="N92" s="11">
        <v>3.0</v>
      </c>
      <c r="O92" s="14">
        <f t="shared" si="5"/>
        <v>2</v>
      </c>
      <c r="P92" s="11">
        <v>1.0</v>
      </c>
      <c r="Q92" s="15">
        <v>1.0</v>
      </c>
      <c r="R92" s="9">
        <v>10.0</v>
      </c>
      <c r="S92" s="16">
        <f t="shared" si="6"/>
        <v>6</v>
      </c>
      <c r="T92" s="17">
        <f t="shared" si="7"/>
        <v>0.6</v>
      </c>
      <c r="U92" s="14">
        <f t="shared" si="8"/>
        <v>-4</v>
      </c>
      <c r="V92" s="9" t="str">
        <f t="shared" si="9"/>
        <v>Average</v>
      </c>
      <c r="W92" s="9"/>
    </row>
    <row r="93" ht="15.75" customHeight="1">
      <c r="A93" s="6">
        <v>46274.0</v>
      </c>
      <c r="B93" s="7" t="s">
        <v>42</v>
      </c>
      <c r="C93" s="9" t="s">
        <v>40</v>
      </c>
      <c r="D93" s="9" t="s">
        <v>27</v>
      </c>
      <c r="E93" s="10">
        <v>0.0</v>
      </c>
      <c r="F93" s="9">
        <f t="shared" si="1"/>
        <v>0</v>
      </c>
      <c r="G93" s="11">
        <v>1.0</v>
      </c>
      <c r="H93" s="9">
        <f t="shared" si="2"/>
        <v>1</v>
      </c>
      <c r="I93" s="11">
        <v>1.0</v>
      </c>
      <c r="J93" s="9">
        <f t="shared" si="10"/>
        <v>1</v>
      </c>
      <c r="K93" s="11">
        <v>62.0</v>
      </c>
      <c r="L93" s="11">
        <v>50.0</v>
      </c>
      <c r="M93" s="14">
        <f t="shared" si="4"/>
        <v>1</v>
      </c>
      <c r="N93" s="11">
        <v>2.0</v>
      </c>
      <c r="O93" s="14">
        <f t="shared" si="5"/>
        <v>1.333333333</v>
      </c>
      <c r="P93" s="11">
        <v>1.0</v>
      </c>
      <c r="Q93" s="15">
        <v>1.0</v>
      </c>
      <c r="R93" s="9">
        <v>10.0</v>
      </c>
      <c r="S93" s="16">
        <f t="shared" si="6"/>
        <v>6.333333333</v>
      </c>
      <c r="T93" s="17">
        <f t="shared" si="7"/>
        <v>0.6333333333</v>
      </c>
      <c r="U93" s="14">
        <f t="shared" si="8"/>
        <v>-3.666666667</v>
      </c>
      <c r="V93" s="9" t="str">
        <f t="shared" si="9"/>
        <v>Average</v>
      </c>
      <c r="W93" s="9"/>
    </row>
    <row r="94" ht="15.75" customHeight="1">
      <c r="A94" s="6">
        <v>46274.0</v>
      </c>
      <c r="B94" s="7" t="s">
        <v>43</v>
      </c>
      <c r="C94" s="9" t="s">
        <v>40</v>
      </c>
      <c r="D94" s="9" t="s">
        <v>27</v>
      </c>
      <c r="E94" s="10">
        <v>20000.0</v>
      </c>
      <c r="F94" s="9">
        <f t="shared" si="1"/>
        <v>3</v>
      </c>
      <c r="G94" s="11">
        <v>0.0</v>
      </c>
      <c r="H94" s="9">
        <f t="shared" si="2"/>
        <v>0</v>
      </c>
      <c r="I94" s="11">
        <v>1.0</v>
      </c>
      <c r="J94" s="9">
        <f t="shared" si="10"/>
        <v>1</v>
      </c>
      <c r="K94" s="11">
        <v>70.0</v>
      </c>
      <c r="L94" s="11">
        <v>50.0</v>
      </c>
      <c r="M94" s="14">
        <f t="shared" si="4"/>
        <v>1</v>
      </c>
      <c r="N94" s="11">
        <v>3.0</v>
      </c>
      <c r="O94" s="14">
        <f t="shared" si="5"/>
        <v>2</v>
      </c>
      <c r="P94" s="11">
        <v>1.0</v>
      </c>
      <c r="Q94" s="15">
        <v>1.0</v>
      </c>
      <c r="R94" s="9">
        <v>10.0</v>
      </c>
      <c r="S94" s="16">
        <f t="shared" si="6"/>
        <v>9</v>
      </c>
      <c r="T94" s="17">
        <f t="shared" si="7"/>
        <v>0.9</v>
      </c>
      <c r="U94" s="14">
        <f t="shared" si="8"/>
        <v>-1</v>
      </c>
      <c r="V94" s="9" t="str">
        <f t="shared" si="9"/>
        <v>Near Target</v>
      </c>
      <c r="W94" s="9"/>
    </row>
    <row r="95" ht="15.75" customHeight="1">
      <c r="A95" s="6">
        <v>46274.0</v>
      </c>
      <c r="B95" s="7" t="s">
        <v>47</v>
      </c>
      <c r="C95" s="9" t="s">
        <v>48</v>
      </c>
      <c r="D95" s="9" t="s">
        <v>27</v>
      </c>
      <c r="E95" s="10">
        <v>0.0</v>
      </c>
      <c r="F95" s="9">
        <f t="shared" si="1"/>
        <v>0</v>
      </c>
      <c r="G95" s="11">
        <v>0.0</v>
      </c>
      <c r="H95" s="9">
        <f t="shared" si="2"/>
        <v>0</v>
      </c>
      <c r="I95" s="11">
        <v>1.0</v>
      </c>
      <c r="J95" s="9">
        <f t="shared" si="10"/>
        <v>1</v>
      </c>
      <c r="K95" s="11">
        <v>51.0</v>
      </c>
      <c r="L95" s="11">
        <v>50.0</v>
      </c>
      <c r="M95" s="14">
        <f t="shared" si="4"/>
        <v>1</v>
      </c>
      <c r="N95" s="11">
        <v>3.0</v>
      </c>
      <c r="O95" s="14">
        <f t="shared" si="5"/>
        <v>2</v>
      </c>
      <c r="P95" s="11">
        <v>1.0</v>
      </c>
      <c r="Q95" s="15">
        <v>1.0</v>
      </c>
      <c r="R95" s="9">
        <v>10.0</v>
      </c>
      <c r="S95" s="16">
        <f t="shared" si="6"/>
        <v>6</v>
      </c>
      <c r="T95" s="17">
        <f t="shared" si="7"/>
        <v>0.6</v>
      </c>
      <c r="U95" s="14">
        <f t="shared" si="8"/>
        <v>-4</v>
      </c>
      <c r="V95" s="9" t="str">
        <f t="shared" si="9"/>
        <v>Average</v>
      </c>
      <c r="W95" s="9"/>
    </row>
    <row r="96" ht="15.75" customHeight="1">
      <c r="A96" s="6">
        <v>46274.0</v>
      </c>
      <c r="B96" s="7" t="s">
        <v>45</v>
      </c>
      <c r="C96" s="9" t="s">
        <v>48</v>
      </c>
      <c r="D96" s="9" t="s">
        <v>27</v>
      </c>
      <c r="E96" s="10">
        <v>0.0</v>
      </c>
      <c r="F96" s="9">
        <f t="shared" si="1"/>
        <v>0</v>
      </c>
      <c r="G96" s="11">
        <v>0.0</v>
      </c>
      <c r="H96" s="9">
        <f t="shared" si="2"/>
        <v>0</v>
      </c>
      <c r="I96" s="11">
        <v>2.0</v>
      </c>
      <c r="J96" s="9">
        <f t="shared" si="10"/>
        <v>1</v>
      </c>
      <c r="K96" s="11">
        <v>60.0</v>
      </c>
      <c r="L96" s="11">
        <v>50.0</v>
      </c>
      <c r="M96" s="14">
        <f t="shared" si="4"/>
        <v>1</v>
      </c>
      <c r="N96" s="11">
        <v>2.0</v>
      </c>
      <c r="O96" s="14">
        <f t="shared" si="5"/>
        <v>1.333333333</v>
      </c>
      <c r="P96" s="11">
        <v>1.0</v>
      </c>
      <c r="Q96" s="15">
        <v>1.0</v>
      </c>
      <c r="R96" s="9">
        <v>10.0</v>
      </c>
      <c r="S96" s="16">
        <f t="shared" si="6"/>
        <v>5.333333333</v>
      </c>
      <c r="T96" s="17">
        <f t="shared" si="7"/>
        <v>0.5333333333</v>
      </c>
      <c r="U96" s="14">
        <f t="shared" si="8"/>
        <v>-4.666666667</v>
      </c>
      <c r="V96" s="9" t="str">
        <f t="shared" si="9"/>
        <v>Average</v>
      </c>
      <c r="W96" s="9"/>
    </row>
    <row r="97" ht="15.75" customHeight="1">
      <c r="A97" s="6">
        <v>46274.0</v>
      </c>
      <c r="B97" s="7" t="s">
        <v>49</v>
      </c>
      <c r="C97" s="9" t="s">
        <v>48</v>
      </c>
      <c r="D97" s="9" t="s">
        <v>27</v>
      </c>
      <c r="E97" s="10">
        <v>0.0</v>
      </c>
      <c r="F97" s="9">
        <f t="shared" si="1"/>
        <v>0</v>
      </c>
      <c r="G97" s="11">
        <v>0.0</v>
      </c>
      <c r="H97" s="9">
        <f t="shared" si="2"/>
        <v>0</v>
      </c>
      <c r="I97" s="11">
        <v>1.0</v>
      </c>
      <c r="J97" s="9">
        <f t="shared" si="10"/>
        <v>1</v>
      </c>
      <c r="K97" s="11">
        <v>60.0</v>
      </c>
      <c r="L97" s="11">
        <v>50.0</v>
      </c>
      <c r="M97" s="14">
        <f t="shared" si="4"/>
        <v>1</v>
      </c>
      <c r="N97" s="11">
        <v>3.0</v>
      </c>
      <c r="O97" s="14">
        <f t="shared" si="5"/>
        <v>2</v>
      </c>
      <c r="P97" s="11">
        <v>1.0</v>
      </c>
      <c r="Q97" s="15">
        <v>1.0</v>
      </c>
      <c r="R97" s="9">
        <v>10.0</v>
      </c>
      <c r="S97" s="16">
        <f t="shared" si="6"/>
        <v>6</v>
      </c>
      <c r="T97" s="17">
        <f t="shared" si="7"/>
        <v>0.6</v>
      </c>
      <c r="U97" s="14">
        <f t="shared" si="8"/>
        <v>-4</v>
      </c>
      <c r="V97" s="9" t="str">
        <f t="shared" si="9"/>
        <v>Average</v>
      </c>
      <c r="W97" s="9"/>
    </row>
    <row r="98" ht="15.75" customHeight="1">
      <c r="A98" s="6">
        <v>46274.0</v>
      </c>
      <c r="B98" s="22" t="s">
        <v>50</v>
      </c>
      <c r="C98" s="24" t="s">
        <v>48</v>
      </c>
      <c r="D98" s="24" t="s">
        <v>27</v>
      </c>
      <c r="E98" s="10">
        <v>0.0</v>
      </c>
      <c r="F98" s="9">
        <f t="shared" si="1"/>
        <v>0</v>
      </c>
      <c r="G98" s="11">
        <v>0.0</v>
      </c>
      <c r="H98" s="9">
        <f t="shared" si="2"/>
        <v>0</v>
      </c>
      <c r="I98" s="11">
        <v>1.0</v>
      </c>
      <c r="J98" s="9">
        <f t="shared" si="10"/>
        <v>1</v>
      </c>
      <c r="K98" s="11">
        <v>62.0</v>
      </c>
      <c r="L98" s="11">
        <v>50.0</v>
      </c>
      <c r="M98" s="14">
        <f t="shared" si="4"/>
        <v>1</v>
      </c>
      <c r="N98" s="11">
        <v>3.0</v>
      </c>
      <c r="O98" s="14">
        <f t="shared" si="5"/>
        <v>2</v>
      </c>
      <c r="P98" s="11">
        <v>1.0</v>
      </c>
      <c r="Q98" s="15">
        <v>1.0</v>
      </c>
      <c r="R98" s="9">
        <v>10.0</v>
      </c>
      <c r="S98" s="16">
        <f t="shared" si="6"/>
        <v>6</v>
      </c>
      <c r="T98" s="17">
        <f t="shared" si="7"/>
        <v>0.6</v>
      </c>
      <c r="U98" s="14">
        <f t="shared" si="8"/>
        <v>-4</v>
      </c>
      <c r="V98" s="9" t="str">
        <f t="shared" si="9"/>
        <v>Average</v>
      </c>
      <c r="W98" s="9"/>
    </row>
    <row r="99" ht="15.75" customHeight="1">
      <c r="A99" s="6">
        <v>46275.0</v>
      </c>
      <c r="B99" s="7" t="s">
        <v>28</v>
      </c>
      <c r="C99" s="9" t="s">
        <v>29</v>
      </c>
      <c r="D99" s="9" t="s">
        <v>27</v>
      </c>
      <c r="E99" s="10">
        <v>0.0</v>
      </c>
      <c r="F99" s="9">
        <f t="shared" si="1"/>
        <v>0</v>
      </c>
      <c r="G99" s="11">
        <v>1.0</v>
      </c>
      <c r="H99" s="9">
        <f t="shared" si="2"/>
        <v>1</v>
      </c>
      <c r="I99" s="11">
        <v>0.0</v>
      </c>
      <c r="J99" s="9">
        <f t="shared" si="10"/>
        <v>0</v>
      </c>
      <c r="K99" s="11">
        <v>127.0</v>
      </c>
      <c r="L99" s="11">
        <v>50.0</v>
      </c>
      <c r="M99" s="14">
        <f t="shared" si="4"/>
        <v>1</v>
      </c>
      <c r="N99" s="11">
        <v>2.0</v>
      </c>
      <c r="O99" s="14">
        <f t="shared" si="5"/>
        <v>1.333333333</v>
      </c>
      <c r="P99" s="11">
        <v>1.0</v>
      </c>
      <c r="Q99" s="15">
        <v>1.0</v>
      </c>
      <c r="R99" s="9">
        <v>10.0</v>
      </c>
      <c r="S99" s="16">
        <f t="shared" si="6"/>
        <v>5.333333333</v>
      </c>
      <c r="T99" s="17">
        <f t="shared" si="7"/>
        <v>0.5333333333</v>
      </c>
      <c r="U99" s="14">
        <f t="shared" si="8"/>
        <v>-4.666666667</v>
      </c>
      <c r="V99" s="9" t="str">
        <f t="shared" si="9"/>
        <v>Average</v>
      </c>
      <c r="W99" s="9"/>
    </row>
    <row r="100" ht="15.75" customHeight="1">
      <c r="A100" s="6">
        <v>46275.0</v>
      </c>
      <c r="B100" s="7" t="s">
        <v>36</v>
      </c>
      <c r="C100" s="9" t="s">
        <v>29</v>
      </c>
      <c r="D100" s="9" t="s">
        <v>27</v>
      </c>
      <c r="E100" s="10">
        <v>200000.0</v>
      </c>
      <c r="F100" s="9">
        <f t="shared" si="1"/>
        <v>3</v>
      </c>
      <c r="G100" s="11">
        <v>1.0</v>
      </c>
      <c r="H100" s="9">
        <f t="shared" si="2"/>
        <v>1</v>
      </c>
      <c r="I100" s="11">
        <v>1.0</v>
      </c>
      <c r="J100" s="9">
        <f t="shared" si="10"/>
        <v>1</v>
      </c>
      <c r="K100" s="11">
        <v>62.0</v>
      </c>
      <c r="L100" s="11">
        <v>50.0</v>
      </c>
      <c r="M100" s="14">
        <f t="shared" si="4"/>
        <v>1</v>
      </c>
      <c r="N100" s="11">
        <v>2.0</v>
      </c>
      <c r="O100" s="14">
        <f t="shared" si="5"/>
        <v>1.333333333</v>
      </c>
      <c r="P100" s="11">
        <v>1.0</v>
      </c>
      <c r="Q100" s="15">
        <v>1.0</v>
      </c>
      <c r="R100" s="9">
        <v>10.0</v>
      </c>
      <c r="S100" s="16">
        <f t="shared" si="6"/>
        <v>9.333333333</v>
      </c>
      <c r="T100" s="17">
        <f t="shared" si="7"/>
        <v>0.9333333333</v>
      </c>
      <c r="U100" s="14">
        <f t="shared" si="8"/>
        <v>-0.6666666667</v>
      </c>
      <c r="V100" s="9" t="str">
        <f t="shared" si="9"/>
        <v>Near Target</v>
      </c>
      <c r="W100" s="9"/>
    </row>
    <row r="101" ht="15.75" customHeight="1">
      <c r="A101" s="6">
        <v>46275.0</v>
      </c>
      <c r="B101" s="7" t="s">
        <v>37</v>
      </c>
      <c r="C101" s="9" t="s">
        <v>29</v>
      </c>
      <c r="D101" s="9" t="s">
        <v>27</v>
      </c>
      <c r="E101" s="10">
        <v>0.0</v>
      </c>
      <c r="F101" s="9">
        <f t="shared" si="1"/>
        <v>0</v>
      </c>
      <c r="G101" s="11">
        <v>0.0</v>
      </c>
      <c r="H101" s="9">
        <f t="shared" si="2"/>
        <v>0</v>
      </c>
      <c r="I101" s="11">
        <v>1.0</v>
      </c>
      <c r="J101" s="9">
        <f t="shared" si="10"/>
        <v>1</v>
      </c>
      <c r="K101" s="11">
        <v>70.0</v>
      </c>
      <c r="L101" s="11">
        <v>50.0</v>
      </c>
      <c r="M101" s="14">
        <f t="shared" si="4"/>
        <v>1</v>
      </c>
      <c r="N101" s="11">
        <v>3.0</v>
      </c>
      <c r="O101" s="14">
        <f t="shared" si="5"/>
        <v>2</v>
      </c>
      <c r="P101" s="11">
        <v>1.0</v>
      </c>
      <c r="Q101" s="15">
        <v>1.0</v>
      </c>
      <c r="R101" s="9">
        <v>10.0</v>
      </c>
      <c r="S101" s="16">
        <f t="shared" si="6"/>
        <v>6</v>
      </c>
      <c r="T101" s="17">
        <f t="shared" si="7"/>
        <v>0.6</v>
      </c>
      <c r="U101" s="14">
        <f t="shared" si="8"/>
        <v>-4</v>
      </c>
      <c r="V101" s="9" t="str">
        <f t="shared" si="9"/>
        <v>Average</v>
      </c>
      <c r="W101" s="9"/>
    </row>
    <row r="102" ht="15.75" customHeight="1">
      <c r="A102" s="6">
        <v>46275.0</v>
      </c>
      <c r="B102" s="7" t="s">
        <v>38</v>
      </c>
      <c r="C102" s="9" t="s">
        <v>29</v>
      </c>
      <c r="D102" s="9" t="s">
        <v>27</v>
      </c>
      <c r="E102" s="10">
        <v>0.0</v>
      </c>
      <c r="F102" s="9">
        <f t="shared" si="1"/>
        <v>0</v>
      </c>
      <c r="G102" s="11">
        <v>0.0</v>
      </c>
      <c r="H102" s="9">
        <f t="shared" si="2"/>
        <v>0</v>
      </c>
      <c r="I102" s="11">
        <v>1.0</v>
      </c>
      <c r="J102" s="9">
        <f t="shared" si="10"/>
        <v>1</v>
      </c>
      <c r="K102" s="11">
        <v>79.0</v>
      </c>
      <c r="L102" s="11">
        <v>50.0</v>
      </c>
      <c r="M102" s="14">
        <f t="shared" si="4"/>
        <v>1</v>
      </c>
      <c r="N102" s="11">
        <v>3.0</v>
      </c>
      <c r="O102" s="14">
        <f t="shared" si="5"/>
        <v>2</v>
      </c>
      <c r="P102" s="11">
        <v>1.0</v>
      </c>
      <c r="Q102" s="15">
        <v>1.0</v>
      </c>
      <c r="R102" s="9">
        <v>10.0</v>
      </c>
      <c r="S102" s="16">
        <f t="shared" si="6"/>
        <v>6</v>
      </c>
      <c r="T102" s="17">
        <f t="shared" si="7"/>
        <v>0.6</v>
      </c>
      <c r="U102" s="14">
        <f t="shared" si="8"/>
        <v>-4</v>
      </c>
      <c r="V102" s="9" t="str">
        <f t="shared" si="9"/>
        <v>Average</v>
      </c>
      <c r="W102" s="9"/>
    </row>
    <row r="103" ht="15.75" customHeight="1">
      <c r="A103" s="6">
        <v>46275.0</v>
      </c>
      <c r="B103" s="20" t="s">
        <v>39</v>
      </c>
      <c r="C103" s="9" t="s">
        <v>40</v>
      </c>
      <c r="D103" s="9" t="s">
        <v>27</v>
      </c>
      <c r="E103" s="51">
        <v>0.0</v>
      </c>
      <c r="F103" s="52">
        <f t="shared" si="1"/>
        <v>0</v>
      </c>
      <c r="G103" s="53">
        <v>0.0</v>
      </c>
      <c r="H103" s="52">
        <f t="shared" si="2"/>
        <v>0</v>
      </c>
      <c r="I103" s="53">
        <v>0.0</v>
      </c>
      <c r="J103" s="52">
        <f t="shared" si="10"/>
        <v>0</v>
      </c>
      <c r="K103" s="53">
        <v>0.0</v>
      </c>
      <c r="L103" s="53">
        <v>50.0</v>
      </c>
      <c r="M103" s="54">
        <f t="shared" si="4"/>
        <v>1</v>
      </c>
      <c r="N103" s="53">
        <v>0.0</v>
      </c>
      <c r="O103" s="54">
        <f t="shared" si="5"/>
        <v>0</v>
      </c>
      <c r="P103" s="53">
        <v>0.0</v>
      </c>
      <c r="Q103" s="55">
        <v>0.0</v>
      </c>
      <c r="R103" s="52">
        <v>10.0</v>
      </c>
      <c r="S103" s="54">
        <f t="shared" si="6"/>
        <v>1</v>
      </c>
      <c r="T103" s="56">
        <f t="shared" si="7"/>
        <v>0.1</v>
      </c>
      <c r="U103" s="54">
        <f t="shared" si="8"/>
        <v>-9</v>
      </c>
      <c r="V103" s="52" t="str">
        <f t="shared" si="9"/>
        <v>Low Performance</v>
      </c>
      <c r="W103" s="31" t="s">
        <v>51</v>
      </c>
    </row>
    <row r="104" ht="15.75" customHeight="1">
      <c r="A104" s="6">
        <v>46275.0</v>
      </c>
      <c r="B104" s="7" t="s">
        <v>41</v>
      </c>
      <c r="C104" s="9" t="s">
        <v>40</v>
      </c>
      <c r="D104" s="9" t="s">
        <v>27</v>
      </c>
      <c r="E104" s="10">
        <v>0.0</v>
      </c>
      <c r="F104" s="9">
        <f t="shared" si="1"/>
        <v>0</v>
      </c>
      <c r="G104" s="11">
        <v>1.0</v>
      </c>
      <c r="H104" s="9">
        <f t="shared" si="2"/>
        <v>1</v>
      </c>
      <c r="I104" s="11">
        <v>0.0</v>
      </c>
      <c r="J104" s="9">
        <f t="shared" si="10"/>
        <v>0</v>
      </c>
      <c r="K104" s="11">
        <v>0.0</v>
      </c>
      <c r="L104" s="11">
        <v>50.0</v>
      </c>
      <c r="M104" s="14">
        <f t="shared" si="4"/>
        <v>1</v>
      </c>
      <c r="N104" s="11">
        <v>3.0</v>
      </c>
      <c r="O104" s="14">
        <f t="shared" si="5"/>
        <v>2</v>
      </c>
      <c r="P104" s="11">
        <v>1.0</v>
      </c>
      <c r="Q104" s="15">
        <v>1.0</v>
      </c>
      <c r="R104" s="9">
        <v>10.0</v>
      </c>
      <c r="S104" s="16">
        <f t="shared" si="6"/>
        <v>6</v>
      </c>
      <c r="T104" s="17">
        <f t="shared" si="7"/>
        <v>0.6</v>
      </c>
      <c r="U104" s="14">
        <f t="shared" si="8"/>
        <v>-4</v>
      </c>
      <c r="V104" s="9" t="str">
        <f t="shared" si="9"/>
        <v>Average</v>
      </c>
      <c r="W104" s="9"/>
    </row>
    <row r="105" ht="15.75" customHeight="1">
      <c r="A105" s="6">
        <v>46275.0</v>
      </c>
      <c r="B105" s="7" t="s">
        <v>42</v>
      </c>
      <c r="C105" s="9" t="s">
        <v>40</v>
      </c>
      <c r="D105" s="9" t="s">
        <v>27</v>
      </c>
      <c r="E105" s="10">
        <v>30000.0</v>
      </c>
      <c r="F105" s="9">
        <f t="shared" si="1"/>
        <v>3</v>
      </c>
      <c r="G105" s="11">
        <v>0.0</v>
      </c>
      <c r="H105" s="9">
        <f t="shared" si="2"/>
        <v>0</v>
      </c>
      <c r="I105" s="11">
        <v>2.0</v>
      </c>
      <c r="J105" s="9">
        <f t="shared" si="10"/>
        <v>1</v>
      </c>
      <c r="K105" s="11">
        <v>35.0</v>
      </c>
      <c r="L105" s="11">
        <v>50.0</v>
      </c>
      <c r="M105" s="14">
        <f t="shared" si="4"/>
        <v>1</v>
      </c>
      <c r="N105" s="11">
        <v>2.0</v>
      </c>
      <c r="O105" s="14">
        <f t="shared" si="5"/>
        <v>1.333333333</v>
      </c>
      <c r="P105" s="11">
        <v>1.0</v>
      </c>
      <c r="Q105" s="15">
        <v>1.0</v>
      </c>
      <c r="R105" s="9">
        <v>10.0</v>
      </c>
      <c r="S105" s="16">
        <f t="shared" si="6"/>
        <v>8.333333333</v>
      </c>
      <c r="T105" s="17">
        <f t="shared" si="7"/>
        <v>0.8333333333</v>
      </c>
      <c r="U105" s="14">
        <f t="shared" si="8"/>
        <v>-1.666666667</v>
      </c>
      <c r="V105" s="9" t="str">
        <f t="shared" si="9"/>
        <v>Near Target</v>
      </c>
      <c r="W105" s="9"/>
    </row>
    <row r="106" ht="15.75" customHeight="1">
      <c r="A106" s="6">
        <v>46275.0</v>
      </c>
      <c r="B106" s="7" t="s">
        <v>43</v>
      </c>
      <c r="C106" s="9" t="s">
        <v>40</v>
      </c>
      <c r="D106" s="9" t="s">
        <v>27</v>
      </c>
      <c r="E106" s="10">
        <v>0.0</v>
      </c>
      <c r="F106" s="9">
        <f t="shared" si="1"/>
        <v>0</v>
      </c>
      <c r="G106" s="11">
        <v>1.0</v>
      </c>
      <c r="H106" s="9">
        <f t="shared" si="2"/>
        <v>1</v>
      </c>
      <c r="I106" s="11">
        <v>0.0</v>
      </c>
      <c r="J106" s="9">
        <f t="shared" si="10"/>
        <v>0</v>
      </c>
      <c r="K106" s="11">
        <v>65.0</v>
      </c>
      <c r="L106" s="11">
        <v>50.0</v>
      </c>
      <c r="M106" s="14">
        <f t="shared" si="4"/>
        <v>1</v>
      </c>
      <c r="N106" s="11">
        <v>2.0</v>
      </c>
      <c r="O106" s="14">
        <f t="shared" si="5"/>
        <v>1.333333333</v>
      </c>
      <c r="P106" s="11">
        <v>1.0</v>
      </c>
      <c r="Q106" s="15">
        <v>1.0</v>
      </c>
      <c r="R106" s="9">
        <v>10.0</v>
      </c>
      <c r="S106" s="16">
        <f t="shared" si="6"/>
        <v>5.333333333</v>
      </c>
      <c r="T106" s="17">
        <f t="shared" si="7"/>
        <v>0.5333333333</v>
      </c>
      <c r="U106" s="14">
        <f t="shared" si="8"/>
        <v>-4.666666667</v>
      </c>
      <c r="V106" s="9" t="str">
        <f t="shared" si="9"/>
        <v>Average</v>
      </c>
      <c r="W106" s="9"/>
    </row>
    <row r="107" ht="15.75" customHeight="1">
      <c r="A107" s="6">
        <v>46275.0</v>
      </c>
      <c r="B107" s="7" t="s">
        <v>47</v>
      </c>
      <c r="C107" s="9" t="s">
        <v>48</v>
      </c>
      <c r="D107" s="9" t="s">
        <v>27</v>
      </c>
      <c r="E107" s="10">
        <v>0.0</v>
      </c>
      <c r="F107" s="9">
        <f t="shared" si="1"/>
        <v>0</v>
      </c>
      <c r="G107" s="11">
        <v>0.0</v>
      </c>
      <c r="H107" s="9">
        <f t="shared" si="2"/>
        <v>0</v>
      </c>
      <c r="I107" s="11">
        <v>0.0</v>
      </c>
      <c r="J107" s="9">
        <f t="shared" si="10"/>
        <v>0</v>
      </c>
      <c r="K107" s="11">
        <v>53.0</v>
      </c>
      <c r="L107" s="11">
        <v>50.0</v>
      </c>
      <c r="M107" s="14">
        <f t="shared" si="4"/>
        <v>1</v>
      </c>
      <c r="N107" s="11">
        <v>3.0</v>
      </c>
      <c r="O107" s="14">
        <f t="shared" si="5"/>
        <v>2</v>
      </c>
      <c r="P107" s="11">
        <v>1.0</v>
      </c>
      <c r="Q107" s="15">
        <v>1.0</v>
      </c>
      <c r="R107" s="9">
        <v>10.0</v>
      </c>
      <c r="S107" s="16">
        <f t="shared" si="6"/>
        <v>5</v>
      </c>
      <c r="T107" s="17">
        <f t="shared" si="7"/>
        <v>0.5</v>
      </c>
      <c r="U107" s="14">
        <f t="shared" si="8"/>
        <v>-5</v>
      </c>
      <c r="V107" s="9" t="str">
        <f t="shared" si="9"/>
        <v>Average</v>
      </c>
      <c r="W107" s="9"/>
    </row>
    <row r="108" ht="15.75" customHeight="1">
      <c r="A108" s="6">
        <v>46275.0</v>
      </c>
      <c r="B108" s="7" t="s">
        <v>45</v>
      </c>
      <c r="C108" s="9" t="s">
        <v>48</v>
      </c>
      <c r="D108" s="9" t="s">
        <v>27</v>
      </c>
      <c r="E108" s="10">
        <v>0.0</v>
      </c>
      <c r="F108" s="9">
        <f t="shared" si="1"/>
        <v>0</v>
      </c>
      <c r="G108" s="11">
        <v>0.0</v>
      </c>
      <c r="H108" s="9">
        <f t="shared" si="2"/>
        <v>0</v>
      </c>
      <c r="I108" s="11">
        <v>0.0</v>
      </c>
      <c r="J108" s="9">
        <f t="shared" si="10"/>
        <v>0</v>
      </c>
      <c r="K108" s="11">
        <v>55.0</v>
      </c>
      <c r="L108" s="11">
        <v>50.0</v>
      </c>
      <c r="M108" s="14">
        <f t="shared" si="4"/>
        <v>1</v>
      </c>
      <c r="N108" s="11">
        <v>3.0</v>
      </c>
      <c r="O108" s="14">
        <f t="shared" si="5"/>
        <v>2</v>
      </c>
      <c r="P108" s="11">
        <v>1.0</v>
      </c>
      <c r="Q108" s="15">
        <v>1.0</v>
      </c>
      <c r="R108" s="9">
        <v>10.0</v>
      </c>
      <c r="S108" s="16">
        <f t="shared" si="6"/>
        <v>5</v>
      </c>
      <c r="T108" s="17">
        <f t="shared" si="7"/>
        <v>0.5</v>
      </c>
      <c r="U108" s="14">
        <f t="shared" si="8"/>
        <v>-5</v>
      </c>
      <c r="V108" s="9" t="str">
        <f t="shared" si="9"/>
        <v>Average</v>
      </c>
      <c r="W108" s="9"/>
    </row>
    <row r="109" ht="15.75" customHeight="1">
      <c r="A109" s="6">
        <v>46275.0</v>
      </c>
      <c r="B109" s="7" t="s">
        <v>49</v>
      </c>
      <c r="C109" s="9" t="s">
        <v>48</v>
      </c>
      <c r="D109" s="9" t="s">
        <v>27</v>
      </c>
      <c r="E109" s="10">
        <v>0.0</v>
      </c>
      <c r="F109" s="9">
        <f t="shared" si="1"/>
        <v>0</v>
      </c>
      <c r="G109" s="11">
        <v>1.0</v>
      </c>
      <c r="H109" s="9">
        <f t="shared" si="2"/>
        <v>1</v>
      </c>
      <c r="I109" s="11">
        <v>1.0</v>
      </c>
      <c r="J109" s="9">
        <f t="shared" si="10"/>
        <v>1</v>
      </c>
      <c r="K109" s="11">
        <v>60.0</v>
      </c>
      <c r="L109" s="11">
        <v>50.0</v>
      </c>
      <c r="M109" s="14">
        <f t="shared" si="4"/>
        <v>1</v>
      </c>
      <c r="N109" s="11">
        <v>3.0</v>
      </c>
      <c r="O109" s="14">
        <f t="shared" si="5"/>
        <v>2</v>
      </c>
      <c r="P109" s="11">
        <v>1.0</v>
      </c>
      <c r="Q109" s="15">
        <v>1.0</v>
      </c>
      <c r="R109" s="9">
        <v>10.0</v>
      </c>
      <c r="S109" s="16">
        <f t="shared" si="6"/>
        <v>7</v>
      </c>
      <c r="T109" s="17">
        <f t="shared" si="7"/>
        <v>0.7</v>
      </c>
      <c r="U109" s="14">
        <f t="shared" si="8"/>
        <v>-3</v>
      </c>
      <c r="V109" s="9" t="str">
        <f t="shared" si="9"/>
        <v>Near Target</v>
      </c>
      <c r="W109" s="9"/>
    </row>
    <row r="110" ht="15.75" customHeight="1">
      <c r="A110" s="6">
        <v>46275.0</v>
      </c>
      <c r="B110" s="22" t="s">
        <v>50</v>
      </c>
      <c r="C110" s="24" t="s">
        <v>48</v>
      </c>
      <c r="D110" s="24" t="s">
        <v>27</v>
      </c>
      <c r="E110" s="10">
        <v>0.0</v>
      </c>
      <c r="F110" s="9">
        <f t="shared" si="1"/>
        <v>0</v>
      </c>
      <c r="G110" s="11">
        <v>1.0</v>
      </c>
      <c r="H110" s="9">
        <f t="shared" si="2"/>
        <v>1</v>
      </c>
      <c r="I110" s="11">
        <v>1.0</v>
      </c>
      <c r="J110" s="9">
        <f t="shared" si="10"/>
        <v>1</v>
      </c>
      <c r="K110" s="11">
        <v>55.0</v>
      </c>
      <c r="L110" s="11">
        <v>50.0</v>
      </c>
      <c r="M110" s="14">
        <f t="shared" si="4"/>
        <v>1</v>
      </c>
      <c r="N110" s="11">
        <v>3.0</v>
      </c>
      <c r="O110" s="14">
        <f t="shared" si="5"/>
        <v>2</v>
      </c>
      <c r="P110" s="11">
        <v>1.0</v>
      </c>
      <c r="Q110" s="15">
        <v>1.0</v>
      </c>
      <c r="R110" s="9">
        <v>10.0</v>
      </c>
      <c r="S110" s="16">
        <f t="shared" si="6"/>
        <v>7</v>
      </c>
      <c r="T110" s="17">
        <f t="shared" si="7"/>
        <v>0.7</v>
      </c>
      <c r="U110" s="14">
        <f t="shared" si="8"/>
        <v>-3</v>
      </c>
      <c r="V110" s="9" t="str">
        <f t="shared" si="9"/>
        <v>Near Target</v>
      </c>
      <c r="W110" s="9"/>
    </row>
    <row r="111" ht="15.75" customHeight="1">
      <c r="A111" s="6">
        <v>46277.0</v>
      </c>
      <c r="B111" s="7" t="s">
        <v>28</v>
      </c>
      <c r="C111" s="9" t="s">
        <v>29</v>
      </c>
      <c r="D111" s="9" t="s">
        <v>27</v>
      </c>
      <c r="E111" s="10">
        <v>0.0</v>
      </c>
      <c r="F111" s="9">
        <f t="shared" si="1"/>
        <v>0</v>
      </c>
      <c r="G111" s="11">
        <v>1.0</v>
      </c>
      <c r="H111" s="9">
        <f t="shared" si="2"/>
        <v>1</v>
      </c>
      <c r="I111" s="11">
        <v>1.0</v>
      </c>
      <c r="J111" s="9">
        <f t="shared" si="10"/>
        <v>1</v>
      </c>
      <c r="K111" s="11">
        <v>108.0</v>
      </c>
      <c r="L111" s="11">
        <v>52.0</v>
      </c>
      <c r="M111" s="14">
        <f t="shared" si="4"/>
        <v>1</v>
      </c>
      <c r="N111" s="11">
        <v>3.0</v>
      </c>
      <c r="O111" s="14">
        <f t="shared" si="5"/>
        <v>2</v>
      </c>
      <c r="P111" s="11">
        <v>1.0</v>
      </c>
      <c r="Q111" s="15">
        <v>1.0</v>
      </c>
      <c r="R111" s="9">
        <v>10.0</v>
      </c>
      <c r="S111" s="16">
        <f t="shared" si="6"/>
        <v>7</v>
      </c>
      <c r="T111" s="17">
        <f t="shared" si="7"/>
        <v>0.7</v>
      </c>
      <c r="U111" s="14">
        <f t="shared" si="8"/>
        <v>-3</v>
      </c>
      <c r="V111" s="9" t="str">
        <f t="shared" si="9"/>
        <v>Near Target</v>
      </c>
      <c r="W111" s="9"/>
    </row>
    <row r="112" ht="15.75" customHeight="1">
      <c r="A112" s="6">
        <v>46277.0</v>
      </c>
      <c r="B112" s="7" t="s">
        <v>36</v>
      </c>
      <c r="C112" s="9" t="s">
        <v>29</v>
      </c>
      <c r="D112" s="9" t="s">
        <v>27</v>
      </c>
      <c r="E112" s="10">
        <v>0.0</v>
      </c>
      <c r="F112" s="9">
        <f t="shared" si="1"/>
        <v>0</v>
      </c>
      <c r="G112" s="11">
        <v>0.0</v>
      </c>
      <c r="H112" s="9">
        <f t="shared" si="2"/>
        <v>0</v>
      </c>
      <c r="I112" s="11">
        <v>1.0</v>
      </c>
      <c r="J112" s="9">
        <f t="shared" si="10"/>
        <v>1</v>
      </c>
      <c r="K112" s="11">
        <v>65.0</v>
      </c>
      <c r="L112" s="11">
        <v>53.0</v>
      </c>
      <c r="M112" s="14">
        <f t="shared" si="4"/>
        <v>1</v>
      </c>
      <c r="N112" s="11">
        <v>3.0</v>
      </c>
      <c r="O112" s="14">
        <f t="shared" si="5"/>
        <v>2</v>
      </c>
      <c r="P112" s="11">
        <v>1.0</v>
      </c>
      <c r="Q112" s="15">
        <v>1.0</v>
      </c>
      <c r="R112" s="9">
        <v>10.0</v>
      </c>
      <c r="S112" s="16">
        <f t="shared" si="6"/>
        <v>6</v>
      </c>
      <c r="T112" s="17">
        <f t="shared" si="7"/>
        <v>0.6</v>
      </c>
      <c r="U112" s="14">
        <f t="shared" si="8"/>
        <v>-4</v>
      </c>
      <c r="V112" s="9" t="str">
        <f t="shared" si="9"/>
        <v>Average</v>
      </c>
      <c r="W112" s="9"/>
    </row>
    <row r="113" ht="15.75" customHeight="1">
      <c r="A113" s="6">
        <v>46277.0</v>
      </c>
      <c r="B113" s="7" t="s">
        <v>37</v>
      </c>
      <c r="C113" s="9" t="s">
        <v>29</v>
      </c>
      <c r="D113" s="9" t="s">
        <v>27</v>
      </c>
      <c r="E113" s="10">
        <v>0.0</v>
      </c>
      <c r="F113" s="9">
        <f t="shared" si="1"/>
        <v>0</v>
      </c>
      <c r="G113" s="11">
        <v>0.0</v>
      </c>
      <c r="H113" s="9">
        <f t="shared" si="2"/>
        <v>0</v>
      </c>
      <c r="I113" s="11">
        <v>1.0</v>
      </c>
      <c r="J113" s="9">
        <f t="shared" si="10"/>
        <v>1</v>
      </c>
      <c r="K113" s="11">
        <v>68.0</v>
      </c>
      <c r="L113" s="11">
        <v>52.0</v>
      </c>
      <c r="M113" s="14">
        <f t="shared" si="4"/>
        <v>1</v>
      </c>
      <c r="N113" s="11">
        <v>3.0</v>
      </c>
      <c r="O113" s="14">
        <f t="shared" si="5"/>
        <v>2</v>
      </c>
      <c r="P113" s="11">
        <v>1.0</v>
      </c>
      <c r="Q113" s="15">
        <v>1.0</v>
      </c>
      <c r="R113" s="9">
        <v>10.0</v>
      </c>
      <c r="S113" s="16">
        <f t="shared" si="6"/>
        <v>6</v>
      </c>
      <c r="T113" s="17">
        <f t="shared" si="7"/>
        <v>0.6</v>
      </c>
      <c r="U113" s="14">
        <f t="shared" si="8"/>
        <v>-4</v>
      </c>
      <c r="V113" s="9" t="str">
        <f t="shared" si="9"/>
        <v>Average</v>
      </c>
      <c r="W113" s="9"/>
    </row>
    <row r="114" ht="15.75" customHeight="1">
      <c r="A114" s="6">
        <v>46277.0</v>
      </c>
      <c r="B114" s="7" t="s">
        <v>38</v>
      </c>
      <c r="C114" s="9" t="s">
        <v>29</v>
      </c>
      <c r="D114" s="9" t="s">
        <v>27</v>
      </c>
      <c r="E114" s="10">
        <v>0.0</v>
      </c>
      <c r="F114" s="9">
        <f t="shared" si="1"/>
        <v>0</v>
      </c>
      <c r="G114" s="11">
        <v>1.0</v>
      </c>
      <c r="H114" s="9">
        <f t="shared" si="2"/>
        <v>1</v>
      </c>
      <c r="I114" s="11">
        <v>1.0</v>
      </c>
      <c r="J114" s="9">
        <f t="shared" si="10"/>
        <v>1</v>
      </c>
      <c r="K114" s="11">
        <v>76.0</v>
      </c>
      <c r="L114" s="11">
        <v>50.0</v>
      </c>
      <c r="M114" s="14">
        <f t="shared" si="4"/>
        <v>1</v>
      </c>
      <c r="N114" s="11">
        <v>3.0</v>
      </c>
      <c r="O114" s="14">
        <f t="shared" si="5"/>
        <v>2</v>
      </c>
      <c r="P114" s="11">
        <v>1.0</v>
      </c>
      <c r="Q114" s="15">
        <v>1.0</v>
      </c>
      <c r="R114" s="9">
        <v>10.0</v>
      </c>
      <c r="S114" s="16">
        <f t="shared" si="6"/>
        <v>7</v>
      </c>
      <c r="T114" s="17">
        <f t="shared" si="7"/>
        <v>0.7</v>
      </c>
      <c r="U114" s="14">
        <f t="shared" si="8"/>
        <v>-3</v>
      </c>
      <c r="V114" s="9" t="str">
        <f t="shared" si="9"/>
        <v>Near Target</v>
      </c>
      <c r="W114" s="9"/>
    </row>
    <row r="115" ht="15.75" customHeight="1">
      <c r="A115" s="6">
        <v>46277.0</v>
      </c>
      <c r="B115" s="20" t="s">
        <v>39</v>
      </c>
      <c r="C115" s="9" t="s">
        <v>40</v>
      </c>
      <c r="D115" s="9" t="s">
        <v>27</v>
      </c>
      <c r="E115" s="57"/>
      <c r="F115" s="52">
        <f t="shared" si="1"/>
        <v>0</v>
      </c>
      <c r="G115" s="52"/>
      <c r="H115" s="52">
        <f t="shared" si="2"/>
        <v>0</v>
      </c>
      <c r="I115" s="52"/>
      <c r="J115" s="52">
        <f t="shared" si="10"/>
        <v>0</v>
      </c>
      <c r="K115" s="53">
        <v>0.0</v>
      </c>
      <c r="L115" s="53">
        <v>0.0</v>
      </c>
      <c r="M115" s="54">
        <f t="shared" si="4"/>
        <v>0</v>
      </c>
      <c r="N115" s="52"/>
      <c r="O115" s="54">
        <f t="shared" si="5"/>
        <v>0</v>
      </c>
      <c r="P115" s="52"/>
      <c r="Q115" s="54"/>
      <c r="R115" s="52">
        <v>10.0</v>
      </c>
      <c r="S115" s="54">
        <f t="shared" si="6"/>
        <v>0</v>
      </c>
      <c r="T115" s="56">
        <f t="shared" si="7"/>
        <v>0</v>
      </c>
      <c r="U115" s="54">
        <f t="shared" si="8"/>
        <v>-10</v>
      </c>
      <c r="V115" s="52" t="str">
        <f t="shared" si="9"/>
        <v>Low Performance</v>
      </c>
      <c r="W115" s="31" t="s">
        <v>51</v>
      </c>
    </row>
    <row r="116" ht="15.75" customHeight="1">
      <c r="A116" s="6">
        <v>46277.0</v>
      </c>
      <c r="B116" s="7" t="s">
        <v>41</v>
      </c>
      <c r="C116" s="9" t="s">
        <v>40</v>
      </c>
      <c r="D116" s="9" t="s">
        <v>27</v>
      </c>
      <c r="E116" s="10">
        <v>0.0</v>
      </c>
      <c r="F116" s="9">
        <f t="shared" si="1"/>
        <v>0</v>
      </c>
      <c r="G116" s="11">
        <v>0.0</v>
      </c>
      <c r="H116" s="9">
        <f t="shared" si="2"/>
        <v>0</v>
      </c>
      <c r="I116" s="11">
        <v>1.0</v>
      </c>
      <c r="J116" s="9">
        <f t="shared" si="10"/>
        <v>1</v>
      </c>
      <c r="K116" s="11">
        <v>74.0</v>
      </c>
      <c r="L116" s="11">
        <v>61.0</v>
      </c>
      <c r="M116" s="14">
        <f t="shared" si="4"/>
        <v>1</v>
      </c>
      <c r="N116" s="11">
        <v>3.0</v>
      </c>
      <c r="O116" s="14">
        <f t="shared" si="5"/>
        <v>2</v>
      </c>
      <c r="P116" s="11">
        <v>1.0</v>
      </c>
      <c r="Q116" s="15">
        <v>1.0</v>
      </c>
      <c r="R116" s="9">
        <v>10.0</v>
      </c>
      <c r="S116" s="16">
        <f t="shared" si="6"/>
        <v>6</v>
      </c>
      <c r="T116" s="17">
        <f t="shared" si="7"/>
        <v>0.6</v>
      </c>
      <c r="U116" s="14">
        <f t="shared" si="8"/>
        <v>-4</v>
      </c>
      <c r="V116" s="9" t="str">
        <f t="shared" si="9"/>
        <v>Average</v>
      </c>
      <c r="W116" s="9"/>
    </row>
    <row r="117" ht="15.75" customHeight="1">
      <c r="A117" s="6">
        <v>46277.0</v>
      </c>
      <c r="B117" s="7" t="s">
        <v>42</v>
      </c>
      <c r="C117" s="9" t="s">
        <v>40</v>
      </c>
      <c r="D117" s="9" t="s">
        <v>27</v>
      </c>
      <c r="E117" s="57"/>
      <c r="F117" s="52">
        <f t="shared" si="1"/>
        <v>0</v>
      </c>
      <c r="G117" s="52"/>
      <c r="H117" s="52">
        <f t="shared" si="2"/>
        <v>0</v>
      </c>
      <c r="I117" s="52"/>
      <c r="J117" s="52">
        <f t="shared" si="10"/>
        <v>0</v>
      </c>
      <c r="K117" s="53">
        <v>0.0</v>
      </c>
      <c r="L117" s="53">
        <v>0.0</v>
      </c>
      <c r="M117" s="54">
        <f t="shared" si="4"/>
        <v>0</v>
      </c>
      <c r="N117" s="52"/>
      <c r="O117" s="54">
        <f t="shared" si="5"/>
        <v>0</v>
      </c>
      <c r="P117" s="52"/>
      <c r="Q117" s="54"/>
      <c r="R117" s="52">
        <v>10.0</v>
      </c>
      <c r="S117" s="54">
        <f t="shared" si="6"/>
        <v>0</v>
      </c>
      <c r="T117" s="56">
        <f t="shared" si="7"/>
        <v>0</v>
      </c>
      <c r="U117" s="54">
        <f t="shared" si="8"/>
        <v>-10</v>
      </c>
      <c r="V117" s="52" t="str">
        <f t="shared" si="9"/>
        <v>Low Performance</v>
      </c>
      <c r="W117" s="31" t="s">
        <v>51</v>
      </c>
    </row>
    <row r="118" ht="15.75" customHeight="1">
      <c r="A118" s="6">
        <v>46277.0</v>
      </c>
      <c r="B118" s="7" t="s">
        <v>43</v>
      </c>
      <c r="C118" s="9" t="s">
        <v>40</v>
      </c>
      <c r="D118" s="9" t="s">
        <v>27</v>
      </c>
      <c r="E118" s="10">
        <v>0.0</v>
      </c>
      <c r="F118" s="9">
        <f t="shared" si="1"/>
        <v>0</v>
      </c>
      <c r="G118" s="11">
        <v>0.0</v>
      </c>
      <c r="H118" s="9">
        <f t="shared" si="2"/>
        <v>0</v>
      </c>
      <c r="I118" s="11">
        <v>1.0</v>
      </c>
      <c r="J118" s="9">
        <f t="shared" si="10"/>
        <v>1</v>
      </c>
      <c r="K118" s="11">
        <v>45.0</v>
      </c>
      <c r="L118" s="11">
        <v>40.0</v>
      </c>
      <c r="M118" s="14">
        <f t="shared" si="4"/>
        <v>0.8</v>
      </c>
      <c r="N118" s="11">
        <v>2.0</v>
      </c>
      <c r="O118" s="14">
        <f t="shared" si="5"/>
        <v>1.333333333</v>
      </c>
      <c r="P118" s="11">
        <v>1.0</v>
      </c>
      <c r="Q118" s="15">
        <v>1.0</v>
      </c>
      <c r="R118" s="9">
        <v>10.0</v>
      </c>
      <c r="S118" s="16">
        <f t="shared" si="6"/>
        <v>5.133333333</v>
      </c>
      <c r="T118" s="17">
        <f t="shared" si="7"/>
        <v>0.5133333333</v>
      </c>
      <c r="U118" s="14">
        <f t="shared" si="8"/>
        <v>-4.866666667</v>
      </c>
      <c r="V118" s="9" t="str">
        <f t="shared" si="9"/>
        <v>Average</v>
      </c>
      <c r="W118" s="9"/>
    </row>
    <row r="119" ht="15.75" customHeight="1">
      <c r="A119" s="6">
        <v>46277.0</v>
      </c>
      <c r="B119" s="7" t="s">
        <v>47</v>
      </c>
      <c r="C119" s="9" t="s">
        <v>48</v>
      </c>
      <c r="D119" s="9" t="s">
        <v>27</v>
      </c>
      <c r="E119" s="57"/>
      <c r="F119" s="52">
        <f t="shared" si="1"/>
        <v>0</v>
      </c>
      <c r="G119" s="52"/>
      <c r="H119" s="52">
        <f t="shared" si="2"/>
        <v>0</v>
      </c>
      <c r="I119" s="52"/>
      <c r="J119" s="52">
        <f t="shared" si="10"/>
        <v>0</v>
      </c>
      <c r="K119" s="53">
        <v>0.0</v>
      </c>
      <c r="L119" s="53">
        <v>0.0</v>
      </c>
      <c r="M119" s="54">
        <f t="shared" si="4"/>
        <v>0</v>
      </c>
      <c r="N119" s="52"/>
      <c r="O119" s="54">
        <f t="shared" si="5"/>
        <v>0</v>
      </c>
      <c r="P119" s="52"/>
      <c r="Q119" s="54"/>
      <c r="R119" s="52">
        <v>10.0</v>
      </c>
      <c r="S119" s="54">
        <f t="shared" si="6"/>
        <v>0</v>
      </c>
      <c r="T119" s="56">
        <f t="shared" si="7"/>
        <v>0</v>
      </c>
      <c r="U119" s="54">
        <f t="shared" si="8"/>
        <v>-10</v>
      </c>
      <c r="V119" s="52" t="str">
        <f t="shared" si="9"/>
        <v>Low Performance</v>
      </c>
      <c r="W119" s="31" t="s">
        <v>51</v>
      </c>
    </row>
    <row r="120" ht="15.75" customHeight="1">
      <c r="A120" s="6">
        <v>46277.0</v>
      </c>
      <c r="B120" s="7" t="s">
        <v>45</v>
      </c>
      <c r="C120" s="9" t="s">
        <v>48</v>
      </c>
      <c r="D120" s="9" t="s">
        <v>27</v>
      </c>
      <c r="E120" s="10">
        <v>0.0</v>
      </c>
      <c r="F120" s="9">
        <f t="shared" si="1"/>
        <v>0</v>
      </c>
      <c r="G120" s="11">
        <v>0.0</v>
      </c>
      <c r="H120" s="9">
        <f t="shared" si="2"/>
        <v>0</v>
      </c>
      <c r="I120" s="11">
        <v>1.0</v>
      </c>
      <c r="J120" s="9">
        <f t="shared" si="10"/>
        <v>1</v>
      </c>
      <c r="K120" s="11">
        <v>60.0</v>
      </c>
      <c r="L120" s="11">
        <v>45.0</v>
      </c>
      <c r="M120" s="14">
        <f t="shared" si="4"/>
        <v>0.9</v>
      </c>
      <c r="N120" s="11">
        <v>2.0</v>
      </c>
      <c r="O120" s="14">
        <f t="shared" si="5"/>
        <v>1.333333333</v>
      </c>
      <c r="P120" s="11">
        <v>1.0</v>
      </c>
      <c r="Q120" s="15">
        <v>1.0</v>
      </c>
      <c r="R120" s="9">
        <v>10.0</v>
      </c>
      <c r="S120" s="16">
        <f t="shared" si="6"/>
        <v>5.233333333</v>
      </c>
      <c r="T120" s="17">
        <f t="shared" si="7"/>
        <v>0.5233333333</v>
      </c>
      <c r="U120" s="14">
        <f t="shared" si="8"/>
        <v>-4.766666667</v>
      </c>
      <c r="V120" s="9" t="str">
        <f t="shared" si="9"/>
        <v>Average</v>
      </c>
      <c r="W120" s="9"/>
    </row>
    <row r="121" ht="15.75" customHeight="1">
      <c r="A121" s="6">
        <v>46277.0</v>
      </c>
      <c r="B121" s="7" t="s">
        <v>49</v>
      </c>
      <c r="C121" s="9" t="s">
        <v>48</v>
      </c>
      <c r="D121" s="9" t="s">
        <v>27</v>
      </c>
      <c r="E121" s="10">
        <v>0.0</v>
      </c>
      <c r="F121" s="9">
        <f t="shared" si="1"/>
        <v>0</v>
      </c>
      <c r="G121" s="11">
        <v>1.0</v>
      </c>
      <c r="H121" s="9">
        <f t="shared" si="2"/>
        <v>1</v>
      </c>
      <c r="I121" s="11">
        <v>1.0</v>
      </c>
      <c r="J121" s="9">
        <f t="shared" si="10"/>
        <v>1</v>
      </c>
      <c r="K121" s="11">
        <v>65.0</v>
      </c>
      <c r="L121" s="11">
        <v>40.0</v>
      </c>
      <c r="M121" s="14">
        <f t="shared" si="4"/>
        <v>0.8</v>
      </c>
      <c r="N121" s="11">
        <v>3.0</v>
      </c>
      <c r="O121" s="14">
        <f t="shared" si="5"/>
        <v>2</v>
      </c>
      <c r="P121" s="11">
        <v>1.0</v>
      </c>
      <c r="Q121" s="15">
        <v>1.0</v>
      </c>
      <c r="R121" s="9">
        <v>10.0</v>
      </c>
      <c r="S121" s="16">
        <f t="shared" si="6"/>
        <v>6.8</v>
      </c>
      <c r="T121" s="17">
        <f t="shared" si="7"/>
        <v>0.68</v>
      </c>
      <c r="U121" s="14">
        <f t="shared" si="8"/>
        <v>-3.2</v>
      </c>
      <c r="V121" s="9" t="str">
        <f t="shared" si="9"/>
        <v>Average</v>
      </c>
      <c r="W121" s="9"/>
    </row>
    <row r="122" ht="15.75" customHeight="1">
      <c r="A122" s="6">
        <v>46277.0</v>
      </c>
      <c r="B122" s="22" t="s">
        <v>50</v>
      </c>
      <c r="C122" s="24" t="s">
        <v>48</v>
      </c>
      <c r="D122" s="24" t="s">
        <v>27</v>
      </c>
      <c r="E122" s="10">
        <v>0.0</v>
      </c>
      <c r="F122" s="9">
        <f t="shared" si="1"/>
        <v>0</v>
      </c>
      <c r="G122" s="11">
        <v>0.0</v>
      </c>
      <c r="H122" s="9">
        <f t="shared" si="2"/>
        <v>0</v>
      </c>
      <c r="I122" s="11">
        <v>1.0</v>
      </c>
      <c r="J122" s="9">
        <f t="shared" si="10"/>
        <v>1</v>
      </c>
      <c r="K122" s="11">
        <v>62.0</v>
      </c>
      <c r="L122" s="11">
        <v>50.0</v>
      </c>
      <c r="M122" s="14">
        <f t="shared" si="4"/>
        <v>1</v>
      </c>
      <c r="N122" s="11">
        <v>3.0</v>
      </c>
      <c r="O122" s="14">
        <f t="shared" si="5"/>
        <v>2</v>
      </c>
      <c r="P122" s="11">
        <v>1.0</v>
      </c>
      <c r="Q122" s="15">
        <v>1.0</v>
      </c>
      <c r="R122" s="9">
        <v>10.0</v>
      </c>
      <c r="S122" s="16">
        <f t="shared" si="6"/>
        <v>6</v>
      </c>
      <c r="T122" s="17">
        <f t="shared" si="7"/>
        <v>0.6</v>
      </c>
      <c r="U122" s="14">
        <f t="shared" si="8"/>
        <v>-4</v>
      </c>
      <c r="V122" s="9" t="str">
        <f t="shared" si="9"/>
        <v>Average</v>
      </c>
      <c r="W122" s="9"/>
    </row>
    <row r="123" ht="15.75" customHeight="1">
      <c r="A123" s="6">
        <v>46278.0</v>
      </c>
      <c r="B123" s="7" t="s">
        <v>28</v>
      </c>
      <c r="C123" s="9" t="s">
        <v>29</v>
      </c>
      <c r="D123" s="9" t="s">
        <v>27</v>
      </c>
      <c r="E123" s="10">
        <v>0.0</v>
      </c>
      <c r="F123" s="9">
        <f t="shared" si="1"/>
        <v>0</v>
      </c>
      <c r="G123" s="11">
        <v>0.0</v>
      </c>
      <c r="H123" s="9">
        <f t="shared" si="2"/>
        <v>0</v>
      </c>
      <c r="I123" s="11">
        <v>1.0</v>
      </c>
      <c r="J123" s="9">
        <f t="shared" si="10"/>
        <v>1</v>
      </c>
      <c r="K123" s="11">
        <v>109.0</v>
      </c>
      <c r="L123" s="11">
        <v>56.0</v>
      </c>
      <c r="M123" s="14">
        <f t="shared" si="4"/>
        <v>1</v>
      </c>
      <c r="N123" s="11">
        <v>2.0</v>
      </c>
      <c r="O123" s="14">
        <f t="shared" si="5"/>
        <v>1.333333333</v>
      </c>
      <c r="P123" s="11">
        <v>1.0</v>
      </c>
      <c r="Q123" s="15">
        <v>1.0</v>
      </c>
      <c r="R123" s="9">
        <v>10.0</v>
      </c>
      <c r="S123" s="16">
        <f t="shared" si="6"/>
        <v>5.333333333</v>
      </c>
      <c r="T123" s="17">
        <f t="shared" si="7"/>
        <v>0.5333333333</v>
      </c>
      <c r="U123" s="14">
        <f t="shared" si="8"/>
        <v>-4.666666667</v>
      </c>
      <c r="V123" s="9" t="str">
        <f t="shared" si="9"/>
        <v>Average</v>
      </c>
      <c r="W123" s="9"/>
    </row>
    <row r="124" ht="15.75" customHeight="1">
      <c r="A124" s="6">
        <v>46278.0</v>
      </c>
      <c r="B124" s="7" t="s">
        <v>36</v>
      </c>
      <c r="C124" s="9" t="s">
        <v>29</v>
      </c>
      <c r="D124" s="9" t="s">
        <v>27</v>
      </c>
      <c r="E124" s="10">
        <v>0.0</v>
      </c>
      <c r="F124" s="9">
        <f t="shared" si="1"/>
        <v>0</v>
      </c>
      <c r="G124" s="11">
        <v>0.0</v>
      </c>
      <c r="H124" s="9">
        <f t="shared" si="2"/>
        <v>0</v>
      </c>
      <c r="I124" s="11">
        <v>2.0</v>
      </c>
      <c r="J124" s="9">
        <f t="shared" si="10"/>
        <v>1</v>
      </c>
      <c r="K124" s="11">
        <v>72.0</v>
      </c>
      <c r="L124" s="11">
        <v>53.0</v>
      </c>
      <c r="M124" s="14">
        <f t="shared" si="4"/>
        <v>1</v>
      </c>
      <c r="N124" s="11">
        <v>3.0</v>
      </c>
      <c r="O124" s="14">
        <f t="shared" si="5"/>
        <v>2</v>
      </c>
      <c r="P124" s="11">
        <v>1.0</v>
      </c>
      <c r="Q124" s="15">
        <v>1.0</v>
      </c>
      <c r="R124" s="9">
        <v>10.0</v>
      </c>
      <c r="S124" s="16">
        <f t="shared" si="6"/>
        <v>6</v>
      </c>
      <c r="T124" s="17">
        <f t="shared" si="7"/>
        <v>0.6</v>
      </c>
      <c r="U124" s="14">
        <f t="shared" si="8"/>
        <v>-4</v>
      </c>
      <c r="V124" s="9" t="str">
        <f t="shared" si="9"/>
        <v>Average</v>
      </c>
      <c r="W124" s="9"/>
    </row>
    <row r="125" ht="15.75" customHeight="1">
      <c r="A125" s="6">
        <v>46278.0</v>
      </c>
      <c r="B125" s="7" t="s">
        <v>37</v>
      </c>
      <c r="C125" s="9" t="s">
        <v>29</v>
      </c>
      <c r="D125" s="9" t="s">
        <v>27</v>
      </c>
      <c r="E125" s="10">
        <v>0.0</v>
      </c>
      <c r="F125" s="9">
        <f t="shared" si="1"/>
        <v>0</v>
      </c>
      <c r="G125" s="11">
        <v>0.0</v>
      </c>
      <c r="H125" s="9">
        <f t="shared" si="2"/>
        <v>0</v>
      </c>
      <c r="I125" s="11">
        <v>1.0</v>
      </c>
      <c r="J125" s="9">
        <f t="shared" si="10"/>
        <v>1</v>
      </c>
      <c r="K125" s="11">
        <v>70.0</v>
      </c>
      <c r="L125" s="11">
        <v>50.0</v>
      </c>
      <c r="M125" s="14">
        <f t="shared" si="4"/>
        <v>1</v>
      </c>
      <c r="N125" s="11">
        <v>3.0</v>
      </c>
      <c r="O125" s="14">
        <f t="shared" si="5"/>
        <v>2</v>
      </c>
      <c r="P125" s="11">
        <v>1.0</v>
      </c>
      <c r="Q125" s="15">
        <v>1.0</v>
      </c>
      <c r="R125" s="9">
        <v>10.0</v>
      </c>
      <c r="S125" s="16">
        <f t="shared" si="6"/>
        <v>6</v>
      </c>
      <c r="T125" s="17">
        <f t="shared" si="7"/>
        <v>0.6</v>
      </c>
      <c r="U125" s="14">
        <f t="shared" si="8"/>
        <v>-4</v>
      </c>
      <c r="V125" s="9" t="str">
        <f t="shared" si="9"/>
        <v>Average</v>
      </c>
      <c r="W125" s="9"/>
    </row>
    <row r="126" ht="15.75" customHeight="1">
      <c r="A126" s="6">
        <v>46278.0</v>
      </c>
      <c r="B126" s="7" t="s">
        <v>38</v>
      </c>
      <c r="C126" s="9" t="s">
        <v>29</v>
      </c>
      <c r="D126" s="9" t="s">
        <v>27</v>
      </c>
      <c r="E126" s="10">
        <v>0.0</v>
      </c>
      <c r="F126" s="9">
        <f t="shared" si="1"/>
        <v>0</v>
      </c>
      <c r="G126" s="11">
        <v>0.0</v>
      </c>
      <c r="H126" s="9">
        <f t="shared" si="2"/>
        <v>0</v>
      </c>
      <c r="I126" s="11">
        <v>1.0</v>
      </c>
      <c r="J126" s="9">
        <f t="shared" si="10"/>
        <v>1</v>
      </c>
      <c r="K126" s="11">
        <v>76.0</v>
      </c>
      <c r="L126" s="11">
        <v>57.0</v>
      </c>
      <c r="M126" s="14">
        <f t="shared" si="4"/>
        <v>1</v>
      </c>
      <c r="N126" s="11">
        <v>3.0</v>
      </c>
      <c r="O126" s="14">
        <f t="shared" si="5"/>
        <v>2</v>
      </c>
      <c r="P126" s="11">
        <v>1.0</v>
      </c>
      <c r="Q126" s="15">
        <v>1.0</v>
      </c>
      <c r="R126" s="9">
        <v>10.0</v>
      </c>
      <c r="S126" s="16">
        <f t="shared" si="6"/>
        <v>6</v>
      </c>
      <c r="T126" s="17">
        <f t="shared" si="7"/>
        <v>0.6</v>
      </c>
      <c r="U126" s="14">
        <f t="shared" si="8"/>
        <v>-4</v>
      </c>
      <c r="V126" s="9" t="str">
        <f t="shared" si="9"/>
        <v>Average</v>
      </c>
      <c r="W126" s="9"/>
    </row>
    <row r="127" ht="15.75" customHeight="1">
      <c r="A127" s="6">
        <v>46278.0</v>
      </c>
      <c r="B127" s="20" t="s">
        <v>39</v>
      </c>
      <c r="C127" s="9" t="s">
        <v>40</v>
      </c>
      <c r="D127" s="9" t="s">
        <v>27</v>
      </c>
      <c r="E127" s="57"/>
      <c r="F127" s="52">
        <f t="shared" si="1"/>
        <v>0</v>
      </c>
      <c r="G127" s="52"/>
      <c r="H127" s="52">
        <f t="shared" si="2"/>
        <v>0</v>
      </c>
      <c r="I127" s="52"/>
      <c r="J127" s="52">
        <f t="shared" si="10"/>
        <v>0</v>
      </c>
      <c r="K127" s="53">
        <v>0.0</v>
      </c>
      <c r="L127" s="53">
        <v>0.0</v>
      </c>
      <c r="M127" s="54">
        <f t="shared" si="4"/>
        <v>0</v>
      </c>
      <c r="N127" s="52"/>
      <c r="O127" s="54">
        <f t="shared" si="5"/>
        <v>0</v>
      </c>
      <c r="P127" s="52"/>
      <c r="Q127" s="54"/>
      <c r="R127" s="52">
        <v>10.0</v>
      </c>
      <c r="S127" s="54">
        <f t="shared" si="6"/>
        <v>0</v>
      </c>
      <c r="T127" s="56">
        <f t="shared" si="7"/>
        <v>0</v>
      </c>
      <c r="U127" s="54">
        <f t="shared" si="8"/>
        <v>-10</v>
      </c>
      <c r="V127" s="52" t="str">
        <f t="shared" si="9"/>
        <v>Low Performance</v>
      </c>
      <c r="W127" s="31" t="s">
        <v>51</v>
      </c>
    </row>
    <row r="128" ht="15.75" customHeight="1">
      <c r="A128" s="6">
        <v>46278.0</v>
      </c>
      <c r="B128" s="7" t="s">
        <v>41</v>
      </c>
      <c r="C128" s="9" t="s">
        <v>40</v>
      </c>
      <c r="D128" s="9" t="s">
        <v>27</v>
      </c>
      <c r="E128" s="10">
        <v>0.0</v>
      </c>
      <c r="F128" s="9">
        <f t="shared" si="1"/>
        <v>0</v>
      </c>
      <c r="G128" s="11">
        <v>0.0</v>
      </c>
      <c r="H128" s="9">
        <f t="shared" si="2"/>
        <v>0</v>
      </c>
      <c r="I128" s="11">
        <v>1.0</v>
      </c>
      <c r="J128" s="9">
        <f t="shared" si="10"/>
        <v>1</v>
      </c>
      <c r="K128" s="11">
        <v>0.0</v>
      </c>
      <c r="L128" s="11">
        <v>51.0</v>
      </c>
      <c r="M128" s="14">
        <f t="shared" si="4"/>
        <v>1</v>
      </c>
      <c r="N128" s="11">
        <v>3.0</v>
      </c>
      <c r="O128" s="14">
        <f t="shared" si="5"/>
        <v>2</v>
      </c>
      <c r="P128" s="11">
        <v>1.0</v>
      </c>
      <c r="Q128" s="15">
        <v>1.0</v>
      </c>
      <c r="R128" s="9">
        <v>10.0</v>
      </c>
      <c r="S128" s="16">
        <f t="shared" si="6"/>
        <v>6</v>
      </c>
      <c r="T128" s="17">
        <f t="shared" si="7"/>
        <v>0.6</v>
      </c>
      <c r="U128" s="14">
        <f t="shared" si="8"/>
        <v>-4</v>
      </c>
      <c r="V128" s="9" t="str">
        <f t="shared" si="9"/>
        <v>Average</v>
      </c>
      <c r="W128" s="9"/>
    </row>
    <row r="129" ht="15.75" customHeight="1">
      <c r="A129" s="6">
        <v>46278.0</v>
      </c>
      <c r="B129" s="7" t="s">
        <v>42</v>
      </c>
      <c r="C129" s="9" t="s">
        <v>40</v>
      </c>
      <c r="D129" s="9" t="s">
        <v>27</v>
      </c>
      <c r="E129" s="10">
        <v>0.0</v>
      </c>
      <c r="F129" s="9">
        <f t="shared" si="1"/>
        <v>0</v>
      </c>
      <c r="G129" s="11">
        <v>0.0</v>
      </c>
      <c r="H129" s="9">
        <f t="shared" si="2"/>
        <v>0</v>
      </c>
      <c r="I129" s="11">
        <v>0.0</v>
      </c>
      <c r="J129" s="9">
        <f t="shared" si="10"/>
        <v>0</v>
      </c>
      <c r="K129" s="11">
        <v>0.0</v>
      </c>
      <c r="L129" s="11">
        <v>52.0</v>
      </c>
      <c r="M129" s="14">
        <f t="shared" si="4"/>
        <v>1</v>
      </c>
      <c r="N129" s="11">
        <v>1.0</v>
      </c>
      <c r="O129" s="14">
        <f t="shared" si="5"/>
        <v>0.6666666667</v>
      </c>
      <c r="P129" s="11">
        <v>1.0</v>
      </c>
      <c r="Q129" s="15">
        <v>1.0</v>
      </c>
      <c r="R129" s="9">
        <v>10.0</v>
      </c>
      <c r="S129" s="16">
        <f t="shared" si="6"/>
        <v>3.666666667</v>
      </c>
      <c r="T129" s="17">
        <f t="shared" si="7"/>
        <v>0.3666666667</v>
      </c>
      <c r="U129" s="14">
        <f t="shared" si="8"/>
        <v>-6.333333333</v>
      </c>
      <c r="V129" s="9" t="str">
        <f t="shared" si="9"/>
        <v>Low Performance</v>
      </c>
      <c r="W129" s="9"/>
    </row>
    <row r="130" ht="15.75" customHeight="1">
      <c r="A130" s="6">
        <v>46278.0</v>
      </c>
      <c r="B130" s="7" t="s">
        <v>43</v>
      </c>
      <c r="C130" s="9" t="s">
        <v>40</v>
      </c>
      <c r="D130" s="9" t="s">
        <v>27</v>
      </c>
      <c r="E130" s="10">
        <v>0.0</v>
      </c>
      <c r="F130" s="9">
        <f t="shared" si="1"/>
        <v>0</v>
      </c>
      <c r="G130" s="11">
        <v>0.0</v>
      </c>
      <c r="H130" s="9">
        <f t="shared" si="2"/>
        <v>0</v>
      </c>
      <c r="I130" s="11">
        <v>2.0</v>
      </c>
      <c r="J130" s="9">
        <f t="shared" si="10"/>
        <v>1</v>
      </c>
      <c r="K130" s="11">
        <v>70.0</v>
      </c>
      <c r="L130" s="11">
        <v>55.0</v>
      </c>
      <c r="M130" s="14">
        <f t="shared" si="4"/>
        <v>1</v>
      </c>
      <c r="N130" s="11">
        <v>3.0</v>
      </c>
      <c r="O130" s="14">
        <f t="shared" si="5"/>
        <v>2</v>
      </c>
      <c r="P130" s="11">
        <v>1.0</v>
      </c>
      <c r="Q130" s="15">
        <v>1.0</v>
      </c>
      <c r="R130" s="9">
        <v>10.0</v>
      </c>
      <c r="S130" s="16">
        <f t="shared" si="6"/>
        <v>6</v>
      </c>
      <c r="T130" s="17">
        <f t="shared" si="7"/>
        <v>0.6</v>
      </c>
      <c r="U130" s="14">
        <f t="shared" si="8"/>
        <v>-4</v>
      </c>
      <c r="V130" s="9" t="str">
        <f t="shared" si="9"/>
        <v>Average</v>
      </c>
      <c r="W130" s="9"/>
    </row>
    <row r="131" ht="15.75" customHeight="1">
      <c r="A131" s="6">
        <v>46278.0</v>
      </c>
      <c r="B131" s="7" t="s">
        <v>47</v>
      </c>
      <c r="C131" s="9" t="s">
        <v>48</v>
      </c>
      <c r="D131" s="9" t="s">
        <v>27</v>
      </c>
      <c r="E131" s="10">
        <v>0.0</v>
      </c>
      <c r="F131" s="9">
        <f t="shared" si="1"/>
        <v>0</v>
      </c>
      <c r="G131" s="11">
        <v>2.0</v>
      </c>
      <c r="H131" s="9">
        <f t="shared" si="2"/>
        <v>1</v>
      </c>
      <c r="I131" s="11">
        <v>0.0</v>
      </c>
      <c r="J131" s="9">
        <f t="shared" si="10"/>
        <v>0</v>
      </c>
      <c r="K131" s="11">
        <v>61.0</v>
      </c>
      <c r="L131" s="11">
        <v>52.0</v>
      </c>
      <c r="M131" s="14">
        <f t="shared" si="4"/>
        <v>1</v>
      </c>
      <c r="N131" s="11">
        <v>3.0</v>
      </c>
      <c r="O131" s="14">
        <f t="shared" si="5"/>
        <v>2</v>
      </c>
      <c r="P131" s="11">
        <v>1.0</v>
      </c>
      <c r="Q131" s="15">
        <v>1.0</v>
      </c>
      <c r="R131" s="9">
        <v>10.0</v>
      </c>
      <c r="S131" s="16">
        <f t="shared" si="6"/>
        <v>6</v>
      </c>
      <c r="T131" s="17">
        <f t="shared" si="7"/>
        <v>0.6</v>
      </c>
      <c r="U131" s="14">
        <f t="shared" si="8"/>
        <v>-4</v>
      </c>
      <c r="V131" s="9" t="str">
        <f t="shared" si="9"/>
        <v>Average</v>
      </c>
      <c r="W131" s="9"/>
    </row>
    <row r="132" ht="15.75" customHeight="1">
      <c r="A132" s="6">
        <v>46278.0</v>
      </c>
      <c r="B132" s="7" t="s">
        <v>45</v>
      </c>
      <c r="C132" s="9" t="s">
        <v>48</v>
      </c>
      <c r="D132" s="9" t="s">
        <v>27</v>
      </c>
      <c r="E132" s="10">
        <v>0.0</v>
      </c>
      <c r="F132" s="9">
        <f t="shared" si="1"/>
        <v>0</v>
      </c>
      <c r="G132" s="11">
        <v>0.0</v>
      </c>
      <c r="H132" s="9">
        <f t="shared" si="2"/>
        <v>0</v>
      </c>
      <c r="I132" s="11">
        <v>1.0</v>
      </c>
      <c r="J132" s="9">
        <f t="shared" si="10"/>
        <v>1</v>
      </c>
      <c r="K132" s="11">
        <v>65.0</v>
      </c>
      <c r="L132" s="11">
        <v>40.0</v>
      </c>
      <c r="M132" s="14">
        <f t="shared" si="4"/>
        <v>0.8</v>
      </c>
      <c r="N132" s="11">
        <v>3.0</v>
      </c>
      <c r="O132" s="14">
        <f t="shared" si="5"/>
        <v>2</v>
      </c>
      <c r="P132" s="11">
        <v>1.0</v>
      </c>
      <c r="Q132" s="15">
        <v>1.0</v>
      </c>
      <c r="R132" s="9">
        <v>10.0</v>
      </c>
      <c r="S132" s="16">
        <f t="shared" si="6"/>
        <v>5.8</v>
      </c>
      <c r="T132" s="17">
        <f t="shared" si="7"/>
        <v>0.58</v>
      </c>
      <c r="U132" s="14">
        <f t="shared" si="8"/>
        <v>-4.2</v>
      </c>
      <c r="V132" s="9" t="str">
        <f t="shared" si="9"/>
        <v>Average</v>
      </c>
      <c r="W132" s="9"/>
    </row>
    <row r="133" ht="15.75" customHeight="1">
      <c r="A133" s="6">
        <v>46278.0</v>
      </c>
      <c r="B133" s="7" t="s">
        <v>49</v>
      </c>
      <c r="C133" s="9" t="s">
        <v>48</v>
      </c>
      <c r="D133" s="9" t="s">
        <v>27</v>
      </c>
      <c r="E133" s="10">
        <v>0.0</v>
      </c>
      <c r="F133" s="9">
        <f t="shared" si="1"/>
        <v>0</v>
      </c>
      <c r="G133" s="11">
        <v>0.0</v>
      </c>
      <c r="H133" s="9">
        <f t="shared" si="2"/>
        <v>0</v>
      </c>
      <c r="I133" s="11">
        <v>1.0</v>
      </c>
      <c r="J133" s="9">
        <f t="shared" si="10"/>
        <v>1</v>
      </c>
      <c r="K133" s="11">
        <v>45.0</v>
      </c>
      <c r="L133" s="11">
        <v>35.0</v>
      </c>
      <c r="M133" s="14">
        <f t="shared" si="4"/>
        <v>0.7</v>
      </c>
      <c r="N133" s="11">
        <v>2.0</v>
      </c>
      <c r="O133" s="14">
        <f t="shared" si="5"/>
        <v>1.333333333</v>
      </c>
      <c r="P133" s="11">
        <v>1.0</v>
      </c>
      <c r="Q133" s="15">
        <v>1.0</v>
      </c>
      <c r="R133" s="9">
        <v>10.0</v>
      </c>
      <c r="S133" s="16">
        <f t="shared" si="6"/>
        <v>5.033333333</v>
      </c>
      <c r="T133" s="17">
        <f t="shared" si="7"/>
        <v>0.5033333333</v>
      </c>
      <c r="U133" s="14">
        <f t="shared" si="8"/>
        <v>-4.966666667</v>
      </c>
      <c r="V133" s="9" t="str">
        <f t="shared" si="9"/>
        <v>Average</v>
      </c>
      <c r="W133" s="9"/>
    </row>
    <row r="134" ht="15.75" customHeight="1">
      <c r="A134" s="6">
        <v>46278.0</v>
      </c>
      <c r="B134" s="22" t="s">
        <v>50</v>
      </c>
      <c r="C134" s="24" t="s">
        <v>48</v>
      </c>
      <c r="D134" s="24" t="s">
        <v>27</v>
      </c>
      <c r="E134" s="10">
        <v>0.0</v>
      </c>
      <c r="F134" s="9">
        <f t="shared" si="1"/>
        <v>0</v>
      </c>
      <c r="G134" s="11">
        <v>0.0</v>
      </c>
      <c r="H134" s="9">
        <f t="shared" si="2"/>
        <v>0</v>
      </c>
      <c r="I134" s="11">
        <v>1.0</v>
      </c>
      <c r="J134" s="9">
        <f t="shared" si="10"/>
        <v>1</v>
      </c>
      <c r="K134" s="11">
        <v>57.0</v>
      </c>
      <c r="L134" s="11">
        <v>50.0</v>
      </c>
      <c r="M134" s="14">
        <f t="shared" si="4"/>
        <v>1</v>
      </c>
      <c r="N134" s="11">
        <v>3.0</v>
      </c>
      <c r="O134" s="14">
        <f t="shared" si="5"/>
        <v>2</v>
      </c>
      <c r="P134" s="11">
        <v>1.0</v>
      </c>
      <c r="Q134" s="15">
        <v>1.0</v>
      </c>
      <c r="R134" s="9">
        <v>10.0</v>
      </c>
      <c r="S134" s="16">
        <f t="shared" si="6"/>
        <v>6</v>
      </c>
      <c r="T134" s="17">
        <f t="shared" si="7"/>
        <v>0.6</v>
      </c>
      <c r="U134" s="14">
        <f t="shared" si="8"/>
        <v>-4</v>
      </c>
      <c r="V134" s="9" t="str">
        <f t="shared" si="9"/>
        <v>Average</v>
      </c>
      <c r="W134" s="9"/>
    </row>
    <row r="135" ht="15.75" customHeight="1">
      <c r="A135" s="6">
        <v>46279.0</v>
      </c>
      <c r="B135" s="7" t="s">
        <v>28</v>
      </c>
      <c r="C135" s="9" t="s">
        <v>29</v>
      </c>
      <c r="D135" s="9" t="s">
        <v>27</v>
      </c>
      <c r="E135" s="10">
        <v>0.0</v>
      </c>
      <c r="F135" s="9">
        <f t="shared" si="1"/>
        <v>0</v>
      </c>
      <c r="G135" s="11">
        <v>0.0</v>
      </c>
      <c r="H135" s="9">
        <f t="shared" si="2"/>
        <v>0</v>
      </c>
      <c r="I135" s="11">
        <v>0.0</v>
      </c>
      <c r="J135" s="9">
        <f t="shared" si="10"/>
        <v>0</v>
      </c>
      <c r="K135" s="11">
        <v>131.0</v>
      </c>
      <c r="L135" s="11">
        <v>54.0</v>
      </c>
      <c r="M135" s="14">
        <f t="shared" si="4"/>
        <v>1</v>
      </c>
      <c r="N135" s="11">
        <v>4.0</v>
      </c>
      <c r="O135" s="14">
        <f t="shared" si="5"/>
        <v>2.666666667</v>
      </c>
      <c r="P135" s="11">
        <v>1.0</v>
      </c>
      <c r="Q135" s="15">
        <v>1.0</v>
      </c>
      <c r="R135" s="9">
        <v>10.0</v>
      </c>
      <c r="S135" s="16">
        <f t="shared" si="6"/>
        <v>5.666666667</v>
      </c>
      <c r="T135" s="17">
        <f t="shared" si="7"/>
        <v>0.5666666667</v>
      </c>
      <c r="U135" s="14">
        <f t="shared" si="8"/>
        <v>-4.333333333</v>
      </c>
      <c r="V135" s="9" t="str">
        <f t="shared" si="9"/>
        <v>Average</v>
      </c>
      <c r="W135" s="9"/>
    </row>
    <row r="136" ht="15.75" customHeight="1">
      <c r="A136" s="6">
        <v>46279.0</v>
      </c>
      <c r="B136" s="7" t="s">
        <v>36</v>
      </c>
      <c r="C136" s="9" t="s">
        <v>29</v>
      </c>
      <c r="D136" s="9" t="s">
        <v>27</v>
      </c>
      <c r="E136" s="10">
        <v>0.0</v>
      </c>
      <c r="F136" s="9">
        <f t="shared" si="1"/>
        <v>0</v>
      </c>
      <c r="G136" s="11">
        <v>1.0</v>
      </c>
      <c r="H136" s="9">
        <f t="shared" si="2"/>
        <v>1</v>
      </c>
      <c r="I136" s="11">
        <v>1.0</v>
      </c>
      <c r="J136" s="9">
        <f t="shared" si="10"/>
        <v>1</v>
      </c>
      <c r="K136" s="11">
        <v>70.0</v>
      </c>
      <c r="L136" s="11">
        <v>53.0</v>
      </c>
      <c r="M136" s="14">
        <f t="shared" si="4"/>
        <v>1</v>
      </c>
      <c r="N136" s="11">
        <v>3.0</v>
      </c>
      <c r="O136" s="14">
        <f t="shared" si="5"/>
        <v>2</v>
      </c>
      <c r="P136" s="11">
        <v>1.0</v>
      </c>
      <c r="Q136" s="15">
        <v>1.0</v>
      </c>
      <c r="R136" s="9">
        <v>10.0</v>
      </c>
      <c r="S136" s="16">
        <f t="shared" si="6"/>
        <v>7</v>
      </c>
      <c r="T136" s="17">
        <f t="shared" si="7"/>
        <v>0.7</v>
      </c>
      <c r="U136" s="14">
        <f t="shared" si="8"/>
        <v>-3</v>
      </c>
      <c r="V136" s="9" t="str">
        <f t="shared" si="9"/>
        <v>Near Target</v>
      </c>
      <c r="W136" s="9"/>
    </row>
    <row r="137" ht="15.75" customHeight="1">
      <c r="A137" s="6">
        <v>46279.0</v>
      </c>
      <c r="B137" s="7" t="s">
        <v>37</v>
      </c>
      <c r="C137" s="9" t="s">
        <v>29</v>
      </c>
      <c r="D137" s="9" t="s">
        <v>27</v>
      </c>
      <c r="E137" s="10">
        <v>0.0</v>
      </c>
      <c r="F137" s="9">
        <f t="shared" si="1"/>
        <v>0</v>
      </c>
      <c r="G137" s="11">
        <v>1.0</v>
      </c>
      <c r="H137" s="9">
        <f t="shared" si="2"/>
        <v>1</v>
      </c>
      <c r="I137" s="11">
        <v>1.0</v>
      </c>
      <c r="J137" s="9">
        <f t="shared" si="10"/>
        <v>1</v>
      </c>
      <c r="K137" s="11">
        <v>77.0</v>
      </c>
      <c r="L137" s="11">
        <v>52.0</v>
      </c>
      <c r="M137" s="14">
        <f t="shared" si="4"/>
        <v>1</v>
      </c>
      <c r="N137" s="11">
        <v>3.0</v>
      </c>
      <c r="O137" s="14">
        <f t="shared" si="5"/>
        <v>2</v>
      </c>
      <c r="P137" s="11">
        <v>1.0</v>
      </c>
      <c r="Q137" s="15">
        <v>1.0</v>
      </c>
      <c r="R137" s="9">
        <v>10.0</v>
      </c>
      <c r="S137" s="16">
        <f t="shared" si="6"/>
        <v>7</v>
      </c>
      <c r="T137" s="17">
        <f t="shared" si="7"/>
        <v>0.7</v>
      </c>
      <c r="U137" s="14">
        <f t="shared" si="8"/>
        <v>-3</v>
      </c>
      <c r="V137" s="9" t="str">
        <f t="shared" si="9"/>
        <v>Near Target</v>
      </c>
      <c r="W137" s="9"/>
    </row>
    <row r="138" ht="15.75" customHeight="1">
      <c r="A138" s="6">
        <v>46279.0</v>
      </c>
      <c r="B138" s="7" t="s">
        <v>38</v>
      </c>
      <c r="C138" s="9" t="s">
        <v>29</v>
      </c>
      <c r="D138" s="9" t="s">
        <v>27</v>
      </c>
      <c r="E138" s="10">
        <v>0.0</v>
      </c>
      <c r="F138" s="9">
        <f t="shared" si="1"/>
        <v>0</v>
      </c>
      <c r="G138" s="11">
        <v>0.0</v>
      </c>
      <c r="H138" s="9">
        <f t="shared" si="2"/>
        <v>0</v>
      </c>
      <c r="I138" s="11">
        <v>1.0</v>
      </c>
      <c r="J138" s="9">
        <f t="shared" si="10"/>
        <v>1</v>
      </c>
      <c r="K138" s="11">
        <v>78.0</v>
      </c>
      <c r="L138" s="11">
        <v>57.0</v>
      </c>
      <c r="M138" s="14">
        <f t="shared" si="4"/>
        <v>1</v>
      </c>
      <c r="N138" s="11">
        <v>3.0</v>
      </c>
      <c r="O138" s="14">
        <f t="shared" si="5"/>
        <v>2</v>
      </c>
      <c r="P138" s="11">
        <v>1.0</v>
      </c>
      <c r="Q138" s="15">
        <v>1.0</v>
      </c>
      <c r="R138" s="9">
        <v>10.0</v>
      </c>
      <c r="S138" s="16">
        <f t="shared" si="6"/>
        <v>6</v>
      </c>
      <c r="T138" s="17">
        <f t="shared" si="7"/>
        <v>0.6</v>
      </c>
      <c r="U138" s="14">
        <f t="shared" si="8"/>
        <v>-4</v>
      </c>
      <c r="V138" s="9" t="str">
        <f t="shared" si="9"/>
        <v>Average</v>
      </c>
      <c r="W138" s="9"/>
    </row>
    <row r="139" ht="15.75" customHeight="1">
      <c r="A139" s="6">
        <v>46279.0</v>
      </c>
      <c r="B139" s="20" t="s">
        <v>39</v>
      </c>
      <c r="C139" s="9" t="s">
        <v>40</v>
      </c>
      <c r="D139" s="9" t="s">
        <v>27</v>
      </c>
      <c r="E139" s="10">
        <v>10000.0</v>
      </c>
      <c r="F139" s="9">
        <f t="shared" si="1"/>
        <v>3</v>
      </c>
      <c r="G139" s="11">
        <v>1.0</v>
      </c>
      <c r="H139" s="9">
        <f t="shared" si="2"/>
        <v>1</v>
      </c>
      <c r="I139" s="11">
        <v>0.0</v>
      </c>
      <c r="J139" s="9">
        <f t="shared" si="10"/>
        <v>0</v>
      </c>
      <c r="K139" s="11">
        <v>74.0</v>
      </c>
      <c r="L139" s="11">
        <v>42.0</v>
      </c>
      <c r="M139" s="14">
        <f t="shared" si="4"/>
        <v>0.84</v>
      </c>
      <c r="N139" s="11">
        <v>2.0</v>
      </c>
      <c r="O139" s="14">
        <f t="shared" si="5"/>
        <v>1.333333333</v>
      </c>
      <c r="P139" s="11">
        <v>1.0</v>
      </c>
      <c r="Q139" s="15">
        <v>1.0</v>
      </c>
      <c r="R139" s="9">
        <v>10.0</v>
      </c>
      <c r="S139" s="16">
        <f t="shared" si="6"/>
        <v>8.173333333</v>
      </c>
      <c r="T139" s="17">
        <f t="shared" si="7"/>
        <v>0.8173333333</v>
      </c>
      <c r="U139" s="14">
        <f t="shared" si="8"/>
        <v>-1.826666667</v>
      </c>
      <c r="V139" s="9" t="str">
        <f t="shared" si="9"/>
        <v>Near Target</v>
      </c>
      <c r="W139" s="9"/>
    </row>
    <row r="140" ht="15.75" customHeight="1">
      <c r="A140" s="6">
        <v>46279.0</v>
      </c>
      <c r="B140" s="7" t="s">
        <v>41</v>
      </c>
      <c r="C140" s="9" t="s">
        <v>40</v>
      </c>
      <c r="D140" s="9" t="s">
        <v>27</v>
      </c>
      <c r="E140" s="10">
        <v>0.0</v>
      </c>
      <c r="F140" s="9">
        <f t="shared" si="1"/>
        <v>0</v>
      </c>
      <c r="G140" s="11">
        <v>0.0</v>
      </c>
      <c r="H140" s="9">
        <f t="shared" si="2"/>
        <v>0</v>
      </c>
      <c r="I140" s="11">
        <v>1.0</v>
      </c>
      <c r="J140" s="9">
        <f t="shared" si="10"/>
        <v>1</v>
      </c>
      <c r="K140" s="11">
        <v>80.0</v>
      </c>
      <c r="L140" s="11">
        <v>51.0</v>
      </c>
      <c r="M140" s="14">
        <f t="shared" si="4"/>
        <v>1</v>
      </c>
      <c r="N140" s="11">
        <v>3.0</v>
      </c>
      <c r="O140" s="14">
        <f t="shared" si="5"/>
        <v>2</v>
      </c>
      <c r="P140" s="11">
        <v>1.0</v>
      </c>
      <c r="Q140" s="15">
        <v>1.0</v>
      </c>
      <c r="R140" s="9">
        <v>10.0</v>
      </c>
      <c r="S140" s="16">
        <f t="shared" si="6"/>
        <v>6</v>
      </c>
      <c r="T140" s="17">
        <f t="shared" si="7"/>
        <v>0.6</v>
      </c>
      <c r="U140" s="14">
        <f t="shared" si="8"/>
        <v>-4</v>
      </c>
      <c r="V140" s="9" t="str">
        <f t="shared" si="9"/>
        <v>Average</v>
      </c>
      <c r="W140" s="9"/>
    </row>
    <row r="141" ht="15.75" customHeight="1">
      <c r="A141" s="6">
        <v>46279.0</v>
      </c>
      <c r="B141" s="7" t="s">
        <v>42</v>
      </c>
      <c r="C141" s="9" t="s">
        <v>40</v>
      </c>
      <c r="D141" s="9" t="s">
        <v>27</v>
      </c>
      <c r="E141" s="10">
        <v>0.0</v>
      </c>
      <c r="F141" s="9">
        <f t="shared" si="1"/>
        <v>0</v>
      </c>
      <c r="G141" s="11">
        <v>0.0</v>
      </c>
      <c r="H141" s="9">
        <f t="shared" si="2"/>
        <v>0</v>
      </c>
      <c r="I141" s="11">
        <v>0.0</v>
      </c>
      <c r="J141" s="9">
        <f t="shared" si="10"/>
        <v>0</v>
      </c>
      <c r="K141" s="11">
        <v>62.0</v>
      </c>
      <c r="L141" s="11">
        <v>53.0</v>
      </c>
      <c r="M141" s="14">
        <f t="shared" si="4"/>
        <v>1</v>
      </c>
      <c r="N141" s="11">
        <v>2.0</v>
      </c>
      <c r="O141" s="14">
        <f t="shared" si="5"/>
        <v>1.333333333</v>
      </c>
      <c r="P141" s="11">
        <v>1.0</v>
      </c>
      <c r="Q141" s="15">
        <v>1.0</v>
      </c>
      <c r="R141" s="9">
        <v>10.0</v>
      </c>
      <c r="S141" s="16">
        <f t="shared" si="6"/>
        <v>4.333333333</v>
      </c>
      <c r="T141" s="17">
        <f t="shared" si="7"/>
        <v>0.4333333333</v>
      </c>
      <c r="U141" s="14">
        <f t="shared" si="8"/>
        <v>-5.666666667</v>
      </c>
      <c r="V141" s="9" t="str">
        <f t="shared" si="9"/>
        <v>Low Performance</v>
      </c>
      <c r="W141" s="9"/>
    </row>
    <row r="142" ht="15.75" customHeight="1">
      <c r="A142" s="6">
        <v>46279.0</v>
      </c>
      <c r="B142" s="7" t="s">
        <v>43</v>
      </c>
      <c r="C142" s="9" t="s">
        <v>40</v>
      </c>
      <c r="D142" s="9" t="s">
        <v>27</v>
      </c>
      <c r="E142" s="10">
        <v>0.0</v>
      </c>
      <c r="F142" s="9">
        <f t="shared" si="1"/>
        <v>0</v>
      </c>
      <c r="G142" s="11">
        <v>1.0</v>
      </c>
      <c r="H142" s="9">
        <f t="shared" si="2"/>
        <v>1</v>
      </c>
      <c r="I142" s="11">
        <v>0.0</v>
      </c>
      <c r="J142" s="9">
        <f t="shared" si="10"/>
        <v>0</v>
      </c>
      <c r="K142" s="11">
        <v>75.0</v>
      </c>
      <c r="L142" s="11">
        <v>57.0</v>
      </c>
      <c r="M142" s="14">
        <f t="shared" si="4"/>
        <v>1</v>
      </c>
      <c r="N142" s="11">
        <v>3.0</v>
      </c>
      <c r="O142" s="14">
        <f t="shared" si="5"/>
        <v>2</v>
      </c>
      <c r="P142" s="11">
        <v>1.0</v>
      </c>
      <c r="Q142" s="15">
        <v>1.0</v>
      </c>
      <c r="R142" s="9">
        <v>10.0</v>
      </c>
      <c r="S142" s="16">
        <f t="shared" si="6"/>
        <v>6</v>
      </c>
      <c r="T142" s="17">
        <f t="shared" si="7"/>
        <v>0.6</v>
      </c>
      <c r="U142" s="14">
        <f t="shared" si="8"/>
        <v>-4</v>
      </c>
      <c r="V142" s="9" t="str">
        <f t="shared" si="9"/>
        <v>Average</v>
      </c>
      <c r="W142" s="9"/>
    </row>
    <row r="143" ht="15.75" customHeight="1">
      <c r="A143" s="6">
        <v>46279.0</v>
      </c>
      <c r="B143" s="7" t="s">
        <v>47</v>
      </c>
      <c r="C143" s="9" t="s">
        <v>48</v>
      </c>
      <c r="D143" s="9" t="s">
        <v>27</v>
      </c>
      <c r="E143" s="57"/>
      <c r="F143" s="52">
        <f t="shared" si="1"/>
        <v>0</v>
      </c>
      <c r="G143" s="52"/>
      <c r="H143" s="52">
        <f t="shared" si="2"/>
        <v>0</v>
      </c>
      <c r="I143" s="52"/>
      <c r="J143" s="52">
        <f t="shared" si="10"/>
        <v>0</v>
      </c>
      <c r="K143" s="53">
        <v>0.0</v>
      </c>
      <c r="L143" s="53">
        <v>0.0</v>
      </c>
      <c r="M143" s="54">
        <f t="shared" si="4"/>
        <v>0</v>
      </c>
      <c r="N143" s="52"/>
      <c r="O143" s="54">
        <f t="shared" si="5"/>
        <v>0</v>
      </c>
      <c r="P143" s="52"/>
      <c r="Q143" s="54"/>
      <c r="R143" s="52">
        <v>10.0</v>
      </c>
      <c r="S143" s="54">
        <f t="shared" si="6"/>
        <v>0</v>
      </c>
      <c r="T143" s="56">
        <f t="shared" si="7"/>
        <v>0</v>
      </c>
      <c r="U143" s="54">
        <f t="shared" si="8"/>
        <v>-10</v>
      </c>
      <c r="V143" s="52" t="str">
        <f t="shared" si="9"/>
        <v>Low Performance</v>
      </c>
      <c r="W143" s="31" t="s">
        <v>51</v>
      </c>
    </row>
    <row r="144" ht="15.75" customHeight="1">
      <c r="A144" s="6">
        <v>46279.0</v>
      </c>
      <c r="B144" s="7" t="s">
        <v>45</v>
      </c>
      <c r="C144" s="9" t="s">
        <v>48</v>
      </c>
      <c r="D144" s="9" t="s">
        <v>27</v>
      </c>
      <c r="E144" s="10">
        <v>0.0</v>
      </c>
      <c r="F144" s="9">
        <f t="shared" si="1"/>
        <v>0</v>
      </c>
      <c r="G144" s="11">
        <v>0.0</v>
      </c>
      <c r="H144" s="9">
        <f t="shared" si="2"/>
        <v>0</v>
      </c>
      <c r="I144" s="11">
        <v>3.0</v>
      </c>
      <c r="J144" s="9">
        <f t="shared" si="10"/>
        <v>1</v>
      </c>
      <c r="K144" s="11">
        <v>60.0</v>
      </c>
      <c r="L144" s="11">
        <v>45.0</v>
      </c>
      <c r="M144" s="14">
        <f t="shared" si="4"/>
        <v>0.9</v>
      </c>
      <c r="N144" s="11">
        <v>3.0</v>
      </c>
      <c r="O144" s="14">
        <f t="shared" si="5"/>
        <v>2</v>
      </c>
      <c r="P144" s="11">
        <v>1.0</v>
      </c>
      <c r="Q144" s="15">
        <v>1.0</v>
      </c>
      <c r="R144" s="9">
        <v>10.0</v>
      </c>
      <c r="S144" s="16">
        <f t="shared" si="6"/>
        <v>5.9</v>
      </c>
      <c r="T144" s="17">
        <f t="shared" si="7"/>
        <v>0.59</v>
      </c>
      <c r="U144" s="14">
        <f t="shared" si="8"/>
        <v>-4.1</v>
      </c>
      <c r="V144" s="9" t="str">
        <f t="shared" si="9"/>
        <v>Average</v>
      </c>
      <c r="W144" s="9"/>
    </row>
    <row r="145" ht="15.75" customHeight="1">
      <c r="A145" s="6">
        <v>46279.0</v>
      </c>
      <c r="B145" s="7" t="s">
        <v>49</v>
      </c>
      <c r="C145" s="9" t="s">
        <v>48</v>
      </c>
      <c r="D145" s="9" t="s">
        <v>27</v>
      </c>
      <c r="E145" s="10">
        <v>0.0</v>
      </c>
      <c r="F145" s="9">
        <f t="shared" si="1"/>
        <v>0</v>
      </c>
      <c r="G145" s="11">
        <v>1.0</v>
      </c>
      <c r="H145" s="9">
        <f t="shared" si="2"/>
        <v>1</v>
      </c>
      <c r="I145" s="11">
        <v>1.0</v>
      </c>
      <c r="J145" s="9">
        <f t="shared" si="10"/>
        <v>1</v>
      </c>
      <c r="K145" s="11">
        <v>65.0</v>
      </c>
      <c r="L145" s="11">
        <v>50.0</v>
      </c>
      <c r="M145" s="14">
        <f t="shared" si="4"/>
        <v>1</v>
      </c>
      <c r="N145" s="11">
        <v>3.0</v>
      </c>
      <c r="O145" s="14">
        <f t="shared" si="5"/>
        <v>2</v>
      </c>
      <c r="P145" s="11">
        <v>1.0</v>
      </c>
      <c r="Q145" s="15">
        <v>1.0</v>
      </c>
      <c r="R145" s="9">
        <v>10.0</v>
      </c>
      <c r="S145" s="16">
        <f t="shared" si="6"/>
        <v>7</v>
      </c>
      <c r="T145" s="17">
        <f t="shared" si="7"/>
        <v>0.7</v>
      </c>
      <c r="U145" s="14">
        <f t="shared" si="8"/>
        <v>-3</v>
      </c>
      <c r="V145" s="9" t="str">
        <f t="shared" si="9"/>
        <v>Near Target</v>
      </c>
      <c r="W145" s="9"/>
    </row>
    <row r="146" ht="15.75" customHeight="1">
      <c r="A146" s="6">
        <v>46279.0</v>
      </c>
      <c r="B146" s="22" t="s">
        <v>50</v>
      </c>
      <c r="C146" s="24" t="s">
        <v>48</v>
      </c>
      <c r="D146" s="24" t="s">
        <v>27</v>
      </c>
      <c r="E146" s="10">
        <v>0.0</v>
      </c>
      <c r="F146" s="9">
        <f t="shared" si="1"/>
        <v>0</v>
      </c>
      <c r="G146" s="11">
        <v>0.0</v>
      </c>
      <c r="H146" s="9">
        <f t="shared" si="2"/>
        <v>0</v>
      </c>
      <c r="I146" s="11">
        <v>1.0</v>
      </c>
      <c r="J146" s="9">
        <f t="shared" si="10"/>
        <v>1</v>
      </c>
      <c r="K146" s="11">
        <v>57.0</v>
      </c>
      <c r="L146" s="11">
        <v>50.0</v>
      </c>
      <c r="M146" s="14">
        <f t="shared" si="4"/>
        <v>1</v>
      </c>
      <c r="N146" s="11">
        <v>3.0</v>
      </c>
      <c r="O146" s="14">
        <f t="shared" si="5"/>
        <v>2</v>
      </c>
      <c r="P146" s="11">
        <v>1.0</v>
      </c>
      <c r="Q146" s="15">
        <v>1.0</v>
      </c>
      <c r="R146" s="9">
        <v>10.0</v>
      </c>
      <c r="S146" s="16">
        <f t="shared" si="6"/>
        <v>6</v>
      </c>
      <c r="T146" s="17">
        <f t="shared" si="7"/>
        <v>0.6</v>
      </c>
      <c r="U146" s="14">
        <f t="shared" si="8"/>
        <v>-4</v>
      </c>
      <c r="V146" s="9" t="str">
        <f t="shared" si="9"/>
        <v>Average</v>
      </c>
      <c r="W146" s="9"/>
    </row>
    <row r="147" ht="15.75" customHeight="1">
      <c r="A147" s="6">
        <v>46280.0</v>
      </c>
      <c r="B147" s="7" t="s">
        <v>28</v>
      </c>
      <c r="C147" s="9" t="s">
        <v>29</v>
      </c>
      <c r="D147" s="9" t="s">
        <v>27</v>
      </c>
      <c r="E147" s="10">
        <v>0.0</v>
      </c>
      <c r="F147" s="9">
        <f t="shared" si="1"/>
        <v>0</v>
      </c>
      <c r="G147" s="11">
        <v>1.0</v>
      </c>
      <c r="H147" s="9">
        <f t="shared" si="2"/>
        <v>1</v>
      </c>
      <c r="I147" s="11">
        <v>0.0</v>
      </c>
      <c r="J147" s="9">
        <f t="shared" si="10"/>
        <v>0</v>
      </c>
      <c r="K147" s="11">
        <v>108.0</v>
      </c>
      <c r="L147" s="11">
        <v>57.0</v>
      </c>
      <c r="M147" s="14">
        <f t="shared" si="4"/>
        <v>1</v>
      </c>
      <c r="N147" s="11">
        <v>3.0</v>
      </c>
      <c r="O147" s="14">
        <f t="shared" si="5"/>
        <v>2</v>
      </c>
      <c r="P147" s="11">
        <v>1.0</v>
      </c>
      <c r="Q147" s="15">
        <v>1.0</v>
      </c>
      <c r="R147" s="9">
        <v>10.0</v>
      </c>
      <c r="S147" s="16">
        <f t="shared" si="6"/>
        <v>6</v>
      </c>
      <c r="T147" s="17">
        <f t="shared" si="7"/>
        <v>0.6</v>
      </c>
      <c r="U147" s="14">
        <f t="shared" si="8"/>
        <v>-4</v>
      </c>
      <c r="V147" s="9" t="str">
        <f t="shared" si="9"/>
        <v>Average</v>
      </c>
      <c r="W147" s="9"/>
    </row>
    <row r="148" ht="15.75" customHeight="1">
      <c r="A148" s="6">
        <v>46280.0</v>
      </c>
      <c r="B148" s="7" t="s">
        <v>36</v>
      </c>
      <c r="C148" s="9" t="s">
        <v>29</v>
      </c>
      <c r="D148" s="9" t="s">
        <v>27</v>
      </c>
      <c r="E148" s="10">
        <v>0.0</v>
      </c>
      <c r="F148" s="9">
        <f t="shared" si="1"/>
        <v>0</v>
      </c>
      <c r="G148" s="11">
        <v>0.0</v>
      </c>
      <c r="H148" s="9">
        <f t="shared" si="2"/>
        <v>0</v>
      </c>
      <c r="I148" s="11">
        <v>1.0</v>
      </c>
      <c r="J148" s="9">
        <f t="shared" si="10"/>
        <v>1</v>
      </c>
      <c r="K148" s="11">
        <v>69.0</v>
      </c>
      <c r="L148" s="11">
        <v>57.0</v>
      </c>
      <c r="M148" s="14">
        <f t="shared" si="4"/>
        <v>1</v>
      </c>
      <c r="N148" s="11">
        <v>3.0</v>
      </c>
      <c r="O148" s="14">
        <f t="shared" si="5"/>
        <v>2</v>
      </c>
      <c r="P148" s="11">
        <v>1.0</v>
      </c>
      <c r="Q148" s="15">
        <v>1.0</v>
      </c>
      <c r="R148" s="9">
        <v>10.0</v>
      </c>
      <c r="S148" s="16">
        <f t="shared" si="6"/>
        <v>6</v>
      </c>
      <c r="T148" s="17">
        <f t="shared" si="7"/>
        <v>0.6</v>
      </c>
      <c r="U148" s="14">
        <f t="shared" si="8"/>
        <v>-4</v>
      </c>
      <c r="V148" s="9" t="str">
        <f t="shared" si="9"/>
        <v>Average</v>
      </c>
      <c r="W148" s="9"/>
    </row>
    <row r="149" ht="15.75" customHeight="1">
      <c r="A149" s="6">
        <v>46280.0</v>
      </c>
      <c r="B149" s="7" t="s">
        <v>37</v>
      </c>
      <c r="C149" s="9" t="s">
        <v>29</v>
      </c>
      <c r="D149" s="9" t="s">
        <v>27</v>
      </c>
      <c r="E149" s="10">
        <v>0.0</v>
      </c>
      <c r="F149" s="9">
        <f t="shared" si="1"/>
        <v>0</v>
      </c>
      <c r="G149" s="11">
        <v>0.0</v>
      </c>
      <c r="H149" s="9">
        <f t="shared" si="2"/>
        <v>0</v>
      </c>
      <c r="I149" s="11">
        <v>1.0</v>
      </c>
      <c r="J149" s="9">
        <f t="shared" si="10"/>
        <v>1</v>
      </c>
      <c r="K149" s="11">
        <v>81.0</v>
      </c>
      <c r="L149" s="11">
        <v>61.0</v>
      </c>
      <c r="M149" s="14">
        <f t="shared" si="4"/>
        <v>1</v>
      </c>
      <c r="N149" s="11">
        <v>3.0</v>
      </c>
      <c r="O149" s="14">
        <f t="shared" si="5"/>
        <v>2</v>
      </c>
      <c r="P149" s="11">
        <v>1.0</v>
      </c>
      <c r="Q149" s="15">
        <v>1.0</v>
      </c>
      <c r="R149" s="9">
        <v>10.0</v>
      </c>
      <c r="S149" s="16">
        <f t="shared" si="6"/>
        <v>6</v>
      </c>
      <c r="T149" s="17">
        <f t="shared" si="7"/>
        <v>0.6</v>
      </c>
      <c r="U149" s="14">
        <f t="shared" si="8"/>
        <v>-4</v>
      </c>
      <c r="V149" s="9" t="str">
        <f t="shared" si="9"/>
        <v>Average</v>
      </c>
      <c r="W149" s="9"/>
    </row>
    <row r="150" ht="15.75" customHeight="1">
      <c r="A150" s="6">
        <v>46280.0</v>
      </c>
      <c r="B150" s="7" t="s">
        <v>38</v>
      </c>
      <c r="C150" s="9" t="s">
        <v>29</v>
      </c>
      <c r="D150" s="9" t="s">
        <v>27</v>
      </c>
      <c r="E150" s="10">
        <v>0.0</v>
      </c>
      <c r="F150" s="9">
        <f t="shared" si="1"/>
        <v>0</v>
      </c>
      <c r="G150" s="11">
        <v>1.0</v>
      </c>
      <c r="H150" s="9">
        <f t="shared" si="2"/>
        <v>1</v>
      </c>
      <c r="I150" s="11">
        <v>1.0</v>
      </c>
      <c r="J150" s="9">
        <f t="shared" si="10"/>
        <v>1</v>
      </c>
      <c r="K150" s="11">
        <v>86.0</v>
      </c>
      <c r="L150" s="11">
        <v>52.0</v>
      </c>
      <c r="M150" s="14">
        <f t="shared" si="4"/>
        <v>1</v>
      </c>
      <c r="N150" s="11">
        <v>3.0</v>
      </c>
      <c r="O150" s="14">
        <f t="shared" si="5"/>
        <v>2</v>
      </c>
      <c r="P150" s="11">
        <v>1.0</v>
      </c>
      <c r="Q150" s="15">
        <v>1.0</v>
      </c>
      <c r="R150" s="9">
        <v>10.0</v>
      </c>
      <c r="S150" s="16">
        <f t="shared" si="6"/>
        <v>7</v>
      </c>
      <c r="T150" s="17">
        <f t="shared" si="7"/>
        <v>0.7</v>
      </c>
      <c r="U150" s="14">
        <f t="shared" si="8"/>
        <v>-3</v>
      </c>
      <c r="V150" s="9" t="str">
        <f t="shared" si="9"/>
        <v>Near Target</v>
      </c>
      <c r="W150" s="9"/>
    </row>
    <row r="151" ht="15.75" customHeight="1">
      <c r="A151" s="6">
        <v>46280.0</v>
      </c>
      <c r="B151" s="20" t="s">
        <v>39</v>
      </c>
      <c r="C151" s="9" t="s">
        <v>40</v>
      </c>
      <c r="D151" s="9" t="s">
        <v>27</v>
      </c>
      <c r="E151" s="10">
        <v>0.0</v>
      </c>
      <c r="F151" s="9">
        <f t="shared" si="1"/>
        <v>0</v>
      </c>
      <c r="G151" s="11">
        <v>0.0</v>
      </c>
      <c r="H151" s="9">
        <f t="shared" si="2"/>
        <v>0</v>
      </c>
      <c r="I151" s="11">
        <v>0.0</v>
      </c>
      <c r="J151" s="9">
        <f t="shared" si="10"/>
        <v>0</v>
      </c>
      <c r="K151" s="11">
        <v>82.0</v>
      </c>
      <c r="L151" s="11">
        <v>55.0</v>
      </c>
      <c r="M151" s="14">
        <f t="shared" si="4"/>
        <v>1</v>
      </c>
      <c r="N151" s="11">
        <v>3.0</v>
      </c>
      <c r="O151" s="14">
        <f t="shared" si="5"/>
        <v>2</v>
      </c>
      <c r="P151" s="11">
        <v>1.0</v>
      </c>
      <c r="Q151" s="15">
        <v>1.0</v>
      </c>
      <c r="R151" s="9">
        <v>10.0</v>
      </c>
      <c r="S151" s="16">
        <f t="shared" si="6"/>
        <v>5</v>
      </c>
      <c r="T151" s="17">
        <f t="shared" si="7"/>
        <v>0.5</v>
      </c>
      <c r="U151" s="14">
        <f t="shared" si="8"/>
        <v>-5</v>
      </c>
      <c r="V151" s="9" t="str">
        <f t="shared" si="9"/>
        <v>Average</v>
      </c>
      <c r="W151" s="9"/>
    </row>
    <row r="152" ht="15.75" customHeight="1">
      <c r="A152" s="6">
        <v>46280.0</v>
      </c>
      <c r="B152" s="7" t="s">
        <v>41</v>
      </c>
      <c r="C152" s="9" t="s">
        <v>40</v>
      </c>
      <c r="D152" s="9" t="s">
        <v>27</v>
      </c>
      <c r="E152" s="10">
        <v>0.0</v>
      </c>
      <c r="F152" s="9">
        <f t="shared" si="1"/>
        <v>0</v>
      </c>
      <c r="G152" s="11">
        <v>0.0</v>
      </c>
      <c r="H152" s="9">
        <f t="shared" si="2"/>
        <v>0</v>
      </c>
      <c r="I152" s="11">
        <v>0.0</v>
      </c>
      <c r="J152" s="9">
        <f t="shared" si="10"/>
        <v>0</v>
      </c>
      <c r="K152" s="11">
        <v>61.0</v>
      </c>
      <c r="L152" s="11">
        <v>58.0</v>
      </c>
      <c r="M152" s="14">
        <f t="shared" si="4"/>
        <v>1</v>
      </c>
      <c r="N152" s="11">
        <v>3.0</v>
      </c>
      <c r="O152" s="14">
        <f t="shared" si="5"/>
        <v>2</v>
      </c>
      <c r="P152" s="11">
        <v>1.0</v>
      </c>
      <c r="Q152" s="15">
        <v>1.0</v>
      </c>
      <c r="R152" s="9">
        <v>10.0</v>
      </c>
      <c r="S152" s="16">
        <f t="shared" si="6"/>
        <v>5</v>
      </c>
      <c r="T152" s="17">
        <f t="shared" si="7"/>
        <v>0.5</v>
      </c>
      <c r="U152" s="14">
        <f t="shared" si="8"/>
        <v>-5</v>
      </c>
      <c r="V152" s="9" t="str">
        <f t="shared" si="9"/>
        <v>Average</v>
      </c>
      <c r="W152" s="9"/>
    </row>
    <row r="153" ht="15.75" customHeight="1">
      <c r="A153" s="6">
        <v>46280.0</v>
      </c>
      <c r="B153" s="7" t="s">
        <v>42</v>
      </c>
      <c r="C153" s="9" t="s">
        <v>40</v>
      </c>
      <c r="D153" s="9" t="s">
        <v>27</v>
      </c>
      <c r="E153" s="10">
        <v>0.0</v>
      </c>
      <c r="F153" s="9">
        <f t="shared" si="1"/>
        <v>0</v>
      </c>
      <c r="G153" s="11">
        <v>0.0</v>
      </c>
      <c r="H153" s="9">
        <f t="shared" si="2"/>
        <v>0</v>
      </c>
      <c r="I153" s="11">
        <v>0.0</v>
      </c>
      <c r="J153" s="9">
        <f t="shared" si="10"/>
        <v>0</v>
      </c>
      <c r="K153" s="11">
        <v>67.0</v>
      </c>
      <c r="L153" s="11">
        <v>52.0</v>
      </c>
      <c r="M153" s="14">
        <f t="shared" si="4"/>
        <v>1</v>
      </c>
      <c r="N153" s="11">
        <v>3.0</v>
      </c>
      <c r="O153" s="14">
        <f t="shared" si="5"/>
        <v>2</v>
      </c>
      <c r="P153" s="11">
        <v>1.0</v>
      </c>
      <c r="Q153" s="15">
        <v>1.0</v>
      </c>
      <c r="R153" s="9">
        <v>10.0</v>
      </c>
      <c r="S153" s="16">
        <f t="shared" si="6"/>
        <v>5</v>
      </c>
      <c r="T153" s="17">
        <f t="shared" si="7"/>
        <v>0.5</v>
      </c>
      <c r="U153" s="14">
        <f t="shared" si="8"/>
        <v>-5</v>
      </c>
      <c r="V153" s="9" t="str">
        <f t="shared" si="9"/>
        <v>Average</v>
      </c>
      <c r="W153" s="9"/>
    </row>
    <row r="154" ht="15.75" customHeight="1">
      <c r="A154" s="6">
        <v>46280.0</v>
      </c>
      <c r="B154" s="7" t="s">
        <v>43</v>
      </c>
      <c r="C154" s="9" t="s">
        <v>40</v>
      </c>
      <c r="D154" s="9" t="s">
        <v>27</v>
      </c>
      <c r="E154" s="10">
        <v>0.0</v>
      </c>
      <c r="F154" s="9">
        <f t="shared" si="1"/>
        <v>0</v>
      </c>
      <c r="G154" s="11">
        <v>0.0</v>
      </c>
      <c r="H154" s="9">
        <f t="shared" si="2"/>
        <v>0</v>
      </c>
      <c r="I154" s="11">
        <v>1.0</v>
      </c>
      <c r="J154" s="9">
        <f t="shared" si="10"/>
        <v>1</v>
      </c>
      <c r="K154" s="11">
        <v>67.0</v>
      </c>
      <c r="L154" s="11">
        <v>51.0</v>
      </c>
      <c r="M154" s="14">
        <f t="shared" si="4"/>
        <v>1</v>
      </c>
      <c r="N154" s="11">
        <v>3.0</v>
      </c>
      <c r="O154" s="14">
        <f t="shared" si="5"/>
        <v>2</v>
      </c>
      <c r="P154" s="11">
        <v>1.0</v>
      </c>
      <c r="Q154" s="15">
        <v>1.0</v>
      </c>
      <c r="R154" s="9">
        <v>10.0</v>
      </c>
      <c r="S154" s="16">
        <f t="shared" si="6"/>
        <v>6</v>
      </c>
      <c r="T154" s="17">
        <f t="shared" si="7"/>
        <v>0.6</v>
      </c>
      <c r="U154" s="14">
        <f t="shared" si="8"/>
        <v>-4</v>
      </c>
      <c r="V154" s="9" t="str">
        <f t="shared" si="9"/>
        <v>Average</v>
      </c>
      <c r="W154" s="9"/>
    </row>
    <row r="155" ht="15.75" customHeight="1">
      <c r="A155" s="6">
        <v>46280.0</v>
      </c>
      <c r="B155" s="7" t="s">
        <v>47</v>
      </c>
      <c r="C155" s="9" t="s">
        <v>48</v>
      </c>
      <c r="D155" s="9" t="s">
        <v>27</v>
      </c>
      <c r="E155" s="10">
        <v>0.0</v>
      </c>
      <c r="F155" s="9">
        <f t="shared" si="1"/>
        <v>0</v>
      </c>
      <c r="G155" s="11">
        <v>0.0</v>
      </c>
      <c r="H155" s="9">
        <f t="shared" si="2"/>
        <v>0</v>
      </c>
      <c r="I155" s="11">
        <v>1.0</v>
      </c>
      <c r="J155" s="9">
        <f t="shared" si="10"/>
        <v>1</v>
      </c>
      <c r="K155" s="11">
        <v>61.0</v>
      </c>
      <c r="L155" s="11">
        <v>53.0</v>
      </c>
      <c r="M155" s="14">
        <f t="shared" si="4"/>
        <v>1</v>
      </c>
      <c r="N155" s="11">
        <v>3.0</v>
      </c>
      <c r="O155" s="14">
        <f t="shared" si="5"/>
        <v>2</v>
      </c>
      <c r="P155" s="11">
        <v>1.0</v>
      </c>
      <c r="Q155" s="15">
        <v>1.0</v>
      </c>
      <c r="R155" s="9">
        <v>10.0</v>
      </c>
      <c r="S155" s="16">
        <f t="shared" si="6"/>
        <v>6</v>
      </c>
      <c r="T155" s="17">
        <f t="shared" si="7"/>
        <v>0.6</v>
      </c>
      <c r="U155" s="14">
        <f t="shared" si="8"/>
        <v>-4</v>
      </c>
      <c r="V155" s="9" t="str">
        <f t="shared" si="9"/>
        <v>Average</v>
      </c>
      <c r="W155" s="9"/>
    </row>
    <row r="156" ht="15.75" customHeight="1">
      <c r="A156" s="6">
        <v>46280.0</v>
      </c>
      <c r="B156" s="7" t="s">
        <v>45</v>
      </c>
      <c r="C156" s="9" t="s">
        <v>48</v>
      </c>
      <c r="D156" s="9" t="s">
        <v>27</v>
      </c>
      <c r="E156" s="10">
        <v>0.0</v>
      </c>
      <c r="F156" s="9">
        <f t="shared" si="1"/>
        <v>0</v>
      </c>
      <c r="G156" s="11">
        <v>1.0</v>
      </c>
      <c r="H156" s="9">
        <f t="shared" si="2"/>
        <v>1</v>
      </c>
      <c r="I156" s="11">
        <v>1.0</v>
      </c>
      <c r="J156" s="9">
        <f t="shared" si="10"/>
        <v>1</v>
      </c>
      <c r="K156" s="11">
        <v>61.0</v>
      </c>
      <c r="L156" s="11">
        <v>50.0</v>
      </c>
      <c r="M156" s="14">
        <f t="shared" si="4"/>
        <v>1</v>
      </c>
      <c r="N156" s="11">
        <v>3.0</v>
      </c>
      <c r="O156" s="14">
        <f t="shared" si="5"/>
        <v>2</v>
      </c>
      <c r="P156" s="11">
        <v>1.0</v>
      </c>
      <c r="Q156" s="15">
        <v>1.0</v>
      </c>
      <c r="R156" s="9">
        <v>10.0</v>
      </c>
      <c r="S156" s="16">
        <f t="shared" si="6"/>
        <v>7</v>
      </c>
      <c r="T156" s="17">
        <f t="shared" si="7"/>
        <v>0.7</v>
      </c>
      <c r="U156" s="14">
        <f t="shared" si="8"/>
        <v>-3</v>
      </c>
      <c r="V156" s="9" t="str">
        <f t="shared" si="9"/>
        <v>Near Target</v>
      </c>
      <c r="W156" s="9"/>
    </row>
    <row r="157" ht="15.75" customHeight="1">
      <c r="A157" s="6">
        <v>46280.0</v>
      </c>
      <c r="B157" s="7" t="s">
        <v>49</v>
      </c>
      <c r="C157" s="9" t="s">
        <v>48</v>
      </c>
      <c r="D157" s="9" t="s">
        <v>27</v>
      </c>
      <c r="E157" s="10">
        <v>0.0</v>
      </c>
      <c r="F157" s="9">
        <f t="shared" si="1"/>
        <v>0</v>
      </c>
      <c r="G157" s="11">
        <v>0.0</v>
      </c>
      <c r="H157" s="9">
        <f t="shared" si="2"/>
        <v>0</v>
      </c>
      <c r="I157" s="11">
        <v>1.0</v>
      </c>
      <c r="J157" s="9">
        <f t="shared" si="10"/>
        <v>1</v>
      </c>
      <c r="K157" s="11">
        <v>60.0</v>
      </c>
      <c r="L157" s="11">
        <v>48.0</v>
      </c>
      <c r="M157" s="14">
        <f t="shared" si="4"/>
        <v>0.96</v>
      </c>
      <c r="N157" s="11">
        <v>3.0</v>
      </c>
      <c r="O157" s="14">
        <f t="shared" si="5"/>
        <v>2</v>
      </c>
      <c r="P157" s="11">
        <v>1.0</v>
      </c>
      <c r="Q157" s="15">
        <v>1.0</v>
      </c>
      <c r="R157" s="9">
        <v>10.0</v>
      </c>
      <c r="S157" s="16">
        <f t="shared" si="6"/>
        <v>5.96</v>
      </c>
      <c r="T157" s="17">
        <f t="shared" si="7"/>
        <v>0.596</v>
      </c>
      <c r="U157" s="14">
        <f t="shared" si="8"/>
        <v>-4.04</v>
      </c>
      <c r="V157" s="9" t="str">
        <f t="shared" si="9"/>
        <v>Average</v>
      </c>
      <c r="W157" s="9"/>
    </row>
    <row r="158" ht="15.75" customHeight="1">
      <c r="A158" s="6">
        <v>46280.0</v>
      </c>
      <c r="B158" s="22" t="s">
        <v>50</v>
      </c>
      <c r="C158" s="24" t="s">
        <v>48</v>
      </c>
      <c r="D158" s="24" t="s">
        <v>27</v>
      </c>
      <c r="E158" s="10">
        <v>0.0</v>
      </c>
      <c r="F158" s="9">
        <f t="shared" si="1"/>
        <v>0</v>
      </c>
      <c r="G158" s="11">
        <v>0.0</v>
      </c>
      <c r="H158" s="9">
        <f t="shared" si="2"/>
        <v>0</v>
      </c>
      <c r="I158" s="11">
        <v>1.0</v>
      </c>
      <c r="J158" s="9">
        <f t="shared" si="10"/>
        <v>1</v>
      </c>
      <c r="K158" s="11">
        <v>59.0</v>
      </c>
      <c r="L158" s="11">
        <v>59.0</v>
      </c>
      <c r="M158" s="14">
        <f t="shared" si="4"/>
        <v>1</v>
      </c>
      <c r="N158" s="11">
        <v>3.0</v>
      </c>
      <c r="O158" s="14">
        <f t="shared" si="5"/>
        <v>2</v>
      </c>
      <c r="P158" s="11">
        <v>1.0</v>
      </c>
      <c r="Q158" s="15">
        <v>1.0</v>
      </c>
      <c r="R158" s="9">
        <v>10.0</v>
      </c>
      <c r="S158" s="16">
        <f t="shared" si="6"/>
        <v>6</v>
      </c>
      <c r="T158" s="17">
        <f t="shared" si="7"/>
        <v>0.6</v>
      </c>
      <c r="U158" s="14">
        <f t="shared" si="8"/>
        <v>-4</v>
      </c>
      <c r="V158" s="9" t="str">
        <f t="shared" si="9"/>
        <v>Average</v>
      </c>
      <c r="W158" s="9"/>
    </row>
    <row r="159" ht="15.75" customHeight="1">
      <c r="A159" s="6">
        <v>46281.0</v>
      </c>
      <c r="B159" s="7" t="s">
        <v>28</v>
      </c>
      <c r="C159" s="9" t="s">
        <v>29</v>
      </c>
      <c r="D159" s="9" t="s">
        <v>27</v>
      </c>
      <c r="E159" s="10">
        <v>0.0</v>
      </c>
      <c r="F159" s="9">
        <f t="shared" si="1"/>
        <v>0</v>
      </c>
      <c r="G159" s="11">
        <v>0.0</v>
      </c>
      <c r="H159" s="9">
        <f t="shared" si="2"/>
        <v>0</v>
      </c>
      <c r="I159" s="11">
        <v>1.0</v>
      </c>
      <c r="J159" s="9">
        <f t="shared" si="10"/>
        <v>1</v>
      </c>
      <c r="K159" s="11">
        <v>105.0</v>
      </c>
      <c r="L159" s="11">
        <v>51.0</v>
      </c>
      <c r="M159" s="14">
        <f t="shared" si="4"/>
        <v>1</v>
      </c>
      <c r="N159" s="11">
        <v>3.0</v>
      </c>
      <c r="O159" s="14">
        <f t="shared" si="5"/>
        <v>2</v>
      </c>
      <c r="P159" s="11">
        <v>1.0</v>
      </c>
      <c r="Q159" s="15">
        <v>1.0</v>
      </c>
      <c r="R159" s="9">
        <v>10.0</v>
      </c>
      <c r="S159" s="16">
        <f t="shared" si="6"/>
        <v>6</v>
      </c>
      <c r="T159" s="17">
        <f t="shared" si="7"/>
        <v>0.6</v>
      </c>
      <c r="U159" s="14">
        <f t="shared" si="8"/>
        <v>-4</v>
      </c>
      <c r="V159" s="9" t="str">
        <f t="shared" si="9"/>
        <v>Average</v>
      </c>
      <c r="W159" s="9"/>
    </row>
    <row r="160" ht="15.75" customHeight="1">
      <c r="A160" s="6">
        <v>46281.0</v>
      </c>
      <c r="B160" s="7" t="s">
        <v>36</v>
      </c>
      <c r="C160" s="9" t="s">
        <v>29</v>
      </c>
      <c r="D160" s="9" t="s">
        <v>27</v>
      </c>
      <c r="E160" s="25">
        <v>0.0</v>
      </c>
      <c r="F160" s="26">
        <f t="shared" si="1"/>
        <v>0</v>
      </c>
      <c r="G160" s="27">
        <v>0.0</v>
      </c>
      <c r="H160" s="26">
        <f t="shared" si="2"/>
        <v>0</v>
      </c>
      <c r="I160" s="27">
        <v>0.0</v>
      </c>
      <c r="J160" s="26">
        <f t="shared" si="10"/>
        <v>0</v>
      </c>
      <c r="K160" s="27">
        <v>0.0</v>
      </c>
      <c r="L160" s="27">
        <v>0.0</v>
      </c>
      <c r="M160" s="29">
        <f t="shared" si="4"/>
        <v>0</v>
      </c>
      <c r="N160" s="26"/>
      <c r="O160" s="29">
        <f t="shared" si="5"/>
        <v>0</v>
      </c>
      <c r="P160" s="27">
        <v>0.0</v>
      </c>
      <c r="Q160" s="30">
        <v>0.0</v>
      </c>
      <c r="R160" s="26">
        <v>10.0</v>
      </c>
      <c r="S160" s="29">
        <f t="shared" si="6"/>
        <v>0</v>
      </c>
      <c r="T160" s="28">
        <f t="shared" si="7"/>
        <v>0</v>
      </c>
      <c r="U160" s="29">
        <f t="shared" si="8"/>
        <v>-10</v>
      </c>
      <c r="V160" s="26" t="str">
        <f t="shared" si="9"/>
        <v>Low Performance</v>
      </c>
      <c r="W160" s="32" t="s">
        <v>65</v>
      </c>
    </row>
    <row r="161" ht="15.75" customHeight="1">
      <c r="A161" s="6">
        <v>46281.0</v>
      </c>
      <c r="B161" s="7" t="s">
        <v>37</v>
      </c>
      <c r="C161" s="9" t="s">
        <v>29</v>
      </c>
      <c r="D161" s="9" t="s">
        <v>27</v>
      </c>
      <c r="E161" s="10">
        <v>0.0</v>
      </c>
      <c r="F161" s="9">
        <f t="shared" si="1"/>
        <v>0</v>
      </c>
      <c r="G161" s="11">
        <v>0.0</v>
      </c>
      <c r="H161" s="9">
        <f t="shared" si="2"/>
        <v>0</v>
      </c>
      <c r="I161" s="11">
        <v>1.0</v>
      </c>
      <c r="J161" s="9">
        <f t="shared" si="10"/>
        <v>1</v>
      </c>
      <c r="K161" s="11">
        <v>68.0</v>
      </c>
      <c r="L161" s="11">
        <v>52.0</v>
      </c>
      <c r="M161" s="14">
        <f t="shared" si="4"/>
        <v>1</v>
      </c>
      <c r="N161" s="11">
        <v>3.0</v>
      </c>
      <c r="O161" s="14">
        <f t="shared" si="5"/>
        <v>2</v>
      </c>
      <c r="P161" s="11">
        <v>1.0</v>
      </c>
      <c r="Q161" s="15">
        <v>1.0</v>
      </c>
      <c r="R161" s="9">
        <v>10.0</v>
      </c>
      <c r="S161" s="16">
        <f t="shared" si="6"/>
        <v>6</v>
      </c>
      <c r="T161" s="17">
        <f t="shared" si="7"/>
        <v>0.6</v>
      </c>
      <c r="U161" s="14">
        <f t="shared" si="8"/>
        <v>-4</v>
      </c>
      <c r="V161" s="9" t="str">
        <f t="shared" si="9"/>
        <v>Average</v>
      </c>
      <c r="W161" s="9"/>
    </row>
    <row r="162" ht="15.75" customHeight="1">
      <c r="A162" s="6">
        <v>46281.0</v>
      </c>
      <c r="B162" s="7" t="s">
        <v>38</v>
      </c>
      <c r="C162" s="9" t="s">
        <v>29</v>
      </c>
      <c r="D162" s="9" t="s">
        <v>27</v>
      </c>
      <c r="E162" s="10">
        <v>0.0</v>
      </c>
      <c r="F162" s="9">
        <f t="shared" si="1"/>
        <v>0</v>
      </c>
      <c r="G162" s="11">
        <v>0.0</v>
      </c>
      <c r="H162" s="9">
        <f t="shared" si="2"/>
        <v>0</v>
      </c>
      <c r="I162" s="11">
        <v>1.0</v>
      </c>
      <c r="J162" s="9">
        <f t="shared" si="10"/>
        <v>1</v>
      </c>
      <c r="K162" s="11">
        <v>120.0</v>
      </c>
      <c r="L162" s="11">
        <v>60.0</v>
      </c>
      <c r="M162" s="14">
        <f t="shared" si="4"/>
        <v>1</v>
      </c>
      <c r="N162" s="11">
        <v>3.0</v>
      </c>
      <c r="O162" s="14">
        <f t="shared" si="5"/>
        <v>2</v>
      </c>
      <c r="P162" s="11">
        <v>1.0</v>
      </c>
      <c r="Q162" s="15">
        <v>1.0</v>
      </c>
      <c r="R162" s="9">
        <v>10.0</v>
      </c>
      <c r="S162" s="16">
        <f t="shared" si="6"/>
        <v>6</v>
      </c>
      <c r="T162" s="17">
        <f t="shared" si="7"/>
        <v>0.6</v>
      </c>
      <c r="U162" s="14">
        <f t="shared" si="8"/>
        <v>-4</v>
      </c>
      <c r="V162" s="9" t="str">
        <f t="shared" si="9"/>
        <v>Average</v>
      </c>
      <c r="W162" s="9"/>
    </row>
    <row r="163" ht="15.75" customHeight="1">
      <c r="A163" s="6">
        <v>46281.0</v>
      </c>
      <c r="B163" s="20" t="s">
        <v>39</v>
      </c>
      <c r="C163" s="9" t="s">
        <v>40</v>
      </c>
      <c r="D163" s="9" t="s">
        <v>27</v>
      </c>
      <c r="E163" s="10">
        <v>0.0</v>
      </c>
      <c r="F163" s="9">
        <f t="shared" si="1"/>
        <v>0</v>
      </c>
      <c r="G163" s="11">
        <v>0.0</v>
      </c>
      <c r="H163" s="9">
        <f t="shared" si="2"/>
        <v>0</v>
      </c>
      <c r="I163" s="11">
        <v>1.0</v>
      </c>
      <c r="J163" s="9">
        <f t="shared" si="10"/>
        <v>1</v>
      </c>
      <c r="K163" s="11">
        <v>87.0</v>
      </c>
      <c r="L163" s="11">
        <v>54.0</v>
      </c>
      <c r="M163" s="14">
        <f t="shared" si="4"/>
        <v>1</v>
      </c>
      <c r="N163" s="11">
        <v>3.0</v>
      </c>
      <c r="O163" s="14">
        <f t="shared" si="5"/>
        <v>2</v>
      </c>
      <c r="P163" s="11">
        <v>1.0</v>
      </c>
      <c r="Q163" s="15">
        <v>1.0</v>
      </c>
      <c r="R163" s="9">
        <v>10.0</v>
      </c>
      <c r="S163" s="16">
        <f t="shared" si="6"/>
        <v>6</v>
      </c>
      <c r="T163" s="17">
        <f t="shared" si="7"/>
        <v>0.6</v>
      </c>
      <c r="U163" s="14">
        <f t="shared" si="8"/>
        <v>-4</v>
      </c>
      <c r="V163" s="9" t="str">
        <f t="shared" si="9"/>
        <v>Average</v>
      </c>
      <c r="W163" s="9"/>
    </row>
    <row r="164" ht="15.75" customHeight="1">
      <c r="A164" s="6">
        <v>46281.0</v>
      </c>
      <c r="B164" s="7" t="s">
        <v>41</v>
      </c>
      <c r="C164" s="9" t="s">
        <v>40</v>
      </c>
      <c r="D164" s="9" t="s">
        <v>27</v>
      </c>
      <c r="E164" s="10">
        <v>0.0</v>
      </c>
      <c r="F164" s="9">
        <f t="shared" si="1"/>
        <v>0</v>
      </c>
      <c r="G164" s="11">
        <v>0.0</v>
      </c>
      <c r="H164" s="9">
        <f t="shared" si="2"/>
        <v>0</v>
      </c>
      <c r="I164" s="11">
        <v>1.0</v>
      </c>
      <c r="J164" s="9">
        <f t="shared" si="10"/>
        <v>1</v>
      </c>
      <c r="K164" s="11">
        <v>69.0</v>
      </c>
      <c r="L164" s="11">
        <v>56.0</v>
      </c>
      <c r="M164" s="14">
        <f t="shared" si="4"/>
        <v>1</v>
      </c>
      <c r="N164" s="11">
        <v>3.0</v>
      </c>
      <c r="O164" s="14">
        <f t="shared" si="5"/>
        <v>2</v>
      </c>
      <c r="P164" s="11">
        <v>1.0</v>
      </c>
      <c r="Q164" s="15">
        <v>1.0</v>
      </c>
      <c r="R164" s="9">
        <v>10.0</v>
      </c>
      <c r="S164" s="16">
        <f t="shared" si="6"/>
        <v>6</v>
      </c>
      <c r="T164" s="17">
        <f t="shared" si="7"/>
        <v>0.6</v>
      </c>
      <c r="U164" s="14">
        <f t="shared" si="8"/>
        <v>-4</v>
      </c>
      <c r="V164" s="9" t="str">
        <f t="shared" si="9"/>
        <v>Average</v>
      </c>
      <c r="W164" s="9"/>
    </row>
    <row r="165" ht="15.75" customHeight="1">
      <c r="A165" s="6">
        <v>46281.0</v>
      </c>
      <c r="B165" s="7" t="s">
        <v>42</v>
      </c>
      <c r="C165" s="9" t="s">
        <v>40</v>
      </c>
      <c r="D165" s="9" t="s">
        <v>27</v>
      </c>
      <c r="E165" s="10">
        <v>0.0</v>
      </c>
      <c r="F165" s="9">
        <f t="shared" si="1"/>
        <v>0</v>
      </c>
      <c r="G165" s="11">
        <v>0.0</v>
      </c>
      <c r="H165" s="9">
        <f t="shared" si="2"/>
        <v>0</v>
      </c>
      <c r="I165" s="11">
        <v>0.0</v>
      </c>
      <c r="J165" s="9">
        <f t="shared" si="10"/>
        <v>0</v>
      </c>
      <c r="K165" s="11">
        <v>62.0</v>
      </c>
      <c r="L165" s="11">
        <v>56.0</v>
      </c>
      <c r="M165" s="14">
        <f t="shared" si="4"/>
        <v>1</v>
      </c>
      <c r="N165" s="11">
        <v>3.0</v>
      </c>
      <c r="O165" s="14">
        <f t="shared" si="5"/>
        <v>2</v>
      </c>
      <c r="P165" s="11">
        <v>1.0</v>
      </c>
      <c r="Q165" s="15">
        <v>1.0</v>
      </c>
      <c r="R165" s="9">
        <v>10.0</v>
      </c>
      <c r="S165" s="16">
        <f t="shared" si="6"/>
        <v>5</v>
      </c>
      <c r="T165" s="17">
        <f t="shared" si="7"/>
        <v>0.5</v>
      </c>
      <c r="U165" s="14">
        <f t="shared" si="8"/>
        <v>-5</v>
      </c>
      <c r="V165" s="9" t="str">
        <f t="shared" si="9"/>
        <v>Average</v>
      </c>
      <c r="W165" s="9"/>
    </row>
    <row r="166" ht="15.75" customHeight="1">
      <c r="A166" s="6">
        <v>46281.0</v>
      </c>
      <c r="B166" s="7" t="s">
        <v>43</v>
      </c>
      <c r="C166" s="9" t="s">
        <v>40</v>
      </c>
      <c r="D166" s="9" t="s">
        <v>27</v>
      </c>
      <c r="E166" s="10">
        <v>100000.0</v>
      </c>
      <c r="F166" s="9">
        <f t="shared" si="1"/>
        <v>3</v>
      </c>
      <c r="G166" s="11">
        <v>0.0</v>
      </c>
      <c r="H166" s="9">
        <f t="shared" si="2"/>
        <v>0</v>
      </c>
      <c r="I166" s="11">
        <v>1.0</v>
      </c>
      <c r="J166" s="9">
        <f t="shared" si="10"/>
        <v>1</v>
      </c>
      <c r="K166" s="11">
        <v>60.0</v>
      </c>
      <c r="L166" s="11">
        <v>53.0</v>
      </c>
      <c r="M166" s="14">
        <f t="shared" si="4"/>
        <v>1</v>
      </c>
      <c r="N166" s="11">
        <v>3.0</v>
      </c>
      <c r="O166" s="14">
        <f t="shared" si="5"/>
        <v>2</v>
      </c>
      <c r="P166" s="11">
        <v>1.0</v>
      </c>
      <c r="Q166" s="15">
        <v>1.0</v>
      </c>
      <c r="R166" s="9">
        <v>10.0</v>
      </c>
      <c r="S166" s="16">
        <f t="shared" si="6"/>
        <v>9</v>
      </c>
      <c r="T166" s="17">
        <f t="shared" si="7"/>
        <v>0.9</v>
      </c>
      <c r="U166" s="14">
        <f t="shared" si="8"/>
        <v>-1</v>
      </c>
      <c r="V166" s="9" t="str">
        <f t="shared" si="9"/>
        <v>Near Target</v>
      </c>
      <c r="W166" s="9"/>
    </row>
    <row r="167" ht="15.75" customHeight="1">
      <c r="A167" s="6">
        <v>46281.0</v>
      </c>
      <c r="B167" s="7" t="s">
        <v>47</v>
      </c>
      <c r="C167" s="9" t="s">
        <v>48</v>
      </c>
      <c r="D167" s="9" t="s">
        <v>27</v>
      </c>
      <c r="E167" s="10">
        <v>0.0</v>
      </c>
      <c r="F167" s="9">
        <f t="shared" si="1"/>
        <v>0</v>
      </c>
      <c r="G167" s="11">
        <v>0.0</v>
      </c>
      <c r="H167" s="9">
        <f t="shared" si="2"/>
        <v>0</v>
      </c>
      <c r="I167" s="11">
        <v>1.0</v>
      </c>
      <c r="J167" s="9">
        <f t="shared" si="10"/>
        <v>1</v>
      </c>
      <c r="K167" s="11">
        <v>51.0</v>
      </c>
      <c r="L167" s="11">
        <v>53.0</v>
      </c>
      <c r="M167" s="14">
        <f t="shared" si="4"/>
        <v>1</v>
      </c>
      <c r="N167" s="11">
        <v>3.0</v>
      </c>
      <c r="O167" s="14">
        <f t="shared" si="5"/>
        <v>2</v>
      </c>
      <c r="P167" s="11">
        <v>1.0</v>
      </c>
      <c r="Q167" s="15">
        <v>1.0</v>
      </c>
      <c r="R167" s="9">
        <v>10.0</v>
      </c>
      <c r="S167" s="16">
        <f t="shared" si="6"/>
        <v>6</v>
      </c>
      <c r="T167" s="17">
        <f t="shared" si="7"/>
        <v>0.6</v>
      </c>
      <c r="U167" s="14">
        <f t="shared" si="8"/>
        <v>-4</v>
      </c>
      <c r="V167" s="9" t="str">
        <f t="shared" si="9"/>
        <v>Average</v>
      </c>
      <c r="W167" s="9"/>
    </row>
    <row r="168" ht="15.75" customHeight="1">
      <c r="A168" s="6">
        <v>46281.0</v>
      </c>
      <c r="B168" s="7" t="s">
        <v>45</v>
      </c>
      <c r="C168" s="9" t="s">
        <v>48</v>
      </c>
      <c r="D168" s="9" t="s">
        <v>27</v>
      </c>
      <c r="E168" s="10">
        <v>0.0</v>
      </c>
      <c r="F168" s="9">
        <f t="shared" si="1"/>
        <v>0</v>
      </c>
      <c r="G168" s="11">
        <v>0.0</v>
      </c>
      <c r="H168" s="9">
        <f t="shared" si="2"/>
        <v>0</v>
      </c>
      <c r="I168" s="11">
        <v>1.0</v>
      </c>
      <c r="J168" s="9">
        <f t="shared" si="10"/>
        <v>1</v>
      </c>
      <c r="K168" s="11">
        <v>75.0</v>
      </c>
      <c r="L168" s="11">
        <v>50.0</v>
      </c>
      <c r="M168" s="14">
        <f t="shared" si="4"/>
        <v>1</v>
      </c>
      <c r="N168" s="11">
        <v>3.0</v>
      </c>
      <c r="O168" s="14">
        <f t="shared" si="5"/>
        <v>2</v>
      </c>
      <c r="P168" s="11">
        <v>1.0</v>
      </c>
      <c r="Q168" s="15">
        <v>1.0</v>
      </c>
      <c r="R168" s="9">
        <v>10.0</v>
      </c>
      <c r="S168" s="16">
        <f t="shared" si="6"/>
        <v>6</v>
      </c>
      <c r="T168" s="17">
        <f t="shared" si="7"/>
        <v>0.6</v>
      </c>
      <c r="U168" s="14">
        <f t="shared" si="8"/>
        <v>-4</v>
      </c>
      <c r="V168" s="9" t="str">
        <f t="shared" si="9"/>
        <v>Average</v>
      </c>
      <c r="W168" s="9"/>
    </row>
    <row r="169" ht="15.75" customHeight="1">
      <c r="A169" s="6">
        <v>46281.0</v>
      </c>
      <c r="B169" s="7" t="s">
        <v>49</v>
      </c>
      <c r="C169" s="9" t="s">
        <v>48</v>
      </c>
      <c r="D169" s="9" t="s">
        <v>27</v>
      </c>
      <c r="E169" s="10">
        <v>0.0</v>
      </c>
      <c r="F169" s="9">
        <f t="shared" si="1"/>
        <v>0</v>
      </c>
      <c r="G169" s="11">
        <v>0.0</v>
      </c>
      <c r="H169" s="9">
        <f t="shared" si="2"/>
        <v>0</v>
      </c>
      <c r="I169" s="11">
        <v>1.0</v>
      </c>
      <c r="J169" s="9">
        <f t="shared" si="10"/>
        <v>1</v>
      </c>
      <c r="K169" s="11">
        <v>60.0</v>
      </c>
      <c r="L169" s="11">
        <v>50.0</v>
      </c>
      <c r="M169" s="14">
        <f t="shared" si="4"/>
        <v>1</v>
      </c>
      <c r="N169" s="11">
        <v>3.0</v>
      </c>
      <c r="O169" s="14">
        <f t="shared" si="5"/>
        <v>2</v>
      </c>
      <c r="P169" s="11">
        <v>1.0</v>
      </c>
      <c r="Q169" s="15">
        <v>1.0</v>
      </c>
      <c r="R169" s="9">
        <v>10.0</v>
      </c>
      <c r="S169" s="16">
        <f t="shared" si="6"/>
        <v>6</v>
      </c>
      <c r="T169" s="17">
        <f t="shared" si="7"/>
        <v>0.6</v>
      </c>
      <c r="U169" s="14">
        <f t="shared" si="8"/>
        <v>-4</v>
      </c>
      <c r="V169" s="9" t="str">
        <f t="shared" si="9"/>
        <v>Average</v>
      </c>
      <c r="W169" s="9"/>
    </row>
    <row r="170" ht="15.75" customHeight="1">
      <c r="A170" s="6">
        <v>46281.0</v>
      </c>
      <c r="B170" s="22" t="s">
        <v>50</v>
      </c>
      <c r="C170" s="24" t="s">
        <v>48</v>
      </c>
      <c r="D170" s="24" t="s">
        <v>27</v>
      </c>
      <c r="E170" s="10">
        <v>0.0</v>
      </c>
      <c r="F170" s="9">
        <f t="shared" si="1"/>
        <v>0</v>
      </c>
      <c r="G170" s="11">
        <v>0.0</v>
      </c>
      <c r="H170" s="9">
        <f t="shared" si="2"/>
        <v>0</v>
      </c>
      <c r="I170" s="11">
        <v>1.0</v>
      </c>
      <c r="J170" s="9">
        <f t="shared" si="10"/>
        <v>1</v>
      </c>
      <c r="K170" s="11">
        <v>57.0</v>
      </c>
      <c r="L170" s="11">
        <v>45.0</v>
      </c>
      <c r="M170" s="14">
        <f t="shared" si="4"/>
        <v>0.9</v>
      </c>
      <c r="N170" s="11">
        <v>3.0</v>
      </c>
      <c r="O170" s="14">
        <f t="shared" si="5"/>
        <v>2</v>
      </c>
      <c r="P170" s="11">
        <v>1.0</v>
      </c>
      <c r="Q170" s="15">
        <v>1.0</v>
      </c>
      <c r="R170" s="9">
        <v>10.0</v>
      </c>
      <c r="S170" s="16">
        <f t="shared" si="6"/>
        <v>5.9</v>
      </c>
      <c r="T170" s="17">
        <f t="shared" si="7"/>
        <v>0.59</v>
      </c>
      <c r="U170" s="14">
        <f t="shared" si="8"/>
        <v>-4.1</v>
      </c>
      <c r="V170" s="9" t="str">
        <f t="shared" si="9"/>
        <v>Average</v>
      </c>
      <c r="W170" s="9"/>
    </row>
    <row r="171" ht="15.75" customHeight="1">
      <c r="A171" s="6">
        <v>46282.0</v>
      </c>
      <c r="B171" s="7" t="s">
        <v>28</v>
      </c>
      <c r="C171" s="9" t="s">
        <v>29</v>
      </c>
      <c r="D171" s="9" t="s">
        <v>27</v>
      </c>
      <c r="E171" s="10">
        <v>0.0</v>
      </c>
      <c r="F171" s="9">
        <f t="shared" si="1"/>
        <v>0</v>
      </c>
      <c r="G171" s="11">
        <v>1.0</v>
      </c>
      <c r="H171" s="9">
        <f t="shared" si="2"/>
        <v>1</v>
      </c>
      <c r="I171" s="11">
        <v>1.0</v>
      </c>
      <c r="J171" s="9">
        <f t="shared" si="10"/>
        <v>1</v>
      </c>
      <c r="K171" s="11" t="s">
        <v>66</v>
      </c>
      <c r="L171" s="11">
        <v>50.0</v>
      </c>
      <c r="M171" s="14">
        <f t="shared" si="4"/>
        <v>1</v>
      </c>
      <c r="N171" s="11">
        <v>3.0</v>
      </c>
      <c r="O171" s="14">
        <f t="shared" si="5"/>
        <v>2</v>
      </c>
      <c r="P171" s="11">
        <v>1.0</v>
      </c>
      <c r="Q171" s="15">
        <v>1.0</v>
      </c>
      <c r="R171" s="9">
        <v>10.0</v>
      </c>
      <c r="S171" s="16">
        <f t="shared" si="6"/>
        <v>7</v>
      </c>
      <c r="T171" s="17">
        <f t="shared" si="7"/>
        <v>0.7</v>
      </c>
      <c r="U171" s="14">
        <f t="shared" si="8"/>
        <v>-3</v>
      </c>
      <c r="V171" s="9" t="str">
        <f t="shared" si="9"/>
        <v>Near Target</v>
      </c>
      <c r="W171" s="9"/>
    </row>
    <row r="172" ht="15.75" customHeight="1">
      <c r="A172" s="6">
        <v>46282.0</v>
      </c>
      <c r="B172" s="7" t="s">
        <v>36</v>
      </c>
      <c r="C172" s="9" t="s">
        <v>29</v>
      </c>
      <c r="D172" s="9" t="s">
        <v>27</v>
      </c>
      <c r="E172" s="25">
        <v>0.0</v>
      </c>
      <c r="F172" s="26">
        <f t="shared" si="1"/>
        <v>0</v>
      </c>
      <c r="G172" s="27">
        <v>0.0</v>
      </c>
      <c r="H172" s="26">
        <f t="shared" si="2"/>
        <v>0</v>
      </c>
      <c r="I172" s="27">
        <v>0.0</v>
      </c>
      <c r="J172" s="26">
        <f t="shared" si="10"/>
        <v>0</v>
      </c>
      <c r="K172" s="27">
        <v>0.0</v>
      </c>
      <c r="L172" s="27">
        <v>0.0</v>
      </c>
      <c r="M172" s="29">
        <f t="shared" si="4"/>
        <v>0</v>
      </c>
      <c r="N172" s="26"/>
      <c r="O172" s="29">
        <f t="shared" si="5"/>
        <v>0</v>
      </c>
      <c r="P172" s="27">
        <v>0.0</v>
      </c>
      <c r="Q172" s="30">
        <v>0.0</v>
      </c>
      <c r="R172" s="26">
        <v>10.0</v>
      </c>
      <c r="S172" s="29">
        <f t="shared" si="6"/>
        <v>0</v>
      </c>
      <c r="T172" s="28">
        <f t="shared" si="7"/>
        <v>0</v>
      </c>
      <c r="U172" s="29">
        <f t="shared" si="8"/>
        <v>-10</v>
      </c>
      <c r="V172" s="26" t="str">
        <f t="shared" si="9"/>
        <v>Low Performance</v>
      </c>
      <c r="W172" s="32" t="s">
        <v>65</v>
      </c>
    </row>
    <row r="173" ht="15.75" customHeight="1">
      <c r="A173" s="6">
        <v>46282.0</v>
      </c>
      <c r="B173" s="7" t="s">
        <v>37</v>
      </c>
      <c r="C173" s="9" t="s">
        <v>29</v>
      </c>
      <c r="D173" s="9" t="s">
        <v>27</v>
      </c>
      <c r="E173" s="10">
        <v>0.0</v>
      </c>
      <c r="F173" s="9">
        <f t="shared" si="1"/>
        <v>0</v>
      </c>
      <c r="G173" s="11">
        <v>1.0</v>
      </c>
      <c r="H173" s="9">
        <f t="shared" si="2"/>
        <v>1</v>
      </c>
      <c r="I173" s="11">
        <v>1.0</v>
      </c>
      <c r="J173" s="9">
        <f t="shared" si="10"/>
        <v>1</v>
      </c>
      <c r="K173" s="11" t="s">
        <v>66</v>
      </c>
      <c r="L173" s="11">
        <v>50.0</v>
      </c>
      <c r="M173" s="14">
        <f t="shared" si="4"/>
        <v>1</v>
      </c>
      <c r="N173" s="11">
        <v>3.0</v>
      </c>
      <c r="O173" s="14">
        <f t="shared" si="5"/>
        <v>2</v>
      </c>
      <c r="P173" s="11">
        <v>1.0</v>
      </c>
      <c r="Q173" s="15">
        <v>1.0</v>
      </c>
      <c r="R173" s="9">
        <v>10.0</v>
      </c>
      <c r="S173" s="16">
        <f t="shared" si="6"/>
        <v>7</v>
      </c>
      <c r="T173" s="17">
        <f t="shared" si="7"/>
        <v>0.7</v>
      </c>
      <c r="U173" s="14">
        <f t="shared" si="8"/>
        <v>-3</v>
      </c>
      <c r="V173" s="9" t="str">
        <f t="shared" si="9"/>
        <v>Near Target</v>
      </c>
      <c r="W173" s="9"/>
    </row>
    <row r="174" ht="15.75" customHeight="1">
      <c r="A174" s="6">
        <v>46282.0</v>
      </c>
      <c r="B174" s="7" t="s">
        <v>38</v>
      </c>
      <c r="C174" s="9" t="s">
        <v>29</v>
      </c>
      <c r="D174" s="9" t="s">
        <v>27</v>
      </c>
      <c r="E174" s="10">
        <v>2000000.0</v>
      </c>
      <c r="F174" s="9">
        <f t="shared" si="1"/>
        <v>3</v>
      </c>
      <c r="G174" s="11">
        <v>1.0</v>
      </c>
      <c r="H174" s="9">
        <f t="shared" si="2"/>
        <v>1</v>
      </c>
      <c r="I174" s="11">
        <v>1.0</v>
      </c>
      <c r="J174" s="9">
        <f t="shared" si="10"/>
        <v>1</v>
      </c>
      <c r="K174" s="11" t="s">
        <v>66</v>
      </c>
      <c r="L174" s="11">
        <v>50.0</v>
      </c>
      <c r="M174" s="14">
        <f t="shared" si="4"/>
        <v>1</v>
      </c>
      <c r="N174" s="11">
        <v>3.0</v>
      </c>
      <c r="O174" s="14">
        <f t="shared" si="5"/>
        <v>2</v>
      </c>
      <c r="P174" s="11">
        <v>1.0</v>
      </c>
      <c r="Q174" s="15">
        <v>1.0</v>
      </c>
      <c r="R174" s="9">
        <v>10.0</v>
      </c>
      <c r="S174" s="16">
        <f t="shared" si="6"/>
        <v>10</v>
      </c>
      <c r="T174" s="17">
        <f t="shared" si="7"/>
        <v>1</v>
      </c>
      <c r="U174" s="14">
        <f t="shared" si="8"/>
        <v>0</v>
      </c>
      <c r="V174" s="9" t="str">
        <f t="shared" si="9"/>
        <v>Achieved</v>
      </c>
      <c r="W174" s="9"/>
    </row>
    <row r="175" ht="15.75" customHeight="1">
      <c r="A175" s="6">
        <v>46282.0</v>
      </c>
      <c r="B175" s="20" t="s">
        <v>39</v>
      </c>
      <c r="C175" s="9" t="s">
        <v>40</v>
      </c>
      <c r="D175" s="9" t="s">
        <v>27</v>
      </c>
      <c r="E175" s="10">
        <v>0.0</v>
      </c>
      <c r="F175" s="9">
        <f t="shared" si="1"/>
        <v>0</v>
      </c>
      <c r="G175" s="11">
        <v>1.0</v>
      </c>
      <c r="H175" s="9">
        <f t="shared" si="2"/>
        <v>1</v>
      </c>
      <c r="I175" s="11">
        <v>1.0</v>
      </c>
      <c r="J175" s="9">
        <f t="shared" si="10"/>
        <v>1</v>
      </c>
      <c r="K175" s="11" t="s">
        <v>66</v>
      </c>
      <c r="L175" s="11">
        <v>53.0</v>
      </c>
      <c r="M175" s="14">
        <f t="shared" si="4"/>
        <v>1</v>
      </c>
      <c r="N175" s="11">
        <v>3.0</v>
      </c>
      <c r="O175" s="14">
        <f t="shared" si="5"/>
        <v>2</v>
      </c>
      <c r="P175" s="11">
        <v>1.0</v>
      </c>
      <c r="Q175" s="15">
        <v>1.0</v>
      </c>
      <c r="R175" s="9">
        <v>10.0</v>
      </c>
      <c r="S175" s="16">
        <f t="shared" si="6"/>
        <v>7</v>
      </c>
      <c r="T175" s="17">
        <f t="shared" si="7"/>
        <v>0.7</v>
      </c>
      <c r="U175" s="14">
        <f t="shared" si="8"/>
        <v>-3</v>
      </c>
      <c r="V175" s="9" t="str">
        <f t="shared" si="9"/>
        <v>Near Target</v>
      </c>
      <c r="W175" s="9"/>
    </row>
    <row r="176" ht="15.75" customHeight="1">
      <c r="A176" s="6">
        <v>46282.0</v>
      </c>
      <c r="B176" s="7" t="s">
        <v>41</v>
      </c>
      <c r="C176" s="9" t="s">
        <v>40</v>
      </c>
      <c r="D176" s="9" t="s">
        <v>27</v>
      </c>
      <c r="E176" s="10">
        <v>0.0</v>
      </c>
      <c r="F176" s="9">
        <f t="shared" si="1"/>
        <v>0</v>
      </c>
      <c r="G176" s="11">
        <v>1.0</v>
      </c>
      <c r="H176" s="9">
        <f t="shared" si="2"/>
        <v>1</v>
      </c>
      <c r="I176" s="11">
        <v>1.0</v>
      </c>
      <c r="J176" s="9">
        <f t="shared" si="10"/>
        <v>1</v>
      </c>
      <c r="K176" s="11" t="s">
        <v>66</v>
      </c>
      <c r="L176" s="11">
        <v>50.0</v>
      </c>
      <c r="M176" s="14">
        <f t="shared" si="4"/>
        <v>1</v>
      </c>
      <c r="N176" s="11">
        <v>3.0</v>
      </c>
      <c r="O176" s="14">
        <f t="shared" si="5"/>
        <v>2</v>
      </c>
      <c r="P176" s="11">
        <v>1.0</v>
      </c>
      <c r="Q176" s="15">
        <v>1.0</v>
      </c>
      <c r="R176" s="9">
        <v>10.0</v>
      </c>
      <c r="S176" s="16">
        <f t="shared" si="6"/>
        <v>7</v>
      </c>
      <c r="T176" s="17">
        <f t="shared" si="7"/>
        <v>0.7</v>
      </c>
      <c r="U176" s="14">
        <f t="shared" si="8"/>
        <v>-3</v>
      </c>
      <c r="V176" s="9" t="str">
        <f t="shared" si="9"/>
        <v>Near Target</v>
      </c>
      <c r="W176" s="9"/>
    </row>
    <row r="177" ht="15.75" customHeight="1">
      <c r="A177" s="6">
        <v>46282.0</v>
      </c>
      <c r="B177" s="7" t="s">
        <v>42</v>
      </c>
      <c r="C177" s="9" t="s">
        <v>40</v>
      </c>
      <c r="D177" s="9" t="s">
        <v>27</v>
      </c>
      <c r="E177" s="10">
        <v>0.0</v>
      </c>
      <c r="F177" s="9">
        <f t="shared" si="1"/>
        <v>0</v>
      </c>
      <c r="G177" s="11">
        <v>1.0</v>
      </c>
      <c r="H177" s="9">
        <f t="shared" si="2"/>
        <v>1</v>
      </c>
      <c r="I177" s="11">
        <v>1.0</v>
      </c>
      <c r="J177" s="9">
        <f t="shared" si="10"/>
        <v>1</v>
      </c>
      <c r="K177" s="11" t="s">
        <v>66</v>
      </c>
      <c r="L177" s="11">
        <v>55.0</v>
      </c>
      <c r="M177" s="14">
        <f t="shared" si="4"/>
        <v>1</v>
      </c>
      <c r="N177" s="11">
        <v>3.0</v>
      </c>
      <c r="O177" s="14">
        <f t="shared" si="5"/>
        <v>2</v>
      </c>
      <c r="P177" s="11">
        <v>1.0</v>
      </c>
      <c r="Q177" s="15">
        <v>1.0</v>
      </c>
      <c r="R177" s="9">
        <v>10.0</v>
      </c>
      <c r="S177" s="16">
        <f t="shared" si="6"/>
        <v>7</v>
      </c>
      <c r="T177" s="17">
        <f t="shared" si="7"/>
        <v>0.7</v>
      </c>
      <c r="U177" s="14">
        <f t="shared" si="8"/>
        <v>-3</v>
      </c>
      <c r="V177" s="9" t="str">
        <f t="shared" si="9"/>
        <v>Near Target</v>
      </c>
      <c r="W177" s="9"/>
    </row>
    <row r="178" ht="15.75" customHeight="1">
      <c r="A178" s="6">
        <v>46282.0</v>
      </c>
      <c r="B178" s="7" t="s">
        <v>43</v>
      </c>
      <c r="C178" s="9" t="s">
        <v>40</v>
      </c>
      <c r="D178" s="9" t="s">
        <v>27</v>
      </c>
      <c r="E178" s="10">
        <v>0.0</v>
      </c>
      <c r="F178" s="9">
        <f t="shared" si="1"/>
        <v>0</v>
      </c>
      <c r="G178" s="11">
        <v>1.0</v>
      </c>
      <c r="H178" s="9">
        <f t="shared" si="2"/>
        <v>1</v>
      </c>
      <c r="I178" s="11">
        <v>1.0</v>
      </c>
      <c r="J178" s="9">
        <f t="shared" si="10"/>
        <v>1</v>
      </c>
      <c r="K178" s="11" t="s">
        <v>66</v>
      </c>
      <c r="L178" s="11">
        <v>50.0</v>
      </c>
      <c r="M178" s="14">
        <f t="shared" si="4"/>
        <v>1</v>
      </c>
      <c r="N178" s="11">
        <v>3.0</v>
      </c>
      <c r="O178" s="14">
        <f t="shared" si="5"/>
        <v>2</v>
      </c>
      <c r="P178" s="11">
        <v>1.0</v>
      </c>
      <c r="Q178" s="15">
        <v>1.0</v>
      </c>
      <c r="R178" s="9">
        <v>10.0</v>
      </c>
      <c r="S178" s="16">
        <f t="shared" si="6"/>
        <v>7</v>
      </c>
      <c r="T178" s="17">
        <f t="shared" si="7"/>
        <v>0.7</v>
      </c>
      <c r="U178" s="14">
        <f t="shared" si="8"/>
        <v>-3</v>
      </c>
      <c r="V178" s="9" t="str">
        <f t="shared" si="9"/>
        <v>Near Target</v>
      </c>
      <c r="W178" s="9"/>
    </row>
    <row r="179" ht="15.75" customHeight="1">
      <c r="A179" s="6">
        <v>46282.0</v>
      </c>
      <c r="B179" s="7" t="s">
        <v>47</v>
      </c>
      <c r="C179" s="9" t="s">
        <v>48</v>
      </c>
      <c r="D179" s="9" t="s">
        <v>27</v>
      </c>
      <c r="E179" s="10">
        <v>0.0</v>
      </c>
      <c r="F179" s="9">
        <f t="shared" si="1"/>
        <v>0</v>
      </c>
      <c r="G179" s="11">
        <v>1.0</v>
      </c>
      <c r="H179" s="9">
        <f t="shared" si="2"/>
        <v>1</v>
      </c>
      <c r="I179" s="11">
        <v>1.0</v>
      </c>
      <c r="J179" s="9">
        <f t="shared" si="10"/>
        <v>1</v>
      </c>
      <c r="K179" s="11" t="s">
        <v>66</v>
      </c>
      <c r="L179" s="11">
        <v>51.0</v>
      </c>
      <c r="M179" s="14">
        <f t="shared" si="4"/>
        <v>1</v>
      </c>
      <c r="N179" s="11">
        <v>3.0</v>
      </c>
      <c r="O179" s="14">
        <f t="shared" si="5"/>
        <v>2</v>
      </c>
      <c r="P179" s="11">
        <v>1.0</v>
      </c>
      <c r="Q179" s="15">
        <v>1.0</v>
      </c>
      <c r="R179" s="9">
        <v>10.0</v>
      </c>
      <c r="S179" s="16">
        <f t="shared" si="6"/>
        <v>7</v>
      </c>
      <c r="T179" s="17">
        <f t="shared" si="7"/>
        <v>0.7</v>
      </c>
      <c r="U179" s="14">
        <f t="shared" si="8"/>
        <v>-3</v>
      </c>
      <c r="V179" s="9" t="str">
        <f t="shared" si="9"/>
        <v>Near Target</v>
      </c>
      <c r="W179" s="9"/>
    </row>
    <row r="180" ht="15.75" customHeight="1">
      <c r="A180" s="6">
        <v>46282.0</v>
      </c>
      <c r="B180" s="7" t="s">
        <v>45</v>
      </c>
      <c r="C180" s="9" t="s">
        <v>48</v>
      </c>
      <c r="D180" s="9" t="s">
        <v>27</v>
      </c>
      <c r="E180" s="10">
        <v>5000.0</v>
      </c>
      <c r="F180" s="9">
        <f t="shared" si="1"/>
        <v>3</v>
      </c>
      <c r="G180" s="11">
        <v>1.0</v>
      </c>
      <c r="H180" s="9">
        <f t="shared" si="2"/>
        <v>1</v>
      </c>
      <c r="I180" s="11">
        <v>2.0</v>
      </c>
      <c r="J180" s="9">
        <f t="shared" si="10"/>
        <v>1</v>
      </c>
      <c r="K180" s="11" t="s">
        <v>66</v>
      </c>
      <c r="L180" s="11">
        <v>50.0</v>
      </c>
      <c r="M180" s="14">
        <f t="shared" si="4"/>
        <v>1</v>
      </c>
      <c r="N180" s="11">
        <v>3.0</v>
      </c>
      <c r="O180" s="14">
        <f t="shared" si="5"/>
        <v>2</v>
      </c>
      <c r="P180" s="11">
        <v>1.0</v>
      </c>
      <c r="Q180" s="15">
        <v>1.0</v>
      </c>
      <c r="R180" s="9">
        <v>10.0</v>
      </c>
      <c r="S180" s="16">
        <f t="shared" si="6"/>
        <v>10</v>
      </c>
      <c r="T180" s="17">
        <f t="shared" si="7"/>
        <v>1</v>
      </c>
      <c r="U180" s="14">
        <f t="shared" si="8"/>
        <v>0</v>
      </c>
      <c r="V180" s="9" t="str">
        <f t="shared" si="9"/>
        <v>Achieved</v>
      </c>
      <c r="W180" s="9"/>
    </row>
    <row r="181" ht="15.75" customHeight="1">
      <c r="A181" s="6">
        <v>46282.0</v>
      </c>
      <c r="B181" s="7" t="s">
        <v>49</v>
      </c>
      <c r="C181" s="9" t="s">
        <v>48</v>
      </c>
      <c r="D181" s="9" t="s">
        <v>27</v>
      </c>
      <c r="E181" s="10">
        <v>50000.0</v>
      </c>
      <c r="F181" s="9">
        <f t="shared" si="1"/>
        <v>3</v>
      </c>
      <c r="G181" s="11">
        <v>1.0</v>
      </c>
      <c r="H181" s="9">
        <f t="shared" si="2"/>
        <v>1</v>
      </c>
      <c r="I181" s="11">
        <v>1.0</v>
      </c>
      <c r="J181" s="9">
        <f t="shared" si="10"/>
        <v>1</v>
      </c>
      <c r="K181" s="11" t="s">
        <v>66</v>
      </c>
      <c r="L181" s="11">
        <v>52.0</v>
      </c>
      <c r="M181" s="14">
        <f t="shared" si="4"/>
        <v>1</v>
      </c>
      <c r="N181" s="11">
        <v>3.0</v>
      </c>
      <c r="O181" s="14">
        <f t="shared" si="5"/>
        <v>2</v>
      </c>
      <c r="P181" s="11">
        <v>1.0</v>
      </c>
      <c r="Q181" s="15">
        <v>1.0</v>
      </c>
      <c r="R181" s="9">
        <v>10.0</v>
      </c>
      <c r="S181" s="16">
        <f t="shared" si="6"/>
        <v>10</v>
      </c>
      <c r="T181" s="17">
        <f t="shared" si="7"/>
        <v>1</v>
      </c>
      <c r="U181" s="14">
        <f t="shared" si="8"/>
        <v>0</v>
      </c>
      <c r="V181" s="9" t="str">
        <f t="shared" si="9"/>
        <v>Achieved</v>
      </c>
      <c r="W181" s="9"/>
    </row>
    <row r="182" ht="15.75" customHeight="1">
      <c r="A182" s="6">
        <v>46282.0</v>
      </c>
      <c r="B182" s="22" t="s">
        <v>50</v>
      </c>
      <c r="C182" s="24" t="s">
        <v>48</v>
      </c>
      <c r="D182" s="24" t="s">
        <v>27</v>
      </c>
      <c r="E182" s="10">
        <v>0.0</v>
      </c>
      <c r="F182" s="9">
        <f t="shared" si="1"/>
        <v>0</v>
      </c>
      <c r="G182" s="11">
        <v>1.0</v>
      </c>
      <c r="H182" s="9">
        <f t="shared" si="2"/>
        <v>1</v>
      </c>
      <c r="I182" s="11">
        <v>1.0</v>
      </c>
      <c r="J182" s="9">
        <f t="shared" si="10"/>
        <v>1</v>
      </c>
      <c r="K182" s="11" t="s">
        <v>66</v>
      </c>
      <c r="L182" s="11">
        <v>50.0</v>
      </c>
      <c r="M182" s="14">
        <f t="shared" si="4"/>
        <v>1</v>
      </c>
      <c r="N182" s="11">
        <v>3.0</v>
      </c>
      <c r="O182" s="14">
        <f t="shared" si="5"/>
        <v>2</v>
      </c>
      <c r="P182" s="11">
        <v>1.0</v>
      </c>
      <c r="Q182" s="15">
        <v>1.0</v>
      </c>
      <c r="R182" s="9">
        <v>10.0</v>
      </c>
      <c r="S182" s="16">
        <f t="shared" si="6"/>
        <v>7</v>
      </c>
      <c r="T182" s="17">
        <f t="shared" si="7"/>
        <v>0.7</v>
      </c>
      <c r="U182" s="14">
        <f t="shared" si="8"/>
        <v>-3</v>
      </c>
      <c r="V182" s="9" t="str">
        <f t="shared" si="9"/>
        <v>Near Target</v>
      </c>
      <c r="W182" s="9"/>
    </row>
    <row r="183" ht="15.75" customHeight="1">
      <c r="A183" s="6">
        <v>46284.0</v>
      </c>
      <c r="B183" s="7" t="s">
        <v>28</v>
      </c>
      <c r="C183" s="9" t="s">
        <v>29</v>
      </c>
      <c r="D183" s="9" t="s">
        <v>27</v>
      </c>
      <c r="E183" s="10">
        <v>0.0</v>
      </c>
      <c r="F183" s="9">
        <f t="shared" si="1"/>
        <v>0</v>
      </c>
      <c r="G183" s="11">
        <v>0.0</v>
      </c>
      <c r="H183" s="9">
        <f t="shared" si="2"/>
        <v>0</v>
      </c>
      <c r="I183" s="11">
        <v>1.0</v>
      </c>
      <c r="J183" s="9">
        <f t="shared" si="10"/>
        <v>1</v>
      </c>
      <c r="K183" s="11">
        <v>104.0</v>
      </c>
      <c r="L183" s="11">
        <v>58.0</v>
      </c>
      <c r="M183" s="14">
        <f t="shared" si="4"/>
        <v>1</v>
      </c>
      <c r="N183" s="11">
        <v>3.0</v>
      </c>
      <c r="O183" s="14">
        <f t="shared" si="5"/>
        <v>2</v>
      </c>
      <c r="P183" s="11">
        <v>1.0</v>
      </c>
      <c r="Q183" s="15">
        <v>1.0</v>
      </c>
      <c r="R183" s="9">
        <v>10.0</v>
      </c>
      <c r="S183" s="16">
        <f t="shared" si="6"/>
        <v>6</v>
      </c>
      <c r="T183" s="17">
        <f t="shared" si="7"/>
        <v>0.6</v>
      </c>
      <c r="U183" s="14">
        <f t="shared" si="8"/>
        <v>-4</v>
      </c>
      <c r="V183" s="9" t="str">
        <f t="shared" si="9"/>
        <v>Average</v>
      </c>
      <c r="W183" s="9"/>
    </row>
    <row r="184" ht="15.75" customHeight="1">
      <c r="A184" s="6">
        <v>46284.0</v>
      </c>
      <c r="B184" s="7" t="s">
        <v>36</v>
      </c>
      <c r="C184" s="9" t="s">
        <v>29</v>
      </c>
      <c r="D184" s="9" t="s">
        <v>27</v>
      </c>
      <c r="E184" s="10">
        <v>0.0</v>
      </c>
      <c r="F184" s="9">
        <f t="shared" si="1"/>
        <v>0</v>
      </c>
      <c r="G184" s="11">
        <v>0.0</v>
      </c>
      <c r="H184" s="9">
        <f t="shared" si="2"/>
        <v>0</v>
      </c>
      <c r="I184" s="11">
        <v>1.0</v>
      </c>
      <c r="J184" s="9">
        <f t="shared" si="10"/>
        <v>1</v>
      </c>
      <c r="K184" s="11">
        <v>74.0</v>
      </c>
      <c r="L184" s="11">
        <v>54.0</v>
      </c>
      <c r="M184" s="14">
        <f t="shared" si="4"/>
        <v>1</v>
      </c>
      <c r="N184" s="11">
        <v>3.0</v>
      </c>
      <c r="O184" s="14">
        <f t="shared" si="5"/>
        <v>2</v>
      </c>
      <c r="P184" s="11">
        <v>1.0</v>
      </c>
      <c r="Q184" s="15">
        <v>1.0</v>
      </c>
      <c r="R184" s="9">
        <v>10.0</v>
      </c>
      <c r="S184" s="16">
        <f t="shared" si="6"/>
        <v>6</v>
      </c>
      <c r="T184" s="17">
        <f t="shared" si="7"/>
        <v>0.6</v>
      </c>
      <c r="U184" s="14">
        <f t="shared" si="8"/>
        <v>-4</v>
      </c>
      <c r="V184" s="9" t="str">
        <f t="shared" si="9"/>
        <v>Average</v>
      </c>
      <c r="W184" s="9"/>
    </row>
    <row r="185" ht="15.75" customHeight="1">
      <c r="A185" s="6">
        <v>46284.0</v>
      </c>
      <c r="B185" s="7" t="s">
        <v>37</v>
      </c>
      <c r="C185" s="9" t="s">
        <v>29</v>
      </c>
      <c r="D185" s="9" t="s">
        <v>27</v>
      </c>
      <c r="E185" s="10">
        <v>0.0</v>
      </c>
      <c r="F185" s="9">
        <f t="shared" si="1"/>
        <v>0</v>
      </c>
      <c r="G185" s="11">
        <v>0.0</v>
      </c>
      <c r="H185" s="9">
        <f t="shared" si="2"/>
        <v>0</v>
      </c>
      <c r="I185" s="11">
        <v>1.0</v>
      </c>
      <c r="J185" s="9">
        <f t="shared" si="10"/>
        <v>1</v>
      </c>
      <c r="K185" s="11">
        <v>68.0</v>
      </c>
      <c r="L185" s="11">
        <v>53.0</v>
      </c>
      <c r="M185" s="14">
        <f t="shared" si="4"/>
        <v>1</v>
      </c>
      <c r="N185" s="11">
        <v>3.0</v>
      </c>
      <c r="O185" s="14">
        <f t="shared" si="5"/>
        <v>2</v>
      </c>
      <c r="P185" s="11">
        <v>1.0</v>
      </c>
      <c r="Q185" s="15">
        <v>1.0</v>
      </c>
      <c r="R185" s="9">
        <v>10.0</v>
      </c>
      <c r="S185" s="16">
        <f t="shared" si="6"/>
        <v>6</v>
      </c>
      <c r="T185" s="17">
        <f t="shared" si="7"/>
        <v>0.6</v>
      </c>
      <c r="U185" s="14">
        <f t="shared" si="8"/>
        <v>-4</v>
      </c>
      <c r="V185" s="9" t="str">
        <f t="shared" si="9"/>
        <v>Average</v>
      </c>
      <c r="W185" s="9"/>
    </row>
    <row r="186" ht="15.75" customHeight="1">
      <c r="A186" s="6">
        <v>46284.0</v>
      </c>
      <c r="B186" s="7" t="s">
        <v>38</v>
      </c>
      <c r="C186" s="9" t="s">
        <v>29</v>
      </c>
      <c r="D186" s="9" t="s">
        <v>27</v>
      </c>
      <c r="E186" s="10">
        <v>0.0</v>
      </c>
      <c r="F186" s="9">
        <f t="shared" si="1"/>
        <v>0</v>
      </c>
      <c r="G186" s="11">
        <v>1.0</v>
      </c>
      <c r="H186" s="9">
        <f t="shared" si="2"/>
        <v>1</v>
      </c>
      <c r="I186" s="11">
        <v>2.0</v>
      </c>
      <c r="J186" s="9">
        <f t="shared" si="10"/>
        <v>1</v>
      </c>
      <c r="K186" s="11">
        <v>80.0</v>
      </c>
      <c r="L186" s="11">
        <v>50.0</v>
      </c>
      <c r="M186" s="14">
        <f t="shared" si="4"/>
        <v>1</v>
      </c>
      <c r="N186" s="11">
        <v>3.0</v>
      </c>
      <c r="O186" s="14">
        <f t="shared" si="5"/>
        <v>2</v>
      </c>
      <c r="P186" s="11">
        <v>1.0</v>
      </c>
      <c r="Q186" s="15">
        <v>1.0</v>
      </c>
      <c r="R186" s="9">
        <v>10.0</v>
      </c>
      <c r="S186" s="16">
        <f t="shared" si="6"/>
        <v>7</v>
      </c>
      <c r="T186" s="17">
        <f t="shared" si="7"/>
        <v>0.7</v>
      </c>
      <c r="U186" s="14">
        <f t="shared" si="8"/>
        <v>-3</v>
      </c>
      <c r="V186" s="9" t="str">
        <f t="shared" si="9"/>
        <v>Near Target</v>
      </c>
      <c r="W186" s="9"/>
    </row>
    <row r="187" ht="15.75" customHeight="1">
      <c r="A187" s="6">
        <v>46284.0</v>
      </c>
      <c r="B187" s="20" t="s">
        <v>39</v>
      </c>
      <c r="C187" s="9" t="s">
        <v>40</v>
      </c>
      <c r="D187" s="9" t="s">
        <v>27</v>
      </c>
      <c r="E187" s="10">
        <v>0.0</v>
      </c>
      <c r="F187" s="9">
        <f t="shared" si="1"/>
        <v>0</v>
      </c>
      <c r="G187" s="11">
        <v>0.0</v>
      </c>
      <c r="H187" s="9">
        <f t="shared" si="2"/>
        <v>0</v>
      </c>
      <c r="I187" s="11">
        <v>1.0</v>
      </c>
      <c r="J187" s="9">
        <f t="shared" si="10"/>
        <v>1</v>
      </c>
      <c r="K187" s="11">
        <v>72.0</v>
      </c>
      <c r="L187" s="11">
        <v>56.0</v>
      </c>
      <c r="M187" s="14">
        <f t="shared" si="4"/>
        <v>1</v>
      </c>
      <c r="N187" s="11">
        <v>3.0</v>
      </c>
      <c r="O187" s="14">
        <f t="shared" si="5"/>
        <v>2</v>
      </c>
      <c r="P187" s="11">
        <v>1.0</v>
      </c>
      <c r="Q187" s="15">
        <v>1.0</v>
      </c>
      <c r="R187" s="9">
        <v>10.0</v>
      </c>
      <c r="S187" s="16">
        <f t="shared" si="6"/>
        <v>6</v>
      </c>
      <c r="T187" s="17">
        <f t="shared" si="7"/>
        <v>0.6</v>
      </c>
      <c r="U187" s="14">
        <f t="shared" si="8"/>
        <v>-4</v>
      </c>
      <c r="V187" s="9" t="str">
        <f t="shared" si="9"/>
        <v>Average</v>
      </c>
      <c r="W187" s="9"/>
    </row>
    <row r="188" ht="15.75" customHeight="1">
      <c r="A188" s="6">
        <v>46284.0</v>
      </c>
      <c r="B188" s="7" t="s">
        <v>41</v>
      </c>
      <c r="C188" s="9" t="s">
        <v>40</v>
      </c>
      <c r="D188" s="9" t="s">
        <v>27</v>
      </c>
      <c r="E188" s="10">
        <v>0.0</v>
      </c>
      <c r="F188" s="9">
        <f t="shared" si="1"/>
        <v>0</v>
      </c>
      <c r="G188" s="11">
        <v>0.0</v>
      </c>
      <c r="H188" s="9">
        <f t="shared" si="2"/>
        <v>0</v>
      </c>
      <c r="I188" s="11">
        <v>0.0</v>
      </c>
      <c r="J188" s="9">
        <f t="shared" si="10"/>
        <v>0</v>
      </c>
      <c r="K188" s="11">
        <v>72.0</v>
      </c>
      <c r="L188" s="11">
        <v>51.0</v>
      </c>
      <c r="M188" s="14">
        <f t="shared" si="4"/>
        <v>1</v>
      </c>
      <c r="N188" s="11">
        <v>3.0</v>
      </c>
      <c r="O188" s="14">
        <f t="shared" si="5"/>
        <v>2</v>
      </c>
      <c r="P188" s="11">
        <v>1.0</v>
      </c>
      <c r="Q188" s="15">
        <v>1.0</v>
      </c>
      <c r="R188" s="9">
        <v>10.0</v>
      </c>
      <c r="S188" s="16">
        <f t="shared" si="6"/>
        <v>5</v>
      </c>
      <c r="T188" s="17">
        <f t="shared" si="7"/>
        <v>0.5</v>
      </c>
      <c r="U188" s="14">
        <f t="shared" si="8"/>
        <v>-5</v>
      </c>
      <c r="V188" s="9" t="str">
        <f t="shared" si="9"/>
        <v>Average</v>
      </c>
      <c r="W188" s="9"/>
    </row>
    <row r="189" ht="15.75" customHeight="1">
      <c r="A189" s="6">
        <v>46284.0</v>
      </c>
      <c r="B189" s="7" t="s">
        <v>42</v>
      </c>
      <c r="C189" s="9" t="s">
        <v>40</v>
      </c>
      <c r="D189" s="9" t="s">
        <v>27</v>
      </c>
      <c r="E189" s="10">
        <v>0.0</v>
      </c>
      <c r="F189" s="9">
        <f t="shared" si="1"/>
        <v>0</v>
      </c>
      <c r="G189" s="11">
        <v>0.0</v>
      </c>
      <c r="H189" s="9">
        <f t="shared" si="2"/>
        <v>0</v>
      </c>
      <c r="I189" s="11">
        <v>1.0</v>
      </c>
      <c r="J189" s="9">
        <f t="shared" si="10"/>
        <v>1</v>
      </c>
      <c r="K189" s="11">
        <v>60.0</v>
      </c>
      <c r="L189" s="11">
        <v>53.0</v>
      </c>
      <c r="M189" s="14">
        <f t="shared" si="4"/>
        <v>1</v>
      </c>
      <c r="N189" s="11">
        <v>3.0</v>
      </c>
      <c r="O189" s="14">
        <f t="shared" si="5"/>
        <v>2</v>
      </c>
      <c r="P189" s="11">
        <v>1.0</v>
      </c>
      <c r="Q189" s="15">
        <v>1.0</v>
      </c>
      <c r="R189" s="9">
        <v>10.0</v>
      </c>
      <c r="S189" s="16">
        <f t="shared" si="6"/>
        <v>6</v>
      </c>
      <c r="T189" s="17">
        <f t="shared" si="7"/>
        <v>0.6</v>
      </c>
      <c r="U189" s="14">
        <f t="shared" si="8"/>
        <v>-4</v>
      </c>
      <c r="V189" s="9" t="str">
        <f t="shared" si="9"/>
        <v>Average</v>
      </c>
      <c r="W189" s="9"/>
    </row>
    <row r="190" ht="15.75" customHeight="1">
      <c r="A190" s="6">
        <v>46284.0</v>
      </c>
      <c r="B190" s="7" t="s">
        <v>43</v>
      </c>
      <c r="C190" s="9" t="s">
        <v>40</v>
      </c>
      <c r="D190" s="9" t="s">
        <v>27</v>
      </c>
      <c r="E190" s="10">
        <v>0.0</v>
      </c>
      <c r="F190" s="9">
        <f t="shared" si="1"/>
        <v>0</v>
      </c>
      <c r="G190" s="11">
        <v>0.0</v>
      </c>
      <c r="H190" s="9">
        <f t="shared" si="2"/>
        <v>0</v>
      </c>
      <c r="I190" s="11">
        <v>1.0</v>
      </c>
      <c r="J190" s="9">
        <f t="shared" si="10"/>
        <v>1</v>
      </c>
      <c r="K190" s="11">
        <v>60.0</v>
      </c>
      <c r="L190" s="11">
        <v>53.0</v>
      </c>
      <c r="M190" s="14">
        <f t="shared" si="4"/>
        <v>1</v>
      </c>
      <c r="N190" s="11">
        <v>3.0</v>
      </c>
      <c r="O190" s="14">
        <f t="shared" si="5"/>
        <v>2</v>
      </c>
      <c r="P190" s="11">
        <v>1.0</v>
      </c>
      <c r="Q190" s="15">
        <v>1.0</v>
      </c>
      <c r="R190" s="9">
        <v>10.0</v>
      </c>
      <c r="S190" s="16">
        <f t="shared" si="6"/>
        <v>6</v>
      </c>
      <c r="T190" s="17">
        <f t="shared" si="7"/>
        <v>0.6</v>
      </c>
      <c r="U190" s="14">
        <f t="shared" si="8"/>
        <v>-4</v>
      </c>
      <c r="V190" s="9" t="str">
        <f t="shared" si="9"/>
        <v>Average</v>
      </c>
      <c r="W190" s="9"/>
    </row>
    <row r="191" ht="15.75" customHeight="1">
      <c r="A191" s="6">
        <v>46284.0</v>
      </c>
      <c r="B191" s="7" t="s">
        <v>47</v>
      </c>
      <c r="C191" s="9" t="s">
        <v>48</v>
      </c>
      <c r="D191" s="9" t="s">
        <v>27</v>
      </c>
      <c r="E191" s="10">
        <v>0.0</v>
      </c>
      <c r="F191" s="9">
        <f t="shared" si="1"/>
        <v>0</v>
      </c>
      <c r="G191" s="11">
        <v>0.0</v>
      </c>
      <c r="H191" s="9">
        <f t="shared" si="2"/>
        <v>0</v>
      </c>
      <c r="I191" s="11">
        <v>1.0</v>
      </c>
      <c r="J191" s="9">
        <f t="shared" si="10"/>
        <v>1</v>
      </c>
      <c r="K191" s="11">
        <v>58.0</v>
      </c>
      <c r="L191" s="11">
        <v>53.0</v>
      </c>
      <c r="M191" s="14">
        <f t="shared" si="4"/>
        <v>1</v>
      </c>
      <c r="N191" s="11">
        <v>3.0</v>
      </c>
      <c r="O191" s="14">
        <f t="shared" si="5"/>
        <v>2</v>
      </c>
      <c r="P191" s="11">
        <v>1.0</v>
      </c>
      <c r="Q191" s="15">
        <v>1.0</v>
      </c>
      <c r="R191" s="9">
        <v>10.0</v>
      </c>
      <c r="S191" s="16">
        <f t="shared" si="6"/>
        <v>6</v>
      </c>
      <c r="T191" s="17">
        <f t="shared" si="7"/>
        <v>0.6</v>
      </c>
      <c r="U191" s="14">
        <f t="shared" si="8"/>
        <v>-4</v>
      </c>
      <c r="V191" s="9" t="str">
        <f t="shared" si="9"/>
        <v>Average</v>
      </c>
      <c r="W191" s="9"/>
    </row>
    <row r="192" ht="15.75" customHeight="1">
      <c r="A192" s="6">
        <v>46284.0</v>
      </c>
      <c r="B192" s="7" t="s">
        <v>45</v>
      </c>
      <c r="C192" s="9" t="s">
        <v>48</v>
      </c>
      <c r="D192" s="9" t="s">
        <v>27</v>
      </c>
      <c r="E192" s="10">
        <v>0.0</v>
      </c>
      <c r="F192" s="9">
        <f t="shared" si="1"/>
        <v>0</v>
      </c>
      <c r="G192" s="11">
        <v>0.0</v>
      </c>
      <c r="H192" s="9">
        <f t="shared" si="2"/>
        <v>0</v>
      </c>
      <c r="I192" s="11">
        <v>1.0</v>
      </c>
      <c r="J192" s="9">
        <f t="shared" si="10"/>
        <v>1</v>
      </c>
      <c r="K192" s="11">
        <v>65.0</v>
      </c>
      <c r="L192" s="11">
        <v>50.0</v>
      </c>
      <c r="M192" s="14">
        <f t="shared" si="4"/>
        <v>1</v>
      </c>
      <c r="N192" s="11">
        <v>3.0</v>
      </c>
      <c r="O192" s="14">
        <f t="shared" si="5"/>
        <v>2</v>
      </c>
      <c r="P192" s="11">
        <v>1.0</v>
      </c>
      <c r="Q192" s="15">
        <v>1.0</v>
      </c>
      <c r="R192" s="9">
        <v>10.0</v>
      </c>
      <c r="S192" s="16">
        <f t="shared" si="6"/>
        <v>6</v>
      </c>
      <c r="T192" s="17">
        <f t="shared" si="7"/>
        <v>0.6</v>
      </c>
      <c r="U192" s="14">
        <f t="shared" si="8"/>
        <v>-4</v>
      </c>
      <c r="V192" s="9" t="str">
        <f t="shared" si="9"/>
        <v>Average</v>
      </c>
      <c r="W192" s="9"/>
    </row>
    <row r="193" ht="15.75" customHeight="1">
      <c r="A193" s="6">
        <v>46284.0</v>
      </c>
      <c r="B193" s="7" t="s">
        <v>49</v>
      </c>
      <c r="C193" s="9" t="s">
        <v>48</v>
      </c>
      <c r="D193" s="9" t="s">
        <v>27</v>
      </c>
      <c r="E193" s="10">
        <v>0.0</v>
      </c>
      <c r="F193" s="9">
        <f t="shared" si="1"/>
        <v>0</v>
      </c>
      <c r="G193" s="11">
        <v>0.0</v>
      </c>
      <c r="H193" s="9">
        <f t="shared" si="2"/>
        <v>0</v>
      </c>
      <c r="I193" s="11">
        <v>1.0</v>
      </c>
      <c r="J193" s="9">
        <f t="shared" si="10"/>
        <v>1</v>
      </c>
      <c r="K193" s="11">
        <v>60.0</v>
      </c>
      <c r="L193" s="11">
        <v>50.0</v>
      </c>
      <c r="M193" s="14">
        <f t="shared" si="4"/>
        <v>1</v>
      </c>
      <c r="N193" s="11">
        <v>3.0</v>
      </c>
      <c r="O193" s="14">
        <f t="shared" si="5"/>
        <v>2</v>
      </c>
      <c r="P193" s="11">
        <v>1.0</v>
      </c>
      <c r="Q193" s="15">
        <v>1.0</v>
      </c>
      <c r="R193" s="9">
        <v>10.0</v>
      </c>
      <c r="S193" s="16">
        <f t="shared" si="6"/>
        <v>6</v>
      </c>
      <c r="T193" s="17">
        <f t="shared" si="7"/>
        <v>0.6</v>
      </c>
      <c r="U193" s="14">
        <f t="shared" si="8"/>
        <v>-4</v>
      </c>
      <c r="V193" s="9" t="str">
        <f t="shared" si="9"/>
        <v>Average</v>
      </c>
      <c r="W193" s="9"/>
    </row>
    <row r="194" ht="15.75" customHeight="1">
      <c r="A194" s="6">
        <v>46284.0</v>
      </c>
      <c r="B194" s="22" t="s">
        <v>50</v>
      </c>
      <c r="C194" s="24" t="s">
        <v>48</v>
      </c>
      <c r="D194" s="24" t="s">
        <v>27</v>
      </c>
      <c r="E194" s="10">
        <v>0.0</v>
      </c>
      <c r="F194" s="9">
        <f t="shared" si="1"/>
        <v>0</v>
      </c>
      <c r="G194" s="11">
        <v>1.0</v>
      </c>
      <c r="H194" s="9">
        <f t="shared" si="2"/>
        <v>1</v>
      </c>
      <c r="I194" s="11">
        <v>1.0</v>
      </c>
      <c r="J194" s="9">
        <f t="shared" si="10"/>
        <v>1</v>
      </c>
      <c r="K194" s="11" t="s">
        <v>66</v>
      </c>
      <c r="L194" s="11">
        <v>50.0</v>
      </c>
      <c r="M194" s="14">
        <f t="shared" si="4"/>
        <v>1</v>
      </c>
      <c r="N194" s="11">
        <v>3.0</v>
      </c>
      <c r="O194" s="14">
        <f t="shared" si="5"/>
        <v>2</v>
      </c>
      <c r="P194" s="11">
        <v>1.0</v>
      </c>
      <c r="Q194" s="15">
        <v>1.0</v>
      </c>
      <c r="R194" s="9">
        <v>10.0</v>
      </c>
      <c r="S194" s="16">
        <f t="shared" si="6"/>
        <v>7</v>
      </c>
      <c r="T194" s="17">
        <f t="shared" si="7"/>
        <v>0.7</v>
      </c>
      <c r="U194" s="14">
        <f t="shared" si="8"/>
        <v>-3</v>
      </c>
      <c r="V194" s="9" t="str">
        <f t="shared" si="9"/>
        <v>Near Target</v>
      </c>
      <c r="W194" s="9"/>
    </row>
    <row r="195" ht="15.75" customHeight="1">
      <c r="A195" s="6">
        <v>46285.0</v>
      </c>
      <c r="B195" s="7" t="s">
        <v>28</v>
      </c>
      <c r="C195" s="9" t="s">
        <v>29</v>
      </c>
      <c r="D195" s="9" t="s">
        <v>27</v>
      </c>
      <c r="E195" s="10">
        <v>0.0</v>
      </c>
      <c r="F195" s="9">
        <f t="shared" si="1"/>
        <v>0</v>
      </c>
      <c r="G195" s="11">
        <v>0.0</v>
      </c>
      <c r="H195" s="9">
        <f t="shared" si="2"/>
        <v>0</v>
      </c>
      <c r="I195" s="11">
        <v>1.0</v>
      </c>
      <c r="J195" s="9">
        <f t="shared" si="10"/>
        <v>1</v>
      </c>
      <c r="K195" s="11">
        <v>94.0</v>
      </c>
      <c r="L195" s="11">
        <v>58.0</v>
      </c>
      <c r="M195" s="14">
        <f t="shared" si="4"/>
        <v>1</v>
      </c>
      <c r="N195" s="11">
        <v>3.0</v>
      </c>
      <c r="O195" s="14">
        <f t="shared" si="5"/>
        <v>2</v>
      </c>
      <c r="P195" s="11">
        <v>1.0</v>
      </c>
      <c r="Q195" s="15">
        <v>1.0</v>
      </c>
      <c r="R195" s="9">
        <v>10.0</v>
      </c>
      <c r="S195" s="16">
        <f t="shared" si="6"/>
        <v>6</v>
      </c>
      <c r="T195" s="17">
        <f t="shared" si="7"/>
        <v>0.6</v>
      </c>
      <c r="U195" s="14">
        <f t="shared" si="8"/>
        <v>-4</v>
      </c>
      <c r="V195" s="9" t="str">
        <f t="shared" si="9"/>
        <v>Average</v>
      </c>
      <c r="W195" s="9"/>
    </row>
    <row r="196" ht="15.75" customHeight="1">
      <c r="A196" s="6">
        <v>46285.0</v>
      </c>
      <c r="B196" s="7" t="s">
        <v>36</v>
      </c>
      <c r="C196" s="9" t="s">
        <v>29</v>
      </c>
      <c r="D196" s="9" t="s">
        <v>27</v>
      </c>
      <c r="E196" s="10">
        <v>0.0</v>
      </c>
      <c r="F196" s="9">
        <f t="shared" si="1"/>
        <v>0</v>
      </c>
      <c r="G196" s="11">
        <v>1.0</v>
      </c>
      <c r="H196" s="9">
        <f t="shared" si="2"/>
        <v>1</v>
      </c>
      <c r="I196" s="11">
        <v>1.0</v>
      </c>
      <c r="J196" s="9">
        <f t="shared" si="10"/>
        <v>1</v>
      </c>
      <c r="K196" s="11">
        <v>74.0</v>
      </c>
      <c r="L196" s="11">
        <v>59.0</v>
      </c>
      <c r="M196" s="14">
        <f t="shared" si="4"/>
        <v>1</v>
      </c>
      <c r="N196" s="11">
        <v>3.0</v>
      </c>
      <c r="O196" s="14">
        <f t="shared" si="5"/>
        <v>2</v>
      </c>
      <c r="P196" s="11">
        <v>1.0</v>
      </c>
      <c r="Q196" s="15">
        <v>1.0</v>
      </c>
      <c r="R196" s="9">
        <v>10.0</v>
      </c>
      <c r="S196" s="16">
        <f t="shared" si="6"/>
        <v>7</v>
      </c>
      <c r="T196" s="17">
        <f t="shared" si="7"/>
        <v>0.7</v>
      </c>
      <c r="U196" s="14">
        <f t="shared" si="8"/>
        <v>-3</v>
      </c>
      <c r="V196" s="9" t="str">
        <f t="shared" si="9"/>
        <v>Near Target</v>
      </c>
      <c r="W196" s="9"/>
    </row>
    <row r="197" ht="15.75" customHeight="1">
      <c r="A197" s="6">
        <v>46285.0</v>
      </c>
      <c r="B197" s="7" t="s">
        <v>37</v>
      </c>
      <c r="C197" s="9" t="s">
        <v>29</v>
      </c>
      <c r="D197" s="9" t="s">
        <v>27</v>
      </c>
      <c r="E197" s="10">
        <v>0.0</v>
      </c>
      <c r="F197" s="9">
        <f t="shared" si="1"/>
        <v>0</v>
      </c>
      <c r="G197" s="11">
        <v>0.0</v>
      </c>
      <c r="H197" s="9">
        <f t="shared" si="2"/>
        <v>0</v>
      </c>
      <c r="I197" s="11">
        <v>1.0</v>
      </c>
      <c r="J197" s="9">
        <f t="shared" si="10"/>
        <v>1</v>
      </c>
      <c r="K197" s="11">
        <v>70.0</v>
      </c>
      <c r="L197" s="11">
        <v>55.0</v>
      </c>
      <c r="M197" s="14">
        <f t="shared" si="4"/>
        <v>1</v>
      </c>
      <c r="N197" s="11">
        <v>3.0</v>
      </c>
      <c r="O197" s="14">
        <f t="shared" si="5"/>
        <v>2</v>
      </c>
      <c r="P197" s="11">
        <v>1.0</v>
      </c>
      <c r="Q197" s="15">
        <v>1.0</v>
      </c>
      <c r="R197" s="9">
        <v>10.0</v>
      </c>
      <c r="S197" s="16">
        <f t="shared" si="6"/>
        <v>6</v>
      </c>
      <c r="T197" s="17">
        <f t="shared" si="7"/>
        <v>0.6</v>
      </c>
      <c r="U197" s="14">
        <f t="shared" si="8"/>
        <v>-4</v>
      </c>
      <c r="V197" s="9" t="str">
        <f t="shared" si="9"/>
        <v>Average</v>
      </c>
      <c r="W197" s="9"/>
    </row>
    <row r="198" ht="15.75" customHeight="1">
      <c r="A198" s="6">
        <v>46285.0</v>
      </c>
      <c r="B198" s="7" t="s">
        <v>38</v>
      </c>
      <c r="C198" s="9" t="s">
        <v>29</v>
      </c>
      <c r="D198" s="9" t="s">
        <v>27</v>
      </c>
      <c r="E198" s="10">
        <v>0.0</v>
      </c>
      <c r="F198" s="9">
        <f t="shared" si="1"/>
        <v>0</v>
      </c>
      <c r="G198" s="11">
        <v>0.0</v>
      </c>
      <c r="H198" s="9">
        <f t="shared" si="2"/>
        <v>0</v>
      </c>
      <c r="I198" s="11">
        <v>1.0</v>
      </c>
      <c r="J198" s="9">
        <f t="shared" si="10"/>
        <v>1</v>
      </c>
      <c r="K198" s="11">
        <v>66.0</v>
      </c>
      <c r="L198" s="11">
        <v>50.0</v>
      </c>
      <c r="M198" s="14">
        <f t="shared" si="4"/>
        <v>1</v>
      </c>
      <c r="N198" s="11">
        <v>3.0</v>
      </c>
      <c r="O198" s="14">
        <f t="shared" si="5"/>
        <v>2</v>
      </c>
      <c r="P198" s="11">
        <v>1.0</v>
      </c>
      <c r="Q198" s="15">
        <v>1.0</v>
      </c>
      <c r="R198" s="9">
        <v>10.0</v>
      </c>
      <c r="S198" s="16">
        <f t="shared" si="6"/>
        <v>6</v>
      </c>
      <c r="T198" s="17">
        <f t="shared" si="7"/>
        <v>0.6</v>
      </c>
      <c r="U198" s="14">
        <f t="shared" si="8"/>
        <v>-4</v>
      </c>
      <c r="V198" s="9" t="str">
        <f t="shared" si="9"/>
        <v>Average</v>
      </c>
      <c r="W198" s="9"/>
    </row>
    <row r="199" ht="15.75" customHeight="1">
      <c r="A199" s="6">
        <v>46285.0</v>
      </c>
      <c r="B199" s="20" t="s">
        <v>39</v>
      </c>
      <c r="C199" s="9" t="s">
        <v>40</v>
      </c>
      <c r="D199" s="9" t="s">
        <v>27</v>
      </c>
      <c r="E199" s="10">
        <v>0.0</v>
      </c>
      <c r="F199" s="9">
        <f t="shared" si="1"/>
        <v>0</v>
      </c>
      <c r="G199" s="11">
        <v>1.0</v>
      </c>
      <c r="H199" s="9">
        <f t="shared" si="2"/>
        <v>1</v>
      </c>
      <c r="I199" s="11">
        <v>0.0</v>
      </c>
      <c r="J199" s="9">
        <f t="shared" si="10"/>
        <v>0</v>
      </c>
      <c r="K199" s="11">
        <v>79.0</v>
      </c>
      <c r="L199" s="11">
        <v>57.0</v>
      </c>
      <c r="M199" s="14">
        <f t="shared" si="4"/>
        <v>1</v>
      </c>
      <c r="N199" s="11">
        <v>3.0</v>
      </c>
      <c r="O199" s="14">
        <f t="shared" si="5"/>
        <v>2</v>
      </c>
      <c r="P199" s="11">
        <v>1.0</v>
      </c>
      <c r="Q199" s="15">
        <v>1.0</v>
      </c>
      <c r="R199" s="9">
        <v>10.0</v>
      </c>
      <c r="S199" s="16">
        <f t="shared" si="6"/>
        <v>6</v>
      </c>
      <c r="T199" s="17">
        <f t="shared" si="7"/>
        <v>0.6</v>
      </c>
      <c r="U199" s="14">
        <f t="shared" si="8"/>
        <v>-4</v>
      </c>
      <c r="V199" s="9" t="str">
        <f t="shared" si="9"/>
        <v>Average</v>
      </c>
      <c r="W199" s="9"/>
    </row>
    <row r="200" ht="15.75" customHeight="1">
      <c r="A200" s="6">
        <v>46285.0</v>
      </c>
      <c r="B200" s="7" t="s">
        <v>41</v>
      </c>
      <c r="C200" s="9" t="s">
        <v>40</v>
      </c>
      <c r="D200" s="9" t="s">
        <v>27</v>
      </c>
      <c r="E200" s="10">
        <v>0.0</v>
      </c>
      <c r="F200" s="9">
        <f t="shared" si="1"/>
        <v>0</v>
      </c>
      <c r="G200" s="11">
        <v>0.0</v>
      </c>
      <c r="H200" s="9">
        <f t="shared" si="2"/>
        <v>0</v>
      </c>
      <c r="I200" s="11">
        <v>0.0</v>
      </c>
      <c r="J200" s="9">
        <f t="shared" si="10"/>
        <v>0</v>
      </c>
      <c r="K200" s="11">
        <v>70.0</v>
      </c>
      <c r="L200" s="11">
        <v>60.0</v>
      </c>
      <c r="M200" s="14">
        <f t="shared" si="4"/>
        <v>1</v>
      </c>
      <c r="N200" s="11">
        <v>3.0</v>
      </c>
      <c r="O200" s="14">
        <f t="shared" si="5"/>
        <v>2</v>
      </c>
      <c r="P200" s="11">
        <v>1.0</v>
      </c>
      <c r="Q200" s="15">
        <v>1.0</v>
      </c>
      <c r="R200" s="9">
        <v>10.0</v>
      </c>
      <c r="S200" s="16">
        <f t="shared" si="6"/>
        <v>5</v>
      </c>
      <c r="T200" s="17">
        <f t="shared" si="7"/>
        <v>0.5</v>
      </c>
      <c r="U200" s="14">
        <f t="shared" si="8"/>
        <v>-5</v>
      </c>
      <c r="V200" s="9" t="str">
        <f t="shared" si="9"/>
        <v>Average</v>
      </c>
      <c r="W200" s="9"/>
    </row>
    <row r="201" ht="15.75" customHeight="1">
      <c r="A201" s="6">
        <v>46285.0</v>
      </c>
      <c r="B201" s="7" t="s">
        <v>42</v>
      </c>
      <c r="C201" s="9" t="s">
        <v>40</v>
      </c>
      <c r="D201" s="9" t="s">
        <v>27</v>
      </c>
      <c r="E201" s="10">
        <v>0.0</v>
      </c>
      <c r="F201" s="9">
        <f t="shared" si="1"/>
        <v>0</v>
      </c>
      <c r="G201" s="11">
        <v>0.0</v>
      </c>
      <c r="H201" s="9">
        <f t="shared" si="2"/>
        <v>0</v>
      </c>
      <c r="I201" s="11">
        <v>1.0</v>
      </c>
      <c r="J201" s="9">
        <f t="shared" si="10"/>
        <v>1</v>
      </c>
      <c r="K201" s="11">
        <v>60.0</v>
      </c>
      <c r="L201" s="11">
        <v>52.0</v>
      </c>
      <c r="M201" s="14">
        <f t="shared" si="4"/>
        <v>1</v>
      </c>
      <c r="N201" s="11">
        <v>3.0</v>
      </c>
      <c r="O201" s="14">
        <f t="shared" si="5"/>
        <v>2</v>
      </c>
      <c r="P201" s="11">
        <v>1.0</v>
      </c>
      <c r="Q201" s="15">
        <v>1.0</v>
      </c>
      <c r="R201" s="9">
        <v>10.0</v>
      </c>
      <c r="S201" s="16">
        <f t="shared" si="6"/>
        <v>6</v>
      </c>
      <c r="T201" s="17">
        <f t="shared" si="7"/>
        <v>0.6</v>
      </c>
      <c r="U201" s="14">
        <f t="shared" si="8"/>
        <v>-4</v>
      </c>
      <c r="V201" s="9" t="str">
        <f t="shared" si="9"/>
        <v>Average</v>
      </c>
      <c r="W201" s="9"/>
    </row>
    <row r="202" ht="15.75" customHeight="1">
      <c r="A202" s="6">
        <v>46285.0</v>
      </c>
      <c r="B202" s="7" t="s">
        <v>43</v>
      </c>
      <c r="C202" s="9" t="s">
        <v>40</v>
      </c>
      <c r="D202" s="9" t="s">
        <v>27</v>
      </c>
      <c r="E202" s="10">
        <v>0.0</v>
      </c>
      <c r="F202" s="9">
        <f t="shared" si="1"/>
        <v>0</v>
      </c>
      <c r="G202" s="11">
        <v>0.0</v>
      </c>
      <c r="H202" s="9">
        <f t="shared" si="2"/>
        <v>0</v>
      </c>
      <c r="I202" s="11">
        <v>2.0</v>
      </c>
      <c r="J202" s="9">
        <f t="shared" si="10"/>
        <v>1</v>
      </c>
      <c r="K202" s="11">
        <v>65.0</v>
      </c>
      <c r="L202" s="11">
        <v>56.0</v>
      </c>
      <c r="M202" s="14">
        <f t="shared" si="4"/>
        <v>1</v>
      </c>
      <c r="N202" s="11">
        <v>3.0</v>
      </c>
      <c r="O202" s="14">
        <f t="shared" si="5"/>
        <v>2</v>
      </c>
      <c r="P202" s="11">
        <v>1.0</v>
      </c>
      <c r="Q202" s="15">
        <v>1.0</v>
      </c>
      <c r="R202" s="9">
        <v>10.0</v>
      </c>
      <c r="S202" s="16">
        <f t="shared" si="6"/>
        <v>6</v>
      </c>
      <c r="T202" s="17">
        <f t="shared" si="7"/>
        <v>0.6</v>
      </c>
      <c r="U202" s="14">
        <f t="shared" si="8"/>
        <v>-4</v>
      </c>
      <c r="V202" s="9" t="str">
        <f t="shared" si="9"/>
        <v>Average</v>
      </c>
      <c r="W202" s="9"/>
    </row>
    <row r="203" ht="15.75" customHeight="1">
      <c r="A203" s="6">
        <v>46285.0</v>
      </c>
      <c r="B203" s="7" t="s">
        <v>47</v>
      </c>
      <c r="C203" s="9" t="s">
        <v>48</v>
      </c>
      <c r="D203" s="9" t="s">
        <v>27</v>
      </c>
      <c r="E203" s="25">
        <v>0.0</v>
      </c>
      <c r="F203" s="26">
        <f t="shared" si="1"/>
        <v>0</v>
      </c>
      <c r="G203" s="27">
        <v>0.0</v>
      </c>
      <c r="H203" s="26">
        <f t="shared" si="2"/>
        <v>0</v>
      </c>
      <c r="I203" s="27">
        <v>0.0</v>
      </c>
      <c r="J203" s="26">
        <f t="shared" si="10"/>
        <v>0</v>
      </c>
      <c r="K203" s="27">
        <v>0.0</v>
      </c>
      <c r="L203" s="27">
        <v>0.0</v>
      </c>
      <c r="M203" s="29">
        <f t="shared" si="4"/>
        <v>0</v>
      </c>
      <c r="N203" s="26"/>
      <c r="O203" s="29">
        <f t="shared" si="5"/>
        <v>0</v>
      </c>
      <c r="P203" s="27">
        <v>0.0</v>
      </c>
      <c r="Q203" s="30">
        <v>0.0</v>
      </c>
      <c r="R203" s="26">
        <v>10.0</v>
      </c>
      <c r="S203" s="29">
        <f t="shared" si="6"/>
        <v>0</v>
      </c>
      <c r="T203" s="28">
        <f t="shared" si="7"/>
        <v>0</v>
      </c>
      <c r="U203" s="29">
        <f t="shared" si="8"/>
        <v>-10</v>
      </c>
      <c r="V203" s="26" t="str">
        <f t="shared" si="9"/>
        <v>Low Performance</v>
      </c>
      <c r="W203" s="32" t="s">
        <v>51</v>
      </c>
    </row>
    <row r="204" ht="15.75" customHeight="1">
      <c r="A204" s="6">
        <v>46285.0</v>
      </c>
      <c r="B204" s="7" t="s">
        <v>45</v>
      </c>
      <c r="C204" s="9" t="s">
        <v>48</v>
      </c>
      <c r="D204" s="9" t="s">
        <v>27</v>
      </c>
      <c r="E204" s="10">
        <v>0.0</v>
      </c>
      <c r="F204" s="9">
        <f t="shared" si="1"/>
        <v>0</v>
      </c>
      <c r="G204" s="11">
        <v>0.0</v>
      </c>
      <c r="H204" s="9">
        <f t="shared" si="2"/>
        <v>0</v>
      </c>
      <c r="I204" s="11">
        <v>1.0</v>
      </c>
      <c r="J204" s="9">
        <f t="shared" si="10"/>
        <v>1</v>
      </c>
      <c r="K204" s="11">
        <v>75.0</v>
      </c>
      <c r="L204" s="11">
        <v>50.0</v>
      </c>
      <c r="M204" s="14">
        <f t="shared" si="4"/>
        <v>1</v>
      </c>
      <c r="N204" s="11">
        <v>3.0</v>
      </c>
      <c r="O204" s="14">
        <f t="shared" si="5"/>
        <v>2</v>
      </c>
      <c r="P204" s="11">
        <v>1.0</v>
      </c>
      <c r="Q204" s="15">
        <v>1.0</v>
      </c>
      <c r="R204" s="9">
        <v>10.0</v>
      </c>
      <c r="S204" s="16">
        <f t="shared" si="6"/>
        <v>6</v>
      </c>
      <c r="T204" s="17">
        <f t="shared" si="7"/>
        <v>0.6</v>
      </c>
      <c r="U204" s="14">
        <f t="shared" si="8"/>
        <v>-4</v>
      </c>
      <c r="V204" s="9" t="str">
        <f t="shared" si="9"/>
        <v>Average</v>
      </c>
      <c r="W204" s="9"/>
    </row>
    <row r="205" ht="15.75" customHeight="1">
      <c r="A205" s="6">
        <v>46285.0</v>
      </c>
      <c r="B205" s="7" t="s">
        <v>49</v>
      </c>
      <c r="C205" s="9" t="s">
        <v>48</v>
      </c>
      <c r="D205" s="9" t="s">
        <v>27</v>
      </c>
      <c r="E205" s="10">
        <v>0.0</v>
      </c>
      <c r="F205" s="9">
        <f t="shared" si="1"/>
        <v>0</v>
      </c>
      <c r="G205" s="11">
        <v>0.0</v>
      </c>
      <c r="H205" s="9">
        <f t="shared" si="2"/>
        <v>0</v>
      </c>
      <c r="I205" s="11">
        <v>1.0</v>
      </c>
      <c r="J205" s="9">
        <f t="shared" si="10"/>
        <v>1</v>
      </c>
      <c r="K205" s="11">
        <v>55.0</v>
      </c>
      <c r="L205" s="11">
        <v>50.0</v>
      </c>
      <c r="M205" s="14">
        <f t="shared" si="4"/>
        <v>1</v>
      </c>
      <c r="N205" s="11">
        <v>3.0</v>
      </c>
      <c r="O205" s="14">
        <f t="shared" si="5"/>
        <v>2</v>
      </c>
      <c r="P205" s="11">
        <v>1.0</v>
      </c>
      <c r="Q205" s="15">
        <v>1.0</v>
      </c>
      <c r="R205" s="9">
        <v>10.0</v>
      </c>
      <c r="S205" s="16">
        <f t="shared" si="6"/>
        <v>6</v>
      </c>
      <c r="T205" s="17">
        <f t="shared" si="7"/>
        <v>0.6</v>
      </c>
      <c r="U205" s="14">
        <f t="shared" si="8"/>
        <v>-4</v>
      </c>
      <c r="V205" s="9" t="str">
        <f t="shared" si="9"/>
        <v>Average</v>
      </c>
      <c r="W205" s="9"/>
    </row>
    <row r="206" ht="15.75" customHeight="1">
      <c r="A206" s="6">
        <v>46285.0</v>
      </c>
      <c r="B206" s="22" t="s">
        <v>50</v>
      </c>
      <c r="C206" s="24" t="s">
        <v>48</v>
      </c>
      <c r="D206" s="24" t="s">
        <v>27</v>
      </c>
      <c r="E206" s="10">
        <v>0.0</v>
      </c>
      <c r="F206" s="9">
        <f t="shared" si="1"/>
        <v>0</v>
      </c>
      <c r="G206" s="11">
        <v>0.0</v>
      </c>
      <c r="H206" s="9">
        <f t="shared" si="2"/>
        <v>0</v>
      </c>
      <c r="I206" s="11">
        <v>1.0</v>
      </c>
      <c r="J206" s="9">
        <f t="shared" si="10"/>
        <v>1</v>
      </c>
      <c r="K206" s="11">
        <v>63.0</v>
      </c>
      <c r="L206" s="11">
        <v>50.0</v>
      </c>
      <c r="M206" s="14">
        <f t="shared" si="4"/>
        <v>1</v>
      </c>
      <c r="N206" s="11">
        <v>3.0</v>
      </c>
      <c r="O206" s="14">
        <f t="shared" si="5"/>
        <v>2</v>
      </c>
      <c r="P206" s="11">
        <v>1.0</v>
      </c>
      <c r="Q206" s="15">
        <v>1.0</v>
      </c>
      <c r="R206" s="9">
        <v>10.0</v>
      </c>
      <c r="S206" s="16">
        <f t="shared" si="6"/>
        <v>6</v>
      </c>
      <c r="T206" s="17">
        <f t="shared" si="7"/>
        <v>0.6</v>
      </c>
      <c r="U206" s="14">
        <f t="shared" si="8"/>
        <v>-4</v>
      </c>
      <c r="V206" s="9" t="str">
        <f t="shared" si="9"/>
        <v>Average</v>
      </c>
      <c r="W206" s="9"/>
    </row>
    <row r="207" ht="15.75" customHeight="1">
      <c r="A207" s="6">
        <v>46286.0</v>
      </c>
      <c r="B207" s="7" t="s">
        <v>28</v>
      </c>
      <c r="C207" s="9" t="s">
        <v>29</v>
      </c>
      <c r="D207" s="9" t="s">
        <v>27</v>
      </c>
      <c r="E207" s="10">
        <v>0.0</v>
      </c>
      <c r="F207" s="9">
        <f t="shared" si="1"/>
        <v>0</v>
      </c>
      <c r="G207" s="11">
        <v>1.0</v>
      </c>
      <c r="H207" s="9">
        <f t="shared" si="2"/>
        <v>1</v>
      </c>
      <c r="I207" s="11">
        <v>0.0</v>
      </c>
      <c r="J207" s="9">
        <f t="shared" si="10"/>
        <v>0</v>
      </c>
      <c r="K207" s="11">
        <v>124.0</v>
      </c>
      <c r="L207" s="11">
        <v>58.0</v>
      </c>
      <c r="M207" s="14">
        <f t="shared" si="4"/>
        <v>1</v>
      </c>
      <c r="N207" s="11">
        <v>3.0</v>
      </c>
      <c r="O207" s="14">
        <f t="shared" si="5"/>
        <v>2</v>
      </c>
      <c r="P207" s="11">
        <v>1.0</v>
      </c>
      <c r="Q207" s="15">
        <v>1.0</v>
      </c>
      <c r="R207" s="9">
        <v>10.0</v>
      </c>
      <c r="S207" s="16">
        <f t="shared" si="6"/>
        <v>6</v>
      </c>
      <c r="T207" s="17">
        <f t="shared" si="7"/>
        <v>0.6</v>
      </c>
      <c r="U207" s="14">
        <f t="shared" si="8"/>
        <v>-4</v>
      </c>
      <c r="V207" s="9" t="str">
        <f t="shared" si="9"/>
        <v>Average</v>
      </c>
      <c r="W207" s="9"/>
    </row>
    <row r="208" ht="15.75" customHeight="1">
      <c r="A208" s="6">
        <v>46286.0</v>
      </c>
      <c r="B208" s="7" t="s">
        <v>36</v>
      </c>
      <c r="C208" s="9" t="s">
        <v>29</v>
      </c>
      <c r="D208" s="9" t="s">
        <v>27</v>
      </c>
      <c r="E208" s="10">
        <v>0.0</v>
      </c>
      <c r="F208" s="9">
        <f t="shared" si="1"/>
        <v>0</v>
      </c>
      <c r="G208" s="11">
        <v>1.0</v>
      </c>
      <c r="H208" s="9">
        <f t="shared" si="2"/>
        <v>1</v>
      </c>
      <c r="I208" s="11">
        <v>1.0</v>
      </c>
      <c r="J208" s="9">
        <f t="shared" si="10"/>
        <v>1</v>
      </c>
      <c r="K208" s="11">
        <v>73.0</v>
      </c>
      <c r="L208" s="11">
        <v>59.0</v>
      </c>
      <c r="M208" s="14">
        <f t="shared" si="4"/>
        <v>1</v>
      </c>
      <c r="N208" s="11">
        <v>3.0</v>
      </c>
      <c r="O208" s="14">
        <f t="shared" si="5"/>
        <v>2</v>
      </c>
      <c r="P208" s="11">
        <v>1.0</v>
      </c>
      <c r="Q208" s="15">
        <v>1.0</v>
      </c>
      <c r="R208" s="9">
        <v>10.0</v>
      </c>
      <c r="S208" s="16">
        <f t="shared" si="6"/>
        <v>7</v>
      </c>
      <c r="T208" s="17">
        <f t="shared" si="7"/>
        <v>0.7</v>
      </c>
      <c r="U208" s="14">
        <f t="shared" si="8"/>
        <v>-3</v>
      </c>
      <c r="V208" s="9" t="str">
        <f t="shared" si="9"/>
        <v>Near Target</v>
      </c>
      <c r="W208" s="9"/>
    </row>
    <row r="209" ht="15.75" customHeight="1">
      <c r="A209" s="6">
        <v>46286.0</v>
      </c>
      <c r="B209" s="7" t="s">
        <v>37</v>
      </c>
      <c r="C209" s="9" t="s">
        <v>29</v>
      </c>
      <c r="D209" s="9" t="s">
        <v>27</v>
      </c>
      <c r="E209" s="10">
        <v>0.0</v>
      </c>
      <c r="F209" s="9">
        <f t="shared" si="1"/>
        <v>0</v>
      </c>
      <c r="G209" s="11">
        <v>0.0</v>
      </c>
      <c r="H209" s="9">
        <f t="shared" si="2"/>
        <v>0</v>
      </c>
      <c r="I209" s="11">
        <v>1.0</v>
      </c>
      <c r="J209" s="9">
        <f t="shared" si="10"/>
        <v>1</v>
      </c>
      <c r="K209" s="11">
        <v>84.0</v>
      </c>
      <c r="L209" s="11">
        <v>55.0</v>
      </c>
      <c r="M209" s="14">
        <f t="shared" si="4"/>
        <v>1</v>
      </c>
      <c r="N209" s="11">
        <v>3.0</v>
      </c>
      <c r="O209" s="14">
        <f t="shared" si="5"/>
        <v>2</v>
      </c>
      <c r="P209" s="11">
        <v>1.0</v>
      </c>
      <c r="Q209" s="15">
        <v>1.0</v>
      </c>
      <c r="R209" s="9">
        <v>10.0</v>
      </c>
      <c r="S209" s="16">
        <f t="shared" si="6"/>
        <v>6</v>
      </c>
      <c r="T209" s="17">
        <f t="shared" si="7"/>
        <v>0.6</v>
      </c>
      <c r="U209" s="14">
        <f t="shared" si="8"/>
        <v>-4</v>
      </c>
      <c r="V209" s="9" t="str">
        <f t="shared" si="9"/>
        <v>Average</v>
      </c>
      <c r="W209" s="9"/>
    </row>
    <row r="210" ht="15.75" customHeight="1">
      <c r="A210" s="6">
        <v>46286.0</v>
      </c>
      <c r="B210" s="7" t="s">
        <v>38</v>
      </c>
      <c r="C210" s="9" t="s">
        <v>29</v>
      </c>
      <c r="D210" s="9" t="s">
        <v>27</v>
      </c>
      <c r="E210" s="10">
        <v>0.0</v>
      </c>
      <c r="F210" s="9">
        <f t="shared" si="1"/>
        <v>0</v>
      </c>
      <c r="G210" s="11">
        <v>0.0</v>
      </c>
      <c r="H210" s="9">
        <f t="shared" si="2"/>
        <v>0</v>
      </c>
      <c r="I210" s="11">
        <v>1.0</v>
      </c>
      <c r="J210" s="9">
        <f t="shared" si="10"/>
        <v>1</v>
      </c>
      <c r="K210" s="11">
        <v>69.0</v>
      </c>
      <c r="L210" s="11">
        <v>55.0</v>
      </c>
      <c r="M210" s="14">
        <f t="shared" si="4"/>
        <v>1</v>
      </c>
      <c r="N210" s="11">
        <v>3.0</v>
      </c>
      <c r="O210" s="14">
        <f t="shared" si="5"/>
        <v>2</v>
      </c>
      <c r="P210" s="11">
        <v>1.0</v>
      </c>
      <c r="Q210" s="15">
        <v>1.0</v>
      </c>
      <c r="R210" s="9">
        <v>10.0</v>
      </c>
      <c r="S210" s="16">
        <f t="shared" si="6"/>
        <v>6</v>
      </c>
      <c r="T210" s="17">
        <f t="shared" si="7"/>
        <v>0.6</v>
      </c>
      <c r="U210" s="14">
        <f t="shared" si="8"/>
        <v>-4</v>
      </c>
      <c r="V210" s="9" t="str">
        <f t="shared" si="9"/>
        <v>Average</v>
      </c>
      <c r="W210" s="9"/>
    </row>
    <row r="211" ht="15.75" customHeight="1">
      <c r="A211" s="6">
        <v>46286.0</v>
      </c>
      <c r="B211" s="20" t="s">
        <v>39</v>
      </c>
      <c r="C211" s="9" t="s">
        <v>40</v>
      </c>
      <c r="D211" s="9" t="s">
        <v>27</v>
      </c>
      <c r="E211" s="10">
        <v>0.0</v>
      </c>
      <c r="F211" s="9">
        <f t="shared" si="1"/>
        <v>0</v>
      </c>
      <c r="G211" s="11">
        <v>0.0</v>
      </c>
      <c r="H211" s="9">
        <f t="shared" si="2"/>
        <v>0</v>
      </c>
      <c r="I211" s="11">
        <v>1.0</v>
      </c>
      <c r="J211" s="9">
        <f t="shared" si="10"/>
        <v>1</v>
      </c>
      <c r="K211" s="11">
        <v>83.0</v>
      </c>
      <c r="L211" s="11">
        <v>50.0</v>
      </c>
      <c r="M211" s="14">
        <f t="shared" si="4"/>
        <v>1</v>
      </c>
      <c r="N211" s="11">
        <v>3.0</v>
      </c>
      <c r="O211" s="14">
        <f t="shared" si="5"/>
        <v>2</v>
      </c>
      <c r="P211" s="11">
        <v>1.0</v>
      </c>
      <c r="Q211" s="15">
        <v>1.0</v>
      </c>
      <c r="R211" s="9">
        <v>10.0</v>
      </c>
      <c r="S211" s="16">
        <f t="shared" si="6"/>
        <v>6</v>
      </c>
      <c r="T211" s="17">
        <f t="shared" si="7"/>
        <v>0.6</v>
      </c>
      <c r="U211" s="14">
        <f t="shared" si="8"/>
        <v>-4</v>
      </c>
      <c r="V211" s="9" t="str">
        <f t="shared" si="9"/>
        <v>Average</v>
      </c>
      <c r="W211" s="9"/>
    </row>
    <row r="212" ht="15.75" customHeight="1">
      <c r="A212" s="6">
        <v>46286.0</v>
      </c>
      <c r="B212" s="7" t="s">
        <v>41</v>
      </c>
      <c r="C212" s="9" t="s">
        <v>40</v>
      </c>
      <c r="D212" s="9" t="s">
        <v>27</v>
      </c>
      <c r="E212" s="10">
        <v>0.0</v>
      </c>
      <c r="F212" s="9">
        <f t="shared" si="1"/>
        <v>0</v>
      </c>
      <c r="G212" s="11">
        <v>0.0</v>
      </c>
      <c r="H212" s="9">
        <f t="shared" si="2"/>
        <v>0</v>
      </c>
      <c r="I212" s="11">
        <v>1.0</v>
      </c>
      <c r="J212" s="9">
        <f t="shared" si="10"/>
        <v>1</v>
      </c>
      <c r="K212" s="11">
        <v>87.0</v>
      </c>
      <c r="L212" s="11">
        <v>60.0</v>
      </c>
      <c r="M212" s="14">
        <f t="shared" si="4"/>
        <v>1</v>
      </c>
      <c r="N212" s="11">
        <v>3.0</v>
      </c>
      <c r="O212" s="14">
        <f t="shared" si="5"/>
        <v>2</v>
      </c>
      <c r="P212" s="11">
        <v>1.0</v>
      </c>
      <c r="Q212" s="15">
        <v>1.0</v>
      </c>
      <c r="R212" s="9">
        <v>10.0</v>
      </c>
      <c r="S212" s="16">
        <f t="shared" si="6"/>
        <v>6</v>
      </c>
      <c r="T212" s="17">
        <f t="shared" si="7"/>
        <v>0.6</v>
      </c>
      <c r="U212" s="14">
        <f t="shared" si="8"/>
        <v>-4</v>
      </c>
      <c r="V212" s="9" t="str">
        <f t="shared" si="9"/>
        <v>Average</v>
      </c>
      <c r="W212" s="9"/>
    </row>
    <row r="213" ht="15.75" customHeight="1">
      <c r="A213" s="6">
        <v>46286.0</v>
      </c>
      <c r="B213" s="7" t="s">
        <v>42</v>
      </c>
      <c r="C213" s="9" t="s">
        <v>40</v>
      </c>
      <c r="D213" s="9" t="s">
        <v>27</v>
      </c>
      <c r="E213" s="10">
        <v>0.0</v>
      </c>
      <c r="F213" s="9">
        <f t="shared" si="1"/>
        <v>0</v>
      </c>
      <c r="G213" s="11">
        <v>1.0</v>
      </c>
      <c r="H213" s="9">
        <f t="shared" si="2"/>
        <v>1</v>
      </c>
      <c r="I213" s="11">
        <v>1.0</v>
      </c>
      <c r="J213" s="9">
        <f t="shared" si="10"/>
        <v>1</v>
      </c>
      <c r="K213" s="11">
        <v>52.0</v>
      </c>
      <c r="L213" s="11">
        <v>54.0</v>
      </c>
      <c r="M213" s="14">
        <f t="shared" si="4"/>
        <v>1</v>
      </c>
      <c r="N213" s="11">
        <v>3.0</v>
      </c>
      <c r="O213" s="14">
        <f t="shared" si="5"/>
        <v>2</v>
      </c>
      <c r="P213" s="11">
        <v>1.0</v>
      </c>
      <c r="Q213" s="15">
        <v>1.0</v>
      </c>
      <c r="R213" s="9">
        <v>10.0</v>
      </c>
      <c r="S213" s="16">
        <f t="shared" si="6"/>
        <v>7</v>
      </c>
      <c r="T213" s="17">
        <f t="shared" si="7"/>
        <v>0.7</v>
      </c>
      <c r="U213" s="14">
        <f t="shared" si="8"/>
        <v>-3</v>
      </c>
      <c r="V213" s="9" t="str">
        <f t="shared" si="9"/>
        <v>Near Target</v>
      </c>
      <c r="W213" s="9"/>
    </row>
    <row r="214" ht="15.75" customHeight="1">
      <c r="A214" s="6">
        <v>46286.0</v>
      </c>
      <c r="B214" s="7" t="s">
        <v>43</v>
      </c>
      <c r="C214" s="9" t="s">
        <v>40</v>
      </c>
      <c r="D214" s="9" t="s">
        <v>27</v>
      </c>
      <c r="E214" s="10">
        <v>0.0</v>
      </c>
      <c r="F214" s="9">
        <f t="shared" si="1"/>
        <v>0</v>
      </c>
      <c r="G214" s="11">
        <v>1.0</v>
      </c>
      <c r="H214" s="9">
        <f t="shared" si="2"/>
        <v>1</v>
      </c>
      <c r="I214" s="11">
        <v>1.0</v>
      </c>
      <c r="J214" s="9">
        <f t="shared" si="10"/>
        <v>1</v>
      </c>
      <c r="K214" s="11">
        <v>68.0</v>
      </c>
      <c r="L214" s="11">
        <v>45.0</v>
      </c>
      <c r="M214" s="14">
        <f t="shared" si="4"/>
        <v>0.9</v>
      </c>
      <c r="N214" s="11">
        <v>3.0</v>
      </c>
      <c r="O214" s="14">
        <f t="shared" si="5"/>
        <v>2</v>
      </c>
      <c r="P214" s="11">
        <v>1.0</v>
      </c>
      <c r="Q214" s="15">
        <v>1.0</v>
      </c>
      <c r="R214" s="9">
        <v>10.0</v>
      </c>
      <c r="S214" s="16">
        <f t="shared" si="6"/>
        <v>6.9</v>
      </c>
      <c r="T214" s="17">
        <f t="shared" si="7"/>
        <v>0.69</v>
      </c>
      <c r="U214" s="14">
        <f t="shared" si="8"/>
        <v>-3.1</v>
      </c>
      <c r="V214" s="9" t="str">
        <f t="shared" si="9"/>
        <v>Average</v>
      </c>
      <c r="W214" s="9"/>
    </row>
    <row r="215" ht="15.75" customHeight="1">
      <c r="A215" s="6">
        <v>46286.0</v>
      </c>
      <c r="B215" s="7" t="s">
        <v>47</v>
      </c>
      <c r="C215" s="9" t="s">
        <v>48</v>
      </c>
      <c r="D215" s="9" t="s">
        <v>27</v>
      </c>
      <c r="E215" s="10">
        <v>0.0</v>
      </c>
      <c r="F215" s="9">
        <f t="shared" si="1"/>
        <v>0</v>
      </c>
      <c r="G215" s="11">
        <v>2.0</v>
      </c>
      <c r="H215" s="9">
        <f t="shared" si="2"/>
        <v>1</v>
      </c>
      <c r="I215" s="11">
        <v>0.0</v>
      </c>
      <c r="J215" s="9">
        <f t="shared" si="10"/>
        <v>0</v>
      </c>
      <c r="K215" s="11">
        <v>57.0</v>
      </c>
      <c r="L215" s="11">
        <v>52.0</v>
      </c>
      <c r="M215" s="14">
        <f t="shared" si="4"/>
        <v>1</v>
      </c>
      <c r="N215" s="11">
        <v>3.0</v>
      </c>
      <c r="O215" s="14">
        <f t="shared" si="5"/>
        <v>2</v>
      </c>
      <c r="P215" s="11">
        <v>1.0</v>
      </c>
      <c r="Q215" s="15">
        <v>1.0</v>
      </c>
      <c r="R215" s="9">
        <v>10.0</v>
      </c>
      <c r="S215" s="16">
        <f t="shared" si="6"/>
        <v>6</v>
      </c>
      <c r="T215" s="17">
        <f t="shared" si="7"/>
        <v>0.6</v>
      </c>
      <c r="U215" s="14">
        <f t="shared" si="8"/>
        <v>-4</v>
      </c>
      <c r="V215" s="9" t="str">
        <f t="shared" si="9"/>
        <v>Average</v>
      </c>
      <c r="W215" s="9"/>
    </row>
    <row r="216" ht="15.75" customHeight="1">
      <c r="A216" s="6">
        <v>46286.0</v>
      </c>
      <c r="B216" s="7" t="s">
        <v>45</v>
      </c>
      <c r="C216" s="9" t="s">
        <v>48</v>
      </c>
      <c r="D216" s="9" t="s">
        <v>27</v>
      </c>
      <c r="E216" s="10">
        <v>7000.0</v>
      </c>
      <c r="F216" s="9">
        <f t="shared" si="1"/>
        <v>3</v>
      </c>
      <c r="G216" s="11">
        <v>1.0</v>
      </c>
      <c r="H216" s="9">
        <f t="shared" si="2"/>
        <v>1</v>
      </c>
      <c r="I216" s="11">
        <v>1.0</v>
      </c>
      <c r="J216" s="9">
        <f t="shared" si="10"/>
        <v>1</v>
      </c>
      <c r="K216" s="11">
        <v>52.0</v>
      </c>
      <c r="L216" s="11">
        <v>50.0</v>
      </c>
      <c r="M216" s="14">
        <f t="shared" si="4"/>
        <v>1</v>
      </c>
      <c r="N216" s="11">
        <v>3.0</v>
      </c>
      <c r="O216" s="14">
        <f t="shared" si="5"/>
        <v>2</v>
      </c>
      <c r="P216" s="11">
        <v>1.0</v>
      </c>
      <c r="Q216" s="15">
        <v>1.0</v>
      </c>
      <c r="R216" s="9">
        <v>10.0</v>
      </c>
      <c r="S216" s="16">
        <f t="shared" si="6"/>
        <v>10</v>
      </c>
      <c r="T216" s="17">
        <f t="shared" si="7"/>
        <v>1</v>
      </c>
      <c r="U216" s="14">
        <f t="shared" si="8"/>
        <v>0</v>
      </c>
      <c r="V216" s="9" t="str">
        <f t="shared" si="9"/>
        <v>Achieved</v>
      </c>
      <c r="W216" s="9"/>
    </row>
    <row r="217" ht="15.75" customHeight="1">
      <c r="A217" s="6">
        <v>46286.0</v>
      </c>
      <c r="B217" s="7" t="s">
        <v>49</v>
      </c>
      <c r="C217" s="9" t="s">
        <v>48</v>
      </c>
      <c r="D217" s="9" t="s">
        <v>27</v>
      </c>
      <c r="E217" s="10">
        <v>10000.0</v>
      </c>
      <c r="F217" s="9">
        <f t="shared" si="1"/>
        <v>3</v>
      </c>
      <c r="G217" s="11">
        <v>1.0</v>
      </c>
      <c r="H217" s="9">
        <f t="shared" si="2"/>
        <v>1</v>
      </c>
      <c r="I217" s="11">
        <v>1.0</v>
      </c>
      <c r="J217" s="9">
        <f t="shared" si="10"/>
        <v>1</v>
      </c>
      <c r="K217" s="11">
        <v>59.0</v>
      </c>
      <c r="L217" s="11">
        <v>50.0</v>
      </c>
      <c r="M217" s="14">
        <f t="shared" si="4"/>
        <v>1</v>
      </c>
      <c r="N217" s="11">
        <v>3.0</v>
      </c>
      <c r="O217" s="14">
        <f t="shared" si="5"/>
        <v>2</v>
      </c>
      <c r="P217" s="11">
        <v>1.0</v>
      </c>
      <c r="Q217" s="15">
        <v>1.0</v>
      </c>
      <c r="R217" s="9">
        <v>10.0</v>
      </c>
      <c r="S217" s="16">
        <f t="shared" si="6"/>
        <v>10</v>
      </c>
      <c r="T217" s="17">
        <f t="shared" si="7"/>
        <v>1</v>
      </c>
      <c r="U217" s="14">
        <f t="shared" si="8"/>
        <v>0</v>
      </c>
      <c r="V217" s="9" t="str">
        <f t="shared" si="9"/>
        <v>Achieved</v>
      </c>
      <c r="W217" s="9"/>
    </row>
    <row r="218" ht="15.75" customHeight="1">
      <c r="A218" s="6">
        <v>46286.0</v>
      </c>
      <c r="B218" s="22" t="s">
        <v>50</v>
      </c>
      <c r="C218" s="24" t="s">
        <v>48</v>
      </c>
      <c r="D218" s="24" t="s">
        <v>27</v>
      </c>
      <c r="E218" s="51">
        <v>0.0</v>
      </c>
      <c r="F218" s="52">
        <f t="shared" si="1"/>
        <v>0</v>
      </c>
      <c r="G218" s="53">
        <v>0.0</v>
      </c>
      <c r="H218" s="52">
        <f t="shared" si="2"/>
        <v>0</v>
      </c>
      <c r="I218" s="53">
        <v>0.0</v>
      </c>
      <c r="J218" s="52">
        <f t="shared" si="10"/>
        <v>0</v>
      </c>
      <c r="K218" s="53">
        <v>0.0</v>
      </c>
      <c r="L218" s="53">
        <v>0.0</v>
      </c>
      <c r="M218" s="54">
        <f t="shared" si="4"/>
        <v>0</v>
      </c>
      <c r="N218" s="53">
        <v>0.0</v>
      </c>
      <c r="O218" s="54">
        <f t="shared" si="5"/>
        <v>0</v>
      </c>
      <c r="P218" s="58">
        <v>0.0</v>
      </c>
      <c r="Q218" s="59">
        <v>0.0</v>
      </c>
      <c r="R218" s="52">
        <v>10.0</v>
      </c>
      <c r="S218" s="54">
        <f t="shared" si="6"/>
        <v>0</v>
      </c>
      <c r="T218" s="56">
        <f t="shared" si="7"/>
        <v>0</v>
      </c>
      <c r="U218" s="54">
        <f t="shared" si="8"/>
        <v>-10</v>
      </c>
      <c r="V218" s="52" t="str">
        <f t="shared" si="9"/>
        <v>Low Performance</v>
      </c>
      <c r="W218" s="32" t="s">
        <v>51</v>
      </c>
    </row>
    <row r="219" ht="15.75" customHeight="1">
      <c r="A219" s="6">
        <v>46287.0</v>
      </c>
      <c r="B219" s="7" t="s">
        <v>28</v>
      </c>
      <c r="C219" s="9" t="s">
        <v>29</v>
      </c>
      <c r="D219" s="9" t="s">
        <v>27</v>
      </c>
      <c r="E219" s="10">
        <v>0.0</v>
      </c>
      <c r="F219" s="9">
        <f t="shared" si="1"/>
        <v>0</v>
      </c>
      <c r="G219" s="11">
        <v>0.0</v>
      </c>
      <c r="H219" s="9">
        <f t="shared" si="2"/>
        <v>0</v>
      </c>
      <c r="I219" s="11">
        <v>0.0</v>
      </c>
      <c r="J219" s="9">
        <f t="shared" si="10"/>
        <v>0</v>
      </c>
      <c r="K219" s="11">
        <v>110.0</v>
      </c>
      <c r="L219" s="11">
        <v>54.0</v>
      </c>
      <c r="M219" s="14">
        <f t="shared" si="4"/>
        <v>1</v>
      </c>
      <c r="N219" s="11">
        <v>3.0</v>
      </c>
      <c r="O219" s="14">
        <f t="shared" si="5"/>
        <v>2</v>
      </c>
      <c r="P219" s="11">
        <v>1.0</v>
      </c>
      <c r="Q219" s="15">
        <v>1.0</v>
      </c>
      <c r="R219" s="9">
        <v>10.0</v>
      </c>
      <c r="S219" s="16">
        <f t="shared" si="6"/>
        <v>5</v>
      </c>
      <c r="T219" s="17">
        <f t="shared" si="7"/>
        <v>0.5</v>
      </c>
      <c r="U219" s="14">
        <f t="shared" si="8"/>
        <v>-5</v>
      </c>
      <c r="V219" s="9" t="str">
        <f t="shared" si="9"/>
        <v>Average</v>
      </c>
      <c r="W219" s="9"/>
    </row>
    <row r="220" ht="15.75" customHeight="1">
      <c r="A220" s="6">
        <v>46287.0</v>
      </c>
      <c r="B220" s="7" t="s">
        <v>36</v>
      </c>
      <c r="C220" s="9" t="s">
        <v>29</v>
      </c>
      <c r="D220" s="9" t="s">
        <v>27</v>
      </c>
      <c r="E220" s="10">
        <v>0.0</v>
      </c>
      <c r="F220" s="9">
        <f t="shared" si="1"/>
        <v>0</v>
      </c>
      <c r="G220" s="11">
        <v>0.0</v>
      </c>
      <c r="H220" s="9">
        <f t="shared" si="2"/>
        <v>0</v>
      </c>
      <c r="I220" s="11">
        <v>1.0</v>
      </c>
      <c r="J220" s="9">
        <f t="shared" si="10"/>
        <v>1</v>
      </c>
      <c r="K220" s="11">
        <v>66.0</v>
      </c>
      <c r="L220" s="11">
        <v>53.0</v>
      </c>
      <c r="M220" s="14">
        <f t="shared" si="4"/>
        <v>1</v>
      </c>
      <c r="N220" s="11">
        <v>3.0</v>
      </c>
      <c r="O220" s="14">
        <f t="shared" si="5"/>
        <v>2</v>
      </c>
      <c r="P220" s="11">
        <v>1.0</v>
      </c>
      <c r="Q220" s="15">
        <v>1.0</v>
      </c>
      <c r="R220" s="9">
        <v>10.0</v>
      </c>
      <c r="S220" s="16">
        <f t="shared" si="6"/>
        <v>6</v>
      </c>
      <c r="T220" s="17">
        <f t="shared" si="7"/>
        <v>0.6</v>
      </c>
      <c r="U220" s="14">
        <f t="shared" si="8"/>
        <v>-4</v>
      </c>
      <c r="V220" s="9" t="str">
        <f t="shared" si="9"/>
        <v>Average</v>
      </c>
      <c r="W220" s="9"/>
    </row>
    <row r="221" ht="15.75" customHeight="1">
      <c r="A221" s="6">
        <v>46287.0</v>
      </c>
      <c r="B221" s="7" t="s">
        <v>37</v>
      </c>
      <c r="C221" s="9" t="s">
        <v>29</v>
      </c>
      <c r="D221" s="9" t="s">
        <v>27</v>
      </c>
      <c r="E221" s="10">
        <v>0.0</v>
      </c>
      <c r="F221" s="9">
        <f t="shared" si="1"/>
        <v>0</v>
      </c>
      <c r="G221" s="11">
        <v>0.0</v>
      </c>
      <c r="H221" s="9">
        <f t="shared" si="2"/>
        <v>0</v>
      </c>
      <c r="I221" s="11">
        <v>1.0</v>
      </c>
      <c r="J221" s="9">
        <f t="shared" si="10"/>
        <v>1</v>
      </c>
      <c r="K221" s="11">
        <v>94.0</v>
      </c>
      <c r="L221" s="11">
        <v>61.0</v>
      </c>
      <c r="M221" s="14">
        <f t="shared" si="4"/>
        <v>1</v>
      </c>
      <c r="N221" s="11">
        <v>3.0</v>
      </c>
      <c r="O221" s="14">
        <f t="shared" si="5"/>
        <v>2</v>
      </c>
      <c r="P221" s="11">
        <v>1.0</v>
      </c>
      <c r="Q221" s="15">
        <v>1.0</v>
      </c>
      <c r="R221" s="9">
        <v>10.0</v>
      </c>
      <c r="S221" s="16">
        <f t="shared" si="6"/>
        <v>6</v>
      </c>
      <c r="T221" s="17">
        <f t="shared" si="7"/>
        <v>0.6</v>
      </c>
      <c r="U221" s="14">
        <f t="shared" si="8"/>
        <v>-4</v>
      </c>
      <c r="V221" s="9" t="str">
        <f t="shared" si="9"/>
        <v>Average</v>
      </c>
      <c r="W221" s="9"/>
    </row>
    <row r="222" ht="15.75" customHeight="1">
      <c r="A222" s="6">
        <v>46287.0</v>
      </c>
      <c r="B222" s="7" t="s">
        <v>38</v>
      </c>
      <c r="C222" s="9" t="s">
        <v>29</v>
      </c>
      <c r="D222" s="9" t="s">
        <v>27</v>
      </c>
      <c r="E222" s="10">
        <v>0.0</v>
      </c>
      <c r="F222" s="9">
        <f t="shared" si="1"/>
        <v>0</v>
      </c>
      <c r="G222" s="11">
        <v>0.0</v>
      </c>
      <c r="H222" s="9">
        <f t="shared" si="2"/>
        <v>0</v>
      </c>
      <c r="I222" s="11">
        <v>1.0</v>
      </c>
      <c r="J222" s="9">
        <f t="shared" si="10"/>
        <v>1</v>
      </c>
      <c r="K222" s="11">
        <v>59.0</v>
      </c>
      <c r="L222" s="11">
        <v>53.0</v>
      </c>
      <c r="M222" s="14">
        <f t="shared" si="4"/>
        <v>1</v>
      </c>
      <c r="N222" s="11">
        <v>3.0</v>
      </c>
      <c r="O222" s="14">
        <f t="shared" si="5"/>
        <v>2</v>
      </c>
      <c r="P222" s="11">
        <v>1.0</v>
      </c>
      <c r="Q222" s="15">
        <v>1.0</v>
      </c>
      <c r="R222" s="9">
        <v>10.0</v>
      </c>
      <c r="S222" s="16">
        <f t="shared" si="6"/>
        <v>6</v>
      </c>
      <c r="T222" s="17">
        <f t="shared" si="7"/>
        <v>0.6</v>
      </c>
      <c r="U222" s="14">
        <f t="shared" si="8"/>
        <v>-4</v>
      </c>
      <c r="V222" s="9" t="str">
        <f t="shared" si="9"/>
        <v>Average</v>
      </c>
      <c r="W222" s="9"/>
    </row>
    <row r="223" ht="15.75" customHeight="1">
      <c r="A223" s="6">
        <v>46287.0</v>
      </c>
      <c r="B223" s="7" t="s">
        <v>47</v>
      </c>
      <c r="C223" s="18" t="s">
        <v>40</v>
      </c>
      <c r="D223" s="9" t="s">
        <v>27</v>
      </c>
      <c r="E223" s="10">
        <v>0.0</v>
      </c>
      <c r="F223" s="9">
        <f t="shared" si="1"/>
        <v>0</v>
      </c>
      <c r="G223" s="11">
        <v>0.0</v>
      </c>
      <c r="H223" s="9">
        <f t="shared" si="2"/>
        <v>0</v>
      </c>
      <c r="I223" s="11">
        <v>2.0</v>
      </c>
      <c r="J223" s="9">
        <f t="shared" si="10"/>
        <v>1</v>
      </c>
      <c r="K223" s="11">
        <v>68.0</v>
      </c>
      <c r="L223" s="11">
        <v>52.0</v>
      </c>
      <c r="M223" s="14">
        <f t="shared" si="4"/>
        <v>1</v>
      </c>
      <c r="N223" s="11">
        <v>3.0</v>
      </c>
      <c r="O223" s="14">
        <f t="shared" si="5"/>
        <v>2</v>
      </c>
      <c r="P223" s="11">
        <v>1.0</v>
      </c>
      <c r="Q223" s="15">
        <v>1.0</v>
      </c>
      <c r="R223" s="9">
        <v>10.0</v>
      </c>
      <c r="S223" s="16">
        <f t="shared" si="6"/>
        <v>6</v>
      </c>
      <c r="T223" s="17">
        <f t="shared" si="7"/>
        <v>0.6</v>
      </c>
      <c r="U223" s="14">
        <f t="shared" si="8"/>
        <v>-4</v>
      </c>
      <c r="V223" s="9" t="str">
        <f t="shared" si="9"/>
        <v>Average</v>
      </c>
      <c r="W223" s="9"/>
    </row>
    <row r="224" ht="15.75" customHeight="1">
      <c r="A224" s="6">
        <v>46287.0</v>
      </c>
      <c r="B224" s="20" t="s">
        <v>39</v>
      </c>
      <c r="C224" s="9" t="s">
        <v>40</v>
      </c>
      <c r="D224" s="9" t="s">
        <v>27</v>
      </c>
      <c r="E224" s="10">
        <v>0.0</v>
      </c>
      <c r="F224" s="9">
        <f t="shared" si="1"/>
        <v>0</v>
      </c>
      <c r="G224" s="11">
        <v>0.0</v>
      </c>
      <c r="H224" s="9">
        <f t="shared" si="2"/>
        <v>0</v>
      </c>
      <c r="I224" s="11">
        <v>1.0</v>
      </c>
      <c r="J224" s="9">
        <f t="shared" si="10"/>
        <v>1</v>
      </c>
      <c r="K224" s="11">
        <v>59.0</v>
      </c>
      <c r="L224" s="11">
        <v>62.0</v>
      </c>
      <c r="M224" s="14">
        <f t="shared" si="4"/>
        <v>1</v>
      </c>
      <c r="N224" s="11">
        <v>3.0</v>
      </c>
      <c r="O224" s="14">
        <f t="shared" si="5"/>
        <v>2</v>
      </c>
      <c r="P224" s="11">
        <v>1.0</v>
      </c>
      <c r="Q224" s="15">
        <v>1.0</v>
      </c>
      <c r="R224" s="9">
        <v>10.0</v>
      </c>
      <c r="S224" s="16">
        <f t="shared" si="6"/>
        <v>6</v>
      </c>
      <c r="T224" s="17">
        <f t="shared" si="7"/>
        <v>0.6</v>
      </c>
      <c r="U224" s="14">
        <f t="shared" si="8"/>
        <v>-4</v>
      </c>
      <c r="V224" s="9" t="str">
        <f t="shared" si="9"/>
        <v>Average</v>
      </c>
      <c r="W224" s="9"/>
    </row>
    <row r="225" ht="15.75" customHeight="1">
      <c r="A225" s="6">
        <v>46287.0</v>
      </c>
      <c r="B225" s="7" t="s">
        <v>41</v>
      </c>
      <c r="C225" s="9" t="s">
        <v>40</v>
      </c>
      <c r="D225" s="9" t="s">
        <v>27</v>
      </c>
      <c r="E225" s="10">
        <v>0.0</v>
      </c>
      <c r="F225" s="9">
        <f t="shared" si="1"/>
        <v>0</v>
      </c>
      <c r="G225" s="11">
        <v>1.0</v>
      </c>
      <c r="H225" s="9">
        <f t="shared" si="2"/>
        <v>1</v>
      </c>
      <c r="I225" s="11">
        <v>0.0</v>
      </c>
      <c r="J225" s="9">
        <f t="shared" si="10"/>
        <v>0</v>
      </c>
      <c r="K225" s="11">
        <v>86.0</v>
      </c>
      <c r="L225" s="11">
        <v>59.0</v>
      </c>
      <c r="M225" s="14">
        <f t="shared" si="4"/>
        <v>1</v>
      </c>
      <c r="N225" s="11">
        <v>3.0</v>
      </c>
      <c r="O225" s="14">
        <f t="shared" si="5"/>
        <v>2</v>
      </c>
      <c r="P225" s="11">
        <v>1.0</v>
      </c>
      <c r="Q225" s="15">
        <v>1.0</v>
      </c>
      <c r="R225" s="9">
        <v>10.0</v>
      </c>
      <c r="S225" s="16">
        <f t="shared" si="6"/>
        <v>6</v>
      </c>
      <c r="T225" s="17">
        <f t="shared" si="7"/>
        <v>0.6</v>
      </c>
      <c r="U225" s="14">
        <f t="shared" si="8"/>
        <v>-4</v>
      </c>
      <c r="V225" s="9" t="str">
        <f t="shared" si="9"/>
        <v>Average</v>
      </c>
      <c r="W225" s="9"/>
    </row>
    <row r="226" ht="15.75" customHeight="1">
      <c r="A226" s="6">
        <v>46287.0</v>
      </c>
      <c r="B226" s="7" t="s">
        <v>42</v>
      </c>
      <c r="C226" s="9" t="s">
        <v>40</v>
      </c>
      <c r="D226" s="9" t="s">
        <v>27</v>
      </c>
      <c r="E226" s="10">
        <v>0.0</v>
      </c>
      <c r="F226" s="9">
        <f t="shared" si="1"/>
        <v>0</v>
      </c>
      <c r="G226" s="11">
        <v>0.0</v>
      </c>
      <c r="H226" s="9">
        <f t="shared" si="2"/>
        <v>0</v>
      </c>
      <c r="I226" s="11">
        <v>1.0</v>
      </c>
      <c r="J226" s="9">
        <f t="shared" si="10"/>
        <v>1</v>
      </c>
      <c r="K226" s="11">
        <v>60.0</v>
      </c>
      <c r="L226" s="11">
        <v>50.0</v>
      </c>
      <c r="M226" s="14">
        <f t="shared" si="4"/>
        <v>1</v>
      </c>
      <c r="N226" s="11">
        <v>3.0</v>
      </c>
      <c r="O226" s="14">
        <f t="shared" si="5"/>
        <v>2</v>
      </c>
      <c r="P226" s="11">
        <v>1.0</v>
      </c>
      <c r="Q226" s="15">
        <v>1.0</v>
      </c>
      <c r="R226" s="9">
        <v>10.0</v>
      </c>
      <c r="S226" s="16">
        <f t="shared" si="6"/>
        <v>6</v>
      </c>
      <c r="T226" s="17">
        <f t="shared" si="7"/>
        <v>0.6</v>
      </c>
      <c r="U226" s="14">
        <f t="shared" si="8"/>
        <v>-4</v>
      </c>
      <c r="V226" s="9" t="str">
        <f t="shared" si="9"/>
        <v>Average</v>
      </c>
      <c r="W226" s="9"/>
    </row>
    <row r="227" ht="15.75" customHeight="1">
      <c r="A227" s="6">
        <v>46287.0</v>
      </c>
      <c r="B227" s="7" t="s">
        <v>43</v>
      </c>
      <c r="C227" s="9" t="s">
        <v>40</v>
      </c>
      <c r="D227" s="9" t="s">
        <v>27</v>
      </c>
      <c r="E227" s="10">
        <v>0.0</v>
      </c>
      <c r="F227" s="9">
        <f t="shared" si="1"/>
        <v>0</v>
      </c>
      <c r="G227" s="11">
        <v>1.0</v>
      </c>
      <c r="H227" s="9">
        <f t="shared" si="2"/>
        <v>1</v>
      </c>
      <c r="I227" s="11">
        <v>0.0</v>
      </c>
      <c r="J227" s="9">
        <f t="shared" si="10"/>
        <v>0</v>
      </c>
      <c r="K227" s="11">
        <v>61.0</v>
      </c>
      <c r="L227" s="11">
        <v>55.0</v>
      </c>
      <c r="M227" s="14">
        <f t="shared" si="4"/>
        <v>1</v>
      </c>
      <c r="N227" s="11">
        <v>3.0</v>
      </c>
      <c r="O227" s="14">
        <f t="shared" si="5"/>
        <v>2</v>
      </c>
      <c r="P227" s="11">
        <v>1.0</v>
      </c>
      <c r="Q227" s="15">
        <v>1.0</v>
      </c>
      <c r="R227" s="9">
        <v>10.0</v>
      </c>
      <c r="S227" s="16">
        <f t="shared" si="6"/>
        <v>6</v>
      </c>
      <c r="T227" s="17">
        <f t="shared" si="7"/>
        <v>0.6</v>
      </c>
      <c r="U227" s="14">
        <f t="shared" si="8"/>
        <v>-4</v>
      </c>
      <c r="V227" s="9" t="str">
        <f t="shared" si="9"/>
        <v>Average</v>
      </c>
      <c r="W227" s="9"/>
    </row>
    <row r="228" ht="15.75" customHeight="1">
      <c r="A228" s="6">
        <v>46287.0</v>
      </c>
      <c r="B228" s="7" t="s">
        <v>45</v>
      </c>
      <c r="C228" s="9" t="s">
        <v>48</v>
      </c>
      <c r="D228" s="9" t="s">
        <v>27</v>
      </c>
      <c r="E228" s="10">
        <v>0.0</v>
      </c>
      <c r="F228" s="9">
        <f t="shared" si="1"/>
        <v>0</v>
      </c>
      <c r="G228" s="11">
        <v>0.0</v>
      </c>
      <c r="H228" s="9">
        <f t="shared" si="2"/>
        <v>0</v>
      </c>
      <c r="I228" s="11">
        <v>3.0</v>
      </c>
      <c r="J228" s="9">
        <f t="shared" si="10"/>
        <v>1</v>
      </c>
      <c r="K228" s="11">
        <v>68.0</v>
      </c>
      <c r="L228" s="11">
        <v>50.0</v>
      </c>
      <c r="M228" s="14">
        <f t="shared" si="4"/>
        <v>1</v>
      </c>
      <c r="N228" s="11">
        <v>3.0</v>
      </c>
      <c r="O228" s="14">
        <f t="shared" si="5"/>
        <v>2</v>
      </c>
      <c r="P228" s="11">
        <v>1.0</v>
      </c>
      <c r="Q228" s="15">
        <v>1.0</v>
      </c>
      <c r="R228" s="9">
        <v>10.0</v>
      </c>
      <c r="S228" s="16">
        <f t="shared" si="6"/>
        <v>6</v>
      </c>
      <c r="T228" s="17">
        <f t="shared" si="7"/>
        <v>0.6</v>
      </c>
      <c r="U228" s="14">
        <f t="shared" si="8"/>
        <v>-4</v>
      </c>
      <c r="V228" s="9" t="str">
        <f t="shared" si="9"/>
        <v>Average</v>
      </c>
      <c r="W228" s="9"/>
    </row>
    <row r="229" ht="15.75" customHeight="1">
      <c r="A229" s="6">
        <v>46287.0</v>
      </c>
      <c r="B229" s="7" t="s">
        <v>49</v>
      </c>
      <c r="C229" s="9" t="s">
        <v>48</v>
      </c>
      <c r="D229" s="9" t="s">
        <v>27</v>
      </c>
      <c r="E229" s="10">
        <v>0.0</v>
      </c>
      <c r="F229" s="9">
        <f t="shared" si="1"/>
        <v>0</v>
      </c>
      <c r="G229" s="11">
        <v>0.0</v>
      </c>
      <c r="H229" s="9">
        <f t="shared" si="2"/>
        <v>0</v>
      </c>
      <c r="I229" s="11">
        <v>1.0</v>
      </c>
      <c r="J229" s="9">
        <f t="shared" si="10"/>
        <v>1</v>
      </c>
      <c r="K229" s="11">
        <v>63.0</v>
      </c>
      <c r="L229" s="11">
        <v>50.0</v>
      </c>
      <c r="M229" s="14">
        <f t="shared" si="4"/>
        <v>1</v>
      </c>
      <c r="N229" s="11">
        <v>3.0</v>
      </c>
      <c r="O229" s="14">
        <f t="shared" si="5"/>
        <v>2</v>
      </c>
      <c r="P229" s="11">
        <v>1.0</v>
      </c>
      <c r="Q229" s="15">
        <v>1.0</v>
      </c>
      <c r="R229" s="9">
        <v>10.0</v>
      </c>
      <c r="S229" s="16">
        <f t="shared" si="6"/>
        <v>6</v>
      </c>
      <c r="T229" s="17">
        <f t="shared" si="7"/>
        <v>0.6</v>
      </c>
      <c r="U229" s="14">
        <f t="shared" si="8"/>
        <v>-4</v>
      </c>
      <c r="V229" s="9" t="str">
        <f t="shared" si="9"/>
        <v>Average</v>
      </c>
      <c r="W229" s="9"/>
    </row>
    <row r="230" ht="15.75" customHeight="1">
      <c r="A230" s="6">
        <v>46287.0</v>
      </c>
      <c r="B230" s="22" t="s">
        <v>50</v>
      </c>
      <c r="C230" s="24" t="s">
        <v>48</v>
      </c>
      <c r="D230" s="24" t="s">
        <v>27</v>
      </c>
      <c r="E230" s="51">
        <v>0.0</v>
      </c>
      <c r="F230" s="52">
        <f t="shared" si="1"/>
        <v>0</v>
      </c>
      <c r="G230" s="53">
        <v>0.0</v>
      </c>
      <c r="H230" s="52">
        <f t="shared" si="2"/>
        <v>0</v>
      </c>
      <c r="I230" s="53">
        <v>0.0</v>
      </c>
      <c r="J230" s="52">
        <f t="shared" si="10"/>
        <v>0</v>
      </c>
      <c r="K230" s="53">
        <v>0.0</v>
      </c>
      <c r="L230" s="53">
        <v>0.0</v>
      </c>
      <c r="M230" s="54">
        <f t="shared" si="4"/>
        <v>0</v>
      </c>
      <c r="N230" s="53">
        <v>0.0</v>
      </c>
      <c r="O230" s="54">
        <f t="shared" si="5"/>
        <v>0</v>
      </c>
      <c r="P230" s="58">
        <v>0.0</v>
      </c>
      <c r="Q230" s="59">
        <v>0.0</v>
      </c>
      <c r="R230" s="52">
        <v>10.0</v>
      </c>
      <c r="S230" s="54">
        <f t="shared" si="6"/>
        <v>0</v>
      </c>
      <c r="T230" s="56">
        <f t="shared" si="7"/>
        <v>0</v>
      </c>
      <c r="U230" s="54">
        <f t="shared" si="8"/>
        <v>-10</v>
      </c>
      <c r="V230" s="52" t="str">
        <f t="shared" si="9"/>
        <v>Low Performance</v>
      </c>
      <c r="W230" s="32" t="s">
        <v>51</v>
      </c>
    </row>
    <row r="231" ht="15.75" customHeight="1">
      <c r="A231" s="6">
        <v>46288.0</v>
      </c>
      <c r="B231" s="7" t="s">
        <v>28</v>
      </c>
      <c r="C231" s="9" t="s">
        <v>29</v>
      </c>
      <c r="D231" s="9" t="s">
        <v>27</v>
      </c>
      <c r="E231" s="10">
        <v>0.0</v>
      </c>
      <c r="F231" s="9">
        <f t="shared" si="1"/>
        <v>0</v>
      </c>
      <c r="G231" s="11">
        <v>0.0</v>
      </c>
      <c r="H231" s="9">
        <f t="shared" si="2"/>
        <v>0</v>
      </c>
      <c r="I231" s="11">
        <v>1.0</v>
      </c>
      <c r="J231" s="9">
        <f t="shared" si="10"/>
        <v>1</v>
      </c>
      <c r="K231" s="11">
        <v>97.0</v>
      </c>
      <c r="L231" s="11">
        <v>51.0</v>
      </c>
      <c r="M231" s="14">
        <f t="shared" si="4"/>
        <v>1</v>
      </c>
      <c r="N231" s="11">
        <v>3.0</v>
      </c>
      <c r="O231" s="14">
        <f t="shared" si="5"/>
        <v>2</v>
      </c>
      <c r="P231" s="11">
        <v>1.0</v>
      </c>
      <c r="Q231" s="15">
        <v>1.0</v>
      </c>
      <c r="R231" s="9">
        <v>10.0</v>
      </c>
      <c r="S231" s="16">
        <f t="shared" si="6"/>
        <v>6</v>
      </c>
      <c r="T231" s="17">
        <f t="shared" si="7"/>
        <v>0.6</v>
      </c>
      <c r="U231" s="14">
        <f t="shared" si="8"/>
        <v>-4</v>
      </c>
      <c r="V231" s="9" t="str">
        <f t="shared" si="9"/>
        <v>Average</v>
      </c>
      <c r="W231" s="9"/>
    </row>
    <row r="232" ht="15.75" customHeight="1">
      <c r="A232" s="6">
        <v>46288.0</v>
      </c>
      <c r="B232" s="7" t="s">
        <v>36</v>
      </c>
      <c r="C232" s="9" t="s">
        <v>29</v>
      </c>
      <c r="D232" s="9" t="s">
        <v>27</v>
      </c>
      <c r="E232" s="10">
        <v>0.0</v>
      </c>
      <c r="F232" s="9">
        <f t="shared" si="1"/>
        <v>0</v>
      </c>
      <c r="G232" s="11">
        <v>0.0</v>
      </c>
      <c r="H232" s="9">
        <f t="shared" si="2"/>
        <v>0</v>
      </c>
      <c r="I232" s="11">
        <v>2.0</v>
      </c>
      <c r="J232" s="9">
        <f t="shared" si="10"/>
        <v>1</v>
      </c>
      <c r="K232" s="11">
        <v>74.0</v>
      </c>
      <c r="L232" s="11">
        <v>53.0</v>
      </c>
      <c r="M232" s="14">
        <f t="shared" si="4"/>
        <v>1</v>
      </c>
      <c r="N232" s="11">
        <v>3.0</v>
      </c>
      <c r="O232" s="14">
        <f t="shared" si="5"/>
        <v>2</v>
      </c>
      <c r="P232" s="11">
        <v>1.0</v>
      </c>
      <c r="Q232" s="15">
        <v>1.0</v>
      </c>
      <c r="R232" s="9">
        <v>10.0</v>
      </c>
      <c r="S232" s="16">
        <f t="shared" si="6"/>
        <v>6</v>
      </c>
      <c r="T232" s="17">
        <f t="shared" si="7"/>
        <v>0.6</v>
      </c>
      <c r="U232" s="14">
        <f t="shared" si="8"/>
        <v>-4</v>
      </c>
      <c r="V232" s="9" t="str">
        <f t="shared" si="9"/>
        <v>Average</v>
      </c>
      <c r="W232" s="9"/>
    </row>
    <row r="233" ht="15.75" customHeight="1">
      <c r="A233" s="6">
        <v>46288.0</v>
      </c>
      <c r="B233" s="7" t="s">
        <v>37</v>
      </c>
      <c r="C233" s="9" t="s">
        <v>29</v>
      </c>
      <c r="D233" s="9" t="s">
        <v>27</v>
      </c>
      <c r="E233" s="10">
        <v>0.0</v>
      </c>
      <c r="F233" s="9">
        <f t="shared" si="1"/>
        <v>0</v>
      </c>
      <c r="G233" s="11">
        <v>0.0</v>
      </c>
      <c r="H233" s="9">
        <f t="shared" si="2"/>
        <v>0</v>
      </c>
      <c r="I233" s="11">
        <v>1.0</v>
      </c>
      <c r="J233" s="9">
        <f t="shared" si="10"/>
        <v>1</v>
      </c>
      <c r="K233" s="11">
        <v>78.0</v>
      </c>
      <c r="L233" s="11">
        <v>58.0</v>
      </c>
      <c r="M233" s="14">
        <f t="shared" si="4"/>
        <v>1</v>
      </c>
      <c r="N233" s="11">
        <v>3.0</v>
      </c>
      <c r="O233" s="14">
        <f t="shared" si="5"/>
        <v>2</v>
      </c>
      <c r="P233" s="11">
        <v>1.0</v>
      </c>
      <c r="Q233" s="15">
        <v>1.0</v>
      </c>
      <c r="R233" s="9">
        <v>10.0</v>
      </c>
      <c r="S233" s="16">
        <f t="shared" si="6"/>
        <v>6</v>
      </c>
      <c r="T233" s="17">
        <f t="shared" si="7"/>
        <v>0.6</v>
      </c>
      <c r="U233" s="14">
        <f t="shared" si="8"/>
        <v>-4</v>
      </c>
      <c r="V233" s="9" t="str">
        <f t="shared" si="9"/>
        <v>Average</v>
      </c>
      <c r="W233" s="9"/>
    </row>
    <row r="234" ht="15.75" customHeight="1">
      <c r="A234" s="6">
        <v>46288.0</v>
      </c>
      <c r="B234" s="7" t="s">
        <v>38</v>
      </c>
      <c r="C234" s="9" t="s">
        <v>29</v>
      </c>
      <c r="D234" s="9" t="s">
        <v>27</v>
      </c>
      <c r="E234" s="10">
        <v>0.0</v>
      </c>
      <c r="F234" s="9">
        <f t="shared" si="1"/>
        <v>0</v>
      </c>
      <c r="G234" s="11">
        <v>0.0</v>
      </c>
      <c r="H234" s="9">
        <f t="shared" si="2"/>
        <v>0</v>
      </c>
      <c r="I234" s="11">
        <v>1.0</v>
      </c>
      <c r="J234" s="9">
        <f t="shared" si="10"/>
        <v>1</v>
      </c>
      <c r="K234" s="11">
        <v>81.0</v>
      </c>
      <c r="L234" s="11">
        <v>55.0</v>
      </c>
      <c r="M234" s="14">
        <f t="shared" si="4"/>
        <v>1</v>
      </c>
      <c r="N234" s="11">
        <v>3.0</v>
      </c>
      <c r="O234" s="14">
        <f t="shared" si="5"/>
        <v>2</v>
      </c>
      <c r="P234" s="11">
        <v>1.0</v>
      </c>
      <c r="Q234" s="15">
        <v>1.0</v>
      </c>
      <c r="R234" s="9">
        <v>10.0</v>
      </c>
      <c r="S234" s="16">
        <f t="shared" si="6"/>
        <v>6</v>
      </c>
      <c r="T234" s="17">
        <f t="shared" si="7"/>
        <v>0.6</v>
      </c>
      <c r="U234" s="14">
        <f t="shared" si="8"/>
        <v>-4</v>
      </c>
      <c r="V234" s="9" t="str">
        <f t="shared" si="9"/>
        <v>Average</v>
      </c>
      <c r="W234" s="9"/>
    </row>
    <row r="235" ht="15.75" customHeight="1">
      <c r="A235" s="6">
        <v>46288.0</v>
      </c>
      <c r="B235" s="7" t="s">
        <v>47</v>
      </c>
      <c r="C235" s="18" t="s">
        <v>40</v>
      </c>
      <c r="D235" s="9" t="s">
        <v>27</v>
      </c>
      <c r="E235" s="10">
        <v>0.0</v>
      </c>
      <c r="F235" s="9">
        <f t="shared" si="1"/>
        <v>0</v>
      </c>
      <c r="G235" s="11">
        <v>0.0</v>
      </c>
      <c r="H235" s="9">
        <f t="shared" si="2"/>
        <v>0</v>
      </c>
      <c r="I235" s="11">
        <v>1.0</v>
      </c>
      <c r="J235" s="9">
        <f t="shared" si="10"/>
        <v>1</v>
      </c>
      <c r="K235" s="11">
        <v>58.0</v>
      </c>
      <c r="L235" s="11">
        <v>52.0</v>
      </c>
      <c r="M235" s="14">
        <f t="shared" si="4"/>
        <v>1</v>
      </c>
      <c r="N235" s="11">
        <v>3.0</v>
      </c>
      <c r="O235" s="14">
        <f t="shared" si="5"/>
        <v>2</v>
      </c>
      <c r="P235" s="11">
        <v>1.0</v>
      </c>
      <c r="Q235" s="15">
        <v>1.0</v>
      </c>
      <c r="R235" s="9">
        <v>10.0</v>
      </c>
      <c r="S235" s="16">
        <f t="shared" si="6"/>
        <v>6</v>
      </c>
      <c r="T235" s="17">
        <f t="shared" si="7"/>
        <v>0.6</v>
      </c>
      <c r="U235" s="14">
        <f t="shared" si="8"/>
        <v>-4</v>
      </c>
      <c r="V235" s="9" t="str">
        <f t="shared" si="9"/>
        <v>Average</v>
      </c>
      <c r="W235" s="9"/>
    </row>
    <row r="236" ht="15.75" customHeight="1">
      <c r="A236" s="6">
        <v>46288.0</v>
      </c>
      <c r="B236" s="20" t="s">
        <v>39</v>
      </c>
      <c r="C236" s="9" t="s">
        <v>40</v>
      </c>
      <c r="D236" s="9" t="s">
        <v>27</v>
      </c>
      <c r="E236" s="10">
        <v>0.0</v>
      </c>
      <c r="F236" s="9">
        <f t="shared" si="1"/>
        <v>0</v>
      </c>
      <c r="G236" s="11">
        <v>0.0</v>
      </c>
      <c r="H236" s="9">
        <f t="shared" si="2"/>
        <v>0</v>
      </c>
      <c r="I236" s="11">
        <v>1.0</v>
      </c>
      <c r="J236" s="9">
        <f t="shared" si="10"/>
        <v>1</v>
      </c>
      <c r="K236" s="11">
        <v>75.0</v>
      </c>
      <c r="L236" s="11">
        <v>62.0</v>
      </c>
      <c r="M236" s="14">
        <f t="shared" si="4"/>
        <v>1</v>
      </c>
      <c r="N236" s="11">
        <v>3.0</v>
      </c>
      <c r="O236" s="14">
        <f t="shared" si="5"/>
        <v>2</v>
      </c>
      <c r="P236" s="11">
        <v>1.0</v>
      </c>
      <c r="Q236" s="15">
        <v>1.0</v>
      </c>
      <c r="R236" s="9">
        <v>10.0</v>
      </c>
      <c r="S236" s="16">
        <f t="shared" si="6"/>
        <v>6</v>
      </c>
      <c r="T236" s="17">
        <f t="shared" si="7"/>
        <v>0.6</v>
      </c>
      <c r="U236" s="14">
        <f t="shared" si="8"/>
        <v>-4</v>
      </c>
      <c r="V236" s="9" t="str">
        <f t="shared" si="9"/>
        <v>Average</v>
      </c>
      <c r="W236" s="9"/>
    </row>
    <row r="237" ht="15.75" customHeight="1">
      <c r="A237" s="6">
        <v>46288.0</v>
      </c>
      <c r="B237" s="7" t="s">
        <v>41</v>
      </c>
      <c r="C237" s="9" t="s">
        <v>40</v>
      </c>
      <c r="D237" s="9" t="s">
        <v>27</v>
      </c>
      <c r="E237" s="10">
        <v>0.0</v>
      </c>
      <c r="F237" s="9">
        <f t="shared" si="1"/>
        <v>0</v>
      </c>
      <c r="G237" s="11">
        <v>0.0</v>
      </c>
      <c r="H237" s="9">
        <f t="shared" si="2"/>
        <v>0</v>
      </c>
      <c r="I237" s="11">
        <v>1.0</v>
      </c>
      <c r="J237" s="9">
        <f t="shared" si="10"/>
        <v>1</v>
      </c>
      <c r="K237" s="11">
        <v>86.0</v>
      </c>
      <c r="L237" s="11">
        <v>61.0</v>
      </c>
      <c r="M237" s="14">
        <f t="shared" si="4"/>
        <v>1</v>
      </c>
      <c r="N237" s="11">
        <v>3.0</v>
      </c>
      <c r="O237" s="14">
        <f t="shared" si="5"/>
        <v>2</v>
      </c>
      <c r="P237" s="11">
        <v>1.0</v>
      </c>
      <c r="Q237" s="15">
        <v>1.0</v>
      </c>
      <c r="R237" s="9">
        <v>10.0</v>
      </c>
      <c r="S237" s="16">
        <f t="shared" si="6"/>
        <v>6</v>
      </c>
      <c r="T237" s="17">
        <f t="shared" si="7"/>
        <v>0.6</v>
      </c>
      <c r="U237" s="14">
        <f t="shared" si="8"/>
        <v>-4</v>
      </c>
      <c r="V237" s="9" t="str">
        <f t="shared" si="9"/>
        <v>Average</v>
      </c>
      <c r="W237" s="9"/>
    </row>
    <row r="238" ht="15.75" customHeight="1">
      <c r="A238" s="6">
        <v>46288.0</v>
      </c>
      <c r="B238" s="7" t="s">
        <v>42</v>
      </c>
      <c r="C238" s="9" t="s">
        <v>40</v>
      </c>
      <c r="D238" s="9" t="s">
        <v>27</v>
      </c>
      <c r="E238" s="10">
        <v>0.0</v>
      </c>
      <c r="F238" s="9">
        <f t="shared" si="1"/>
        <v>0</v>
      </c>
      <c r="G238" s="11">
        <v>0.0</v>
      </c>
      <c r="H238" s="9">
        <f t="shared" si="2"/>
        <v>0</v>
      </c>
      <c r="I238" s="11">
        <v>1.0</v>
      </c>
      <c r="J238" s="9">
        <f t="shared" si="10"/>
        <v>1</v>
      </c>
      <c r="K238" s="11">
        <v>62.0</v>
      </c>
      <c r="L238" s="11">
        <v>54.0</v>
      </c>
      <c r="M238" s="14">
        <f t="shared" si="4"/>
        <v>1</v>
      </c>
      <c r="N238" s="11">
        <v>3.0</v>
      </c>
      <c r="O238" s="14">
        <f t="shared" si="5"/>
        <v>2</v>
      </c>
      <c r="P238" s="11">
        <v>1.0</v>
      </c>
      <c r="Q238" s="15">
        <v>1.0</v>
      </c>
      <c r="R238" s="9">
        <v>10.0</v>
      </c>
      <c r="S238" s="16">
        <f t="shared" si="6"/>
        <v>6</v>
      </c>
      <c r="T238" s="17">
        <f t="shared" si="7"/>
        <v>0.6</v>
      </c>
      <c r="U238" s="14">
        <f t="shared" si="8"/>
        <v>-4</v>
      </c>
      <c r="V238" s="9" t="str">
        <f t="shared" si="9"/>
        <v>Average</v>
      </c>
      <c r="W238" s="9"/>
    </row>
    <row r="239" ht="15.75" customHeight="1">
      <c r="A239" s="6">
        <v>46288.0</v>
      </c>
      <c r="B239" s="7" t="s">
        <v>43</v>
      </c>
      <c r="C239" s="9" t="s">
        <v>40</v>
      </c>
      <c r="D239" s="9" t="s">
        <v>27</v>
      </c>
      <c r="E239" s="10">
        <v>0.0</v>
      </c>
      <c r="F239" s="9">
        <f t="shared" si="1"/>
        <v>0</v>
      </c>
      <c r="G239" s="11">
        <v>0.0</v>
      </c>
      <c r="H239" s="9">
        <f t="shared" si="2"/>
        <v>0</v>
      </c>
      <c r="I239" s="11">
        <v>1.0</v>
      </c>
      <c r="J239" s="9">
        <f t="shared" si="10"/>
        <v>1</v>
      </c>
      <c r="K239" s="11">
        <v>63.0</v>
      </c>
      <c r="L239" s="11">
        <v>53.0</v>
      </c>
      <c r="M239" s="14">
        <f t="shared" si="4"/>
        <v>1</v>
      </c>
      <c r="N239" s="11">
        <v>3.0</v>
      </c>
      <c r="O239" s="14">
        <f t="shared" si="5"/>
        <v>2</v>
      </c>
      <c r="P239" s="11">
        <v>1.0</v>
      </c>
      <c r="Q239" s="15">
        <v>1.0</v>
      </c>
      <c r="R239" s="9">
        <v>10.0</v>
      </c>
      <c r="S239" s="16">
        <f t="shared" si="6"/>
        <v>6</v>
      </c>
      <c r="T239" s="17">
        <f t="shared" si="7"/>
        <v>0.6</v>
      </c>
      <c r="U239" s="14">
        <f t="shared" si="8"/>
        <v>-4</v>
      </c>
      <c r="V239" s="9" t="str">
        <f t="shared" si="9"/>
        <v>Average</v>
      </c>
      <c r="W239" s="9"/>
    </row>
    <row r="240" ht="15.75" customHeight="1">
      <c r="A240" s="6">
        <v>46288.0</v>
      </c>
      <c r="B240" s="7" t="s">
        <v>45</v>
      </c>
      <c r="C240" s="9" t="s">
        <v>48</v>
      </c>
      <c r="D240" s="9" t="s">
        <v>27</v>
      </c>
      <c r="E240" s="10">
        <v>0.0</v>
      </c>
      <c r="F240" s="9">
        <f t="shared" si="1"/>
        <v>0</v>
      </c>
      <c r="G240" s="11">
        <v>0.0</v>
      </c>
      <c r="H240" s="9">
        <f t="shared" si="2"/>
        <v>0</v>
      </c>
      <c r="I240" s="11">
        <v>2.0</v>
      </c>
      <c r="J240" s="9">
        <f t="shared" si="10"/>
        <v>1</v>
      </c>
      <c r="K240" s="11">
        <v>71.0</v>
      </c>
      <c r="L240" s="11">
        <v>50.0</v>
      </c>
      <c r="M240" s="14">
        <f t="shared" si="4"/>
        <v>1</v>
      </c>
      <c r="N240" s="11">
        <v>3.0</v>
      </c>
      <c r="O240" s="14">
        <f t="shared" si="5"/>
        <v>2</v>
      </c>
      <c r="P240" s="11">
        <v>1.0</v>
      </c>
      <c r="Q240" s="15">
        <v>1.0</v>
      </c>
      <c r="R240" s="9">
        <v>10.0</v>
      </c>
      <c r="S240" s="16">
        <f t="shared" si="6"/>
        <v>6</v>
      </c>
      <c r="T240" s="17">
        <f t="shared" si="7"/>
        <v>0.6</v>
      </c>
      <c r="U240" s="14">
        <f t="shared" si="8"/>
        <v>-4</v>
      </c>
      <c r="V240" s="9" t="str">
        <f t="shared" si="9"/>
        <v>Average</v>
      </c>
      <c r="W240" s="9"/>
    </row>
    <row r="241" ht="15.75" customHeight="1">
      <c r="A241" s="6">
        <v>46288.0</v>
      </c>
      <c r="B241" s="7" t="s">
        <v>49</v>
      </c>
      <c r="C241" s="9" t="s">
        <v>48</v>
      </c>
      <c r="D241" s="9" t="s">
        <v>27</v>
      </c>
      <c r="E241" s="10">
        <v>0.0</v>
      </c>
      <c r="F241" s="9">
        <f t="shared" si="1"/>
        <v>0</v>
      </c>
      <c r="G241" s="11">
        <v>0.0</v>
      </c>
      <c r="H241" s="9">
        <f t="shared" si="2"/>
        <v>0</v>
      </c>
      <c r="I241" s="11">
        <v>1.0</v>
      </c>
      <c r="J241" s="9">
        <f t="shared" si="10"/>
        <v>1</v>
      </c>
      <c r="K241" s="11">
        <v>72.0</v>
      </c>
      <c r="L241" s="11">
        <v>50.0</v>
      </c>
      <c r="M241" s="14">
        <f t="shared" si="4"/>
        <v>1</v>
      </c>
      <c r="N241" s="11">
        <v>3.0</v>
      </c>
      <c r="O241" s="14">
        <f t="shared" si="5"/>
        <v>2</v>
      </c>
      <c r="P241" s="11">
        <v>1.0</v>
      </c>
      <c r="Q241" s="15">
        <v>1.0</v>
      </c>
      <c r="R241" s="9">
        <v>10.0</v>
      </c>
      <c r="S241" s="16">
        <f t="shared" si="6"/>
        <v>6</v>
      </c>
      <c r="T241" s="17">
        <f t="shared" si="7"/>
        <v>0.6</v>
      </c>
      <c r="U241" s="14">
        <f t="shared" si="8"/>
        <v>-4</v>
      </c>
      <c r="V241" s="9" t="str">
        <f t="shared" si="9"/>
        <v>Average</v>
      </c>
      <c r="W241" s="9"/>
    </row>
    <row r="242" ht="15.75" customHeight="1">
      <c r="A242" s="6">
        <v>46288.0</v>
      </c>
      <c r="B242" s="22" t="s">
        <v>50</v>
      </c>
      <c r="C242" s="24" t="s">
        <v>48</v>
      </c>
      <c r="D242" s="24" t="s">
        <v>27</v>
      </c>
      <c r="E242" s="10">
        <v>100000.0</v>
      </c>
      <c r="F242" s="9">
        <f t="shared" si="1"/>
        <v>3</v>
      </c>
      <c r="G242" s="11">
        <v>1.0</v>
      </c>
      <c r="H242" s="9">
        <f t="shared" si="2"/>
        <v>1</v>
      </c>
      <c r="I242" s="11">
        <v>1.0</v>
      </c>
      <c r="J242" s="9">
        <f t="shared" si="10"/>
        <v>1</v>
      </c>
      <c r="K242" s="11">
        <v>62.0</v>
      </c>
      <c r="L242" s="11">
        <v>52.0</v>
      </c>
      <c r="M242" s="14">
        <f t="shared" si="4"/>
        <v>1</v>
      </c>
      <c r="N242" s="11">
        <v>3.0</v>
      </c>
      <c r="O242" s="14">
        <f t="shared" si="5"/>
        <v>2</v>
      </c>
      <c r="P242" s="11">
        <v>1.0</v>
      </c>
      <c r="Q242" s="15">
        <v>1.0</v>
      </c>
      <c r="R242" s="9">
        <v>10.0</v>
      </c>
      <c r="S242" s="16">
        <f t="shared" si="6"/>
        <v>10</v>
      </c>
      <c r="T242" s="17">
        <f t="shared" si="7"/>
        <v>1</v>
      </c>
      <c r="U242" s="14">
        <f t="shared" si="8"/>
        <v>0</v>
      </c>
      <c r="V242" s="9" t="str">
        <f t="shared" si="9"/>
        <v>Achieved</v>
      </c>
      <c r="W242" s="9"/>
    </row>
    <row r="243" ht="15.75" customHeight="1">
      <c r="A243" s="6">
        <v>46289.0</v>
      </c>
      <c r="B243" s="7" t="s">
        <v>28</v>
      </c>
      <c r="C243" s="9" t="s">
        <v>29</v>
      </c>
      <c r="D243" s="9" t="s">
        <v>27</v>
      </c>
      <c r="E243" s="10">
        <v>0.0</v>
      </c>
      <c r="F243" s="9">
        <f t="shared" si="1"/>
        <v>0</v>
      </c>
      <c r="G243" s="11">
        <v>0.0</v>
      </c>
      <c r="H243" s="9">
        <f t="shared" si="2"/>
        <v>0</v>
      </c>
      <c r="I243" s="11">
        <v>1.0</v>
      </c>
      <c r="J243" s="9">
        <f t="shared" si="10"/>
        <v>1</v>
      </c>
      <c r="K243" s="11">
        <v>111.0</v>
      </c>
      <c r="L243" s="11">
        <v>55.0</v>
      </c>
      <c r="M243" s="14">
        <f t="shared" si="4"/>
        <v>1</v>
      </c>
      <c r="N243" s="11">
        <v>3.0</v>
      </c>
      <c r="O243" s="14">
        <f t="shared" si="5"/>
        <v>2</v>
      </c>
      <c r="P243" s="11">
        <v>1.0</v>
      </c>
      <c r="Q243" s="15">
        <v>1.0</v>
      </c>
      <c r="R243" s="9">
        <v>10.0</v>
      </c>
      <c r="S243" s="16">
        <f t="shared" si="6"/>
        <v>6</v>
      </c>
      <c r="T243" s="17">
        <f t="shared" si="7"/>
        <v>0.6</v>
      </c>
      <c r="U243" s="14">
        <f t="shared" si="8"/>
        <v>-4</v>
      </c>
      <c r="V243" s="9" t="str">
        <f t="shared" si="9"/>
        <v>Average</v>
      </c>
      <c r="W243" s="9"/>
    </row>
    <row r="244" ht="15.75" customHeight="1">
      <c r="A244" s="6">
        <v>46289.0</v>
      </c>
      <c r="B244" s="7" t="s">
        <v>36</v>
      </c>
      <c r="C244" s="9" t="s">
        <v>29</v>
      </c>
      <c r="D244" s="9" t="s">
        <v>27</v>
      </c>
      <c r="E244" s="10">
        <v>0.0</v>
      </c>
      <c r="F244" s="9">
        <f t="shared" si="1"/>
        <v>0</v>
      </c>
      <c r="G244" s="11">
        <v>0.0</v>
      </c>
      <c r="H244" s="9">
        <f t="shared" si="2"/>
        <v>0</v>
      </c>
      <c r="I244" s="11">
        <v>1.0</v>
      </c>
      <c r="J244" s="9">
        <f t="shared" si="10"/>
        <v>1</v>
      </c>
      <c r="K244" s="11">
        <v>96.0</v>
      </c>
      <c r="L244" s="11">
        <v>51.0</v>
      </c>
      <c r="M244" s="14">
        <f t="shared" si="4"/>
        <v>1</v>
      </c>
      <c r="N244" s="11">
        <v>3.0</v>
      </c>
      <c r="O244" s="14">
        <f t="shared" si="5"/>
        <v>2</v>
      </c>
      <c r="P244" s="11">
        <v>1.0</v>
      </c>
      <c r="Q244" s="15">
        <v>1.0</v>
      </c>
      <c r="R244" s="9">
        <v>10.0</v>
      </c>
      <c r="S244" s="16">
        <f t="shared" si="6"/>
        <v>6</v>
      </c>
      <c r="T244" s="17">
        <f t="shared" si="7"/>
        <v>0.6</v>
      </c>
      <c r="U244" s="14">
        <f t="shared" si="8"/>
        <v>-4</v>
      </c>
      <c r="V244" s="9" t="str">
        <f t="shared" si="9"/>
        <v>Average</v>
      </c>
      <c r="W244" s="9"/>
    </row>
    <row r="245" ht="15.75" customHeight="1">
      <c r="A245" s="6">
        <v>46289.0</v>
      </c>
      <c r="B245" s="7" t="s">
        <v>37</v>
      </c>
      <c r="C245" s="9" t="s">
        <v>29</v>
      </c>
      <c r="D245" s="9" t="s">
        <v>27</v>
      </c>
      <c r="E245" s="60">
        <v>300000.0</v>
      </c>
      <c r="F245" s="9">
        <f t="shared" si="1"/>
        <v>3</v>
      </c>
      <c r="G245" s="11">
        <v>1.0</v>
      </c>
      <c r="H245" s="9">
        <f t="shared" si="2"/>
        <v>1</v>
      </c>
      <c r="I245" s="11">
        <v>1.0</v>
      </c>
      <c r="J245" s="9">
        <f t="shared" si="10"/>
        <v>1</v>
      </c>
      <c r="K245" s="11">
        <v>85.0</v>
      </c>
      <c r="L245" s="11">
        <v>51.0</v>
      </c>
      <c r="M245" s="14">
        <f t="shared" si="4"/>
        <v>1</v>
      </c>
      <c r="N245" s="11">
        <v>3.0</v>
      </c>
      <c r="O245" s="14">
        <f t="shared" si="5"/>
        <v>2</v>
      </c>
      <c r="P245" s="11">
        <v>1.0</v>
      </c>
      <c r="Q245" s="15">
        <v>1.0</v>
      </c>
      <c r="R245" s="9">
        <v>10.0</v>
      </c>
      <c r="S245" s="16">
        <f t="shared" si="6"/>
        <v>10</v>
      </c>
      <c r="T245" s="17">
        <f t="shared" si="7"/>
        <v>1</v>
      </c>
      <c r="U245" s="14">
        <f t="shared" si="8"/>
        <v>0</v>
      </c>
      <c r="V245" s="9" t="str">
        <f t="shared" si="9"/>
        <v>Achieved</v>
      </c>
      <c r="W245" s="9"/>
    </row>
    <row r="246" ht="15.75" customHeight="1">
      <c r="A246" s="6">
        <v>46289.0</v>
      </c>
      <c r="B246" s="7" t="s">
        <v>38</v>
      </c>
      <c r="C246" s="9" t="s">
        <v>29</v>
      </c>
      <c r="D246" s="9" t="s">
        <v>27</v>
      </c>
      <c r="E246" s="10">
        <v>0.0</v>
      </c>
      <c r="F246" s="9">
        <f t="shared" si="1"/>
        <v>0</v>
      </c>
      <c r="G246" s="11">
        <v>1.0</v>
      </c>
      <c r="H246" s="18">
        <v>0.0</v>
      </c>
      <c r="I246" s="11">
        <v>1.0</v>
      </c>
      <c r="J246" s="9">
        <f t="shared" si="10"/>
        <v>1</v>
      </c>
      <c r="K246" s="11">
        <v>80.0</v>
      </c>
      <c r="L246" s="11">
        <v>60.0</v>
      </c>
      <c r="M246" s="14">
        <f t="shared" si="4"/>
        <v>1</v>
      </c>
      <c r="N246" s="11">
        <v>3.0</v>
      </c>
      <c r="O246" s="14">
        <f t="shared" si="5"/>
        <v>2</v>
      </c>
      <c r="P246" s="11">
        <v>1.0</v>
      </c>
      <c r="Q246" s="15">
        <v>1.0</v>
      </c>
      <c r="R246" s="9">
        <v>10.0</v>
      </c>
      <c r="S246" s="16">
        <f t="shared" si="6"/>
        <v>6</v>
      </c>
      <c r="T246" s="17">
        <f t="shared" si="7"/>
        <v>0.6</v>
      </c>
      <c r="U246" s="14">
        <f t="shared" si="8"/>
        <v>-4</v>
      </c>
      <c r="V246" s="9" t="str">
        <f t="shared" si="9"/>
        <v>Average</v>
      </c>
      <c r="W246" s="9"/>
    </row>
    <row r="247" ht="15.75" customHeight="1">
      <c r="A247" s="6">
        <v>46289.0</v>
      </c>
      <c r="B247" s="7" t="s">
        <v>47</v>
      </c>
      <c r="C247" s="18" t="s">
        <v>40</v>
      </c>
      <c r="D247" s="9" t="s">
        <v>27</v>
      </c>
      <c r="E247" s="10">
        <v>0.0</v>
      </c>
      <c r="F247" s="9">
        <f t="shared" si="1"/>
        <v>0</v>
      </c>
      <c r="G247" s="11">
        <v>1.0</v>
      </c>
      <c r="H247" s="9">
        <f t="shared" ref="H247:H314" si="11">IF(G247&gt;0,1,0)</f>
        <v>1</v>
      </c>
      <c r="I247" s="11">
        <v>1.0</v>
      </c>
      <c r="J247" s="9">
        <f t="shared" si="10"/>
        <v>1</v>
      </c>
      <c r="K247" s="11">
        <v>62.0</v>
      </c>
      <c r="L247" s="11">
        <v>53.0</v>
      </c>
      <c r="M247" s="14">
        <f t="shared" si="4"/>
        <v>1</v>
      </c>
      <c r="N247" s="11">
        <v>2.0</v>
      </c>
      <c r="O247" s="14">
        <f t="shared" si="5"/>
        <v>1.333333333</v>
      </c>
      <c r="P247" s="11">
        <v>1.0</v>
      </c>
      <c r="Q247" s="15">
        <v>1.0</v>
      </c>
      <c r="R247" s="9">
        <v>10.0</v>
      </c>
      <c r="S247" s="16">
        <f t="shared" si="6"/>
        <v>6.333333333</v>
      </c>
      <c r="T247" s="17">
        <f t="shared" si="7"/>
        <v>0.6333333333</v>
      </c>
      <c r="U247" s="14">
        <f t="shared" si="8"/>
        <v>-3.666666667</v>
      </c>
      <c r="V247" s="9" t="str">
        <f t="shared" si="9"/>
        <v>Average</v>
      </c>
      <c r="W247" s="9"/>
    </row>
    <row r="248" ht="15.75" customHeight="1">
      <c r="A248" s="6">
        <v>46289.0</v>
      </c>
      <c r="B248" s="20" t="s">
        <v>39</v>
      </c>
      <c r="C248" s="9" t="s">
        <v>40</v>
      </c>
      <c r="D248" s="9" t="s">
        <v>27</v>
      </c>
      <c r="E248" s="10">
        <v>0.0</v>
      </c>
      <c r="F248" s="9">
        <f t="shared" si="1"/>
        <v>0</v>
      </c>
      <c r="G248" s="11">
        <v>2.0</v>
      </c>
      <c r="H248" s="9">
        <f t="shared" si="11"/>
        <v>1</v>
      </c>
      <c r="I248" s="11">
        <v>0.0</v>
      </c>
      <c r="J248" s="9">
        <f t="shared" si="10"/>
        <v>0</v>
      </c>
      <c r="K248" s="11">
        <v>86.0</v>
      </c>
      <c r="L248" s="11">
        <v>57.0</v>
      </c>
      <c r="M248" s="14">
        <f t="shared" si="4"/>
        <v>1</v>
      </c>
      <c r="N248" s="11">
        <v>3.0</v>
      </c>
      <c r="O248" s="14">
        <f t="shared" si="5"/>
        <v>2</v>
      </c>
      <c r="P248" s="11">
        <v>1.0</v>
      </c>
      <c r="Q248" s="15">
        <v>1.0</v>
      </c>
      <c r="R248" s="9">
        <v>10.0</v>
      </c>
      <c r="S248" s="16">
        <f t="shared" si="6"/>
        <v>6</v>
      </c>
      <c r="T248" s="17">
        <f t="shared" si="7"/>
        <v>0.6</v>
      </c>
      <c r="U248" s="14">
        <f t="shared" si="8"/>
        <v>-4</v>
      </c>
      <c r="V248" s="9" t="str">
        <f t="shared" si="9"/>
        <v>Average</v>
      </c>
      <c r="W248" s="9"/>
    </row>
    <row r="249" ht="15.75" customHeight="1">
      <c r="A249" s="6">
        <v>46289.0</v>
      </c>
      <c r="B249" s="7" t="s">
        <v>41</v>
      </c>
      <c r="C249" s="9" t="s">
        <v>40</v>
      </c>
      <c r="D249" s="9" t="s">
        <v>27</v>
      </c>
      <c r="E249" s="10">
        <v>0.0</v>
      </c>
      <c r="F249" s="9">
        <f t="shared" si="1"/>
        <v>0</v>
      </c>
      <c r="G249" s="11">
        <v>0.0</v>
      </c>
      <c r="H249" s="9">
        <f t="shared" si="11"/>
        <v>0</v>
      </c>
      <c r="I249" s="11">
        <v>1.0</v>
      </c>
      <c r="J249" s="9">
        <f t="shared" si="10"/>
        <v>1</v>
      </c>
      <c r="K249" s="11">
        <v>99.0</v>
      </c>
      <c r="L249" s="11">
        <v>56.0</v>
      </c>
      <c r="M249" s="14">
        <f t="shared" si="4"/>
        <v>1</v>
      </c>
      <c r="N249" s="11">
        <v>3.0</v>
      </c>
      <c r="O249" s="14">
        <f t="shared" si="5"/>
        <v>2</v>
      </c>
      <c r="P249" s="11">
        <v>1.0</v>
      </c>
      <c r="Q249" s="15">
        <v>1.0</v>
      </c>
      <c r="R249" s="9">
        <v>10.0</v>
      </c>
      <c r="S249" s="16">
        <f t="shared" si="6"/>
        <v>6</v>
      </c>
      <c r="T249" s="17">
        <f t="shared" si="7"/>
        <v>0.6</v>
      </c>
      <c r="U249" s="14">
        <f t="shared" si="8"/>
        <v>-4</v>
      </c>
      <c r="V249" s="9" t="str">
        <f t="shared" si="9"/>
        <v>Average</v>
      </c>
      <c r="W249" s="9"/>
    </row>
    <row r="250" ht="15.75" customHeight="1">
      <c r="A250" s="6">
        <v>46289.0</v>
      </c>
      <c r="B250" s="7" t="s">
        <v>42</v>
      </c>
      <c r="C250" s="9" t="s">
        <v>40</v>
      </c>
      <c r="D250" s="9" t="s">
        <v>27</v>
      </c>
      <c r="E250" s="10">
        <v>0.0</v>
      </c>
      <c r="F250" s="9">
        <f t="shared" si="1"/>
        <v>0</v>
      </c>
      <c r="G250" s="11">
        <v>0.0</v>
      </c>
      <c r="H250" s="9">
        <f t="shared" si="11"/>
        <v>0</v>
      </c>
      <c r="I250" s="11">
        <v>1.0</v>
      </c>
      <c r="J250" s="9">
        <f t="shared" si="10"/>
        <v>1</v>
      </c>
      <c r="K250" s="11">
        <v>62.0</v>
      </c>
      <c r="L250" s="11">
        <v>52.0</v>
      </c>
      <c r="M250" s="14">
        <f t="shared" si="4"/>
        <v>1</v>
      </c>
      <c r="N250" s="11">
        <v>3.0</v>
      </c>
      <c r="O250" s="14">
        <f t="shared" si="5"/>
        <v>2</v>
      </c>
      <c r="P250" s="11">
        <v>1.0</v>
      </c>
      <c r="Q250" s="15">
        <v>1.0</v>
      </c>
      <c r="R250" s="9">
        <v>10.0</v>
      </c>
      <c r="S250" s="16">
        <f t="shared" si="6"/>
        <v>6</v>
      </c>
      <c r="T250" s="17">
        <f t="shared" si="7"/>
        <v>0.6</v>
      </c>
      <c r="U250" s="14">
        <f t="shared" si="8"/>
        <v>-4</v>
      </c>
      <c r="V250" s="9" t="str">
        <f t="shared" si="9"/>
        <v>Average</v>
      </c>
      <c r="W250" s="9"/>
    </row>
    <row r="251" ht="15.75" customHeight="1">
      <c r="A251" s="6">
        <v>46289.0</v>
      </c>
      <c r="B251" s="7" t="s">
        <v>43</v>
      </c>
      <c r="C251" s="9" t="s">
        <v>40</v>
      </c>
      <c r="D251" s="9" t="s">
        <v>27</v>
      </c>
      <c r="E251" s="10">
        <v>0.0</v>
      </c>
      <c r="F251" s="9">
        <f t="shared" si="1"/>
        <v>0</v>
      </c>
      <c r="G251" s="11">
        <v>0.0</v>
      </c>
      <c r="H251" s="9">
        <f t="shared" si="11"/>
        <v>0</v>
      </c>
      <c r="I251" s="11">
        <v>1.0</v>
      </c>
      <c r="J251" s="9">
        <f t="shared" si="10"/>
        <v>1</v>
      </c>
      <c r="K251" s="11">
        <v>65.0</v>
      </c>
      <c r="L251" s="11">
        <v>52.0</v>
      </c>
      <c r="M251" s="14">
        <f t="shared" si="4"/>
        <v>1</v>
      </c>
      <c r="N251" s="11">
        <v>3.0</v>
      </c>
      <c r="O251" s="14">
        <f t="shared" si="5"/>
        <v>2</v>
      </c>
      <c r="P251" s="11">
        <v>1.0</v>
      </c>
      <c r="Q251" s="15">
        <v>1.0</v>
      </c>
      <c r="R251" s="9">
        <v>10.0</v>
      </c>
      <c r="S251" s="16">
        <f t="shared" si="6"/>
        <v>6</v>
      </c>
      <c r="T251" s="17">
        <f t="shared" si="7"/>
        <v>0.6</v>
      </c>
      <c r="U251" s="14">
        <f t="shared" si="8"/>
        <v>-4</v>
      </c>
      <c r="V251" s="9" t="str">
        <f t="shared" si="9"/>
        <v>Average</v>
      </c>
      <c r="W251" s="9"/>
    </row>
    <row r="252" ht="15.75" customHeight="1">
      <c r="A252" s="6">
        <v>46289.0</v>
      </c>
      <c r="B252" s="7" t="s">
        <v>45</v>
      </c>
      <c r="C252" s="9" t="s">
        <v>48</v>
      </c>
      <c r="D252" s="9" t="s">
        <v>27</v>
      </c>
      <c r="E252" s="10">
        <v>0.0</v>
      </c>
      <c r="F252" s="9">
        <f t="shared" si="1"/>
        <v>0</v>
      </c>
      <c r="G252" s="11">
        <v>0.0</v>
      </c>
      <c r="H252" s="9">
        <f t="shared" si="11"/>
        <v>0</v>
      </c>
      <c r="I252" s="11">
        <v>1.0</v>
      </c>
      <c r="J252" s="9">
        <f t="shared" si="10"/>
        <v>1</v>
      </c>
      <c r="K252" s="11">
        <v>65.0</v>
      </c>
      <c r="L252" s="11">
        <v>50.0</v>
      </c>
      <c r="M252" s="14">
        <f t="shared" si="4"/>
        <v>1</v>
      </c>
      <c r="N252" s="11">
        <v>3.0</v>
      </c>
      <c r="O252" s="14">
        <f t="shared" si="5"/>
        <v>2</v>
      </c>
      <c r="P252" s="11">
        <v>1.0</v>
      </c>
      <c r="Q252" s="15">
        <v>1.0</v>
      </c>
      <c r="R252" s="9">
        <v>10.0</v>
      </c>
      <c r="S252" s="16">
        <f t="shared" si="6"/>
        <v>6</v>
      </c>
      <c r="T252" s="17">
        <f t="shared" si="7"/>
        <v>0.6</v>
      </c>
      <c r="U252" s="14">
        <f t="shared" si="8"/>
        <v>-4</v>
      </c>
      <c r="V252" s="9" t="str">
        <f t="shared" si="9"/>
        <v>Average</v>
      </c>
      <c r="W252" s="9"/>
    </row>
    <row r="253" ht="15.75" customHeight="1">
      <c r="A253" s="6">
        <v>46289.0</v>
      </c>
      <c r="B253" s="7" t="s">
        <v>49</v>
      </c>
      <c r="C253" s="9" t="s">
        <v>48</v>
      </c>
      <c r="D253" s="9" t="s">
        <v>27</v>
      </c>
      <c r="E253" s="60">
        <v>115000.0</v>
      </c>
      <c r="F253" s="9">
        <f t="shared" si="1"/>
        <v>3</v>
      </c>
      <c r="G253" s="11">
        <v>1.0</v>
      </c>
      <c r="H253" s="9">
        <f t="shared" si="11"/>
        <v>1</v>
      </c>
      <c r="I253" s="11">
        <v>1.0</v>
      </c>
      <c r="J253" s="9">
        <f t="shared" si="10"/>
        <v>1</v>
      </c>
      <c r="K253" s="11">
        <v>66.0</v>
      </c>
      <c r="L253" s="11">
        <v>50.0</v>
      </c>
      <c r="M253" s="14">
        <f t="shared" si="4"/>
        <v>1</v>
      </c>
      <c r="N253" s="11">
        <v>3.0</v>
      </c>
      <c r="O253" s="14">
        <f t="shared" si="5"/>
        <v>2</v>
      </c>
      <c r="P253" s="11">
        <v>1.0</v>
      </c>
      <c r="Q253" s="15">
        <v>1.0</v>
      </c>
      <c r="R253" s="9">
        <v>10.0</v>
      </c>
      <c r="S253" s="16">
        <f t="shared" si="6"/>
        <v>10</v>
      </c>
      <c r="T253" s="17">
        <f t="shared" si="7"/>
        <v>1</v>
      </c>
      <c r="U253" s="14">
        <f t="shared" si="8"/>
        <v>0</v>
      </c>
      <c r="V253" s="9" t="str">
        <f t="shared" si="9"/>
        <v>Achieved</v>
      </c>
      <c r="W253" s="9"/>
    </row>
    <row r="254" ht="15.75" customHeight="1">
      <c r="A254" s="6">
        <v>46289.0</v>
      </c>
      <c r="B254" s="22" t="s">
        <v>50</v>
      </c>
      <c r="C254" s="24" t="s">
        <v>48</v>
      </c>
      <c r="D254" s="24" t="s">
        <v>27</v>
      </c>
      <c r="E254" s="10">
        <v>0.0</v>
      </c>
      <c r="F254" s="9">
        <f t="shared" si="1"/>
        <v>0</v>
      </c>
      <c r="G254" s="11">
        <v>0.0</v>
      </c>
      <c r="H254" s="9">
        <f t="shared" si="11"/>
        <v>0</v>
      </c>
      <c r="I254" s="11">
        <v>1.0</v>
      </c>
      <c r="J254" s="9">
        <f t="shared" si="10"/>
        <v>1</v>
      </c>
      <c r="K254" s="11">
        <v>58.0</v>
      </c>
      <c r="L254" s="11">
        <v>50.0</v>
      </c>
      <c r="M254" s="14">
        <f t="shared" si="4"/>
        <v>1</v>
      </c>
      <c r="N254" s="11">
        <v>3.0</v>
      </c>
      <c r="O254" s="14">
        <f t="shared" si="5"/>
        <v>2</v>
      </c>
      <c r="P254" s="11">
        <v>1.0</v>
      </c>
      <c r="Q254" s="15">
        <v>1.0</v>
      </c>
      <c r="R254" s="9">
        <v>10.0</v>
      </c>
      <c r="S254" s="16">
        <f t="shared" si="6"/>
        <v>6</v>
      </c>
      <c r="T254" s="17">
        <f t="shared" si="7"/>
        <v>0.6</v>
      </c>
      <c r="U254" s="14">
        <f t="shared" si="8"/>
        <v>-4</v>
      </c>
      <c r="V254" s="9" t="str">
        <f t="shared" si="9"/>
        <v>Average</v>
      </c>
      <c r="W254" s="9"/>
    </row>
    <row r="255" ht="15.75" customHeight="1">
      <c r="A255" s="6">
        <v>46291.0</v>
      </c>
      <c r="B255" s="7" t="s">
        <v>28</v>
      </c>
      <c r="C255" s="9" t="s">
        <v>29</v>
      </c>
      <c r="D255" s="9" t="s">
        <v>27</v>
      </c>
      <c r="E255" s="10">
        <v>0.0</v>
      </c>
      <c r="F255" s="9">
        <f t="shared" si="1"/>
        <v>0</v>
      </c>
      <c r="G255" s="11">
        <v>0.0</v>
      </c>
      <c r="H255" s="9">
        <f t="shared" si="11"/>
        <v>0</v>
      </c>
      <c r="I255" s="11">
        <v>1.0</v>
      </c>
      <c r="J255" s="9">
        <f t="shared" si="10"/>
        <v>1</v>
      </c>
      <c r="K255" s="11">
        <v>130.0</v>
      </c>
      <c r="L255" s="11">
        <v>54.0</v>
      </c>
      <c r="M255" s="14">
        <f t="shared" si="4"/>
        <v>1</v>
      </c>
      <c r="N255" s="11">
        <v>3.0</v>
      </c>
      <c r="O255" s="14">
        <f t="shared" si="5"/>
        <v>2</v>
      </c>
      <c r="P255" s="11">
        <v>1.0</v>
      </c>
      <c r="Q255" s="15">
        <v>1.0</v>
      </c>
      <c r="R255" s="9">
        <v>10.0</v>
      </c>
      <c r="S255" s="16">
        <f t="shared" si="6"/>
        <v>6</v>
      </c>
      <c r="T255" s="17">
        <f t="shared" si="7"/>
        <v>0.6</v>
      </c>
      <c r="U255" s="14">
        <f t="shared" si="8"/>
        <v>-4</v>
      </c>
      <c r="V255" s="9" t="str">
        <f t="shared" si="9"/>
        <v>Average</v>
      </c>
      <c r="W255" s="9"/>
    </row>
    <row r="256" ht="15.75" customHeight="1">
      <c r="A256" s="6">
        <v>46291.0</v>
      </c>
      <c r="B256" s="7" t="s">
        <v>36</v>
      </c>
      <c r="C256" s="9" t="s">
        <v>29</v>
      </c>
      <c r="D256" s="9" t="s">
        <v>27</v>
      </c>
      <c r="E256" s="51">
        <v>0.0</v>
      </c>
      <c r="F256" s="52">
        <f t="shared" si="1"/>
        <v>0</v>
      </c>
      <c r="G256" s="53">
        <v>0.0</v>
      </c>
      <c r="H256" s="52">
        <f t="shared" si="11"/>
        <v>0</v>
      </c>
      <c r="I256" s="53">
        <v>0.0</v>
      </c>
      <c r="J256" s="52">
        <f t="shared" si="10"/>
        <v>0</v>
      </c>
      <c r="K256" s="53">
        <v>0.0</v>
      </c>
      <c r="L256" s="53">
        <v>0.0</v>
      </c>
      <c r="M256" s="54">
        <f t="shared" si="4"/>
        <v>0</v>
      </c>
      <c r="N256" s="53">
        <v>0.0</v>
      </c>
      <c r="O256" s="54">
        <f t="shared" si="5"/>
        <v>0</v>
      </c>
      <c r="P256" s="58">
        <v>0.0</v>
      </c>
      <c r="Q256" s="59">
        <v>0.0</v>
      </c>
      <c r="R256" s="52">
        <v>10.0</v>
      </c>
      <c r="S256" s="54">
        <f t="shared" si="6"/>
        <v>0</v>
      </c>
      <c r="T256" s="56">
        <f t="shared" si="7"/>
        <v>0</v>
      </c>
      <c r="U256" s="54">
        <f t="shared" si="8"/>
        <v>-10</v>
      </c>
      <c r="V256" s="52" t="str">
        <f t="shared" si="9"/>
        <v>Low Performance</v>
      </c>
      <c r="W256" s="32" t="s">
        <v>51</v>
      </c>
    </row>
    <row r="257" ht="15.75" customHeight="1">
      <c r="A257" s="6">
        <v>46291.0</v>
      </c>
      <c r="B257" s="7" t="s">
        <v>37</v>
      </c>
      <c r="C257" s="9" t="s">
        <v>29</v>
      </c>
      <c r="D257" s="9" t="s">
        <v>27</v>
      </c>
      <c r="E257" s="10">
        <v>200000.0</v>
      </c>
      <c r="F257" s="9">
        <f t="shared" si="1"/>
        <v>3</v>
      </c>
      <c r="G257" s="11">
        <v>0.0</v>
      </c>
      <c r="H257" s="9">
        <f t="shared" si="11"/>
        <v>0</v>
      </c>
      <c r="I257" s="11">
        <v>1.0</v>
      </c>
      <c r="J257" s="9">
        <f t="shared" si="10"/>
        <v>1</v>
      </c>
      <c r="K257" s="11">
        <v>80.0</v>
      </c>
      <c r="L257" s="11">
        <v>52.0</v>
      </c>
      <c r="M257" s="14">
        <f t="shared" si="4"/>
        <v>1</v>
      </c>
      <c r="N257" s="11">
        <v>3.0</v>
      </c>
      <c r="O257" s="14">
        <f t="shared" si="5"/>
        <v>2</v>
      </c>
      <c r="P257" s="11">
        <v>1.0</v>
      </c>
      <c r="Q257" s="15">
        <v>1.0</v>
      </c>
      <c r="R257" s="9">
        <v>10.0</v>
      </c>
      <c r="S257" s="16">
        <f t="shared" si="6"/>
        <v>9</v>
      </c>
      <c r="T257" s="17">
        <f t="shared" si="7"/>
        <v>0.9</v>
      </c>
      <c r="U257" s="14">
        <f t="shared" si="8"/>
        <v>-1</v>
      </c>
      <c r="V257" s="9" t="str">
        <f t="shared" si="9"/>
        <v>Near Target</v>
      </c>
      <c r="W257" s="9"/>
    </row>
    <row r="258" ht="15.75" customHeight="1">
      <c r="A258" s="6">
        <v>46291.0</v>
      </c>
      <c r="B258" s="7" t="s">
        <v>38</v>
      </c>
      <c r="C258" s="9" t="s">
        <v>29</v>
      </c>
      <c r="D258" s="9" t="s">
        <v>27</v>
      </c>
      <c r="E258" s="10">
        <v>0.0</v>
      </c>
      <c r="F258" s="9">
        <f t="shared" si="1"/>
        <v>0</v>
      </c>
      <c r="G258" s="11">
        <v>1.0</v>
      </c>
      <c r="H258" s="9">
        <f t="shared" si="11"/>
        <v>1</v>
      </c>
      <c r="I258" s="11">
        <v>1.0</v>
      </c>
      <c r="J258" s="9">
        <f t="shared" si="10"/>
        <v>1</v>
      </c>
      <c r="K258" s="11">
        <v>70.0</v>
      </c>
      <c r="L258" s="11">
        <v>50.0</v>
      </c>
      <c r="M258" s="14">
        <f t="shared" si="4"/>
        <v>1</v>
      </c>
      <c r="N258" s="11">
        <v>3.0</v>
      </c>
      <c r="O258" s="14">
        <f t="shared" si="5"/>
        <v>2</v>
      </c>
      <c r="P258" s="11">
        <v>1.0</v>
      </c>
      <c r="Q258" s="15">
        <v>1.0</v>
      </c>
      <c r="R258" s="9">
        <v>10.0</v>
      </c>
      <c r="S258" s="16">
        <f t="shared" si="6"/>
        <v>7</v>
      </c>
      <c r="T258" s="17">
        <f t="shared" si="7"/>
        <v>0.7</v>
      </c>
      <c r="U258" s="14">
        <f t="shared" si="8"/>
        <v>-3</v>
      </c>
      <c r="V258" s="9" t="str">
        <f t="shared" si="9"/>
        <v>Near Target</v>
      </c>
      <c r="W258" s="9"/>
    </row>
    <row r="259" ht="15.75" customHeight="1">
      <c r="A259" s="6">
        <v>46291.0</v>
      </c>
      <c r="B259" s="7" t="s">
        <v>47</v>
      </c>
      <c r="C259" s="18" t="s">
        <v>40</v>
      </c>
      <c r="D259" s="9" t="s">
        <v>27</v>
      </c>
      <c r="E259" s="51">
        <v>0.0</v>
      </c>
      <c r="F259" s="52">
        <f t="shared" si="1"/>
        <v>0</v>
      </c>
      <c r="G259" s="53">
        <v>0.0</v>
      </c>
      <c r="H259" s="52">
        <f t="shared" si="11"/>
        <v>0</v>
      </c>
      <c r="I259" s="53">
        <v>0.0</v>
      </c>
      <c r="J259" s="52">
        <f t="shared" si="10"/>
        <v>0</v>
      </c>
      <c r="K259" s="53">
        <v>0.0</v>
      </c>
      <c r="L259" s="53">
        <v>0.0</v>
      </c>
      <c r="M259" s="54">
        <f t="shared" si="4"/>
        <v>0</v>
      </c>
      <c r="N259" s="53">
        <v>0.0</v>
      </c>
      <c r="O259" s="54">
        <f t="shared" si="5"/>
        <v>0</v>
      </c>
      <c r="P259" s="58">
        <v>0.0</v>
      </c>
      <c r="Q259" s="59">
        <v>0.0</v>
      </c>
      <c r="R259" s="52">
        <v>10.0</v>
      </c>
      <c r="S259" s="54">
        <f t="shared" si="6"/>
        <v>0</v>
      </c>
      <c r="T259" s="56">
        <f t="shared" si="7"/>
        <v>0</v>
      </c>
      <c r="U259" s="54">
        <f t="shared" si="8"/>
        <v>-10</v>
      </c>
      <c r="V259" s="52" t="str">
        <f t="shared" si="9"/>
        <v>Low Performance</v>
      </c>
      <c r="W259" s="32" t="s">
        <v>51</v>
      </c>
    </row>
    <row r="260" ht="15.75" customHeight="1">
      <c r="A260" s="6">
        <v>46291.0</v>
      </c>
      <c r="B260" s="20" t="s">
        <v>39</v>
      </c>
      <c r="C260" s="9" t="s">
        <v>40</v>
      </c>
      <c r="D260" s="9" t="s">
        <v>27</v>
      </c>
      <c r="E260" s="10">
        <v>0.0</v>
      </c>
      <c r="F260" s="9">
        <f t="shared" si="1"/>
        <v>0</v>
      </c>
      <c r="G260" s="11">
        <v>0.0</v>
      </c>
      <c r="H260" s="9">
        <f t="shared" si="11"/>
        <v>0</v>
      </c>
      <c r="I260" s="11">
        <v>1.0</v>
      </c>
      <c r="J260" s="9">
        <f t="shared" si="10"/>
        <v>1</v>
      </c>
      <c r="K260" s="11">
        <v>63.0</v>
      </c>
      <c r="L260" s="11">
        <v>53.0</v>
      </c>
      <c r="M260" s="14">
        <f t="shared" si="4"/>
        <v>1</v>
      </c>
      <c r="N260" s="11">
        <v>3.0</v>
      </c>
      <c r="O260" s="14">
        <f t="shared" si="5"/>
        <v>2</v>
      </c>
      <c r="P260" s="11">
        <v>1.0</v>
      </c>
      <c r="Q260" s="15">
        <v>1.0</v>
      </c>
      <c r="R260" s="9">
        <v>10.0</v>
      </c>
      <c r="S260" s="16">
        <f t="shared" si="6"/>
        <v>6</v>
      </c>
      <c r="T260" s="17">
        <f t="shared" si="7"/>
        <v>0.6</v>
      </c>
      <c r="U260" s="14">
        <f t="shared" si="8"/>
        <v>-4</v>
      </c>
      <c r="V260" s="9" t="str">
        <f t="shared" si="9"/>
        <v>Average</v>
      </c>
      <c r="W260" s="9"/>
    </row>
    <row r="261" ht="15.75" customHeight="1">
      <c r="A261" s="6">
        <v>46291.0</v>
      </c>
      <c r="B261" s="7" t="s">
        <v>41</v>
      </c>
      <c r="C261" s="9" t="s">
        <v>40</v>
      </c>
      <c r="D261" s="9" t="s">
        <v>27</v>
      </c>
      <c r="E261" s="10">
        <v>0.0</v>
      </c>
      <c r="F261" s="9">
        <f t="shared" si="1"/>
        <v>0</v>
      </c>
      <c r="G261" s="11">
        <v>0.0</v>
      </c>
      <c r="H261" s="9">
        <f t="shared" si="11"/>
        <v>0</v>
      </c>
      <c r="I261" s="11">
        <v>1.0</v>
      </c>
      <c r="J261" s="9">
        <f t="shared" si="10"/>
        <v>1</v>
      </c>
      <c r="K261" s="11">
        <v>60.0</v>
      </c>
      <c r="L261" s="11">
        <v>48.0</v>
      </c>
      <c r="M261" s="14">
        <f t="shared" si="4"/>
        <v>0.96</v>
      </c>
      <c r="N261" s="11">
        <v>3.0</v>
      </c>
      <c r="O261" s="14">
        <f t="shared" si="5"/>
        <v>2</v>
      </c>
      <c r="P261" s="11">
        <v>1.0</v>
      </c>
      <c r="Q261" s="15">
        <v>1.0</v>
      </c>
      <c r="R261" s="9">
        <v>10.0</v>
      </c>
      <c r="S261" s="16">
        <f t="shared" si="6"/>
        <v>5.96</v>
      </c>
      <c r="T261" s="17">
        <f t="shared" si="7"/>
        <v>0.596</v>
      </c>
      <c r="U261" s="14">
        <f t="shared" si="8"/>
        <v>-4.04</v>
      </c>
      <c r="V261" s="9" t="str">
        <f t="shared" si="9"/>
        <v>Average</v>
      </c>
      <c r="W261" s="9"/>
    </row>
    <row r="262" ht="15.75" customHeight="1">
      <c r="A262" s="6">
        <v>46291.0</v>
      </c>
      <c r="B262" s="7" t="s">
        <v>42</v>
      </c>
      <c r="C262" s="9" t="s">
        <v>40</v>
      </c>
      <c r="D262" s="9" t="s">
        <v>27</v>
      </c>
      <c r="E262" s="10">
        <v>0.0</v>
      </c>
      <c r="F262" s="9">
        <f t="shared" si="1"/>
        <v>0</v>
      </c>
      <c r="G262" s="11">
        <v>0.0</v>
      </c>
      <c r="H262" s="9">
        <f t="shared" si="11"/>
        <v>0</v>
      </c>
      <c r="I262" s="11">
        <v>1.0</v>
      </c>
      <c r="J262" s="9">
        <f t="shared" si="10"/>
        <v>1</v>
      </c>
      <c r="K262" s="11">
        <v>61.0</v>
      </c>
      <c r="L262" s="11">
        <v>53.0</v>
      </c>
      <c r="M262" s="14">
        <f t="shared" si="4"/>
        <v>1</v>
      </c>
      <c r="N262" s="11">
        <v>3.0</v>
      </c>
      <c r="O262" s="14">
        <f t="shared" si="5"/>
        <v>2</v>
      </c>
      <c r="P262" s="11">
        <v>1.0</v>
      </c>
      <c r="Q262" s="15">
        <v>1.0</v>
      </c>
      <c r="R262" s="9">
        <v>10.0</v>
      </c>
      <c r="S262" s="16">
        <f t="shared" si="6"/>
        <v>6</v>
      </c>
      <c r="T262" s="17">
        <f t="shared" si="7"/>
        <v>0.6</v>
      </c>
      <c r="U262" s="14">
        <f t="shared" si="8"/>
        <v>-4</v>
      </c>
      <c r="V262" s="9" t="str">
        <f t="shared" si="9"/>
        <v>Average</v>
      </c>
      <c r="W262" s="9"/>
    </row>
    <row r="263" ht="15.75" customHeight="1">
      <c r="A263" s="6">
        <v>46291.0</v>
      </c>
      <c r="B263" s="7" t="s">
        <v>43</v>
      </c>
      <c r="C263" s="9" t="s">
        <v>40</v>
      </c>
      <c r="D263" s="9" t="s">
        <v>27</v>
      </c>
      <c r="E263" s="10">
        <v>0.0</v>
      </c>
      <c r="F263" s="9">
        <f t="shared" si="1"/>
        <v>0</v>
      </c>
      <c r="G263" s="11">
        <v>1.0</v>
      </c>
      <c r="H263" s="9">
        <f t="shared" si="11"/>
        <v>1</v>
      </c>
      <c r="I263" s="11">
        <v>0.0</v>
      </c>
      <c r="J263" s="9">
        <f t="shared" si="10"/>
        <v>0</v>
      </c>
      <c r="K263" s="11">
        <v>62.0</v>
      </c>
      <c r="L263" s="11">
        <v>51.0</v>
      </c>
      <c r="M263" s="14">
        <f t="shared" si="4"/>
        <v>1</v>
      </c>
      <c r="N263" s="11">
        <v>3.0</v>
      </c>
      <c r="O263" s="14">
        <f t="shared" si="5"/>
        <v>2</v>
      </c>
      <c r="P263" s="11">
        <v>1.0</v>
      </c>
      <c r="Q263" s="15">
        <v>1.0</v>
      </c>
      <c r="R263" s="9">
        <v>10.0</v>
      </c>
      <c r="S263" s="16">
        <f t="shared" si="6"/>
        <v>6</v>
      </c>
      <c r="T263" s="17">
        <f t="shared" si="7"/>
        <v>0.6</v>
      </c>
      <c r="U263" s="14">
        <f t="shared" si="8"/>
        <v>-4</v>
      </c>
      <c r="V263" s="9" t="str">
        <f t="shared" si="9"/>
        <v>Average</v>
      </c>
      <c r="W263" s="9"/>
    </row>
    <row r="264" ht="15.75" customHeight="1">
      <c r="A264" s="6">
        <v>46291.0</v>
      </c>
      <c r="B264" s="7" t="s">
        <v>45</v>
      </c>
      <c r="C264" s="9" t="s">
        <v>48</v>
      </c>
      <c r="D264" s="9" t="s">
        <v>27</v>
      </c>
      <c r="E264" s="51">
        <v>0.0</v>
      </c>
      <c r="F264" s="52">
        <f t="shared" si="1"/>
        <v>0</v>
      </c>
      <c r="G264" s="53">
        <v>0.0</v>
      </c>
      <c r="H264" s="52">
        <f t="shared" si="11"/>
        <v>0</v>
      </c>
      <c r="I264" s="53">
        <v>0.0</v>
      </c>
      <c r="J264" s="52">
        <f t="shared" si="10"/>
        <v>0</v>
      </c>
      <c r="K264" s="53">
        <v>0.0</v>
      </c>
      <c r="L264" s="53">
        <v>0.0</v>
      </c>
      <c r="M264" s="54">
        <f t="shared" si="4"/>
        <v>0</v>
      </c>
      <c r="N264" s="53">
        <v>0.0</v>
      </c>
      <c r="O264" s="54">
        <f t="shared" si="5"/>
        <v>0</v>
      </c>
      <c r="P264" s="58">
        <v>0.0</v>
      </c>
      <c r="Q264" s="59">
        <v>0.0</v>
      </c>
      <c r="R264" s="52">
        <v>10.0</v>
      </c>
      <c r="S264" s="54">
        <f t="shared" si="6"/>
        <v>0</v>
      </c>
      <c r="T264" s="56">
        <f t="shared" si="7"/>
        <v>0</v>
      </c>
      <c r="U264" s="54">
        <f t="shared" si="8"/>
        <v>-10</v>
      </c>
      <c r="V264" s="52" t="str">
        <f t="shared" si="9"/>
        <v>Low Performance</v>
      </c>
      <c r="W264" s="32" t="s">
        <v>51</v>
      </c>
    </row>
    <row r="265" ht="15.75" customHeight="1">
      <c r="A265" s="6">
        <v>46291.0</v>
      </c>
      <c r="B265" s="7" t="s">
        <v>49</v>
      </c>
      <c r="C265" s="9" t="s">
        <v>48</v>
      </c>
      <c r="D265" s="9" t="s">
        <v>27</v>
      </c>
      <c r="E265" s="10">
        <v>0.0</v>
      </c>
      <c r="F265" s="9">
        <f t="shared" si="1"/>
        <v>0</v>
      </c>
      <c r="G265" s="11">
        <v>0.0</v>
      </c>
      <c r="H265" s="9">
        <f t="shared" si="11"/>
        <v>0</v>
      </c>
      <c r="I265" s="11">
        <v>1.0</v>
      </c>
      <c r="J265" s="9">
        <f t="shared" si="10"/>
        <v>1</v>
      </c>
      <c r="K265" s="11">
        <v>60.0</v>
      </c>
      <c r="L265" s="11">
        <v>50.0</v>
      </c>
      <c r="M265" s="14">
        <f t="shared" si="4"/>
        <v>1</v>
      </c>
      <c r="N265" s="11">
        <v>3.0</v>
      </c>
      <c r="O265" s="14">
        <f t="shared" si="5"/>
        <v>2</v>
      </c>
      <c r="P265" s="11">
        <v>1.0</v>
      </c>
      <c r="Q265" s="15">
        <v>1.0</v>
      </c>
      <c r="R265" s="9">
        <v>10.0</v>
      </c>
      <c r="S265" s="16">
        <f t="shared" si="6"/>
        <v>6</v>
      </c>
      <c r="T265" s="17">
        <f t="shared" si="7"/>
        <v>0.6</v>
      </c>
      <c r="U265" s="14">
        <f t="shared" si="8"/>
        <v>-4</v>
      </c>
      <c r="V265" s="9" t="str">
        <f t="shared" si="9"/>
        <v>Average</v>
      </c>
      <c r="W265" s="9"/>
    </row>
    <row r="266" ht="15.75" customHeight="1">
      <c r="A266" s="6">
        <v>46291.0</v>
      </c>
      <c r="B266" s="22" t="s">
        <v>50</v>
      </c>
      <c r="C266" s="24" t="s">
        <v>48</v>
      </c>
      <c r="D266" s="24" t="s">
        <v>27</v>
      </c>
      <c r="E266" s="10">
        <v>150000.0</v>
      </c>
      <c r="F266" s="9">
        <f t="shared" si="1"/>
        <v>3</v>
      </c>
      <c r="G266" s="11">
        <v>0.0</v>
      </c>
      <c r="H266" s="9">
        <f t="shared" si="11"/>
        <v>0</v>
      </c>
      <c r="I266" s="11">
        <v>1.0</v>
      </c>
      <c r="J266" s="9">
        <f t="shared" si="10"/>
        <v>1</v>
      </c>
      <c r="K266" s="11">
        <v>53.0</v>
      </c>
      <c r="L266" s="11">
        <v>50.0</v>
      </c>
      <c r="M266" s="14">
        <f t="shared" si="4"/>
        <v>1</v>
      </c>
      <c r="N266" s="11">
        <v>3.0</v>
      </c>
      <c r="O266" s="14">
        <f t="shared" si="5"/>
        <v>2</v>
      </c>
      <c r="P266" s="11">
        <v>1.0</v>
      </c>
      <c r="Q266" s="15">
        <v>1.0</v>
      </c>
      <c r="R266" s="9">
        <v>10.0</v>
      </c>
      <c r="S266" s="16">
        <f t="shared" si="6"/>
        <v>9</v>
      </c>
      <c r="T266" s="17">
        <f t="shared" si="7"/>
        <v>0.9</v>
      </c>
      <c r="U266" s="14">
        <f t="shared" si="8"/>
        <v>-1</v>
      </c>
      <c r="V266" s="9" t="str">
        <f t="shared" si="9"/>
        <v>Near Target</v>
      </c>
      <c r="W266" s="9"/>
    </row>
    <row r="267" ht="15.75" customHeight="1">
      <c r="A267" s="6">
        <v>46292.0</v>
      </c>
      <c r="B267" s="7" t="s">
        <v>28</v>
      </c>
      <c r="C267" s="9" t="s">
        <v>29</v>
      </c>
      <c r="D267" s="9" t="s">
        <v>27</v>
      </c>
      <c r="E267" s="10">
        <v>0.0</v>
      </c>
      <c r="F267" s="9">
        <f t="shared" si="1"/>
        <v>0</v>
      </c>
      <c r="G267" s="11">
        <v>0.0</v>
      </c>
      <c r="H267" s="9">
        <f t="shared" si="11"/>
        <v>0</v>
      </c>
      <c r="I267" s="11">
        <v>1.0</v>
      </c>
      <c r="J267" s="9">
        <f t="shared" si="10"/>
        <v>1</v>
      </c>
      <c r="K267" s="11">
        <v>122.0</v>
      </c>
      <c r="L267" s="11">
        <v>58.0</v>
      </c>
      <c r="M267" s="14">
        <f t="shared" si="4"/>
        <v>1</v>
      </c>
      <c r="N267" s="11">
        <v>3.0</v>
      </c>
      <c r="O267" s="14">
        <f t="shared" si="5"/>
        <v>2</v>
      </c>
      <c r="P267" s="11">
        <v>1.0</v>
      </c>
      <c r="Q267" s="15">
        <v>1.0</v>
      </c>
      <c r="R267" s="9">
        <v>10.0</v>
      </c>
      <c r="S267" s="16">
        <f t="shared" si="6"/>
        <v>6</v>
      </c>
      <c r="T267" s="17">
        <f t="shared" si="7"/>
        <v>0.6</v>
      </c>
      <c r="U267" s="14">
        <f t="shared" si="8"/>
        <v>-4</v>
      </c>
      <c r="V267" s="9" t="str">
        <f t="shared" si="9"/>
        <v>Average</v>
      </c>
      <c r="W267" s="9"/>
    </row>
    <row r="268" ht="15.75" customHeight="1">
      <c r="A268" s="6">
        <v>46292.0</v>
      </c>
      <c r="B268" s="7" t="s">
        <v>36</v>
      </c>
      <c r="C268" s="9" t="s">
        <v>29</v>
      </c>
      <c r="D268" s="9" t="s">
        <v>27</v>
      </c>
      <c r="E268" s="51">
        <v>0.0</v>
      </c>
      <c r="F268" s="52">
        <f t="shared" si="1"/>
        <v>0</v>
      </c>
      <c r="G268" s="53">
        <v>0.0</v>
      </c>
      <c r="H268" s="52">
        <f t="shared" si="11"/>
        <v>0</v>
      </c>
      <c r="I268" s="53">
        <v>0.0</v>
      </c>
      <c r="J268" s="52">
        <f t="shared" si="10"/>
        <v>0</v>
      </c>
      <c r="K268" s="53">
        <v>0.0</v>
      </c>
      <c r="L268" s="53">
        <v>0.0</v>
      </c>
      <c r="M268" s="54">
        <f t="shared" si="4"/>
        <v>0</v>
      </c>
      <c r="N268" s="53">
        <v>0.0</v>
      </c>
      <c r="O268" s="54">
        <f t="shared" si="5"/>
        <v>0</v>
      </c>
      <c r="P268" s="58">
        <v>0.0</v>
      </c>
      <c r="Q268" s="59">
        <v>0.0</v>
      </c>
      <c r="R268" s="52">
        <v>10.0</v>
      </c>
      <c r="S268" s="54">
        <f t="shared" si="6"/>
        <v>0</v>
      </c>
      <c r="T268" s="56">
        <f t="shared" si="7"/>
        <v>0</v>
      </c>
      <c r="U268" s="54">
        <f t="shared" si="8"/>
        <v>-10</v>
      </c>
      <c r="V268" s="52" t="str">
        <f t="shared" si="9"/>
        <v>Low Performance</v>
      </c>
      <c r="W268" s="32" t="s">
        <v>51</v>
      </c>
    </row>
    <row r="269" ht="15.75" customHeight="1">
      <c r="A269" s="6">
        <v>46292.0</v>
      </c>
      <c r="B269" s="7" t="s">
        <v>37</v>
      </c>
      <c r="C269" s="9" t="s">
        <v>29</v>
      </c>
      <c r="D269" s="9" t="s">
        <v>27</v>
      </c>
      <c r="E269" s="10">
        <v>250000.0</v>
      </c>
      <c r="F269" s="9">
        <f t="shared" si="1"/>
        <v>3</v>
      </c>
      <c r="G269" s="11">
        <v>0.0</v>
      </c>
      <c r="H269" s="9">
        <f t="shared" si="11"/>
        <v>0</v>
      </c>
      <c r="I269" s="11">
        <v>1.0</v>
      </c>
      <c r="J269" s="9">
        <f t="shared" si="10"/>
        <v>1</v>
      </c>
      <c r="K269" s="11">
        <v>80.0</v>
      </c>
      <c r="L269" s="11">
        <v>53.0</v>
      </c>
      <c r="M269" s="14">
        <f t="shared" si="4"/>
        <v>1</v>
      </c>
      <c r="N269" s="11">
        <v>3.0</v>
      </c>
      <c r="O269" s="14">
        <f t="shared" si="5"/>
        <v>2</v>
      </c>
      <c r="P269" s="11">
        <v>1.0</v>
      </c>
      <c r="Q269" s="15">
        <v>1.0</v>
      </c>
      <c r="R269" s="9">
        <v>10.0</v>
      </c>
      <c r="S269" s="16">
        <f t="shared" si="6"/>
        <v>9</v>
      </c>
      <c r="T269" s="17">
        <f t="shared" si="7"/>
        <v>0.9</v>
      </c>
      <c r="U269" s="14">
        <f t="shared" si="8"/>
        <v>-1</v>
      </c>
      <c r="V269" s="9" t="str">
        <f t="shared" si="9"/>
        <v>Near Target</v>
      </c>
      <c r="W269" s="9"/>
    </row>
    <row r="270" ht="15.75" customHeight="1">
      <c r="A270" s="6">
        <v>46292.0</v>
      </c>
      <c r="B270" s="7" t="s">
        <v>38</v>
      </c>
      <c r="C270" s="9" t="s">
        <v>29</v>
      </c>
      <c r="D270" s="9" t="s">
        <v>27</v>
      </c>
      <c r="E270" s="51">
        <v>0.0</v>
      </c>
      <c r="F270" s="52">
        <f t="shared" si="1"/>
        <v>0</v>
      </c>
      <c r="G270" s="53">
        <v>0.0</v>
      </c>
      <c r="H270" s="52">
        <f t="shared" si="11"/>
        <v>0</v>
      </c>
      <c r="I270" s="53">
        <v>0.0</v>
      </c>
      <c r="J270" s="52">
        <f t="shared" si="10"/>
        <v>0</v>
      </c>
      <c r="K270" s="53">
        <v>0.0</v>
      </c>
      <c r="L270" s="53">
        <v>0.0</v>
      </c>
      <c r="M270" s="54">
        <f t="shared" si="4"/>
        <v>0</v>
      </c>
      <c r="N270" s="53">
        <v>0.0</v>
      </c>
      <c r="O270" s="54">
        <f t="shared" si="5"/>
        <v>0</v>
      </c>
      <c r="P270" s="58">
        <v>0.0</v>
      </c>
      <c r="Q270" s="59">
        <v>0.0</v>
      </c>
      <c r="R270" s="52">
        <v>10.0</v>
      </c>
      <c r="S270" s="54">
        <f t="shared" si="6"/>
        <v>0</v>
      </c>
      <c r="T270" s="56">
        <f t="shared" si="7"/>
        <v>0</v>
      </c>
      <c r="U270" s="54">
        <f t="shared" si="8"/>
        <v>-10</v>
      </c>
      <c r="V270" s="52" t="str">
        <f t="shared" si="9"/>
        <v>Low Performance</v>
      </c>
      <c r="W270" s="32" t="s">
        <v>51</v>
      </c>
    </row>
    <row r="271" ht="15.75" customHeight="1">
      <c r="A271" s="6">
        <v>46292.0</v>
      </c>
      <c r="B271" s="7" t="s">
        <v>47</v>
      </c>
      <c r="C271" s="18" t="s">
        <v>40</v>
      </c>
      <c r="D271" s="9" t="s">
        <v>27</v>
      </c>
      <c r="E271" s="10">
        <v>0.0</v>
      </c>
      <c r="F271" s="9">
        <f t="shared" si="1"/>
        <v>0</v>
      </c>
      <c r="G271" s="11">
        <v>0.0</v>
      </c>
      <c r="H271" s="9">
        <f t="shared" si="11"/>
        <v>0</v>
      </c>
      <c r="I271" s="11">
        <v>1.0</v>
      </c>
      <c r="J271" s="9">
        <f t="shared" si="10"/>
        <v>1</v>
      </c>
      <c r="K271" s="11">
        <v>62.0</v>
      </c>
      <c r="L271" s="11">
        <v>51.0</v>
      </c>
      <c r="M271" s="14">
        <f t="shared" si="4"/>
        <v>1</v>
      </c>
      <c r="N271" s="11">
        <v>3.0</v>
      </c>
      <c r="O271" s="14">
        <f t="shared" si="5"/>
        <v>2</v>
      </c>
      <c r="P271" s="11">
        <v>1.0</v>
      </c>
      <c r="Q271" s="15">
        <v>1.0</v>
      </c>
      <c r="R271" s="9">
        <v>10.0</v>
      </c>
      <c r="S271" s="16">
        <f t="shared" si="6"/>
        <v>6</v>
      </c>
      <c r="T271" s="17">
        <f t="shared" si="7"/>
        <v>0.6</v>
      </c>
      <c r="U271" s="14">
        <f t="shared" si="8"/>
        <v>-4</v>
      </c>
      <c r="V271" s="9" t="str">
        <f t="shared" si="9"/>
        <v>Average</v>
      </c>
      <c r="W271" s="9"/>
    </row>
    <row r="272" ht="15.75" customHeight="1">
      <c r="A272" s="6">
        <v>46292.0</v>
      </c>
      <c r="B272" s="20" t="s">
        <v>39</v>
      </c>
      <c r="C272" s="9" t="s">
        <v>40</v>
      </c>
      <c r="D272" s="9" t="s">
        <v>27</v>
      </c>
      <c r="E272" s="10">
        <v>0.0</v>
      </c>
      <c r="F272" s="9">
        <f t="shared" si="1"/>
        <v>0</v>
      </c>
      <c r="G272" s="11">
        <v>0.0</v>
      </c>
      <c r="H272" s="9">
        <f t="shared" si="11"/>
        <v>0</v>
      </c>
      <c r="I272" s="11">
        <v>1.0</v>
      </c>
      <c r="J272" s="9">
        <f t="shared" si="10"/>
        <v>1</v>
      </c>
      <c r="K272" s="11">
        <v>64.0</v>
      </c>
      <c r="L272" s="11">
        <v>59.0</v>
      </c>
      <c r="M272" s="14">
        <f t="shared" si="4"/>
        <v>1</v>
      </c>
      <c r="N272" s="11">
        <v>3.0</v>
      </c>
      <c r="O272" s="14">
        <f t="shared" si="5"/>
        <v>2</v>
      </c>
      <c r="P272" s="11">
        <v>1.0</v>
      </c>
      <c r="Q272" s="15">
        <v>1.0</v>
      </c>
      <c r="R272" s="9">
        <v>10.0</v>
      </c>
      <c r="S272" s="16">
        <f t="shared" si="6"/>
        <v>6</v>
      </c>
      <c r="T272" s="17">
        <f t="shared" si="7"/>
        <v>0.6</v>
      </c>
      <c r="U272" s="14">
        <f t="shared" si="8"/>
        <v>-4</v>
      </c>
      <c r="V272" s="9" t="str">
        <f t="shared" si="9"/>
        <v>Average</v>
      </c>
      <c r="W272" s="9"/>
    </row>
    <row r="273" ht="15.75" customHeight="1">
      <c r="A273" s="6">
        <v>46292.0</v>
      </c>
      <c r="B273" s="7" t="s">
        <v>41</v>
      </c>
      <c r="C273" s="9" t="s">
        <v>40</v>
      </c>
      <c r="D273" s="9" t="s">
        <v>27</v>
      </c>
      <c r="E273" s="10">
        <v>0.0</v>
      </c>
      <c r="F273" s="9">
        <f t="shared" si="1"/>
        <v>0</v>
      </c>
      <c r="G273" s="11">
        <v>0.0</v>
      </c>
      <c r="H273" s="9">
        <f t="shared" si="11"/>
        <v>0</v>
      </c>
      <c r="I273" s="11">
        <v>1.0</v>
      </c>
      <c r="J273" s="9">
        <f t="shared" si="10"/>
        <v>1</v>
      </c>
      <c r="K273" s="11">
        <v>90.0</v>
      </c>
      <c r="L273" s="11">
        <v>53.0</v>
      </c>
      <c r="M273" s="14">
        <f t="shared" si="4"/>
        <v>1</v>
      </c>
      <c r="N273" s="11">
        <v>3.0</v>
      </c>
      <c r="O273" s="14">
        <f t="shared" si="5"/>
        <v>2</v>
      </c>
      <c r="P273" s="11">
        <v>1.0</v>
      </c>
      <c r="Q273" s="15">
        <v>1.0</v>
      </c>
      <c r="R273" s="9">
        <v>10.0</v>
      </c>
      <c r="S273" s="16">
        <f t="shared" si="6"/>
        <v>6</v>
      </c>
      <c r="T273" s="17">
        <f t="shared" si="7"/>
        <v>0.6</v>
      </c>
      <c r="U273" s="14">
        <f t="shared" si="8"/>
        <v>-4</v>
      </c>
      <c r="V273" s="9" t="str">
        <f t="shared" si="9"/>
        <v>Average</v>
      </c>
      <c r="W273" s="9"/>
    </row>
    <row r="274" ht="15.75" customHeight="1">
      <c r="A274" s="6">
        <v>46292.0</v>
      </c>
      <c r="B274" s="7" t="s">
        <v>42</v>
      </c>
      <c r="C274" s="9" t="s">
        <v>40</v>
      </c>
      <c r="D274" s="9" t="s">
        <v>27</v>
      </c>
      <c r="E274" s="10">
        <v>0.0</v>
      </c>
      <c r="F274" s="9">
        <f t="shared" si="1"/>
        <v>0</v>
      </c>
      <c r="G274" s="11">
        <v>0.0</v>
      </c>
      <c r="H274" s="9">
        <f t="shared" si="11"/>
        <v>0</v>
      </c>
      <c r="I274" s="11">
        <v>1.0</v>
      </c>
      <c r="J274" s="9">
        <f t="shared" si="10"/>
        <v>1</v>
      </c>
      <c r="K274" s="11">
        <v>60.0</v>
      </c>
      <c r="L274" s="11">
        <v>52.0</v>
      </c>
      <c r="M274" s="14">
        <f t="shared" si="4"/>
        <v>1</v>
      </c>
      <c r="N274" s="11">
        <v>3.0</v>
      </c>
      <c r="O274" s="14">
        <f t="shared" si="5"/>
        <v>2</v>
      </c>
      <c r="P274" s="11">
        <v>1.0</v>
      </c>
      <c r="Q274" s="15">
        <v>1.0</v>
      </c>
      <c r="R274" s="9">
        <v>10.0</v>
      </c>
      <c r="S274" s="16">
        <f t="shared" si="6"/>
        <v>6</v>
      </c>
      <c r="T274" s="17">
        <f t="shared" si="7"/>
        <v>0.6</v>
      </c>
      <c r="U274" s="14">
        <f t="shared" si="8"/>
        <v>-4</v>
      </c>
      <c r="V274" s="9" t="str">
        <f t="shared" si="9"/>
        <v>Average</v>
      </c>
      <c r="W274" s="9"/>
    </row>
    <row r="275" ht="15.75" customHeight="1">
      <c r="A275" s="6">
        <v>46292.0</v>
      </c>
      <c r="B275" s="7" t="s">
        <v>43</v>
      </c>
      <c r="C275" s="9" t="s">
        <v>40</v>
      </c>
      <c r="D275" s="9" t="s">
        <v>27</v>
      </c>
      <c r="E275" s="10">
        <v>0.0</v>
      </c>
      <c r="F275" s="9">
        <f t="shared" si="1"/>
        <v>0</v>
      </c>
      <c r="G275" s="11">
        <v>0.0</v>
      </c>
      <c r="H275" s="9">
        <f t="shared" si="11"/>
        <v>0</v>
      </c>
      <c r="I275" s="11">
        <v>1.0</v>
      </c>
      <c r="J275" s="9">
        <f t="shared" si="10"/>
        <v>1</v>
      </c>
      <c r="K275" s="11">
        <v>70.0</v>
      </c>
      <c r="L275" s="11">
        <v>51.0</v>
      </c>
      <c r="M275" s="14">
        <f t="shared" si="4"/>
        <v>1</v>
      </c>
      <c r="N275" s="11">
        <v>3.0</v>
      </c>
      <c r="O275" s="14">
        <f t="shared" si="5"/>
        <v>2</v>
      </c>
      <c r="P275" s="11">
        <v>1.0</v>
      </c>
      <c r="Q275" s="15">
        <v>1.0</v>
      </c>
      <c r="R275" s="9">
        <v>10.0</v>
      </c>
      <c r="S275" s="16">
        <f t="shared" si="6"/>
        <v>6</v>
      </c>
      <c r="T275" s="17">
        <f t="shared" si="7"/>
        <v>0.6</v>
      </c>
      <c r="U275" s="14">
        <f t="shared" si="8"/>
        <v>-4</v>
      </c>
      <c r="V275" s="9" t="str">
        <f t="shared" si="9"/>
        <v>Average</v>
      </c>
      <c r="W275" s="9"/>
    </row>
    <row r="276" ht="15.75" customHeight="1">
      <c r="A276" s="6">
        <v>46292.0</v>
      </c>
      <c r="B276" s="7" t="s">
        <v>45</v>
      </c>
      <c r="C276" s="9" t="s">
        <v>48</v>
      </c>
      <c r="D276" s="9" t="s">
        <v>27</v>
      </c>
      <c r="E276" s="10">
        <v>0.0</v>
      </c>
      <c r="F276" s="9">
        <f t="shared" si="1"/>
        <v>0</v>
      </c>
      <c r="G276" s="11">
        <v>0.0</v>
      </c>
      <c r="H276" s="9">
        <f t="shared" si="11"/>
        <v>0</v>
      </c>
      <c r="I276" s="11">
        <v>1.0</v>
      </c>
      <c r="J276" s="9">
        <f t="shared" si="10"/>
        <v>1</v>
      </c>
      <c r="K276" s="11">
        <v>65.0</v>
      </c>
      <c r="L276" s="11">
        <v>50.0</v>
      </c>
      <c r="M276" s="14">
        <f t="shared" si="4"/>
        <v>1</v>
      </c>
      <c r="N276" s="11">
        <v>3.0</v>
      </c>
      <c r="O276" s="14">
        <f t="shared" si="5"/>
        <v>2</v>
      </c>
      <c r="P276" s="11">
        <v>1.0</v>
      </c>
      <c r="Q276" s="15">
        <v>1.0</v>
      </c>
      <c r="R276" s="9">
        <v>10.0</v>
      </c>
      <c r="S276" s="16">
        <f t="shared" si="6"/>
        <v>6</v>
      </c>
      <c r="T276" s="17">
        <f t="shared" si="7"/>
        <v>0.6</v>
      </c>
      <c r="U276" s="14">
        <f t="shared" si="8"/>
        <v>-4</v>
      </c>
      <c r="V276" s="9" t="str">
        <f t="shared" si="9"/>
        <v>Average</v>
      </c>
      <c r="W276" s="9"/>
    </row>
    <row r="277" ht="15.75" customHeight="1">
      <c r="A277" s="6">
        <v>46292.0</v>
      </c>
      <c r="B277" s="7" t="s">
        <v>49</v>
      </c>
      <c r="C277" s="9" t="s">
        <v>48</v>
      </c>
      <c r="D277" s="9" t="s">
        <v>27</v>
      </c>
      <c r="E277" s="10">
        <v>0.0</v>
      </c>
      <c r="F277" s="9">
        <f t="shared" si="1"/>
        <v>0</v>
      </c>
      <c r="G277" s="11">
        <v>1.0</v>
      </c>
      <c r="H277" s="9">
        <f t="shared" si="11"/>
        <v>1</v>
      </c>
      <c r="I277" s="11">
        <v>1.0</v>
      </c>
      <c r="J277" s="9">
        <f t="shared" si="10"/>
        <v>1</v>
      </c>
      <c r="K277" s="11">
        <v>59.0</v>
      </c>
      <c r="L277" s="11">
        <v>50.0</v>
      </c>
      <c r="M277" s="14">
        <f t="shared" si="4"/>
        <v>1</v>
      </c>
      <c r="N277" s="11">
        <v>3.0</v>
      </c>
      <c r="O277" s="14">
        <f t="shared" si="5"/>
        <v>2</v>
      </c>
      <c r="P277" s="11">
        <v>1.0</v>
      </c>
      <c r="Q277" s="15">
        <v>1.0</v>
      </c>
      <c r="R277" s="9">
        <v>10.0</v>
      </c>
      <c r="S277" s="16">
        <f t="shared" si="6"/>
        <v>7</v>
      </c>
      <c r="T277" s="17">
        <f t="shared" si="7"/>
        <v>0.7</v>
      </c>
      <c r="U277" s="14">
        <f t="shared" si="8"/>
        <v>-3</v>
      </c>
      <c r="V277" s="9" t="str">
        <f t="shared" si="9"/>
        <v>Near Target</v>
      </c>
      <c r="W277" s="9"/>
    </row>
    <row r="278" ht="15.75" customHeight="1">
      <c r="A278" s="6">
        <v>46292.0</v>
      </c>
      <c r="B278" s="22" t="s">
        <v>50</v>
      </c>
      <c r="C278" s="24" t="s">
        <v>48</v>
      </c>
      <c r="D278" s="24" t="s">
        <v>27</v>
      </c>
      <c r="E278" s="10">
        <v>0.0</v>
      </c>
      <c r="F278" s="9">
        <f t="shared" si="1"/>
        <v>0</v>
      </c>
      <c r="G278" s="11">
        <v>1.0</v>
      </c>
      <c r="H278" s="9">
        <f t="shared" si="11"/>
        <v>1</v>
      </c>
      <c r="I278" s="11">
        <v>1.0</v>
      </c>
      <c r="J278" s="9">
        <f t="shared" si="10"/>
        <v>1</v>
      </c>
      <c r="K278" s="11">
        <v>48.0</v>
      </c>
      <c r="L278" s="11">
        <v>50.0</v>
      </c>
      <c r="M278" s="14">
        <f t="shared" si="4"/>
        <v>1</v>
      </c>
      <c r="N278" s="11">
        <v>3.0</v>
      </c>
      <c r="O278" s="14">
        <f t="shared" si="5"/>
        <v>2</v>
      </c>
      <c r="P278" s="11">
        <v>1.0</v>
      </c>
      <c r="Q278" s="15">
        <v>1.0</v>
      </c>
      <c r="R278" s="9">
        <v>10.0</v>
      </c>
      <c r="S278" s="16">
        <f t="shared" si="6"/>
        <v>7</v>
      </c>
      <c r="T278" s="17">
        <f t="shared" si="7"/>
        <v>0.7</v>
      </c>
      <c r="U278" s="14">
        <f t="shared" si="8"/>
        <v>-3</v>
      </c>
      <c r="V278" s="9" t="str">
        <f t="shared" si="9"/>
        <v>Near Target</v>
      </c>
      <c r="W278" s="9"/>
    </row>
    <row r="279" ht="15.75" customHeight="1">
      <c r="A279" s="6">
        <v>46293.0</v>
      </c>
      <c r="B279" s="7" t="s">
        <v>28</v>
      </c>
      <c r="C279" s="9" t="s">
        <v>29</v>
      </c>
      <c r="D279" s="9" t="s">
        <v>27</v>
      </c>
      <c r="E279" s="10">
        <v>0.0</v>
      </c>
      <c r="F279" s="9">
        <f t="shared" si="1"/>
        <v>0</v>
      </c>
      <c r="G279" s="11">
        <v>0.0</v>
      </c>
      <c r="H279" s="9">
        <f t="shared" si="11"/>
        <v>0</v>
      </c>
      <c r="I279" s="11">
        <v>0.0</v>
      </c>
      <c r="J279" s="9">
        <f t="shared" si="10"/>
        <v>0</v>
      </c>
      <c r="K279" s="11">
        <v>109.0</v>
      </c>
      <c r="L279" s="11">
        <v>54.0</v>
      </c>
      <c r="M279" s="14">
        <f t="shared" si="4"/>
        <v>1</v>
      </c>
      <c r="N279" s="11">
        <v>3.0</v>
      </c>
      <c r="O279" s="14">
        <f t="shared" si="5"/>
        <v>2</v>
      </c>
      <c r="P279" s="11">
        <v>1.0</v>
      </c>
      <c r="Q279" s="15">
        <v>1.0</v>
      </c>
      <c r="R279" s="9">
        <v>10.0</v>
      </c>
      <c r="S279" s="16">
        <f t="shared" si="6"/>
        <v>5</v>
      </c>
      <c r="T279" s="17">
        <f t="shared" si="7"/>
        <v>0.5</v>
      </c>
      <c r="U279" s="14">
        <f t="shared" si="8"/>
        <v>-5</v>
      </c>
      <c r="V279" s="9" t="str">
        <f t="shared" si="9"/>
        <v>Average</v>
      </c>
      <c r="W279" s="9"/>
    </row>
    <row r="280" ht="15.75" customHeight="1">
      <c r="A280" s="6">
        <v>46293.0</v>
      </c>
      <c r="B280" s="7" t="s">
        <v>36</v>
      </c>
      <c r="C280" s="9" t="s">
        <v>29</v>
      </c>
      <c r="D280" s="9" t="s">
        <v>27</v>
      </c>
      <c r="E280" s="10">
        <v>0.0</v>
      </c>
      <c r="F280" s="9">
        <f t="shared" si="1"/>
        <v>0</v>
      </c>
      <c r="G280" s="11">
        <v>2.0</v>
      </c>
      <c r="H280" s="9">
        <f t="shared" si="11"/>
        <v>1</v>
      </c>
      <c r="I280" s="11">
        <v>2.0</v>
      </c>
      <c r="J280" s="9">
        <f t="shared" si="10"/>
        <v>1</v>
      </c>
      <c r="K280" s="11">
        <v>67.0</v>
      </c>
      <c r="L280" s="11">
        <v>54.0</v>
      </c>
      <c r="M280" s="14">
        <f t="shared" si="4"/>
        <v>1</v>
      </c>
      <c r="N280" s="11">
        <v>3.0</v>
      </c>
      <c r="O280" s="14">
        <f t="shared" si="5"/>
        <v>2</v>
      </c>
      <c r="P280" s="11">
        <v>1.0</v>
      </c>
      <c r="Q280" s="15">
        <v>1.0</v>
      </c>
      <c r="R280" s="9">
        <v>10.0</v>
      </c>
      <c r="S280" s="16">
        <f t="shared" si="6"/>
        <v>7</v>
      </c>
      <c r="T280" s="17">
        <f t="shared" si="7"/>
        <v>0.7</v>
      </c>
      <c r="U280" s="14">
        <f t="shared" si="8"/>
        <v>-3</v>
      </c>
      <c r="V280" s="9" t="str">
        <f t="shared" si="9"/>
        <v>Near Target</v>
      </c>
      <c r="W280" s="9"/>
    </row>
    <row r="281" ht="15.75" customHeight="1">
      <c r="A281" s="6">
        <v>46293.0</v>
      </c>
      <c r="B281" s="7" t="s">
        <v>37</v>
      </c>
      <c r="C281" s="9" t="s">
        <v>29</v>
      </c>
      <c r="D281" s="9" t="s">
        <v>27</v>
      </c>
      <c r="E281" s="10">
        <v>0.0</v>
      </c>
      <c r="F281" s="9">
        <f t="shared" si="1"/>
        <v>0</v>
      </c>
      <c r="G281" s="11">
        <v>0.0</v>
      </c>
      <c r="H281" s="9">
        <f t="shared" si="11"/>
        <v>0</v>
      </c>
      <c r="I281" s="11">
        <v>1.0</v>
      </c>
      <c r="J281" s="9">
        <f t="shared" si="10"/>
        <v>1</v>
      </c>
      <c r="K281" s="11">
        <v>74.0</v>
      </c>
      <c r="L281" s="11">
        <v>50.0</v>
      </c>
      <c r="M281" s="14">
        <f t="shared" si="4"/>
        <v>1</v>
      </c>
      <c r="N281" s="11">
        <v>3.0</v>
      </c>
      <c r="O281" s="14">
        <f t="shared" si="5"/>
        <v>2</v>
      </c>
      <c r="P281" s="11">
        <v>1.0</v>
      </c>
      <c r="Q281" s="15">
        <v>1.0</v>
      </c>
      <c r="R281" s="9">
        <v>10.0</v>
      </c>
      <c r="S281" s="16">
        <f t="shared" si="6"/>
        <v>6</v>
      </c>
      <c r="T281" s="17">
        <f t="shared" si="7"/>
        <v>0.6</v>
      </c>
      <c r="U281" s="14">
        <f t="shared" si="8"/>
        <v>-4</v>
      </c>
      <c r="V281" s="9" t="str">
        <f t="shared" si="9"/>
        <v>Average</v>
      </c>
      <c r="W281" s="9"/>
    </row>
    <row r="282" ht="15.75" customHeight="1">
      <c r="A282" s="6">
        <v>46293.0</v>
      </c>
      <c r="B282" s="7" t="s">
        <v>38</v>
      </c>
      <c r="C282" s="9" t="s">
        <v>29</v>
      </c>
      <c r="D282" s="9" t="s">
        <v>27</v>
      </c>
      <c r="E282" s="10">
        <v>0.0</v>
      </c>
      <c r="F282" s="9">
        <f t="shared" si="1"/>
        <v>0</v>
      </c>
      <c r="G282" s="11">
        <v>0.0</v>
      </c>
      <c r="H282" s="9">
        <f t="shared" si="11"/>
        <v>0</v>
      </c>
      <c r="I282" s="11">
        <v>1.0</v>
      </c>
      <c r="J282" s="9">
        <f t="shared" si="10"/>
        <v>1</v>
      </c>
      <c r="K282" s="11">
        <v>77.0</v>
      </c>
      <c r="L282" s="11">
        <v>61.0</v>
      </c>
      <c r="M282" s="14">
        <f t="shared" si="4"/>
        <v>1</v>
      </c>
      <c r="N282" s="11">
        <v>3.0</v>
      </c>
      <c r="O282" s="14">
        <f t="shared" si="5"/>
        <v>2</v>
      </c>
      <c r="P282" s="11">
        <v>1.0</v>
      </c>
      <c r="Q282" s="15">
        <v>1.0</v>
      </c>
      <c r="R282" s="9">
        <v>10.0</v>
      </c>
      <c r="S282" s="16">
        <f t="shared" si="6"/>
        <v>6</v>
      </c>
      <c r="T282" s="17">
        <f t="shared" si="7"/>
        <v>0.6</v>
      </c>
      <c r="U282" s="14">
        <f t="shared" si="8"/>
        <v>-4</v>
      </c>
      <c r="V282" s="9" t="str">
        <f t="shared" si="9"/>
        <v>Average</v>
      </c>
      <c r="W282" s="9"/>
    </row>
    <row r="283" ht="15.75" customHeight="1">
      <c r="A283" s="6">
        <v>46293.0</v>
      </c>
      <c r="B283" s="7" t="s">
        <v>47</v>
      </c>
      <c r="C283" s="18" t="s">
        <v>40</v>
      </c>
      <c r="D283" s="9" t="s">
        <v>27</v>
      </c>
      <c r="E283" s="10">
        <v>0.0</v>
      </c>
      <c r="F283" s="9">
        <f t="shared" si="1"/>
        <v>0</v>
      </c>
      <c r="G283" s="11">
        <v>0.0</v>
      </c>
      <c r="H283" s="9">
        <f t="shared" si="11"/>
        <v>0</v>
      </c>
      <c r="I283" s="11">
        <v>1.0</v>
      </c>
      <c r="J283" s="9">
        <f t="shared" si="10"/>
        <v>1</v>
      </c>
      <c r="K283" s="11">
        <v>60.0</v>
      </c>
      <c r="L283" s="11">
        <v>52.0</v>
      </c>
      <c r="M283" s="14">
        <f t="shared" si="4"/>
        <v>1</v>
      </c>
      <c r="N283" s="11">
        <v>3.0</v>
      </c>
      <c r="O283" s="14">
        <f t="shared" si="5"/>
        <v>2</v>
      </c>
      <c r="P283" s="11">
        <v>1.0</v>
      </c>
      <c r="Q283" s="15">
        <v>1.0</v>
      </c>
      <c r="R283" s="9">
        <v>10.0</v>
      </c>
      <c r="S283" s="16">
        <f t="shared" si="6"/>
        <v>6</v>
      </c>
      <c r="T283" s="17">
        <f t="shared" si="7"/>
        <v>0.6</v>
      </c>
      <c r="U283" s="14">
        <f t="shared" si="8"/>
        <v>-4</v>
      </c>
      <c r="V283" s="9" t="str">
        <f t="shared" si="9"/>
        <v>Average</v>
      </c>
      <c r="W283" s="9"/>
    </row>
    <row r="284" ht="15.75" customHeight="1">
      <c r="A284" s="6">
        <v>46293.0</v>
      </c>
      <c r="B284" s="20" t="s">
        <v>39</v>
      </c>
      <c r="C284" s="9" t="s">
        <v>40</v>
      </c>
      <c r="D284" s="9" t="s">
        <v>27</v>
      </c>
      <c r="E284" s="10">
        <v>0.0</v>
      </c>
      <c r="F284" s="9">
        <f t="shared" si="1"/>
        <v>0</v>
      </c>
      <c r="G284" s="11">
        <v>0.0</v>
      </c>
      <c r="H284" s="9">
        <f t="shared" si="11"/>
        <v>0</v>
      </c>
      <c r="I284" s="11">
        <v>2.0</v>
      </c>
      <c r="J284" s="9">
        <f t="shared" si="10"/>
        <v>1</v>
      </c>
      <c r="K284" s="11">
        <v>81.0</v>
      </c>
      <c r="L284" s="11">
        <v>64.0</v>
      </c>
      <c r="M284" s="14">
        <f t="shared" si="4"/>
        <v>1</v>
      </c>
      <c r="N284" s="11">
        <v>3.0</v>
      </c>
      <c r="O284" s="14">
        <f t="shared" si="5"/>
        <v>2</v>
      </c>
      <c r="P284" s="11">
        <v>1.0</v>
      </c>
      <c r="Q284" s="15">
        <v>1.0</v>
      </c>
      <c r="R284" s="9">
        <v>10.0</v>
      </c>
      <c r="S284" s="16">
        <f t="shared" si="6"/>
        <v>6</v>
      </c>
      <c r="T284" s="17">
        <f t="shared" si="7"/>
        <v>0.6</v>
      </c>
      <c r="U284" s="14">
        <f t="shared" si="8"/>
        <v>-4</v>
      </c>
      <c r="V284" s="9" t="str">
        <f t="shared" si="9"/>
        <v>Average</v>
      </c>
      <c r="W284" s="9"/>
    </row>
    <row r="285" ht="15.75" customHeight="1">
      <c r="A285" s="6">
        <v>46293.0</v>
      </c>
      <c r="B285" s="7" t="s">
        <v>41</v>
      </c>
      <c r="C285" s="9" t="s">
        <v>40</v>
      </c>
      <c r="D285" s="9" t="s">
        <v>27</v>
      </c>
      <c r="E285" s="10">
        <v>0.0</v>
      </c>
      <c r="F285" s="9">
        <f t="shared" si="1"/>
        <v>0</v>
      </c>
      <c r="G285" s="11">
        <v>0.0</v>
      </c>
      <c r="H285" s="9">
        <f t="shared" si="11"/>
        <v>0</v>
      </c>
      <c r="I285" s="11">
        <v>1.0</v>
      </c>
      <c r="J285" s="9">
        <f t="shared" si="10"/>
        <v>1</v>
      </c>
      <c r="K285" s="11">
        <v>82.0</v>
      </c>
      <c r="L285" s="11">
        <v>56.0</v>
      </c>
      <c r="M285" s="14">
        <f t="shared" si="4"/>
        <v>1</v>
      </c>
      <c r="N285" s="11">
        <v>3.0</v>
      </c>
      <c r="O285" s="14">
        <f t="shared" si="5"/>
        <v>2</v>
      </c>
      <c r="P285" s="11">
        <v>1.0</v>
      </c>
      <c r="Q285" s="15">
        <v>1.0</v>
      </c>
      <c r="R285" s="9">
        <v>10.0</v>
      </c>
      <c r="S285" s="16">
        <f t="shared" si="6"/>
        <v>6</v>
      </c>
      <c r="T285" s="17">
        <f t="shared" si="7"/>
        <v>0.6</v>
      </c>
      <c r="U285" s="14">
        <f t="shared" si="8"/>
        <v>-4</v>
      </c>
      <c r="V285" s="9" t="str">
        <f t="shared" si="9"/>
        <v>Average</v>
      </c>
      <c r="W285" s="9"/>
    </row>
    <row r="286" ht="15.75" customHeight="1">
      <c r="A286" s="6">
        <v>46293.0</v>
      </c>
      <c r="B286" s="7" t="s">
        <v>42</v>
      </c>
      <c r="C286" s="9" t="s">
        <v>40</v>
      </c>
      <c r="D286" s="9" t="s">
        <v>27</v>
      </c>
      <c r="E286" s="10">
        <v>0.0</v>
      </c>
      <c r="F286" s="9">
        <f t="shared" si="1"/>
        <v>0</v>
      </c>
      <c r="G286" s="11">
        <v>0.0</v>
      </c>
      <c r="H286" s="9">
        <f t="shared" si="11"/>
        <v>0</v>
      </c>
      <c r="I286" s="11">
        <v>1.0</v>
      </c>
      <c r="J286" s="9">
        <f t="shared" si="10"/>
        <v>1</v>
      </c>
      <c r="K286" s="11">
        <v>62.0</v>
      </c>
      <c r="L286" s="11">
        <v>51.0</v>
      </c>
      <c r="M286" s="14">
        <f t="shared" si="4"/>
        <v>1</v>
      </c>
      <c r="N286" s="11">
        <v>3.0</v>
      </c>
      <c r="O286" s="14">
        <f t="shared" si="5"/>
        <v>2</v>
      </c>
      <c r="P286" s="11">
        <v>1.0</v>
      </c>
      <c r="Q286" s="15">
        <v>1.0</v>
      </c>
      <c r="R286" s="9">
        <v>10.0</v>
      </c>
      <c r="S286" s="16">
        <f t="shared" si="6"/>
        <v>6</v>
      </c>
      <c r="T286" s="17">
        <f t="shared" si="7"/>
        <v>0.6</v>
      </c>
      <c r="U286" s="14">
        <f t="shared" si="8"/>
        <v>-4</v>
      </c>
      <c r="V286" s="9" t="str">
        <f t="shared" si="9"/>
        <v>Average</v>
      </c>
      <c r="W286" s="9"/>
    </row>
    <row r="287" ht="15.75" customHeight="1">
      <c r="A287" s="6">
        <v>46293.0</v>
      </c>
      <c r="B287" s="7" t="s">
        <v>43</v>
      </c>
      <c r="C287" s="9" t="s">
        <v>40</v>
      </c>
      <c r="D287" s="9" t="s">
        <v>27</v>
      </c>
      <c r="E287" s="10">
        <v>0.0</v>
      </c>
      <c r="F287" s="9">
        <f t="shared" si="1"/>
        <v>0</v>
      </c>
      <c r="G287" s="11">
        <v>0.0</v>
      </c>
      <c r="H287" s="9">
        <f t="shared" si="11"/>
        <v>0</v>
      </c>
      <c r="I287" s="11">
        <v>1.0</v>
      </c>
      <c r="J287" s="9">
        <f t="shared" si="10"/>
        <v>1</v>
      </c>
      <c r="K287" s="11">
        <v>63.0</v>
      </c>
      <c r="L287" s="11">
        <v>53.0</v>
      </c>
      <c r="M287" s="14">
        <f t="shared" si="4"/>
        <v>1</v>
      </c>
      <c r="N287" s="11">
        <v>3.0</v>
      </c>
      <c r="O287" s="14">
        <f t="shared" si="5"/>
        <v>2</v>
      </c>
      <c r="P287" s="11">
        <v>1.0</v>
      </c>
      <c r="Q287" s="15">
        <v>1.0</v>
      </c>
      <c r="R287" s="9">
        <v>10.0</v>
      </c>
      <c r="S287" s="16">
        <f t="shared" si="6"/>
        <v>6</v>
      </c>
      <c r="T287" s="17">
        <f t="shared" si="7"/>
        <v>0.6</v>
      </c>
      <c r="U287" s="14">
        <f t="shared" si="8"/>
        <v>-4</v>
      </c>
      <c r="V287" s="9" t="str">
        <f t="shared" si="9"/>
        <v>Average</v>
      </c>
      <c r="W287" s="9"/>
    </row>
    <row r="288" ht="15.75" customHeight="1">
      <c r="A288" s="6">
        <v>46293.0</v>
      </c>
      <c r="B288" s="7" t="s">
        <v>45</v>
      </c>
      <c r="C288" s="9" t="s">
        <v>48</v>
      </c>
      <c r="D288" s="9" t="s">
        <v>27</v>
      </c>
      <c r="E288" s="10">
        <v>0.0</v>
      </c>
      <c r="F288" s="9">
        <f t="shared" si="1"/>
        <v>0</v>
      </c>
      <c r="G288" s="11">
        <v>0.0</v>
      </c>
      <c r="H288" s="9">
        <f t="shared" si="11"/>
        <v>0</v>
      </c>
      <c r="I288" s="11">
        <v>1.0</v>
      </c>
      <c r="J288" s="9">
        <f t="shared" si="10"/>
        <v>1</v>
      </c>
      <c r="K288" s="11">
        <v>65.0</v>
      </c>
      <c r="L288" s="11">
        <v>50.0</v>
      </c>
      <c r="M288" s="14">
        <f t="shared" si="4"/>
        <v>1</v>
      </c>
      <c r="N288" s="11">
        <v>3.0</v>
      </c>
      <c r="O288" s="14">
        <f t="shared" si="5"/>
        <v>2</v>
      </c>
      <c r="P288" s="11">
        <v>1.0</v>
      </c>
      <c r="Q288" s="15">
        <v>1.0</v>
      </c>
      <c r="R288" s="9">
        <v>10.0</v>
      </c>
      <c r="S288" s="16">
        <f t="shared" si="6"/>
        <v>6</v>
      </c>
      <c r="T288" s="17">
        <f t="shared" si="7"/>
        <v>0.6</v>
      </c>
      <c r="U288" s="14">
        <f t="shared" si="8"/>
        <v>-4</v>
      </c>
      <c r="V288" s="9" t="str">
        <f t="shared" si="9"/>
        <v>Average</v>
      </c>
      <c r="W288" s="9"/>
    </row>
    <row r="289" ht="15.75" customHeight="1">
      <c r="A289" s="6">
        <v>46293.0</v>
      </c>
      <c r="B289" s="7" t="s">
        <v>49</v>
      </c>
      <c r="C289" s="9" t="s">
        <v>48</v>
      </c>
      <c r="D289" s="9" t="s">
        <v>27</v>
      </c>
      <c r="E289" s="10">
        <v>10000.0</v>
      </c>
      <c r="F289" s="9">
        <f t="shared" si="1"/>
        <v>3</v>
      </c>
      <c r="G289" s="11">
        <v>0.0</v>
      </c>
      <c r="H289" s="9">
        <f t="shared" si="11"/>
        <v>0</v>
      </c>
      <c r="I289" s="11">
        <v>1.0</v>
      </c>
      <c r="J289" s="9">
        <f t="shared" si="10"/>
        <v>1</v>
      </c>
      <c r="K289" s="11">
        <v>60.0</v>
      </c>
      <c r="L289" s="11">
        <v>50.0</v>
      </c>
      <c r="M289" s="14">
        <f t="shared" si="4"/>
        <v>1</v>
      </c>
      <c r="N289" s="11">
        <v>3.0</v>
      </c>
      <c r="O289" s="14">
        <f t="shared" si="5"/>
        <v>2</v>
      </c>
      <c r="P289" s="11">
        <v>1.0</v>
      </c>
      <c r="Q289" s="15">
        <v>1.0</v>
      </c>
      <c r="R289" s="9">
        <v>10.0</v>
      </c>
      <c r="S289" s="16">
        <f t="shared" si="6"/>
        <v>9</v>
      </c>
      <c r="T289" s="17">
        <f t="shared" si="7"/>
        <v>0.9</v>
      </c>
      <c r="U289" s="14">
        <f t="shared" si="8"/>
        <v>-1</v>
      </c>
      <c r="V289" s="9" t="str">
        <f t="shared" si="9"/>
        <v>Near Target</v>
      </c>
      <c r="W289" s="9"/>
    </row>
    <row r="290" ht="15.75" customHeight="1">
      <c r="A290" s="6">
        <v>46293.0</v>
      </c>
      <c r="B290" s="22" t="s">
        <v>50</v>
      </c>
      <c r="C290" s="24" t="s">
        <v>48</v>
      </c>
      <c r="D290" s="24" t="s">
        <v>27</v>
      </c>
      <c r="E290" s="10">
        <v>0.0</v>
      </c>
      <c r="F290" s="9">
        <f t="shared" si="1"/>
        <v>0</v>
      </c>
      <c r="G290" s="11">
        <v>0.0</v>
      </c>
      <c r="H290" s="9">
        <f t="shared" si="11"/>
        <v>0</v>
      </c>
      <c r="I290" s="11">
        <v>1.0</v>
      </c>
      <c r="J290" s="9">
        <f t="shared" si="10"/>
        <v>1</v>
      </c>
      <c r="K290" s="11">
        <v>62.0</v>
      </c>
      <c r="L290" s="11">
        <v>50.0</v>
      </c>
      <c r="M290" s="14">
        <f t="shared" si="4"/>
        <v>1</v>
      </c>
      <c r="N290" s="11">
        <v>3.0</v>
      </c>
      <c r="O290" s="14">
        <f t="shared" si="5"/>
        <v>2</v>
      </c>
      <c r="P290" s="11">
        <v>1.0</v>
      </c>
      <c r="Q290" s="15">
        <v>1.0</v>
      </c>
      <c r="R290" s="9">
        <v>10.0</v>
      </c>
      <c r="S290" s="16">
        <f t="shared" si="6"/>
        <v>6</v>
      </c>
      <c r="T290" s="17">
        <f t="shared" si="7"/>
        <v>0.6</v>
      </c>
      <c r="U290" s="14">
        <f t="shared" si="8"/>
        <v>-4</v>
      </c>
      <c r="V290" s="9" t="str">
        <f t="shared" si="9"/>
        <v>Average</v>
      </c>
      <c r="W290" s="9"/>
    </row>
    <row r="291" ht="15.75" customHeight="1">
      <c r="A291" s="6">
        <v>46294.0</v>
      </c>
      <c r="B291" s="7" t="s">
        <v>28</v>
      </c>
      <c r="C291" s="9" t="s">
        <v>29</v>
      </c>
      <c r="D291" s="9" t="s">
        <v>27</v>
      </c>
      <c r="E291" s="10">
        <v>100000.0</v>
      </c>
      <c r="F291" s="9">
        <f t="shared" si="1"/>
        <v>3</v>
      </c>
      <c r="G291" s="11">
        <v>0.0</v>
      </c>
      <c r="H291" s="9">
        <f t="shared" si="11"/>
        <v>0</v>
      </c>
      <c r="I291" s="11">
        <v>1.0</v>
      </c>
      <c r="J291" s="9">
        <f t="shared" si="10"/>
        <v>1</v>
      </c>
      <c r="K291" s="11">
        <v>111.0</v>
      </c>
      <c r="L291" s="11">
        <v>56.0</v>
      </c>
      <c r="M291" s="14">
        <f t="shared" si="4"/>
        <v>1</v>
      </c>
      <c r="N291" s="11">
        <v>3.0</v>
      </c>
      <c r="O291" s="14">
        <f t="shared" si="5"/>
        <v>2</v>
      </c>
      <c r="P291" s="11">
        <v>1.0</v>
      </c>
      <c r="Q291" s="15">
        <v>1.0</v>
      </c>
      <c r="R291" s="9">
        <v>10.0</v>
      </c>
      <c r="S291" s="16">
        <f t="shared" si="6"/>
        <v>9</v>
      </c>
      <c r="T291" s="17">
        <f t="shared" si="7"/>
        <v>0.9</v>
      </c>
      <c r="U291" s="14">
        <f t="shared" si="8"/>
        <v>-1</v>
      </c>
      <c r="V291" s="9" t="str">
        <f t="shared" si="9"/>
        <v>Near Target</v>
      </c>
      <c r="W291" s="9"/>
    </row>
    <row r="292" ht="15.75" customHeight="1">
      <c r="A292" s="6">
        <v>46294.0</v>
      </c>
      <c r="B292" s="7" t="s">
        <v>36</v>
      </c>
      <c r="C292" s="9" t="s">
        <v>29</v>
      </c>
      <c r="D292" s="9" t="s">
        <v>27</v>
      </c>
      <c r="E292" s="10">
        <v>0.0</v>
      </c>
      <c r="F292" s="9">
        <f t="shared" si="1"/>
        <v>0</v>
      </c>
      <c r="G292" s="11">
        <v>0.0</v>
      </c>
      <c r="H292" s="9">
        <f t="shared" si="11"/>
        <v>0</v>
      </c>
      <c r="I292" s="11">
        <v>1.0</v>
      </c>
      <c r="J292" s="9">
        <f t="shared" si="10"/>
        <v>1</v>
      </c>
      <c r="K292" s="11">
        <v>68.0</v>
      </c>
      <c r="L292" s="11">
        <v>57.0</v>
      </c>
      <c r="M292" s="14">
        <f t="shared" si="4"/>
        <v>1</v>
      </c>
      <c r="N292" s="11">
        <v>3.0</v>
      </c>
      <c r="O292" s="14">
        <f t="shared" si="5"/>
        <v>2</v>
      </c>
      <c r="P292" s="11">
        <v>1.0</v>
      </c>
      <c r="Q292" s="15">
        <v>1.0</v>
      </c>
      <c r="R292" s="9">
        <v>10.0</v>
      </c>
      <c r="S292" s="16">
        <f t="shared" si="6"/>
        <v>6</v>
      </c>
      <c r="T292" s="17">
        <f t="shared" si="7"/>
        <v>0.6</v>
      </c>
      <c r="U292" s="14">
        <f t="shared" si="8"/>
        <v>-4</v>
      </c>
      <c r="V292" s="9" t="str">
        <f t="shared" si="9"/>
        <v>Average</v>
      </c>
      <c r="W292" s="9"/>
    </row>
    <row r="293" ht="15.75" customHeight="1">
      <c r="A293" s="6">
        <v>46294.0</v>
      </c>
      <c r="B293" s="7" t="s">
        <v>37</v>
      </c>
      <c r="C293" s="9" t="s">
        <v>29</v>
      </c>
      <c r="D293" s="9" t="s">
        <v>27</v>
      </c>
      <c r="E293" s="10">
        <v>0.0</v>
      </c>
      <c r="F293" s="9">
        <f t="shared" si="1"/>
        <v>0</v>
      </c>
      <c r="G293" s="11">
        <v>0.0</v>
      </c>
      <c r="H293" s="9">
        <f t="shared" si="11"/>
        <v>0</v>
      </c>
      <c r="I293" s="11">
        <v>1.0</v>
      </c>
      <c r="J293" s="9">
        <f t="shared" si="10"/>
        <v>1</v>
      </c>
      <c r="K293" s="11">
        <v>70.0</v>
      </c>
      <c r="L293" s="11">
        <v>60.0</v>
      </c>
      <c r="M293" s="14">
        <f t="shared" si="4"/>
        <v>1</v>
      </c>
      <c r="N293" s="11">
        <v>3.0</v>
      </c>
      <c r="O293" s="14">
        <f t="shared" si="5"/>
        <v>2</v>
      </c>
      <c r="P293" s="11">
        <v>1.0</v>
      </c>
      <c r="Q293" s="15">
        <v>1.0</v>
      </c>
      <c r="R293" s="9">
        <v>10.0</v>
      </c>
      <c r="S293" s="16">
        <f t="shared" si="6"/>
        <v>6</v>
      </c>
      <c r="T293" s="17">
        <f t="shared" si="7"/>
        <v>0.6</v>
      </c>
      <c r="U293" s="14">
        <f t="shared" si="8"/>
        <v>-4</v>
      </c>
      <c r="V293" s="9" t="str">
        <f t="shared" si="9"/>
        <v>Average</v>
      </c>
      <c r="W293" s="9"/>
    </row>
    <row r="294" ht="15.75" customHeight="1">
      <c r="A294" s="6">
        <v>46294.0</v>
      </c>
      <c r="B294" s="7" t="s">
        <v>38</v>
      </c>
      <c r="C294" s="9" t="s">
        <v>29</v>
      </c>
      <c r="D294" s="9" t="s">
        <v>27</v>
      </c>
      <c r="E294" s="10">
        <v>0.0</v>
      </c>
      <c r="F294" s="9">
        <f t="shared" si="1"/>
        <v>0</v>
      </c>
      <c r="G294" s="11">
        <v>0.0</v>
      </c>
      <c r="H294" s="9">
        <f t="shared" si="11"/>
        <v>0</v>
      </c>
      <c r="I294" s="11">
        <v>1.0</v>
      </c>
      <c r="J294" s="9">
        <f t="shared" si="10"/>
        <v>1</v>
      </c>
      <c r="K294" s="11">
        <v>123.0</v>
      </c>
      <c r="L294" s="11">
        <v>60.0</v>
      </c>
      <c r="M294" s="14">
        <f t="shared" si="4"/>
        <v>1</v>
      </c>
      <c r="N294" s="11">
        <v>3.0</v>
      </c>
      <c r="O294" s="14">
        <f t="shared" si="5"/>
        <v>2</v>
      </c>
      <c r="P294" s="11">
        <v>1.0</v>
      </c>
      <c r="Q294" s="15">
        <v>1.0</v>
      </c>
      <c r="R294" s="9">
        <v>10.0</v>
      </c>
      <c r="S294" s="16">
        <f t="shared" si="6"/>
        <v>6</v>
      </c>
      <c r="T294" s="17">
        <f t="shared" si="7"/>
        <v>0.6</v>
      </c>
      <c r="U294" s="14">
        <f t="shared" si="8"/>
        <v>-4</v>
      </c>
      <c r="V294" s="9" t="str">
        <f t="shared" si="9"/>
        <v>Average</v>
      </c>
      <c r="W294" s="9"/>
    </row>
    <row r="295" ht="15.75" customHeight="1">
      <c r="A295" s="6">
        <v>46294.0</v>
      </c>
      <c r="B295" s="7" t="s">
        <v>47</v>
      </c>
      <c r="C295" s="18" t="s">
        <v>40</v>
      </c>
      <c r="D295" s="9" t="s">
        <v>27</v>
      </c>
      <c r="E295" s="10">
        <v>0.0</v>
      </c>
      <c r="F295" s="9">
        <f t="shared" si="1"/>
        <v>0</v>
      </c>
      <c r="G295" s="11">
        <v>0.0</v>
      </c>
      <c r="H295" s="9">
        <f t="shared" si="11"/>
        <v>0</v>
      </c>
      <c r="I295" s="11">
        <v>1.0</v>
      </c>
      <c r="J295" s="9">
        <f t="shared" si="10"/>
        <v>1</v>
      </c>
      <c r="K295" s="11">
        <v>54.0</v>
      </c>
      <c r="L295" s="11">
        <v>51.0</v>
      </c>
      <c r="M295" s="14">
        <f t="shared" si="4"/>
        <v>1</v>
      </c>
      <c r="N295" s="11">
        <v>3.0</v>
      </c>
      <c r="O295" s="14">
        <f t="shared" si="5"/>
        <v>2</v>
      </c>
      <c r="P295" s="11">
        <v>1.0</v>
      </c>
      <c r="Q295" s="15">
        <v>1.0</v>
      </c>
      <c r="R295" s="9">
        <v>10.0</v>
      </c>
      <c r="S295" s="16">
        <f t="shared" si="6"/>
        <v>6</v>
      </c>
      <c r="T295" s="17">
        <f t="shared" si="7"/>
        <v>0.6</v>
      </c>
      <c r="U295" s="14">
        <f t="shared" si="8"/>
        <v>-4</v>
      </c>
      <c r="V295" s="9" t="str">
        <f t="shared" si="9"/>
        <v>Average</v>
      </c>
      <c r="W295" s="9"/>
    </row>
    <row r="296" ht="15.75" customHeight="1">
      <c r="A296" s="6">
        <v>46294.0</v>
      </c>
      <c r="B296" s="20" t="s">
        <v>39</v>
      </c>
      <c r="C296" s="9" t="s">
        <v>40</v>
      </c>
      <c r="D296" s="9" t="s">
        <v>27</v>
      </c>
      <c r="E296" s="10">
        <v>190000.0</v>
      </c>
      <c r="F296" s="9">
        <f t="shared" si="1"/>
        <v>3</v>
      </c>
      <c r="G296" s="11">
        <v>1.0</v>
      </c>
      <c r="H296" s="9">
        <f t="shared" si="11"/>
        <v>1</v>
      </c>
      <c r="I296" s="11">
        <v>1.0</v>
      </c>
      <c r="J296" s="9">
        <f t="shared" si="10"/>
        <v>1</v>
      </c>
      <c r="K296" s="11">
        <v>80.0</v>
      </c>
      <c r="L296" s="11">
        <v>66.0</v>
      </c>
      <c r="M296" s="14">
        <f t="shared" si="4"/>
        <v>1</v>
      </c>
      <c r="N296" s="11">
        <v>3.0</v>
      </c>
      <c r="O296" s="14">
        <f t="shared" si="5"/>
        <v>2</v>
      </c>
      <c r="P296" s="11">
        <v>1.0</v>
      </c>
      <c r="Q296" s="15">
        <v>1.0</v>
      </c>
      <c r="R296" s="9">
        <v>10.0</v>
      </c>
      <c r="S296" s="16">
        <f t="shared" si="6"/>
        <v>10</v>
      </c>
      <c r="T296" s="17">
        <f t="shared" si="7"/>
        <v>1</v>
      </c>
      <c r="U296" s="14">
        <f t="shared" si="8"/>
        <v>0</v>
      </c>
      <c r="V296" s="9" t="str">
        <f t="shared" si="9"/>
        <v>Achieved</v>
      </c>
      <c r="W296" s="9"/>
    </row>
    <row r="297" ht="15.75" customHeight="1">
      <c r="A297" s="6">
        <v>46294.0</v>
      </c>
      <c r="B297" s="7" t="s">
        <v>41</v>
      </c>
      <c r="C297" s="9" t="s">
        <v>40</v>
      </c>
      <c r="D297" s="9" t="s">
        <v>27</v>
      </c>
      <c r="E297" s="10">
        <v>50000.0</v>
      </c>
      <c r="F297" s="9">
        <f t="shared" si="1"/>
        <v>3</v>
      </c>
      <c r="G297" s="11">
        <v>1.0</v>
      </c>
      <c r="H297" s="9">
        <f t="shared" si="11"/>
        <v>1</v>
      </c>
      <c r="I297" s="11">
        <v>0.0</v>
      </c>
      <c r="J297" s="9">
        <f t="shared" si="10"/>
        <v>0</v>
      </c>
      <c r="K297" s="11">
        <v>80.0</v>
      </c>
      <c r="L297" s="11">
        <v>56.0</v>
      </c>
      <c r="M297" s="14">
        <f t="shared" si="4"/>
        <v>1</v>
      </c>
      <c r="N297" s="11">
        <v>3.0</v>
      </c>
      <c r="O297" s="14">
        <f t="shared" si="5"/>
        <v>2</v>
      </c>
      <c r="P297" s="11">
        <v>1.0</v>
      </c>
      <c r="Q297" s="15">
        <v>1.0</v>
      </c>
      <c r="R297" s="9">
        <v>10.0</v>
      </c>
      <c r="S297" s="16">
        <f t="shared" si="6"/>
        <v>9</v>
      </c>
      <c r="T297" s="17">
        <f t="shared" si="7"/>
        <v>0.9</v>
      </c>
      <c r="U297" s="14">
        <f t="shared" si="8"/>
        <v>-1</v>
      </c>
      <c r="V297" s="9" t="str">
        <f t="shared" si="9"/>
        <v>Near Target</v>
      </c>
      <c r="W297" s="9"/>
    </row>
    <row r="298" ht="15.75" customHeight="1">
      <c r="A298" s="6">
        <v>46294.0</v>
      </c>
      <c r="B298" s="7" t="s">
        <v>42</v>
      </c>
      <c r="C298" s="9" t="s">
        <v>40</v>
      </c>
      <c r="D298" s="9" t="s">
        <v>27</v>
      </c>
      <c r="E298" s="10">
        <v>0.0</v>
      </c>
      <c r="F298" s="9">
        <f t="shared" si="1"/>
        <v>0</v>
      </c>
      <c r="G298" s="11">
        <v>1.0</v>
      </c>
      <c r="H298" s="9">
        <f t="shared" si="11"/>
        <v>1</v>
      </c>
      <c r="I298" s="11">
        <v>0.0</v>
      </c>
      <c r="J298" s="9">
        <f t="shared" si="10"/>
        <v>0</v>
      </c>
      <c r="K298" s="11">
        <v>68.0</v>
      </c>
      <c r="L298" s="11">
        <v>51.0</v>
      </c>
      <c r="M298" s="14">
        <f t="shared" si="4"/>
        <v>1</v>
      </c>
      <c r="N298" s="11">
        <v>3.0</v>
      </c>
      <c r="O298" s="14">
        <f t="shared" si="5"/>
        <v>2</v>
      </c>
      <c r="P298" s="11">
        <v>1.0</v>
      </c>
      <c r="Q298" s="15">
        <v>1.0</v>
      </c>
      <c r="R298" s="9">
        <v>10.0</v>
      </c>
      <c r="S298" s="16">
        <f t="shared" si="6"/>
        <v>6</v>
      </c>
      <c r="T298" s="17">
        <f t="shared" si="7"/>
        <v>0.6</v>
      </c>
      <c r="U298" s="14">
        <f t="shared" si="8"/>
        <v>-4</v>
      </c>
      <c r="V298" s="9" t="str">
        <f t="shared" si="9"/>
        <v>Average</v>
      </c>
      <c r="W298" s="9"/>
    </row>
    <row r="299" ht="15.75" customHeight="1">
      <c r="A299" s="6">
        <v>46294.0</v>
      </c>
      <c r="B299" s="7" t="s">
        <v>43</v>
      </c>
      <c r="C299" s="9" t="s">
        <v>40</v>
      </c>
      <c r="D299" s="9" t="s">
        <v>27</v>
      </c>
      <c r="E299" s="10">
        <v>0.0</v>
      </c>
      <c r="F299" s="9">
        <f t="shared" si="1"/>
        <v>0</v>
      </c>
      <c r="G299" s="11">
        <v>0.0</v>
      </c>
      <c r="H299" s="9">
        <f t="shared" si="11"/>
        <v>0</v>
      </c>
      <c r="I299" s="11">
        <v>1.0</v>
      </c>
      <c r="J299" s="9">
        <f t="shared" si="10"/>
        <v>1</v>
      </c>
      <c r="K299" s="11">
        <v>68.0</v>
      </c>
      <c r="L299" s="11">
        <v>52.0</v>
      </c>
      <c r="M299" s="14">
        <f t="shared" si="4"/>
        <v>1</v>
      </c>
      <c r="N299" s="11">
        <v>3.0</v>
      </c>
      <c r="O299" s="14">
        <f t="shared" si="5"/>
        <v>2</v>
      </c>
      <c r="P299" s="11">
        <v>1.0</v>
      </c>
      <c r="Q299" s="15">
        <v>1.0</v>
      </c>
      <c r="R299" s="9">
        <v>10.0</v>
      </c>
      <c r="S299" s="16">
        <f t="shared" si="6"/>
        <v>6</v>
      </c>
      <c r="T299" s="17">
        <f t="shared" si="7"/>
        <v>0.6</v>
      </c>
      <c r="U299" s="14">
        <f t="shared" si="8"/>
        <v>-4</v>
      </c>
      <c r="V299" s="9" t="str">
        <f t="shared" si="9"/>
        <v>Average</v>
      </c>
      <c r="W299" s="9"/>
    </row>
    <row r="300" ht="15.75" customHeight="1">
      <c r="A300" s="6">
        <v>46294.0</v>
      </c>
      <c r="B300" s="7" t="s">
        <v>45</v>
      </c>
      <c r="C300" s="9" t="s">
        <v>48</v>
      </c>
      <c r="D300" s="9" t="s">
        <v>27</v>
      </c>
      <c r="E300" s="10">
        <v>0.0</v>
      </c>
      <c r="F300" s="9">
        <f t="shared" si="1"/>
        <v>0</v>
      </c>
      <c r="G300" s="11">
        <v>0.0</v>
      </c>
      <c r="H300" s="9">
        <f t="shared" si="11"/>
        <v>0</v>
      </c>
      <c r="I300" s="11">
        <v>1.0</v>
      </c>
      <c r="J300" s="9">
        <f t="shared" si="10"/>
        <v>1</v>
      </c>
      <c r="K300" s="11">
        <v>65.0</v>
      </c>
      <c r="L300" s="11">
        <v>55.0</v>
      </c>
      <c r="M300" s="14">
        <f t="shared" si="4"/>
        <v>1</v>
      </c>
      <c r="N300" s="11">
        <v>3.0</v>
      </c>
      <c r="O300" s="14">
        <f t="shared" si="5"/>
        <v>2</v>
      </c>
      <c r="P300" s="11">
        <v>1.0</v>
      </c>
      <c r="Q300" s="15">
        <v>1.0</v>
      </c>
      <c r="R300" s="9">
        <v>10.0</v>
      </c>
      <c r="S300" s="16">
        <f t="shared" si="6"/>
        <v>6</v>
      </c>
      <c r="T300" s="17">
        <f t="shared" si="7"/>
        <v>0.6</v>
      </c>
      <c r="U300" s="14">
        <f t="shared" si="8"/>
        <v>-4</v>
      </c>
      <c r="V300" s="9" t="str">
        <f t="shared" si="9"/>
        <v>Average</v>
      </c>
      <c r="W300" s="9"/>
    </row>
    <row r="301" ht="15.75" customHeight="1">
      <c r="A301" s="6">
        <v>46294.0</v>
      </c>
      <c r="B301" s="7" t="s">
        <v>49</v>
      </c>
      <c r="C301" s="9" t="s">
        <v>48</v>
      </c>
      <c r="D301" s="9" t="s">
        <v>27</v>
      </c>
      <c r="E301" s="10">
        <v>0.0</v>
      </c>
      <c r="F301" s="9">
        <f t="shared" si="1"/>
        <v>0</v>
      </c>
      <c r="G301" s="11">
        <v>0.0</v>
      </c>
      <c r="H301" s="9">
        <f t="shared" si="11"/>
        <v>0</v>
      </c>
      <c r="I301" s="11">
        <v>1.0</v>
      </c>
      <c r="J301" s="9">
        <f t="shared" si="10"/>
        <v>1</v>
      </c>
      <c r="K301" s="11">
        <v>61.0</v>
      </c>
      <c r="L301" s="11">
        <v>50.0</v>
      </c>
      <c r="M301" s="14">
        <f t="shared" si="4"/>
        <v>1</v>
      </c>
      <c r="N301" s="11">
        <v>3.0</v>
      </c>
      <c r="O301" s="14">
        <f t="shared" si="5"/>
        <v>2</v>
      </c>
      <c r="P301" s="11">
        <v>1.0</v>
      </c>
      <c r="Q301" s="15">
        <v>1.0</v>
      </c>
      <c r="R301" s="9">
        <v>10.0</v>
      </c>
      <c r="S301" s="16">
        <f t="shared" si="6"/>
        <v>6</v>
      </c>
      <c r="T301" s="17">
        <f t="shared" si="7"/>
        <v>0.6</v>
      </c>
      <c r="U301" s="14">
        <f t="shared" si="8"/>
        <v>-4</v>
      </c>
      <c r="V301" s="9" t="str">
        <f t="shared" si="9"/>
        <v>Average</v>
      </c>
      <c r="W301" s="9"/>
    </row>
    <row r="302" ht="15.75" customHeight="1">
      <c r="A302" s="6">
        <v>46294.0</v>
      </c>
      <c r="B302" s="22" t="s">
        <v>50</v>
      </c>
      <c r="C302" s="24" t="s">
        <v>48</v>
      </c>
      <c r="D302" s="24" t="s">
        <v>27</v>
      </c>
      <c r="E302" s="10">
        <v>0.0</v>
      </c>
      <c r="F302" s="9">
        <f t="shared" si="1"/>
        <v>0</v>
      </c>
      <c r="G302" s="11">
        <v>0.0</v>
      </c>
      <c r="H302" s="9">
        <f t="shared" si="11"/>
        <v>0</v>
      </c>
      <c r="I302" s="11">
        <v>1.0</v>
      </c>
      <c r="J302" s="9">
        <f t="shared" si="10"/>
        <v>1</v>
      </c>
      <c r="K302" s="11">
        <v>63.0</v>
      </c>
      <c r="L302" s="11">
        <v>51.0</v>
      </c>
      <c r="M302" s="14">
        <f t="shared" si="4"/>
        <v>1</v>
      </c>
      <c r="N302" s="11">
        <v>3.0</v>
      </c>
      <c r="O302" s="14">
        <f t="shared" si="5"/>
        <v>2</v>
      </c>
      <c r="P302" s="11">
        <v>1.0</v>
      </c>
      <c r="Q302" s="15">
        <v>1.0</v>
      </c>
      <c r="R302" s="9">
        <v>10.0</v>
      </c>
      <c r="S302" s="16">
        <f t="shared" si="6"/>
        <v>6</v>
      </c>
      <c r="T302" s="17">
        <f t="shared" si="7"/>
        <v>0.6</v>
      </c>
      <c r="U302" s="14">
        <f t="shared" si="8"/>
        <v>-4</v>
      </c>
      <c r="V302" s="9" t="str">
        <f t="shared" si="9"/>
        <v>Average</v>
      </c>
      <c r="W302" s="9"/>
    </row>
    <row r="303" ht="15.75" customHeight="1">
      <c r="A303" s="6">
        <v>46295.0</v>
      </c>
      <c r="B303" s="7" t="s">
        <v>28</v>
      </c>
      <c r="C303" s="9" t="s">
        <v>29</v>
      </c>
      <c r="D303" s="9" t="s">
        <v>27</v>
      </c>
      <c r="E303" s="10">
        <v>0.0</v>
      </c>
      <c r="F303" s="9">
        <f t="shared" si="1"/>
        <v>0</v>
      </c>
      <c r="G303" s="11">
        <v>2.0</v>
      </c>
      <c r="H303" s="9">
        <f t="shared" si="11"/>
        <v>1</v>
      </c>
      <c r="I303" s="11">
        <v>1.0</v>
      </c>
      <c r="J303" s="9">
        <f t="shared" si="10"/>
        <v>1</v>
      </c>
      <c r="K303" s="11">
        <v>103.0</v>
      </c>
      <c r="L303" s="11">
        <v>56.0</v>
      </c>
      <c r="M303" s="14">
        <f t="shared" si="4"/>
        <v>1</v>
      </c>
      <c r="N303" s="11">
        <v>3.0</v>
      </c>
      <c r="O303" s="14">
        <f t="shared" si="5"/>
        <v>2</v>
      </c>
      <c r="P303" s="11">
        <v>1.0</v>
      </c>
      <c r="Q303" s="15">
        <v>1.0</v>
      </c>
      <c r="R303" s="9">
        <v>10.0</v>
      </c>
      <c r="S303" s="16">
        <f t="shared" si="6"/>
        <v>7</v>
      </c>
      <c r="T303" s="17">
        <f t="shared" si="7"/>
        <v>0.7</v>
      </c>
      <c r="U303" s="14">
        <f t="shared" si="8"/>
        <v>-3</v>
      </c>
      <c r="V303" s="9" t="str">
        <f t="shared" si="9"/>
        <v>Near Target</v>
      </c>
      <c r="W303" s="9"/>
    </row>
    <row r="304" ht="15.75" customHeight="1">
      <c r="A304" s="6">
        <v>46295.0</v>
      </c>
      <c r="B304" s="7" t="s">
        <v>36</v>
      </c>
      <c r="C304" s="9" t="s">
        <v>29</v>
      </c>
      <c r="D304" s="9" t="s">
        <v>27</v>
      </c>
      <c r="E304" s="10">
        <v>20000.0</v>
      </c>
      <c r="F304" s="9">
        <f t="shared" si="1"/>
        <v>3</v>
      </c>
      <c r="G304" s="11">
        <v>1.0</v>
      </c>
      <c r="H304" s="9">
        <f t="shared" si="11"/>
        <v>1</v>
      </c>
      <c r="I304" s="11">
        <v>1.0</v>
      </c>
      <c r="J304" s="9">
        <f t="shared" si="10"/>
        <v>1</v>
      </c>
      <c r="K304" s="11">
        <v>69.0</v>
      </c>
      <c r="L304" s="11">
        <v>55.0</v>
      </c>
      <c r="M304" s="14">
        <f t="shared" si="4"/>
        <v>1</v>
      </c>
      <c r="N304" s="11">
        <v>3.0</v>
      </c>
      <c r="O304" s="14">
        <f t="shared" si="5"/>
        <v>2</v>
      </c>
      <c r="P304" s="11">
        <v>1.0</v>
      </c>
      <c r="Q304" s="15">
        <v>1.0</v>
      </c>
      <c r="R304" s="9">
        <v>10.0</v>
      </c>
      <c r="S304" s="16">
        <f t="shared" si="6"/>
        <v>10</v>
      </c>
      <c r="T304" s="17">
        <f t="shared" si="7"/>
        <v>1</v>
      </c>
      <c r="U304" s="14">
        <f t="shared" si="8"/>
        <v>0</v>
      </c>
      <c r="V304" s="9" t="str">
        <f t="shared" si="9"/>
        <v>Achieved</v>
      </c>
      <c r="W304" s="9"/>
    </row>
    <row r="305" ht="15.75" customHeight="1">
      <c r="A305" s="6">
        <v>46295.0</v>
      </c>
      <c r="B305" s="7" t="s">
        <v>37</v>
      </c>
      <c r="C305" s="9" t="s">
        <v>29</v>
      </c>
      <c r="D305" s="9" t="s">
        <v>27</v>
      </c>
      <c r="E305" s="10">
        <v>0.0</v>
      </c>
      <c r="F305" s="9">
        <f t="shared" si="1"/>
        <v>0</v>
      </c>
      <c r="G305" s="11">
        <v>0.0</v>
      </c>
      <c r="H305" s="9">
        <f t="shared" si="11"/>
        <v>0</v>
      </c>
      <c r="I305" s="11">
        <v>1.0</v>
      </c>
      <c r="J305" s="9">
        <f t="shared" si="10"/>
        <v>1</v>
      </c>
      <c r="K305" s="11">
        <v>62.0</v>
      </c>
      <c r="L305" s="11">
        <v>51.0</v>
      </c>
      <c r="M305" s="14">
        <f t="shared" si="4"/>
        <v>1</v>
      </c>
      <c r="N305" s="11">
        <v>3.0</v>
      </c>
      <c r="O305" s="14">
        <f t="shared" si="5"/>
        <v>2</v>
      </c>
      <c r="P305" s="11">
        <v>1.0</v>
      </c>
      <c r="Q305" s="15">
        <v>1.0</v>
      </c>
      <c r="R305" s="9">
        <v>10.0</v>
      </c>
      <c r="S305" s="16">
        <f t="shared" si="6"/>
        <v>6</v>
      </c>
      <c r="T305" s="17">
        <f t="shared" si="7"/>
        <v>0.6</v>
      </c>
      <c r="U305" s="14">
        <f t="shared" si="8"/>
        <v>-4</v>
      </c>
      <c r="V305" s="9" t="str">
        <f t="shared" si="9"/>
        <v>Average</v>
      </c>
      <c r="W305" s="9"/>
    </row>
    <row r="306" ht="15.75" customHeight="1">
      <c r="A306" s="6">
        <v>46295.0</v>
      </c>
      <c r="B306" s="7" t="s">
        <v>38</v>
      </c>
      <c r="C306" s="9" t="s">
        <v>29</v>
      </c>
      <c r="D306" s="9" t="s">
        <v>27</v>
      </c>
      <c r="E306" s="10">
        <v>100000.0</v>
      </c>
      <c r="F306" s="9">
        <f t="shared" si="1"/>
        <v>3</v>
      </c>
      <c r="G306" s="11">
        <v>0.0</v>
      </c>
      <c r="H306" s="9">
        <f t="shared" si="11"/>
        <v>0</v>
      </c>
      <c r="I306" s="11">
        <v>1.0</v>
      </c>
      <c r="J306" s="9">
        <f t="shared" si="10"/>
        <v>1</v>
      </c>
      <c r="K306" s="11">
        <v>85.0</v>
      </c>
      <c r="L306" s="11">
        <v>52.0</v>
      </c>
      <c r="M306" s="14">
        <f t="shared" si="4"/>
        <v>1</v>
      </c>
      <c r="N306" s="11">
        <v>3.0</v>
      </c>
      <c r="O306" s="14">
        <f t="shared" si="5"/>
        <v>2</v>
      </c>
      <c r="P306" s="11">
        <v>1.0</v>
      </c>
      <c r="Q306" s="15">
        <v>1.0</v>
      </c>
      <c r="R306" s="9">
        <v>10.0</v>
      </c>
      <c r="S306" s="16">
        <f t="shared" si="6"/>
        <v>9</v>
      </c>
      <c r="T306" s="17">
        <f t="shared" si="7"/>
        <v>0.9</v>
      </c>
      <c r="U306" s="14">
        <f t="shared" si="8"/>
        <v>-1</v>
      </c>
      <c r="V306" s="9" t="str">
        <f t="shared" si="9"/>
        <v>Near Target</v>
      </c>
      <c r="W306" s="9"/>
    </row>
    <row r="307" ht="15.75" customHeight="1">
      <c r="A307" s="6">
        <v>46295.0</v>
      </c>
      <c r="B307" s="7" t="s">
        <v>47</v>
      </c>
      <c r="C307" s="18" t="s">
        <v>40</v>
      </c>
      <c r="D307" s="9" t="s">
        <v>27</v>
      </c>
      <c r="E307" s="10">
        <v>50000.0</v>
      </c>
      <c r="F307" s="9">
        <f t="shared" si="1"/>
        <v>3</v>
      </c>
      <c r="G307" s="11">
        <v>0.0</v>
      </c>
      <c r="H307" s="9">
        <f t="shared" si="11"/>
        <v>0</v>
      </c>
      <c r="I307" s="11">
        <v>1.0</v>
      </c>
      <c r="J307" s="9">
        <f t="shared" si="10"/>
        <v>1</v>
      </c>
      <c r="K307" s="11">
        <v>59.0</v>
      </c>
      <c r="L307" s="11">
        <v>52.0</v>
      </c>
      <c r="M307" s="14">
        <f t="shared" si="4"/>
        <v>1</v>
      </c>
      <c r="N307" s="11">
        <v>3.0</v>
      </c>
      <c r="O307" s="14">
        <f t="shared" si="5"/>
        <v>2</v>
      </c>
      <c r="P307" s="11">
        <v>1.0</v>
      </c>
      <c r="Q307" s="15">
        <v>1.0</v>
      </c>
      <c r="R307" s="9">
        <v>10.0</v>
      </c>
      <c r="S307" s="16">
        <f t="shared" si="6"/>
        <v>9</v>
      </c>
      <c r="T307" s="17">
        <f t="shared" si="7"/>
        <v>0.9</v>
      </c>
      <c r="U307" s="14">
        <f t="shared" si="8"/>
        <v>-1</v>
      </c>
      <c r="V307" s="9" t="str">
        <f t="shared" si="9"/>
        <v>Near Target</v>
      </c>
      <c r="W307" s="9"/>
    </row>
    <row r="308" ht="15.75" customHeight="1">
      <c r="A308" s="6">
        <v>46295.0</v>
      </c>
      <c r="B308" s="20" t="s">
        <v>39</v>
      </c>
      <c r="C308" s="9" t="s">
        <v>40</v>
      </c>
      <c r="D308" s="9" t="s">
        <v>27</v>
      </c>
      <c r="E308" s="10">
        <v>0.0</v>
      </c>
      <c r="F308" s="9">
        <f t="shared" si="1"/>
        <v>0</v>
      </c>
      <c r="G308" s="11">
        <v>0.0</v>
      </c>
      <c r="H308" s="9">
        <f t="shared" si="11"/>
        <v>0</v>
      </c>
      <c r="I308" s="11">
        <v>1.0</v>
      </c>
      <c r="J308" s="9">
        <f t="shared" si="10"/>
        <v>1</v>
      </c>
      <c r="K308" s="11">
        <v>80.0</v>
      </c>
      <c r="L308" s="11">
        <v>62.0</v>
      </c>
      <c r="M308" s="14">
        <f t="shared" si="4"/>
        <v>1</v>
      </c>
      <c r="N308" s="11">
        <v>3.0</v>
      </c>
      <c r="O308" s="14">
        <f t="shared" si="5"/>
        <v>2</v>
      </c>
      <c r="P308" s="11">
        <v>1.0</v>
      </c>
      <c r="Q308" s="15">
        <v>1.0</v>
      </c>
      <c r="R308" s="9">
        <v>10.0</v>
      </c>
      <c r="S308" s="16">
        <f t="shared" si="6"/>
        <v>6</v>
      </c>
      <c r="T308" s="17">
        <f t="shared" si="7"/>
        <v>0.6</v>
      </c>
      <c r="U308" s="14">
        <f t="shared" si="8"/>
        <v>-4</v>
      </c>
      <c r="V308" s="9" t="str">
        <f t="shared" si="9"/>
        <v>Average</v>
      </c>
      <c r="W308" s="9"/>
    </row>
    <row r="309" ht="15.75" customHeight="1">
      <c r="A309" s="6">
        <v>46295.0</v>
      </c>
      <c r="B309" s="7" t="s">
        <v>41</v>
      </c>
      <c r="C309" s="9" t="s">
        <v>40</v>
      </c>
      <c r="D309" s="9" t="s">
        <v>27</v>
      </c>
      <c r="E309" s="10">
        <v>0.0</v>
      </c>
      <c r="F309" s="9">
        <f t="shared" si="1"/>
        <v>0</v>
      </c>
      <c r="G309" s="11">
        <v>0.0</v>
      </c>
      <c r="H309" s="9">
        <f t="shared" si="11"/>
        <v>0</v>
      </c>
      <c r="I309" s="11">
        <v>1.0</v>
      </c>
      <c r="J309" s="9">
        <f t="shared" si="10"/>
        <v>1</v>
      </c>
      <c r="K309" s="11">
        <v>72.0</v>
      </c>
      <c r="L309" s="11">
        <v>56.0</v>
      </c>
      <c r="M309" s="14">
        <f t="shared" si="4"/>
        <v>1</v>
      </c>
      <c r="N309" s="11">
        <v>3.0</v>
      </c>
      <c r="O309" s="14">
        <f t="shared" si="5"/>
        <v>2</v>
      </c>
      <c r="P309" s="11">
        <v>1.0</v>
      </c>
      <c r="Q309" s="15">
        <v>1.0</v>
      </c>
      <c r="R309" s="9">
        <v>10.0</v>
      </c>
      <c r="S309" s="16">
        <f t="shared" si="6"/>
        <v>6</v>
      </c>
      <c r="T309" s="17">
        <f t="shared" si="7"/>
        <v>0.6</v>
      </c>
      <c r="U309" s="14">
        <f t="shared" si="8"/>
        <v>-4</v>
      </c>
      <c r="V309" s="9" t="str">
        <f t="shared" si="9"/>
        <v>Average</v>
      </c>
      <c r="W309" s="9"/>
    </row>
    <row r="310" ht="15.75" customHeight="1">
      <c r="A310" s="6">
        <v>46295.0</v>
      </c>
      <c r="B310" s="7" t="s">
        <v>42</v>
      </c>
      <c r="C310" s="9" t="s">
        <v>40</v>
      </c>
      <c r="D310" s="9" t="s">
        <v>27</v>
      </c>
      <c r="E310" s="10">
        <v>20000.0</v>
      </c>
      <c r="F310" s="9">
        <f t="shared" si="1"/>
        <v>3</v>
      </c>
      <c r="G310" s="11">
        <v>0.0</v>
      </c>
      <c r="H310" s="9">
        <f t="shared" si="11"/>
        <v>0</v>
      </c>
      <c r="I310" s="11">
        <v>0.0</v>
      </c>
      <c r="J310" s="9">
        <f t="shared" si="10"/>
        <v>0</v>
      </c>
      <c r="K310" s="11">
        <v>67.0</v>
      </c>
      <c r="L310" s="11">
        <v>50.0</v>
      </c>
      <c r="M310" s="14">
        <f t="shared" si="4"/>
        <v>1</v>
      </c>
      <c r="N310" s="11">
        <v>3.0</v>
      </c>
      <c r="O310" s="14">
        <f t="shared" si="5"/>
        <v>2</v>
      </c>
      <c r="P310" s="11">
        <v>1.0</v>
      </c>
      <c r="Q310" s="15">
        <v>1.0</v>
      </c>
      <c r="R310" s="9">
        <v>10.0</v>
      </c>
      <c r="S310" s="16">
        <f t="shared" si="6"/>
        <v>8</v>
      </c>
      <c r="T310" s="17">
        <f t="shared" si="7"/>
        <v>0.8</v>
      </c>
      <c r="U310" s="14">
        <f t="shared" si="8"/>
        <v>-2</v>
      </c>
      <c r="V310" s="9" t="str">
        <f t="shared" si="9"/>
        <v>Near Target</v>
      </c>
      <c r="W310" s="9"/>
    </row>
    <row r="311" ht="15.75" customHeight="1">
      <c r="A311" s="6">
        <v>46295.0</v>
      </c>
      <c r="B311" s="7" t="s">
        <v>43</v>
      </c>
      <c r="C311" s="9" t="s">
        <v>40</v>
      </c>
      <c r="D311" s="9" t="s">
        <v>27</v>
      </c>
      <c r="E311" s="10">
        <v>0.0</v>
      </c>
      <c r="F311" s="9">
        <f t="shared" si="1"/>
        <v>0</v>
      </c>
      <c r="G311" s="11">
        <v>0.0</v>
      </c>
      <c r="H311" s="9">
        <f t="shared" si="11"/>
        <v>0</v>
      </c>
      <c r="I311" s="11">
        <v>0.0</v>
      </c>
      <c r="J311" s="9">
        <f t="shared" si="10"/>
        <v>0</v>
      </c>
      <c r="K311" s="11">
        <v>64.0</v>
      </c>
      <c r="L311" s="11">
        <v>51.0</v>
      </c>
      <c r="M311" s="14">
        <f t="shared" si="4"/>
        <v>1</v>
      </c>
      <c r="N311" s="11">
        <v>3.0</v>
      </c>
      <c r="O311" s="14">
        <f t="shared" si="5"/>
        <v>2</v>
      </c>
      <c r="P311" s="11">
        <v>1.0</v>
      </c>
      <c r="Q311" s="15">
        <v>1.0</v>
      </c>
      <c r="R311" s="9">
        <v>10.0</v>
      </c>
      <c r="S311" s="16">
        <f t="shared" si="6"/>
        <v>5</v>
      </c>
      <c r="T311" s="17">
        <f t="shared" si="7"/>
        <v>0.5</v>
      </c>
      <c r="U311" s="14">
        <f t="shared" si="8"/>
        <v>-5</v>
      </c>
      <c r="V311" s="9" t="str">
        <f t="shared" si="9"/>
        <v>Average</v>
      </c>
      <c r="W311" s="9"/>
    </row>
    <row r="312" ht="15.75" customHeight="1">
      <c r="A312" s="6">
        <v>46295.0</v>
      </c>
      <c r="B312" s="7" t="s">
        <v>45</v>
      </c>
      <c r="C312" s="9" t="s">
        <v>48</v>
      </c>
      <c r="D312" s="9" t="s">
        <v>27</v>
      </c>
      <c r="E312" s="10">
        <v>0.0</v>
      </c>
      <c r="F312" s="9">
        <f t="shared" si="1"/>
        <v>0</v>
      </c>
      <c r="G312" s="11">
        <v>0.0</v>
      </c>
      <c r="H312" s="9">
        <f t="shared" si="11"/>
        <v>0</v>
      </c>
      <c r="I312" s="11">
        <v>1.0</v>
      </c>
      <c r="J312" s="9">
        <f t="shared" si="10"/>
        <v>1</v>
      </c>
      <c r="K312" s="11">
        <v>65.0</v>
      </c>
      <c r="L312" s="11">
        <v>58.0</v>
      </c>
      <c r="M312" s="14">
        <f t="shared" si="4"/>
        <v>1</v>
      </c>
      <c r="N312" s="11">
        <v>3.0</v>
      </c>
      <c r="O312" s="14">
        <f t="shared" si="5"/>
        <v>2</v>
      </c>
      <c r="P312" s="11">
        <v>1.0</v>
      </c>
      <c r="Q312" s="15">
        <v>1.0</v>
      </c>
      <c r="R312" s="9">
        <v>10.0</v>
      </c>
      <c r="S312" s="16">
        <f t="shared" si="6"/>
        <v>6</v>
      </c>
      <c r="T312" s="17">
        <f t="shared" si="7"/>
        <v>0.6</v>
      </c>
      <c r="U312" s="14">
        <f t="shared" si="8"/>
        <v>-4</v>
      </c>
      <c r="V312" s="9" t="str">
        <f t="shared" si="9"/>
        <v>Average</v>
      </c>
      <c r="W312" s="9"/>
    </row>
    <row r="313" ht="15.75" customHeight="1">
      <c r="A313" s="6">
        <v>46295.0</v>
      </c>
      <c r="B313" s="7" t="s">
        <v>49</v>
      </c>
      <c r="C313" s="9" t="s">
        <v>48</v>
      </c>
      <c r="D313" s="9" t="s">
        <v>27</v>
      </c>
      <c r="E313" s="10">
        <v>0.0</v>
      </c>
      <c r="F313" s="9">
        <f t="shared" si="1"/>
        <v>0</v>
      </c>
      <c r="G313" s="11">
        <v>0.0</v>
      </c>
      <c r="H313" s="9">
        <f t="shared" si="11"/>
        <v>0</v>
      </c>
      <c r="I313" s="11">
        <v>1.0</v>
      </c>
      <c r="J313" s="9">
        <f t="shared" si="10"/>
        <v>1</v>
      </c>
      <c r="K313" s="11">
        <v>63.0</v>
      </c>
      <c r="L313" s="11">
        <v>55.0</v>
      </c>
      <c r="M313" s="14">
        <f t="shared" si="4"/>
        <v>1</v>
      </c>
      <c r="N313" s="11">
        <v>3.0</v>
      </c>
      <c r="O313" s="14">
        <f t="shared" si="5"/>
        <v>2</v>
      </c>
      <c r="P313" s="11">
        <v>1.0</v>
      </c>
      <c r="Q313" s="15">
        <v>1.0</v>
      </c>
      <c r="R313" s="9">
        <v>10.0</v>
      </c>
      <c r="S313" s="16">
        <f t="shared" si="6"/>
        <v>6</v>
      </c>
      <c r="T313" s="17">
        <f t="shared" si="7"/>
        <v>0.6</v>
      </c>
      <c r="U313" s="14">
        <f t="shared" si="8"/>
        <v>-4</v>
      </c>
      <c r="V313" s="9" t="str">
        <f t="shared" si="9"/>
        <v>Average</v>
      </c>
      <c r="W313" s="9"/>
    </row>
    <row r="314" ht="15.75" customHeight="1">
      <c r="A314" s="6">
        <v>46295.0</v>
      </c>
      <c r="B314" s="22" t="s">
        <v>50</v>
      </c>
      <c r="C314" s="24" t="s">
        <v>48</v>
      </c>
      <c r="D314" s="24" t="s">
        <v>27</v>
      </c>
      <c r="E314" s="10">
        <v>0.0</v>
      </c>
      <c r="F314" s="9">
        <f t="shared" si="1"/>
        <v>0</v>
      </c>
      <c r="G314" s="11">
        <v>0.0</v>
      </c>
      <c r="H314" s="9">
        <f t="shared" si="11"/>
        <v>0</v>
      </c>
      <c r="I314" s="11">
        <v>1.0</v>
      </c>
      <c r="J314" s="9">
        <f t="shared" si="10"/>
        <v>1</v>
      </c>
      <c r="K314" s="11">
        <v>59.0</v>
      </c>
      <c r="L314" s="11">
        <v>50.0</v>
      </c>
      <c r="M314" s="14">
        <f t="shared" si="4"/>
        <v>1</v>
      </c>
      <c r="N314" s="11">
        <v>3.0</v>
      </c>
      <c r="O314" s="14">
        <f t="shared" si="5"/>
        <v>2</v>
      </c>
      <c r="P314" s="11">
        <v>1.0</v>
      </c>
      <c r="Q314" s="15">
        <v>1.0</v>
      </c>
      <c r="R314" s="9">
        <v>10.0</v>
      </c>
      <c r="S314" s="16">
        <f t="shared" si="6"/>
        <v>6</v>
      </c>
      <c r="T314" s="17">
        <f t="shared" si="7"/>
        <v>0.6</v>
      </c>
      <c r="U314" s="14">
        <f t="shared" si="8"/>
        <v>-4</v>
      </c>
      <c r="V314" s="9" t="str">
        <f t="shared" si="9"/>
        <v>Average</v>
      </c>
      <c r="W314" s="9"/>
    </row>
    <row r="315" ht="15.75" customHeight="1">
      <c r="A315" s="61"/>
      <c r="B315" s="62"/>
      <c r="C315" s="63"/>
      <c r="D315" s="63"/>
      <c r="E315" s="64">
        <f t="shared" ref="E315:Q315" si="12">SUBTOTAL(109,E3:E314)</f>
        <v>6657000</v>
      </c>
      <c r="F315" s="64">
        <f t="shared" si="12"/>
        <v>90</v>
      </c>
      <c r="G315" s="64">
        <f t="shared" si="12"/>
        <v>78</v>
      </c>
      <c r="H315" s="64">
        <f t="shared" si="12"/>
        <v>70</v>
      </c>
      <c r="I315" s="64">
        <f t="shared" si="12"/>
        <v>247</v>
      </c>
      <c r="J315" s="64">
        <f t="shared" si="12"/>
        <v>221</v>
      </c>
      <c r="K315" s="64">
        <f t="shared" si="12"/>
        <v>19300</v>
      </c>
      <c r="L315" s="64">
        <f t="shared" si="12"/>
        <v>14633</v>
      </c>
      <c r="M315" s="64">
        <f t="shared" si="12"/>
        <v>280.1</v>
      </c>
      <c r="N315" s="64">
        <f t="shared" si="12"/>
        <v>780</v>
      </c>
      <c r="O315" s="64">
        <f t="shared" si="12"/>
        <v>520</v>
      </c>
      <c r="P315" s="64">
        <f t="shared" si="12"/>
        <v>289</v>
      </c>
      <c r="Q315" s="64">
        <f t="shared" si="12"/>
        <v>281.5</v>
      </c>
      <c r="R315" s="63" t="str">
        <f>SUBTOTAL(101,'Daily KPI Entry'!$R$3:$R$14)</f>
        <v>#VALUE!</v>
      </c>
      <c r="S315" s="65">
        <f t="shared" si="6"/>
        <v>1751.6</v>
      </c>
      <c r="T315" s="66">
        <f>IFERROR(S315/10,0)</f>
        <v>175.16</v>
      </c>
      <c r="U315" s="67">
        <f>S315-10</f>
        <v>1741.6</v>
      </c>
      <c r="V315" s="63" t="str">
        <f t="shared" si="9"/>
        <v>Achieved</v>
      </c>
      <c r="W315" s="63"/>
    </row>
    <row r="316" ht="15.75" customHeight="1">
      <c r="E316" s="42"/>
    </row>
    <row r="317" ht="15.75" customHeight="1">
      <c r="E317" s="42"/>
    </row>
    <row r="318" ht="15.75" customHeight="1">
      <c r="E318" s="42"/>
    </row>
    <row r="319" ht="15.75" customHeight="1">
      <c r="E319" s="42"/>
    </row>
    <row r="320" ht="15.75" customHeight="1">
      <c r="E320" s="42"/>
    </row>
    <row r="321" ht="15.75" customHeight="1">
      <c r="E321" s="42"/>
    </row>
    <row r="322" ht="15.75" customHeight="1">
      <c r="E322" s="42"/>
    </row>
    <row r="323" ht="15.75" customHeight="1">
      <c r="E323" s="42"/>
    </row>
    <row r="324" ht="15.75" customHeight="1">
      <c r="E324" s="42"/>
    </row>
    <row r="325" ht="15.75" customHeight="1">
      <c r="E325" s="42"/>
    </row>
    <row r="326" ht="15.75" customHeight="1">
      <c r="E326" s="42"/>
    </row>
    <row r="327" ht="15.75" customHeight="1">
      <c r="E327" s="42"/>
    </row>
    <row r="328" ht="15.75" customHeight="1">
      <c r="E328" s="42"/>
    </row>
    <row r="329" ht="15.75" customHeight="1">
      <c r="E329" s="42"/>
    </row>
    <row r="330" ht="15.75" customHeight="1">
      <c r="E330" s="42"/>
    </row>
    <row r="331" ht="15.75" customHeight="1">
      <c r="E331" s="42"/>
    </row>
    <row r="332" ht="15.75" customHeight="1">
      <c r="E332" s="42"/>
    </row>
    <row r="333" ht="15.75" customHeight="1">
      <c r="E333" s="42"/>
    </row>
    <row r="334" ht="15.75" customHeight="1">
      <c r="E334" s="42"/>
    </row>
    <row r="335" ht="15.75" customHeight="1">
      <c r="E335" s="42"/>
    </row>
    <row r="336" ht="15.75" customHeight="1">
      <c r="E336" s="42"/>
    </row>
    <row r="337" ht="15.75" customHeight="1">
      <c r="E337" s="42"/>
    </row>
    <row r="338" ht="15.75" customHeight="1">
      <c r="E338" s="42"/>
    </row>
    <row r="339" ht="15.75" customHeight="1">
      <c r="E339" s="42"/>
    </row>
    <row r="340" ht="15.75" customHeight="1">
      <c r="E340" s="42"/>
    </row>
    <row r="341" ht="15.75" customHeight="1">
      <c r="E341" s="42"/>
    </row>
    <row r="342" ht="15.75" customHeight="1">
      <c r="E342" s="42"/>
    </row>
    <row r="343" ht="15.75" customHeight="1">
      <c r="E343" s="42"/>
    </row>
    <row r="344" ht="15.75" customHeight="1">
      <c r="E344" s="42"/>
    </row>
    <row r="345" ht="15.75" customHeight="1">
      <c r="E345" s="42"/>
    </row>
    <row r="346" ht="15.75" customHeight="1">
      <c r="E346" s="42"/>
    </row>
    <row r="347" ht="15.75" customHeight="1">
      <c r="E347" s="42"/>
    </row>
    <row r="348" ht="15.75" customHeight="1">
      <c r="E348" s="42"/>
    </row>
    <row r="349" ht="15.75" customHeight="1">
      <c r="E349" s="42"/>
    </row>
    <row r="350" ht="15.75" customHeight="1">
      <c r="E350" s="42"/>
    </row>
    <row r="351" ht="15.75" customHeight="1">
      <c r="E351" s="42"/>
    </row>
    <row r="352" ht="15.75" customHeight="1">
      <c r="E352" s="42"/>
    </row>
    <row r="353" ht="15.75" customHeight="1">
      <c r="E353" s="42"/>
    </row>
    <row r="354" ht="15.75" customHeight="1">
      <c r="E354" s="42"/>
    </row>
    <row r="355" ht="15.75" customHeight="1">
      <c r="E355" s="42"/>
    </row>
    <row r="356" ht="15.75" customHeight="1">
      <c r="E356" s="42"/>
    </row>
    <row r="357" ht="15.75" customHeight="1">
      <c r="E357" s="42"/>
    </row>
    <row r="358" ht="15.75" customHeight="1">
      <c r="E358" s="42"/>
    </row>
    <row r="359" ht="15.75" customHeight="1">
      <c r="E359" s="42"/>
    </row>
    <row r="360" ht="15.75" customHeight="1">
      <c r="E360" s="42"/>
    </row>
    <row r="361" ht="15.75" customHeight="1">
      <c r="E361" s="42"/>
    </row>
    <row r="362" ht="15.75" customHeight="1">
      <c r="E362" s="42"/>
    </row>
    <row r="363" ht="15.75" customHeight="1">
      <c r="E363" s="42"/>
    </row>
    <row r="364" ht="15.75" customHeight="1">
      <c r="E364" s="42"/>
    </row>
    <row r="365" ht="15.75" customHeight="1">
      <c r="E365" s="42"/>
    </row>
    <row r="366" ht="15.75" customHeight="1">
      <c r="E366" s="42"/>
    </row>
    <row r="367" ht="15.75" customHeight="1">
      <c r="E367" s="42"/>
    </row>
    <row r="368" ht="15.75" customHeight="1">
      <c r="E368" s="42"/>
    </row>
    <row r="369" ht="15.75" customHeight="1">
      <c r="E369" s="42"/>
    </row>
    <row r="370" ht="15.75" customHeight="1">
      <c r="E370" s="42"/>
    </row>
    <row r="371" ht="15.75" customHeight="1">
      <c r="E371" s="42"/>
    </row>
    <row r="372" ht="15.75" customHeight="1">
      <c r="E372" s="42"/>
    </row>
    <row r="373" ht="15.75" customHeight="1">
      <c r="E373" s="42"/>
    </row>
    <row r="374" ht="15.75" customHeight="1">
      <c r="E374" s="42"/>
    </row>
    <row r="375" ht="15.75" customHeight="1">
      <c r="E375" s="42"/>
    </row>
    <row r="376" ht="15.75" customHeight="1">
      <c r="E376" s="42"/>
    </row>
    <row r="377" ht="15.75" customHeight="1">
      <c r="E377" s="42"/>
    </row>
    <row r="378" ht="15.75" customHeight="1">
      <c r="E378" s="42"/>
    </row>
    <row r="379" ht="15.75" customHeight="1">
      <c r="E379" s="42"/>
    </row>
    <row r="380" ht="15.75" customHeight="1">
      <c r="E380" s="42"/>
    </row>
    <row r="381" ht="15.75" customHeight="1">
      <c r="E381" s="42"/>
    </row>
    <row r="382" ht="15.75" customHeight="1">
      <c r="E382" s="42"/>
    </row>
    <row r="383" ht="15.75" customHeight="1">
      <c r="E383" s="42"/>
    </row>
    <row r="384" ht="15.75" customHeight="1">
      <c r="E384" s="42"/>
    </row>
    <row r="385" ht="15.75" customHeight="1">
      <c r="E385" s="42"/>
    </row>
    <row r="386" ht="15.75" customHeight="1">
      <c r="E386" s="42"/>
    </row>
    <row r="387" ht="15.75" customHeight="1">
      <c r="E387" s="42"/>
    </row>
    <row r="388" ht="15.75" customHeight="1">
      <c r="E388" s="42"/>
    </row>
    <row r="389" ht="15.75" customHeight="1">
      <c r="E389" s="42"/>
    </row>
    <row r="390" ht="15.75" customHeight="1">
      <c r="E390" s="42"/>
    </row>
    <row r="391" ht="15.75" customHeight="1">
      <c r="E391" s="42"/>
    </row>
    <row r="392" ht="15.75" customHeight="1">
      <c r="E392" s="42"/>
    </row>
    <row r="393" ht="15.75" customHeight="1">
      <c r="E393" s="42"/>
    </row>
    <row r="394" ht="15.75" customHeight="1">
      <c r="E394" s="42"/>
    </row>
    <row r="395" ht="15.75" customHeight="1">
      <c r="E395" s="42"/>
    </row>
    <row r="396" ht="15.75" customHeight="1">
      <c r="E396" s="42"/>
    </row>
    <row r="397" ht="15.75" customHeight="1">
      <c r="E397" s="42"/>
    </row>
    <row r="398" ht="15.75" customHeight="1">
      <c r="E398" s="42"/>
    </row>
    <row r="399" ht="15.75" customHeight="1">
      <c r="E399" s="42"/>
    </row>
    <row r="400" ht="15.75" customHeight="1">
      <c r="E400" s="42"/>
    </row>
    <row r="401" ht="15.75" customHeight="1">
      <c r="E401" s="42"/>
    </row>
    <row r="402" ht="15.75" customHeight="1">
      <c r="E402" s="42"/>
    </row>
    <row r="403" ht="15.75" customHeight="1">
      <c r="E403" s="42"/>
    </row>
    <row r="404" ht="15.75" customHeight="1">
      <c r="E404" s="42"/>
    </row>
    <row r="405" ht="15.75" customHeight="1">
      <c r="E405" s="42"/>
    </row>
    <row r="406" ht="15.75" customHeight="1">
      <c r="E406" s="42"/>
    </row>
    <row r="407" ht="15.75" customHeight="1">
      <c r="E407" s="42"/>
    </row>
    <row r="408" ht="15.75" customHeight="1">
      <c r="E408" s="42"/>
    </row>
    <row r="409" ht="15.75" customHeight="1">
      <c r="E409" s="42"/>
    </row>
    <row r="410" ht="15.75" customHeight="1">
      <c r="E410" s="42"/>
    </row>
    <row r="411" ht="15.75" customHeight="1">
      <c r="E411" s="42"/>
    </row>
    <row r="412" ht="15.75" customHeight="1">
      <c r="E412" s="42"/>
    </row>
    <row r="413" ht="15.75" customHeight="1">
      <c r="E413" s="42"/>
    </row>
    <row r="414" ht="15.75" customHeight="1">
      <c r="E414" s="42"/>
    </row>
    <row r="415" ht="15.75" customHeight="1">
      <c r="E415" s="42"/>
    </row>
    <row r="416" ht="15.75" customHeight="1">
      <c r="E416" s="42"/>
    </row>
    <row r="417" ht="15.75" customHeight="1">
      <c r="E417" s="42"/>
    </row>
    <row r="418" ht="15.75" customHeight="1">
      <c r="E418" s="42"/>
    </row>
    <row r="419" ht="15.75" customHeight="1">
      <c r="E419" s="42"/>
    </row>
    <row r="420" ht="15.75" customHeight="1">
      <c r="E420" s="42"/>
    </row>
    <row r="421" ht="15.75" customHeight="1">
      <c r="E421" s="42"/>
    </row>
    <row r="422" ht="15.75" customHeight="1">
      <c r="E422" s="42"/>
    </row>
    <row r="423" ht="15.75" customHeight="1">
      <c r="E423" s="42"/>
    </row>
    <row r="424" ht="15.75" customHeight="1">
      <c r="E424" s="42"/>
    </row>
    <row r="425" ht="15.75" customHeight="1">
      <c r="E425" s="42"/>
    </row>
    <row r="426" ht="15.75" customHeight="1">
      <c r="E426" s="42"/>
    </row>
    <row r="427" ht="15.75" customHeight="1">
      <c r="E427" s="42"/>
    </row>
    <row r="428" ht="15.75" customHeight="1">
      <c r="E428" s="42"/>
    </row>
    <row r="429" ht="15.75" customHeight="1">
      <c r="E429" s="42"/>
    </row>
    <row r="430" ht="15.75" customHeight="1">
      <c r="E430" s="42"/>
    </row>
    <row r="431" ht="15.75" customHeight="1">
      <c r="E431" s="42"/>
    </row>
    <row r="432" ht="15.75" customHeight="1">
      <c r="E432" s="42"/>
    </row>
    <row r="433" ht="15.75" customHeight="1">
      <c r="E433" s="42"/>
    </row>
    <row r="434" ht="15.75" customHeight="1">
      <c r="E434" s="42"/>
    </row>
    <row r="435" ht="15.75" customHeight="1">
      <c r="E435" s="42"/>
    </row>
    <row r="436" ht="15.75" customHeight="1">
      <c r="E436" s="42"/>
    </row>
    <row r="437" ht="15.75" customHeight="1">
      <c r="E437" s="42"/>
    </row>
    <row r="438" ht="15.75" customHeight="1">
      <c r="E438" s="42"/>
    </row>
    <row r="439" ht="15.75" customHeight="1">
      <c r="E439" s="42"/>
    </row>
    <row r="440" ht="15.75" customHeight="1">
      <c r="E440" s="42"/>
    </row>
    <row r="441" ht="15.75" customHeight="1">
      <c r="E441" s="42"/>
    </row>
    <row r="442" ht="15.75" customHeight="1">
      <c r="E442" s="42"/>
    </row>
    <row r="443" ht="15.75" customHeight="1">
      <c r="E443" s="42"/>
    </row>
    <row r="444" ht="15.75" customHeight="1">
      <c r="E444" s="42"/>
    </row>
    <row r="445" ht="15.75" customHeight="1">
      <c r="E445" s="42"/>
    </row>
    <row r="446" ht="15.75" customHeight="1">
      <c r="E446" s="42"/>
    </row>
    <row r="447" ht="15.75" customHeight="1">
      <c r="E447" s="42"/>
    </row>
    <row r="448" ht="15.75" customHeight="1">
      <c r="E448" s="42"/>
    </row>
    <row r="449" ht="15.75" customHeight="1">
      <c r="E449" s="42"/>
    </row>
    <row r="450" ht="15.75" customHeight="1">
      <c r="E450" s="42"/>
    </row>
    <row r="451" ht="15.75" customHeight="1">
      <c r="E451" s="42"/>
    </row>
    <row r="452" ht="15.75" customHeight="1">
      <c r="E452" s="42"/>
    </row>
    <row r="453" ht="15.75" customHeight="1">
      <c r="E453" s="42"/>
    </row>
    <row r="454" ht="15.75" customHeight="1">
      <c r="E454" s="42"/>
    </row>
    <row r="455" ht="15.75" customHeight="1">
      <c r="E455" s="42"/>
    </row>
    <row r="456" ht="15.75" customHeight="1">
      <c r="E456" s="42"/>
    </row>
    <row r="457" ht="15.75" customHeight="1">
      <c r="E457" s="42"/>
    </row>
    <row r="458" ht="15.75" customHeight="1">
      <c r="E458" s="42"/>
    </row>
    <row r="459" ht="15.75" customHeight="1">
      <c r="E459" s="42"/>
    </row>
    <row r="460" ht="15.75" customHeight="1">
      <c r="E460" s="42"/>
    </row>
    <row r="461" ht="15.75" customHeight="1">
      <c r="E461" s="42"/>
    </row>
    <row r="462" ht="15.75" customHeight="1">
      <c r="E462" s="42"/>
    </row>
    <row r="463" ht="15.75" customHeight="1">
      <c r="E463" s="42"/>
    </row>
    <row r="464" ht="15.75" customHeight="1">
      <c r="E464" s="42"/>
    </row>
    <row r="465" ht="15.75" customHeight="1">
      <c r="E465" s="42"/>
    </row>
    <row r="466" ht="15.75" customHeight="1">
      <c r="E466" s="42"/>
    </row>
    <row r="467" ht="15.75" customHeight="1">
      <c r="E467" s="42"/>
    </row>
    <row r="468" ht="15.75" customHeight="1">
      <c r="E468" s="42"/>
    </row>
    <row r="469" ht="15.75" customHeight="1">
      <c r="E469" s="42"/>
    </row>
    <row r="470" ht="15.75" customHeight="1">
      <c r="E470" s="42"/>
    </row>
    <row r="471" ht="15.75" customHeight="1">
      <c r="E471" s="42"/>
    </row>
    <row r="472" ht="15.75" customHeight="1">
      <c r="E472" s="42"/>
    </row>
    <row r="473" ht="15.75" customHeight="1">
      <c r="E473" s="42"/>
    </row>
    <row r="474" ht="15.75" customHeight="1">
      <c r="E474" s="42"/>
    </row>
    <row r="475" ht="15.75" customHeight="1">
      <c r="E475" s="42"/>
    </row>
    <row r="476" ht="15.75" customHeight="1">
      <c r="E476" s="42"/>
    </row>
    <row r="477" ht="15.75" customHeight="1">
      <c r="E477" s="42"/>
    </row>
    <row r="478" ht="15.75" customHeight="1">
      <c r="E478" s="42"/>
    </row>
    <row r="479" ht="15.75" customHeight="1">
      <c r="E479" s="42"/>
    </row>
    <row r="480" ht="15.75" customHeight="1">
      <c r="E480" s="42"/>
    </row>
    <row r="481" ht="15.75" customHeight="1">
      <c r="E481" s="42"/>
    </row>
    <row r="482" ht="15.75" customHeight="1">
      <c r="E482" s="42"/>
    </row>
    <row r="483" ht="15.75" customHeight="1">
      <c r="E483" s="42"/>
    </row>
    <row r="484" ht="15.75" customHeight="1">
      <c r="E484" s="42"/>
    </row>
    <row r="485" ht="15.75" customHeight="1">
      <c r="E485" s="42"/>
    </row>
    <row r="486" ht="15.75" customHeight="1">
      <c r="E486" s="42"/>
    </row>
    <row r="487" ht="15.75" customHeight="1">
      <c r="E487" s="42"/>
    </row>
    <row r="488" ht="15.75" customHeight="1">
      <c r="E488" s="42"/>
    </row>
    <row r="489" ht="15.75" customHeight="1">
      <c r="E489" s="42"/>
    </row>
    <row r="490" ht="15.75" customHeight="1">
      <c r="E490" s="42"/>
    </row>
    <row r="491" ht="15.75" customHeight="1">
      <c r="E491" s="42"/>
    </row>
    <row r="492" ht="15.75" customHeight="1">
      <c r="E492" s="42"/>
    </row>
    <row r="493" ht="15.75" customHeight="1">
      <c r="E493" s="42"/>
    </row>
    <row r="494" ht="15.75" customHeight="1">
      <c r="E494" s="42"/>
    </row>
    <row r="495" ht="15.75" customHeight="1">
      <c r="E495" s="42"/>
    </row>
    <row r="496" ht="15.75" customHeight="1">
      <c r="E496" s="42"/>
    </row>
    <row r="497" ht="15.75" customHeight="1">
      <c r="E497" s="42"/>
    </row>
    <row r="498" ht="15.75" customHeight="1">
      <c r="E498" s="42"/>
    </row>
    <row r="499" ht="15.75" customHeight="1">
      <c r="E499" s="42"/>
    </row>
    <row r="500" ht="15.75" customHeight="1">
      <c r="E500" s="42"/>
    </row>
    <row r="501" ht="15.75" customHeight="1">
      <c r="E501" s="42"/>
    </row>
    <row r="502" ht="15.75" customHeight="1">
      <c r="E502" s="42"/>
    </row>
    <row r="503" ht="15.75" customHeight="1">
      <c r="E503" s="42"/>
    </row>
    <row r="504" ht="15.75" customHeight="1">
      <c r="E504" s="42"/>
    </row>
    <row r="505" ht="15.75" customHeight="1">
      <c r="E505" s="42"/>
    </row>
    <row r="506" ht="15.75" customHeight="1">
      <c r="E506" s="42"/>
    </row>
    <row r="507" ht="15.75" customHeight="1">
      <c r="E507" s="42"/>
    </row>
    <row r="508" ht="15.75" customHeight="1">
      <c r="E508" s="42"/>
    </row>
    <row r="509" ht="15.75" customHeight="1">
      <c r="E509" s="42"/>
    </row>
    <row r="510" ht="15.75" customHeight="1">
      <c r="E510" s="42"/>
    </row>
    <row r="511" ht="15.75" customHeight="1">
      <c r="E511" s="42"/>
    </row>
    <row r="512" ht="15.75" customHeight="1">
      <c r="E512" s="42"/>
    </row>
    <row r="513" ht="15.75" customHeight="1">
      <c r="E513" s="42"/>
    </row>
    <row r="514" ht="15.75" customHeight="1">
      <c r="E514" s="42"/>
    </row>
    <row r="515" ht="15.75" customHeight="1">
      <c r="E515" s="42"/>
    </row>
    <row r="516" ht="15.75" customHeight="1">
      <c r="E516" s="42"/>
    </row>
    <row r="517" ht="15.75" customHeight="1">
      <c r="E517" s="42"/>
    </row>
    <row r="518" ht="15.75" customHeight="1">
      <c r="E518" s="42"/>
    </row>
    <row r="519" ht="15.75" customHeight="1">
      <c r="E519" s="42"/>
    </row>
    <row r="520" ht="15.75" customHeight="1">
      <c r="E520" s="42"/>
    </row>
    <row r="521" ht="15.75" customHeight="1">
      <c r="E521" s="42"/>
    </row>
    <row r="522" ht="15.75" customHeight="1">
      <c r="E522" s="42"/>
    </row>
    <row r="523" ht="15.75" customHeight="1">
      <c r="E523" s="42"/>
    </row>
    <row r="524" ht="15.75" customHeight="1">
      <c r="E524" s="42"/>
    </row>
    <row r="525" ht="15.75" customHeight="1">
      <c r="E525" s="42"/>
    </row>
    <row r="526" ht="15.75" customHeight="1">
      <c r="E526" s="42"/>
    </row>
    <row r="527" ht="15.75" customHeight="1">
      <c r="E527" s="42"/>
    </row>
    <row r="528" ht="15.75" customHeight="1">
      <c r="E528" s="42"/>
    </row>
    <row r="529" ht="15.75" customHeight="1">
      <c r="E529" s="42"/>
    </row>
    <row r="530" ht="15.75" customHeight="1">
      <c r="E530" s="42"/>
    </row>
    <row r="531" ht="15.75" customHeight="1">
      <c r="E531" s="42"/>
    </row>
    <row r="532" ht="15.75" customHeight="1">
      <c r="E532" s="42"/>
    </row>
    <row r="533" ht="15.75" customHeight="1">
      <c r="E533" s="42"/>
    </row>
    <row r="534" ht="15.75" customHeight="1">
      <c r="E534" s="42"/>
    </row>
    <row r="535" ht="15.75" customHeight="1">
      <c r="E535" s="42"/>
    </row>
    <row r="536" ht="15.75" customHeight="1">
      <c r="E536" s="42"/>
    </row>
    <row r="537" ht="15.75" customHeight="1">
      <c r="E537" s="42"/>
    </row>
    <row r="538" ht="15.75" customHeight="1">
      <c r="E538" s="42"/>
    </row>
    <row r="539" ht="15.75" customHeight="1">
      <c r="E539" s="42"/>
    </row>
    <row r="540" ht="15.75" customHeight="1">
      <c r="E540" s="42"/>
    </row>
    <row r="541" ht="15.75" customHeight="1">
      <c r="E541" s="42"/>
    </row>
    <row r="542" ht="15.75" customHeight="1">
      <c r="E542" s="42"/>
    </row>
    <row r="543" ht="15.75" customHeight="1">
      <c r="E543" s="42"/>
    </row>
    <row r="544" ht="15.75" customHeight="1">
      <c r="E544" s="42"/>
    </row>
    <row r="545" ht="15.75" customHeight="1">
      <c r="E545" s="42"/>
    </row>
    <row r="546" ht="15.75" customHeight="1">
      <c r="E546" s="42"/>
    </row>
    <row r="547" ht="15.75" customHeight="1">
      <c r="E547" s="42"/>
    </row>
    <row r="548" ht="15.75" customHeight="1">
      <c r="E548" s="42"/>
    </row>
    <row r="549" ht="15.75" customHeight="1">
      <c r="E549" s="42"/>
    </row>
    <row r="550" ht="15.75" customHeight="1">
      <c r="E550" s="42"/>
    </row>
    <row r="551" ht="15.75" customHeight="1">
      <c r="E551" s="42"/>
    </row>
    <row r="552" ht="15.75" customHeight="1">
      <c r="E552" s="42"/>
    </row>
    <row r="553" ht="15.75" customHeight="1">
      <c r="E553" s="42"/>
    </row>
    <row r="554" ht="15.75" customHeight="1">
      <c r="E554" s="42"/>
    </row>
    <row r="555" ht="15.75" customHeight="1">
      <c r="E555" s="42"/>
    </row>
    <row r="556" ht="15.75" customHeight="1">
      <c r="E556" s="42"/>
    </row>
    <row r="557" ht="15.75" customHeight="1">
      <c r="E557" s="42"/>
    </row>
    <row r="558" ht="15.75" customHeight="1">
      <c r="E558" s="42"/>
    </row>
    <row r="559" ht="15.75" customHeight="1">
      <c r="E559" s="42"/>
    </row>
    <row r="560" ht="15.75" customHeight="1">
      <c r="E560" s="42"/>
    </row>
    <row r="561" ht="15.75" customHeight="1">
      <c r="E561" s="42"/>
    </row>
    <row r="562" ht="15.75" customHeight="1">
      <c r="E562" s="42"/>
    </row>
    <row r="563" ht="15.75" customHeight="1">
      <c r="E563" s="42"/>
    </row>
    <row r="564" ht="15.75" customHeight="1">
      <c r="E564" s="42"/>
    </row>
    <row r="565" ht="15.75" customHeight="1">
      <c r="E565" s="42"/>
    </row>
    <row r="566" ht="15.75" customHeight="1">
      <c r="E566" s="42"/>
    </row>
    <row r="567" ht="15.75" customHeight="1">
      <c r="E567" s="42"/>
    </row>
    <row r="568" ht="15.75" customHeight="1">
      <c r="E568" s="42"/>
    </row>
    <row r="569" ht="15.75" customHeight="1">
      <c r="E569" s="42"/>
    </row>
    <row r="570" ht="15.75" customHeight="1">
      <c r="E570" s="42"/>
    </row>
    <row r="571" ht="15.75" customHeight="1">
      <c r="E571" s="42"/>
    </row>
    <row r="572" ht="15.75" customHeight="1">
      <c r="E572" s="42"/>
    </row>
    <row r="573" ht="15.75" customHeight="1">
      <c r="E573" s="42"/>
    </row>
    <row r="574" ht="15.75" customHeight="1">
      <c r="E574" s="42"/>
    </row>
    <row r="575" ht="15.75" customHeight="1">
      <c r="E575" s="42"/>
    </row>
    <row r="576" ht="15.75" customHeight="1">
      <c r="E576" s="42"/>
    </row>
    <row r="577" ht="15.75" customHeight="1">
      <c r="E577" s="42"/>
    </row>
    <row r="578" ht="15.75" customHeight="1">
      <c r="E578" s="42"/>
    </row>
    <row r="579" ht="15.75" customHeight="1">
      <c r="E579" s="42"/>
    </row>
    <row r="580" ht="15.75" customHeight="1">
      <c r="E580" s="42"/>
    </row>
    <row r="581" ht="15.75" customHeight="1">
      <c r="E581" s="42"/>
    </row>
    <row r="582" ht="15.75" customHeight="1">
      <c r="E582" s="42"/>
    </row>
    <row r="583" ht="15.75" customHeight="1">
      <c r="E583" s="42"/>
    </row>
    <row r="584" ht="15.75" customHeight="1">
      <c r="E584" s="42"/>
    </row>
    <row r="585" ht="15.75" customHeight="1">
      <c r="E585" s="42"/>
    </row>
    <row r="586" ht="15.75" customHeight="1">
      <c r="E586" s="42"/>
    </row>
    <row r="587" ht="15.75" customHeight="1">
      <c r="E587" s="42"/>
    </row>
    <row r="588" ht="15.75" customHeight="1">
      <c r="E588" s="42"/>
    </row>
    <row r="589" ht="15.75" customHeight="1">
      <c r="E589" s="42"/>
    </row>
    <row r="590" ht="15.75" customHeight="1">
      <c r="E590" s="42"/>
    </row>
    <row r="591" ht="15.75" customHeight="1">
      <c r="E591" s="42"/>
    </row>
    <row r="592" ht="15.75" customHeight="1">
      <c r="E592" s="42"/>
    </row>
    <row r="593" ht="15.75" customHeight="1">
      <c r="E593" s="42"/>
    </row>
    <row r="594" ht="15.75" customHeight="1">
      <c r="E594" s="42"/>
    </row>
    <row r="595" ht="15.75" customHeight="1">
      <c r="E595" s="42"/>
    </row>
    <row r="596" ht="15.75" customHeight="1">
      <c r="E596" s="42"/>
    </row>
    <row r="597" ht="15.75" customHeight="1">
      <c r="E597" s="42"/>
    </row>
    <row r="598" ht="15.75" customHeight="1">
      <c r="E598" s="42"/>
    </row>
    <row r="599" ht="15.75" customHeight="1">
      <c r="E599" s="42"/>
    </row>
    <row r="600" ht="15.75" customHeight="1">
      <c r="E600" s="42"/>
    </row>
    <row r="601" ht="15.75" customHeight="1">
      <c r="E601" s="42"/>
    </row>
    <row r="602" ht="15.75" customHeight="1">
      <c r="E602" s="42"/>
    </row>
    <row r="603" ht="15.75" customHeight="1">
      <c r="E603" s="42"/>
    </row>
    <row r="604" ht="15.75" customHeight="1">
      <c r="E604" s="42"/>
    </row>
    <row r="605" ht="15.75" customHeight="1">
      <c r="E605" s="42"/>
    </row>
    <row r="606" ht="15.75" customHeight="1">
      <c r="E606" s="42"/>
    </row>
    <row r="607" ht="15.75" customHeight="1">
      <c r="E607" s="42"/>
    </row>
    <row r="608" ht="15.75" customHeight="1">
      <c r="E608" s="42"/>
    </row>
    <row r="609" ht="15.75" customHeight="1">
      <c r="E609" s="42"/>
    </row>
    <row r="610" ht="15.75" customHeight="1">
      <c r="E610" s="42"/>
    </row>
    <row r="611" ht="15.75" customHeight="1">
      <c r="E611" s="42"/>
    </row>
    <row r="612" ht="15.75" customHeight="1">
      <c r="E612" s="42"/>
    </row>
    <row r="613" ht="15.75" customHeight="1">
      <c r="E613" s="42"/>
    </row>
    <row r="614" ht="15.75" customHeight="1">
      <c r="E614" s="42"/>
    </row>
    <row r="615" ht="15.75" customHeight="1">
      <c r="E615" s="42"/>
    </row>
    <row r="616" ht="15.75" customHeight="1">
      <c r="E616" s="42"/>
    </row>
    <row r="617" ht="15.75" customHeight="1">
      <c r="E617" s="42"/>
    </row>
    <row r="618" ht="15.75" customHeight="1">
      <c r="E618" s="42"/>
    </row>
    <row r="619" ht="15.75" customHeight="1">
      <c r="E619" s="42"/>
    </row>
    <row r="620" ht="15.75" customHeight="1">
      <c r="E620" s="42"/>
    </row>
    <row r="621" ht="15.75" customHeight="1">
      <c r="E621" s="42"/>
    </row>
    <row r="622" ht="15.75" customHeight="1">
      <c r="E622" s="42"/>
    </row>
    <row r="623" ht="15.75" customHeight="1">
      <c r="E623" s="42"/>
    </row>
    <row r="624" ht="15.75" customHeight="1">
      <c r="E624" s="42"/>
    </row>
    <row r="625" ht="15.75" customHeight="1">
      <c r="E625" s="42"/>
    </row>
    <row r="626" ht="15.75" customHeight="1">
      <c r="E626" s="42"/>
    </row>
    <row r="627" ht="15.75" customHeight="1">
      <c r="E627" s="42"/>
    </row>
    <row r="628" ht="15.75" customHeight="1">
      <c r="E628" s="42"/>
    </row>
    <row r="629" ht="15.75" customHeight="1">
      <c r="E629" s="42"/>
    </row>
    <row r="630" ht="15.75" customHeight="1">
      <c r="E630" s="42"/>
    </row>
    <row r="631" ht="15.75" customHeight="1">
      <c r="E631" s="42"/>
    </row>
    <row r="632" ht="15.75" customHeight="1">
      <c r="E632" s="42"/>
    </row>
    <row r="633" ht="15.75" customHeight="1">
      <c r="E633" s="42"/>
    </row>
    <row r="634" ht="15.75" customHeight="1">
      <c r="E634" s="42"/>
    </row>
    <row r="635" ht="15.75" customHeight="1">
      <c r="E635" s="42"/>
    </row>
    <row r="636" ht="15.75" customHeight="1">
      <c r="E636" s="42"/>
    </row>
    <row r="637" ht="15.75" customHeight="1">
      <c r="E637" s="42"/>
    </row>
    <row r="638" ht="15.75" customHeight="1">
      <c r="E638" s="42"/>
    </row>
    <row r="639" ht="15.75" customHeight="1">
      <c r="E639" s="42"/>
    </row>
    <row r="640" ht="15.75" customHeight="1">
      <c r="E640" s="42"/>
    </row>
    <row r="641" ht="15.75" customHeight="1">
      <c r="E641" s="42"/>
    </row>
    <row r="642" ht="15.75" customHeight="1">
      <c r="E642" s="42"/>
    </row>
    <row r="643" ht="15.75" customHeight="1">
      <c r="E643" s="42"/>
    </row>
    <row r="644" ht="15.75" customHeight="1">
      <c r="E644" s="42"/>
    </row>
    <row r="645" ht="15.75" customHeight="1">
      <c r="E645" s="42"/>
    </row>
    <row r="646" ht="15.75" customHeight="1">
      <c r="E646" s="42"/>
    </row>
    <row r="647" ht="15.75" customHeight="1">
      <c r="E647" s="42"/>
    </row>
    <row r="648" ht="15.75" customHeight="1">
      <c r="E648" s="42"/>
    </row>
    <row r="649" ht="15.75" customHeight="1">
      <c r="E649" s="42"/>
    </row>
    <row r="650" ht="15.75" customHeight="1">
      <c r="E650" s="42"/>
    </row>
    <row r="651" ht="15.75" customHeight="1">
      <c r="E651" s="42"/>
    </row>
    <row r="652" ht="15.75" customHeight="1">
      <c r="E652" s="42"/>
    </row>
    <row r="653" ht="15.75" customHeight="1">
      <c r="E653" s="42"/>
    </row>
    <row r="654" ht="15.75" customHeight="1">
      <c r="E654" s="42"/>
    </row>
    <row r="655" ht="15.75" customHeight="1">
      <c r="E655" s="42"/>
    </row>
    <row r="656" ht="15.75" customHeight="1">
      <c r="E656" s="42"/>
    </row>
    <row r="657" ht="15.75" customHeight="1">
      <c r="E657" s="42"/>
    </row>
    <row r="658" ht="15.75" customHeight="1">
      <c r="E658" s="42"/>
    </row>
    <row r="659" ht="15.75" customHeight="1">
      <c r="E659" s="42"/>
    </row>
    <row r="660" ht="15.75" customHeight="1">
      <c r="E660" s="42"/>
    </row>
    <row r="661" ht="15.75" customHeight="1">
      <c r="E661" s="42"/>
    </row>
    <row r="662" ht="15.75" customHeight="1">
      <c r="E662" s="42"/>
    </row>
    <row r="663" ht="15.75" customHeight="1">
      <c r="E663" s="42"/>
    </row>
    <row r="664" ht="15.75" customHeight="1">
      <c r="E664" s="42"/>
    </row>
    <row r="665" ht="15.75" customHeight="1">
      <c r="E665" s="42"/>
    </row>
    <row r="666" ht="15.75" customHeight="1">
      <c r="E666" s="42"/>
    </row>
    <row r="667" ht="15.75" customHeight="1">
      <c r="E667" s="42"/>
    </row>
    <row r="668" ht="15.75" customHeight="1">
      <c r="E668" s="42"/>
    </row>
    <row r="669" ht="15.75" customHeight="1">
      <c r="E669" s="42"/>
    </row>
    <row r="670" ht="15.75" customHeight="1">
      <c r="E670" s="42"/>
    </row>
    <row r="671" ht="15.75" customHeight="1">
      <c r="E671" s="42"/>
    </row>
    <row r="672" ht="15.75" customHeight="1">
      <c r="E672" s="42"/>
    </row>
    <row r="673" ht="15.75" customHeight="1">
      <c r="E673" s="42"/>
    </row>
    <row r="674" ht="15.75" customHeight="1">
      <c r="E674" s="42"/>
    </row>
    <row r="675" ht="15.75" customHeight="1">
      <c r="E675" s="42"/>
    </row>
    <row r="676" ht="15.75" customHeight="1">
      <c r="E676" s="42"/>
    </row>
    <row r="677" ht="15.75" customHeight="1">
      <c r="E677" s="42"/>
    </row>
    <row r="678" ht="15.75" customHeight="1">
      <c r="E678" s="42"/>
    </row>
    <row r="679" ht="15.75" customHeight="1">
      <c r="E679" s="42"/>
    </row>
    <row r="680" ht="15.75" customHeight="1">
      <c r="E680" s="42"/>
    </row>
    <row r="681" ht="15.75" customHeight="1">
      <c r="E681" s="42"/>
    </row>
    <row r="682" ht="15.75" customHeight="1">
      <c r="E682" s="42"/>
    </row>
    <row r="683" ht="15.75" customHeight="1">
      <c r="E683" s="42"/>
    </row>
    <row r="684" ht="15.75" customHeight="1">
      <c r="E684" s="42"/>
    </row>
    <row r="685" ht="15.75" customHeight="1">
      <c r="E685" s="42"/>
    </row>
    <row r="686" ht="15.75" customHeight="1">
      <c r="E686" s="42"/>
    </row>
    <row r="687" ht="15.75" customHeight="1">
      <c r="E687" s="42"/>
    </row>
    <row r="688" ht="15.75" customHeight="1">
      <c r="E688" s="42"/>
    </row>
    <row r="689" ht="15.75" customHeight="1">
      <c r="E689" s="42"/>
    </row>
    <row r="690" ht="15.75" customHeight="1">
      <c r="E690" s="42"/>
    </row>
    <row r="691" ht="15.75" customHeight="1">
      <c r="E691" s="42"/>
    </row>
    <row r="692" ht="15.75" customHeight="1">
      <c r="E692" s="42"/>
    </row>
    <row r="693" ht="15.75" customHeight="1">
      <c r="E693" s="42"/>
    </row>
    <row r="694" ht="15.75" customHeight="1">
      <c r="E694" s="42"/>
    </row>
    <row r="695" ht="15.75" customHeight="1">
      <c r="E695" s="42"/>
    </row>
    <row r="696" ht="15.75" customHeight="1">
      <c r="E696" s="42"/>
    </row>
    <row r="697" ht="15.75" customHeight="1">
      <c r="E697" s="42"/>
    </row>
    <row r="698" ht="15.75" customHeight="1">
      <c r="E698" s="42"/>
    </row>
    <row r="699" ht="15.75" customHeight="1">
      <c r="E699" s="42"/>
    </row>
    <row r="700" ht="15.75" customHeight="1">
      <c r="E700" s="42"/>
    </row>
    <row r="701" ht="15.75" customHeight="1">
      <c r="E701" s="42"/>
    </row>
    <row r="702" ht="15.75" customHeight="1">
      <c r="E702" s="42"/>
    </row>
    <row r="703" ht="15.75" customHeight="1">
      <c r="E703" s="42"/>
    </row>
    <row r="704" ht="15.75" customHeight="1">
      <c r="E704" s="42"/>
    </row>
    <row r="705" ht="15.75" customHeight="1">
      <c r="E705" s="42"/>
    </row>
    <row r="706" ht="15.75" customHeight="1">
      <c r="E706" s="42"/>
    </row>
    <row r="707" ht="15.75" customHeight="1">
      <c r="E707" s="42"/>
    </row>
    <row r="708" ht="15.75" customHeight="1">
      <c r="E708" s="42"/>
    </row>
    <row r="709" ht="15.75" customHeight="1">
      <c r="E709" s="42"/>
    </row>
    <row r="710" ht="15.75" customHeight="1">
      <c r="E710" s="42"/>
    </row>
    <row r="711" ht="15.75" customHeight="1">
      <c r="E711" s="42"/>
    </row>
    <row r="712" ht="15.75" customHeight="1">
      <c r="E712" s="42"/>
    </row>
    <row r="713" ht="15.75" customHeight="1">
      <c r="E713" s="42"/>
    </row>
    <row r="714" ht="15.75" customHeight="1">
      <c r="E714" s="42"/>
    </row>
    <row r="715" ht="15.75" customHeight="1">
      <c r="E715" s="42"/>
    </row>
    <row r="716" ht="15.75" customHeight="1">
      <c r="E716" s="42"/>
    </row>
    <row r="717" ht="15.75" customHeight="1">
      <c r="E717" s="42"/>
    </row>
    <row r="718" ht="15.75" customHeight="1">
      <c r="E718" s="42"/>
    </row>
    <row r="719" ht="15.75" customHeight="1">
      <c r="E719" s="42"/>
    </row>
    <row r="720" ht="15.75" customHeight="1">
      <c r="E720" s="42"/>
    </row>
    <row r="721" ht="15.75" customHeight="1">
      <c r="E721" s="42"/>
    </row>
    <row r="722" ht="15.75" customHeight="1">
      <c r="E722" s="42"/>
    </row>
    <row r="723" ht="15.75" customHeight="1">
      <c r="E723" s="42"/>
    </row>
    <row r="724" ht="15.75" customHeight="1">
      <c r="E724" s="42"/>
    </row>
    <row r="725" ht="15.75" customHeight="1">
      <c r="E725" s="42"/>
    </row>
    <row r="726" ht="15.75" customHeight="1">
      <c r="E726" s="42"/>
    </row>
    <row r="727" ht="15.75" customHeight="1">
      <c r="E727" s="42"/>
    </row>
    <row r="728" ht="15.75" customHeight="1">
      <c r="E728" s="42"/>
    </row>
    <row r="729" ht="15.75" customHeight="1">
      <c r="E729" s="42"/>
    </row>
    <row r="730" ht="15.75" customHeight="1">
      <c r="E730" s="42"/>
    </row>
    <row r="731" ht="15.75" customHeight="1">
      <c r="E731" s="42"/>
    </row>
    <row r="732" ht="15.75" customHeight="1">
      <c r="E732" s="42"/>
    </row>
    <row r="733" ht="15.75" customHeight="1">
      <c r="E733" s="42"/>
    </row>
    <row r="734" ht="15.75" customHeight="1">
      <c r="E734" s="42"/>
    </row>
    <row r="735" ht="15.75" customHeight="1">
      <c r="E735" s="42"/>
    </row>
    <row r="736" ht="15.75" customHeight="1">
      <c r="E736" s="42"/>
    </row>
    <row r="737" ht="15.75" customHeight="1">
      <c r="E737" s="42"/>
    </row>
    <row r="738" ht="15.75" customHeight="1">
      <c r="E738" s="42"/>
    </row>
    <row r="739" ht="15.75" customHeight="1">
      <c r="E739" s="42"/>
    </row>
    <row r="740" ht="15.75" customHeight="1">
      <c r="E740" s="42"/>
    </row>
    <row r="741" ht="15.75" customHeight="1">
      <c r="E741" s="42"/>
    </row>
    <row r="742" ht="15.75" customHeight="1">
      <c r="E742" s="42"/>
    </row>
    <row r="743" ht="15.75" customHeight="1">
      <c r="E743" s="42"/>
    </row>
    <row r="744" ht="15.75" customHeight="1">
      <c r="E744" s="42"/>
    </row>
    <row r="745" ht="15.75" customHeight="1">
      <c r="E745" s="42"/>
    </row>
    <row r="746" ht="15.75" customHeight="1">
      <c r="E746" s="42"/>
    </row>
    <row r="747" ht="15.75" customHeight="1">
      <c r="E747" s="42"/>
    </row>
    <row r="748" ht="15.75" customHeight="1">
      <c r="E748" s="42"/>
    </row>
    <row r="749" ht="15.75" customHeight="1">
      <c r="E749" s="42"/>
    </row>
    <row r="750" ht="15.75" customHeight="1">
      <c r="E750" s="42"/>
    </row>
    <row r="751" ht="15.75" customHeight="1">
      <c r="E751" s="42"/>
    </row>
    <row r="752" ht="15.75" customHeight="1">
      <c r="E752" s="42"/>
    </row>
    <row r="753" ht="15.75" customHeight="1">
      <c r="E753" s="42"/>
    </row>
    <row r="754" ht="15.75" customHeight="1">
      <c r="E754" s="42"/>
    </row>
    <row r="755" ht="15.75" customHeight="1">
      <c r="E755" s="42"/>
    </row>
    <row r="756" ht="15.75" customHeight="1">
      <c r="E756" s="42"/>
    </row>
    <row r="757" ht="15.75" customHeight="1">
      <c r="E757" s="42"/>
    </row>
    <row r="758" ht="15.75" customHeight="1">
      <c r="E758" s="42"/>
    </row>
    <row r="759" ht="15.75" customHeight="1">
      <c r="E759" s="42"/>
    </row>
    <row r="760" ht="15.75" customHeight="1">
      <c r="E760" s="42"/>
    </row>
    <row r="761" ht="15.75" customHeight="1">
      <c r="E761" s="42"/>
    </row>
    <row r="762" ht="15.75" customHeight="1">
      <c r="E762" s="42"/>
    </row>
    <row r="763" ht="15.75" customHeight="1">
      <c r="E763" s="42"/>
    </row>
    <row r="764" ht="15.75" customHeight="1">
      <c r="E764" s="42"/>
    </row>
    <row r="765" ht="15.75" customHeight="1">
      <c r="E765" s="42"/>
    </row>
    <row r="766" ht="15.75" customHeight="1">
      <c r="E766" s="42"/>
    </row>
    <row r="767" ht="15.75" customHeight="1">
      <c r="E767" s="42"/>
    </row>
    <row r="768" ht="15.75" customHeight="1">
      <c r="E768" s="42"/>
    </row>
    <row r="769" ht="15.75" customHeight="1">
      <c r="E769" s="42"/>
    </row>
    <row r="770" ht="15.75" customHeight="1">
      <c r="E770" s="42"/>
    </row>
    <row r="771" ht="15.75" customHeight="1">
      <c r="E771" s="42"/>
    </row>
    <row r="772" ht="15.75" customHeight="1">
      <c r="E772" s="42"/>
    </row>
    <row r="773" ht="15.75" customHeight="1">
      <c r="E773" s="42"/>
    </row>
    <row r="774" ht="15.75" customHeight="1">
      <c r="E774" s="42"/>
    </row>
    <row r="775" ht="15.75" customHeight="1">
      <c r="E775" s="42"/>
    </row>
    <row r="776" ht="15.75" customHeight="1">
      <c r="E776" s="42"/>
    </row>
    <row r="777" ht="15.75" customHeight="1">
      <c r="E777" s="42"/>
    </row>
    <row r="778" ht="15.75" customHeight="1">
      <c r="E778" s="42"/>
    </row>
    <row r="779" ht="15.75" customHeight="1">
      <c r="E779" s="42"/>
    </row>
    <row r="780" ht="15.75" customHeight="1">
      <c r="E780" s="42"/>
    </row>
    <row r="781" ht="15.75" customHeight="1">
      <c r="E781" s="42"/>
    </row>
    <row r="782" ht="15.75" customHeight="1">
      <c r="E782" s="42"/>
    </row>
    <row r="783" ht="15.75" customHeight="1">
      <c r="E783" s="42"/>
    </row>
    <row r="784" ht="15.75" customHeight="1">
      <c r="E784" s="42"/>
    </row>
    <row r="785" ht="15.75" customHeight="1">
      <c r="E785" s="42"/>
    </row>
    <row r="786" ht="15.75" customHeight="1">
      <c r="E786" s="42"/>
    </row>
    <row r="787" ht="15.75" customHeight="1">
      <c r="E787" s="42"/>
    </row>
    <row r="788" ht="15.75" customHeight="1">
      <c r="E788" s="42"/>
    </row>
    <row r="789" ht="15.75" customHeight="1">
      <c r="E789" s="42"/>
    </row>
    <row r="790" ht="15.75" customHeight="1">
      <c r="E790" s="42"/>
    </row>
    <row r="791" ht="15.75" customHeight="1">
      <c r="E791" s="42"/>
    </row>
    <row r="792" ht="15.75" customHeight="1">
      <c r="E792" s="42"/>
    </row>
    <row r="793" ht="15.75" customHeight="1">
      <c r="E793" s="42"/>
    </row>
    <row r="794" ht="15.75" customHeight="1">
      <c r="E794" s="42"/>
    </row>
    <row r="795" ht="15.75" customHeight="1">
      <c r="E795" s="42"/>
    </row>
    <row r="796" ht="15.75" customHeight="1">
      <c r="E796" s="42"/>
    </row>
    <row r="797" ht="15.75" customHeight="1">
      <c r="E797" s="42"/>
    </row>
    <row r="798" ht="15.75" customHeight="1">
      <c r="E798" s="42"/>
    </row>
    <row r="799" ht="15.75" customHeight="1">
      <c r="E799" s="42"/>
    </row>
    <row r="800" ht="15.75" customHeight="1">
      <c r="E800" s="42"/>
    </row>
    <row r="801" ht="15.75" customHeight="1">
      <c r="E801" s="42"/>
    </row>
    <row r="802" ht="15.75" customHeight="1">
      <c r="E802" s="42"/>
    </row>
    <row r="803" ht="15.75" customHeight="1">
      <c r="E803" s="42"/>
    </row>
    <row r="804" ht="15.75" customHeight="1">
      <c r="E804" s="42"/>
    </row>
    <row r="805" ht="15.75" customHeight="1">
      <c r="E805" s="42"/>
    </row>
    <row r="806" ht="15.75" customHeight="1">
      <c r="E806" s="42"/>
    </row>
    <row r="807" ht="15.75" customHeight="1">
      <c r="E807" s="42"/>
    </row>
    <row r="808" ht="15.75" customHeight="1">
      <c r="E808" s="42"/>
    </row>
    <row r="809" ht="15.75" customHeight="1">
      <c r="E809" s="42"/>
    </row>
    <row r="810" ht="15.75" customHeight="1">
      <c r="E810" s="42"/>
    </row>
    <row r="811" ht="15.75" customHeight="1">
      <c r="E811" s="42"/>
    </row>
    <row r="812" ht="15.75" customHeight="1">
      <c r="E812" s="42"/>
    </row>
    <row r="813" ht="15.75" customHeight="1">
      <c r="E813" s="42"/>
    </row>
    <row r="814" ht="15.75" customHeight="1">
      <c r="E814" s="42"/>
    </row>
    <row r="815" ht="15.75" customHeight="1">
      <c r="E815" s="42"/>
    </row>
    <row r="816" ht="15.75" customHeight="1">
      <c r="E816" s="42"/>
    </row>
    <row r="817" ht="15.75" customHeight="1">
      <c r="E817" s="42"/>
    </row>
    <row r="818" ht="15.75" customHeight="1">
      <c r="E818" s="42"/>
    </row>
    <row r="819" ht="15.75" customHeight="1">
      <c r="E819" s="42"/>
    </row>
    <row r="820" ht="15.75" customHeight="1">
      <c r="E820" s="42"/>
    </row>
    <row r="821" ht="15.75" customHeight="1">
      <c r="E821" s="42"/>
    </row>
    <row r="822" ht="15.75" customHeight="1">
      <c r="E822" s="42"/>
    </row>
    <row r="823" ht="15.75" customHeight="1">
      <c r="E823" s="42"/>
    </row>
    <row r="824" ht="15.75" customHeight="1">
      <c r="E824" s="42"/>
    </row>
    <row r="825" ht="15.75" customHeight="1">
      <c r="E825" s="42"/>
    </row>
    <row r="826" ht="15.75" customHeight="1">
      <c r="E826" s="42"/>
    </row>
    <row r="827" ht="15.75" customHeight="1">
      <c r="E827" s="42"/>
    </row>
    <row r="828" ht="15.75" customHeight="1">
      <c r="E828" s="42"/>
    </row>
    <row r="829" ht="15.75" customHeight="1">
      <c r="E829" s="42"/>
    </row>
    <row r="830" ht="15.75" customHeight="1">
      <c r="E830" s="42"/>
    </row>
    <row r="831" ht="15.75" customHeight="1">
      <c r="E831" s="42"/>
    </row>
    <row r="832" ht="15.75" customHeight="1">
      <c r="E832" s="42"/>
    </row>
    <row r="833" ht="15.75" customHeight="1">
      <c r="E833" s="42"/>
    </row>
    <row r="834" ht="15.75" customHeight="1">
      <c r="E834" s="42"/>
    </row>
    <row r="835" ht="15.75" customHeight="1">
      <c r="E835" s="42"/>
    </row>
    <row r="836" ht="15.75" customHeight="1">
      <c r="E836" s="42"/>
    </row>
    <row r="837" ht="15.75" customHeight="1">
      <c r="E837" s="42"/>
    </row>
    <row r="838" ht="15.75" customHeight="1">
      <c r="E838" s="42"/>
    </row>
    <row r="839" ht="15.75" customHeight="1">
      <c r="E839" s="42"/>
    </row>
    <row r="840" ht="15.75" customHeight="1">
      <c r="E840" s="42"/>
    </row>
    <row r="841" ht="15.75" customHeight="1">
      <c r="E841" s="42"/>
    </row>
    <row r="842" ht="15.75" customHeight="1">
      <c r="E842" s="42"/>
    </row>
    <row r="843" ht="15.75" customHeight="1">
      <c r="E843" s="42"/>
    </row>
    <row r="844" ht="15.75" customHeight="1">
      <c r="E844" s="42"/>
    </row>
    <row r="845" ht="15.75" customHeight="1">
      <c r="E845" s="42"/>
    </row>
    <row r="846" ht="15.75" customHeight="1">
      <c r="E846" s="42"/>
    </row>
    <row r="847" ht="15.75" customHeight="1">
      <c r="E847" s="42"/>
    </row>
    <row r="848" ht="15.75" customHeight="1">
      <c r="E848" s="42"/>
    </row>
    <row r="849" ht="15.75" customHeight="1">
      <c r="E849" s="42"/>
    </row>
    <row r="850" ht="15.75" customHeight="1">
      <c r="E850" s="42"/>
    </row>
    <row r="851" ht="15.75" customHeight="1">
      <c r="E851" s="42"/>
    </row>
    <row r="852" ht="15.75" customHeight="1">
      <c r="E852" s="42"/>
    </row>
    <row r="853" ht="15.75" customHeight="1">
      <c r="E853" s="42"/>
    </row>
    <row r="854" ht="15.75" customHeight="1">
      <c r="E854" s="42"/>
    </row>
    <row r="855" ht="15.75" customHeight="1">
      <c r="E855" s="42"/>
    </row>
    <row r="856" ht="15.75" customHeight="1">
      <c r="E856" s="42"/>
    </row>
    <row r="857" ht="15.75" customHeight="1">
      <c r="E857" s="42"/>
    </row>
    <row r="858" ht="15.75" customHeight="1">
      <c r="E858" s="42"/>
    </row>
    <row r="859" ht="15.75" customHeight="1">
      <c r="E859" s="42"/>
    </row>
    <row r="860" ht="15.75" customHeight="1">
      <c r="E860" s="42"/>
    </row>
    <row r="861" ht="15.75" customHeight="1">
      <c r="E861" s="42"/>
    </row>
    <row r="862" ht="15.75" customHeight="1">
      <c r="E862" s="42"/>
    </row>
    <row r="863" ht="15.75" customHeight="1">
      <c r="E863" s="42"/>
    </row>
    <row r="864" ht="15.75" customHeight="1">
      <c r="E864" s="42"/>
    </row>
    <row r="865" ht="15.75" customHeight="1">
      <c r="E865" s="42"/>
    </row>
    <row r="866" ht="15.75" customHeight="1">
      <c r="E866" s="42"/>
    </row>
    <row r="867" ht="15.75" customHeight="1">
      <c r="E867" s="42"/>
    </row>
    <row r="868" ht="15.75" customHeight="1">
      <c r="E868" s="42"/>
    </row>
    <row r="869" ht="15.75" customHeight="1">
      <c r="E869" s="42"/>
    </row>
    <row r="870" ht="15.75" customHeight="1">
      <c r="E870" s="42"/>
    </row>
    <row r="871" ht="15.75" customHeight="1">
      <c r="E871" s="42"/>
    </row>
    <row r="872" ht="15.75" customHeight="1">
      <c r="E872" s="42"/>
    </row>
    <row r="873" ht="15.75" customHeight="1">
      <c r="E873" s="42"/>
    </row>
    <row r="874" ht="15.75" customHeight="1">
      <c r="E874" s="42"/>
    </row>
    <row r="875" ht="15.75" customHeight="1">
      <c r="E875" s="42"/>
    </row>
    <row r="876" ht="15.75" customHeight="1">
      <c r="E876" s="42"/>
    </row>
    <row r="877" ht="15.75" customHeight="1">
      <c r="E877" s="42"/>
    </row>
    <row r="878" ht="15.75" customHeight="1">
      <c r="E878" s="42"/>
    </row>
    <row r="879" ht="15.75" customHeight="1">
      <c r="E879" s="42"/>
    </row>
    <row r="880" ht="15.75" customHeight="1">
      <c r="E880" s="42"/>
    </row>
    <row r="881" ht="15.75" customHeight="1">
      <c r="E881" s="42"/>
    </row>
    <row r="882" ht="15.75" customHeight="1">
      <c r="E882" s="42"/>
    </row>
    <row r="883" ht="15.75" customHeight="1">
      <c r="E883" s="42"/>
    </row>
    <row r="884" ht="15.75" customHeight="1">
      <c r="E884" s="42"/>
    </row>
    <row r="885" ht="15.75" customHeight="1">
      <c r="E885" s="42"/>
    </row>
    <row r="886" ht="15.75" customHeight="1">
      <c r="E886" s="42"/>
    </row>
    <row r="887" ht="15.75" customHeight="1">
      <c r="E887" s="42"/>
    </row>
    <row r="888" ht="15.75" customHeight="1">
      <c r="E888" s="42"/>
    </row>
    <row r="889" ht="15.75" customHeight="1">
      <c r="E889" s="42"/>
    </row>
    <row r="890" ht="15.75" customHeight="1">
      <c r="E890" s="42"/>
    </row>
    <row r="891" ht="15.75" customHeight="1">
      <c r="E891" s="42"/>
    </row>
    <row r="892" ht="15.75" customHeight="1">
      <c r="E892" s="42"/>
    </row>
    <row r="893" ht="15.75" customHeight="1">
      <c r="E893" s="42"/>
    </row>
    <row r="894" ht="15.75" customHeight="1">
      <c r="E894" s="42"/>
    </row>
    <row r="895" ht="15.75" customHeight="1">
      <c r="E895" s="42"/>
    </row>
    <row r="896" ht="15.75" customHeight="1">
      <c r="E896" s="42"/>
    </row>
    <row r="897" ht="15.75" customHeight="1">
      <c r="E897" s="42"/>
    </row>
    <row r="898" ht="15.75" customHeight="1">
      <c r="E898" s="42"/>
    </row>
    <row r="899" ht="15.75" customHeight="1">
      <c r="E899" s="42"/>
    </row>
    <row r="900" ht="15.75" customHeight="1">
      <c r="E900" s="42"/>
    </row>
    <row r="901" ht="15.75" customHeight="1">
      <c r="E901" s="42"/>
    </row>
    <row r="902" ht="15.75" customHeight="1">
      <c r="E902" s="42"/>
    </row>
    <row r="903" ht="15.75" customHeight="1">
      <c r="E903" s="42"/>
    </row>
    <row r="904" ht="15.75" customHeight="1">
      <c r="E904" s="42"/>
    </row>
    <row r="905" ht="15.75" customHeight="1">
      <c r="E905" s="42"/>
    </row>
    <row r="906" ht="15.75" customHeight="1">
      <c r="E906" s="42"/>
    </row>
    <row r="907" ht="15.75" customHeight="1">
      <c r="E907" s="42"/>
    </row>
    <row r="908" ht="15.75" customHeight="1">
      <c r="E908" s="42"/>
    </row>
    <row r="909" ht="15.75" customHeight="1">
      <c r="E909" s="42"/>
    </row>
    <row r="910" ht="15.75" customHeight="1">
      <c r="E910" s="42"/>
    </row>
    <row r="911" ht="15.75" customHeight="1">
      <c r="E911" s="42"/>
    </row>
    <row r="912" ht="15.75" customHeight="1">
      <c r="E912" s="42"/>
    </row>
    <row r="913" ht="15.75" customHeight="1">
      <c r="E913" s="42"/>
    </row>
    <row r="914" ht="15.75" customHeight="1">
      <c r="E914" s="42"/>
    </row>
    <row r="915" ht="15.75" customHeight="1">
      <c r="E915" s="42"/>
    </row>
    <row r="916" ht="15.75" customHeight="1">
      <c r="E916" s="42"/>
    </row>
    <row r="917" ht="15.75" customHeight="1">
      <c r="E917" s="42"/>
    </row>
    <row r="918" ht="15.75" customHeight="1">
      <c r="E918" s="42"/>
    </row>
    <row r="919" ht="15.75" customHeight="1">
      <c r="E919" s="42"/>
    </row>
    <row r="920" ht="15.75" customHeight="1">
      <c r="E920" s="42"/>
    </row>
    <row r="921" ht="15.75" customHeight="1">
      <c r="E921" s="42"/>
    </row>
    <row r="922" ht="15.75" customHeight="1">
      <c r="E922" s="42"/>
    </row>
    <row r="923" ht="15.75" customHeight="1">
      <c r="E923" s="42"/>
    </row>
    <row r="924" ht="15.75" customHeight="1">
      <c r="E924" s="42"/>
    </row>
    <row r="925" ht="15.75" customHeight="1">
      <c r="E925" s="42"/>
    </row>
    <row r="926" ht="15.75" customHeight="1">
      <c r="E926" s="42"/>
    </row>
    <row r="927" ht="15.75" customHeight="1">
      <c r="E927" s="42"/>
    </row>
    <row r="928" ht="15.75" customHeight="1">
      <c r="E928" s="42"/>
    </row>
    <row r="929" ht="15.75" customHeight="1">
      <c r="E929" s="42"/>
    </row>
    <row r="930" ht="15.75" customHeight="1">
      <c r="E930" s="42"/>
    </row>
    <row r="931" ht="15.75" customHeight="1">
      <c r="E931" s="42"/>
    </row>
    <row r="932" ht="15.75" customHeight="1">
      <c r="E932" s="42"/>
    </row>
    <row r="933" ht="15.75" customHeight="1">
      <c r="E933" s="42"/>
    </row>
    <row r="934" ht="15.75" customHeight="1">
      <c r="E934" s="42"/>
    </row>
    <row r="935" ht="15.75" customHeight="1">
      <c r="E935" s="42"/>
    </row>
    <row r="936" ht="15.75" customHeight="1">
      <c r="E936" s="42"/>
    </row>
    <row r="937" ht="15.75" customHeight="1">
      <c r="E937" s="42"/>
    </row>
    <row r="938" ht="15.75" customHeight="1">
      <c r="E938" s="42"/>
    </row>
    <row r="939" ht="15.75" customHeight="1">
      <c r="E939" s="42"/>
    </row>
    <row r="940" ht="15.75" customHeight="1">
      <c r="E940" s="42"/>
    </row>
    <row r="941" ht="15.75" customHeight="1">
      <c r="E941" s="42"/>
    </row>
    <row r="942" ht="15.75" customHeight="1">
      <c r="E942" s="42"/>
    </row>
    <row r="943" ht="15.75" customHeight="1">
      <c r="E943" s="42"/>
    </row>
    <row r="944" ht="15.75" customHeight="1">
      <c r="E944" s="42"/>
    </row>
    <row r="945" ht="15.75" customHeight="1">
      <c r="E945" s="42"/>
    </row>
  </sheetData>
  <customSheetViews>
    <customSheetView guid="{E8F1DD2B-7BC7-410E-BB6F-1687C0FEC8CE}" filter="1" showAutoFilter="1">
      <autoFilter ref="$A$2:$W$315"/>
    </customSheetView>
  </customSheetViews>
  <mergeCells count="1">
    <mergeCell ref="A1:W1"/>
  </mergeCells>
  <conditionalFormatting sqref="T3:T315">
    <cfRule type="cellIs" dxfId="6" priority="1" operator="greaterThanOrEqual">
      <formula>1</formula>
    </cfRule>
  </conditionalFormatting>
  <conditionalFormatting sqref="T3:T315">
    <cfRule type="cellIs" dxfId="7" priority="2" operator="between">
      <formula>0.8</formula>
      <formula>0.999999</formula>
    </cfRule>
  </conditionalFormatting>
  <conditionalFormatting sqref="T3:T315">
    <cfRule type="cellIs" dxfId="8" priority="3" operator="lessThan">
      <formula>0.8</formula>
    </cfRule>
  </conditionalFormatting>
  <printOptions/>
  <pageMargins bottom="0.25" footer="0.0" header="0.0" left="0.25" right="0.25" top="0.25"/>
  <pageSetup fitToHeight="0" paperSize="9"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0.71"/>
    <col customWidth="1" min="2" max="2" width="20.29"/>
    <col customWidth="1" min="3" max="3" width="9.57"/>
    <col customWidth="1" min="4" max="4" width="10.86"/>
    <col customWidth="1" min="5" max="5" width="13.0"/>
    <col customWidth="1" min="6" max="6" width="12.86"/>
    <col customWidth="1" min="7" max="7" width="11.86"/>
    <col customWidth="1" min="8" max="8" width="11.43"/>
    <col customWidth="1" min="9" max="9" width="11.57"/>
    <col customWidth="1" min="10" max="10" width="11.86"/>
    <col customWidth="1" min="11" max="11" width="8.71"/>
    <col customWidth="1" min="12" max="12" width="16.14"/>
    <col customWidth="1" min="13" max="13" width="15.86"/>
    <col customWidth="1" min="14" max="14" width="10.71"/>
    <col customWidth="1" min="15" max="15" width="10.86"/>
    <col customWidth="1" min="16" max="16" width="11.57"/>
    <col customWidth="1" min="17" max="17" width="11.29"/>
    <col customWidth="1" min="18" max="18" width="10.57"/>
    <col customWidth="1" min="19" max="19" width="10.0"/>
    <col customWidth="1" min="20" max="20" width="11.43"/>
    <col customWidth="1" min="21" max="21" width="8.71"/>
    <col customWidth="1" min="22" max="22" width="17.86"/>
    <col customWidth="1" min="23" max="23" width="11.43"/>
    <col customWidth="1" min="24" max="26" width="8.71"/>
  </cols>
  <sheetData>
    <row r="1" ht="30.0" customHeight="1">
      <c r="A1" s="45" t="s">
        <v>55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7"/>
      <c r="X1" s="4"/>
      <c r="Y1" s="4"/>
      <c r="Z1" s="4"/>
    </row>
    <row r="2" ht="52.5" customHeight="1">
      <c r="A2" s="48" t="s">
        <v>2</v>
      </c>
      <c r="B2" s="48" t="s">
        <v>3</v>
      </c>
      <c r="C2" s="48" t="s">
        <v>4</v>
      </c>
      <c r="D2" s="48" t="s">
        <v>5</v>
      </c>
      <c r="E2" s="48" t="s">
        <v>6</v>
      </c>
      <c r="F2" s="48" t="s">
        <v>7</v>
      </c>
      <c r="G2" s="48" t="s">
        <v>8</v>
      </c>
      <c r="H2" s="48" t="s">
        <v>9</v>
      </c>
      <c r="I2" s="48" t="s">
        <v>10</v>
      </c>
      <c r="J2" s="48" t="s">
        <v>11</v>
      </c>
      <c r="K2" s="48" t="s">
        <v>12</v>
      </c>
      <c r="L2" s="48" t="s">
        <v>13</v>
      </c>
      <c r="M2" s="48" t="s">
        <v>14</v>
      </c>
      <c r="N2" s="48" t="s">
        <v>15</v>
      </c>
      <c r="O2" s="48" t="s">
        <v>16</v>
      </c>
      <c r="P2" s="48" t="s">
        <v>17</v>
      </c>
      <c r="Q2" s="48" t="s">
        <v>18</v>
      </c>
      <c r="R2" s="48" t="s">
        <v>19</v>
      </c>
      <c r="S2" s="48" t="s">
        <v>20</v>
      </c>
      <c r="T2" s="48" t="s">
        <v>21</v>
      </c>
      <c r="U2" s="48" t="s">
        <v>22</v>
      </c>
      <c r="V2" s="48" t="s">
        <v>23</v>
      </c>
      <c r="W2" s="48" t="s">
        <v>24</v>
      </c>
    </row>
    <row r="3">
      <c r="A3" s="13">
        <v>46235.0</v>
      </c>
      <c r="B3" s="49" t="s">
        <v>28</v>
      </c>
      <c r="C3" s="9" t="s">
        <v>29</v>
      </c>
      <c r="D3" s="9" t="s">
        <v>27</v>
      </c>
      <c r="E3" s="33">
        <v>0.0</v>
      </c>
      <c r="F3" s="9">
        <f t="shared" ref="F3:F352" si="1">IF(E3&gt;0,3,0)</f>
        <v>0</v>
      </c>
      <c r="G3" s="34">
        <v>0.0</v>
      </c>
      <c r="H3" s="9">
        <f t="shared" ref="H3:H304" si="2">IF(G3&gt;0,1,0)</f>
        <v>0</v>
      </c>
      <c r="I3" s="34">
        <v>0.0</v>
      </c>
      <c r="J3" s="9">
        <f t="shared" ref="J3:J352" si="3">IF(I3&gt;0,1,0)</f>
        <v>0</v>
      </c>
      <c r="K3" s="34">
        <v>104.0</v>
      </c>
      <c r="L3" s="34">
        <v>48.0</v>
      </c>
      <c r="M3" s="14">
        <f t="shared" ref="M3:M352" si="4">MIN(L3/50,1)</f>
        <v>0.96</v>
      </c>
      <c r="N3" s="34">
        <v>3.0</v>
      </c>
      <c r="O3" s="14">
        <f t="shared" ref="O3:O352" si="5">SUM(N3/3)*2</f>
        <v>2</v>
      </c>
      <c r="P3" s="34">
        <v>1.0</v>
      </c>
      <c r="Q3" s="44">
        <v>1.0</v>
      </c>
      <c r="R3" s="9">
        <v>10.0</v>
      </c>
      <c r="S3" s="16">
        <f t="shared" ref="S3:S352" si="6">SUM(F3,H3,J3,M3,O3,P3,Q3)</f>
        <v>4.96</v>
      </c>
      <c r="T3" s="17">
        <f t="shared" ref="T3:T353" si="7">IFERROR(S3/10,0)</f>
        <v>0.496</v>
      </c>
      <c r="U3" s="14">
        <f t="shared" ref="U3:U353" si="8">S3-10</f>
        <v>-5.04</v>
      </c>
      <c r="V3" s="9" t="str">
        <f t="shared" ref="V3:V353" si="9">IF(T3&gt;=1,"Achieved",IF(T3&gt;=0.7,"Near Target",IF(T3&gt;=0.5,"Average","Low Performance")))</f>
        <v>Low Performance</v>
      </c>
      <c r="W3" s="9"/>
    </row>
    <row r="4">
      <c r="A4" s="13">
        <v>46235.0</v>
      </c>
      <c r="B4" s="49" t="s">
        <v>36</v>
      </c>
      <c r="C4" s="9" t="s">
        <v>29</v>
      </c>
      <c r="D4" s="9" t="s">
        <v>27</v>
      </c>
      <c r="E4" s="33">
        <v>0.0</v>
      </c>
      <c r="F4" s="9">
        <f t="shared" si="1"/>
        <v>0</v>
      </c>
      <c r="G4" s="34">
        <v>0.0</v>
      </c>
      <c r="H4" s="9">
        <f t="shared" si="2"/>
        <v>0</v>
      </c>
      <c r="I4" s="34">
        <v>1.0</v>
      </c>
      <c r="J4" s="9">
        <f t="shared" si="3"/>
        <v>1</v>
      </c>
      <c r="K4" s="34">
        <v>59.0</v>
      </c>
      <c r="L4" s="34">
        <v>26.0</v>
      </c>
      <c r="M4" s="14">
        <f t="shared" si="4"/>
        <v>0.52</v>
      </c>
      <c r="N4" s="34">
        <v>2.0</v>
      </c>
      <c r="O4" s="14">
        <f t="shared" si="5"/>
        <v>1.333333333</v>
      </c>
      <c r="P4" s="34">
        <v>1.0</v>
      </c>
      <c r="Q4" s="44">
        <v>1.0</v>
      </c>
      <c r="R4" s="9">
        <v>10.0</v>
      </c>
      <c r="S4" s="16">
        <f t="shared" si="6"/>
        <v>4.853333333</v>
      </c>
      <c r="T4" s="17">
        <f t="shared" si="7"/>
        <v>0.4853333333</v>
      </c>
      <c r="U4" s="14">
        <f t="shared" si="8"/>
        <v>-5.146666667</v>
      </c>
      <c r="V4" s="9" t="str">
        <f t="shared" si="9"/>
        <v>Low Performance</v>
      </c>
      <c r="W4" s="9"/>
    </row>
    <row r="5">
      <c r="A5" s="13">
        <v>46235.0</v>
      </c>
      <c r="B5" s="49" t="s">
        <v>56</v>
      </c>
      <c r="C5" s="9" t="s">
        <v>29</v>
      </c>
      <c r="D5" s="9" t="s">
        <v>27</v>
      </c>
      <c r="E5" s="33">
        <v>0.0</v>
      </c>
      <c r="F5" s="9">
        <f t="shared" si="1"/>
        <v>0</v>
      </c>
      <c r="G5" s="34">
        <v>0.0</v>
      </c>
      <c r="H5" s="9">
        <f t="shared" si="2"/>
        <v>0</v>
      </c>
      <c r="I5" s="34">
        <v>0.0</v>
      </c>
      <c r="J5" s="9">
        <f t="shared" si="3"/>
        <v>0</v>
      </c>
      <c r="K5" s="34">
        <v>0.0</v>
      </c>
      <c r="L5" s="34">
        <v>0.0</v>
      </c>
      <c r="M5" s="14">
        <f t="shared" si="4"/>
        <v>0</v>
      </c>
      <c r="N5" s="34">
        <v>0.0</v>
      </c>
      <c r="O5" s="14">
        <f t="shared" si="5"/>
        <v>0</v>
      </c>
      <c r="P5" s="34">
        <v>0.0</v>
      </c>
      <c r="Q5" s="44">
        <v>0.0</v>
      </c>
      <c r="R5" s="9">
        <v>10.0</v>
      </c>
      <c r="S5" s="16">
        <f t="shared" si="6"/>
        <v>0</v>
      </c>
      <c r="T5" s="17">
        <f t="shared" si="7"/>
        <v>0</v>
      </c>
      <c r="U5" s="14">
        <f t="shared" si="8"/>
        <v>-10</v>
      </c>
      <c r="V5" s="9" t="str">
        <f t="shared" si="9"/>
        <v>Low Performance</v>
      </c>
      <c r="W5" s="31" t="s">
        <v>51</v>
      </c>
    </row>
    <row r="6">
      <c r="A6" s="13">
        <v>46235.0</v>
      </c>
      <c r="B6" s="49" t="s">
        <v>37</v>
      </c>
      <c r="C6" s="9" t="s">
        <v>29</v>
      </c>
      <c r="D6" s="9" t="s">
        <v>27</v>
      </c>
      <c r="E6" s="33">
        <v>20000.0</v>
      </c>
      <c r="F6" s="9">
        <f t="shared" si="1"/>
        <v>3</v>
      </c>
      <c r="G6" s="34">
        <v>1.0</v>
      </c>
      <c r="H6" s="9">
        <f t="shared" si="2"/>
        <v>1</v>
      </c>
      <c r="I6" s="34">
        <v>0.0</v>
      </c>
      <c r="J6" s="9">
        <f t="shared" si="3"/>
        <v>0</v>
      </c>
      <c r="K6" s="34">
        <v>65.0</v>
      </c>
      <c r="L6" s="34">
        <v>37.0</v>
      </c>
      <c r="M6" s="14">
        <f t="shared" si="4"/>
        <v>0.74</v>
      </c>
      <c r="N6" s="34">
        <v>2.0</v>
      </c>
      <c r="O6" s="14">
        <f t="shared" si="5"/>
        <v>1.333333333</v>
      </c>
      <c r="P6" s="34">
        <v>1.0</v>
      </c>
      <c r="Q6" s="44">
        <v>0.75</v>
      </c>
      <c r="R6" s="9">
        <v>10.0</v>
      </c>
      <c r="S6" s="16">
        <f t="shared" si="6"/>
        <v>7.823333333</v>
      </c>
      <c r="T6" s="17">
        <f t="shared" si="7"/>
        <v>0.7823333333</v>
      </c>
      <c r="U6" s="14">
        <f t="shared" si="8"/>
        <v>-2.176666667</v>
      </c>
      <c r="V6" s="9" t="str">
        <f t="shared" si="9"/>
        <v>Near Target</v>
      </c>
      <c r="W6" s="9"/>
    </row>
    <row r="7">
      <c r="A7" s="13">
        <v>46235.0</v>
      </c>
      <c r="B7" s="49" t="s">
        <v>57</v>
      </c>
      <c r="C7" s="9" t="s">
        <v>29</v>
      </c>
      <c r="D7" s="9" t="s">
        <v>27</v>
      </c>
      <c r="E7" s="33">
        <v>0.0</v>
      </c>
      <c r="F7" s="9">
        <f t="shared" si="1"/>
        <v>0</v>
      </c>
      <c r="G7" s="34">
        <v>0.0</v>
      </c>
      <c r="H7" s="9">
        <f t="shared" si="2"/>
        <v>0</v>
      </c>
      <c r="I7" s="34">
        <v>1.0</v>
      </c>
      <c r="J7" s="9">
        <f t="shared" si="3"/>
        <v>1</v>
      </c>
      <c r="K7" s="34">
        <v>65.0</v>
      </c>
      <c r="L7" s="34">
        <v>32.0</v>
      </c>
      <c r="M7" s="14">
        <f t="shared" si="4"/>
        <v>0.64</v>
      </c>
      <c r="N7" s="34">
        <v>2.0</v>
      </c>
      <c r="O7" s="14">
        <f t="shared" si="5"/>
        <v>1.333333333</v>
      </c>
      <c r="P7" s="34">
        <v>1.0</v>
      </c>
      <c r="Q7" s="44">
        <v>1.0</v>
      </c>
      <c r="R7" s="9">
        <v>10.0</v>
      </c>
      <c r="S7" s="16">
        <f t="shared" si="6"/>
        <v>4.973333333</v>
      </c>
      <c r="T7" s="17">
        <f t="shared" si="7"/>
        <v>0.4973333333</v>
      </c>
      <c r="U7" s="14">
        <f t="shared" si="8"/>
        <v>-5.026666667</v>
      </c>
      <c r="V7" s="9" t="str">
        <f t="shared" si="9"/>
        <v>Low Performance</v>
      </c>
      <c r="W7" s="9"/>
    </row>
    <row r="8">
      <c r="A8" s="13">
        <v>46235.0</v>
      </c>
      <c r="B8" s="49" t="s">
        <v>58</v>
      </c>
      <c r="C8" s="9" t="s">
        <v>40</v>
      </c>
      <c r="D8" s="9" t="s">
        <v>27</v>
      </c>
      <c r="E8" s="33">
        <v>0.0</v>
      </c>
      <c r="F8" s="9">
        <f t="shared" si="1"/>
        <v>0</v>
      </c>
      <c r="G8" s="34">
        <v>0.0</v>
      </c>
      <c r="H8" s="9">
        <f t="shared" si="2"/>
        <v>0</v>
      </c>
      <c r="I8" s="34">
        <v>1.0</v>
      </c>
      <c r="J8" s="9">
        <f t="shared" si="3"/>
        <v>1</v>
      </c>
      <c r="K8" s="34">
        <v>62.0</v>
      </c>
      <c r="L8" s="34">
        <v>41.0</v>
      </c>
      <c r="M8" s="14">
        <f t="shared" si="4"/>
        <v>0.82</v>
      </c>
      <c r="N8" s="34">
        <v>2.0</v>
      </c>
      <c r="O8" s="14">
        <f t="shared" si="5"/>
        <v>1.333333333</v>
      </c>
      <c r="P8" s="34">
        <v>1.0</v>
      </c>
      <c r="Q8" s="44">
        <v>1.0</v>
      </c>
      <c r="R8" s="9">
        <v>10.0</v>
      </c>
      <c r="S8" s="16">
        <f t="shared" si="6"/>
        <v>5.153333333</v>
      </c>
      <c r="T8" s="17">
        <f t="shared" si="7"/>
        <v>0.5153333333</v>
      </c>
      <c r="U8" s="14">
        <f t="shared" si="8"/>
        <v>-4.846666667</v>
      </c>
      <c r="V8" s="9" t="str">
        <f t="shared" si="9"/>
        <v>Average</v>
      </c>
      <c r="W8" s="9"/>
    </row>
    <row r="9">
      <c r="A9" s="13">
        <v>46235.0</v>
      </c>
      <c r="B9" s="50" t="s">
        <v>59</v>
      </c>
      <c r="C9" s="9" t="s">
        <v>40</v>
      </c>
      <c r="D9" s="9" t="s">
        <v>27</v>
      </c>
      <c r="E9" s="33">
        <v>0.0</v>
      </c>
      <c r="F9" s="9">
        <f t="shared" si="1"/>
        <v>0</v>
      </c>
      <c r="G9" s="34">
        <v>0.0</v>
      </c>
      <c r="H9" s="9">
        <f t="shared" si="2"/>
        <v>0</v>
      </c>
      <c r="I9" s="34">
        <v>1.0</v>
      </c>
      <c r="J9" s="9">
        <f t="shared" si="3"/>
        <v>1</v>
      </c>
      <c r="K9" s="34">
        <v>73.0</v>
      </c>
      <c r="L9" s="34">
        <v>34.0</v>
      </c>
      <c r="M9" s="14">
        <f t="shared" si="4"/>
        <v>0.68</v>
      </c>
      <c r="N9" s="34">
        <v>2.0</v>
      </c>
      <c r="O9" s="14">
        <f t="shared" si="5"/>
        <v>1.333333333</v>
      </c>
      <c r="P9" s="34">
        <v>1.0</v>
      </c>
      <c r="Q9" s="44">
        <v>1.0</v>
      </c>
      <c r="R9" s="9">
        <v>10.0</v>
      </c>
      <c r="S9" s="16">
        <f t="shared" si="6"/>
        <v>5.013333333</v>
      </c>
      <c r="T9" s="17">
        <f t="shared" si="7"/>
        <v>0.5013333333</v>
      </c>
      <c r="U9" s="14">
        <f t="shared" si="8"/>
        <v>-4.986666667</v>
      </c>
      <c r="V9" s="9" t="str">
        <f t="shared" si="9"/>
        <v>Average</v>
      </c>
      <c r="W9" s="9"/>
    </row>
    <row r="10">
      <c r="A10" s="13">
        <v>46235.0</v>
      </c>
      <c r="B10" s="49" t="s">
        <v>41</v>
      </c>
      <c r="C10" s="9" t="s">
        <v>40</v>
      </c>
      <c r="D10" s="9" t="s">
        <v>27</v>
      </c>
      <c r="E10" s="33">
        <v>0.0</v>
      </c>
      <c r="F10" s="9">
        <f t="shared" si="1"/>
        <v>0</v>
      </c>
      <c r="G10" s="34">
        <v>0.0</v>
      </c>
      <c r="H10" s="9">
        <f t="shared" si="2"/>
        <v>0</v>
      </c>
      <c r="I10" s="34">
        <v>1.0</v>
      </c>
      <c r="J10" s="9">
        <f t="shared" si="3"/>
        <v>1</v>
      </c>
      <c r="K10" s="34">
        <v>60.0</v>
      </c>
      <c r="L10" s="34">
        <v>49.0</v>
      </c>
      <c r="M10" s="14">
        <f t="shared" si="4"/>
        <v>0.98</v>
      </c>
      <c r="N10" s="34">
        <v>1.0</v>
      </c>
      <c r="O10" s="14">
        <f t="shared" si="5"/>
        <v>0.6666666667</v>
      </c>
      <c r="P10" s="34">
        <v>1.0</v>
      </c>
      <c r="Q10" s="44">
        <v>1.0</v>
      </c>
      <c r="R10" s="9">
        <v>10.0</v>
      </c>
      <c r="S10" s="16">
        <f t="shared" si="6"/>
        <v>4.646666667</v>
      </c>
      <c r="T10" s="17">
        <f t="shared" si="7"/>
        <v>0.4646666667</v>
      </c>
      <c r="U10" s="14">
        <f t="shared" si="8"/>
        <v>-5.353333333</v>
      </c>
      <c r="V10" s="9" t="str">
        <f t="shared" si="9"/>
        <v>Low Performance</v>
      </c>
      <c r="W10" s="9"/>
    </row>
    <row r="11">
      <c r="A11" s="13">
        <v>46235.0</v>
      </c>
      <c r="B11" s="49" t="s">
        <v>42</v>
      </c>
      <c r="C11" s="9" t="s">
        <v>40</v>
      </c>
      <c r="D11" s="9" t="s">
        <v>27</v>
      </c>
      <c r="E11" s="33">
        <v>0.0</v>
      </c>
      <c r="F11" s="9">
        <f t="shared" si="1"/>
        <v>0</v>
      </c>
      <c r="G11" s="34">
        <v>0.0</v>
      </c>
      <c r="H11" s="9">
        <f t="shared" si="2"/>
        <v>0</v>
      </c>
      <c r="I11" s="34">
        <v>1.0</v>
      </c>
      <c r="J11" s="9">
        <f t="shared" si="3"/>
        <v>1</v>
      </c>
      <c r="K11" s="34">
        <v>61.0</v>
      </c>
      <c r="L11" s="34">
        <v>21.0</v>
      </c>
      <c r="M11" s="14">
        <f t="shared" si="4"/>
        <v>0.42</v>
      </c>
      <c r="N11" s="34">
        <v>1.0</v>
      </c>
      <c r="O11" s="14">
        <f t="shared" si="5"/>
        <v>0.6666666667</v>
      </c>
      <c r="P11" s="34">
        <v>1.0</v>
      </c>
      <c r="Q11" s="44">
        <v>1.0</v>
      </c>
      <c r="R11" s="9">
        <v>10.0</v>
      </c>
      <c r="S11" s="16">
        <f t="shared" si="6"/>
        <v>4.086666667</v>
      </c>
      <c r="T11" s="17">
        <f t="shared" si="7"/>
        <v>0.4086666667</v>
      </c>
      <c r="U11" s="14">
        <f t="shared" si="8"/>
        <v>-5.913333333</v>
      </c>
      <c r="V11" s="9" t="str">
        <f t="shared" si="9"/>
        <v>Low Performance</v>
      </c>
      <c r="W11" s="9"/>
    </row>
    <row r="12">
      <c r="A12" s="13">
        <v>46235.0</v>
      </c>
      <c r="B12" s="49" t="s">
        <v>60</v>
      </c>
      <c r="C12" s="9" t="s">
        <v>40</v>
      </c>
      <c r="D12" s="9" t="s">
        <v>27</v>
      </c>
      <c r="E12" s="33">
        <v>0.0</v>
      </c>
      <c r="F12" s="9">
        <f t="shared" si="1"/>
        <v>0</v>
      </c>
      <c r="G12" s="34">
        <v>0.0</v>
      </c>
      <c r="H12" s="9">
        <f t="shared" si="2"/>
        <v>0</v>
      </c>
      <c r="I12" s="34">
        <v>1.0</v>
      </c>
      <c r="J12" s="9">
        <f t="shared" si="3"/>
        <v>1</v>
      </c>
      <c r="K12" s="34">
        <v>15.0</v>
      </c>
      <c r="L12" s="34">
        <v>50.0</v>
      </c>
      <c r="M12" s="14">
        <f t="shared" si="4"/>
        <v>1</v>
      </c>
      <c r="N12" s="34">
        <v>1.0</v>
      </c>
      <c r="O12" s="14">
        <f t="shared" si="5"/>
        <v>0.6666666667</v>
      </c>
      <c r="P12" s="34">
        <v>1.0</v>
      </c>
      <c r="Q12" s="44">
        <v>1.0</v>
      </c>
      <c r="R12" s="9">
        <v>10.0</v>
      </c>
      <c r="S12" s="16">
        <f t="shared" si="6"/>
        <v>4.666666667</v>
      </c>
      <c r="T12" s="17">
        <f t="shared" si="7"/>
        <v>0.4666666667</v>
      </c>
      <c r="U12" s="14">
        <f t="shared" si="8"/>
        <v>-5.333333333</v>
      </c>
      <c r="V12" s="9" t="str">
        <f t="shared" si="9"/>
        <v>Low Performance</v>
      </c>
      <c r="W12" s="9"/>
    </row>
    <row r="13">
      <c r="A13" s="13">
        <v>46235.0</v>
      </c>
      <c r="B13" s="49" t="s">
        <v>47</v>
      </c>
      <c r="C13" s="9" t="s">
        <v>48</v>
      </c>
      <c r="D13" s="9" t="s">
        <v>27</v>
      </c>
      <c r="E13" s="33">
        <v>0.0</v>
      </c>
      <c r="F13" s="9">
        <f t="shared" si="1"/>
        <v>0</v>
      </c>
      <c r="G13" s="34">
        <v>0.0</v>
      </c>
      <c r="H13" s="9">
        <f t="shared" si="2"/>
        <v>0</v>
      </c>
      <c r="I13" s="34">
        <v>0.0</v>
      </c>
      <c r="J13" s="9">
        <f t="shared" si="3"/>
        <v>0</v>
      </c>
      <c r="K13" s="34">
        <v>32.0</v>
      </c>
      <c r="L13" s="34">
        <v>6.0</v>
      </c>
      <c r="M13" s="14">
        <f t="shared" si="4"/>
        <v>0.12</v>
      </c>
      <c r="N13" s="34">
        <v>0.0</v>
      </c>
      <c r="O13" s="14">
        <f t="shared" si="5"/>
        <v>0</v>
      </c>
      <c r="P13" s="34">
        <v>0.0</v>
      </c>
      <c r="Q13" s="44">
        <v>0.75</v>
      </c>
      <c r="R13" s="9">
        <v>10.0</v>
      </c>
      <c r="S13" s="16">
        <f t="shared" si="6"/>
        <v>0.87</v>
      </c>
      <c r="T13" s="17">
        <f t="shared" si="7"/>
        <v>0.087</v>
      </c>
      <c r="U13" s="14">
        <f t="shared" si="8"/>
        <v>-9.13</v>
      </c>
      <c r="V13" s="9" t="str">
        <f t="shared" si="9"/>
        <v>Low Performance</v>
      </c>
      <c r="W13" s="9"/>
    </row>
    <row r="14">
      <c r="A14" s="13">
        <v>46235.0</v>
      </c>
      <c r="B14" s="49" t="s">
        <v>61</v>
      </c>
      <c r="C14" s="9" t="s">
        <v>48</v>
      </c>
      <c r="D14" s="9" t="s">
        <v>27</v>
      </c>
      <c r="E14" s="10">
        <v>0.0</v>
      </c>
      <c r="F14" s="9">
        <f t="shared" si="1"/>
        <v>0</v>
      </c>
      <c r="G14" s="11">
        <v>0.0</v>
      </c>
      <c r="H14" s="9">
        <f t="shared" si="2"/>
        <v>0</v>
      </c>
      <c r="I14" s="11">
        <v>0.0</v>
      </c>
      <c r="J14" s="9">
        <f t="shared" si="3"/>
        <v>0</v>
      </c>
      <c r="K14" s="11">
        <v>0.0</v>
      </c>
      <c r="L14" s="11">
        <v>0.0</v>
      </c>
      <c r="M14" s="14">
        <f t="shared" si="4"/>
        <v>0</v>
      </c>
      <c r="N14" s="11">
        <v>0.0</v>
      </c>
      <c r="O14" s="14">
        <f t="shared" si="5"/>
        <v>0</v>
      </c>
      <c r="P14" s="11">
        <v>0.0</v>
      </c>
      <c r="Q14" s="15">
        <v>0.0</v>
      </c>
      <c r="R14" s="9">
        <v>10.0</v>
      </c>
      <c r="S14" s="16">
        <f t="shared" si="6"/>
        <v>0</v>
      </c>
      <c r="T14" s="17">
        <f t="shared" si="7"/>
        <v>0</v>
      </c>
      <c r="U14" s="14">
        <f t="shared" si="8"/>
        <v>-10</v>
      </c>
      <c r="V14" s="9" t="str">
        <f t="shared" si="9"/>
        <v>Low Performance</v>
      </c>
      <c r="W14" s="31" t="s">
        <v>51</v>
      </c>
    </row>
    <row r="15">
      <c r="A15" s="13">
        <v>46235.0</v>
      </c>
      <c r="B15" s="49" t="s">
        <v>62</v>
      </c>
      <c r="C15" s="9" t="s">
        <v>48</v>
      </c>
      <c r="D15" s="9" t="s">
        <v>27</v>
      </c>
      <c r="E15" s="10">
        <v>0.0</v>
      </c>
      <c r="F15" s="9">
        <f t="shared" si="1"/>
        <v>0</v>
      </c>
      <c r="G15" s="11">
        <v>0.0</v>
      </c>
      <c r="H15" s="9">
        <f t="shared" si="2"/>
        <v>0</v>
      </c>
      <c r="I15" s="11">
        <v>0.0</v>
      </c>
      <c r="J15" s="9">
        <f t="shared" si="3"/>
        <v>0</v>
      </c>
      <c r="K15" s="11">
        <v>0.0</v>
      </c>
      <c r="L15" s="11">
        <v>0.0</v>
      </c>
      <c r="M15" s="14">
        <f t="shared" si="4"/>
        <v>0</v>
      </c>
      <c r="N15" s="11">
        <v>0.0</v>
      </c>
      <c r="O15" s="14">
        <f t="shared" si="5"/>
        <v>0</v>
      </c>
      <c r="P15" s="11">
        <v>0.0</v>
      </c>
      <c r="Q15" s="15">
        <v>0.0</v>
      </c>
      <c r="R15" s="9">
        <v>10.0</v>
      </c>
      <c r="S15" s="16">
        <f t="shared" si="6"/>
        <v>0</v>
      </c>
      <c r="T15" s="17">
        <f t="shared" si="7"/>
        <v>0</v>
      </c>
      <c r="U15" s="14">
        <f t="shared" si="8"/>
        <v>-10</v>
      </c>
      <c r="V15" s="9" t="str">
        <f t="shared" si="9"/>
        <v>Low Performance</v>
      </c>
      <c r="W15" s="31" t="s">
        <v>51</v>
      </c>
    </row>
    <row r="16">
      <c r="A16" s="13">
        <v>46235.0</v>
      </c>
      <c r="B16" s="49" t="s">
        <v>63</v>
      </c>
      <c r="C16" s="9" t="s">
        <v>48</v>
      </c>
      <c r="D16" s="9" t="s">
        <v>27</v>
      </c>
      <c r="E16" s="33">
        <v>0.0</v>
      </c>
      <c r="F16" s="9">
        <f t="shared" si="1"/>
        <v>0</v>
      </c>
      <c r="G16" s="34">
        <v>0.0</v>
      </c>
      <c r="H16" s="9">
        <f t="shared" si="2"/>
        <v>0</v>
      </c>
      <c r="I16" s="34">
        <v>1.0</v>
      </c>
      <c r="J16" s="9">
        <f t="shared" si="3"/>
        <v>1</v>
      </c>
      <c r="K16" s="34">
        <v>64.0</v>
      </c>
      <c r="L16" s="34">
        <v>42.0</v>
      </c>
      <c r="M16" s="14">
        <f t="shared" si="4"/>
        <v>0.84</v>
      </c>
      <c r="N16" s="34">
        <v>2.0</v>
      </c>
      <c r="O16" s="14">
        <f t="shared" si="5"/>
        <v>1.333333333</v>
      </c>
      <c r="P16" s="34">
        <v>1.0</v>
      </c>
      <c r="Q16" s="44">
        <v>1.0</v>
      </c>
      <c r="R16" s="9">
        <v>10.0</v>
      </c>
      <c r="S16" s="16">
        <f t="shared" si="6"/>
        <v>5.173333333</v>
      </c>
      <c r="T16" s="17">
        <f t="shared" si="7"/>
        <v>0.5173333333</v>
      </c>
      <c r="U16" s="14">
        <f t="shared" si="8"/>
        <v>-4.826666667</v>
      </c>
      <c r="V16" s="9" t="str">
        <f t="shared" si="9"/>
        <v>Average</v>
      </c>
      <c r="W16" s="9"/>
    </row>
    <row r="17">
      <c r="A17" s="13">
        <v>46236.0</v>
      </c>
      <c r="B17" s="49" t="s">
        <v>28</v>
      </c>
      <c r="C17" s="9" t="s">
        <v>29</v>
      </c>
      <c r="D17" s="9" t="s">
        <v>27</v>
      </c>
      <c r="E17" s="33">
        <v>1000000.0</v>
      </c>
      <c r="F17" s="9">
        <f t="shared" si="1"/>
        <v>3</v>
      </c>
      <c r="G17" s="34">
        <v>0.0</v>
      </c>
      <c r="H17" s="9">
        <f t="shared" si="2"/>
        <v>0</v>
      </c>
      <c r="I17" s="34">
        <v>0.0</v>
      </c>
      <c r="J17" s="9">
        <f t="shared" si="3"/>
        <v>0</v>
      </c>
      <c r="K17" s="34">
        <v>90.0</v>
      </c>
      <c r="L17" s="34">
        <v>59.0</v>
      </c>
      <c r="M17" s="14">
        <f t="shared" si="4"/>
        <v>1</v>
      </c>
      <c r="N17" s="34">
        <v>2.0</v>
      </c>
      <c r="O17" s="14">
        <f t="shared" si="5"/>
        <v>1.333333333</v>
      </c>
      <c r="P17" s="34">
        <v>1.0</v>
      </c>
      <c r="Q17" s="44">
        <v>1.0</v>
      </c>
      <c r="R17" s="9">
        <v>10.0</v>
      </c>
      <c r="S17" s="16">
        <f t="shared" si="6"/>
        <v>7.333333333</v>
      </c>
      <c r="T17" s="17">
        <f t="shared" si="7"/>
        <v>0.7333333333</v>
      </c>
      <c r="U17" s="14">
        <f t="shared" si="8"/>
        <v>-2.666666667</v>
      </c>
      <c r="V17" s="9" t="str">
        <f t="shared" si="9"/>
        <v>Near Target</v>
      </c>
      <c r="W17" s="9"/>
    </row>
    <row r="18">
      <c r="A18" s="13">
        <v>46236.0</v>
      </c>
      <c r="B18" s="49" t="s">
        <v>36</v>
      </c>
      <c r="C18" s="9" t="s">
        <v>29</v>
      </c>
      <c r="D18" s="9" t="s">
        <v>27</v>
      </c>
      <c r="E18" s="10">
        <v>0.0</v>
      </c>
      <c r="F18" s="9">
        <f t="shared" si="1"/>
        <v>0</v>
      </c>
      <c r="G18" s="11">
        <v>0.0</v>
      </c>
      <c r="H18" s="9">
        <f t="shared" si="2"/>
        <v>0</v>
      </c>
      <c r="I18" s="11">
        <v>0.0</v>
      </c>
      <c r="J18" s="9">
        <f t="shared" si="3"/>
        <v>0</v>
      </c>
      <c r="K18" s="11">
        <v>0.0</v>
      </c>
      <c r="L18" s="11">
        <v>0.0</v>
      </c>
      <c r="M18" s="14">
        <f t="shared" si="4"/>
        <v>0</v>
      </c>
      <c r="N18" s="34"/>
      <c r="O18" s="14">
        <f t="shared" si="5"/>
        <v>0</v>
      </c>
      <c r="P18" s="11">
        <v>0.0</v>
      </c>
      <c r="Q18" s="15">
        <v>0.0</v>
      </c>
      <c r="R18" s="9">
        <v>10.0</v>
      </c>
      <c r="S18" s="16">
        <f t="shared" si="6"/>
        <v>0</v>
      </c>
      <c r="T18" s="17">
        <f t="shared" si="7"/>
        <v>0</v>
      </c>
      <c r="U18" s="14">
        <f t="shared" si="8"/>
        <v>-10</v>
      </c>
      <c r="V18" s="9" t="str">
        <f t="shared" si="9"/>
        <v>Low Performance</v>
      </c>
      <c r="W18" s="31" t="s">
        <v>51</v>
      </c>
    </row>
    <row r="19">
      <c r="A19" s="13">
        <v>46236.0</v>
      </c>
      <c r="B19" s="49" t="s">
        <v>56</v>
      </c>
      <c r="C19" s="9" t="s">
        <v>29</v>
      </c>
      <c r="D19" s="9" t="s">
        <v>27</v>
      </c>
      <c r="E19" s="33">
        <v>0.0</v>
      </c>
      <c r="F19" s="9">
        <f t="shared" si="1"/>
        <v>0</v>
      </c>
      <c r="G19" s="34">
        <v>0.0</v>
      </c>
      <c r="H19" s="9">
        <f t="shared" si="2"/>
        <v>0</v>
      </c>
      <c r="I19" s="34">
        <v>2.0</v>
      </c>
      <c r="J19" s="9">
        <f t="shared" si="3"/>
        <v>1</v>
      </c>
      <c r="K19" s="34">
        <v>71.0</v>
      </c>
      <c r="L19" s="34">
        <v>42.0</v>
      </c>
      <c r="M19" s="14">
        <f t="shared" si="4"/>
        <v>0.84</v>
      </c>
      <c r="N19" s="34">
        <v>3.0</v>
      </c>
      <c r="O19" s="14">
        <f t="shared" si="5"/>
        <v>2</v>
      </c>
      <c r="P19" s="34">
        <v>1.0</v>
      </c>
      <c r="Q19" s="44">
        <v>1.0</v>
      </c>
      <c r="R19" s="9">
        <v>10.0</v>
      </c>
      <c r="S19" s="16">
        <f t="shared" si="6"/>
        <v>5.84</v>
      </c>
      <c r="T19" s="17">
        <f t="shared" si="7"/>
        <v>0.584</v>
      </c>
      <c r="U19" s="14">
        <f t="shared" si="8"/>
        <v>-4.16</v>
      </c>
      <c r="V19" s="9" t="str">
        <f t="shared" si="9"/>
        <v>Average</v>
      </c>
      <c r="W19" s="9"/>
    </row>
    <row r="20">
      <c r="A20" s="13">
        <v>46236.0</v>
      </c>
      <c r="B20" s="49" t="s">
        <v>37</v>
      </c>
      <c r="C20" s="9" t="s">
        <v>29</v>
      </c>
      <c r="D20" s="9" t="s">
        <v>27</v>
      </c>
      <c r="E20" s="33">
        <v>0.0</v>
      </c>
      <c r="F20" s="9">
        <f t="shared" si="1"/>
        <v>0</v>
      </c>
      <c r="G20" s="34">
        <v>0.0</v>
      </c>
      <c r="H20" s="9">
        <f t="shared" si="2"/>
        <v>0</v>
      </c>
      <c r="I20" s="34">
        <v>0.0</v>
      </c>
      <c r="J20" s="9">
        <f t="shared" si="3"/>
        <v>0</v>
      </c>
      <c r="K20" s="34">
        <v>83.0</v>
      </c>
      <c r="L20" s="34">
        <v>53.0</v>
      </c>
      <c r="M20" s="14">
        <f t="shared" si="4"/>
        <v>1</v>
      </c>
      <c r="N20" s="34">
        <v>3.0</v>
      </c>
      <c r="O20" s="14">
        <f t="shared" si="5"/>
        <v>2</v>
      </c>
      <c r="P20" s="34">
        <v>1.0</v>
      </c>
      <c r="Q20" s="44">
        <v>1.0</v>
      </c>
      <c r="R20" s="9">
        <v>10.0</v>
      </c>
      <c r="S20" s="16">
        <f t="shared" si="6"/>
        <v>5</v>
      </c>
      <c r="T20" s="17">
        <f t="shared" si="7"/>
        <v>0.5</v>
      </c>
      <c r="U20" s="14">
        <f t="shared" si="8"/>
        <v>-5</v>
      </c>
      <c r="V20" s="9" t="str">
        <f t="shared" si="9"/>
        <v>Average</v>
      </c>
      <c r="W20" s="9"/>
    </row>
    <row r="21" ht="15.75" customHeight="1">
      <c r="A21" s="13">
        <v>46236.0</v>
      </c>
      <c r="B21" s="49" t="s">
        <v>57</v>
      </c>
      <c r="C21" s="9" t="s">
        <v>29</v>
      </c>
      <c r="D21" s="9" t="s">
        <v>27</v>
      </c>
      <c r="E21" s="33">
        <v>0.0</v>
      </c>
      <c r="F21" s="9">
        <f t="shared" si="1"/>
        <v>0</v>
      </c>
      <c r="G21" s="34">
        <v>0.0</v>
      </c>
      <c r="H21" s="9">
        <f t="shared" si="2"/>
        <v>0</v>
      </c>
      <c r="I21" s="34">
        <v>0.0</v>
      </c>
      <c r="J21" s="9">
        <f t="shared" si="3"/>
        <v>0</v>
      </c>
      <c r="K21" s="34">
        <v>87.0</v>
      </c>
      <c r="L21" s="34">
        <v>60.0</v>
      </c>
      <c r="M21" s="14">
        <f t="shared" si="4"/>
        <v>1</v>
      </c>
      <c r="N21" s="34">
        <v>2.0</v>
      </c>
      <c r="O21" s="14">
        <f t="shared" si="5"/>
        <v>1.333333333</v>
      </c>
      <c r="P21" s="34">
        <v>1.0</v>
      </c>
      <c r="Q21" s="44">
        <v>1.0</v>
      </c>
      <c r="R21" s="9">
        <v>10.0</v>
      </c>
      <c r="S21" s="16">
        <f t="shared" si="6"/>
        <v>4.333333333</v>
      </c>
      <c r="T21" s="17">
        <f t="shared" si="7"/>
        <v>0.4333333333</v>
      </c>
      <c r="U21" s="14">
        <f t="shared" si="8"/>
        <v>-5.666666667</v>
      </c>
      <c r="V21" s="9" t="str">
        <f t="shared" si="9"/>
        <v>Low Performance</v>
      </c>
      <c r="W21" s="9"/>
    </row>
    <row r="22" ht="15.75" customHeight="1">
      <c r="A22" s="13">
        <v>46236.0</v>
      </c>
      <c r="B22" s="49" t="s">
        <v>58</v>
      </c>
      <c r="C22" s="9" t="s">
        <v>40</v>
      </c>
      <c r="D22" s="9" t="s">
        <v>27</v>
      </c>
      <c r="E22" s="33">
        <v>0.0</v>
      </c>
      <c r="F22" s="9">
        <f t="shared" si="1"/>
        <v>0</v>
      </c>
      <c r="G22" s="34">
        <v>0.0</v>
      </c>
      <c r="H22" s="9">
        <f t="shared" si="2"/>
        <v>0</v>
      </c>
      <c r="I22" s="34">
        <v>0.0</v>
      </c>
      <c r="J22" s="9">
        <f t="shared" si="3"/>
        <v>0</v>
      </c>
      <c r="K22" s="34">
        <v>62.0</v>
      </c>
      <c r="L22" s="34">
        <v>49.0</v>
      </c>
      <c r="M22" s="14">
        <f t="shared" si="4"/>
        <v>0.98</v>
      </c>
      <c r="N22" s="34">
        <v>2.0</v>
      </c>
      <c r="O22" s="14">
        <f t="shared" si="5"/>
        <v>1.333333333</v>
      </c>
      <c r="P22" s="34">
        <v>1.0</v>
      </c>
      <c r="Q22" s="44">
        <v>1.0</v>
      </c>
      <c r="R22" s="9">
        <v>10.0</v>
      </c>
      <c r="S22" s="16">
        <f t="shared" si="6"/>
        <v>4.313333333</v>
      </c>
      <c r="T22" s="17">
        <f t="shared" si="7"/>
        <v>0.4313333333</v>
      </c>
      <c r="U22" s="14">
        <f t="shared" si="8"/>
        <v>-5.686666667</v>
      </c>
      <c r="V22" s="9" t="str">
        <f t="shared" si="9"/>
        <v>Low Performance</v>
      </c>
      <c r="W22" s="9"/>
    </row>
    <row r="23" ht="15.75" customHeight="1">
      <c r="A23" s="13">
        <v>46236.0</v>
      </c>
      <c r="B23" s="50" t="s">
        <v>59</v>
      </c>
      <c r="C23" s="9" t="s">
        <v>40</v>
      </c>
      <c r="D23" s="9" t="s">
        <v>27</v>
      </c>
      <c r="E23" s="33">
        <v>10000.0</v>
      </c>
      <c r="F23" s="9">
        <f t="shared" si="1"/>
        <v>3</v>
      </c>
      <c r="G23" s="34">
        <v>0.0</v>
      </c>
      <c r="H23" s="9">
        <f t="shared" si="2"/>
        <v>0</v>
      </c>
      <c r="I23" s="34">
        <v>1.0</v>
      </c>
      <c r="J23" s="9">
        <f t="shared" si="3"/>
        <v>1</v>
      </c>
      <c r="K23" s="34">
        <v>67.0</v>
      </c>
      <c r="L23" s="34">
        <v>55.0</v>
      </c>
      <c r="M23" s="14">
        <f t="shared" si="4"/>
        <v>1</v>
      </c>
      <c r="N23" s="34">
        <v>1.0</v>
      </c>
      <c r="O23" s="14">
        <f t="shared" si="5"/>
        <v>0.6666666667</v>
      </c>
      <c r="P23" s="34">
        <v>1.0</v>
      </c>
      <c r="Q23" s="44">
        <v>1.0</v>
      </c>
      <c r="R23" s="9">
        <v>10.0</v>
      </c>
      <c r="S23" s="16">
        <f t="shared" si="6"/>
        <v>7.666666667</v>
      </c>
      <c r="T23" s="17">
        <f t="shared" si="7"/>
        <v>0.7666666667</v>
      </c>
      <c r="U23" s="14">
        <f t="shared" si="8"/>
        <v>-2.333333333</v>
      </c>
      <c r="V23" s="9" t="str">
        <f t="shared" si="9"/>
        <v>Near Target</v>
      </c>
      <c r="W23" s="9"/>
    </row>
    <row r="24" ht="15.75" customHeight="1">
      <c r="A24" s="13">
        <v>46236.0</v>
      </c>
      <c r="B24" s="49" t="s">
        <v>41</v>
      </c>
      <c r="C24" s="9" t="s">
        <v>40</v>
      </c>
      <c r="D24" s="9" t="s">
        <v>27</v>
      </c>
      <c r="E24" s="33">
        <v>0.0</v>
      </c>
      <c r="F24" s="9">
        <f t="shared" si="1"/>
        <v>0</v>
      </c>
      <c r="G24" s="34">
        <v>1.0</v>
      </c>
      <c r="H24" s="9">
        <f t="shared" si="2"/>
        <v>1</v>
      </c>
      <c r="I24" s="34">
        <v>0.0</v>
      </c>
      <c r="J24" s="9">
        <f t="shared" si="3"/>
        <v>0</v>
      </c>
      <c r="K24" s="34">
        <v>91.0</v>
      </c>
      <c r="L24" s="34">
        <v>48.0</v>
      </c>
      <c r="M24" s="14">
        <f t="shared" si="4"/>
        <v>0.96</v>
      </c>
      <c r="N24" s="34">
        <v>1.0</v>
      </c>
      <c r="O24" s="14">
        <f t="shared" si="5"/>
        <v>0.6666666667</v>
      </c>
      <c r="P24" s="34">
        <v>1.0</v>
      </c>
      <c r="Q24" s="44">
        <v>1.0</v>
      </c>
      <c r="R24" s="9">
        <v>10.0</v>
      </c>
      <c r="S24" s="16">
        <f t="shared" si="6"/>
        <v>4.626666667</v>
      </c>
      <c r="T24" s="17">
        <f t="shared" si="7"/>
        <v>0.4626666667</v>
      </c>
      <c r="U24" s="14">
        <f t="shared" si="8"/>
        <v>-5.373333333</v>
      </c>
      <c r="V24" s="9" t="str">
        <f t="shared" si="9"/>
        <v>Low Performance</v>
      </c>
      <c r="W24" s="9"/>
    </row>
    <row r="25" ht="15.75" customHeight="1">
      <c r="A25" s="13">
        <v>46236.0</v>
      </c>
      <c r="B25" s="49" t="s">
        <v>42</v>
      </c>
      <c r="C25" s="9" t="s">
        <v>40</v>
      </c>
      <c r="D25" s="9" t="s">
        <v>27</v>
      </c>
      <c r="E25" s="33">
        <v>0.0</v>
      </c>
      <c r="F25" s="9">
        <f t="shared" si="1"/>
        <v>0</v>
      </c>
      <c r="G25" s="34">
        <v>2.0</v>
      </c>
      <c r="H25" s="9">
        <f t="shared" si="2"/>
        <v>1</v>
      </c>
      <c r="I25" s="34">
        <v>0.0</v>
      </c>
      <c r="J25" s="9">
        <f t="shared" si="3"/>
        <v>0</v>
      </c>
      <c r="K25" s="34">
        <v>64.0</v>
      </c>
      <c r="L25" s="34">
        <v>42.0</v>
      </c>
      <c r="M25" s="14">
        <f t="shared" si="4"/>
        <v>0.84</v>
      </c>
      <c r="N25" s="34">
        <v>1.0</v>
      </c>
      <c r="O25" s="14">
        <f t="shared" si="5"/>
        <v>0.6666666667</v>
      </c>
      <c r="P25" s="34">
        <v>1.0</v>
      </c>
      <c r="Q25" s="44">
        <v>1.0</v>
      </c>
      <c r="R25" s="9">
        <v>10.0</v>
      </c>
      <c r="S25" s="16">
        <f t="shared" si="6"/>
        <v>4.506666667</v>
      </c>
      <c r="T25" s="17">
        <f t="shared" si="7"/>
        <v>0.4506666667</v>
      </c>
      <c r="U25" s="14">
        <f t="shared" si="8"/>
        <v>-5.493333333</v>
      </c>
      <c r="V25" s="9" t="str">
        <f t="shared" si="9"/>
        <v>Low Performance</v>
      </c>
      <c r="W25" s="9"/>
    </row>
    <row r="26" ht="15.75" customHeight="1">
      <c r="A26" s="13">
        <v>46236.0</v>
      </c>
      <c r="B26" s="49" t="s">
        <v>60</v>
      </c>
      <c r="C26" s="9" t="s">
        <v>40</v>
      </c>
      <c r="D26" s="9" t="s">
        <v>27</v>
      </c>
      <c r="E26" s="33">
        <v>0.0</v>
      </c>
      <c r="F26" s="9">
        <f t="shared" si="1"/>
        <v>0</v>
      </c>
      <c r="G26" s="34">
        <v>0.0</v>
      </c>
      <c r="H26" s="9">
        <f t="shared" si="2"/>
        <v>0</v>
      </c>
      <c r="I26" s="34">
        <v>2.0</v>
      </c>
      <c r="J26" s="9">
        <f t="shared" si="3"/>
        <v>1</v>
      </c>
      <c r="K26" s="34">
        <v>65.0</v>
      </c>
      <c r="L26" s="34">
        <v>38.0</v>
      </c>
      <c r="M26" s="14">
        <f t="shared" si="4"/>
        <v>0.76</v>
      </c>
      <c r="N26" s="34">
        <v>1.0</v>
      </c>
      <c r="O26" s="14">
        <f t="shared" si="5"/>
        <v>0.6666666667</v>
      </c>
      <c r="P26" s="34">
        <v>1.0</v>
      </c>
      <c r="Q26" s="44">
        <v>0.75</v>
      </c>
      <c r="R26" s="9">
        <v>10.0</v>
      </c>
      <c r="S26" s="16">
        <f t="shared" si="6"/>
        <v>4.176666667</v>
      </c>
      <c r="T26" s="17">
        <f t="shared" si="7"/>
        <v>0.4176666667</v>
      </c>
      <c r="U26" s="14">
        <f t="shared" si="8"/>
        <v>-5.823333333</v>
      </c>
      <c r="V26" s="9" t="str">
        <f t="shared" si="9"/>
        <v>Low Performance</v>
      </c>
      <c r="W26" s="9"/>
    </row>
    <row r="27" ht="15.75" customHeight="1">
      <c r="A27" s="13">
        <v>46236.0</v>
      </c>
      <c r="B27" s="49" t="s">
        <v>47</v>
      </c>
      <c r="C27" s="9" t="s">
        <v>48</v>
      </c>
      <c r="D27" s="9" t="s">
        <v>27</v>
      </c>
      <c r="E27" s="33">
        <v>0.0</v>
      </c>
      <c r="F27" s="9">
        <f t="shared" si="1"/>
        <v>0</v>
      </c>
      <c r="G27" s="34">
        <v>0.0</v>
      </c>
      <c r="H27" s="9">
        <f t="shared" si="2"/>
        <v>0</v>
      </c>
      <c r="I27" s="34">
        <v>0.0</v>
      </c>
      <c r="J27" s="9">
        <f t="shared" si="3"/>
        <v>0</v>
      </c>
      <c r="K27" s="34">
        <v>54.0</v>
      </c>
      <c r="L27" s="34">
        <v>16.0</v>
      </c>
      <c r="M27" s="14">
        <f t="shared" si="4"/>
        <v>0.32</v>
      </c>
      <c r="N27" s="34">
        <v>1.0</v>
      </c>
      <c r="O27" s="14">
        <f t="shared" si="5"/>
        <v>0.6666666667</v>
      </c>
      <c r="P27" s="34">
        <v>1.0</v>
      </c>
      <c r="Q27" s="44">
        <v>0.75</v>
      </c>
      <c r="R27" s="9">
        <v>10.0</v>
      </c>
      <c r="S27" s="16">
        <f t="shared" si="6"/>
        <v>2.736666667</v>
      </c>
      <c r="T27" s="17">
        <f t="shared" si="7"/>
        <v>0.2736666667</v>
      </c>
      <c r="U27" s="14">
        <f t="shared" si="8"/>
        <v>-7.263333333</v>
      </c>
      <c r="V27" s="9" t="str">
        <f t="shared" si="9"/>
        <v>Low Performance</v>
      </c>
      <c r="W27" s="9"/>
    </row>
    <row r="28" ht="15.75" customHeight="1">
      <c r="A28" s="13">
        <v>46236.0</v>
      </c>
      <c r="B28" s="49" t="s">
        <v>61</v>
      </c>
      <c r="C28" s="9" t="s">
        <v>48</v>
      </c>
      <c r="D28" s="9" t="s">
        <v>27</v>
      </c>
      <c r="E28" s="33">
        <v>0.0</v>
      </c>
      <c r="F28" s="9">
        <f t="shared" si="1"/>
        <v>0</v>
      </c>
      <c r="G28" s="34">
        <v>0.0</v>
      </c>
      <c r="H28" s="9">
        <f t="shared" si="2"/>
        <v>0</v>
      </c>
      <c r="I28" s="34">
        <v>0.0</v>
      </c>
      <c r="J28" s="9">
        <f t="shared" si="3"/>
        <v>0</v>
      </c>
      <c r="K28" s="34">
        <v>51.0</v>
      </c>
      <c r="L28" s="34">
        <v>19.0</v>
      </c>
      <c r="M28" s="14">
        <f t="shared" si="4"/>
        <v>0.38</v>
      </c>
      <c r="N28" s="34">
        <v>2.0</v>
      </c>
      <c r="O28" s="14">
        <f t="shared" si="5"/>
        <v>1.333333333</v>
      </c>
      <c r="P28" s="34">
        <v>1.0</v>
      </c>
      <c r="Q28" s="44">
        <v>1.0</v>
      </c>
      <c r="R28" s="9">
        <v>10.0</v>
      </c>
      <c r="S28" s="16">
        <f t="shared" si="6"/>
        <v>3.713333333</v>
      </c>
      <c r="T28" s="17">
        <f t="shared" si="7"/>
        <v>0.3713333333</v>
      </c>
      <c r="U28" s="14">
        <f t="shared" si="8"/>
        <v>-6.286666667</v>
      </c>
      <c r="V28" s="9" t="str">
        <f t="shared" si="9"/>
        <v>Low Performance</v>
      </c>
      <c r="W28" s="9"/>
    </row>
    <row r="29" ht="15.75" customHeight="1">
      <c r="A29" s="13">
        <v>46236.0</v>
      </c>
      <c r="B29" s="49" t="s">
        <v>62</v>
      </c>
      <c r="C29" s="9" t="s">
        <v>48</v>
      </c>
      <c r="D29" s="9" t="s">
        <v>27</v>
      </c>
      <c r="E29" s="33">
        <v>5000.0</v>
      </c>
      <c r="F29" s="9">
        <f t="shared" si="1"/>
        <v>3</v>
      </c>
      <c r="G29" s="34">
        <v>0.0</v>
      </c>
      <c r="H29" s="9">
        <f t="shared" si="2"/>
        <v>0</v>
      </c>
      <c r="I29" s="34">
        <v>0.0</v>
      </c>
      <c r="J29" s="9">
        <f t="shared" si="3"/>
        <v>0</v>
      </c>
      <c r="K29" s="34">
        <v>47.0</v>
      </c>
      <c r="L29" s="34">
        <v>28.0</v>
      </c>
      <c r="M29" s="14">
        <f t="shared" si="4"/>
        <v>0.56</v>
      </c>
      <c r="N29" s="34">
        <v>1.0</v>
      </c>
      <c r="O29" s="14">
        <f t="shared" si="5"/>
        <v>0.6666666667</v>
      </c>
      <c r="P29" s="34">
        <v>1.0</v>
      </c>
      <c r="Q29" s="44">
        <v>1.0</v>
      </c>
      <c r="R29" s="9">
        <v>10.0</v>
      </c>
      <c r="S29" s="16">
        <f t="shared" si="6"/>
        <v>6.226666667</v>
      </c>
      <c r="T29" s="17">
        <f t="shared" si="7"/>
        <v>0.6226666667</v>
      </c>
      <c r="U29" s="14">
        <f t="shared" si="8"/>
        <v>-3.773333333</v>
      </c>
      <c r="V29" s="9" t="str">
        <f t="shared" si="9"/>
        <v>Average</v>
      </c>
      <c r="W29" s="9"/>
    </row>
    <row r="30" ht="15.75" customHeight="1">
      <c r="A30" s="13">
        <v>46236.0</v>
      </c>
      <c r="B30" s="49" t="s">
        <v>63</v>
      </c>
      <c r="C30" s="9" t="s">
        <v>48</v>
      </c>
      <c r="D30" s="9" t="s">
        <v>27</v>
      </c>
      <c r="E30" s="33">
        <v>0.0</v>
      </c>
      <c r="F30" s="9">
        <f t="shared" si="1"/>
        <v>0</v>
      </c>
      <c r="G30" s="34">
        <v>0.0</v>
      </c>
      <c r="H30" s="9">
        <f t="shared" si="2"/>
        <v>0</v>
      </c>
      <c r="I30" s="34">
        <v>0.0</v>
      </c>
      <c r="J30" s="9">
        <f t="shared" si="3"/>
        <v>0</v>
      </c>
      <c r="K30" s="34">
        <v>51.0</v>
      </c>
      <c r="L30" s="34">
        <v>54.0</v>
      </c>
      <c r="M30" s="14">
        <f t="shared" si="4"/>
        <v>1</v>
      </c>
      <c r="N30" s="34">
        <v>1.0</v>
      </c>
      <c r="O30" s="14">
        <f t="shared" si="5"/>
        <v>0.6666666667</v>
      </c>
      <c r="P30" s="34">
        <v>1.0</v>
      </c>
      <c r="Q30" s="44">
        <v>0.75</v>
      </c>
      <c r="R30" s="9">
        <v>10.0</v>
      </c>
      <c r="S30" s="16">
        <f t="shared" si="6"/>
        <v>3.416666667</v>
      </c>
      <c r="T30" s="17">
        <f t="shared" si="7"/>
        <v>0.3416666667</v>
      </c>
      <c r="U30" s="14">
        <f t="shared" si="8"/>
        <v>-6.583333333</v>
      </c>
      <c r="V30" s="9" t="str">
        <f t="shared" si="9"/>
        <v>Low Performance</v>
      </c>
      <c r="W30" s="9"/>
    </row>
    <row r="31" ht="15.75" customHeight="1">
      <c r="A31" s="13">
        <v>46237.0</v>
      </c>
      <c r="B31" s="49" t="s">
        <v>28</v>
      </c>
      <c r="C31" s="9" t="s">
        <v>29</v>
      </c>
      <c r="D31" s="9" t="s">
        <v>27</v>
      </c>
      <c r="E31" s="10">
        <v>0.0</v>
      </c>
      <c r="F31" s="9">
        <f t="shared" si="1"/>
        <v>0</v>
      </c>
      <c r="G31" s="11">
        <v>0.0</v>
      </c>
      <c r="H31" s="9">
        <f t="shared" si="2"/>
        <v>0</v>
      </c>
      <c r="I31" s="11">
        <v>1.0</v>
      </c>
      <c r="J31" s="9">
        <f t="shared" si="3"/>
        <v>1</v>
      </c>
      <c r="K31" s="11">
        <v>115.0</v>
      </c>
      <c r="L31" s="11">
        <v>57.0</v>
      </c>
      <c r="M31" s="14">
        <f t="shared" si="4"/>
        <v>1</v>
      </c>
      <c r="N31" s="11">
        <v>2.0</v>
      </c>
      <c r="O31" s="14">
        <f t="shared" si="5"/>
        <v>1.333333333</v>
      </c>
      <c r="P31" s="11">
        <v>1.0</v>
      </c>
      <c r="Q31" s="15">
        <v>1.0</v>
      </c>
      <c r="R31" s="9">
        <v>10.0</v>
      </c>
      <c r="S31" s="16">
        <f t="shared" si="6"/>
        <v>5.333333333</v>
      </c>
      <c r="T31" s="17">
        <f t="shared" si="7"/>
        <v>0.5333333333</v>
      </c>
      <c r="U31" s="14">
        <f t="shared" si="8"/>
        <v>-4.666666667</v>
      </c>
      <c r="V31" s="9" t="str">
        <f t="shared" si="9"/>
        <v>Average</v>
      </c>
      <c r="W31" s="9"/>
    </row>
    <row r="32" ht="15.75" customHeight="1">
      <c r="A32" s="13">
        <v>46237.0</v>
      </c>
      <c r="B32" s="49" t="s">
        <v>36</v>
      </c>
      <c r="C32" s="9" t="s">
        <v>29</v>
      </c>
      <c r="D32" s="9" t="s">
        <v>27</v>
      </c>
      <c r="E32" s="10">
        <v>0.0</v>
      </c>
      <c r="F32" s="9">
        <f t="shared" si="1"/>
        <v>0</v>
      </c>
      <c r="G32" s="11">
        <v>2.0</v>
      </c>
      <c r="H32" s="9">
        <f t="shared" si="2"/>
        <v>1</v>
      </c>
      <c r="I32" s="11">
        <v>0.0</v>
      </c>
      <c r="J32" s="9">
        <f t="shared" si="3"/>
        <v>0</v>
      </c>
      <c r="K32" s="11">
        <v>58.0</v>
      </c>
      <c r="L32" s="11">
        <v>32.0</v>
      </c>
      <c r="M32" s="14">
        <f t="shared" si="4"/>
        <v>0.64</v>
      </c>
      <c r="N32" s="11">
        <v>3.0</v>
      </c>
      <c r="O32" s="14">
        <f t="shared" si="5"/>
        <v>2</v>
      </c>
      <c r="P32" s="11">
        <v>1.0</v>
      </c>
      <c r="Q32" s="15">
        <v>0.75</v>
      </c>
      <c r="R32" s="9">
        <v>10.0</v>
      </c>
      <c r="S32" s="16">
        <f t="shared" si="6"/>
        <v>5.39</v>
      </c>
      <c r="T32" s="17">
        <f t="shared" si="7"/>
        <v>0.539</v>
      </c>
      <c r="U32" s="14">
        <f t="shared" si="8"/>
        <v>-4.61</v>
      </c>
      <c r="V32" s="9" t="str">
        <f t="shared" si="9"/>
        <v>Average</v>
      </c>
      <c r="W32" s="9"/>
    </row>
    <row r="33" ht="15.75" customHeight="1">
      <c r="A33" s="13">
        <v>46237.0</v>
      </c>
      <c r="B33" s="49" t="s">
        <v>56</v>
      </c>
      <c r="C33" s="9" t="s">
        <v>29</v>
      </c>
      <c r="D33" s="9" t="s">
        <v>27</v>
      </c>
      <c r="E33" s="10">
        <v>0.0</v>
      </c>
      <c r="F33" s="9">
        <f t="shared" si="1"/>
        <v>0</v>
      </c>
      <c r="G33" s="11">
        <v>1.0</v>
      </c>
      <c r="H33" s="9">
        <f t="shared" si="2"/>
        <v>1</v>
      </c>
      <c r="I33" s="11">
        <v>0.0</v>
      </c>
      <c r="J33" s="9">
        <f t="shared" si="3"/>
        <v>0</v>
      </c>
      <c r="K33" s="11">
        <v>64.0</v>
      </c>
      <c r="L33" s="11">
        <v>31.0</v>
      </c>
      <c r="M33" s="14">
        <f t="shared" si="4"/>
        <v>0.62</v>
      </c>
      <c r="N33" s="11">
        <v>2.0</v>
      </c>
      <c r="O33" s="14">
        <f t="shared" si="5"/>
        <v>1.333333333</v>
      </c>
      <c r="P33" s="11">
        <v>1.0</v>
      </c>
      <c r="Q33" s="15">
        <v>1.0</v>
      </c>
      <c r="R33" s="9">
        <v>10.0</v>
      </c>
      <c r="S33" s="16">
        <f t="shared" si="6"/>
        <v>4.953333333</v>
      </c>
      <c r="T33" s="17">
        <f t="shared" si="7"/>
        <v>0.4953333333</v>
      </c>
      <c r="U33" s="14">
        <f t="shared" si="8"/>
        <v>-5.046666667</v>
      </c>
      <c r="V33" s="9" t="str">
        <f t="shared" si="9"/>
        <v>Low Performance</v>
      </c>
      <c r="W33" s="9"/>
    </row>
    <row r="34" ht="15.75" customHeight="1">
      <c r="A34" s="13">
        <v>46237.0</v>
      </c>
      <c r="B34" s="49" t="s">
        <v>37</v>
      </c>
      <c r="C34" s="9" t="s">
        <v>29</v>
      </c>
      <c r="D34" s="9" t="s">
        <v>27</v>
      </c>
      <c r="E34" s="10">
        <v>0.0</v>
      </c>
      <c r="F34" s="9">
        <f t="shared" si="1"/>
        <v>0</v>
      </c>
      <c r="G34" s="11">
        <v>1.0</v>
      </c>
      <c r="H34" s="9">
        <f t="shared" si="2"/>
        <v>1</v>
      </c>
      <c r="I34" s="11">
        <v>1.0</v>
      </c>
      <c r="J34" s="9">
        <f t="shared" si="3"/>
        <v>1</v>
      </c>
      <c r="K34" s="11">
        <v>62.0</v>
      </c>
      <c r="L34" s="11">
        <v>53.0</v>
      </c>
      <c r="M34" s="14">
        <f t="shared" si="4"/>
        <v>1</v>
      </c>
      <c r="N34" s="11">
        <v>3.0</v>
      </c>
      <c r="O34" s="14">
        <f t="shared" si="5"/>
        <v>2</v>
      </c>
      <c r="P34" s="11">
        <v>1.0</v>
      </c>
      <c r="Q34" s="15">
        <v>1.0</v>
      </c>
      <c r="R34" s="9">
        <v>10.0</v>
      </c>
      <c r="S34" s="16">
        <f t="shared" si="6"/>
        <v>7</v>
      </c>
      <c r="T34" s="17">
        <f t="shared" si="7"/>
        <v>0.7</v>
      </c>
      <c r="U34" s="14">
        <f t="shared" si="8"/>
        <v>-3</v>
      </c>
      <c r="V34" s="9" t="str">
        <f t="shared" si="9"/>
        <v>Near Target</v>
      </c>
      <c r="W34" s="9"/>
    </row>
    <row r="35" ht="15.75" customHeight="1">
      <c r="A35" s="13">
        <v>46237.0</v>
      </c>
      <c r="B35" s="49" t="s">
        <v>57</v>
      </c>
      <c r="C35" s="9" t="s">
        <v>29</v>
      </c>
      <c r="D35" s="9" t="s">
        <v>27</v>
      </c>
      <c r="E35" s="10">
        <v>0.0</v>
      </c>
      <c r="F35" s="9">
        <f t="shared" si="1"/>
        <v>0</v>
      </c>
      <c r="G35" s="11">
        <v>2.0</v>
      </c>
      <c r="H35" s="9">
        <f t="shared" si="2"/>
        <v>1</v>
      </c>
      <c r="I35" s="11">
        <v>1.0</v>
      </c>
      <c r="J35" s="9">
        <f t="shared" si="3"/>
        <v>1</v>
      </c>
      <c r="K35" s="11">
        <v>68.0</v>
      </c>
      <c r="L35" s="11">
        <v>55.0</v>
      </c>
      <c r="M35" s="14">
        <f t="shared" si="4"/>
        <v>1</v>
      </c>
      <c r="N35" s="11">
        <v>3.0</v>
      </c>
      <c r="O35" s="14">
        <f t="shared" si="5"/>
        <v>2</v>
      </c>
      <c r="P35" s="11">
        <v>1.0</v>
      </c>
      <c r="Q35" s="15">
        <v>1.0</v>
      </c>
      <c r="R35" s="9">
        <v>10.0</v>
      </c>
      <c r="S35" s="16">
        <f t="shared" si="6"/>
        <v>7</v>
      </c>
      <c r="T35" s="17">
        <f t="shared" si="7"/>
        <v>0.7</v>
      </c>
      <c r="U35" s="14">
        <f t="shared" si="8"/>
        <v>-3</v>
      </c>
      <c r="V35" s="9" t="str">
        <f t="shared" si="9"/>
        <v>Near Target</v>
      </c>
      <c r="W35" s="9"/>
    </row>
    <row r="36" ht="15.75" customHeight="1">
      <c r="A36" s="13">
        <v>46237.0</v>
      </c>
      <c r="B36" s="49" t="s">
        <v>58</v>
      </c>
      <c r="C36" s="9" t="s">
        <v>40</v>
      </c>
      <c r="D36" s="9" t="s">
        <v>27</v>
      </c>
      <c r="E36" s="10">
        <v>0.0</v>
      </c>
      <c r="F36" s="9">
        <f t="shared" si="1"/>
        <v>0</v>
      </c>
      <c r="G36" s="11">
        <v>1.0</v>
      </c>
      <c r="H36" s="9">
        <f t="shared" si="2"/>
        <v>1</v>
      </c>
      <c r="I36" s="11">
        <v>0.0</v>
      </c>
      <c r="J36" s="9">
        <f t="shared" si="3"/>
        <v>0</v>
      </c>
      <c r="K36" s="11">
        <v>52.0</v>
      </c>
      <c r="L36" s="11">
        <v>38.0</v>
      </c>
      <c r="M36" s="14">
        <f t="shared" si="4"/>
        <v>0.76</v>
      </c>
      <c r="N36" s="11">
        <v>1.0</v>
      </c>
      <c r="O36" s="14">
        <f t="shared" si="5"/>
        <v>0.6666666667</v>
      </c>
      <c r="P36" s="11">
        <v>1.0</v>
      </c>
      <c r="Q36" s="15">
        <v>1.0</v>
      </c>
      <c r="R36" s="9">
        <v>10.0</v>
      </c>
      <c r="S36" s="16">
        <f t="shared" si="6"/>
        <v>4.426666667</v>
      </c>
      <c r="T36" s="17">
        <f t="shared" si="7"/>
        <v>0.4426666667</v>
      </c>
      <c r="U36" s="14">
        <f t="shared" si="8"/>
        <v>-5.573333333</v>
      </c>
      <c r="V36" s="9" t="str">
        <f t="shared" si="9"/>
        <v>Low Performance</v>
      </c>
      <c r="W36" s="9"/>
    </row>
    <row r="37" ht="15.75" customHeight="1">
      <c r="A37" s="13">
        <v>46237.0</v>
      </c>
      <c r="B37" s="50" t="s">
        <v>59</v>
      </c>
      <c r="C37" s="9" t="s">
        <v>40</v>
      </c>
      <c r="D37" s="9" t="s">
        <v>27</v>
      </c>
      <c r="E37" s="10">
        <v>90000.0</v>
      </c>
      <c r="F37" s="9">
        <f t="shared" si="1"/>
        <v>3</v>
      </c>
      <c r="G37" s="11">
        <v>0.0</v>
      </c>
      <c r="H37" s="9">
        <f t="shared" si="2"/>
        <v>0</v>
      </c>
      <c r="I37" s="11">
        <v>0.0</v>
      </c>
      <c r="J37" s="9">
        <f t="shared" si="3"/>
        <v>0</v>
      </c>
      <c r="K37" s="11">
        <v>61.0</v>
      </c>
      <c r="L37" s="11">
        <v>48.0</v>
      </c>
      <c r="M37" s="14">
        <f t="shared" si="4"/>
        <v>0.96</v>
      </c>
      <c r="N37" s="11">
        <v>1.0</v>
      </c>
      <c r="O37" s="14">
        <f t="shared" si="5"/>
        <v>0.6666666667</v>
      </c>
      <c r="P37" s="11">
        <v>1.0</v>
      </c>
      <c r="Q37" s="15">
        <v>1.0</v>
      </c>
      <c r="R37" s="9">
        <v>10.0</v>
      </c>
      <c r="S37" s="16">
        <f t="shared" si="6"/>
        <v>6.626666667</v>
      </c>
      <c r="T37" s="17">
        <f t="shared" si="7"/>
        <v>0.6626666667</v>
      </c>
      <c r="U37" s="14">
        <f t="shared" si="8"/>
        <v>-3.373333333</v>
      </c>
      <c r="V37" s="9" t="str">
        <f t="shared" si="9"/>
        <v>Average</v>
      </c>
      <c r="W37" s="9"/>
    </row>
    <row r="38" ht="15.75" customHeight="1">
      <c r="A38" s="13">
        <v>46237.0</v>
      </c>
      <c r="B38" s="49" t="s">
        <v>41</v>
      </c>
      <c r="C38" s="9" t="s">
        <v>40</v>
      </c>
      <c r="D38" s="9" t="s">
        <v>27</v>
      </c>
      <c r="E38" s="10">
        <v>0.0</v>
      </c>
      <c r="F38" s="9">
        <f t="shared" si="1"/>
        <v>0</v>
      </c>
      <c r="G38" s="11">
        <v>1.0</v>
      </c>
      <c r="H38" s="9">
        <f t="shared" si="2"/>
        <v>1</v>
      </c>
      <c r="I38" s="11">
        <v>0.0</v>
      </c>
      <c r="J38" s="9">
        <f t="shared" si="3"/>
        <v>0</v>
      </c>
      <c r="K38" s="11">
        <v>61.0</v>
      </c>
      <c r="L38" s="11">
        <v>40.0</v>
      </c>
      <c r="M38" s="14">
        <f t="shared" si="4"/>
        <v>0.8</v>
      </c>
      <c r="N38" s="11">
        <v>1.0</v>
      </c>
      <c r="O38" s="14">
        <f t="shared" si="5"/>
        <v>0.6666666667</v>
      </c>
      <c r="P38" s="11">
        <v>1.0</v>
      </c>
      <c r="Q38" s="15">
        <v>1.0</v>
      </c>
      <c r="R38" s="9">
        <v>10.0</v>
      </c>
      <c r="S38" s="16">
        <f t="shared" si="6"/>
        <v>4.466666667</v>
      </c>
      <c r="T38" s="17">
        <f t="shared" si="7"/>
        <v>0.4466666667</v>
      </c>
      <c r="U38" s="14">
        <f t="shared" si="8"/>
        <v>-5.533333333</v>
      </c>
      <c r="V38" s="9" t="str">
        <f t="shared" si="9"/>
        <v>Low Performance</v>
      </c>
      <c r="W38" s="9"/>
    </row>
    <row r="39" ht="15.75" customHeight="1">
      <c r="A39" s="13">
        <v>46237.0</v>
      </c>
      <c r="B39" s="49" t="s">
        <v>42</v>
      </c>
      <c r="C39" s="9" t="s">
        <v>40</v>
      </c>
      <c r="D39" s="9" t="s">
        <v>27</v>
      </c>
      <c r="E39" s="10">
        <v>100000.0</v>
      </c>
      <c r="F39" s="9">
        <f t="shared" si="1"/>
        <v>3</v>
      </c>
      <c r="G39" s="11">
        <v>0.0</v>
      </c>
      <c r="H39" s="9">
        <f t="shared" si="2"/>
        <v>0</v>
      </c>
      <c r="I39" s="11">
        <v>0.0</v>
      </c>
      <c r="J39" s="9">
        <f t="shared" si="3"/>
        <v>0</v>
      </c>
      <c r="K39" s="11">
        <v>65.0</v>
      </c>
      <c r="L39" s="11">
        <v>45.0</v>
      </c>
      <c r="M39" s="14">
        <f t="shared" si="4"/>
        <v>0.9</v>
      </c>
      <c r="N39" s="11">
        <v>1.0</v>
      </c>
      <c r="O39" s="14">
        <f t="shared" si="5"/>
        <v>0.6666666667</v>
      </c>
      <c r="P39" s="11">
        <v>1.0</v>
      </c>
      <c r="Q39" s="15">
        <v>1.0</v>
      </c>
      <c r="R39" s="9">
        <v>10.0</v>
      </c>
      <c r="S39" s="16">
        <f t="shared" si="6"/>
        <v>6.566666667</v>
      </c>
      <c r="T39" s="17">
        <f t="shared" si="7"/>
        <v>0.6566666667</v>
      </c>
      <c r="U39" s="14">
        <f t="shared" si="8"/>
        <v>-3.433333333</v>
      </c>
      <c r="V39" s="9" t="str">
        <f t="shared" si="9"/>
        <v>Average</v>
      </c>
      <c r="W39" s="9"/>
    </row>
    <row r="40" ht="15.75" customHeight="1">
      <c r="A40" s="13">
        <v>46237.0</v>
      </c>
      <c r="B40" s="49" t="s">
        <v>60</v>
      </c>
      <c r="C40" s="9" t="s">
        <v>40</v>
      </c>
      <c r="D40" s="9" t="s">
        <v>27</v>
      </c>
      <c r="E40" s="10">
        <v>0.0</v>
      </c>
      <c r="F40" s="9">
        <f t="shared" si="1"/>
        <v>0</v>
      </c>
      <c r="G40" s="11">
        <v>1.0</v>
      </c>
      <c r="H40" s="9">
        <f t="shared" si="2"/>
        <v>1</v>
      </c>
      <c r="I40" s="11">
        <v>0.0</v>
      </c>
      <c r="J40" s="9">
        <f t="shared" si="3"/>
        <v>0</v>
      </c>
      <c r="K40" s="11">
        <v>70.0</v>
      </c>
      <c r="L40" s="11">
        <v>41.0</v>
      </c>
      <c r="M40" s="14">
        <f t="shared" si="4"/>
        <v>0.82</v>
      </c>
      <c r="N40" s="11">
        <v>2.0</v>
      </c>
      <c r="O40" s="14">
        <f t="shared" si="5"/>
        <v>1.333333333</v>
      </c>
      <c r="P40" s="11">
        <v>1.0</v>
      </c>
      <c r="Q40" s="15">
        <v>1.0</v>
      </c>
      <c r="R40" s="9">
        <v>10.0</v>
      </c>
      <c r="S40" s="16">
        <f t="shared" si="6"/>
        <v>5.153333333</v>
      </c>
      <c r="T40" s="17">
        <f t="shared" si="7"/>
        <v>0.5153333333</v>
      </c>
      <c r="U40" s="14">
        <f t="shared" si="8"/>
        <v>-4.846666667</v>
      </c>
      <c r="V40" s="9" t="str">
        <f t="shared" si="9"/>
        <v>Average</v>
      </c>
      <c r="W40" s="9"/>
    </row>
    <row r="41" ht="15.75" customHeight="1">
      <c r="A41" s="13">
        <v>46237.0</v>
      </c>
      <c r="B41" s="49" t="s">
        <v>47</v>
      </c>
      <c r="C41" s="9" t="s">
        <v>48</v>
      </c>
      <c r="D41" s="9" t="s">
        <v>27</v>
      </c>
      <c r="E41" s="10">
        <v>0.0</v>
      </c>
      <c r="F41" s="9">
        <f t="shared" si="1"/>
        <v>0</v>
      </c>
      <c r="G41" s="11">
        <v>2.0</v>
      </c>
      <c r="H41" s="9">
        <f t="shared" si="2"/>
        <v>1</v>
      </c>
      <c r="I41" s="11">
        <v>0.0</v>
      </c>
      <c r="J41" s="9">
        <f t="shared" si="3"/>
        <v>0</v>
      </c>
      <c r="K41" s="11">
        <v>53.0</v>
      </c>
      <c r="L41" s="11">
        <v>22.0</v>
      </c>
      <c r="M41" s="14">
        <f t="shared" si="4"/>
        <v>0.44</v>
      </c>
      <c r="N41" s="11">
        <v>1.0</v>
      </c>
      <c r="O41" s="14">
        <f t="shared" si="5"/>
        <v>0.6666666667</v>
      </c>
      <c r="P41" s="11">
        <v>1.0</v>
      </c>
      <c r="Q41" s="15">
        <v>0.75</v>
      </c>
      <c r="R41" s="9">
        <v>10.0</v>
      </c>
      <c r="S41" s="16">
        <f t="shared" si="6"/>
        <v>3.856666667</v>
      </c>
      <c r="T41" s="17">
        <f t="shared" si="7"/>
        <v>0.3856666667</v>
      </c>
      <c r="U41" s="14">
        <f t="shared" si="8"/>
        <v>-6.143333333</v>
      </c>
      <c r="V41" s="9" t="str">
        <f t="shared" si="9"/>
        <v>Low Performance</v>
      </c>
      <c r="W41" s="9"/>
    </row>
    <row r="42" ht="15.75" customHeight="1">
      <c r="A42" s="13">
        <v>46237.0</v>
      </c>
      <c r="B42" s="49" t="s">
        <v>61</v>
      </c>
      <c r="C42" s="9" t="s">
        <v>48</v>
      </c>
      <c r="D42" s="9" t="s">
        <v>27</v>
      </c>
      <c r="E42" s="10">
        <v>0.0</v>
      </c>
      <c r="F42" s="9">
        <f t="shared" si="1"/>
        <v>0</v>
      </c>
      <c r="G42" s="11">
        <v>3.0</v>
      </c>
      <c r="H42" s="9">
        <f t="shared" si="2"/>
        <v>1</v>
      </c>
      <c r="I42" s="11">
        <v>0.0</v>
      </c>
      <c r="J42" s="9">
        <f t="shared" si="3"/>
        <v>0</v>
      </c>
      <c r="K42" s="11">
        <v>65.0</v>
      </c>
      <c r="L42" s="11">
        <v>30.0</v>
      </c>
      <c r="M42" s="14">
        <f t="shared" si="4"/>
        <v>0.6</v>
      </c>
      <c r="N42" s="11">
        <v>2.0</v>
      </c>
      <c r="O42" s="14">
        <f t="shared" si="5"/>
        <v>1.333333333</v>
      </c>
      <c r="P42" s="11">
        <v>1.0</v>
      </c>
      <c r="Q42" s="15">
        <v>0.75</v>
      </c>
      <c r="R42" s="9">
        <v>10.0</v>
      </c>
      <c r="S42" s="16">
        <f t="shared" si="6"/>
        <v>4.683333333</v>
      </c>
      <c r="T42" s="17">
        <f t="shared" si="7"/>
        <v>0.4683333333</v>
      </c>
      <c r="U42" s="14">
        <f t="shared" si="8"/>
        <v>-5.316666667</v>
      </c>
      <c r="V42" s="9" t="str">
        <f t="shared" si="9"/>
        <v>Low Performance</v>
      </c>
      <c r="W42" s="9"/>
    </row>
    <row r="43" ht="15.75" customHeight="1">
      <c r="A43" s="13">
        <v>46237.0</v>
      </c>
      <c r="B43" s="49" t="s">
        <v>62</v>
      </c>
      <c r="C43" s="9" t="s">
        <v>48</v>
      </c>
      <c r="D43" s="9" t="s">
        <v>27</v>
      </c>
      <c r="E43" s="10">
        <v>4000.0</v>
      </c>
      <c r="F43" s="9">
        <f t="shared" si="1"/>
        <v>3</v>
      </c>
      <c r="G43" s="11">
        <v>1.0</v>
      </c>
      <c r="H43" s="9">
        <f t="shared" si="2"/>
        <v>1</v>
      </c>
      <c r="I43" s="11">
        <v>0.0</v>
      </c>
      <c r="J43" s="9">
        <f t="shared" si="3"/>
        <v>0</v>
      </c>
      <c r="K43" s="11">
        <v>65.0</v>
      </c>
      <c r="L43" s="11">
        <v>25.0</v>
      </c>
      <c r="M43" s="14">
        <f t="shared" si="4"/>
        <v>0.5</v>
      </c>
      <c r="N43" s="11">
        <v>1.0</v>
      </c>
      <c r="O43" s="14">
        <f t="shared" si="5"/>
        <v>0.6666666667</v>
      </c>
      <c r="P43" s="11">
        <v>1.0</v>
      </c>
      <c r="Q43" s="15">
        <v>1.0</v>
      </c>
      <c r="R43" s="9">
        <v>10.0</v>
      </c>
      <c r="S43" s="16">
        <f t="shared" si="6"/>
        <v>7.166666667</v>
      </c>
      <c r="T43" s="17">
        <f t="shared" si="7"/>
        <v>0.7166666667</v>
      </c>
      <c r="U43" s="14">
        <f t="shared" si="8"/>
        <v>-2.833333333</v>
      </c>
      <c r="V43" s="9" t="str">
        <f t="shared" si="9"/>
        <v>Near Target</v>
      </c>
      <c r="W43" s="9"/>
    </row>
    <row r="44" ht="15.75" customHeight="1">
      <c r="A44" s="13">
        <v>46237.0</v>
      </c>
      <c r="B44" s="49" t="s">
        <v>63</v>
      </c>
      <c r="C44" s="9" t="s">
        <v>48</v>
      </c>
      <c r="D44" s="9" t="s">
        <v>27</v>
      </c>
      <c r="E44" s="10">
        <v>0.0</v>
      </c>
      <c r="F44" s="9">
        <f t="shared" si="1"/>
        <v>0</v>
      </c>
      <c r="G44" s="11">
        <v>1.0</v>
      </c>
      <c r="H44" s="9">
        <f t="shared" si="2"/>
        <v>1</v>
      </c>
      <c r="I44" s="11">
        <v>1.0</v>
      </c>
      <c r="J44" s="9">
        <f t="shared" si="3"/>
        <v>1</v>
      </c>
      <c r="K44" s="11">
        <v>67.0</v>
      </c>
      <c r="L44" s="11">
        <v>34.0</v>
      </c>
      <c r="M44" s="14">
        <f t="shared" si="4"/>
        <v>0.68</v>
      </c>
      <c r="N44" s="11">
        <v>1.0</v>
      </c>
      <c r="O44" s="14">
        <f t="shared" si="5"/>
        <v>0.6666666667</v>
      </c>
      <c r="P44" s="11">
        <v>1.0</v>
      </c>
      <c r="Q44" s="11">
        <v>0.75</v>
      </c>
      <c r="R44" s="9">
        <v>10.0</v>
      </c>
      <c r="S44" s="16">
        <f t="shared" si="6"/>
        <v>5.096666667</v>
      </c>
      <c r="T44" s="17">
        <f t="shared" si="7"/>
        <v>0.5096666667</v>
      </c>
      <c r="U44" s="14">
        <f t="shared" si="8"/>
        <v>-4.903333333</v>
      </c>
      <c r="V44" s="9" t="str">
        <f t="shared" si="9"/>
        <v>Average</v>
      </c>
      <c r="W44" s="9"/>
    </row>
    <row r="45" ht="15.75" customHeight="1">
      <c r="A45" s="13">
        <v>46238.0</v>
      </c>
      <c r="B45" s="49" t="s">
        <v>28</v>
      </c>
      <c r="C45" s="9" t="s">
        <v>29</v>
      </c>
      <c r="D45" s="9" t="s">
        <v>27</v>
      </c>
      <c r="E45" s="10">
        <v>0.0</v>
      </c>
      <c r="F45" s="9">
        <f t="shared" si="1"/>
        <v>0</v>
      </c>
      <c r="G45" s="11">
        <v>0.0</v>
      </c>
      <c r="H45" s="9">
        <f t="shared" si="2"/>
        <v>0</v>
      </c>
      <c r="I45" s="11">
        <v>0.0</v>
      </c>
      <c r="J45" s="9">
        <f t="shared" si="3"/>
        <v>0</v>
      </c>
      <c r="K45" s="11">
        <v>98.0</v>
      </c>
      <c r="L45" s="11">
        <v>56.0</v>
      </c>
      <c r="M45" s="14">
        <f t="shared" si="4"/>
        <v>1</v>
      </c>
      <c r="N45" s="11">
        <v>3.0</v>
      </c>
      <c r="O45" s="14">
        <f t="shared" si="5"/>
        <v>2</v>
      </c>
      <c r="P45" s="11">
        <v>1.0</v>
      </c>
      <c r="Q45" s="15">
        <v>1.0</v>
      </c>
      <c r="R45" s="9">
        <v>10.0</v>
      </c>
      <c r="S45" s="16">
        <f t="shared" si="6"/>
        <v>5</v>
      </c>
      <c r="T45" s="17">
        <f t="shared" si="7"/>
        <v>0.5</v>
      </c>
      <c r="U45" s="14">
        <f t="shared" si="8"/>
        <v>-5</v>
      </c>
      <c r="V45" s="9" t="str">
        <f t="shared" si="9"/>
        <v>Average</v>
      </c>
      <c r="W45" s="9"/>
    </row>
    <row r="46" ht="15.75" customHeight="1">
      <c r="A46" s="13">
        <v>46238.0</v>
      </c>
      <c r="B46" s="49" t="s">
        <v>36</v>
      </c>
      <c r="C46" s="9" t="s">
        <v>29</v>
      </c>
      <c r="D46" s="9" t="s">
        <v>27</v>
      </c>
      <c r="E46" s="10">
        <v>0.0</v>
      </c>
      <c r="F46" s="9">
        <f t="shared" si="1"/>
        <v>0</v>
      </c>
      <c r="G46" s="11">
        <v>1.0</v>
      </c>
      <c r="H46" s="9">
        <f t="shared" si="2"/>
        <v>1</v>
      </c>
      <c r="I46" s="11">
        <v>2.0</v>
      </c>
      <c r="J46" s="9">
        <f t="shared" si="3"/>
        <v>1</v>
      </c>
      <c r="K46" s="11">
        <v>57.0</v>
      </c>
      <c r="L46" s="11">
        <v>47.0</v>
      </c>
      <c r="M46" s="14">
        <f t="shared" si="4"/>
        <v>0.94</v>
      </c>
      <c r="N46" s="11">
        <v>3.0</v>
      </c>
      <c r="O46" s="14">
        <f t="shared" si="5"/>
        <v>2</v>
      </c>
      <c r="P46" s="11">
        <v>1.0</v>
      </c>
      <c r="Q46" s="15">
        <v>0.75</v>
      </c>
      <c r="R46" s="9">
        <v>10.0</v>
      </c>
      <c r="S46" s="16">
        <f t="shared" si="6"/>
        <v>6.69</v>
      </c>
      <c r="T46" s="17">
        <f t="shared" si="7"/>
        <v>0.669</v>
      </c>
      <c r="U46" s="14">
        <f t="shared" si="8"/>
        <v>-3.31</v>
      </c>
      <c r="V46" s="9" t="str">
        <f t="shared" si="9"/>
        <v>Average</v>
      </c>
      <c r="W46" s="9"/>
    </row>
    <row r="47" ht="15.75" customHeight="1">
      <c r="A47" s="13">
        <v>46238.0</v>
      </c>
      <c r="B47" s="49" t="s">
        <v>56</v>
      </c>
      <c r="C47" s="9" t="s">
        <v>29</v>
      </c>
      <c r="D47" s="9" t="s">
        <v>27</v>
      </c>
      <c r="E47" s="10">
        <v>0.0</v>
      </c>
      <c r="F47" s="9">
        <f t="shared" si="1"/>
        <v>0</v>
      </c>
      <c r="G47" s="11">
        <v>0.0</v>
      </c>
      <c r="H47" s="9">
        <f t="shared" si="2"/>
        <v>0</v>
      </c>
      <c r="I47" s="11">
        <v>1.0</v>
      </c>
      <c r="J47" s="9">
        <f t="shared" si="3"/>
        <v>1</v>
      </c>
      <c r="K47" s="11">
        <v>74.0</v>
      </c>
      <c r="L47" s="11">
        <v>52.0</v>
      </c>
      <c r="M47" s="14">
        <f t="shared" si="4"/>
        <v>1</v>
      </c>
      <c r="N47" s="11">
        <v>3.0</v>
      </c>
      <c r="O47" s="14">
        <f t="shared" si="5"/>
        <v>2</v>
      </c>
      <c r="P47" s="11">
        <v>1.0</v>
      </c>
      <c r="Q47" s="15">
        <v>1.0</v>
      </c>
      <c r="R47" s="9">
        <v>10.0</v>
      </c>
      <c r="S47" s="16">
        <f t="shared" si="6"/>
        <v>6</v>
      </c>
      <c r="T47" s="17">
        <f t="shared" si="7"/>
        <v>0.6</v>
      </c>
      <c r="U47" s="14">
        <f t="shared" si="8"/>
        <v>-4</v>
      </c>
      <c r="V47" s="9" t="str">
        <f t="shared" si="9"/>
        <v>Average</v>
      </c>
      <c r="W47" s="9"/>
    </row>
    <row r="48" ht="15.75" customHeight="1">
      <c r="A48" s="13">
        <v>46238.0</v>
      </c>
      <c r="B48" s="49" t="s">
        <v>37</v>
      </c>
      <c r="C48" s="9" t="s">
        <v>29</v>
      </c>
      <c r="D48" s="9" t="s">
        <v>27</v>
      </c>
      <c r="E48" s="10">
        <v>0.0</v>
      </c>
      <c r="F48" s="9">
        <f t="shared" si="1"/>
        <v>0</v>
      </c>
      <c r="G48" s="11">
        <v>0.0</v>
      </c>
      <c r="H48" s="9">
        <f t="shared" si="2"/>
        <v>0</v>
      </c>
      <c r="I48" s="11">
        <v>0.0</v>
      </c>
      <c r="J48" s="9">
        <f t="shared" si="3"/>
        <v>0</v>
      </c>
      <c r="K48" s="11">
        <v>72.0</v>
      </c>
      <c r="L48" s="11">
        <v>53.0</v>
      </c>
      <c r="M48" s="14">
        <f t="shared" si="4"/>
        <v>1</v>
      </c>
      <c r="N48" s="11">
        <v>3.0</v>
      </c>
      <c r="O48" s="14">
        <f t="shared" si="5"/>
        <v>2</v>
      </c>
      <c r="P48" s="11">
        <v>1.0</v>
      </c>
      <c r="Q48" s="15">
        <v>0.75</v>
      </c>
      <c r="R48" s="9">
        <v>10.0</v>
      </c>
      <c r="S48" s="16">
        <f t="shared" si="6"/>
        <v>4.75</v>
      </c>
      <c r="T48" s="17">
        <f t="shared" si="7"/>
        <v>0.475</v>
      </c>
      <c r="U48" s="14">
        <f t="shared" si="8"/>
        <v>-5.25</v>
      </c>
      <c r="V48" s="9" t="str">
        <f t="shared" si="9"/>
        <v>Low Performance</v>
      </c>
      <c r="W48" s="9"/>
    </row>
    <row r="49" ht="15.75" customHeight="1">
      <c r="A49" s="13">
        <v>46238.0</v>
      </c>
      <c r="B49" s="49" t="s">
        <v>57</v>
      </c>
      <c r="C49" s="9" t="s">
        <v>29</v>
      </c>
      <c r="D49" s="9" t="s">
        <v>27</v>
      </c>
      <c r="E49" s="10">
        <v>0.0</v>
      </c>
      <c r="F49" s="9">
        <f t="shared" si="1"/>
        <v>0</v>
      </c>
      <c r="G49" s="11">
        <v>0.0</v>
      </c>
      <c r="H49" s="9">
        <f t="shared" si="2"/>
        <v>0</v>
      </c>
      <c r="I49" s="11">
        <v>1.0</v>
      </c>
      <c r="J49" s="9">
        <f t="shared" si="3"/>
        <v>1</v>
      </c>
      <c r="K49" s="11">
        <v>62.0</v>
      </c>
      <c r="L49" s="11">
        <v>52.0</v>
      </c>
      <c r="M49" s="14">
        <f t="shared" si="4"/>
        <v>1</v>
      </c>
      <c r="N49" s="11">
        <v>3.0</v>
      </c>
      <c r="O49" s="14">
        <f t="shared" si="5"/>
        <v>2</v>
      </c>
      <c r="P49" s="11">
        <v>1.0</v>
      </c>
      <c r="Q49" s="15">
        <v>1.0</v>
      </c>
      <c r="R49" s="9">
        <v>10.0</v>
      </c>
      <c r="S49" s="16">
        <f t="shared" si="6"/>
        <v>6</v>
      </c>
      <c r="T49" s="17">
        <f t="shared" si="7"/>
        <v>0.6</v>
      </c>
      <c r="U49" s="14">
        <f t="shared" si="8"/>
        <v>-4</v>
      </c>
      <c r="V49" s="9" t="str">
        <f t="shared" si="9"/>
        <v>Average</v>
      </c>
      <c r="W49" s="9"/>
    </row>
    <row r="50" ht="15.75" customHeight="1">
      <c r="A50" s="13">
        <v>46238.0</v>
      </c>
      <c r="B50" s="49" t="s">
        <v>58</v>
      </c>
      <c r="C50" s="9" t="s">
        <v>40</v>
      </c>
      <c r="D50" s="9" t="s">
        <v>27</v>
      </c>
      <c r="E50" s="10">
        <v>0.0</v>
      </c>
      <c r="F50" s="9">
        <f t="shared" si="1"/>
        <v>0</v>
      </c>
      <c r="G50" s="11">
        <v>0.0</v>
      </c>
      <c r="H50" s="9">
        <f t="shared" si="2"/>
        <v>0</v>
      </c>
      <c r="I50" s="11">
        <v>1.0</v>
      </c>
      <c r="J50" s="9">
        <f t="shared" si="3"/>
        <v>1</v>
      </c>
      <c r="K50" s="11">
        <v>56.0</v>
      </c>
      <c r="L50" s="11">
        <v>41.0</v>
      </c>
      <c r="M50" s="14">
        <f t="shared" si="4"/>
        <v>0.82</v>
      </c>
      <c r="N50" s="11">
        <v>1.0</v>
      </c>
      <c r="O50" s="14">
        <f t="shared" si="5"/>
        <v>0.6666666667</v>
      </c>
      <c r="P50" s="11">
        <v>1.0</v>
      </c>
      <c r="Q50" s="15">
        <v>1.0</v>
      </c>
      <c r="R50" s="9">
        <v>10.0</v>
      </c>
      <c r="S50" s="16">
        <f t="shared" si="6"/>
        <v>4.486666667</v>
      </c>
      <c r="T50" s="17">
        <f t="shared" si="7"/>
        <v>0.4486666667</v>
      </c>
      <c r="U50" s="14">
        <f t="shared" si="8"/>
        <v>-5.513333333</v>
      </c>
      <c r="V50" s="9" t="str">
        <f t="shared" si="9"/>
        <v>Low Performance</v>
      </c>
      <c r="W50" s="9"/>
    </row>
    <row r="51" ht="15.75" customHeight="1">
      <c r="A51" s="13">
        <v>46238.0</v>
      </c>
      <c r="B51" s="50" t="s">
        <v>59</v>
      </c>
      <c r="C51" s="9" t="s">
        <v>40</v>
      </c>
      <c r="D51" s="9" t="s">
        <v>27</v>
      </c>
      <c r="E51" s="10">
        <v>0.0</v>
      </c>
      <c r="F51" s="9">
        <f t="shared" si="1"/>
        <v>0</v>
      </c>
      <c r="G51" s="11">
        <v>0.0</v>
      </c>
      <c r="H51" s="9">
        <f t="shared" si="2"/>
        <v>0</v>
      </c>
      <c r="I51" s="11">
        <v>0.0</v>
      </c>
      <c r="J51" s="9">
        <f t="shared" si="3"/>
        <v>0</v>
      </c>
      <c r="K51" s="11">
        <v>50.0</v>
      </c>
      <c r="L51" s="11">
        <v>39.0</v>
      </c>
      <c r="M51" s="14">
        <f t="shared" si="4"/>
        <v>0.78</v>
      </c>
      <c r="N51" s="11">
        <v>1.0</v>
      </c>
      <c r="O51" s="14">
        <f t="shared" si="5"/>
        <v>0.6666666667</v>
      </c>
      <c r="P51" s="11">
        <v>1.0</v>
      </c>
      <c r="Q51" s="15">
        <v>1.0</v>
      </c>
      <c r="R51" s="9">
        <v>10.0</v>
      </c>
      <c r="S51" s="16">
        <f t="shared" si="6"/>
        <v>3.446666667</v>
      </c>
      <c r="T51" s="17">
        <f t="shared" si="7"/>
        <v>0.3446666667</v>
      </c>
      <c r="U51" s="14">
        <f t="shared" si="8"/>
        <v>-6.553333333</v>
      </c>
      <c r="V51" s="9" t="str">
        <f t="shared" si="9"/>
        <v>Low Performance</v>
      </c>
      <c r="W51" s="9"/>
    </row>
    <row r="52" ht="15.75" customHeight="1">
      <c r="A52" s="13">
        <v>46238.0</v>
      </c>
      <c r="B52" s="49" t="s">
        <v>41</v>
      </c>
      <c r="C52" s="9" t="s">
        <v>40</v>
      </c>
      <c r="D52" s="9" t="s">
        <v>27</v>
      </c>
      <c r="E52" s="10">
        <v>0.0</v>
      </c>
      <c r="F52" s="9">
        <f t="shared" si="1"/>
        <v>0</v>
      </c>
      <c r="G52" s="11">
        <v>0.0</v>
      </c>
      <c r="H52" s="9">
        <f t="shared" si="2"/>
        <v>0</v>
      </c>
      <c r="I52" s="11">
        <v>1.0</v>
      </c>
      <c r="J52" s="9">
        <f t="shared" si="3"/>
        <v>1</v>
      </c>
      <c r="K52" s="11">
        <v>70.0</v>
      </c>
      <c r="L52" s="11">
        <v>31.0</v>
      </c>
      <c r="M52" s="14">
        <f t="shared" si="4"/>
        <v>0.62</v>
      </c>
      <c r="N52" s="11">
        <v>1.0</v>
      </c>
      <c r="O52" s="14">
        <f t="shared" si="5"/>
        <v>0.6666666667</v>
      </c>
      <c r="P52" s="11">
        <v>1.0</v>
      </c>
      <c r="Q52" s="15">
        <v>1.0</v>
      </c>
      <c r="R52" s="9">
        <v>10.0</v>
      </c>
      <c r="S52" s="16">
        <f t="shared" si="6"/>
        <v>4.286666667</v>
      </c>
      <c r="T52" s="17">
        <f t="shared" si="7"/>
        <v>0.4286666667</v>
      </c>
      <c r="U52" s="14">
        <f t="shared" si="8"/>
        <v>-5.713333333</v>
      </c>
      <c r="V52" s="9" t="str">
        <f t="shared" si="9"/>
        <v>Low Performance</v>
      </c>
      <c r="W52" s="9"/>
    </row>
    <row r="53" ht="15.75" customHeight="1">
      <c r="A53" s="13">
        <v>46238.0</v>
      </c>
      <c r="B53" s="49" t="s">
        <v>42</v>
      </c>
      <c r="C53" s="9" t="s">
        <v>40</v>
      </c>
      <c r="D53" s="9" t="s">
        <v>27</v>
      </c>
      <c r="E53" s="10">
        <v>0.0</v>
      </c>
      <c r="F53" s="9">
        <f t="shared" si="1"/>
        <v>0</v>
      </c>
      <c r="G53" s="11">
        <v>0.0</v>
      </c>
      <c r="H53" s="9">
        <f t="shared" si="2"/>
        <v>0</v>
      </c>
      <c r="I53" s="11">
        <v>0.0</v>
      </c>
      <c r="J53" s="9">
        <f t="shared" si="3"/>
        <v>0</v>
      </c>
      <c r="K53" s="11">
        <v>53.0</v>
      </c>
      <c r="L53" s="11">
        <v>52.0</v>
      </c>
      <c r="M53" s="14">
        <f t="shared" si="4"/>
        <v>1</v>
      </c>
      <c r="N53" s="11">
        <v>1.0</v>
      </c>
      <c r="O53" s="14">
        <f t="shared" si="5"/>
        <v>0.6666666667</v>
      </c>
      <c r="P53" s="11">
        <v>1.0</v>
      </c>
      <c r="Q53" s="15">
        <v>1.0</v>
      </c>
      <c r="R53" s="9">
        <v>10.0</v>
      </c>
      <c r="S53" s="16">
        <f t="shared" si="6"/>
        <v>3.666666667</v>
      </c>
      <c r="T53" s="17">
        <f t="shared" si="7"/>
        <v>0.3666666667</v>
      </c>
      <c r="U53" s="14">
        <f t="shared" si="8"/>
        <v>-6.333333333</v>
      </c>
      <c r="V53" s="9" t="str">
        <f t="shared" si="9"/>
        <v>Low Performance</v>
      </c>
      <c r="W53" s="9"/>
    </row>
    <row r="54" ht="15.75" customHeight="1">
      <c r="A54" s="13">
        <v>46238.0</v>
      </c>
      <c r="B54" s="49" t="s">
        <v>60</v>
      </c>
      <c r="C54" s="9" t="s">
        <v>40</v>
      </c>
      <c r="D54" s="9" t="s">
        <v>27</v>
      </c>
      <c r="E54" s="10">
        <v>0.0</v>
      </c>
      <c r="F54" s="9">
        <f t="shared" si="1"/>
        <v>0</v>
      </c>
      <c r="G54" s="11">
        <v>0.0</v>
      </c>
      <c r="H54" s="9">
        <f t="shared" si="2"/>
        <v>0</v>
      </c>
      <c r="I54" s="11">
        <v>0.0</v>
      </c>
      <c r="J54" s="9">
        <f t="shared" si="3"/>
        <v>0</v>
      </c>
      <c r="K54" s="11">
        <v>70.0</v>
      </c>
      <c r="L54" s="11">
        <v>53.0</v>
      </c>
      <c r="M54" s="14">
        <f t="shared" si="4"/>
        <v>1</v>
      </c>
      <c r="N54" s="11">
        <v>1.0</v>
      </c>
      <c r="O54" s="14">
        <f t="shared" si="5"/>
        <v>0.6666666667</v>
      </c>
      <c r="P54" s="11">
        <v>1.0</v>
      </c>
      <c r="Q54" s="15">
        <v>0.75</v>
      </c>
      <c r="R54" s="9">
        <v>10.0</v>
      </c>
      <c r="S54" s="16">
        <f t="shared" si="6"/>
        <v>3.416666667</v>
      </c>
      <c r="T54" s="17">
        <f t="shared" si="7"/>
        <v>0.3416666667</v>
      </c>
      <c r="U54" s="14">
        <f t="shared" si="8"/>
        <v>-6.583333333</v>
      </c>
      <c r="V54" s="9" t="str">
        <f t="shared" si="9"/>
        <v>Low Performance</v>
      </c>
      <c r="W54" s="9"/>
    </row>
    <row r="55" ht="15.75" customHeight="1">
      <c r="A55" s="13">
        <v>46238.0</v>
      </c>
      <c r="B55" s="49" t="s">
        <v>47</v>
      </c>
      <c r="C55" s="9" t="s">
        <v>48</v>
      </c>
      <c r="D55" s="9" t="s">
        <v>27</v>
      </c>
      <c r="E55" s="10">
        <v>0.0</v>
      </c>
      <c r="F55" s="9">
        <f t="shared" si="1"/>
        <v>0</v>
      </c>
      <c r="G55" s="11">
        <v>0.0</v>
      </c>
      <c r="H55" s="9">
        <f t="shared" si="2"/>
        <v>0</v>
      </c>
      <c r="I55" s="11">
        <v>1.0</v>
      </c>
      <c r="J55" s="9">
        <f t="shared" si="3"/>
        <v>1</v>
      </c>
      <c r="K55" s="11">
        <v>51.0</v>
      </c>
      <c r="L55" s="11">
        <v>25.0</v>
      </c>
      <c r="M55" s="14">
        <f t="shared" si="4"/>
        <v>0.5</v>
      </c>
      <c r="N55" s="11">
        <v>1.0</v>
      </c>
      <c r="O55" s="14">
        <f t="shared" si="5"/>
        <v>0.6666666667</v>
      </c>
      <c r="P55" s="11">
        <v>1.0</v>
      </c>
      <c r="Q55" s="15">
        <v>0.75</v>
      </c>
      <c r="R55" s="9">
        <v>10.0</v>
      </c>
      <c r="S55" s="16">
        <f t="shared" si="6"/>
        <v>3.916666667</v>
      </c>
      <c r="T55" s="17">
        <f t="shared" si="7"/>
        <v>0.3916666667</v>
      </c>
      <c r="U55" s="14">
        <f t="shared" si="8"/>
        <v>-6.083333333</v>
      </c>
      <c r="V55" s="9" t="str">
        <f t="shared" si="9"/>
        <v>Low Performance</v>
      </c>
      <c r="W55" s="9"/>
    </row>
    <row r="56" ht="15.75" customHeight="1">
      <c r="A56" s="13">
        <v>46238.0</v>
      </c>
      <c r="B56" s="49" t="s">
        <v>61</v>
      </c>
      <c r="C56" s="9" t="s">
        <v>48</v>
      </c>
      <c r="D56" s="9" t="s">
        <v>27</v>
      </c>
      <c r="E56" s="10">
        <v>0.0</v>
      </c>
      <c r="F56" s="9">
        <f t="shared" si="1"/>
        <v>0</v>
      </c>
      <c r="G56" s="11">
        <v>0.0</v>
      </c>
      <c r="H56" s="9">
        <f t="shared" si="2"/>
        <v>0</v>
      </c>
      <c r="I56" s="11">
        <v>0.0</v>
      </c>
      <c r="J56" s="9">
        <f t="shared" si="3"/>
        <v>0</v>
      </c>
      <c r="K56" s="11">
        <v>48.0</v>
      </c>
      <c r="L56" s="11">
        <v>7.0</v>
      </c>
      <c r="M56" s="14">
        <f t="shared" si="4"/>
        <v>0.14</v>
      </c>
      <c r="N56" s="11">
        <v>1.0</v>
      </c>
      <c r="O56" s="14">
        <f t="shared" si="5"/>
        <v>0.6666666667</v>
      </c>
      <c r="P56" s="11">
        <v>1.0</v>
      </c>
      <c r="Q56" s="15">
        <v>1.0</v>
      </c>
      <c r="R56" s="9">
        <v>10.0</v>
      </c>
      <c r="S56" s="16">
        <f t="shared" si="6"/>
        <v>2.806666667</v>
      </c>
      <c r="T56" s="17">
        <f t="shared" si="7"/>
        <v>0.2806666667</v>
      </c>
      <c r="U56" s="14">
        <f t="shared" si="8"/>
        <v>-7.193333333</v>
      </c>
      <c r="V56" s="9" t="str">
        <f t="shared" si="9"/>
        <v>Low Performance</v>
      </c>
      <c r="W56" s="9"/>
    </row>
    <row r="57" ht="15.75" customHeight="1">
      <c r="A57" s="13">
        <v>46238.0</v>
      </c>
      <c r="B57" s="49" t="s">
        <v>62</v>
      </c>
      <c r="C57" s="9" t="s">
        <v>48</v>
      </c>
      <c r="D57" s="9" t="s">
        <v>27</v>
      </c>
      <c r="E57" s="10">
        <v>0.0</v>
      </c>
      <c r="F57" s="9">
        <f t="shared" si="1"/>
        <v>0</v>
      </c>
      <c r="G57" s="11">
        <v>0.0</v>
      </c>
      <c r="H57" s="9">
        <f t="shared" si="2"/>
        <v>0</v>
      </c>
      <c r="I57" s="11">
        <v>1.0</v>
      </c>
      <c r="J57" s="9">
        <f t="shared" si="3"/>
        <v>1</v>
      </c>
      <c r="K57" s="11">
        <v>55.0</v>
      </c>
      <c r="L57" s="11">
        <v>34.0</v>
      </c>
      <c r="M57" s="14">
        <f t="shared" si="4"/>
        <v>0.68</v>
      </c>
      <c r="N57" s="11">
        <v>1.0</v>
      </c>
      <c r="O57" s="14">
        <f t="shared" si="5"/>
        <v>0.6666666667</v>
      </c>
      <c r="P57" s="11">
        <v>1.0</v>
      </c>
      <c r="Q57" s="15">
        <v>0.75</v>
      </c>
      <c r="R57" s="9">
        <v>10.0</v>
      </c>
      <c r="S57" s="16">
        <f t="shared" si="6"/>
        <v>4.096666667</v>
      </c>
      <c r="T57" s="17">
        <f t="shared" si="7"/>
        <v>0.4096666667</v>
      </c>
      <c r="U57" s="14">
        <f t="shared" si="8"/>
        <v>-5.903333333</v>
      </c>
      <c r="V57" s="9" t="str">
        <f t="shared" si="9"/>
        <v>Low Performance</v>
      </c>
      <c r="W57" s="9"/>
    </row>
    <row r="58" ht="15.75" customHeight="1">
      <c r="A58" s="13">
        <v>46238.0</v>
      </c>
      <c r="B58" s="49" t="s">
        <v>63</v>
      </c>
      <c r="C58" s="9" t="s">
        <v>48</v>
      </c>
      <c r="D58" s="9" t="s">
        <v>27</v>
      </c>
      <c r="E58" s="10">
        <v>0.0</v>
      </c>
      <c r="F58" s="9">
        <f t="shared" si="1"/>
        <v>0</v>
      </c>
      <c r="G58" s="11">
        <v>0.0</v>
      </c>
      <c r="H58" s="9">
        <f t="shared" si="2"/>
        <v>0</v>
      </c>
      <c r="I58" s="11">
        <v>1.0</v>
      </c>
      <c r="J58" s="9">
        <f t="shared" si="3"/>
        <v>1</v>
      </c>
      <c r="K58" s="11">
        <v>61.0</v>
      </c>
      <c r="L58" s="11">
        <v>41.0</v>
      </c>
      <c r="M58" s="14">
        <f t="shared" si="4"/>
        <v>0.82</v>
      </c>
      <c r="N58" s="11">
        <v>1.0</v>
      </c>
      <c r="O58" s="14">
        <f t="shared" si="5"/>
        <v>0.6666666667</v>
      </c>
      <c r="P58" s="11">
        <v>1.0</v>
      </c>
      <c r="Q58" s="15">
        <v>0.75</v>
      </c>
      <c r="R58" s="9">
        <v>10.0</v>
      </c>
      <c r="S58" s="16">
        <f t="shared" si="6"/>
        <v>4.236666667</v>
      </c>
      <c r="T58" s="17">
        <f t="shared" si="7"/>
        <v>0.4236666667</v>
      </c>
      <c r="U58" s="14">
        <f t="shared" si="8"/>
        <v>-5.763333333</v>
      </c>
      <c r="V58" s="9" t="str">
        <f t="shared" si="9"/>
        <v>Low Performance</v>
      </c>
      <c r="W58" s="9"/>
    </row>
    <row r="59" ht="15.75" customHeight="1">
      <c r="A59" s="13">
        <v>46240.0</v>
      </c>
      <c r="B59" s="49" t="s">
        <v>28</v>
      </c>
      <c r="C59" s="9" t="s">
        <v>29</v>
      </c>
      <c r="D59" s="9" t="s">
        <v>27</v>
      </c>
      <c r="E59" s="10">
        <v>0.0</v>
      </c>
      <c r="F59" s="9">
        <f t="shared" si="1"/>
        <v>0</v>
      </c>
      <c r="G59" s="11">
        <v>0.0</v>
      </c>
      <c r="H59" s="9">
        <f t="shared" si="2"/>
        <v>0</v>
      </c>
      <c r="I59" s="11">
        <v>0.0</v>
      </c>
      <c r="J59" s="9">
        <f t="shared" si="3"/>
        <v>0</v>
      </c>
      <c r="K59" s="11">
        <v>125.0</v>
      </c>
      <c r="L59" s="11">
        <v>57.0</v>
      </c>
      <c r="M59" s="14">
        <f t="shared" si="4"/>
        <v>1</v>
      </c>
      <c r="N59" s="11">
        <v>3.0</v>
      </c>
      <c r="O59" s="14">
        <f t="shared" si="5"/>
        <v>2</v>
      </c>
      <c r="P59" s="11">
        <v>1.0</v>
      </c>
      <c r="Q59" s="15">
        <v>1.0</v>
      </c>
      <c r="R59" s="9">
        <v>10.0</v>
      </c>
      <c r="S59" s="16">
        <f t="shared" si="6"/>
        <v>5</v>
      </c>
      <c r="T59" s="17">
        <f t="shared" si="7"/>
        <v>0.5</v>
      </c>
      <c r="U59" s="14">
        <f t="shared" si="8"/>
        <v>-5</v>
      </c>
      <c r="V59" s="9" t="str">
        <f t="shared" si="9"/>
        <v>Average</v>
      </c>
      <c r="W59" s="9"/>
    </row>
    <row r="60" ht="15.75" customHeight="1">
      <c r="A60" s="13">
        <v>46240.0</v>
      </c>
      <c r="B60" s="49" t="s">
        <v>36</v>
      </c>
      <c r="C60" s="9" t="s">
        <v>29</v>
      </c>
      <c r="D60" s="9" t="s">
        <v>27</v>
      </c>
      <c r="E60" s="10">
        <v>10000.0</v>
      </c>
      <c r="F60" s="9">
        <f t="shared" si="1"/>
        <v>3</v>
      </c>
      <c r="G60" s="11">
        <v>1.0</v>
      </c>
      <c r="H60" s="9">
        <f t="shared" si="2"/>
        <v>1</v>
      </c>
      <c r="I60" s="11">
        <v>0.0</v>
      </c>
      <c r="J60" s="9">
        <f t="shared" si="3"/>
        <v>0</v>
      </c>
      <c r="K60" s="11">
        <v>54.0</v>
      </c>
      <c r="L60" s="11">
        <v>45.0</v>
      </c>
      <c r="M60" s="14">
        <f t="shared" si="4"/>
        <v>0.9</v>
      </c>
      <c r="N60" s="11">
        <v>3.0</v>
      </c>
      <c r="O60" s="14">
        <f t="shared" si="5"/>
        <v>2</v>
      </c>
      <c r="P60" s="11">
        <v>1.0</v>
      </c>
      <c r="Q60" s="15">
        <v>0.75</v>
      </c>
      <c r="R60" s="9">
        <v>10.0</v>
      </c>
      <c r="S60" s="16">
        <f t="shared" si="6"/>
        <v>8.65</v>
      </c>
      <c r="T60" s="17">
        <f t="shared" si="7"/>
        <v>0.865</v>
      </c>
      <c r="U60" s="14">
        <f t="shared" si="8"/>
        <v>-1.35</v>
      </c>
      <c r="V60" s="9" t="str">
        <f t="shared" si="9"/>
        <v>Near Target</v>
      </c>
      <c r="W60" s="9"/>
    </row>
    <row r="61" ht="15.75" customHeight="1">
      <c r="A61" s="13">
        <v>46240.0</v>
      </c>
      <c r="B61" s="49" t="s">
        <v>56</v>
      </c>
      <c r="C61" s="9" t="s">
        <v>29</v>
      </c>
      <c r="D61" s="9" t="s">
        <v>27</v>
      </c>
      <c r="E61" s="10">
        <v>0.0</v>
      </c>
      <c r="F61" s="9">
        <f t="shared" si="1"/>
        <v>0</v>
      </c>
      <c r="G61" s="11">
        <v>0.0</v>
      </c>
      <c r="H61" s="9">
        <f t="shared" si="2"/>
        <v>0</v>
      </c>
      <c r="I61" s="11">
        <v>1.0</v>
      </c>
      <c r="J61" s="9">
        <f t="shared" si="3"/>
        <v>1</v>
      </c>
      <c r="K61" s="11">
        <v>69.0</v>
      </c>
      <c r="L61" s="11">
        <v>52.0</v>
      </c>
      <c r="M61" s="14">
        <f t="shared" si="4"/>
        <v>1</v>
      </c>
      <c r="N61" s="11">
        <v>3.0</v>
      </c>
      <c r="O61" s="14">
        <f t="shared" si="5"/>
        <v>2</v>
      </c>
      <c r="P61" s="11">
        <v>1.0</v>
      </c>
      <c r="Q61" s="15">
        <v>1.0</v>
      </c>
      <c r="R61" s="9">
        <v>10.0</v>
      </c>
      <c r="S61" s="16">
        <f t="shared" si="6"/>
        <v>6</v>
      </c>
      <c r="T61" s="17">
        <f t="shared" si="7"/>
        <v>0.6</v>
      </c>
      <c r="U61" s="14">
        <f t="shared" si="8"/>
        <v>-4</v>
      </c>
      <c r="V61" s="9" t="str">
        <f t="shared" si="9"/>
        <v>Average</v>
      </c>
      <c r="W61" s="9"/>
    </row>
    <row r="62" ht="15.75" customHeight="1">
      <c r="A62" s="13">
        <v>46240.0</v>
      </c>
      <c r="B62" s="49" t="s">
        <v>37</v>
      </c>
      <c r="C62" s="9" t="s">
        <v>29</v>
      </c>
      <c r="D62" s="9" t="s">
        <v>27</v>
      </c>
      <c r="E62" s="10">
        <v>0.0</v>
      </c>
      <c r="F62" s="9">
        <f t="shared" si="1"/>
        <v>0</v>
      </c>
      <c r="G62" s="11">
        <v>0.0</v>
      </c>
      <c r="H62" s="9">
        <f t="shared" si="2"/>
        <v>0</v>
      </c>
      <c r="I62" s="11">
        <v>0.0</v>
      </c>
      <c r="J62" s="9">
        <f t="shared" si="3"/>
        <v>0</v>
      </c>
      <c r="K62" s="11">
        <v>0.0</v>
      </c>
      <c r="L62" s="11">
        <v>0.0</v>
      </c>
      <c r="M62" s="14">
        <f t="shared" si="4"/>
        <v>0</v>
      </c>
      <c r="N62" s="11">
        <v>0.0</v>
      </c>
      <c r="O62" s="14">
        <f t="shared" si="5"/>
        <v>0</v>
      </c>
      <c r="P62" s="11">
        <v>0.0</v>
      </c>
      <c r="Q62" s="15">
        <v>0.0</v>
      </c>
      <c r="R62" s="9">
        <v>10.0</v>
      </c>
      <c r="S62" s="16">
        <f t="shared" si="6"/>
        <v>0</v>
      </c>
      <c r="T62" s="17">
        <f t="shared" si="7"/>
        <v>0</v>
      </c>
      <c r="U62" s="14">
        <f t="shared" si="8"/>
        <v>-10</v>
      </c>
      <c r="V62" s="9" t="str">
        <f t="shared" si="9"/>
        <v>Low Performance</v>
      </c>
      <c r="W62" s="32" t="s">
        <v>51</v>
      </c>
    </row>
    <row r="63" ht="15.75" customHeight="1">
      <c r="A63" s="13">
        <v>46240.0</v>
      </c>
      <c r="B63" s="49" t="s">
        <v>57</v>
      </c>
      <c r="C63" s="9" t="s">
        <v>29</v>
      </c>
      <c r="D63" s="9" t="s">
        <v>27</v>
      </c>
      <c r="E63" s="10">
        <v>0.0</v>
      </c>
      <c r="F63" s="9">
        <f t="shared" si="1"/>
        <v>0</v>
      </c>
      <c r="G63" s="11">
        <v>1.0</v>
      </c>
      <c r="H63" s="9">
        <f t="shared" si="2"/>
        <v>1</v>
      </c>
      <c r="I63" s="11">
        <v>1.0</v>
      </c>
      <c r="J63" s="9">
        <f t="shared" si="3"/>
        <v>1</v>
      </c>
      <c r="K63" s="11">
        <v>66.0</v>
      </c>
      <c r="L63" s="11">
        <v>54.0</v>
      </c>
      <c r="M63" s="14">
        <f t="shared" si="4"/>
        <v>1</v>
      </c>
      <c r="N63" s="11">
        <v>3.0</v>
      </c>
      <c r="O63" s="14">
        <f t="shared" si="5"/>
        <v>2</v>
      </c>
      <c r="P63" s="11">
        <v>1.0</v>
      </c>
      <c r="Q63" s="15">
        <v>1.0</v>
      </c>
      <c r="R63" s="9">
        <v>10.0</v>
      </c>
      <c r="S63" s="16">
        <f t="shared" si="6"/>
        <v>7</v>
      </c>
      <c r="T63" s="17">
        <f t="shared" si="7"/>
        <v>0.7</v>
      </c>
      <c r="U63" s="14">
        <f t="shared" si="8"/>
        <v>-3</v>
      </c>
      <c r="V63" s="9" t="str">
        <f t="shared" si="9"/>
        <v>Near Target</v>
      </c>
      <c r="W63" s="9"/>
    </row>
    <row r="64" ht="15.75" customHeight="1">
      <c r="A64" s="13">
        <v>46240.0</v>
      </c>
      <c r="B64" s="49" t="s">
        <v>58</v>
      </c>
      <c r="C64" s="9" t="s">
        <v>40</v>
      </c>
      <c r="D64" s="9" t="s">
        <v>27</v>
      </c>
      <c r="E64" s="10">
        <v>0.0</v>
      </c>
      <c r="F64" s="9">
        <f t="shared" si="1"/>
        <v>0</v>
      </c>
      <c r="G64" s="11">
        <v>1.0</v>
      </c>
      <c r="H64" s="9">
        <f t="shared" si="2"/>
        <v>1</v>
      </c>
      <c r="I64" s="11">
        <v>0.0</v>
      </c>
      <c r="J64" s="9">
        <f t="shared" si="3"/>
        <v>0</v>
      </c>
      <c r="K64" s="11">
        <v>44.0</v>
      </c>
      <c r="L64" s="11">
        <v>29.0</v>
      </c>
      <c r="M64" s="14">
        <f t="shared" si="4"/>
        <v>0.58</v>
      </c>
      <c r="N64" s="11">
        <v>1.0</v>
      </c>
      <c r="O64" s="14">
        <f t="shared" si="5"/>
        <v>0.6666666667</v>
      </c>
      <c r="P64" s="11">
        <v>1.0</v>
      </c>
      <c r="Q64" s="15">
        <v>1.0</v>
      </c>
      <c r="R64" s="9">
        <v>10.0</v>
      </c>
      <c r="S64" s="16">
        <f t="shared" si="6"/>
        <v>4.246666667</v>
      </c>
      <c r="T64" s="17">
        <f t="shared" si="7"/>
        <v>0.4246666667</v>
      </c>
      <c r="U64" s="14">
        <f t="shared" si="8"/>
        <v>-5.753333333</v>
      </c>
      <c r="V64" s="9" t="str">
        <f t="shared" si="9"/>
        <v>Low Performance</v>
      </c>
      <c r="W64" s="9"/>
    </row>
    <row r="65" ht="15.75" customHeight="1">
      <c r="A65" s="13">
        <v>46240.0</v>
      </c>
      <c r="B65" s="50" t="s">
        <v>59</v>
      </c>
      <c r="C65" s="9" t="s">
        <v>40</v>
      </c>
      <c r="D65" s="9" t="s">
        <v>27</v>
      </c>
      <c r="E65" s="10">
        <v>0.0</v>
      </c>
      <c r="F65" s="9">
        <f t="shared" si="1"/>
        <v>0</v>
      </c>
      <c r="G65" s="11">
        <v>1.0</v>
      </c>
      <c r="H65" s="9">
        <f t="shared" si="2"/>
        <v>1</v>
      </c>
      <c r="I65" s="11">
        <v>0.0</v>
      </c>
      <c r="J65" s="9">
        <f t="shared" si="3"/>
        <v>0</v>
      </c>
      <c r="K65" s="11">
        <v>56.0</v>
      </c>
      <c r="L65" s="11">
        <v>32.0</v>
      </c>
      <c r="M65" s="14">
        <f t="shared" si="4"/>
        <v>0.64</v>
      </c>
      <c r="N65" s="11">
        <v>1.0</v>
      </c>
      <c r="O65" s="14">
        <f t="shared" si="5"/>
        <v>0.6666666667</v>
      </c>
      <c r="P65" s="11">
        <v>1.0</v>
      </c>
      <c r="Q65" s="15">
        <v>1.0</v>
      </c>
      <c r="R65" s="9">
        <v>10.0</v>
      </c>
      <c r="S65" s="16">
        <f t="shared" si="6"/>
        <v>4.306666667</v>
      </c>
      <c r="T65" s="17">
        <f t="shared" si="7"/>
        <v>0.4306666667</v>
      </c>
      <c r="U65" s="14">
        <f t="shared" si="8"/>
        <v>-5.693333333</v>
      </c>
      <c r="V65" s="9" t="str">
        <f t="shared" si="9"/>
        <v>Low Performance</v>
      </c>
      <c r="W65" s="9"/>
    </row>
    <row r="66" ht="15.75" customHeight="1">
      <c r="A66" s="13">
        <v>46240.0</v>
      </c>
      <c r="B66" s="49" t="s">
        <v>41</v>
      </c>
      <c r="C66" s="9" t="s">
        <v>40</v>
      </c>
      <c r="D66" s="9" t="s">
        <v>27</v>
      </c>
      <c r="E66" s="10">
        <v>0.0</v>
      </c>
      <c r="F66" s="9">
        <f t="shared" si="1"/>
        <v>0</v>
      </c>
      <c r="G66" s="11">
        <v>0.0</v>
      </c>
      <c r="H66" s="9">
        <f t="shared" si="2"/>
        <v>0</v>
      </c>
      <c r="I66" s="11">
        <v>0.0</v>
      </c>
      <c r="J66" s="9">
        <f t="shared" si="3"/>
        <v>0</v>
      </c>
      <c r="K66" s="11">
        <v>0.0</v>
      </c>
      <c r="L66" s="11">
        <v>0.0</v>
      </c>
      <c r="M66" s="14">
        <f t="shared" si="4"/>
        <v>0</v>
      </c>
      <c r="N66" s="11">
        <v>0.0</v>
      </c>
      <c r="O66" s="14">
        <f t="shared" si="5"/>
        <v>0</v>
      </c>
      <c r="P66" s="11">
        <v>0.0</v>
      </c>
      <c r="Q66" s="15">
        <v>0.0</v>
      </c>
      <c r="R66" s="9">
        <v>10.0</v>
      </c>
      <c r="S66" s="16">
        <f t="shared" si="6"/>
        <v>0</v>
      </c>
      <c r="T66" s="17">
        <f t="shared" si="7"/>
        <v>0</v>
      </c>
      <c r="U66" s="14">
        <f t="shared" si="8"/>
        <v>-10</v>
      </c>
      <c r="V66" s="9" t="str">
        <f t="shared" si="9"/>
        <v>Low Performance</v>
      </c>
      <c r="W66" s="32" t="s">
        <v>64</v>
      </c>
    </row>
    <row r="67" ht="15.75" customHeight="1">
      <c r="A67" s="13">
        <v>46240.0</v>
      </c>
      <c r="B67" s="49" t="s">
        <v>42</v>
      </c>
      <c r="C67" s="9" t="s">
        <v>40</v>
      </c>
      <c r="D67" s="9" t="s">
        <v>27</v>
      </c>
      <c r="E67" s="10">
        <v>0.0</v>
      </c>
      <c r="F67" s="9">
        <f t="shared" si="1"/>
        <v>0</v>
      </c>
      <c r="G67" s="11">
        <v>1.0</v>
      </c>
      <c r="H67" s="9">
        <f t="shared" si="2"/>
        <v>1</v>
      </c>
      <c r="I67" s="11">
        <v>0.0</v>
      </c>
      <c r="J67" s="9">
        <f t="shared" si="3"/>
        <v>0</v>
      </c>
      <c r="K67" s="11">
        <v>60.0</v>
      </c>
      <c r="L67" s="11">
        <v>35.0</v>
      </c>
      <c r="M67" s="14">
        <f t="shared" si="4"/>
        <v>0.7</v>
      </c>
      <c r="N67" s="11">
        <v>1.0</v>
      </c>
      <c r="O67" s="14">
        <f t="shared" si="5"/>
        <v>0.6666666667</v>
      </c>
      <c r="P67" s="11">
        <v>1.0</v>
      </c>
      <c r="Q67" s="15">
        <v>1.0</v>
      </c>
      <c r="R67" s="9">
        <v>10.0</v>
      </c>
      <c r="S67" s="16">
        <f t="shared" si="6"/>
        <v>4.366666667</v>
      </c>
      <c r="T67" s="17">
        <f t="shared" si="7"/>
        <v>0.4366666667</v>
      </c>
      <c r="U67" s="14">
        <f t="shared" si="8"/>
        <v>-5.633333333</v>
      </c>
      <c r="V67" s="9" t="str">
        <f t="shared" si="9"/>
        <v>Low Performance</v>
      </c>
      <c r="W67" s="9"/>
    </row>
    <row r="68" ht="15.75" customHeight="1">
      <c r="A68" s="13">
        <v>46240.0</v>
      </c>
      <c r="B68" s="49" t="s">
        <v>60</v>
      </c>
      <c r="C68" s="9" t="s">
        <v>40</v>
      </c>
      <c r="D68" s="9" t="s">
        <v>27</v>
      </c>
      <c r="E68" s="10">
        <v>0.0</v>
      </c>
      <c r="F68" s="9">
        <f t="shared" si="1"/>
        <v>0</v>
      </c>
      <c r="G68" s="11">
        <v>0.0</v>
      </c>
      <c r="H68" s="9">
        <f t="shared" si="2"/>
        <v>0</v>
      </c>
      <c r="I68" s="11">
        <v>1.0</v>
      </c>
      <c r="J68" s="9">
        <f t="shared" si="3"/>
        <v>1</v>
      </c>
      <c r="K68" s="11">
        <v>65.0</v>
      </c>
      <c r="L68" s="11">
        <v>45.0</v>
      </c>
      <c r="M68" s="14">
        <f t="shared" si="4"/>
        <v>0.9</v>
      </c>
      <c r="N68" s="11">
        <v>1.0</v>
      </c>
      <c r="O68" s="14">
        <f t="shared" si="5"/>
        <v>0.6666666667</v>
      </c>
      <c r="P68" s="11">
        <v>1.0</v>
      </c>
      <c r="Q68" s="15">
        <v>1.0</v>
      </c>
      <c r="R68" s="9">
        <v>10.0</v>
      </c>
      <c r="S68" s="16">
        <f t="shared" si="6"/>
        <v>4.566666667</v>
      </c>
      <c r="T68" s="17">
        <f t="shared" si="7"/>
        <v>0.4566666667</v>
      </c>
      <c r="U68" s="14">
        <f t="shared" si="8"/>
        <v>-5.433333333</v>
      </c>
      <c r="V68" s="9" t="str">
        <f t="shared" si="9"/>
        <v>Low Performance</v>
      </c>
      <c r="W68" s="9"/>
    </row>
    <row r="69" ht="15.75" customHeight="1">
      <c r="A69" s="13">
        <v>46240.0</v>
      </c>
      <c r="B69" s="49" t="s">
        <v>47</v>
      </c>
      <c r="C69" s="9" t="s">
        <v>48</v>
      </c>
      <c r="D69" s="9" t="s">
        <v>27</v>
      </c>
      <c r="E69" s="10">
        <v>0.0</v>
      </c>
      <c r="F69" s="9">
        <f t="shared" si="1"/>
        <v>0</v>
      </c>
      <c r="G69" s="11">
        <v>0.0</v>
      </c>
      <c r="H69" s="9">
        <f t="shared" si="2"/>
        <v>0</v>
      </c>
      <c r="I69" s="11">
        <v>1.0</v>
      </c>
      <c r="J69" s="9">
        <f t="shared" si="3"/>
        <v>1</v>
      </c>
      <c r="K69" s="11">
        <v>40.0</v>
      </c>
      <c r="L69" s="11">
        <v>40.0</v>
      </c>
      <c r="M69" s="14">
        <f t="shared" si="4"/>
        <v>0.8</v>
      </c>
      <c r="N69" s="11">
        <v>2.0</v>
      </c>
      <c r="O69" s="14">
        <f t="shared" si="5"/>
        <v>1.333333333</v>
      </c>
      <c r="P69" s="11">
        <v>1.0</v>
      </c>
      <c r="Q69" s="15">
        <v>1.0</v>
      </c>
      <c r="R69" s="9">
        <v>10.0</v>
      </c>
      <c r="S69" s="16">
        <f t="shared" si="6"/>
        <v>5.133333333</v>
      </c>
      <c r="T69" s="17">
        <f t="shared" si="7"/>
        <v>0.5133333333</v>
      </c>
      <c r="U69" s="14">
        <f t="shared" si="8"/>
        <v>-4.866666667</v>
      </c>
      <c r="V69" s="9" t="str">
        <f t="shared" si="9"/>
        <v>Average</v>
      </c>
      <c r="W69" s="9"/>
    </row>
    <row r="70" ht="15.75" customHeight="1">
      <c r="A70" s="13">
        <v>46240.0</v>
      </c>
      <c r="B70" s="49" t="s">
        <v>61</v>
      </c>
      <c r="C70" s="9" t="s">
        <v>48</v>
      </c>
      <c r="D70" s="9" t="s">
        <v>27</v>
      </c>
      <c r="E70" s="10">
        <v>0.0</v>
      </c>
      <c r="F70" s="9">
        <f t="shared" si="1"/>
        <v>0</v>
      </c>
      <c r="G70" s="11">
        <v>2.0</v>
      </c>
      <c r="H70" s="9">
        <f t="shared" si="2"/>
        <v>1</v>
      </c>
      <c r="I70" s="11">
        <v>0.0</v>
      </c>
      <c r="J70" s="9">
        <f t="shared" si="3"/>
        <v>0</v>
      </c>
      <c r="K70" s="11">
        <v>58.0</v>
      </c>
      <c r="L70" s="11">
        <v>32.0</v>
      </c>
      <c r="M70" s="14">
        <f t="shared" si="4"/>
        <v>0.64</v>
      </c>
      <c r="N70" s="11">
        <v>2.0</v>
      </c>
      <c r="O70" s="14">
        <f t="shared" si="5"/>
        <v>1.333333333</v>
      </c>
      <c r="P70" s="11">
        <v>1.0</v>
      </c>
      <c r="Q70" s="15">
        <v>1.0</v>
      </c>
      <c r="R70" s="9">
        <v>10.0</v>
      </c>
      <c r="S70" s="16">
        <f t="shared" si="6"/>
        <v>4.973333333</v>
      </c>
      <c r="T70" s="17">
        <f t="shared" si="7"/>
        <v>0.4973333333</v>
      </c>
      <c r="U70" s="14">
        <f t="shared" si="8"/>
        <v>-5.026666667</v>
      </c>
      <c r="V70" s="9" t="str">
        <f t="shared" si="9"/>
        <v>Low Performance</v>
      </c>
      <c r="W70" s="9"/>
    </row>
    <row r="71" ht="15.75" customHeight="1">
      <c r="A71" s="13">
        <v>46240.0</v>
      </c>
      <c r="B71" s="49" t="s">
        <v>62</v>
      </c>
      <c r="C71" s="9" t="s">
        <v>48</v>
      </c>
      <c r="D71" s="9" t="s">
        <v>27</v>
      </c>
      <c r="E71" s="10">
        <v>0.0</v>
      </c>
      <c r="F71" s="9">
        <f t="shared" si="1"/>
        <v>0</v>
      </c>
      <c r="G71" s="11">
        <v>0.0</v>
      </c>
      <c r="H71" s="9">
        <f t="shared" si="2"/>
        <v>0</v>
      </c>
      <c r="I71" s="11">
        <v>0.0</v>
      </c>
      <c r="J71" s="9">
        <f t="shared" si="3"/>
        <v>0</v>
      </c>
      <c r="K71" s="11">
        <v>0.0</v>
      </c>
      <c r="L71" s="11">
        <v>0.0</v>
      </c>
      <c r="M71" s="14">
        <f t="shared" si="4"/>
        <v>0</v>
      </c>
      <c r="N71" s="11">
        <v>0.0</v>
      </c>
      <c r="O71" s="14">
        <f t="shared" si="5"/>
        <v>0</v>
      </c>
      <c r="P71" s="11">
        <v>0.0</v>
      </c>
      <c r="Q71" s="15">
        <v>0.0</v>
      </c>
      <c r="R71" s="9">
        <v>10.0</v>
      </c>
      <c r="S71" s="16">
        <f t="shared" si="6"/>
        <v>0</v>
      </c>
      <c r="T71" s="17">
        <f t="shared" si="7"/>
        <v>0</v>
      </c>
      <c r="U71" s="14">
        <f t="shared" si="8"/>
        <v>-10</v>
      </c>
      <c r="V71" s="9" t="str">
        <f t="shared" si="9"/>
        <v>Low Performance</v>
      </c>
      <c r="W71" s="32" t="s">
        <v>51</v>
      </c>
    </row>
    <row r="72" ht="15.75" customHeight="1">
      <c r="A72" s="13">
        <v>46240.0</v>
      </c>
      <c r="B72" s="49" t="s">
        <v>63</v>
      </c>
      <c r="C72" s="9" t="s">
        <v>48</v>
      </c>
      <c r="D72" s="9" t="s">
        <v>27</v>
      </c>
      <c r="E72" s="10">
        <v>0.0</v>
      </c>
      <c r="F72" s="9">
        <f t="shared" si="1"/>
        <v>0</v>
      </c>
      <c r="G72" s="11">
        <v>0.0</v>
      </c>
      <c r="H72" s="9">
        <f t="shared" si="2"/>
        <v>0</v>
      </c>
      <c r="I72" s="11">
        <v>1.0</v>
      </c>
      <c r="J72" s="9">
        <f t="shared" si="3"/>
        <v>1</v>
      </c>
      <c r="K72" s="11">
        <v>0.0</v>
      </c>
      <c r="L72" s="11">
        <v>46.0</v>
      </c>
      <c r="M72" s="14">
        <f t="shared" si="4"/>
        <v>0.92</v>
      </c>
      <c r="N72" s="11">
        <v>2.0</v>
      </c>
      <c r="O72" s="14">
        <f t="shared" si="5"/>
        <v>1.333333333</v>
      </c>
      <c r="P72" s="11">
        <v>1.0</v>
      </c>
      <c r="Q72" s="15">
        <v>1.0</v>
      </c>
      <c r="R72" s="9">
        <v>10.0</v>
      </c>
      <c r="S72" s="16">
        <f t="shared" si="6"/>
        <v>5.253333333</v>
      </c>
      <c r="T72" s="17">
        <f t="shared" si="7"/>
        <v>0.5253333333</v>
      </c>
      <c r="U72" s="14">
        <f t="shared" si="8"/>
        <v>-4.746666667</v>
      </c>
      <c r="V72" s="9" t="str">
        <f t="shared" si="9"/>
        <v>Average</v>
      </c>
      <c r="W72" s="9"/>
    </row>
    <row r="73" ht="15.75" customHeight="1">
      <c r="A73" s="13">
        <v>46242.0</v>
      </c>
      <c r="B73" s="49" t="s">
        <v>28</v>
      </c>
      <c r="C73" s="9" t="s">
        <v>29</v>
      </c>
      <c r="D73" s="9" t="s">
        <v>27</v>
      </c>
      <c r="E73" s="10">
        <v>0.0</v>
      </c>
      <c r="F73" s="9">
        <f t="shared" si="1"/>
        <v>0</v>
      </c>
      <c r="G73" s="11">
        <v>0.0</v>
      </c>
      <c r="H73" s="9">
        <f t="shared" si="2"/>
        <v>0</v>
      </c>
      <c r="I73" s="11">
        <v>1.0</v>
      </c>
      <c r="J73" s="9">
        <f t="shared" si="3"/>
        <v>1</v>
      </c>
      <c r="K73" s="11">
        <v>119.0</v>
      </c>
      <c r="L73" s="11">
        <v>58.0</v>
      </c>
      <c r="M73" s="14">
        <f t="shared" si="4"/>
        <v>1</v>
      </c>
      <c r="N73" s="11">
        <v>3.0</v>
      </c>
      <c r="O73" s="14">
        <f t="shared" si="5"/>
        <v>2</v>
      </c>
      <c r="P73" s="11">
        <v>1.0</v>
      </c>
      <c r="Q73" s="15">
        <v>1.0</v>
      </c>
      <c r="R73" s="9">
        <v>10.0</v>
      </c>
      <c r="S73" s="16">
        <f t="shared" si="6"/>
        <v>6</v>
      </c>
      <c r="T73" s="17">
        <f t="shared" si="7"/>
        <v>0.6</v>
      </c>
      <c r="U73" s="14">
        <f t="shared" si="8"/>
        <v>-4</v>
      </c>
      <c r="V73" s="9" t="str">
        <f t="shared" si="9"/>
        <v>Average</v>
      </c>
      <c r="W73" s="9"/>
    </row>
    <row r="74" ht="15.75" customHeight="1">
      <c r="A74" s="13">
        <v>46242.0</v>
      </c>
      <c r="B74" s="49" t="s">
        <v>36</v>
      </c>
      <c r="C74" s="9" t="s">
        <v>29</v>
      </c>
      <c r="D74" s="9" t="s">
        <v>27</v>
      </c>
      <c r="E74" s="10">
        <v>0.0</v>
      </c>
      <c r="F74" s="9">
        <f t="shared" si="1"/>
        <v>0</v>
      </c>
      <c r="G74" s="11">
        <v>0.0</v>
      </c>
      <c r="H74" s="9">
        <f t="shared" si="2"/>
        <v>0</v>
      </c>
      <c r="I74" s="11">
        <v>1.0</v>
      </c>
      <c r="J74" s="9">
        <f t="shared" si="3"/>
        <v>1</v>
      </c>
      <c r="K74" s="11">
        <v>63.0</v>
      </c>
      <c r="L74" s="11">
        <v>63.0</v>
      </c>
      <c r="M74" s="14">
        <f t="shared" si="4"/>
        <v>1</v>
      </c>
      <c r="N74" s="11">
        <v>3.0</v>
      </c>
      <c r="O74" s="14">
        <f t="shared" si="5"/>
        <v>2</v>
      </c>
      <c r="P74" s="11">
        <v>1.0</v>
      </c>
      <c r="Q74" s="15">
        <v>1.0</v>
      </c>
      <c r="R74" s="9">
        <v>10.0</v>
      </c>
      <c r="S74" s="16">
        <f t="shared" si="6"/>
        <v>6</v>
      </c>
      <c r="T74" s="17">
        <f t="shared" si="7"/>
        <v>0.6</v>
      </c>
      <c r="U74" s="14">
        <f t="shared" si="8"/>
        <v>-4</v>
      </c>
      <c r="V74" s="9" t="str">
        <f t="shared" si="9"/>
        <v>Average</v>
      </c>
      <c r="W74" s="9"/>
    </row>
    <row r="75" ht="15.75" customHeight="1">
      <c r="A75" s="13">
        <v>46242.0</v>
      </c>
      <c r="B75" s="49" t="s">
        <v>56</v>
      </c>
      <c r="C75" s="9" t="s">
        <v>29</v>
      </c>
      <c r="D75" s="9" t="s">
        <v>27</v>
      </c>
      <c r="E75" s="10">
        <v>0.0</v>
      </c>
      <c r="F75" s="9">
        <f t="shared" si="1"/>
        <v>0</v>
      </c>
      <c r="G75" s="11">
        <v>0.0</v>
      </c>
      <c r="H75" s="9">
        <f t="shared" si="2"/>
        <v>0</v>
      </c>
      <c r="I75" s="11">
        <v>1.0</v>
      </c>
      <c r="J75" s="9">
        <f t="shared" si="3"/>
        <v>1</v>
      </c>
      <c r="K75" s="11">
        <v>48.0</v>
      </c>
      <c r="L75" s="11">
        <v>48.0</v>
      </c>
      <c r="M75" s="14">
        <f t="shared" si="4"/>
        <v>0.96</v>
      </c>
      <c r="N75" s="11">
        <v>2.0</v>
      </c>
      <c r="O75" s="14">
        <f t="shared" si="5"/>
        <v>1.333333333</v>
      </c>
      <c r="P75" s="11">
        <v>1.0</v>
      </c>
      <c r="Q75" s="15">
        <v>1.0</v>
      </c>
      <c r="R75" s="9">
        <v>10.0</v>
      </c>
      <c r="S75" s="16">
        <f t="shared" si="6"/>
        <v>5.293333333</v>
      </c>
      <c r="T75" s="17">
        <f t="shared" si="7"/>
        <v>0.5293333333</v>
      </c>
      <c r="U75" s="14">
        <f t="shared" si="8"/>
        <v>-4.706666667</v>
      </c>
      <c r="V75" s="9" t="str">
        <f t="shared" si="9"/>
        <v>Average</v>
      </c>
      <c r="W75" s="9"/>
    </row>
    <row r="76" ht="15.75" customHeight="1">
      <c r="A76" s="13">
        <v>46242.0</v>
      </c>
      <c r="B76" s="49" t="s">
        <v>37</v>
      </c>
      <c r="C76" s="9" t="s">
        <v>29</v>
      </c>
      <c r="D76" s="9" t="s">
        <v>27</v>
      </c>
      <c r="E76" s="10">
        <v>0.0</v>
      </c>
      <c r="F76" s="9">
        <f t="shared" si="1"/>
        <v>0</v>
      </c>
      <c r="G76" s="11">
        <v>0.0</v>
      </c>
      <c r="H76" s="9">
        <f t="shared" si="2"/>
        <v>0</v>
      </c>
      <c r="I76" s="11">
        <v>1.0</v>
      </c>
      <c r="J76" s="9">
        <f t="shared" si="3"/>
        <v>1</v>
      </c>
      <c r="K76" s="11">
        <v>59.0</v>
      </c>
      <c r="L76" s="11">
        <v>43.0</v>
      </c>
      <c r="M76" s="14">
        <f t="shared" si="4"/>
        <v>0.86</v>
      </c>
      <c r="N76" s="11">
        <v>3.0</v>
      </c>
      <c r="O76" s="14">
        <f t="shared" si="5"/>
        <v>2</v>
      </c>
      <c r="P76" s="11">
        <v>1.0</v>
      </c>
      <c r="Q76" s="15">
        <v>0.75</v>
      </c>
      <c r="R76" s="9">
        <v>10.0</v>
      </c>
      <c r="S76" s="16">
        <f t="shared" si="6"/>
        <v>5.61</v>
      </c>
      <c r="T76" s="17">
        <f t="shared" si="7"/>
        <v>0.561</v>
      </c>
      <c r="U76" s="14">
        <f t="shared" si="8"/>
        <v>-4.39</v>
      </c>
      <c r="V76" s="9" t="str">
        <f t="shared" si="9"/>
        <v>Average</v>
      </c>
      <c r="W76" s="9"/>
    </row>
    <row r="77" ht="15.75" customHeight="1">
      <c r="A77" s="13">
        <v>46242.0</v>
      </c>
      <c r="B77" s="49" t="s">
        <v>57</v>
      </c>
      <c r="C77" s="9" t="s">
        <v>29</v>
      </c>
      <c r="D77" s="9" t="s">
        <v>27</v>
      </c>
      <c r="E77" s="10">
        <v>0.0</v>
      </c>
      <c r="F77" s="9">
        <f t="shared" si="1"/>
        <v>0</v>
      </c>
      <c r="G77" s="11">
        <v>0.0</v>
      </c>
      <c r="H77" s="9">
        <f t="shared" si="2"/>
        <v>0</v>
      </c>
      <c r="I77" s="11">
        <v>1.0</v>
      </c>
      <c r="J77" s="9">
        <f t="shared" si="3"/>
        <v>1</v>
      </c>
      <c r="K77" s="11">
        <v>71.0</v>
      </c>
      <c r="L77" s="11">
        <v>50.0</v>
      </c>
      <c r="M77" s="14">
        <f t="shared" si="4"/>
        <v>1</v>
      </c>
      <c r="N77" s="11">
        <v>3.0</v>
      </c>
      <c r="O77" s="14">
        <f t="shared" si="5"/>
        <v>2</v>
      </c>
      <c r="P77" s="11">
        <v>1.0</v>
      </c>
      <c r="Q77" s="15">
        <v>0.75</v>
      </c>
      <c r="R77" s="9">
        <v>10.0</v>
      </c>
      <c r="S77" s="16">
        <f t="shared" si="6"/>
        <v>5.75</v>
      </c>
      <c r="T77" s="17">
        <f t="shared" si="7"/>
        <v>0.575</v>
      </c>
      <c r="U77" s="14">
        <f t="shared" si="8"/>
        <v>-4.25</v>
      </c>
      <c r="V77" s="9" t="str">
        <f t="shared" si="9"/>
        <v>Average</v>
      </c>
      <c r="W77" s="9"/>
    </row>
    <row r="78" ht="15.75" customHeight="1">
      <c r="A78" s="13">
        <v>46242.0</v>
      </c>
      <c r="B78" s="49" t="s">
        <v>58</v>
      </c>
      <c r="C78" s="9" t="s">
        <v>40</v>
      </c>
      <c r="D78" s="9" t="s">
        <v>27</v>
      </c>
      <c r="E78" s="10">
        <v>0.0</v>
      </c>
      <c r="F78" s="9">
        <f t="shared" si="1"/>
        <v>0</v>
      </c>
      <c r="G78" s="11">
        <v>0.0</v>
      </c>
      <c r="H78" s="9">
        <f t="shared" si="2"/>
        <v>0</v>
      </c>
      <c r="I78" s="11">
        <v>0.0</v>
      </c>
      <c r="J78" s="9">
        <f t="shared" si="3"/>
        <v>0</v>
      </c>
      <c r="K78" s="11">
        <v>0.0</v>
      </c>
      <c r="L78" s="11">
        <v>0.0</v>
      </c>
      <c r="M78" s="14">
        <f t="shared" si="4"/>
        <v>0</v>
      </c>
      <c r="N78" s="11">
        <v>0.0</v>
      </c>
      <c r="O78" s="14">
        <f t="shared" si="5"/>
        <v>0</v>
      </c>
      <c r="P78" s="11">
        <v>0.0</v>
      </c>
      <c r="Q78" s="15">
        <v>0.0</v>
      </c>
      <c r="R78" s="9">
        <v>10.0</v>
      </c>
      <c r="S78" s="16">
        <f t="shared" si="6"/>
        <v>0</v>
      </c>
      <c r="T78" s="17">
        <f t="shared" si="7"/>
        <v>0</v>
      </c>
      <c r="U78" s="14">
        <f t="shared" si="8"/>
        <v>-10</v>
      </c>
      <c r="V78" s="9" t="str">
        <f t="shared" si="9"/>
        <v>Low Performance</v>
      </c>
      <c r="W78" s="32" t="s">
        <v>51</v>
      </c>
    </row>
    <row r="79" ht="15.75" customHeight="1">
      <c r="A79" s="13">
        <v>46242.0</v>
      </c>
      <c r="B79" s="50" t="s">
        <v>59</v>
      </c>
      <c r="C79" s="9" t="s">
        <v>40</v>
      </c>
      <c r="D79" s="9" t="s">
        <v>27</v>
      </c>
      <c r="E79" s="10">
        <v>0.0</v>
      </c>
      <c r="F79" s="9">
        <f t="shared" si="1"/>
        <v>0</v>
      </c>
      <c r="G79" s="11">
        <v>1.0</v>
      </c>
      <c r="H79" s="9">
        <f t="shared" si="2"/>
        <v>1</v>
      </c>
      <c r="I79" s="11">
        <v>2.0</v>
      </c>
      <c r="J79" s="9">
        <f t="shared" si="3"/>
        <v>1</v>
      </c>
      <c r="K79" s="11">
        <v>42.0</v>
      </c>
      <c r="L79" s="11">
        <v>22.0</v>
      </c>
      <c r="M79" s="14">
        <f t="shared" si="4"/>
        <v>0.44</v>
      </c>
      <c r="N79" s="11">
        <v>1.0</v>
      </c>
      <c r="O79" s="14">
        <f t="shared" si="5"/>
        <v>0.6666666667</v>
      </c>
      <c r="P79" s="11">
        <v>1.0</v>
      </c>
      <c r="Q79" s="15">
        <v>1.0</v>
      </c>
      <c r="R79" s="9">
        <v>10.0</v>
      </c>
      <c r="S79" s="16">
        <f t="shared" si="6"/>
        <v>5.106666667</v>
      </c>
      <c r="T79" s="17">
        <f t="shared" si="7"/>
        <v>0.5106666667</v>
      </c>
      <c r="U79" s="14">
        <f t="shared" si="8"/>
        <v>-4.893333333</v>
      </c>
      <c r="V79" s="9" t="str">
        <f t="shared" si="9"/>
        <v>Average</v>
      </c>
      <c r="W79" s="9"/>
    </row>
    <row r="80" ht="15.75" customHeight="1">
      <c r="A80" s="13">
        <v>46242.0</v>
      </c>
      <c r="B80" s="49" t="s">
        <v>41</v>
      </c>
      <c r="C80" s="9" t="s">
        <v>40</v>
      </c>
      <c r="D80" s="9" t="s">
        <v>27</v>
      </c>
      <c r="E80" s="10">
        <v>0.0</v>
      </c>
      <c r="F80" s="9">
        <f t="shared" si="1"/>
        <v>0</v>
      </c>
      <c r="G80" s="11">
        <v>0.0</v>
      </c>
      <c r="H80" s="9">
        <f t="shared" si="2"/>
        <v>0</v>
      </c>
      <c r="I80" s="11">
        <v>0.0</v>
      </c>
      <c r="J80" s="9">
        <f t="shared" si="3"/>
        <v>0</v>
      </c>
      <c r="K80" s="11">
        <v>81.0</v>
      </c>
      <c r="L80" s="11">
        <v>50.0</v>
      </c>
      <c r="M80" s="14">
        <f t="shared" si="4"/>
        <v>1</v>
      </c>
      <c r="N80" s="11">
        <v>1.0</v>
      </c>
      <c r="O80" s="14">
        <f t="shared" si="5"/>
        <v>0.6666666667</v>
      </c>
      <c r="P80" s="11">
        <v>1.0</v>
      </c>
      <c r="Q80" s="15">
        <v>1.0</v>
      </c>
      <c r="R80" s="9">
        <v>10.0</v>
      </c>
      <c r="S80" s="16">
        <f t="shared" si="6"/>
        <v>3.666666667</v>
      </c>
      <c r="T80" s="17">
        <f t="shared" si="7"/>
        <v>0.3666666667</v>
      </c>
      <c r="U80" s="14">
        <f t="shared" si="8"/>
        <v>-6.333333333</v>
      </c>
      <c r="V80" s="9" t="str">
        <f t="shared" si="9"/>
        <v>Low Performance</v>
      </c>
      <c r="W80" s="9"/>
    </row>
    <row r="81" ht="15.75" customHeight="1">
      <c r="A81" s="13">
        <v>46242.0</v>
      </c>
      <c r="B81" s="49" t="s">
        <v>42</v>
      </c>
      <c r="C81" s="9" t="s">
        <v>40</v>
      </c>
      <c r="D81" s="9" t="s">
        <v>27</v>
      </c>
      <c r="E81" s="10">
        <v>0.0</v>
      </c>
      <c r="F81" s="9">
        <f t="shared" si="1"/>
        <v>0</v>
      </c>
      <c r="G81" s="11">
        <v>0.0</v>
      </c>
      <c r="H81" s="9">
        <f t="shared" si="2"/>
        <v>0</v>
      </c>
      <c r="I81" s="11">
        <v>1.0</v>
      </c>
      <c r="J81" s="9">
        <f t="shared" si="3"/>
        <v>1</v>
      </c>
      <c r="K81" s="11">
        <v>60.0</v>
      </c>
      <c r="L81" s="11">
        <v>40.0</v>
      </c>
      <c r="M81" s="14">
        <f t="shared" si="4"/>
        <v>0.8</v>
      </c>
      <c r="N81" s="11">
        <v>1.0</v>
      </c>
      <c r="O81" s="14">
        <f t="shared" si="5"/>
        <v>0.6666666667</v>
      </c>
      <c r="P81" s="11">
        <v>1.0</v>
      </c>
      <c r="Q81" s="15">
        <v>1.0</v>
      </c>
      <c r="R81" s="9">
        <v>10.0</v>
      </c>
      <c r="S81" s="16">
        <f t="shared" si="6"/>
        <v>4.466666667</v>
      </c>
      <c r="T81" s="17">
        <f t="shared" si="7"/>
        <v>0.4466666667</v>
      </c>
      <c r="U81" s="14">
        <f t="shared" si="8"/>
        <v>-5.533333333</v>
      </c>
      <c r="V81" s="9" t="str">
        <f t="shared" si="9"/>
        <v>Low Performance</v>
      </c>
      <c r="W81" s="9"/>
    </row>
    <row r="82" ht="15.75" customHeight="1">
      <c r="A82" s="13">
        <v>46242.0</v>
      </c>
      <c r="B82" s="49" t="s">
        <v>60</v>
      </c>
      <c r="C82" s="9" t="s">
        <v>40</v>
      </c>
      <c r="D82" s="9" t="s">
        <v>27</v>
      </c>
      <c r="E82" s="10">
        <v>0.0</v>
      </c>
      <c r="F82" s="9">
        <f t="shared" si="1"/>
        <v>0</v>
      </c>
      <c r="G82" s="11">
        <v>0.0</v>
      </c>
      <c r="H82" s="9">
        <f t="shared" si="2"/>
        <v>0</v>
      </c>
      <c r="I82" s="11">
        <v>0.0</v>
      </c>
      <c r="J82" s="9">
        <f t="shared" si="3"/>
        <v>0</v>
      </c>
      <c r="K82" s="11">
        <v>0.0</v>
      </c>
      <c r="L82" s="11">
        <v>0.0</v>
      </c>
      <c r="M82" s="14">
        <f t="shared" si="4"/>
        <v>0</v>
      </c>
      <c r="N82" s="11">
        <v>0.0</v>
      </c>
      <c r="O82" s="14">
        <f t="shared" si="5"/>
        <v>0</v>
      </c>
      <c r="P82" s="11">
        <v>0.0</v>
      </c>
      <c r="Q82" s="15">
        <v>0.0</v>
      </c>
      <c r="R82" s="9">
        <v>10.0</v>
      </c>
      <c r="S82" s="16">
        <f t="shared" si="6"/>
        <v>0</v>
      </c>
      <c r="T82" s="17">
        <f t="shared" si="7"/>
        <v>0</v>
      </c>
      <c r="U82" s="14">
        <f t="shared" si="8"/>
        <v>-10</v>
      </c>
      <c r="V82" s="9" t="str">
        <f t="shared" si="9"/>
        <v>Low Performance</v>
      </c>
      <c r="W82" s="32" t="s">
        <v>51</v>
      </c>
    </row>
    <row r="83" ht="15.75" customHeight="1">
      <c r="A83" s="13">
        <v>46242.0</v>
      </c>
      <c r="B83" s="49" t="s">
        <v>47</v>
      </c>
      <c r="C83" s="9" t="s">
        <v>48</v>
      </c>
      <c r="D83" s="9" t="s">
        <v>27</v>
      </c>
      <c r="E83" s="10">
        <v>0.0</v>
      </c>
      <c r="F83" s="9">
        <f t="shared" si="1"/>
        <v>0</v>
      </c>
      <c r="G83" s="11">
        <v>0.0</v>
      </c>
      <c r="H83" s="9">
        <f t="shared" si="2"/>
        <v>0</v>
      </c>
      <c r="I83" s="11">
        <v>1.0</v>
      </c>
      <c r="J83" s="9">
        <f t="shared" si="3"/>
        <v>1</v>
      </c>
      <c r="K83" s="11">
        <v>55.0</v>
      </c>
      <c r="L83" s="11">
        <v>30.0</v>
      </c>
      <c r="M83" s="14">
        <f t="shared" si="4"/>
        <v>0.6</v>
      </c>
      <c r="N83" s="11">
        <v>2.0</v>
      </c>
      <c r="O83" s="14">
        <f t="shared" si="5"/>
        <v>1.333333333</v>
      </c>
      <c r="P83" s="11">
        <v>1.0</v>
      </c>
      <c r="Q83" s="15">
        <v>0.75</v>
      </c>
      <c r="R83" s="9">
        <v>10.0</v>
      </c>
      <c r="S83" s="16">
        <f t="shared" si="6"/>
        <v>4.683333333</v>
      </c>
      <c r="T83" s="17">
        <f t="shared" si="7"/>
        <v>0.4683333333</v>
      </c>
      <c r="U83" s="14">
        <f t="shared" si="8"/>
        <v>-5.316666667</v>
      </c>
      <c r="V83" s="9" t="str">
        <f t="shared" si="9"/>
        <v>Low Performance</v>
      </c>
      <c r="W83" s="9"/>
    </row>
    <row r="84" ht="15.75" customHeight="1">
      <c r="A84" s="13">
        <v>46242.0</v>
      </c>
      <c r="B84" s="49" t="s">
        <v>61</v>
      </c>
      <c r="C84" s="9" t="s">
        <v>48</v>
      </c>
      <c r="D84" s="9" t="s">
        <v>27</v>
      </c>
      <c r="E84" s="10">
        <v>0.0</v>
      </c>
      <c r="F84" s="9">
        <f t="shared" si="1"/>
        <v>0</v>
      </c>
      <c r="G84" s="11">
        <v>0.0</v>
      </c>
      <c r="H84" s="9">
        <f t="shared" si="2"/>
        <v>0</v>
      </c>
      <c r="I84" s="11">
        <v>2.0</v>
      </c>
      <c r="J84" s="9">
        <f t="shared" si="3"/>
        <v>1</v>
      </c>
      <c r="K84" s="11">
        <v>60.0</v>
      </c>
      <c r="L84" s="11">
        <v>60.0</v>
      </c>
      <c r="M84" s="14">
        <f t="shared" si="4"/>
        <v>1</v>
      </c>
      <c r="N84" s="11">
        <v>2.0</v>
      </c>
      <c r="O84" s="14">
        <f t="shared" si="5"/>
        <v>1.333333333</v>
      </c>
      <c r="P84" s="11">
        <v>1.0</v>
      </c>
      <c r="Q84" s="15">
        <v>1.0</v>
      </c>
      <c r="R84" s="9">
        <v>10.0</v>
      </c>
      <c r="S84" s="16">
        <f t="shared" si="6"/>
        <v>5.333333333</v>
      </c>
      <c r="T84" s="17">
        <f t="shared" si="7"/>
        <v>0.5333333333</v>
      </c>
      <c r="U84" s="14">
        <f t="shared" si="8"/>
        <v>-4.666666667</v>
      </c>
      <c r="V84" s="9" t="str">
        <f t="shared" si="9"/>
        <v>Average</v>
      </c>
      <c r="W84" s="9"/>
    </row>
    <row r="85" ht="15.75" customHeight="1">
      <c r="A85" s="13">
        <v>46242.0</v>
      </c>
      <c r="B85" s="49" t="s">
        <v>62</v>
      </c>
      <c r="C85" s="9" t="s">
        <v>48</v>
      </c>
      <c r="D85" s="9" t="s">
        <v>27</v>
      </c>
      <c r="E85" s="10">
        <v>0.0</v>
      </c>
      <c r="F85" s="9">
        <f t="shared" si="1"/>
        <v>0</v>
      </c>
      <c r="G85" s="11">
        <v>0.0</v>
      </c>
      <c r="H85" s="9">
        <f t="shared" si="2"/>
        <v>0</v>
      </c>
      <c r="I85" s="11">
        <v>2.0</v>
      </c>
      <c r="J85" s="9">
        <f t="shared" si="3"/>
        <v>1</v>
      </c>
      <c r="K85" s="11">
        <v>63.0</v>
      </c>
      <c r="L85" s="11">
        <v>56.0</v>
      </c>
      <c r="M85" s="14">
        <f t="shared" si="4"/>
        <v>1</v>
      </c>
      <c r="N85" s="11">
        <v>1.0</v>
      </c>
      <c r="O85" s="14">
        <f t="shared" si="5"/>
        <v>0.6666666667</v>
      </c>
      <c r="P85" s="11">
        <v>1.0</v>
      </c>
      <c r="Q85" s="15">
        <v>1.0</v>
      </c>
      <c r="R85" s="9">
        <v>10.0</v>
      </c>
      <c r="S85" s="16">
        <f t="shared" si="6"/>
        <v>4.666666667</v>
      </c>
      <c r="T85" s="17">
        <f t="shared" si="7"/>
        <v>0.4666666667</v>
      </c>
      <c r="U85" s="14">
        <f t="shared" si="8"/>
        <v>-5.333333333</v>
      </c>
      <c r="V85" s="9" t="str">
        <f t="shared" si="9"/>
        <v>Low Performance</v>
      </c>
      <c r="W85" s="9"/>
    </row>
    <row r="86" ht="15.75" customHeight="1">
      <c r="A86" s="13">
        <v>46242.0</v>
      </c>
      <c r="B86" s="49" t="s">
        <v>63</v>
      </c>
      <c r="C86" s="9" t="s">
        <v>48</v>
      </c>
      <c r="D86" s="9" t="s">
        <v>27</v>
      </c>
      <c r="E86" s="10">
        <v>0.0</v>
      </c>
      <c r="F86" s="9">
        <f t="shared" si="1"/>
        <v>0</v>
      </c>
      <c r="G86" s="11">
        <v>0.0</v>
      </c>
      <c r="H86" s="9">
        <f t="shared" si="2"/>
        <v>0</v>
      </c>
      <c r="I86" s="11">
        <v>2.0</v>
      </c>
      <c r="J86" s="9">
        <f t="shared" si="3"/>
        <v>1</v>
      </c>
      <c r="K86" s="11">
        <v>55.0</v>
      </c>
      <c r="L86" s="11">
        <v>41.0</v>
      </c>
      <c r="M86" s="14">
        <f t="shared" si="4"/>
        <v>0.82</v>
      </c>
      <c r="N86" s="11">
        <v>1.0</v>
      </c>
      <c r="O86" s="14">
        <f t="shared" si="5"/>
        <v>0.6666666667</v>
      </c>
      <c r="P86" s="11">
        <v>1.0</v>
      </c>
      <c r="Q86" s="15">
        <v>1.0</v>
      </c>
      <c r="R86" s="9">
        <v>10.0</v>
      </c>
      <c r="S86" s="16">
        <f t="shared" si="6"/>
        <v>4.486666667</v>
      </c>
      <c r="T86" s="17">
        <f t="shared" si="7"/>
        <v>0.4486666667</v>
      </c>
      <c r="U86" s="14">
        <f t="shared" si="8"/>
        <v>-5.513333333</v>
      </c>
      <c r="V86" s="9" t="str">
        <f t="shared" si="9"/>
        <v>Low Performance</v>
      </c>
      <c r="W86" s="9"/>
    </row>
    <row r="87" ht="15.75" customHeight="1">
      <c r="A87" s="13">
        <v>46243.0</v>
      </c>
      <c r="B87" s="49" t="s">
        <v>28</v>
      </c>
      <c r="C87" s="9" t="s">
        <v>29</v>
      </c>
      <c r="D87" s="9" t="s">
        <v>27</v>
      </c>
      <c r="E87" s="10">
        <v>0.0</v>
      </c>
      <c r="F87" s="9">
        <f t="shared" si="1"/>
        <v>0</v>
      </c>
      <c r="G87" s="11">
        <v>0.0</v>
      </c>
      <c r="H87" s="9">
        <f t="shared" si="2"/>
        <v>0</v>
      </c>
      <c r="I87" s="11">
        <v>1.0</v>
      </c>
      <c r="J87" s="9">
        <f t="shared" si="3"/>
        <v>1</v>
      </c>
      <c r="K87" s="11">
        <v>98.0</v>
      </c>
      <c r="L87" s="11">
        <v>53.0</v>
      </c>
      <c r="M87" s="14">
        <f t="shared" si="4"/>
        <v>1</v>
      </c>
      <c r="N87" s="11">
        <v>3.0</v>
      </c>
      <c r="O87" s="14">
        <f t="shared" si="5"/>
        <v>2</v>
      </c>
      <c r="P87" s="11">
        <v>1.0</v>
      </c>
      <c r="Q87" s="15">
        <v>1.0</v>
      </c>
      <c r="R87" s="9">
        <v>10.0</v>
      </c>
      <c r="S87" s="16">
        <f t="shared" si="6"/>
        <v>6</v>
      </c>
      <c r="T87" s="17">
        <f t="shared" si="7"/>
        <v>0.6</v>
      </c>
      <c r="U87" s="14">
        <f t="shared" si="8"/>
        <v>-4</v>
      </c>
      <c r="V87" s="9" t="str">
        <f t="shared" si="9"/>
        <v>Average</v>
      </c>
      <c r="W87" s="9"/>
    </row>
    <row r="88" ht="15.75" customHeight="1">
      <c r="A88" s="13">
        <v>46243.0</v>
      </c>
      <c r="B88" s="49" t="s">
        <v>36</v>
      </c>
      <c r="C88" s="9" t="s">
        <v>29</v>
      </c>
      <c r="D88" s="9" t="s">
        <v>27</v>
      </c>
      <c r="E88" s="10">
        <v>0.0</v>
      </c>
      <c r="F88" s="9">
        <f t="shared" si="1"/>
        <v>0</v>
      </c>
      <c r="G88" s="11">
        <v>2.0</v>
      </c>
      <c r="H88" s="9">
        <f t="shared" si="2"/>
        <v>1</v>
      </c>
      <c r="I88" s="11">
        <v>1.0</v>
      </c>
      <c r="J88" s="9">
        <f t="shared" si="3"/>
        <v>1</v>
      </c>
      <c r="K88" s="11">
        <v>63.0</v>
      </c>
      <c r="L88" s="11">
        <v>32.0</v>
      </c>
      <c r="M88" s="14">
        <f t="shared" si="4"/>
        <v>0.64</v>
      </c>
      <c r="N88" s="11">
        <v>2.0</v>
      </c>
      <c r="O88" s="14">
        <f t="shared" si="5"/>
        <v>1.333333333</v>
      </c>
      <c r="P88" s="11">
        <v>1.0</v>
      </c>
      <c r="Q88" s="15">
        <v>0.75</v>
      </c>
      <c r="R88" s="9">
        <v>10.0</v>
      </c>
      <c r="S88" s="16">
        <f t="shared" si="6"/>
        <v>5.723333333</v>
      </c>
      <c r="T88" s="17">
        <f t="shared" si="7"/>
        <v>0.5723333333</v>
      </c>
      <c r="U88" s="14">
        <f t="shared" si="8"/>
        <v>-4.276666667</v>
      </c>
      <c r="V88" s="9" t="str">
        <f t="shared" si="9"/>
        <v>Average</v>
      </c>
      <c r="W88" s="9"/>
    </row>
    <row r="89" ht="15.75" customHeight="1">
      <c r="A89" s="13">
        <v>46243.0</v>
      </c>
      <c r="B89" s="49" t="s">
        <v>56</v>
      </c>
      <c r="C89" s="9" t="s">
        <v>29</v>
      </c>
      <c r="D89" s="9" t="s">
        <v>27</v>
      </c>
      <c r="E89" s="10">
        <v>0.0</v>
      </c>
      <c r="F89" s="9">
        <f t="shared" si="1"/>
        <v>0</v>
      </c>
      <c r="G89" s="11">
        <v>0.0</v>
      </c>
      <c r="H89" s="9">
        <f t="shared" si="2"/>
        <v>0</v>
      </c>
      <c r="I89" s="11">
        <v>2.0</v>
      </c>
      <c r="J89" s="9">
        <f t="shared" si="3"/>
        <v>1</v>
      </c>
      <c r="K89" s="11">
        <v>63.0</v>
      </c>
      <c r="L89" s="11">
        <v>47.0</v>
      </c>
      <c r="M89" s="14">
        <f t="shared" si="4"/>
        <v>0.94</v>
      </c>
      <c r="N89" s="11">
        <v>1.0</v>
      </c>
      <c r="O89" s="14">
        <f t="shared" si="5"/>
        <v>0.6666666667</v>
      </c>
      <c r="P89" s="11">
        <v>1.0</v>
      </c>
      <c r="Q89" s="15">
        <v>1.0</v>
      </c>
      <c r="R89" s="9">
        <v>10.0</v>
      </c>
      <c r="S89" s="16">
        <f t="shared" si="6"/>
        <v>4.606666667</v>
      </c>
      <c r="T89" s="17">
        <f t="shared" si="7"/>
        <v>0.4606666667</v>
      </c>
      <c r="U89" s="14">
        <f t="shared" si="8"/>
        <v>-5.393333333</v>
      </c>
      <c r="V89" s="9" t="str">
        <f t="shared" si="9"/>
        <v>Low Performance</v>
      </c>
      <c r="W89" s="9"/>
    </row>
    <row r="90" ht="15.75" customHeight="1">
      <c r="A90" s="13">
        <v>46243.0</v>
      </c>
      <c r="B90" s="49" t="s">
        <v>37</v>
      </c>
      <c r="C90" s="9" t="s">
        <v>29</v>
      </c>
      <c r="D90" s="9" t="s">
        <v>27</v>
      </c>
      <c r="E90" s="10">
        <v>0.0</v>
      </c>
      <c r="F90" s="9">
        <f t="shared" si="1"/>
        <v>0</v>
      </c>
      <c r="G90" s="11">
        <v>0.0</v>
      </c>
      <c r="H90" s="9">
        <f t="shared" si="2"/>
        <v>0</v>
      </c>
      <c r="I90" s="11">
        <v>1.0</v>
      </c>
      <c r="J90" s="9">
        <f t="shared" si="3"/>
        <v>1</v>
      </c>
      <c r="K90" s="11">
        <v>69.0</v>
      </c>
      <c r="L90" s="11">
        <v>52.0</v>
      </c>
      <c r="M90" s="14">
        <f t="shared" si="4"/>
        <v>1</v>
      </c>
      <c r="N90" s="11">
        <v>2.0</v>
      </c>
      <c r="O90" s="14">
        <f t="shared" si="5"/>
        <v>1.333333333</v>
      </c>
      <c r="P90" s="11">
        <v>1.0</v>
      </c>
      <c r="Q90" s="15">
        <v>0.75</v>
      </c>
      <c r="R90" s="9">
        <v>10.0</v>
      </c>
      <c r="S90" s="16">
        <f t="shared" si="6"/>
        <v>5.083333333</v>
      </c>
      <c r="T90" s="17">
        <f t="shared" si="7"/>
        <v>0.5083333333</v>
      </c>
      <c r="U90" s="14">
        <f t="shared" si="8"/>
        <v>-4.916666667</v>
      </c>
      <c r="V90" s="9" t="str">
        <f t="shared" si="9"/>
        <v>Average</v>
      </c>
      <c r="W90" s="9"/>
    </row>
    <row r="91" ht="15.75" customHeight="1">
      <c r="A91" s="13">
        <v>46243.0</v>
      </c>
      <c r="B91" s="49" t="s">
        <v>57</v>
      </c>
      <c r="C91" s="9" t="s">
        <v>29</v>
      </c>
      <c r="D91" s="9" t="s">
        <v>27</v>
      </c>
      <c r="E91" s="10">
        <v>0.0</v>
      </c>
      <c r="F91" s="9">
        <f t="shared" si="1"/>
        <v>0</v>
      </c>
      <c r="G91" s="11">
        <v>0.0</v>
      </c>
      <c r="H91" s="9">
        <f t="shared" si="2"/>
        <v>0</v>
      </c>
      <c r="I91" s="11">
        <v>0.0</v>
      </c>
      <c r="J91" s="9">
        <f t="shared" si="3"/>
        <v>0</v>
      </c>
      <c r="K91" s="11">
        <v>67.0</v>
      </c>
      <c r="L91" s="11">
        <v>55.0</v>
      </c>
      <c r="M91" s="14">
        <f t="shared" si="4"/>
        <v>1</v>
      </c>
      <c r="N91" s="11">
        <v>2.0</v>
      </c>
      <c r="O91" s="14">
        <f t="shared" si="5"/>
        <v>1.333333333</v>
      </c>
      <c r="P91" s="11">
        <v>1.0</v>
      </c>
      <c r="Q91" s="15">
        <v>0.75</v>
      </c>
      <c r="R91" s="9">
        <v>10.0</v>
      </c>
      <c r="S91" s="16">
        <f t="shared" si="6"/>
        <v>4.083333333</v>
      </c>
      <c r="T91" s="17">
        <f t="shared" si="7"/>
        <v>0.4083333333</v>
      </c>
      <c r="U91" s="14">
        <f t="shared" si="8"/>
        <v>-5.916666667</v>
      </c>
      <c r="V91" s="9" t="str">
        <f t="shared" si="9"/>
        <v>Low Performance</v>
      </c>
      <c r="W91" s="9"/>
    </row>
    <row r="92" ht="15.75" customHeight="1">
      <c r="A92" s="13">
        <v>46243.0</v>
      </c>
      <c r="B92" s="49" t="s">
        <v>58</v>
      </c>
      <c r="C92" s="9" t="s">
        <v>40</v>
      </c>
      <c r="D92" s="9" t="s">
        <v>27</v>
      </c>
      <c r="E92" s="10">
        <v>0.0</v>
      </c>
      <c r="F92" s="9">
        <f t="shared" si="1"/>
        <v>0</v>
      </c>
      <c r="G92" s="11">
        <v>0.0</v>
      </c>
      <c r="H92" s="9">
        <f t="shared" si="2"/>
        <v>0</v>
      </c>
      <c r="I92" s="11">
        <v>0.0</v>
      </c>
      <c r="J92" s="9">
        <f t="shared" si="3"/>
        <v>0</v>
      </c>
      <c r="K92" s="11">
        <v>0.0</v>
      </c>
      <c r="L92" s="11">
        <v>0.0</v>
      </c>
      <c r="M92" s="14">
        <f t="shared" si="4"/>
        <v>0</v>
      </c>
      <c r="N92" s="11">
        <v>0.0</v>
      </c>
      <c r="O92" s="14">
        <f t="shared" si="5"/>
        <v>0</v>
      </c>
      <c r="P92" s="11">
        <v>0.0</v>
      </c>
      <c r="Q92" s="15">
        <v>0.0</v>
      </c>
      <c r="R92" s="9">
        <v>10.0</v>
      </c>
      <c r="S92" s="16">
        <f t="shared" si="6"/>
        <v>0</v>
      </c>
      <c r="T92" s="17">
        <f t="shared" si="7"/>
        <v>0</v>
      </c>
      <c r="U92" s="14">
        <f t="shared" si="8"/>
        <v>-10</v>
      </c>
      <c r="V92" s="9" t="str">
        <f t="shared" si="9"/>
        <v>Low Performance</v>
      </c>
      <c r="W92" s="32" t="s">
        <v>51</v>
      </c>
    </row>
    <row r="93" ht="15.75" customHeight="1">
      <c r="A93" s="13">
        <v>46243.0</v>
      </c>
      <c r="B93" s="50" t="s">
        <v>59</v>
      </c>
      <c r="C93" s="9" t="s">
        <v>40</v>
      </c>
      <c r="D93" s="9" t="s">
        <v>27</v>
      </c>
      <c r="E93" s="10">
        <v>0.0</v>
      </c>
      <c r="F93" s="9">
        <f t="shared" si="1"/>
        <v>0</v>
      </c>
      <c r="G93" s="11">
        <v>0.0</v>
      </c>
      <c r="H93" s="9">
        <f t="shared" si="2"/>
        <v>0</v>
      </c>
      <c r="I93" s="11">
        <v>1.0</v>
      </c>
      <c r="J93" s="9">
        <f t="shared" si="3"/>
        <v>1</v>
      </c>
      <c r="K93" s="11">
        <v>30.0</v>
      </c>
      <c r="L93" s="11">
        <v>24.0</v>
      </c>
      <c r="M93" s="14">
        <f t="shared" si="4"/>
        <v>0.48</v>
      </c>
      <c r="N93" s="11">
        <v>1.0</v>
      </c>
      <c r="O93" s="14">
        <f t="shared" si="5"/>
        <v>0.6666666667</v>
      </c>
      <c r="P93" s="11">
        <v>1.0</v>
      </c>
      <c r="Q93" s="15">
        <v>1.0</v>
      </c>
      <c r="R93" s="9">
        <v>10.0</v>
      </c>
      <c r="S93" s="16">
        <f t="shared" si="6"/>
        <v>4.146666667</v>
      </c>
      <c r="T93" s="17">
        <f t="shared" si="7"/>
        <v>0.4146666667</v>
      </c>
      <c r="U93" s="14">
        <f t="shared" si="8"/>
        <v>-5.853333333</v>
      </c>
      <c r="V93" s="9" t="str">
        <f t="shared" si="9"/>
        <v>Low Performance</v>
      </c>
      <c r="W93" s="9"/>
    </row>
    <row r="94" ht="15.75" customHeight="1">
      <c r="A94" s="13">
        <v>46243.0</v>
      </c>
      <c r="B94" s="49" t="s">
        <v>41</v>
      </c>
      <c r="C94" s="9" t="s">
        <v>40</v>
      </c>
      <c r="D94" s="9" t="s">
        <v>27</v>
      </c>
      <c r="E94" s="10">
        <v>0.0</v>
      </c>
      <c r="F94" s="9">
        <f t="shared" si="1"/>
        <v>0</v>
      </c>
      <c r="G94" s="11">
        <v>0.0</v>
      </c>
      <c r="H94" s="9">
        <f t="shared" si="2"/>
        <v>0</v>
      </c>
      <c r="I94" s="11">
        <v>0.0</v>
      </c>
      <c r="J94" s="9">
        <f t="shared" si="3"/>
        <v>0</v>
      </c>
      <c r="K94" s="11">
        <v>30.0</v>
      </c>
      <c r="L94" s="11">
        <v>30.0</v>
      </c>
      <c r="M94" s="14">
        <f t="shared" si="4"/>
        <v>0.6</v>
      </c>
      <c r="N94" s="11">
        <v>1.0</v>
      </c>
      <c r="O94" s="14">
        <f t="shared" si="5"/>
        <v>0.6666666667</v>
      </c>
      <c r="P94" s="11">
        <v>1.0</v>
      </c>
      <c r="Q94" s="15">
        <v>1.0</v>
      </c>
      <c r="R94" s="9">
        <v>10.0</v>
      </c>
      <c r="S94" s="16">
        <f t="shared" si="6"/>
        <v>3.266666667</v>
      </c>
      <c r="T94" s="17">
        <f t="shared" si="7"/>
        <v>0.3266666667</v>
      </c>
      <c r="U94" s="14">
        <f t="shared" si="8"/>
        <v>-6.733333333</v>
      </c>
      <c r="V94" s="9" t="str">
        <f t="shared" si="9"/>
        <v>Low Performance</v>
      </c>
      <c r="W94" s="9"/>
    </row>
    <row r="95" ht="15.75" customHeight="1">
      <c r="A95" s="13">
        <v>46243.0</v>
      </c>
      <c r="B95" s="49" t="s">
        <v>42</v>
      </c>
      <c r="C95" s="9" t="s">
        <v>40</v>
      </c>
      <c r="D95" s="9" t="s">
        <v>27</v>
      </c>
      <c r="E95" s="10">
        <v>0.0</v>
      </c>
      <c r="F95" s="9">
        <f t="shared" si="1"/>
        <v>0</v>
      </c>
      <c r="G95" s="11">
        <v>0.0</v>
      </c>
      <c r="H95" s="9">
        <f t="shared" si="2"/>
        <v>0</v>
      </c>
      <c r="I95" s="11">
        <v>1.0</v>
      </c>
      <c r="J95" s="9">
        <f t="shared" si="3"/>
        <v>1</v>
      </c>
      <c r="K95" s="11">
        <v>63.0</v>
      </c>
      <c r="L95" s="11">
        <v>53.0</v>
      </c>
      <c r="M95" s="14">
        <f t="shared" si="4"/>
        <v>1</v>
      </c>
      <c r="N95" s="11">
        <v>1.0</v>
      </c>
      <c r="O95" s="14">
        <f t="shared" si="5"/>
        <v>0.6666666667</v>
      </c>
      <c r="P95" s="11">
        <v>1.0</v>
      </c>
      <c r="Q95" s="15">
        <v>1.0</v>
      </c>
      <c r="R95" s="9">
        <v>10.0</v>
      </c>
      <c r="S95" s="16">
        <f t="shared" si="6"/>
        <v>4.666666667</v>
      </c>
      <c r="T95" s="17">
        <f t="shared" si="7"/>
        <v>0.4666666667</v>
      </c>
      <c r="U95" s="14">
        <f t="shared" si="8"/>
        <v>-5.333333333</v>
      </c>
      <c r="V95" s="9" t="str">
        <f t="shared" si="9"/>
        <v>Low Performance</v>
      </c>
      <c r="W95" s="9"/>
    </row>
    <row r="96" ht="15.75" customHeight="1">
      <c r="A96" s="13">
        <v>46243.0</v>
      </c>
      <c r="B96" s="49" t="s">
        <v>60</v>
      </c>
      <c r="C96" s="9" t="s">
        <v>40</v>
      </c>
      <c r="D96" s="9" t="s">
        <v>27</v>
      </c>
      <c r="E96" s="10">
        <v>20000.0</v>
      </c>
      <c r="F96" s="9">
        <f t="shared" si="1"/>
        <v>3</v>
      </c>
      <c r="G96" s="11">
        <v>0.0</v>
      </c>
      <c r="H96" s="9">
        <f t="shared" si="2"/>
        <v>0</v>
      </c>
      <c r="I96" s="11">
        <v>2.0</v>
      </c>
      <c r="J96" s="9">
        <f t="shared" si="3"/>
        <v>1</v>
      </c>
      <c r="K96" s="11">
        <v>65.0</v>
      </c>
      <c r="L96" s="11">
        <v>43.0</v>
      </c>
      <c r="M96" s="14">
        <f t="shared" si="4"/>
        <v>0.86</v>
      </c>
      <c r="N96" s="11">
        <v>2.0</v>
      </c>
      <c r="O96" s="14">
        <f t="shared" si="5"/>
        <v>1.333333333</v>
      </c>
      <c r="P96" s="11">
        <v>1.0</v>
      </c>
      <c r="Q96" s="15">
        <v>1.0</v>
      </c>
      <c r="R96" s="9">
        <v>10.0</v>
      </c>
      <c r="S96" s="16">
        <f t="shared" si="6"/>
        <v>8.193333333</v>
      </c>
      <c r="T96" s="17">
        <f t="shared" si="7"/>
        <v>0.8193333333</v>
      </c>
      <c r="U96" s="14">
        <f t="shared" si="8"/>
        <v>-1.806666667</v>
      </c>
      <c r="V96" s="9" t="str">
        <f t="shared" si="9"/>
        <v>Near Target</v>
      </c>
      <c r="W96" s="9"/>
    </row>
    <row r="97" ht="15.75" customHeight="1">
      <c r="A97" s="13">
        <v>46243.0</v>
      </c>
      <c r="B97" s="49" t="s">
        <v>47</v>
      </c>
      <c r="C97" s="9" t="s">
        <v>48</v>
      </c>
      <c r="D97" s="9" t="s">
        <v>27</v>
      </c>
      <c r="E97" s="10">
        <v>0.0</v>
      </c>
      <c r="F97" s="9">
        <f t="shared" si="1"/>
        <v>0</v>
      </c>
      <c r="G97" s="11">
        <v>0.0</v>
      </c>
      <c r="H97" s="9">
        <f t="shared" si="2"/>
        <v>0</v>
      </c>
      <c r="I97" s="11">
        <v>1.0</v>
      </c>
      <c r="J97" s="9">
        <f t="shared" si="3"/>
        <v>1</v>
      </c>
      <c r="K97" s="11">
        <v>55.0</v>
      </c>
      <c r="L97" s="11">
        <v>37.0</v>
      </c>
      <c r="M97" s="14">
        <f t="shared" si="4"/>
        <v>0.74</v>
      </c>
      <c r="N97" s="11">
        <v>1.0</v>
      </c>
      <c r="O97" s="14">
        <f t="shared" si="5"/>
        <v>0.6666666667</v>
      </c>
      <c r="P97" s="11">
        <v>1.0</v>
      </c>
      <c r="Q97" s="15">
        <v>0.75</v>
      </c>
      <c r="R97" s="9">
        <v>10.0</v>
      </c>
      <c r="S97" s="16">
        <f t="shared" si="6"/>
        <v>4.156666667</v>
      </c>
      <c r="T97" s="17">
        <f t="shared" si="7"/>
        <v>0.4156666667</v>
      </c>
      <c r="U97" s="14">
        <f t="shared" si="8"/>
        <v>-5.843333333</v>
      </c>
      <c r="V97" s="9" t="str">
        <f t="shared" si="9"/>
        <v>Low Performance</v>
      </c>
      <c r="W97" s="9"/>
    </row>
    <row r="98" ht="15.75" customHeight="1">
      <c r="A98" s="13">
        <v>46243.0</v>
      </c>
      <c r="B98" s="49" t="s">
        <v>61</v>
      </c>
      <c r="C98" s="9" t="s">
        <v>48</v>
      </c>
      <c r="D98" s="9" t="s">
        <v>27</v>
      </c>
      <c r="E98" s="10">
        <v>0.0</v>
      </c>
      <c r="F98" s="9">
        <f t="shared" si="1"/>
        <v>0</v>
      </c>
      <c r="G98" s="11">
        <v>0.0</v>
      </c>
      <c r="H98" s="9">
        <f t="shared" si="2"/>
        <v>0</v>
      </c>
      <c r="I98" s="11">
        <v>2.0</v>
      </c>
      <c r="J98" s="9">
        <f t="shared" si="3"/>
        <v>1</v>
      </c>
      <c r="K98" s="11">
        <v>60.0</v>
      </c>
      <c r="L98" s="11">
        <v>39.0</v>
      </c>
      <c r="M98" s="14">
        <f t="shared" si="4"/>
        <v>0.78</v>
      </c>
      <c r="N98" s="11">
        <v>2.0</v>
      </c>
      <c r="O98" s="14">
        <f t="shared" si="5"/>
        <v>1.333333333</v>
      </c>
      <c r="P98" s="11">
        <v>1.0</v>
      </c>
      <c r="Q98" s="15">
        <v>1.0</v>
      </c>
      <c r="R98" s="9">
        <v>10.0</v>
      </c>
      <c r="S98" s="16">
        <f t="shared" si="6"/>
        <v>5.113333333</v>
      </c>
      <c r="T98" s="17">
        <f t="shared" si="7"/>
        <v>0.5113333333</v>
      </c>
      <c r="U98" s="14">
        <f t="shared" si="8"/>
        <v>-4.886666667</v>
      </c>
      <c r="V98" s="9" t="str">
        <f t="shared" si="9"/>
        <v>Average</v>
      </c>
      <c r="W98" s="9"/>
    </row>
    <row r="99" ht="15.75" customHeight="1">
      <c r="A99" s="13">
        <v>46243.0</v>
      </c>
      <c r="B99" s="49" t="s">
        <v>62</v>
      </c>
      <c r="C99" s="9" t="s">
        <v>48</v>
      </c>
      <c r="D99" s="9" t="s">
        <v>27</v>
      </c>
      <c r="E99" s="10">
        <v>0.0</v>
      </c>
      <c r="F99" s="9">
        <f t="shared" si="1"/>
        <v>0</v>
      </c>
      <c r="G99" s="11">
        <v>0.0</v>
      </c>
      <c r="H99" s="9">
        <f t="shared" si="2"/>
        <v>0</v>
      </c>
      <c r="I99" s="11">
        <v>2.0</v>
      </c>
      <c r="J99" s="9">
        <f t="shared" si="3"/>
        <v>1</v>
      </c>
      <c r="K99" s="11">
        <v>54.0</v>
      </c>
      <c r="L99" s="11">
        <v>41.0</v>
      </c>
      <c r="M99" s="14">
        <f t="shared" si="4"/>
        <v>0.82</v>
      </c>
      <c r="N99" s="11">
        <v>1.0</v>
      </c>
      <c r="O99" s="14">
        <f t="shared" si="5"/>
        <v>0.6666666667</v>
      </c>
      <c r="P99" s="11">
        <v>1.0</v>
      </c>
      <c r="Q99" s="15">
        <v>1.0</v>
      </c>
      <c r="R99" s="9">
        <v>10.0</v>
      </c>
      <c r="S99" s="16">
        <f t="shared" si="6"/>
        <v>4.486666667</v>
      </c>
      <c r="T99" s="17">
        <f t="shared" si="7"/>
        <v>0.4486666667</v>
      </c>
      <c r="U99" s="14">
        <f t="shared" si="8"/>
        <v>-5.513333333</v>
      </c>
      <c r="V99" s="9" t="str">
        <f t="shared" si="9"/>
        <v>Low Performance</v>
      </c>
      <c r="W99" s="9"/>
    </row>
    <row r="100" ht="15.75" customHeight="1">
      <c r="A100" s="13">
        <v>46243.0</v>
      </c>
      <c r="B100" s="49" t="s">
        <v>63</v>
      </c>
      <c r="C100" s="9" t="s">
        <v>48</v>
      </c>
      <c r="D100" s="9" t="s">
        <v>27</v>
      </c>
      <c r="E100" s="10">
        <v>0.0</v>
      </c>
      <c r="F100" s="9">
        <f t="shared" si="1"/>
        <v>0</v>
      </c>
      <c r="G100" s="11">
        <v>0.0</v>
      </c>
      <c r="H100" s="9">
        <f t="shared" si="2"/>
        <v>0</v>
      </c>
      <c r="I100" s="11">
        <v>2.0</v>
      </c>
      <c r="J100" s="9">
        <f t="shared" si="3"/>
        <v>1</v>
      </c>
      <c r="K100" s="11">
        <v>70.0</v>
      </c>
      <c r="L100" s="11">
        <v>48.0</v>
      </c>
      <c r="M100" s="14">
        <f t="shared" si="4"/>
        <v>0.96</v>
      </c>
      <c r="N100" s="11">
        <v>1.0</v>
      </c>
      <c r="O100" s="14">
        <f t="shared" si="5"/>
        <v>0.6666666667</v>
      </c>
      <c r="P100" s="11">
        <v>1.0</v>
      </c>
      <c r="Q100" s="15">
        <v>1.0</v>
      </c>
      <c r="R100" s="9">
        <v>10.0</v>
      </c>
      <c r="S100" s="16">
        <f t="shared" si="6"/>
        <v>4.626666667</v>
      </c>
      <c r="T100" s="17">
        <f t="shared" si="7"/>
        <v>0.4626666667</v>
      </c>
      <c r="U100" s="14">
        <f t="shared" si="8"/>
        <v>-5.373333333</v>
      </c>
      <c r="V100" s="9" t="str">
        <f t="shared" si="9"/>
        <v>Low Performance</v>
      </c>
      <c r="W100" s="9"/>
    </row>
    <row r="101" ht="15.75" customHeight="1">
      <c r="A101" s="13">
        <v>46244.0</v>
      </c>
      <c r="B101" s="49" t="s">
        <v>28</v>
      </c>
      <c r="C101" s="9" t="s">
        <v>29</v>
      </c>
      <c r="D101" s="9" t="s">
        <v>27</v>
      </c>
      <c r="E101" s="10">
        <v>0.0</v>
      </c>
      <c r="F101" s="9">
        <f t="shared" si="1"/>
        <v>0</v>
      </c>
      <c r="G101" s="11">
        <v>1.0</v>
      </c>
      <c r="H101" s="9">
        <f t="shared" si="2"/>
        <v>1</v>
      </c>
      <c r="I101" s="11">
        <v>0.0</v>
      </c>
      <c r="J101" s="9">
        <f t="shared" si="3"/>
        <v>0</v>
      </c>
      <c r="K101" s="11">
        <v>103.0</v>
      </c>
      <c r="L101" s="11">
        <v>50.0</v>
      </c>
      <c r="M101" s="14">
        <f t="shared" si="4"/>
        <v>1</v>
      </c>
      <c r="N101" s="11">
        <v>3.0</v>
      </c>
      <c r="O101" s="14">
        <f t="shared" si="5"/>
        <v>2</v>
      </c>
      <c r="P101" s="11">
        <v>1.0</v>
      </c>
      <c r="Q101" s="15">
        <v>0.75</v>
      </c>
      <c r="R101" s="9">
        <v>10.0</v>
      </c>
      <c r="S101" s="16">
        <f t="shared" si="6"/>
        <v>5.75</v>
      </c>
      <c r="T101" s="17">
        <f t="shared" si="7"/>
        <v>0.575</v>
      </c>
      <c r="U101" s="14">
        <f t="shared" si="8"/>
        <v>-4.25</v>
      </c>
      <c r="V101" s="9" t="str">
        <f t="shared" si="9"/>
        <v>Average</v>
      </c>
      <c r="W101" s="9"/>
    </row>
    <row r="102" ht="15.75" customHeight="1">
      <c r="A102" s="13">
        <v>46244.0</v>
      </c>
      <c r="B102" s="49" t="s">
        <v>36</v>
      </c>
      <c r="C102" s="9" t="s">
        <v>29</v>
      </c>
      <c r="D102" s="9" t="s">
        <v>27</v>
      </c>
      <c r="E102" s="10">
        <v>0.0</v>
      </c>
      <c r="F102" s="9">
        <f t="shared" si="1"/>
        <v>0</v>
      </c>
      <c r="G102" s="11">
        <v>1.0</v>
      </c>
      <c r="H102" s="9">
        <f t="shared" si="2"/>
        <v>1</v>
      </c>
      <c r="I102" s="11">
        <v>1.0</v>
      </c>
      <c r="J102" s="9">
        <f t="shared" si="3"/>
        <v>1</v>
      </c>
      <c r="K102" s="11">
        <v>63.0</v>
      </c>
      <c r="L102" s="11">
        <v>47.0</v>
      </c>
      <c r="M102" s="14">
        <f t="shared" si="4"/>
        <v>0.94</v>
      </c>
      <c r="N102" s="11">
        <v>2.0</v>
      </c>
      <c r="O102" s="14">
        <f t="shared" si="5"/>
        <v>1.333333333</v>
      </c>
      <c r="P102" s="11">
        <v>1.0</v>
      </c>
      <c r="Q102" s="15">
        <v>0.75</v>
      </c>
      <c r="R102" s="9">
        <v>10.0</v>
      </c>
      <c r="S102" s="16">
        <f t="shared" si="6"/>
        <v>6.023333333</v>
      </c>
      <c r="T102" s="17">
        <f t="shared" si="7"/>
        <v>0.6023333333</v>
      </c>
      <c r="U102" s="14">
        <f t="shared" si="8"/>
        <v>-3.976666667</v>
      </c>
      <c r="V102" s="9" t="str">
        <f t="shared" si="9"/>
        <v>Average</v>
      </c>
      <c r="W102" s="9"/>
    </row>
    <row r="103" ht="15.75" customHeight="1">
      <c r="A103" s="13">
        <v>46244.0</v>
      </c>
      <c r="B103" s="49" t="s">
        <v>56</v>
      </c>
      <c r="C103" s="9" t="s">
        <v>29</v>
      </c>
      <c r="D103" s="9" t="s">
        <v>27</v>
      </c>
      <c r="E103" s="10">
        <v>0.0</v>
      </c>
      <c r="F103" s="9">
        <f t="shared" si="1"/>
        <v>0</v>
      </c>
      <c r="G103" s="11">
        <v>0.0</v>
      </c>
      <c r="H103" s="9">
        <f t="shared" si="2"/>
        <v>0</v>
      </c>
      <c r="I103" s="11">
        <v>1.0</v>
      </c>
      <c r="J103" s="9">
        <f t="shared" si="3"/>
        <v>1</v>
      </c>
      <c r="K103" s="11">
        <v>55.0</v>
      </c>
      <c r="L103" s="11">
        <v>36.0</v>
      </c>
      <c r="M103" s="14">
        <f t="shared" si="4"/>
        <v>0.72</v>
      </c>
      <c r="N103" s="11">
        <v>2.0</v>
      </c>
      <c r="O103" s="14">
        <f t="shared" si="5"/>
        <v>1.333333333</v>
      </c>
      <c r="P103" s="11">
        <v>1.0</v>
      </c>
      <c r="Q103" s="15">
        <v>1.0</v>
      </c>
      <c r="R103" s="9">
        <v>10.0</v>
      </c>
      <c r="S103" s="16">
        <f t="shared" si="6"/>
        <v>5.053333333</v>
      </c>
      <c r="T103" s="17">
        <f t="shared" si="7"/>
        <v>0.5053333333</v>
      </c>
      <c r="U103" s="14">
        <f t="shared" si="8"/>
        <v>-4.946666667</v>
      </c>
      <c r="V103" s="9" t="str">
        <f t="shared" si="9"/>
        <v>Average</v>
      </c>
      <c r="W103" s="9"/>
    </row>
    <row r="104" ht="15.75" customHeight="1">
      <c r="A104" s="13">
        <v>46244.0</v>
      </c>
      <c r="B104" s="49" t="s">
        <v>37</v>
      </c>
      <c r="C104" s="9" t="s">
        <v>29</v>
      </c>
      <c r="D104" s="9" t="s">
        <v>27</v>
      </c>
      <c r="E104" s="10">
        <v>0.0</v>
      </c>
      <c r="F104" s="9">
        <f t="shared" si="1"/>
        <v>0</v>
      </c>
      <c r="G104" s="11">
        <v>1.0</v>
      </c>
      <c r="H104" s="9">
        <f t="shared" si="2"/>
        <v>1</v>
      </c>
      <c r="I104" s="11">
        <v>1.0</v>
      </c>
      <c r="J104" s="9">
        <f t="shared" si="3"/>
        <v>1</v>
      </c>
      <c r="K104" s="11">
        <v>75.0</v>
      </c>
      <c r="L104" s="11">
        <v>50.0</v>
      </c>
      <c r="M104" s="14">
        <f t="shared" si="4"/>
        <v>1</v>
      </c>
      <c r="N104" s="11">
        <v>2.0</v>
      </c>
      <c r="O104" s="14">
        <f t="shared" si="5"/>
        <v>1.333333333</v>
      </c>
      <c r="P104" s="11">
        <v>1.0</v>
      </c>
      <c r="Q104" s="15">
        <v>1.0</v>
      </c>
      <c r="R104" s="9">
        <v>10.0</v>
      </c>
      <c r="S104" s="16">
        <f t="shared" si="6"/>
        <v>6.333333333</v>
      </c>
      <c r="T104" s="17">
        <f t="shared" si="7"/>
        <v>0.6333333333</v>
      </c>
      <c r="U104" s="14">
        <f t="shared" si="8"/>
        <v>-3.666666667</v>
      </c>
      <c r="V104" s="9" t="str">
        <f t="shared" si="9"/>
        <v>Average</v>
      </c>
      <c r="W104" s="9"/>
    </row>
    <row r="105" ht="15.75" customHeight="1">
      <c r="A105" s="13">
        <v>46244.0</v>
      </c>
      <c r="B105" s="49" t="s">
        <v>57</v>
      </c>
      <c r="C105" s="9" t="s">
        <v>29</v>
      </c>
      <c r="D105" s="9" t="s">
        <v>27</v>
      </c>
      <c r="E105" s="10">
        <v>0.0</v>
      </c>
      <c r="F105" s="9">
        <f t="shared" si="1"/>
        <v>0</v>
      </c>
      <c r="G105" s="11">
        <v>1.0</v>
      </c>
      <c r="H105" s="9">
        <f t="shared" si="2"/>
        <v>1</v>
      </c>
      <c r="I105" s="11">
        <v>1.0</v>
      </c>
      <c r="J105" s="9">
        <f t="shared" si="3"/>
        <v>1</v>
      </c>
      <c r="K105" s="11">
        <v>66.0</v>
      </c>
      <c r="L105" s="11">
        <v>30.0</v>
      </c>
      <c r="M105" s="14">
        <f t="shared" si="4"/>
        <v>0.6</v>
      </c>
      <c r="N105" s="11">
        <v>2.0</v>
      </c>
      <c r="O105" s="14">
        <f t="shared" si="5"/>
        <v>1.333333333</v>
      </c>
      <c r="P105" s="11">
        <v>1.0</v>
      </c>
      <c r="Q105" s="15">
        <v>1.0</v>
      </c>
      <c r="R105" s="9">
        <v>10.0</v>
      </c>
      <c r="S105" s="16">
        <f t="shared" si="6"/>
        <v>5.933333333</v>
      </c>
      <c r="T105" s="17">
        <f t="shared" si="7"/>
        <v>0.5933333333</v>
      </c>
      <c r="U105" s="14">
        <f t="shared" si="8"/>
        <v>-4.066666667</v>
      </c>
      <c r="V105" s="9" t="str">
        <f t="shared" si="9"/>
        <v>Average</v>
      </c>
      <c r="W105" s="9"/>
    </row>
    <row r="106" ht="15.75" customHeight="1">
      <c r="A106" s="13">
        <v>46244.0</v>
      </c>
      <c r="B106" s="49" t="s">
        <v>58</v>
      </c>
      <c r="C106" s="9" t="s">
        <v>40</v>
      </c>
      <c r="D106" s="9" t="s">
        <v>27</v>
      </c>
      <c r="E106" s="10">
        <v>0.0</v>
      </c>
      <c r="F106" s="9">
        <f t="shared" si="1"/>
        <v>0</v>
      </c>
      <c r="G106" s="11">
        <v>0.0</v>
      </c>
      <c r="H106" s="9">
        <f t="shared" si="2"/>
        <v>0</v>
      </c>
      <c r="I106" s="11">
        <v>0.0</v>
      </c>
      <c r="J106" s="9">
        <f t="shared" si="3"/>
        <v>0</v>
      </c>
      <c r="K106" s="11">
        <v>0.0</v>
      </c>
      <c r="L106" s="11">
        <v>0.0</v>
      </c>
      <c r="M106" s="14">
        <f t="shared" si="4"/>
        <v>0</v>
      </c>
      <c r="N106" s="11">
        <v>0.0</v>
      </c>
      <c r="O106" s="14">
        <f t="shared" si="5"/>
        <v>0</v>
      </c>
      <c r="P106" s="11">
        <v>0.0</v>
      </c>
      <c r="Q106" s="15">
        <v>0.0</v>
      </c>
      <c r="R106" s="9">
        <v>10.0</v>
      </c>
      <c r="S106" s="16">
        <f t="shared" si="6"/>
        <v>0</v>
      </c>
      <c r="T106" s="17">
        <f t="shared" si="7"/>
        <v>0</v>
      </c>
      <c r="U106" s="14">
        <f t="shared" si="8"/>
        <v>-10</v>
      </c>
      <c r="V106" s="9" t="str">
        <f t="shared" si="9"/>
        <v>Low Performance</v>
      </c>
      <c r="W106" s="32" t="s">
        <v>51</v>
      </c>
    </row>
    <row r="107" ht="15.75" customHeight="1">
      <c r="A107" s="13">
        <v>46244.0</v>
      </c>
      <c r="B107" s="50" t="s">
        <v>59</v>
      </c>
      <c r="C107" s="9" t="s">
        <v>40</v>
      </c>
      <c r="D107" s="9" t="s">
        <v>27</v>
      </c>
      <c r="E107" s="10">
        <v>0.0</v>
      </c>
      <c r="F107" s="9">
        <f t="shared" si="1"/>
        <v>0</v>
      </c>
      <c r="G107" s="11">
        <v>0.0</v>
      </c>
      <c r="H107" s="9">
        <f t="shared" si="2"/>
        <v>0</v>
      </c>
      <c r="I107" s="11">
        <v>0.0</v>
      </c>
      <c r="J107" s="9">
        <f t="shared" si="3"/>
        <v>0</v>
      </c>
      <c r="K107" s="11">
        <v>42.0</v>
      </c>
      <c r="L107" s="11">
        <v>41.0</v>
      </c>
      <c r="M107" s="14">
        <f t="shared" si="4"/>
        <v>0.82</v>
      </c>
      <c r="N107" s="11">
        <v>0.0</v>
      </c>
      <c r="O107" s="14">
        <f t="shared" si="5"/>
        <v>0</v>
      </c>
      <c r="P107" s="11">
        <v>1.0</v>
      </c>
      <c r="Q107" s="15">
        <v>0.75</v>
      </c>
      <c r="R107" s="9">
        <v>10.0</v>
      </c>
      <c r="S107" s="16">
        <f t="shared" si="6"/>
        <v>2.57</v>
      </c>
      <c r="T107" s="17">
        <f t="shared" si="7"/>
        <v>0.257</v>
      </c>
      <c r="U107" s="14">
        <f t="shared" si="8"/>
        <v>-7.43</v>
      </c>
      <c r="V107" s="9" t="str">
        <f t="shared" si="9"/>
        <v>Low Performance</v>
      </c>
      <c r="W107" s="9"/>
    </row>
    <row r="108" ht="15.75" customHeight="1">
      <c r="A108" s="13">
        <v>46244.0</v>
      </c>
      <c r="B108" s="49" t="s">
        <v>41</v>
      </c>
      <c r="C108" s="9" t="s">
        <v>40</v>
      </c>
      <c r="D108" s="9" t="s">
        <v>27</v>
      </c>
      <c r="E108" s="10">
        <v>0.0</v>
      </c>
      <c r="F108" s="9">
        <f t="shared" si="1"/>
        <v>0</v>
      </c>
      <c r="G108" s="11">
        <v>0.0</v>
      </c>
      <c r="H108" s="9">
        <f t="shared" si="2"/>
        <v>0</v>
      </c>
      <c r="I108" s="11">
        <v>1.0</v>
      </c>
      <c r="J108" s="9">
        <f t="shared" si="3"/>
        <v>1</v>
      </c>
      <c r="K108" s="11">
        <v>77.0</v>
      </c>
      <c r="L108" s="11">
        <v>27.0</v>
      </c>
      <c r="M108" s="14">
        <f t="shared" si="4"/>
        <v>0.54</v>
      </c>
      <c r="N108" s="11">
        <v>1.0</v>
      </c>
      <c r="O108" s="14">
        <f t="shared" si="5"/>
        <v>0.6666666667</v>
      </c>
      <c r="P108" s="11">
        <v>1.0</v>
      </c>
      <c r="Q108" s="15">
        <v>1.0</v>
      </c>
      <c r="R108" s="9">
        <v>10.0</v>
      </c>
      <c r="S108" s="16">
        <f t="shared" si="6"/>
        <v>4.206666667</v>
      </c>
      <c r="T108" s="17">
        <f t="shared" si="7"/>
        <v>0.4206666667</v>
      </c>
      <c r="U108" s="14">
        <f t="shared" si="8"/>
        <v>-5.793333333</v>
      </c>
      <c r="V108" s="9" t="str">
        <f t="shared" si="9"/>
        <v>Low Performance</v>
      </c>
      <c r="W108" s="9"/>
    </row>
    <row r="109" ht="15.75" customHeight="1">
      <c r="A109" s="13">
        <v>46244.0</v>
      </c>
      <c r="B109" s="49" t="s">
        <v>42</v>
      </c>
      <c r="C109" s="9" t="s">
        <v>40</v>
      </c>
      <c r="D109" s="9" t="s">
        <v>27</v>
      </c>
      <c r="E109" s="10">
        <v>30000.0</v>
      </c>
      <c r="F109" s="9">
        <f t="shared" si="1"/>
        <v>3</v>
      </c>
      <c r="G109" s="11">
        <v>0.0</v>
      </c>
      <c r="H109" s="9">
        <f t="shared" si="2"/>
        <v>0</v>
      </c>
      <c r="I109" s="11">
        <v>0.0</v>
      </c>
      <c r="J109" s="9">
        <f t="shared" si="3"/>
        <v>0</v>
      </c>
      <c r="K109" s="11">
        <v>62.0</v>
      </c>
      <c r="L109" s="11">
        <v>37.0</v>
      </c>
      <c r="M109" s="14">
        <f t="shared" si="4"/>
        <v>0.74</v>
      </c>
      <c r="N109" s="11">
        <v>1.0</v>
      </c>
      <c r="O109" s="14">
        <f t="shared" si="5"/>
        <v>0.6666666667</v>
      </c>
      <c r="P109" s="11">
        <v>1.0</v>
      </c>
      <c r="Q109" s="15">
        <v>1.0</v>
      </c>
      <c r="R109" s="9">
        <v>10.0</v>
      </c>
      <c r="S109" s="16">
        <f t="shared" si="6"/>
        <v>6.406666667</v>
      </c>
      <c r="T109" s="17">
        <f t="shared" si="7"/>
        <v>0.6406666667</v>
      </c>
      <c r="U109" s="14">
        <f t="shared" si="8"/>
        <v>-3.593333333</v>
      </c>
      <c r="V109" s="9" t="str">
        <f t="shared" si="9"/>
        <v>Average</v>
      </c>
      <c r="W109" s="9"/>
    </row>
    <row r="110" ht="15.75" customHeight="1">
      <c r="A110" s="13">
        <v>46244.0</v>
      </c>
      <c r="B110" s="49" t="s">
        <v>60</v>
      </c>
      <c r="C110" s="9" t="s">
        <v>40</v>
      </c>
      <c r="D110" s="9" t="s">
        <v>27</v>
      </c>
      <c r="E110" s="10">
        <v>0.0</v>
      </c>
      <c r="F110" s="9">
        <f t="shared" si="1"/>
        <v>0</v>
      </c>
      <c r="G110" s="11">
        <v>1.0</v>
      </c>
      <c r="H110" s="9">
        <f t="shared" si="2"/>
        <v>1</v>
      </c>
      <c r="I110" s="11">
        <v>1.0</v>
      </c>
      <c r="J110" s="9">
        <f t="shared" si="3"/>
        <v>1</v>
      </c>
      <c r="K110" s="11">
        <v>48.0</v>
      </c>
      <c r="L110" s="11">
        <v>35.0</v>
      </c>
      <c r="M110" s="14">
        <f t="shared" si="4"/>
        <v>0.7</v>
      </c>
      <c r="N110" s="11">
        <v>1.0</v>
      </c>
      <c r="O110" s="14">
        <f t="shared" si="5"/>
        <v>0.6666666667</v>
      </c>
      <c r="P110" s="11">
        <v>1.0</v>
      </c>
      <c r="Q110" s="15">
        <v>0.75</v>
      </c>
      <c r="R110" s="9">
        <v>10.0</v>
      </c>
      <c r="S110" s="16">
        <f t="shared" si="6"/>
        <v>5.116666667</v>
      </c>
      <c r="T110" s="17">
        <f t="shared" si="7"/>
        <v>0.5116666667</v>
      </c>
      <c r="U110" s="14">
        <f t="shared" si="8"/>
        <v>-4.883333333</v>
      </c>
      <c r="V110" s="9" t="str">
        <f t="shared" si="9"/>
        <v>Average</v>
      </c>
      <c r="W110" s="9"/>
    </row>
    <row r="111" ht="15.75" customHeight="1">
      <c r="A111" s="13">
        <v>46244.0</v>
      </c>
      <c r="B111" s="49" t="s">
        <v>47</v>
      </c>
      <c r="C111" s="9" t="s">
        <v>48</v>
      </c>
      <c r="D111" s="9" t="s">
        <v>27</v>
      </c>
      <c r="E111" s="10">
        <v>0.0</v>
      </c>
      <c r="F111" s="9">
        <f t="shared" si="1"/>
        <v>0</v>
      </c>
      <c r="G111" s="11">
        <v>1.0</v>
      </c>
      <c r="H111" s="9">
        <f t="shared" si="2"/>
        <v>1</v>
      </c>
      <c r="I111" s="11">
        <v>1.0</v>
      </c>
      <c r="J111" s="9">
        <f t="shared" si="3"/>
        <v>1</v>
      </c>
      <c r="K111" s="11">
        <v>45.0</v>
      </c>
      <c r="L111" s="11">
        <v>25.0</v>
      </c>
      <c r="M111" s="14">
        <f t="shared" si="4"/>
        <v>0.5</v>
      </c>
      <c r="N111" s="11">
        <v>2.0</v>
      </c>
      <c r="O111" s="14">
        <f t="shared" si="5"/>
        <v>1.333333333</v>
      </c>
      <c r="P111" s="11">
        <v>1.0</v>
      </c>
      <c r="Q111" s="15">
        <v>0.75</v>
      </c>
      <c r="R111" s="9">
        <v>10.0</v>
      </c>
      <c r="S111" s="16">
        <f t="shared" si="6"/>
        <v>5.583333333</v>
      </c>
      <c r="T111" s="17">
        <f t="shared" si="7"/>
        <v>0.5583333333</v>
      </c>
      <c r="U111" s="14">
        <f t="shared" si="8"/>
        <v>-4.416666667</v>
      </c>
      <c r="V111" s="9" t="str">
        <f t="shared" si="9"/>
        <v>Average</v>
      </c>
      <c r="W111" s="9"/>
    </row>
    <row r="112" ht="15.75" customHeight="1">
      <c r="A112" s="13">
        <v>46244.0</v>
      </c>
      <c r="B112" s="49" t="s">
        <v>61</v>
      </c>
      <c r="C112" s="9" t="s">
        <v>48</v>
      </c>
      <c r="D112" s="9" t="s">
        <v>27</v>
      </c>
      <c r="E112" s="10">
        <v>0.0</v>
      </c>
      <c r="F112" s="9">
        <f t="shared" si="1"/>
        <v>0</v>
      </c>
      <c r="G112" s="11">
        <v>1.0</v>
      </c>
      <c r="H112" s="9">
        <f t="shared" si="2"/>
        <v>1</v>
      </c>
      <c r="I112" s="11">
        <v>0.0</v>
      </c>
      <c r="J112" s="9">
        <f t="shared" si="3"/>
        <v>0</v>
      </c>
      <c r="K112" s="11">
        <v>25.0</v>
      </c>
      <c r="L112" s="11">
        <v>15.0</v>
      </c>
      <c r="M112" s="14">
        <f t="shared" si="4"/>
        <v>0.3</v>
      </c>
      <c r="N112" s="11">
        <v>2.0</v>
      </c>
      <c r="O112" s="14">
        <f t="shared" si="5"/>
        <v>1.333333333</v>
      </c>
      <c r="P112" s="11">
        <v>1.0</v>
      </c>
      <c r="Q112" s="15">
        <v>1.0</v>
      </c>
      <c r="R112" s="9">
        <v>10.0</v>
      </c>
      <c r="S112" s="16">
        <f t="shared" si="6"/>
        <v>4.633333333</v>
      </c>
      <c r="T112" s="17">
        <f t="shared" si="7"/>
        <v>0.4633333333</v>
      </c>
      <c r="U112" s="14">
        <f t="shared" si="8"/>
        <v>-5.366666667</v>
      </c>
      <c r="V112" s="9" t="str">
        <f t="shared" si="9"/>
        <v>Low Performance</v>
      </c>
      <c r="W112" s="9"/>
    </row>
    <row r="113" ht="15.75" customHeight="1">
      <c r="A113" s="13">
        <v>46244.0</v>
      </c>
      <c r="B113" s="49" t="s">
        <v>62</v>
      </c>
      <c r="C113" s="9" t="s">
        <v>48</v>
      </c>
      <c r="D113" s="9" t="s">
        <v>27</v>
      </c>
      <c r="E113" s="10">
        <v>100000.0</v>
      </c>
      <c r="F113" s="9">
        <f t="shared" si="1"/>
        <v>3</v>
      </c>
      <c r="G113" s="11">
        <v>1.0</v>
      </c>
      <c r="H113" s="9">
        <f t="shared" si="2"/>
        <v>1</v>
      </c>
      <c r="I113" s="11">
        <v>1.0</v>
      </c>
      <c r="J113" s="9">
        <f t="shared" si="3"/>
        <v>1</v>
      </c>
      <c r="K113" s="11">
        <v>50.0</v>
      </c>
      <c r="L113" s="11">
        <v>50.0</v>
      </c>
      <c r="M113" s="14">
        <f t="shared" si="4"/>
        <v>1</v>
      </c>
      <c r="N113" s="11">
        <v>1.0</v>
      </c>
      <c r="O113" s="14">
        <f t="shared" si="5"/>
        <v>0.6666666667</v>
      </c>
      <c r="P113" s="11">
        <v>1.0</v>
      </c>
      <c r="Q113" s="15">
        <v>1.0</v>
      </c>
      <c r="R113" s="9">
        <v>10.0</v>
      </c>
      <c r="S113" s="16">
        <f t="shared" si="6"/>
        <v>8.666666667</v>
      </c>
      <c r="T113" s="17">
        <f t="shared" si="7"/>
        <v>0.8666666667</v>
      </c>
      <c r="U113" s="14">
        <f t="shared" si="8"/>
        <v>-1.333333333</v>
      </c>
      <c r="V113" s="9" t="str">
        <f t="shared" si="9"/>
        <v>Near Target</v>
      </c>
      <c r="W113" s="9"/>
    </row>
    <row r="114" ht="15.75" customHeight="1">
      <c r="A114" s="13">
        <v>46244.0</v>
      </c>
      <c r="B114" s="49" t="s">
        <v>63</v>
      </c>
      <c r="C114" s="9" t="s">
        <v>48</v>
      </c>
      <c r="D114" s="9" t="s">
        <v>27</v>
      </c>
      <c r="E114" s="10">
        <v>0.0</v>
      </c>
      <c r="F114" s="9">
        <f t="shared" si="1"/>
        <v>0</v>
      </c>
      <c r="G114" s="11">
        <v>1.0</v>
      </c>
      <c r="H114" s="9">
        <f t="shared" si="2"/>
        <v>1</v>
      </c>
      <c r="I114" s="11">
        <v>1.0</v>
      </c>
      <c r="J114" s="9">
        <f t="shared" si="3"/>
        <v>1</v>
      </c>
      <c r="K114" s="11">
        <v>61.0</v>
      </c>
      <c r="L114" s="11">
        <v>44.0</v>
      </c>
      <c r="M114" s="14">
        <f t="shared" si="4"/>
        <v>0.88</v>
      </c>
      <c r="N114" s="11">
        <v>1.0</v>
      </c>
      <c r="O114" s="14">
        <f t="shared" si="5"/>
        <v>0.6666666667</v>
      </c>
      <c r="P114" s="11">
        <v>1.0</v>
      </c>
      <c r="Q114" s="15">
        <v>1.0</v>
      </c>
      <c r="R114" s="9">
        <v>10.0</v>
      </c>
      <c r="S114" s="16">
        <f t="shared" si="6"/>
        <v>5.546666667</v>
      </c>
      <c r="T114" s="17">
        <f t="shared" si="7"/>
        <v>0.5546666667</v>
      </c>
      <c r="U114" s="14">
        <f t="shared" si="8"/>
        <v>-4.453333333</v>
      </c>
      <c r="V114" s="9" t="str">
        <f t="shared" si="9"/>
        <v>Average</v>
      </c>
      <c r="W114" s="9"/>
    </row>
    <row r="115" ht="15.75" customHeight="1">
      <c r="A115" s="13">
        <v>46245.0</v>
      </c>
      <c r="B115" s="49" t="s">
        <v>28</v>
      </c>
      <c r="C115" s="9" t="s">
        <v>29</v>
      </c>
      <c r="D115" s="9" t="s">
        <v>27</v>
      </c>
      <c r="E115" s="10">
        <v>0.0</v>
      </c>
      <c r="F115" s="9">
        <f t="shared" si="1"/>
        <v>0</v>
      </c>
      <c r="G115" s="11">
        <v>0.0</v>
      </c>
      <c r="H115" s="9">
        <f t="shared" si="2"/>
        <v>0</v>
      </c>
      <c r="I115" s="11">
        <v>1.0</v>
      </c>
      <c r="J115" s="9">
        <f t="shared" si="3"/>
        <v>1</v>
      </c>
      <c r="K115" s="11">
        <v>103.0</v>
      </c>
      <c r="L115" s="11">
        <v>50.0</v>
      </c>
      <c r="M115" s="14">
        <f t="shared" si="4"/>
        <v>1</v>
      </c>
      <c r="N115" s="11">
        <v>3.0</v>
      </c>
      <c r="O115" s="14">
        <f t="shared" si="5"/>
        <v>2</v>
      </c>
      <c r="P115" s="11">
        <v>1.0</v>
      </c>
      <c r="Q115" s="15">
        <v>1.0</v>
      </c>
      <c r="R115" s="9">
        <v>10.0</v>
      </c>
      <c r="S115" s="16">
        <f t="shared" si="6"/>
        <v>6</v>
      </c>
      <c r="T115" s="17">
        <f t="shared" si="7"/>
        <v>0.6</v>
      </c>
      <c r="U115" s="14">
        <f t="shared" si="8"/>
        <v>-4</v>
      </c>
      <c r="V115" s="9" t="str">
        <f t="shared" si="9"/>
        <v>Average</v>
      </c>
      <c r="W115" s="9"/>
    </row>
    <row r="116" ht="15.75" customHeight="1">
      <c r="A116" s="13">
        <v>46245.0</v>
      </c>
      <c r="B116" s="49" t="s">
        <v>36</v>
      </c>
      <c r="C116" s="9" t="s">
        <v>29</v>
      </c>
      <c r="D116" s="9" t="s">
        <v>27</v>
      </c>
      <c r="E116" s="10">
        <v>0.0</v>
      </c>
      <c r="F116" s="9">
        <f t="shared" si="1"/>
        <v>0</v>
      </c>
      <c r="G116" s="11">
        <v>1.0</v>
      </c>
      <c r="H116" s="9">
        <f t="shared" si="2"/>
        <v>1</v>
      </c>
      <c r="I116" s="11">
        <v>1.0</v>
      </c>
      <c r="J116" s="9">
        <f t="shared" si="3"/>
        <v>1</v>
      </c>
      <c r="K116" s="11">
        <v>65.0</v>
      </c>
      <c r="L116" s="11">
        <v>47.0</v>
      </c>
      <c r="M116" s="14">
        <f t="shared" si="4"/>
        <v>0.94</v>
      </c>
      <c r="N116" s="11">
        <v>2.0</v>
      </c>
      <c r="O116" s="14">
        <f t="shared" si="5"/>
        <v>1.333333333</v>
      </c>
      <c r="P116" s="11">
        <v>1.0</v>
      </c>
      <c r="Q116" s="15">
        <v>0.75</v>
      </c>
      <c r="R116" s="9">
        <v>10.0</v>
      </c>
      <c r="S116" s="16">
        <f t="shared" si="6"/>
        <v>6.023333333</v>
      </c>
      <c r="T116" s="17">
        <f t="shared" si="7"/>
        <v>0.6023333333</v>
      </c>
      <c r="U116" s="14">
        <f t="shared" si="8"/>
        <v>-3.976666667</v>
      </c>
      <c r="V116" s="9" t="str">
        <f t="shared" si="9"/>
        <v>Average</v>
      </c>
      <c r="W116" s="9"/>
    </row>
    <row r="117" ht="15.75" customHeight="1">
      <c r="A117" s="13">
        <v>46245.0</v>
      </c>
      <c r="B117" s="49" t="s">
        <v>56</v>
      </c>
      <c r="C117" s="9" t="s">
        <v>29</v>
      </c>
      <c r="D117" s="9" t="s">
        <v>27</v>
      </c>
      <c r="E117" s="10">
        <v>0.0</v>
      </c>
      <c r="F117" s="9">
        <f t="shared" si="1"/>
        <v>0</v>
      </c>
      <c r="G117" s="11">
        <v>0.0</v>
      </c>
      <c r="H117" s="9">
        <f t="shared" si="2"/>
        <v>0</v>
      </c>
      <c r="I117" s="11">
        <v>1.0</v>
      </c>
      <c r="J117" s="9">
        <f t="shared" si="3"/>
        <v>1</v>
      </c>
      <c r="K117" s="11">
        <v>75.0</v>
      </c>
      <c r="L117" s="11">
        <v>42.0</v>
      </c>
      <c r="M117" s="14">
        <f t="shared" si="4"/>
        <v>0.84</v>
      </c>
      <c r="N117" s="11">
        <v>2.0</v>
      </c>
      <c r="O117" s="14">
        <f t="shared" si="5"/>
        <v>1.333333333</v>
      </c>
      <c r="P117" s="11">
        <v>1.0</v>
      </c>
      <c r="Q117" s="15">
        <v>1.0</v>
      </c>
      <c r="R117" s="9">
        <v>10.0</v>
      </c>
      <c r="S117" s="16">
        <f t="shared" si="6"/>
        <v>5.173333333</v>
      </c>
      <c r="T117" s="17">
        <f t="shared" si="7"/>
        <v>0.5173333333</v>
      </c>
      <c r="U117" s="14">
        <f t="shared" si="8"/>
        <v>-4.826666667</v>
      </c>
      <c r="V117" s="9" t="str">
        <f t="shared" si="9"/>
        <v>Average</v>
      </c>
      <c r="W117" s="9"/>
    </row>
    <row r="118" ht="15.75" customHeight="1">
      <c r="A118" s="13">
        <v>46245.0</v>
      </c>
      <c r="B118" s="49" t="s">
        <v>37</v>
      </c>
      <c r="C118" s="9" t="s">
        <v>29</v>
      </c>
      <c r="D118" s="9" t="s">
        <v>27</v>
      </c>
      <c r="E118" s="10">
        <v>0.0</v>
      </c>
      <c r="F118" s="9">
        <f t="shared" si="1"/>
        <v>0</v>
      </c>
      <c r="G118" s="11">
        <v>1.0</v>
      </c>
      <c r="H118" s="9">
        <f t="shared" si="2"/>
        <v>1</v>
      </c>
      <c r="I118" s="11">
        <v>0.0</v>
      </c>
      <c r="J118" s="9">
        <f t="shared" si="3"/>
        <v>0</v>
      </c>
      <c r="K118" s="11">
        <v>69.0</v>
      </c>
      <c r="L118" s="11">
        <v>50.0</v>
      </c>
      <c r="M118" s="14">
        <f t="shared" si="4"/>
        <v>1</v>
      </c>
      <c r="N118" s="11">
        <v>2.0</v>
      </c>
      <c r="O118" s="14">
        <f t="shared" si="5"/>
        <v>1.333333333</v>
      </c>
      <c r="P118" s="11">
        <v>1.0</v>
      </c>
      <c r="Q118" s="15">
        <v>0.5</v>
      </c>
      <c r="R118" s="9">
        <v>10.0</v>
      </c>
      <c r="S118" s="16">
        <f t="shared" si="6"/>
        <v>4.833333333</v>
      </c>
      <c r="T118" s="17">
        <f t="shared" si="7"/>
        <v>0.4833333333</v>
      </c>
      <c r="U118" s="14">
        <f t="shared" si="8"/>
        <v>-5.166666667</v>
      </c>
      <c r="V118" s="9" t="str">
        <f t="shared" si="9"/>
        <v>Low Performance</v>
      </c>
      <c r="W118" s="9"/>
    </row>
    <row r="119" ht="15.75" customHeight="1">
      <c r="A119" s="13">
        <v>46245.0</v>
      </c>
      <c r="B119" s="49" t="s">
        <v>57</v>
      </c>
      <c r="C119" s="9" t="s">
        <v>29</v>
      </c>
      <c r="D119" s="9" t="s">
        <v>27</v>
      </c>
      <c r="E119" s="10">
        <v>0.0</v>
      </c>
      <c r="F119" s="9">
        <f t="shared" si="1"/>
        <v>0</v>
      </c>
      <c r="G119" s="11">
        <v>0.0</v>
      </c>
      <c r="H119" s="9">
        <f t="shared" si="2"/>
        <v>0</v>
      </c>
      <c r="I119" s="11">
        <v>1.0</v>
      </c>
      <c r="J119" s="9">
        <f t="shared" si="3"/>
        <v>1</v>
      </c>
      <c r="K119" s="11">
        <v>80.0</v>
      </c>
      <c r="L119" s="11">
        <v>50.0</v>
      </c>
      <c r="M119" s="14">
        <f t="shared" si="4"/>
        <v>1</v>
      </c>
      <c r="N119" s="11">
        <v>3.0</v>
      </c>
      <c r="O119" s="14">
        <f t="shared" si="5"/>
        <v>2</v>
      </c>
      <c r="P119" s="11">
        <v>1.0</v>
      </c>
      <c r="Q119" s="15">
        <v>0.75</v>
      </c>
      <c r="R119" s="9">
        <v>10.0</v>
      </c>
      <c r="S119" s="16">
        <f t="shared" si="6"/>
        <v>5.75</v>
      </c>
      <c r="T119" s="17">
        <f t="shared" si="7"/>
        <v>0.575</v>
      </c>
      <c r="U119" s="14">
        <f t="shared" si="8"/>
        <v>-4.25</v>
      </c>
      <c r="V119" s="9" t="str">
        <f t="shared" si="9"/>
        <v>Average</v>
      </c>
      <c r="W119" s="9"/>
    </row>
    <row r="120" ht="15.75" customHeight="1">
      <c r="A120" s="13">
        <v>46245.0</v>
      </c>
      <c r="B120" s="49" t="s">
        <v>58</v>
      </c>
      <c r="C120" s="9" t="s">
        <v>40</v>
      </c>
      <c r="D120" s="9" t="s">
        <v>27</v>
      </c>
      <c r="E120" s="10">
        <v>0.0</v>
      </c>
      <c r="F120" s="9">
        <f t="shared" si="1"/>
        <v>0</v>
      </c>
      <c r="G120" s="11">
        <v>0.0</v>
      </c>
      <c r="H120" s="9">
        <f t="shared" si="2"/>
        <v>0</v>
      </c>
      <c r="I120" s="11">
        <v>0.0</v>
      </c>
      <c r="J120" s="9">
        <f t="shared" si="3"/>
        <v>0</v>
      </c>
      <c r="K120" s="11">
        <v>0.0</v>
      </c>
      <c r="L120" s="11">
        <v>0.0</v>
      </c>
      <c r="M120" s="14">
        <f t="shared" si="4"/>
        <v>0</v>
      </c>
      <c r="N120" s="11">
        <v>0.0</v>
      </c>
      <c r="O120" s="14">
        <f t="shared" si="5"/>
        <v>0</v>
      </c>
      <c r="P120" s="11">
        <v>0.0</v>
      </c>
      <c r="Q120" s="15">
        <v>0.0</v>
      </c>
      <c r="R120" s="9">
        <v>10.0</v>
      </c>
      <c r="S120" s="16">
        <f t="shared" si="6"/>
        <v>0</v>
      </c>
      <c r="T120" s="17">
        <f t="shared" si="7"/>
        <v>0</v>
      </c>
      <c r="U120" s="14">
        <f t="shared" si="8"/>
        <v>-10</v>
      </c>
      <c r="V120" s="9" t="str">
        <f t="shared" si="9"/>
        <v>Low Performance</v>
      </c>
      <c r="W120" s="32" t="s">
        <v>51</v>
      </c>
    </row>
    <row r="121" ht="15.75" customHeight="1">
      <c r="A121" s="13">
        <v>46245.0</v>
      </c>
      <c r="B121" s="50" t="s">
        <v>59</v>
      </c>
      <c r="C121" s="9" t="s">
        <v>40</v>
      </c>
      <c r="D121" s="9" t="s">
        <v>27</v>
      </c>
      <c r="E121" s="10">
        <v>0.0</v>
      </c>
      <c r="F121" s="9">
        <f t="shared" si="1"/>
        <v>0</v>
      </c>
      <c r="G121" s="11">
        <v>0.0</v>
      </c>
      <c r="H121" s="9">
        <f t="shared" si="2"/>
        <v>0</v>
      </c>
      <c r="I121" s="11">
        <v>1.0</v>
      </c>
      <c r="J121" s="9">
        <f t="shared" si="3"/>
        <v>1</v>
      </c>
      <c r="K121" s="11">
        <v>50.0</v>
      </c>
      <c r="L121" s="11">
        <v>26.0</v>
      </c>
      <c r="M121" s="14">
        <f t="shared" si="4"/>
        <v>0.52</v>
      </c>
      <c r="N121" s="11">
        <v>1.0</v>
      </c>
      <c r="O121" s="14">
        <f t="shared" si="5"/>
        <v>0.6666666667</v>
      </c>
      <c r="P121" s="11">
        <v>1.0</v>
      </c>
      <c r="Q121" s="15">
        <v>0.75</v>
      </c>
      <c r="R121" s="9">
        <v>10.0</v>
      </c>
      <c r="S121" s="16">
        <f t="shared" si="6"/>
        <v>3.936666667</v>
      </c>
      <c r="T121" s="17">
        <f t="shared" si="7"/>
        <v>0.3936666667</v>
      </c>
      <c r="U121" s="14">
        <f t="shared" si="8"/>
        <v>-6.063333333</v>
      </c>
      <c r="V121" s="9" t="str">
        <f t="shared" si="9"/>
        <v>Low Performance</v>
      </c>
      <c r="W121" s="9"/>
    </row>
    <row r="122" ht="15.75" customHeight="1">
      <c r="A122" s="13">
        <v>46245.0</v>
      </c>
      <c r="B122" s="49" t="s">
        <v>41</v>
      </c>
      <c r="C122" s="9" t="s">
        <v>40</v>
      </c>
      <c r="D122" s="9" t="s">
        <v>27</v>
      </c>
      <c r="E122" s="10">
        <v>0.0</v>
      </c>
      <c r="F122" s="9">
        <f t="shared" si="1"/>
        <v>0</v>
      </c>
      <c r="G122" s="11">
        <v>0.0</v>
      </c>
      <c r="H122" s="9">
        <f t="shared" si="2"/>
        <v>0</v>
      </c>
      <c r="I122" s="11">
        <v>1.0</v>
      </c>
      <c r="J122" s="9">
        <f t="shared" si="3"/>
        <v>1</v>
      </c>
      <c r="K122" s="11">
        <v>58.0</v>
      </c>
      <c r="L122" s="11">
        <v>28.0</v>
      </c>
      <c r="M122" s="14">
        <f t="shared" si="4"/>
        <v>0.56</v>
      </c>
      <c r="N122" s="11">
        <v>1.0</v>
      </c>
      <c r="O122" s="14">
        <f t="shared" si="5"/>
        <v>0.6666666667</v>
      </c>
      <c r="P122" s="11">
        <v>1.0</v>
      </c>
      <c r="Q122" s="15">
        <v>1.0</v>
      </c>
      <c r="R122" s="9">
        <v>10.0</v>
      </c>
      <c r="S122" s="16">
        <f t="shared" si="6"/>
        <v>4.226666667</v>
      </c>
      <c r="T122" s="17">
        <f t="shared" si="7"/>
        <v>0.4226666667</v>
      </c>
      <c r="U122" s="14">
        <f t="shared" si="8"/>
        <v>-5.773333333</v>
      </c>
      <c r="V122" s="9" t="str">
        <f t="shared" si="9"/>
        <v>Low Performance</v>
      </c>
      <c r="W122" s="9"/>
    </row>
    <row r="123" ht="15.75" customHeight="1">
      <c r="A123" s="13">
        <v>46245.0</v>
      </c>
      <c r="B123" s="49" t="s">
        <v>42</v>
      </c>
      <c r="C123" s="9" t="s">
        <v>40</v>
      </c>
      <c r="D123" s="9" t="s">
        <v>27</v>
      </c>
      <c r="E123" s="10">
        <v>0.0</v>
      </c>
      <c r="F123" s="9">
        <f t="shared" si="1"/>
        <v>0</v>
      </c>
      <c r="G123" s="11">
        <v>0.0</v>
      </c>
      <c r="H123" s="9">
        <f t="shared" si="2"/>
        <v>0</v>
      </c>
      <c r="I123" s="11">
        <v>0.0</v>
      </c>
      <c r="J123" s="9">
        <f t="shared" si="3"/>
        <v>0</v>
      </c>
      <c r="K123" s="11">
        <v>61.0</v>
      </c>
      <c r="L123" s="11">
        <v>50.0</v>
      </c>
      <c r="M123" s="14">
        <f t="shared" si="4"/>
        <v>1</v>
      </c>
      <c r="N123" s="11">
        <v>1.0</v>
      </c>
      <c r="O123" s="14">
        <f t="shared" si="5"/>
        <v>0.6666666667</v>
      </c>
      <c r="P123" s="11">
        <v>1.0</v>
      </c>
      <c r="Q123" s="15">
        <v>1.0</v>
      </c>
      <c r="R123" s="9">
        <v>10.0</v>
      </c>
      <c r="S123" s="16">
        <f t="shared" si="6"/>
        <v>3.666666667</v>
      </c>
      <c r="T123" s="17">
        <f t="shared" si="7"/>
        <v>0.3666666667</v>
      </c>
      <c r="U123" s="14">
        <f t="shared" si="8"/>
        <v>-6.333333333</v>
      </c>
      <c r="V123" s="9" t="str">
        <f t="shared" si="9"/>
        <v>Low Performance</v>
      </c>
      <c r="W123" s="9"/>
    </row>
    <row r="124" ht="15.75" customHeight="1">
      <c r="A124" s="13">
        <v>46245.0</v>
      </c>
      <c r="B124" s="49" t="s">
        <v>60</v>
      </c>
      <c r="C124" s="9" t="s">
        <v>40</v>
      </c>
      <c r="D124" s="9" t="s">
        <v>27</v>
      </c>
      <c r="E124" s="10">
        <v>0.0</v>
      </c>
      <c r="F124" s="9">
        <f t="shared" si="1"/>
        <v>0</v>
      </c>
      <c r="G124" s="11">
        <v>0.0</v>
      </c>
      <c r="H124" s="9">
        <f t="shared" si="2"/>
        <v>0</v>
      </c>
      <c r="I124" s="11">
        <v>1.0</v>
      </c>
      <c r="J124" s="9">
        <f t="shared" si="3"/>
        <v>1</v>
      </c>
      <c r="K124" s="11">
        <v>25.0</v>
      </c>
      <c r="L124" s="11">
        <v>25.0</v>
      </c>
      <c r="M124" s="14">
        <f t="shared" si="4"/>
        <v>0.5</v>
      </c>
      <c r="N124" s="11">
        <v>1.0</v>
      </c>
      <c r="O124" s="14">
        <f t="shared" si="5"/>
        <v>0.6666666667</v>
      </c>
      <c r="P124" s="11">
        <v>1.0</v>
      </c>
      <c r="Q124" s="15">
        <v>1.0</v>
      </c>
      <c r="R124" s="9">
        <v>10.0</v>
      </c>
      <c r="S124" s="16">
        <f t="shared" si="6"/>
        <v>4.166666667</v>
      </c>
      <c r="T124" s="17">
        <f t="shared" si="7"/>
        <v>0.4166666667</v>
      </c>
      <c r="U124" s="14">
        <f t="shared" si="8"/>
        <v>-5.833333333</v>
      </c>
      <c r="V124" s="9" t="str">
        <f t="shared" si="9"/>
        <v>Low Performance</v>
      </c>
      <c r="W124" s="9"/>
    </row>
    <row r="125" ht="15.75" customHeight="1">
      <c r="A125" s="13">
        <v>46245.0</v>
      </c>
      <c r="B125" s="49" t="s">
        <v>47</v>
      </c>
      <c r="C125" s="9" t="s">
        <v>48</v>
      </c>
      <c r="D125" s="9" t="s">
        <v>27</v>
      </c>
      <c r="E125" s="10">
        <v>0.0</v>
      </c>
      <c r="F125" s="9">
        <f t="shared" si="1"/>
        <v>0</v>
      </c>
      <c r="G125" s="11">
        <v>0.0</v>
      </c>
      <c r="H125" s="9">
        <f t="shared" si="2"/>
        <v>0</v>
      </c>
      <c r="I125" s="11">
        <v>1.0</v>
      </c>
      <c r="J125" s="9">
        <f t="shared" si="3"/>
        <v>1</v>
      </c>
      <c r="K125" s="11">
        <v>40.0</v>
      </c>
      <c r="L125" s="11">
        <v>25.0</v>
      </c>
      <c r="M125" s="14">
        <f t="shared" si="4"/>
        <v>0.5</v>
      </c>
      <c r="N125" s="11">
        <v>1.0</v>
      </c>
      <c r="O125" s="14">
        <f t="shared" si="5"/>
        <v>0.6666666667</v>
      </c>
      <c r="P125" s="11">
        <v>1.0</v>
      </c>
      <c r="Q125" s="15">
        <v>0.5</v>
      </c>
      <c r="R125" s="9">
        <v>10.0</v>
      </c>
      <c r="S125" s="16">
        <f t="shared" si="6"/>
        <v>3.666666667</v>
      </c>
      <c r="T125" s="17">
        <f t="shared" si="7"/>
        <v>0.3666666667</v>
      </c>
      <c r="U125" s="14">
        <f t="shared" si="8"/>
        <v>-6.333333333</v>
      </c>
      <c r="V125" s="9" t="str">
        <f t="shared" si="9"/>
        <v>Low Performance</v>
      </c>
      <c r="W125" s="9"/>
    </row>
    <row r="126" ht="15.75" customHeight="1">
      <c r="A126" s="13">
        <v>46245.0</v>
      </c>
      <c r="B126" s="49" t="s">
        <v>61</v>
      </c>
      <c r="C126" s="9" t="s">
        <v>48</v>
      </c>
      <c r="D126" s="9" t="s">
        <v>27</v>
      </c>
      <c r="E126" s="10">
        <v>0.0</v>
      </c>
      <c r="F126" s="9">
        <f t="shared" si="1"/>
        <v>0</v>
      </c>
      <c r="G126" s="11">
        <v>0.0</v>
      </c>
      <c r="H126" s="9">
        <f t="shared" si="2"/>
        <v>0</v>
      </c>
      <c r="I126" s="11">
        <v>0.0</v>
      </c>
      <c r="J126" s="9">
        <f t="shared" si="3"/>
        <v>0</v>
      </c>
      <c r="K126" s="11">
        <v>58.0</v>
      </c>
      <c r="L126" s="11">
        <v>20.0</v>
      </c>
      <c r="M126" s="14">
        <f t="shared" si="4"/>
        <v>0.4</v>
      </c>
      <c r="N126" s="11">
        <v>2.0</v>
      </c>
      <c r="O126" s="14">
        <f t="shared" si="5"/>
        <v>1.333333333</v>
      </c>
      <c r="P126" s="11">
        <v>1.0</v>
      </c>
      <c r="Q126" s="15">
        <v>0.75</v>
      </c>
      <c r="R126" s="9">
        <v>10.0</v>
      </c>
      <c r="S126" s="16">
        <f t="shared" si="6"/>
        <v>3.483333333</v>
      </c>
      <c r="T126" s="17">
        <f t="shared" si="7"/>
        <v>0.3483333333</v>
      </c>
      <c r="U126" s="14">
        <f t="shared" si="8"/>
        <v>-6.516666667</v>
      </c>
      <c r="V126" s="9" t="str">
        <f t="shared" si="9"/>
        <v>Low Performance</v>
      </c>
      <c r="W126" s="9"/>
    </row>
    <row r="127" ht="15.75" customHeight="1">
      <c r="A127" s="13">
        <v>46245.0</v>
      </c>
      <c r="B127" s="49" t="s">
        <v>62</v>
      </c>
      <c r="C127" s="9" t="s">
        <v>48</v>
      </c>
      <c r="D127" s="9" t="s">
        <v>27</v>
      </c>
      <c r="E127" s="10">
        <v>30000.0</v>
      </c>
      <c r="F127" s="9">
        <f t="shared" si="1"/>
        <v>3</v>
      </c>
      <c r="G127" s="11">
        <v>0.0</v>
      </c>
      <c r="H127" s="9">
        <f t="shared" si="2"/>
        <v>0</v>
      </c>
      <c r="I127" s="11">
        <v>1.0</v>
      </c>
      <c r="J127" s="9">
        <f t="shared" si="3"/>
        <v>1</v>
      </c>
      <c r="K127" s="11">
        <v>60.0</v>
      </c>
      <c r="L127" s="11">
        <v>45.0</v>
      </c>
      <c r="M127" s="14">
        <f t="shared" si="4"/>
        <v>0.9</v>
      </c>
      <c r="N127" s="11">
        <v>2.0</v>
      </c>
      <c r="O127" s="14">
        <f t="shared" si="5"/>
        <v>1.333333333</v>
      </c>
      <c r="P127" s="11">
        <v>1.0</v>
      </c>
      <c r="Q127" s="15">
        <v>0.75</v>
      </c>
      <c r="R127" s="9">
        <v>10.0</v>
      </c>
      <c r="S127" s="16">
        <f t="shared" si="6"/>
        <v>7.983333333</v>
      </c>
      <c r="T127" s="17">
        <f t="shared" si="7"/>
        <v>0.7983333333</v>
      </c>
      <c r="U127" s="14">
        <f t="shared" si="8"/>
        <v>-2.016666667</v>
      </c>
      <c r="V127" s="9" t="str">
        <f t="shared" si="9"/>
        <v>Near Target</v>
      </c>
      <c r="W127" s="9"/>
    </row>
    <row r="128" ht="15.75" customHeight="1">
      <c r="A128" s="13">
        <v>46245.0</v>
      </c>
      <c r="B128" s="49" t="s">
        <v>63</v>
      </c>
      <c r="C128" s="9" t="s">
        <v>48</v>
      </c>
      <c r="D128" s="9" t="s">
        <v>27</v>
      </c>
      <c r="E128" s="10">
        <v>0.0</v>
      </c>
      <c r="F128" s="9">
        <f t="shared" si="1"/>
        <v>0</v>
      </c>
      <c r="G128" s="11">
        <v>0.0</v>
      </c>
      <c r="H128" s="9">
        <f t="shared" si="2"/>
        <v>0</v>
      </c>
      <c r="I128" s="11">
        <v>1.0</v>
      </c>
      <c r="J128" s="9">
        <f t="shared" si="3"/>
        <v>1</v>
      </c>
      <c r="K128" s="11">
        <v>57.0</v>
      </c>
      <c r="L128" s="11">
        <v>44.0</v>
      </c>
      <c r="M128" s="14">
        <f t="shared" si="4"/>
        <v>0.88</v>
      </c>
      <c r="N128" s="11">
        <v>1.0</v>
      </c>
      <c r="O128" s="14">
        <f t="shared" si="5"/>
        <v>0.6666666667</v>
      </c>
      <c r="P128" s="11">
        <v>1.0</v>
      </c>
      <c r="Q128" s="15">
        <v>0.75</v>
      </c>
      <c r="R128" s="9">
        <v>10.0</v>
      </c>
      <c r="S128" s="16">
        <f t="shared" si="6"/>
        <v>4.296666667</v>
      </c>
      <c r="T128" s="17">
        <f t="shared" si="7"/>
        <v>0.4296666667</v>
      </c>
      <c r="U128" s="14">
        <f t="shared" si="8"/>
        <v>-5.703333333</v>
      </c>
      <c r="V128" s="9" t="str">
        <f t="shared" si="9"/>
        <v>Low Performance</v>
      </c>
      <c r="W128" s="9"/>
    </row>
    <row r="129" ht="15.75" customHeight="1">
      <c r="A129" s="13">
        <v>46246.0</v>
      </c>
      <c r="B129" s="49" t="s">
        <v>28</v>
      </c>
      <c r="C129" s="9" t="s">
        <v>29</v>
      </c>
      <c r="D129" s="9" t="s">
        <v>27</v>
      </c>
      <c r="E129" s="10">
        <v>0.0</v>
      </c>
      <c r="F129" s="9">
        <f t="shared" si="1"/>
        <v>0</v>
      </c>
      <c r="G129" s="11">
        <v>0.0</v>
      </c>
      <c r="H129" s="9">
        <f t="shared" si="2"/>
        <v>0</v>
      </c>
      <c r="I129" s="11">
        <v>0.0</v>
      </c>
      <c r="J129" s="9">
        <f t="shared" si="3"/>
        <v>0</v>
      </c>
      <c r="K129" s="11">
        <v>111.0</v>
      </c>
      <c r="L129" s="11">
        <v>50.0</v>
      </c>
      <c r="M129" s="14">
        <f t="shared" si="4"/>
        <v>1</v>
      </c>
      <c r="N129" s="11">
        <v>3.0</v>
      </c>
      <c r="O129" s="14">
        <f t="shared" si="5"/>
        <v>2</v>
      </c>
      <c r="P129" s="11">
        <v>1.0</v>
      </c>
      <c r="Q129" s="15">
        <v>1.0</v>
      </c>
      <c r="R129" s="9">
        <v>10.0</v>
      </c>
      <c r="S129" s="16">
        <f t="shared" si="6"/>
        <v>5</v>
      </c>
      <c r="T129" s="17">
        <f t="shared" si="7"/>
        <v>0.5</v>
      </c>
      <c r="U129" s="14">
        <f t="shared" si="8"/>
        <v>-5</v>
      </c>
      <c r="V129" s="9" t="str">
        <f t="shared" si="9"/>
        <v>Average</v>
      </c>
      <c r="W129" s="9"/>
    </row>
    <row r="130" ht="15.75" customHeight="1">
      <c r="A130" s="13">
        <v>46246.0</v>
      </c>
      <c r="B130" s="49" t="s">
        <v>36</v>
      </c>
      <c r="C130" s="9" t="s">
        <v>29</v>
      </c>
      <c r="D130" s="9" t="s">
        <v>27</v>
      </c>
      <c r="E130" s="10">
        <v>0.0</v>
      </c>
      <c r="F130" s="9">
        <f t="shared" si="1"/>
        <v>0</v>
      </c>
      <c r="G130" s="11">
        <v>0.0</v>
      </c>
      <c r="H130" s="9">
        <f t="shared" si="2"/>
        <v>0</v>
      </c>
      <c r="I130" s="11">
        <v>1.0</v>
      </c>
      <c r="J130" s="9">
        <f t="shared" si="3"/>
        <v>1</v>
      </c>
      <c r="K130" s="11">
        <v>67.0</v>
      </c>
      <c r="L130" s="11">
        <v>50.0</v>
      </c>
      <c r="M130" s="14">
        <f t="shared" si="4"/>
        <v>1</v>
      </c>
      <c r="N130" s="11">
        <v>2.0</v>
      </c>
      <c r="O130" s="14">
        <f t="shared" si="5"/>
        <v>1.333333333</v>
      </c>
      <c r="P130" s="11">
        <v>1.0</v>
      </c>
      <c r="Q130" s="15">
        <v>0.75</v>
      </c>
      <c r="R130" s="9">
        <v>10.0</v>
      </c>
      <c r="S130" s="16">
        <f t="shared" si="6"/>
        <v>5.083333333</v>
      </c>
      <c r="T130" s="17">
        <f t="shared" si="7"/>
        <v>0.5083333333</v>
      </c>
      <c r="U130" s="14">
        <f t="shared" si="8"/>
        <v>-4.916666667</v>
      </c>
      <c r="V130" s="9" t="str">
        <f t="shared" si="9"/>
        <v>Average</v>
      </c>
      <c r="W130" s="9"/>
    </row>
    <row r="131" ht="15.75" customHeight="1">
      <c r="A131" s="13">
        <v>46246.0</v>
      </c>
      <c r="B131" s="49" t="s">
        <v>56</v>
      </c>
      <c r="C131" s="9" t="s">
        <v>29</v>
      </c>
      <c r="D131" s="9" t="s">
        <v>27</v>
      </c>
      <c r="E131" s="10">
        <v>0.0</v>
      </c>
      <c r="F131" s="9">
        <f t="shared" si="1"/>
        <v>0</v>
      </c>
      <c r="G131" s="11">
        <v>0.0</v>
      </c>
      <c r="H131" s="9">
        <f t="shared" si="2"/>
        <v>0</v>
      </c>
      <c r="I131" s="11">
        <v>1.0</v>
      </c>
      <c r="J131" s="9">
        <f t="shared" si="3"/>
        <v>1</v>
      </c>
      <c r="K131" s="11">
        <v>76.0</v>
      </c>
      <c r="L131" s="11">
        <v>50.0</v>
      </c>
      <c r="M131" s="14">
        <f t="shared" si="4"/>
        <v>1</v>
      </c>
      <c r="N131" s="11">
        <v>3.0</v>
      </c>
      <c r="O131" s="14">
        <f t="shared" si="5"/>
        <v>2</v>
      </c>
      <c r="P131" s="11">
        <v>1.0</v>
      </c>
      <c r="Q131" s="15">
        <v>1.0</v>
      </c>
      <c r="R131" s="9">
        <v>10.0</v>
      </c>
      <c r="S131" s="16">
        <f t="shared" si="6"/>
        <v>6</v>
      </c>
      <c r="T131" s="17">
        <f t="shared" si="7"/>
        <v>0.6</v>
      </c>
      <c r="U131" s="14">
        <f t="shared" si="8"/>
        <v>-4</v>
      </c>
      <c r="V131" s="9" t="str">
        <f t="shared" si="9"/>
        <v>Average</v>
      </c>
      <c r="W131" s="9"/>
    </row>
    <row r="132" ht="15.75" customHeight="1">
      <c r="A132" s="13">
        <v>46246.0</v>
      </c>
      <c r="B132" s="49" t="s">
        <v>37</v>
      </c>
      <c r="C132" s="9" t="s">
        <v>29</v>
      </c>
      <c r="D132" s="9" t="s">
        <v>27</v>
      </c>
      <c r="E132" s="10">
        <v>0.0</v>
      </c>
      <c r="F132" s="9">
        <f t="shared" si="1"/>
        <v>0</v>
      </c>
      <c r="G132" s="11">
        <v>0.0</v>
      </c>
      <c r="H132" s="9">
        <f t="shared" si="2"/>
        <v>0</v>
      </c>
      <c r="I132" s="11">
        <v>1.0</v>
      </c>
      <c r="J132" s="9">
        <f t="shared" si="3"/>
        <v>1</v>
      </c>
      <c r="K132" s="11">
        <v>70.0</v>
      </c>
      <c r="L132" s="11">
        <v>50.0</v>
      </c>
      <c r="M132" s="14">
        <f t="shared" si="4"/>
        <v>1</v>
      </c>
      <c r="N132" s="11">
        <v>2.0</v>
      </c>
      <c r="O132" s="14">
        <f t="shared" si="5"/>
        <v>1.333333333</v>
      </c>
      <c r="P132" s="11">
        <v>1.0</v>
      </c>
      <c r="Q132" s="15">
        <v>1.0</v>
      </c>
      <c r="R132" s="9">
        <v>10.0</v>
      </c>
      <c r="S132" s="16">
        <f t="shared" si="6"/>
        <v>5.333333333</v>
      </c>
      <c r="T132" s="17">
        <f t="shared" si="7"/>
        <v>0.5333333333</v>
      </c>
      <c r="U132" s="14">
        <f t="shared" si="8"/>
        <v>-4.666666667</v>
      </c>
      <c r="V132" s="9" t="str">
        <f t="shared" si="9"/>
        <v>Average</v>
      </c>
      <c r="W132" s="9"/>
    </row>
    <row r="133" ht="15.75" customHeight="1">
      <c r="A133" s="13">
        <v>46246.0</v>
      </c>
      <c r="B133" s="49" t="s">
        <v>57</v>
      </c>
      <c r="C133" s="9" t="s">
        <v>29</v>
      </c>
      <c r="D133" s="9" t="s">
        <v>27</v>
      </c>
      <c r="E133" s="10">
        <v>0.0</v>
      </c>
      <c r="F133" s="9">
        <f t="shared" si="1"/>
        <v>0</v>
      </c>
      <c r="G133" s="11">
        <v>0.0</v>
      </c>
      <c r="H133" s="9">
        <f t="shared" si="2"/>
        <v>0</v>
      </c>
      <c r="I133" s="11">
        <v>1.0</v>
      </c>
      <c r="J133" s="9">
        <f t="shared" si="3"/>
        <v>1</v>
      </c>
      <c r="K133" s="11">
        <v>65.0</v>
      </c>
      <c r="L133" s="11">
        <v>40.0</v>
      </c>
      <c r="M133" s="14">
        <f t="shared" si="4"/>
        <v>0.8</v>
      </c>
      <c r="N133" s="11">
        <v>2.0</v>
      </c>
      <c r="O133" s="14">
        <f t="shared" si="5"/>
        <v>1.333333333</v>
      </c>
      <c r="P133" s="11">
        <v>1.0</v>
      </c>
      <c r="Q133" s="15">
        <v>1.0</v>
      </c>
      <c r="R133" s="9">
        <v>10.0</v>
      </c>
      <c r="S133" s="16">
        <f t="shared" si="6"/>
        <v>5.133333333</v>
      </c>
      <c r="T133" s="17">
        <f t="shared" si="7"/>
        <v>0.5133333333</v>
      </c>
      <c r="U133" s="14">
        <f t="shared" si="8"/>
        <v>-4.866666667</v>
      </c>
      <c r="V133" s="9" t="str">
        <f t="shared" si="9"/>
        <v>Average</v>
      </c>
      <c r="W133" s="9"/>
    </row>
    <row r="134" ht="15.75" customHeight="1">
      <c r="A134" s="13">
        <v>46246.0</v>
      </c>
      <c r="B134" s="49" t="s">
        <v>58</v>
      </c>
      <c r="C134" s="9" t="s">
        <v>40</v>
      </c>
      <c r="D134" s="9" t="s">
        <v>27</v>
      </c>
      <c r="E134" s="10">
        <v>0.0</v>
      </c>
      <c r="F134" s="9">
        <f t="shared" si="1"/>
        <v>0</v>
      </c>
      <c r="G134" s="11">
        <v>0.0</v>
      </c>
      <c r="H134" s="9">
        <f t="shared" si="2"/>
        <v>0</v>
      </c>
      <c r="I134" s="11">
        <v>1.0</v>
      </c>
      <c r="J134" s="9">
        <f t="shared" si="3"/>
        <v>1</v>
      </c>
      <c r="K134" s="11">
        <v>56.0</v>
      </c>
      <c r="L134" s="11">
        <v>46.0</v>
      </c>
      <c r="M134" s="14">
        <f t="shared" si="4"/>
        <v>0.92</v>
      </c>
      <c r="N134" s="11">
        <v>1.0</v>
      </c>
      <c r="O134" s="14">
        <f t="shared" si="5"/>
        <v>0.6666666667</v>
      </c>
      <c r="P134" s="11">
        <v>1.0</v>
      </c>
      <c r="Q134" s="15">
        <v>1.0</v>
      </c>
      <c r="R134" s="9">
        <v>10.0</v>
      </c>
      <c r="S134" s="16">
        <f t="shared" si="6"/>
        <v>4.586666667</v>
      </c>
      <c r="T134" s="17">
        <f t="shared" si="7"/>
        <v>0.4586666667</v>
      </c>
      <c r="U134" s="14">
        <f t="shared" si="8"/>
        <v>-5.413333333</v>
      </c>
      <c r="V134" s="9" t="str">
        <f t="shared" si="9"/>
        <v>Low Performance</v>
      </c>
      <c r="W134" s="9"/>
    </row>
    <row r="135" ht="15.75" customHeight="1">
      <c r="A135" s="13">
        <v>46246.0</v>
      </c>
      <c r="B135" s="50" t="s">
        <v>59</v>
      </c>
      <c r="C135" s="9" t="s">
        <v>40</v>
      </c>
      <c r="D135" s="9" t="s">
        <v>27</v>
      </c>
      <c r="E135" s="10">
        <v>0.0</v>
      </c>
      <c r="F135" s="9">
        <f t="shared" si="1"/>
        <v>0</v>
      </c>
      <c r="G135" s="11">
        <v>0.0</v>
      </c>
      <c r="H135" s="9">
        <f t="shared" si="2"/>
        <v>0</v>
      </c>
      <c r="I135" s="11">
        <v>0.0</v>
      </c>
      <c r="J135" s="9">
        <f t="shared" si="3"/>
        <v>0</v>
      </c>
      <c r="K135" s="11">
        <v>66.0</v>
      </c>
      <c r="L135" s="11">
        <v>42.0</v>
      </c>
      <c r="M135" s="14">
        <f t="shared" si="4"/>
        <v>0.84</v>
      </c>
      <c r="N135" s="11">
        <v>1.0</v>
      </c>
      <c r="O135" s="14">
        <f t="shared" si="5"/>
        <v>0.6666666667</v>
      </c>
      <c r="P135" s="11">
        <v>1.0</v>
      </c>
      <c r="Q135" s="15">
        <v>1.0</v>
      </c>
      <c r="R135" s="9">
        <v>10.0</v>
      </c>
      <c r="S135" s="16">
        <f t="shared" si="6"/>
        <v>3.506666667</v>
      </c>
      <c r="T135" s="17">
        <f t="shared" si="7"/>
        <v>0.3506666667</v>
      </c>
      <c r="U135" s="14">
        <f t="shared" si="8"/>
        <v>-6.493333333</v>
      </c>
      <c r="V135" s="9" t="str">
        <f t="shared" si="9"/>
        <v>Low Performance</v>
      </c>
      <c r="W135" s="9"/>
    </row>
    <row r="136" ht="15.75" customHeight="1">
      <c r="A136" s="13">
        <v>46246.0</v>
      </c>
      <c r="B136" s="49" t="s">
        <v>41</v>
      </c>
      <c r="C136" s="9" t="s">
        <v>40</v>
      </c>
      <c r="D136" s="9" t="s">
        <v>27</v>
      </c>
      <c r="E136" s="10">
        <v>0.0</v>
      </c>
      <c r="F136" s="9">
        <f t="shared" si="1"/>
        <v>0</v>
      </c>
      <c r="G136" s="11">
        <v>0.0</v>
      </c>
      <c r="H136" s="9">
        <f t="shared" si="2"/>
        <v>0</v>
      </c>
      <c r="I136" s="11">
        <v>0.0</v>
      </c>
      <c r="J136" s="9">
        <f t="shared" si="3"/>
        <v>0</v>
      </c>
      <c r="K136" s="11">
        <v>69.0</v>
      </c>
      <c r="L136" s="11">
        <v>27.0</v>
      </c>
      <c r="M136" s="14">
        <f t="shared" si="4"/>
        <v>0.54</v>
      </c>
      <c r="N136" s="11">
        <v>2.0</v>
      </c>
      <c r="O136" s="14">
        <f t="shared" si="5"/>
        <v>1.333333333</v>
      </c>
      <c r="P136" s="11">
        <v>1.0</v>
      </c>
      <c r="Q136" s="15">
        <v>1.0</v>
      </c>
      <c r="R136" s="9">
        <v>10.0</v>
      </c>
      <c r="S136" s="16">
        <f t="shared" si="6"/>
        <v>3.873333333</v>
      </c>
      <c r="T136" s="17">
        <f t="shared" si="7"/>
        <v>0.3873333333</v>
      </c>
      <c r="U136" s="14">
        <f t="shared" si="8"/>
        <v>-6.126666667</v>
      </c>
      <c r="V136" s="9" t="str">
        <f t="shared" si="9"/>
        <v>Low Performance</v>
      </c>
      <c r="W136" s="9"/>
    </row>
    <row r="137" ht="15.75" customHeight="1">
      <c r="A137" s="13">
        <v>46246.0</v>
      </c>
      <c r="B137" s="49" t="s">
        <v>42</v>
      </c>
      <c r="C137" s="9" t="s">
        <v>40</v>
      </c>
      <c r="D137" s="9" t="s">
        <v>27</v>
      </c>
      <c r="E137" s="10">
        <v>0.0</v>
      </c>
      <c r="F137" s="9">
        <f t="shared" si="1"/>
        <v>0</v>
      </c>
      <c r="G137" s="11">
        <v>0.0</v>
      </c>
      <c r="H137" s="9">
        <f t="shared" si="2"/>
        <v>0</v>
      </c>
      <c r="I137" s="11">
        <v>0.0</v>
      </c>
      <c r="J137" s="9">
        <f t="shared" si="3"/>
        <v>0</v>
      </c>
      <c r="K137" s="11">
        <v>68.0</v>
      </c>
      <c r="L137" s="11">
        <v>42.0</v>
      </c>
      <c r="M137" s="14">
        <f t="shared" si="4"/>
        <v>0.84</v>
      </c>
      <c r="N137" s="11">
        <v>1.0</v>
      </c>
      <c r="O137" s="14">
        <f t="shared" si="5"/>
        <v>0.6666666667</v>
      </c>
      <c r="P137" s="11">
        <v>1.0</v>
      </c>
      <c r="Q137" s="15">
        <v>1.0</v>
      </c>
      <c r="R137" s="9">
        <v>10.0</v>
      </c>
      <c r="S137" s="16">
        <f t="shared" si="6"/>
        <v>3.506666667</v>
      </c>
      <c r="T137" s="17">
        <f t="shared" si="7"/>
        <v>0.3506666667</v>
      </c>
      <c r="U137" s="14">
        <f t="shared" si="8"/>
        <v>-6.493333333</v>
      </c>
      <c r="V137" s="9" t="str">
        <f t="shared" si="9"/>
        <v>Low Performance</v>
      </c>
      <c r="W137" s="9"/>
    </row>
    <row r="138" ht="15.75" customHeight="1">
      <c r="A138" s="13">
        <v>46246.0</v>
      </c>
      <c r="B138" s="49" t="s">
        <v>60</v>
      </c>
      <c r="C138" s="9" t="s">
        <v>40</v>
      </c>
      <c r="D138" s="9" t="s">
        <v>27</v>
      </c>
      <c r="E138" s="10">
        <v>0.0</v>
      </c>
      <c r="F138" s="9">
        <f t="shared" si="1"/>
        <v>0</v>
      </c>
      <c r="G138" s="11">
        <v>1.0</v>
      </c>
      <c r="H138" s="9">
        <f t="shared" si="2"/>
        <v>1</v>
      </c>
      <c r="I138" s="11">
        <v>0.0</v>
      </c>
      <c r="J138" s="9">
        <f t="shared" si="3"/>
        <v>0</v>
      </c>
      <c r="K138" s="11">
        <v>58.0</v>
      </c>
      <c r="L138" s="11">
        <v>45.0</v>
      </c>
      <c r="M138" s="14">
        <f t="shared" si="4"/>
        <v>0.9</v>
      </c>
      <c r="N138" s="11">
        <v>1.0</v>
      </c>
      <c r="O138" s="14">
        <f t="shared" si="5"/>
        <v>0.6666666667</v>
      </c>
      <c r="P138" s="11">
        <v>1.0</v>
      </c>
      <c r="Q138" s="15">
        <v>0.75</v>
      </c>
      <c r="R138" s="9">
        <v>10.0</v>
      </c>
      <c r="S138" s="16">
        <f t="shared" si="6"/>
        <v>4.316666667</v>
      </c>
      <c r="T138" s="17">
        <f t="shared" si="7"/>
        <v>0.4316666667</v>
      </c>
      <c r="U138" s="14">
        <f t="shared" si="8"/>
        <v>-5.683333333</v>
      </c>
      <c r="V138" s="9" t="str">
        <f t="shared" si="9"/>
        <v>Low Performance</v>
      </c>
      <c r="W138" s="9"/>
    </row>
    <row r="139" ht="15.75" customHeight="1">
      <c r="A139" s="13">
        <v>46246.0</v>
      </c>
      <c r="B139" s="49" t="s">
        <v>47</v>
      </c>
      <c r="C139" s="9" t="s">
        <v>48</v>
      </c>
      <c r="D139" s="9" t="s">
        <v>27</v>
      </c>
      <c r="E139" s="10">
        <v>0.0</v>
      </c>
      <c r="F139" s="9">
        <f t="shared" si="1"/>
        <v>0</v>
      </c>
      <c r="G139" s="11">
        <v>0.0</v>
      </c>
      <c r="H139" s="9">
        <f t="shared" si="2"/>
        <v>0</v>
      </c>
      <c r="I139" s="11">
        <v>0.0</v>
      </c>
      <c r="J139" s="9">
        <f t="shared" si="3"/>
        <v>0</v>
      </c>
      <c r="K139" s="11">
        <v>61.0</v>
      </c>
      <c r="L139" s="11">
        <v>35.0</v>
      </c>
      <c r="M139" s="14">
        <f t="shared" si="4"/>
        <v>0.7</v>
      </c>
      <c r="N139" s="11">
        <v>2.0</v>
      </c>
      <c r="O139" s="14">
        <f t="shared" si="5"/>
        <v>1.333333333</v>
      </c>
      <c r="P139" s="11">
        <v>1.0</v>
      </c>
      <c r="Q139" s="15">
        <v>0.5</v>
      </c>
      <c r="R139" s="9">
        <v>10.0</v>
      </c>
      <c r="S139" s="16">
        <f t="shared" si="6"/>
        <v>3.533333333</v>
      </c>
      <c r="T139" s="17">
        <f t="shared" si="7"/>
        <v>0.3533333333</v>
      </c>
      <c r="U139" s="14">
        <f t="shared" si="8"/>
        <v>-6.466666667</v>
      </c>
      <c r="V139" s="9" t="str">
        <f t="shared" si="9"/>
        <v>Low Performance</v>
      </c>
      <c r="W139" s="9"/>
    </row>
    <row r="140" ht="15.75" customHeight="1">
      <c r="A140" s="13">
        <v>46246.0</v>
      </c>
      <c r="B140" s="49" t="s">
        <v>61</v>
      </c>
      <c r="C140" s="9" t="s">
        <v>48</v>
      </c>
      <c r="D140" s="9" t="s">
        <v>27</v>
      </c>
      <c r="E140" s="10">
        <v>0.0</v>
      </c>
      <c r="F140" s="9">
        <f t="shared" si="1"/>
        <v>0</v>
      </c>
      <c r="G140" s="11">
        <v>0.0</v>
      </c>
      <c r="H140" s="9">
        <f t="shared" si="2"/>
        <v>0</v>
      </c>
      <c r="I140" s="11">
        <v>1.0</v>
      </c>
      <c r="J140" s="9">
        <f t="shared" si="3"/>
        <v>1</v>
      </c>
      <c r="K140" s="11">
        <v>60.0</v>
      </c>
      <c r="L140" s="11">
        <v>27.0</v>
      </c>
      <c r="M140" s="14">
        <f t="shared" si="4"/>
        <v>0.54</v>
      </c>
      <c r="N140" s="11">
        <v>2.0</v>
      </c>
      <c r="O140" s="14">
        <f t="shared" si="5"/>
        <v>1.333333333</v>
      </c>
      <c r="P140" s="11">
        <v>1.0</v>
      </c>
      <c r="Q140" s="15">
        <v>1.0</v>
      </c>
      <c r="R140" s="9">
        <v>10.0</v>
      </c>
      <c r="S140" s="16">
        <f t="shared" si="6"/>
        <v>4.873333333</v>
      </c>
      <c r="T140" s="17">
        <f t="shared" si="7"/>
        <v>0.4873333333</v>
      </c>
      <c r="U140" s="14">
        <f t="shared" si="8"/>
        <v>-5.126666667</v>
      </c>
      <c r="V140" s="9" t="str">
        <f t="shared" si="9"/>
        <v>Low Performance</v>
      </c>
      <c r="W140" s="9"/>
    </row>
    <row r="141" ht="15.75" customHeight="1">
      <c r="A141" s="13">
        <v>46246.0</v>
      </c>
      <c r="B141" s="49" t="s">
        <v>62</v>
      </c>
      <c r="C141" s="9" t="s">
        <v>48</v>
      </c>
      <c r="D141" s="9" t="s">
        <v>27</v>
      </c>
      <c r="E141" s="10">
        <v>0.0</v>
      </c>
      <c r="F141" s="9">
        <f t="shared" si="1"/>
        <v>0</v>
      </c>
      <c r="G141" s="11">
        <v>0.0</v>
      </c>
      <c r="H141" s="9">
        <f t="shared" si="2"/>
        <v>0</v>
      </c>
      <c r="I141" s="11">
        <v>1.0</v>
      </c>
      <c r="J141" s="9">
        <f t="shared" si="3"/>
        <v>1</v>
      </c>
      <c r="K141" s="11">
        <v>58.0</v>
      </c>
      <c r="L141" s="11">
        <v>50.0</v>
      </c>
      <c r="M141" s="14">
        <f t="shared" si="4"/>
        <v>1</v>
      </c>
      <c r="N141" s="11">
        <v>1.0</v>
      </c>
      <c r="O141" s="14">
        <f t="shared" si="5"/>
        <v>0.6666666667</v>
      </c>
      <c r="P141" s="11">
        <v>1.0</v>
      </c>
      <c r="Q141" s="15">
        <v>1.0</v>
      </c>
      <c r="R141" s="9">
        <v>10.0</v>
      </c>
      <c r="S141" s="16">
        <f t="shared" si="6"/>
        <v>4.666666667</v>
      </c>
      <c r="T141" s="17">
        <f t="shared" si="7"/>
        <v>0.4666666667</v>
      </c>
      <c r="U141" s="14">
        <f t="shared" si="8"/>
        <v>-5.333333333</v>
      </c>
      <c r="V141" s="9" t="str">
        <f t="shared" si="9"/>
        <v>Low Performance</v>
      </c>
      <c r="W141" s="9"/>
    </row>
    <row r="142" ht="15.75" customHeight="1">
      <c r="A142" s="13">
        <v>46246.0</v>
      </c>
      <c r="B142" s="49" t="s">
        <v>63</v>
      </c>
      <c r="C142" s="9" t="s">
        <v>48</v>
      </c>
      <c r="D142" s="9" t="s">
        <v>27</v>
      </c>
      <c r="E142" s="10">
        <v>0.0</v>
      </c>
      <c r="F142" s="9">
        <f t="shared" si="1"/>
        <v>0</v>
      </c>
      <c r="G142" s="11">
        <v>0.0</v>
      </c>
      <c r="H142" s="9">
        <f t="shared" si="2"/>
        <v>0</v>
      </c>
      <c r="I142" s="11">
        <v>1.0</v>
      </c>
      <c r="J142" s="9">
        <f t="shared" si="3"/>
        <v>1</v>
      </c>
      <c r="K142" s="11">
        <v>60.0</v>
      </c>
      <c r="L142" s="11">
        <v>47.0</v>
      </c>
      <c r="M142" s="14">
        <f t="shared" si="4"/>
        <v>0.94</v>
      </c>
      <c r="N142" s="11">
        <v>1.0</v>
      </c>
      <c r="O142" s="14">
        <f t="shared" si="5"/>
        <v>0.6666666667</v>
      </c>
      <c r="P142" s="11">
        <v>1.0</v>
      </c>
      <c r="Q142" s="15">
        <v>0.75</v>
      </c>
      <c r="R142" s="9">
        <v>10.0</v>
      </c>
      <c r="S142" s="16">
        <f t="shared" si="6"/>
        <v>4.356666667</v>
      </c>
      <c r="T142" s="17">
        <f t="shared" si="7"/>
        <v>0.4356666667</v>
      </c>
      <c r="U142" s="14">
        <f t="shared" si="8"/>
        <v>-5.643333333</v>
      </c>
      <c r="V142" s="9" t="str">
        <f t="shared" si="9"/>
        <v>Low Performance</v>
      </c>
      <c r="W142" s="9"/>
    </row>
    <row r="143" ht="15.75" customHeight="1">
      <c r="A143" s="13">
        <v>46247.0</v>
      </c>
      <c r="B143" s="49" t="s">
        <v>28</v>
      </c>
      <c r="C143" s="9" t="s">
        <v>29</v>
      </c>
      <c r="D143" s="9" t="s">
        <v>27</v>
      </c>
      <c r="E143" s="10">
        <v>0.0</v>
      </c>
      <c r="F143" s="9">
        <f t="shared" si="1"/>
        <v>0</v>
      </c>
      <c r="G143" s="11">
        <v>0.0</v>
      </c>
      <c r="H143" s="9">
        <f t="shared" si="2"/>
        <v>0</v>
      </c>
      <c r="I143" s="11">
        <v>1.0</v>
      </c>
      <c r="J143" s="9">
        <f t="shared" si="3"/>
        <v>1</v>
      </c>
      <c r="K143" s="11">
        <v>110.0</v>
      </c>
      <c r="L143" s="11">
        <v>50.0</v>
      </c>
      <c r="M143" s="14">
        <f t="shared" si="4"/>
        <v>1</v>
      </c>
      <c r="N143" s="11">
        <v>3.0</v>
      </c>
      <c r="O143" s="14">
        <f t="shared" si="5"/>
        <v>2</v>
      </c>
      <c r="P143" s="11">
        <v>1.0</v>
      </c>
      <c r="Q143" s="15">
        <v>1.0</v>
      </c>
      <c r="R143" s="9">
        <v>10.0</v>
      </c>
      <c r="S143" s="16">
        <f t="shared" si="6"/>
        <v>6</v>
      </c>
      <c r="T143" s="17">
        <f t="shared" si="7"/>
        <v>0.6</v>
      </c>
      <c r="U143" s="14">
        <f t="shared" si="8"/>
        <v>-4</v>
      </c>
      <c r="V143" s="9" t="str">
        <f t="shared" si="9"/>
        <v>Average</v>
      </c>
      <c r="W143" s="9"/>
    </row>
    <row r="144" ht="15.75" customHeight="1">
      <c r="A144" s="13">
        <v>46247.0</v>
      </c>
      <c r="B144" s="49" t="s">
        <v>36</v>
      </c>
      <c r="C144" s="9" t="s">
        <v>29</v>
      </c>
      <c r="D144" s="9" t="s">
        <v>27</v>
      </c>
      <c r="E144" s="10">
        <v>0.0</v>
      </c>
      <c r="F144" s="9">
        <f t="shared" si="1"/>
        <v>0</v>
      </c>
      <c r="G144" s="11">
        <v>1.0</v>
      </c>
      <c r="H144" s="9">
        <f t="shared" si="2"/>
        <v>1</v>
      </c>
      <c r="I144" s="11">
        <v>1.0</v>
      </c>
      <c r="J144" s="9">
        <f t="shared" si="3"/>
        <v>1</v>
      </c>
      <c r="K144" s="11">
        <v>69.0</v>
      </c>
      <c r="L144" s="11">
        <v>47.0</v>
      </c>
      <c r="M144" s="14">
        <f t="shared" si="4"/>
        <v>0.94</v>
      </c>
      <c r="N144" s="11">
        <v>2.0</v>
      </c>
      <c r="O144" s="14">
        <f t="shared" si="5"/>
        <v>1.333333333</v>
      </c>
      <c r="P144" s="11">
        <v>1.0</v>
      </c>
      <c r="Q144" s="15">
        <v>0.75</v>
      </c>
      <c r="R144" s="9">
        <v>10.0</v>
      </c>
      <c r="S144" s="16">
        <f t="shared" si="6"/>
        <v>6.023333333</v>
      </c>
      <c r="T144" s="17">
        <f t="shared" si="7"/>
        <v>0.6023333333</v>
      </c>
      <c r="U144" s="14">
        <f t="shared" si="8"/>
        <v>-3.976666667</v>
      </c>
      <c r="V144" s="9" t="str">
        <f t="shared" si="9"/>
        <v>Average</v>
      </c>
      <c r="W144" s="9"/>
    </row>
    <row r="145" ht="15.75" customHeight="1">
      <c r="A145" s="13">
        <v>46247.0</v>
      </c>
      <c r="B145" s="49" t="s">
        <v>56</v>
      </c>
      <c r="C145" s="9" t="s">
        <v>29</v>
      </c>
      <c r="D145" s="9" t="s">
        <v>27</v>
      </c>
      <c r="E145" s="10">
        <v>0.0</v>
      </c>
      <c r="F145" s="9">
        <f t="shared" si="1"/>
        <v>0</v>
      </c>
      <c r="G145" s="11">
        <v>0.0</v>
      </c>
      <c r="H145" s="9">
        <f t="shared" si="2"/>
        <v>0</v>
      </c>
      <c r="I145" s="11">
        <v>1.0</v>
      </c>
      <c r="J145" s="9">
        <f t="shared" si="3"/>
        <v>1</v>
      </c>
      <c r="K145" s="11">
        <v>67.0</v>
      </c>
      <c r="L145" s="11">
        <v>50.0</v>
      </c>
      <c r="M145" s="14">
        <f t="shared" si="4"/>
        <v>1</v>
      </c>
      <c r="N145" s="11">
        <v>2.0</v>
      </c>
      <c r="O145" s="14">
        <f t="shared" si="5"/>
        <v>1.333333333</v>
      </c>
      <c r="P145" s="11">
        <v>1.0</v>
      </c>
      <c r="Q145" s="15">
        <v>1.0</v>
      </c>
      <c r="R145" s="9">
        <v>10.0</v>
      </c>
      <c r="S145" s="16">
        <f t="shared" si="6"/>
        <v>5.333333333</v>
      </c>
      <c r="T145" s="17">
        <f t="shared" si="7"/>
        <v>0.5333333333</v>
      </c>
      <c r="U145" s="14">
        <f t="shared" si="8"/>
        <v>-4.666666667</v>
      </c>
      <c r="V145" s="9" t="str">
        <f t="shared" si="9"/>
        <v>Average</v>
      </c>
      <c r="W145" s="9"/>
    </row>
    <row r="146" ht="15.75" customHeight="1">
      <c r="A146" s="13">
        <v>46247.0</v>
      </c>
      <c r="B146" s="49" t="s">
        <v>37</v>
      </c>
      <c r="C146" s="9" t="s">
        <v>29</v>
      </c>
      <c r="D146" s="9" t="s">
        <v>27</v>
      </c>
      <c r="E146" s="10">
        <v>0.0</v>
      </c>
      <c r="F146" s="9">
        <f t="shared" si="1"/>
        <v>0</v>
      </c>
      <c r="G146" s="11">
        <v>1.0</v>
      </c>
      <c r="H146" s="9">
        <f t="shared" si="2"/>
        <v>1</v>
      </c>
      <c r="I146" s="11">
        <v>0.0</v>
      </c>
      <c r="J146" s="9">
        <f t="shared" si="3"/>
        <v>0</v>
      </c>
      <c r="K146" s="11">
        <v>69.0</v>
      </c>
      <c r="L146" s="11">
        <v>50.0</v>
      </c>
      <c r="M146" s="14">
        <f t="shared" si="4"/>
        <v>1</v>
      </c>
      <c r="N146" s="11">
        <v>3.0</v>
      </c>
      <c r="O146" s="14">
        <f t="shared" si="5"/>
        <v>2</v>
      </c>
      <c r="P146" s="11">
        <v>1.0</v>
      </c>
      <c r="Q146" s="15">
        <v>0.75</v>
      </c>
      <c r="R146" s="9">
        <v>10.0</v>
      </c>
      <c r="S146" s="16">
        <f t="shared" si="6"/>
        <v>5.75</v>
      </c>
      <c r="T146" s="17">
        <f t="shared" si="7"/>
        <v>0.575</v>
      </c>
      <c r="U146" s="14">
        <f t="shared" si="8"/>
        <v>-4.25</v>
      </c>
      <c r="V146" s="9" t="str">
        <f t="shared" si="9"/>
        <v>Average</v>
      </c>
      <c r="W146" s="9"/>
    </row>
    <row r="147" ht="15.75" customHeight="1">
      <c r="A147" s="13">
        <v>46247.0</v>
      </c>
      <c r="B147" s="49" t="s">
        <v>57</v>
      </c>
      <c r="C147" s="9" t="s">
        <v>29</v>
      </c>
      <c r="D147" s="9" t="s">
        <v>27</v>
      </c>
      <c r="E147" s="10">
        <v>0.0</v>
      </c>
      <c r="F147" s="9">
        <f t="shared" si="1"/>
        <v>0</v>
      </c>
      <c r="G147" s="11">
        <v>1.0</v>
      </c>
      <c r="H147" s="9">
        <f t="shared" si="2"/>
        <v>1</v>
      </c>
      <c r="I147" s="11">
        <v>1.0</v>
      </c>
      <c r="J147" s="9">
        <f t="shared" si="3"/>
        <v>1</v>
      </c>
      <c r="K147" s="11">
        <v>72.0</v>
      </c>
      <c r="L147" s="11">
        <v>50.0</v>
      </c>
      <c r="M147" s="14">
        <f t="shared" si="4"/>
        <v>1</v>
      </c>
      <c r="N147" s="11">
        <v>3.0</v>
      </c>
      <c r="O147" s="14">
        <f t="shared" si="5"/>
        <v>2</v>
      </c>
      <c r="P147" s="11">
        <v>1.0</v>
      </c>
      <c r="Q147" s="15">
        <v>1.0</v>
      </c>
      <c r="R147" s="9">
        <v>10.0</v>
      </c>
      <c r="S147" s="16">
        <f t="shared" si="6"/>
        <v>7</v>
      </c>
      <c r="T147" s="17">
        <f t="shared" si="7"/>
        <v>0.7</v>
      </c>
      <c r="U147" s="14">
        <f t="shared" si="8"/>
        <v>-3</v>
      </c>
      <c r="V147" s="9" t="str">
        <f t="shared" si="9"/>
        <v>Near Target</v>
      </c>
      <c r="W147" s="9"/>
    </row>
    <row r="148" ht="15.75" customHeight="1">
      <c r="A148" s="13">
        <v>46247.0</v>
      </c>
      <c r="B148" s="49" t="s">
        <v>58</v>
      </c>
      <c r="C148" s="9" t="s">
        <v>40</v>
      </c>
      <c r="D148" s="9" t="s">
        <v>27</v>
      </c>
      <c r="E148" s="10">
        <v>0.0</v>
      </c>
      <c r="F148" s="9">
        <f t="shared" si="1"/>
        <v>0</v>
      </c>
      <c r="G148" s="11">
        <v>0.0</v>
      </c>
      <c r="H148" s="9">
        <f t="shared" si="2"/>
        <v>0</v>
      </c>
      <c r="I148" s="11">
        <v>0.0</v>
      </c>
      <c r="J148" s="9">
        <f t="shared" si="3"/>
        <v>0</v>
      </c>
      <c r="K148" s="11">
        <v>57.0</v>
      </c>
      <c r="L148" s="11">
        <v>46.0</v>
      </c>
      <c r="M148" s="14">
        <f t="shared" si="4"/>
        <v>0.92</v>
      </c>
      <c r="N148" s="11">
        <v>2.0</v>
      </c>
      <c r="O148" s="14">
        <f t="shared" si="5"/>
        <v>1.333333333</v>
      </c>
      <c r="P148" s="11">
        <v>1.0</v>
      </c>
      <c r="Q148" s="15">
        <v>1.0</v>
      </c>
      <c r="R148" s="9">
        <v>10.0</v>
      </c>
      <c r="S148" s="16">
        <f t="shared" si="6"/>
        <v>4.253333333</v>
      </c>
      <c r="T148" s="17">
        <f t="shared" si="7"/>
        <v>0.4253333333</v>
      </c>
      <c r="U148" s="14">
        <f t="shared" si="8"/>
        <v>-5.746666667</v>
      </c>
      <c r="V148" s="9" t="str">
        <f t="shared" si="9"/>
        <v>Low Performance</v>
      </c>
      <c r="W148" s="9"/>
    </row>
    <row r="149" ht="15.75" customHeight="1">
      <c r="A149" s="13">
        <v>46247.0</v>
      </c>
      <c r="B149" s="50" t="s">
        <v>59</v>
      </c>
      <c r="C149" s="9" t="s">
        <v>40</v>
      </c>
      <c r="D149" s="9" t="s">
        <v>27</v>
      </c>
      <c r="E149" s="10">
        <v>0.0</v>
      </c>
      <c r="F149" s="9">
        <f t="shared" si="1"/>
        <v>0</v>
      </c>
      <c r="G149" s="11">
        <v>0.0</v>
      </c>
      <c r="H149" s="9">
        <f t="shared" si="2"/>
        <v>0</v>
      </c>
      <c r="I149" s="11">
        <v>0.0</v>
      </c>
      <c r="J149" s="9">
        <f t="shared" si="3"/>
        <v>0</v>
      </c>
      <c r="K149" s="11">
        <v>61.0</v>
      </c>
      <c r="L149" s="11">
        <v>45.0</v>
      </c>
      <c r="M149" s="14">
        <f t="shared" si="4"/>
        <v>0.9</v>
      </c>
      <c r="N149" s="11">
        <v>1.0</v>
      </c>
      <c r="O149" s="14">
        <f t="shared" si="5"/>
        <v>0.6666666667</v>
      </c>
      <c r="P149" s="11">
        <v>1.0</v>
      </c>
      <c r="Q149" s="15">
        <v>1.0</v>
      </c>
      <c r="R149" s="9">
        <v>10.0</v>
      </c>
      <c r="S149" s="16">
        <f t="shared" si="6"/>
        <v>3.566666667</v>
      </c>
      <c r="T149" s="17">
        <f t="shared" si="7"/>
        <v>0.3566666667</v>
      </c>
      <c r="U149" s="14">
        <f t="shared" si="8"/>
        <v>-6.433333333</v>
      </c>
      <c r="V149" s="9" t="str">
        <f t="shared" si="9"/>
        <v>Low Performance</v>
      </c>
      <c r="W149" s="9"/>
    </row>
    <row r="150" ht="15.75" customHeight="1">
      <c r="A150" s="13">
        <v>46247.0</v>
      </c>
      <c r="B150" s="49" t="s">
        <v>41</v>
      </c>
      <c r="C150" s="9" t="s">
        <v>40</v>
      </c>
      <c r="D150" s="9" t="s">
        <v>27</v>
      </c>
      <c r="E150" s="10">
        <v>0.0</v>
      </c>
      <c r="F150" s="9">
        <f t="shared" si="1"/>
        <v>0</v>
      </c>
      <c r="G150" s="11">
        <v>0.0</v>
      </c>
      <c r="H150" s="9">
        <f t="shared" si="2"/>
        <v>0</v>
      </c>
      <c r="I150" s="11">
        <v>0.0</v>
      </c>
      <c r="J150" s="9">
        <f t="shared" si="3"/>
        <v>0</v>
      </c>
      <c r="K150" s="11">
        <v>79.0</v>
      </c>
      <c r="L150" s="11">
        <v>38.0</v>
      </c>
      <c r="M150" s="14">
        <f t="shared" si="4"/>
        <v>0.76</v>
      </c>
      <c r="N150" s="11">
        <v>2.0</v>
      </c>
      <c r="O150" s="14">
        <f t="shared" si="5"/>
        <v>1.333333333</v>
      </c>
      <c r="P150" s="11">
        <v>1.0</v>
      </c>
      <c r="Q150" s="15">
        <v>1.0</v>
      </c>
      <c r="R150" s="9">
        <v>10.0</v>
      </c>
      <c r="S150" s="16">
        <f t="shared" si="6"/>
        <v>4.093333333</v>
      </c>
      <c r="T150" s="17">
        <f t="shared" si="7"/>
        <v>0.4093333333</v>
      </c>
      <c r="U150" s="14">
        <f t="shared" si="8"/>
        <v>-5.906666667</v>
      </c>
      <c r="V150" s="9" t="str">
        <f t="shared" si="9"/>
        <v>Low Performance</v>
      </c>
      <c r="W150" s="9"/>
    </row>
    <row r="151" ht="15.75" customHeight="1">
      <c r="A151" s="13">
        <v>46247.0</v>
      </c>
      <c r="B151" s="49" t="s">
        <v>42</v>
      </c>
      <c r="C151" s="9" t="s">
        <v>40</v>
      </c>
      <c r="D151" s="9" t="s">
        <v>27</v>
      </c>
      <c r="E151" s="10">
        <v>0.0</v>
      </c>
      <c r="F151" s="9">
        <f t="shared" si="1"/>
        <v>0</v>
      </c>
      <c r="G151" s="11">
        <v>0.0</v>
      </c>
      <c r="H151" s="9">
        <f t="shared" si="2"/>
        <v>0</v>
      </c>
      <c r="I151" s="11">
        <v>0.0</v>
      </c>
      <c r="J151" s="9">
        <f t="shared" si="3"/>
        <v>0</v>
      </c>
      <c r="K151" s="11">
        <v>62.0</v>
      </c>
      <c r="L151" s="11">
        <v>50.0</v>
      </c>
      <c r="M151" s="14">
        <f t="shared" si="4"/>
        <v>1</v>
      </c>
      <c r="N151" s="11">
        <v>1.0</v>
      </c>
      <c r="O151" s="14">
        <f t="shared" si="5"/>
        <v>0.6666666667</v>
      </c>
      <c r="P151" s="11">
        <v>1.0</v>
      </c>
      <c r="Q151" s="15">
        <v>1.0</v>
      </c>
      <c r="R151" s="9">
        <v>10.0</v>
      </c>
      <c r="S151" s="16">
        <f t="shared" si="6"/>
        <v>3.666666667</v>
      </c>
      <c r="T151" s="17">
        <f t="shared" si="7"/>
        <v>0.3666666667</v>
      </c>
      <c r="U151" s="14">
        <f t="shared" si="8"/>
        <v>-6.333333333</v>
      </c>
      <c r="V151" s="9" t="str">
        <f t="shared" si="9"/>
        <v>Low Performance</v>
      </c>
      <c r="W151" s="9"/>
    </row>
    <row r="152" ht="15.75" customHeight="1">
      <c r="A152" s="13">
        <v>46247.0</v>
      </c>
      <c r="B152" s="49" t="s">
        <v>60</v>
      </c>
      <c r="C152" s="9" t="s">
        <v>40</v>
      </c>
      <c r="D152" s="9" t="s">
        <v>27</v>
      </c>
      <c r="E152" s="10">
        <v>0.0</v>
      </c>
      <c r="F152" s="9">
        <f t="shared" si="1"/>
        <v>0</v>
      </c>
      <c r="G152" s="11">
        <v>0.0</v>
      </c>
      <c r="H152" s="9">
        <f t="shared" si="2"/>
        <v>0</v>
      </c>
      <c r="I152" s="11">
        <v>1.0</v>
      </c>
      <c r="J152" s="9">
        <f t="shared" si="3"/>
        <v>1</v>
      </c>
      <c r="K152" s="11">
        <v>45.0</v>
      </c>
      <c r="L152" s="11">
        <v>40.0</v>
      </c>
      <c r="M152" s="14">
        <f t="shared" si="4"/>
        <v>0.8</v>
      </c>
      <c r="N152" s="11">
        <v>1.0</v>
      </c>
      <c r="O152" s="14">
        <f t="shared" si="5"/>
        <v>0.6666666667</v>
      </c>
      <c r="P152" s="11">
        <v>1.0</v>
      </c>
      <c r="Q152" s="15">
        <v>1.0</v>
      </c>
      <c r="R152" s="9">
        <v>10.0</v>
      </c>
      <c r="S152" s="16">
        <f t="shared" si="6"/>
        <v>4.466666667</v>
      </c>
      <c r="T152" s="17">
        <f t="shared" si="7"/>
        <v>0.4466666667</v>
      </c>
      <c r="U152" s="14">
        <f t="shared" si="8"/>
        <v>-5.533333333</v>
      </c>
      <c r="V152" s="9" t="str">
        <f t="shared" si="9"/>
        <v>Low Performance</v>
      </c>
      <c r="W152" s="9"/>
    </row>
    <row r="153" ht="15.75" customHeight="1">
      <c r="A153" s="13">
        <v>46247.0</v>
      </c>
      <c r="B153" s="49" t="s">
        <v>47</v>
      </c>
      <c r="C153" s="9" t="s">
        <v>48</v>
      </c>
      <c r="D153" s="9" t="s">
        <v>27</v>
      </c>
      <c r="E153" s="10">
        <v>0.0</v>
      </c>
      <c r="F153" s="9">
        <f t="shared" si="1"/>
        <v>0</v>
      </c>
      <c r="G153" s="11">
        <v>0.0</v>
      </c>
      <c r="H153" s="9">
        <f t="shared" si="2"/>
        <v>0</v>
      </c>
      <c r="I153" s="11">
        <v>0.0</v>
      </c>
      <c r="J153" s="9">
        <f t="shared" si="3"/>
        <v>0</v>
      </c>
      <c r="K153" s="11">
        <v>17.0</v>
      </c>
      <c r="L153" s="11">
        <v>17.0</v>
      </c>
      <c r="M153" s="14">
        <f t="shared" si="4"/>
        <v>0.34</v>
      </c>
      <c r="N153" s="11">
        <v>1.0</v>
      </c>
      <c r="O153" s="14">
        <f t="shared" si="5"/>
        <v>0.6666666667</v>
      </c>
      <c r="P153" s="11">
        <v>1.0</v>
      </c>
      <c r="Q153" s="15">
        <v>0.5</v>
      </c>
      <c r="R153" s="9">
        <v>10.0</v>
      </c>
      <c r="S153" s="16">
        <f t="shared" si="6"/>
        <v>2.506666667</v>
      </c>
      <c r="T153" s="17">
        <f t="shared" si="7"/>
        <v>0.2506666667</v>
      </c>
      <c r="U153" s="14">
        <f t="shared" si="8"/>
        <v>-7.493333333</v>
      </c>
      <c r="V153" s="9" t="str">
        <f t="shared" si="9"/>
        <v>Low Performance</v>
      </c>
      <c r="W153" s="9"/>
    </row>
    <row r="154" ht="15.75" customHeight="1">
      <c r="A154" s="13">
        <v>46247.0</v>
      </c>
      <c r="B154" s="49" t="s">
        <v>61</v>
      </c>
      <c r="C154" s="9" t="s">
        <v>48</v>
      </c>
      <c r="D154" s="9" t="s">
        <v>27</v>
      </c>
      <c r="E154" s="10">
        <v>17000.0</v>
      </c>
      <c r="F154" s="9">
        <f t="shared" si="1"/>
        <v>3</v>
      </c>
      <c r="G154" s="11">
        <v>1.0</v>
      </c>
      <c r="H154" s="9">
        <f t="shared" si="2"/>
        <v>1</v>
      </c>
      <c r="I154" s="11">
        <v>0.0</v>
      </c>
      <c r="J154" s="9">
        <f t="shared" si="3"/>
        <v>0</v>
      </c>
      <c r="K154" s="11">
        <v>60.0</v>
      </c>
      <c r="L154" s="11">
        <v>30.0</v>
      </c>
      <c r="M154" s="14">
        <f t="shared" si="4"/>
        <v>0.6</v>
      </c>
      <c r="N154" s="11">
        <v>2.0</v>
      </c>
      <c r="O154" s="14">
        <f t="shared" si="5"/>
        <v>1.333333333</v>
      </c>
      <c r="P154" s="11">
        <v>1.0</v>
      </c>
      <c r="Q154" s="15">
        <v>1.0</v>
      </c>
      <c r="R154" s="9">
        <v>10.0</v>
      </c>
      <c r="S154" s="16">
        <f t="shared" si="6"/>
        <v>7.933333333</v>
      </c>
      <c r="T154" s="17">
        <f t="shared" si="7"/>
        <v>0.7933333333</v>
      </c>
      <c r="U154" s="14">
        <f t="shared" si="8"/>
        <v>-2.066666667</v>
      </c>
      <c r="V154" s="9" t="str">
        <f t="shared" si="9"/>
        <v>Near Target</v>
      </c>
      <c r="W154" s="9"/>
    </row>
    <row r="155" ht="15.75" customHeight="1">
      <c r="A155" s="13">
        <v>46247.0</v>
      </c>
      <c r="B155" s="49" t="s">
        <v>62</v>
      </c>
      <c r="C155" s="9" t="s">
        <v>48</v>
      </c>
      <c r="D155" s="9" t="s">
        <v>27</v>
      </c>
      <c r="E155" s="10">
        <v>50000.0</v>
      </c>
      <c r="F155" s="9">
        <f t="shared" si="1"/>
        <v>3</v>
      </c>
      <c r="G155" s="11">
        <v>1.0</v>
      </c>
      <c r="H155" s="9">
        <f t="shared" si="2"/>
        <v>1</v>
      </c>
      <c r="I155" s="11">
        <v>1.0</v>
      </c>
      <c r="J155" s="9">
        <f t="shared" si="3"/>
        <v>1</v>
      </c>
      <c r="K155" s="11">
        <v>60.0</v>
      </c>
      <c r="L155" s="11">
        <v>45.0</v>
      </c>
      <c r="M155" s="14">
        <f t="shared" si="4"/>
        <v>0.9</v>
      </c>
      <c r="N155" s="11">
        <v>2.0</v>
      </c>
      <c r="O155" s="14">
        <f t="shared" si="5"/>
        <v>1.333333333</v>
      </c>
      <c r="P155" s="11">
        <v>1.0</v>
      </c>
      <c r="Q155" s="15">
        <v>1.0</v>
      </c>
      <c r="R155" s="9">
        <v>10.0</v>
      </c>
      <c r="S155" s="16">
        <f t="shared" si="6"/>
        <v>9.233333333</v>
      </c>
      <c r="T155" s="17">
        <f t="shared" si="7"/>
        <v>0.9233333333</v>
      </c>
      <c r="U155" s="14">
        <f t="shared" si="8"/>
        <v>-0.7666666667</v>
      </c>
      <c r="V155" s="9" t="str">
        <f t="shared" si="9"/>
        <v>Near Target</v>
      </c>
      <c r="W155" s="9"/>
    </row>
    <row r="156" ht="15.75" customHeight="1">
      <c r="A156" s="13">
        <v>46247.0</v>
      </c>
      <c r="B156" s="49" t="s">
        <v>63</v>
      </c>
      <c r="C156" s="9" t="s">
        <v>48</v>
      </c>
      <c r="D156" s="9" t="s">
        <v>27</v>
      </c>
      <c r="E156" s="10">
        <v>0.0</v>
      </c>
      <c r="F156" s="9">
        <f t="shared" si="1"/>
        <v>0</v>
      </c>
      <c r="G156" s="11">
        <v>1.0</v>
      </c>
      <c r="H156" s="9">
        <f t="shared" si="2"/>
        <v>1</v>
      </c>
      <c r="I156" s="11">
        <v>0.0</v>
      </c>
      <c r="J156" s="9">
        <f t="shared" si="3"/>
        <v>0</v>
      </c>
      <c r="K156" s="11">
        <v>62.0</v>
      </c>
      <c r="L156" s="11">
        <v>47.0</v>
      </c>
      <c r="M156" s="14">
        <f t="shared" si="4"/>
        <v>0.94</v>
      </c>
      <c r="N156" s="11">
        <v>2.0</v>
      </c>
      <c r="O156" s="14">
        <f t="shared" si="5"/>
        <v>1.333333333</v>
      </c>
      <c r="P156" s="11">
        <v>1.0</v>
      </c>
      <c r="Q156" s="15">
        <v>1.0</v>
      </c>
      <c r="R156" s="9">
        <v>10.0</v>
      </c>
      <c r="S156" s="16">
        <f t="shared" si="6"/>
        <v>5.273333333</v>
      </c>
      <c r="T156" s="17">
        <f t="shared" si="7"/>
        <v>0.5273333333</v>
      </c>
      <c r="U156" s="14">
        <f t="shared" si="8"/>
        <v>-4.726666667</v>
      </c>
      <c r="V156" s="9" t="str">
        <f t="shared" si="9"/>
        <v>Average</v>
      </c>
      <c r="W156" s="9"/>
    </row>
    <row r="157" ht="15.75" customHeight="1">
      <c r="A157" s="13">
        <v>46249.0</v>
      </c>
      <c r="B157" s="49" t="s">
        <v>28</v>
      </c>
      <c r="C157" s="9" t="s">
        <v>29</v>
      </c>
      <c r="D157" s="9" t="s">
        <v>27</v>
      </c>
      <c r="E157" s="10">
        <v>0.0</v>
      </c>
      <c r="F157" s="9">
        <f t="shared" si="1"/>
        <v>0</v>
      </c>
      <c r="G157" s="11">
        <v>0.0</v>
      </c>
      <c r="H157" s="9">
        <f t="shared" si="2"/>
        <v>0</v>
      </c>
      <c r="I157" s="11">
        <v>0.0</v>
      </c>
      <c r="J157" s="9">
        <f t="shared" si="3"/>
        <v>0</v>
      </c>
      <c r="K157" s="11">
        <v>121.0</v>
      </c>
      <c r="L157" s="11">
        <v>31.0</v>
      </c>
      <c r="M157" s="14">
        <f t="shared" si="4"/>
        <v>0.62</v>
      </c>
      <c r="N157" s="11">
        <v>2.0</v>
      </c>
      <c r="O157" s="14">
        <f t="shared" si="5"/>
        <v>1.333333333</v>
      </c>
      <c r="P157" s="11">
        <v>1.0</v>
      </c>
      <c r="Q157" s="15">
        <v>1.0</v>
      </c>
      <c r="R157" s="9">
        <v>10.0</v>
      </c>
      <c r="S157" s="16">
        <f t="shared" si="6"/>
        <v>3.953333333</v>
      </c>
      <c r="T157" s="17">
        <f t="shared" si="7"/>
        <v>0.3953333333</v>
      </c>
      <c r="U157" s="14">
        <f t="shared" si="8"/>
        <v>-6.046666667</v>
      </c>
      <c r="V157" s="9" t="str">
        <f t="shared" si="9"/>
        <v>Low Performance</v>
      </c>
      <c r="W157" s="9"/>
    </row>
    <row r="158" ht="15.75" customHeight="1">
      <c r="A158" s="13">
        <v>46249.0</v>
      </c>
      <c r="B158" s="49" t="s">
        <v>36</v>
      </c>
      <c r="C158" s="9" t="s">
        <v>29</v>
      </c>
      <c r="D158" s="9" t="s">
        <v>27</v>
      </c>
      <c r="E158" s="10">
        <v>0.0</v>
      </c>
      <c r="F158" s="9">
        <f t="shared" si="1"/>
        <v>0</v>
      </c>
      <c r="G158" s="11">
        <v>0.0</v>
      </c>
      <c r="H158" s="9">
        <f t="shared" si="2"/>
        <v>0</v>
      </c>
      <c r="I158" s="11">
        <v>0.0</v>
      </c>
      <c r="J158" s="9">
        <f t="shared" si="3"/>
        <v>0</v>
      </c>
      <c r="K158" s="11">
        <v>58.0</v>
      </c>
      <c r="L158" s="11">
        <v>39.0</v>
      </c>
      <c r="M158" s="14">
        <f t="shared" si="4"/>
        <v>0.78</v>
      </c>
      <c r="N158" s="11">
        <v>2.0</v>
      </c>
      <c r="O158" s="14">
        <f t="shared" si="5"/>
        <v>1.333333333</v>
      </c>
      <c r="P158" s="11">
        <v>1.0</v>
      </c>
      <c r="Q158" s="15">
        <v>1.0</v>
      </c>
      <c r="R158" s="9">
        <v>10.0</v>
      </c>
      <c r="S158" s="16">
        <f t="shared" si="6"/>
        <v>4.113333333</v>
      </c>
      <c r="T158" s="17">
        <f t="shared" si="7"/>
        <v>0.4113333333</v>
      </c>
      <c r="U158" s="14">
        <f t="shared" si="8"/>
        <v>-5.886666667</v>
      </c>
      <c r="V158" s="9" t="str">
        <f t="shared" si="9"/>
        <v>Low Performance</v>
      </c>
      <c r="W158" s="9"/>
    </row>
    <row r="159" ht="15.75" customHeight="1">
      <c r="A159" s="13">
        <v>46249.0</v>
      </c>
      <c r="B159" s="49" t="s">
        <v>56</v>
      </c>
      <c r="C159" s="9" t="s">
        <v>29</v>
      </c>
      <c r="D159" s="9" t="s">
        <v>27</v>
      </c>
      <c r="E159" s="10">
        <v>0.0</v>
      </c>
      <c r="F159" s="9">
        <f t="shared" si="1"/>
        <v>0</v>
      </c>
      <c r="G159" s="11">
        <v>0.0</v>
      </c>
      <c r="H159" s="9">
        <f t="shared" si="2"/>
        <v>0</v>
      </c>
      <c r="I159" s="11">
        <v>1.0</v>
      </c>
      <c r="J159" s="9">
        <f t="shared" si="3"/>
        <v>1</v>
      </c>
      <c r="K159" s="11">
        <v>67.0</v>
      </c>
      <c r="L159" s="11">
        <v>50.0</v>
      </c>
      <c r="M159" s="14">
        <f t="shared" si="4"/>
        <v>1</v>
      </c>
      <c r="N159" s="11">
        <v>2.0</v>
      </c>
      <c r="O159" s="14">
        <f t="shared" si="5"/>
        <v>1.333333333</v>
      </c>
      <c r="P159" s="11">
        <v>1.0</v>
      </c>
      <c r="Q159" s="15">
        <v>1.0</v>
      </c>
      <c r="R159" s="9">
        <v>10.0</v>
      </c>
      <c r="S159" s="16">
        <f t="shared" si="6"/>
        <v>5.333333333</v>
      </c>
      <c r="T159" s="17">
        <f t="shared" si="7"/>
        <v>0.5333333333</v>
      </c>
      <c r="U159" s="14">
        <f t="shared" si="8"/>
        <v>-4.666666667</v>
      </c>
      <c r="V159" s="9" t="str">
        <f t="shared" si="9"/>
        <v>Average</v>
      </c>
      <c r="W159" s="9"/>
    </row>
    <row r="160" ht="15.75" customHeight="1">
      <c r="A160" s="13">
        <v>46249.0</v>
      </c>
      <c r="B160" s="49" t="s">
        <v>37</v>
      </c>
      <c r="C160" s="9" t="s">
        <v>29</v>
      </c>
      <c r="D160" s="9" t="s">
        <v>27</v>
      </c>
      <c r="E160" s="10">
        <v>0.0</v>
      </c>
      <c r="F160" s="9">
        <f t="shared" si="1"/>
        <v>0</v>
      </c>
      <c r="G160" s="11">
        <v>0.0</v>
      </c>
      <c r="H160" s="9">
        <f t="shared" si="2"/>
        <v>0</v>
      </c>
      <c r="I160" s="11">
        <v>0.0</v>
      </c>
      <c r="J160" s="9">
        <f t="shared" si="3"/>
        <v>0</v>
      </c>
      <c r="K160" s="11">
        <v>52.0</v>
      </c>
      <c r="L160" s="11">
        <v>32.0</v>
      </c>
      <c r="M160" s="14">
        <f t="shared" si="4"/>
        <v>0.64</v>
      </c>
      <c r="N160" s="11">
        <v>2.0</v>
      </c>
      <c r="O160" s="14">
        <f t="shared" si="5"/>
        <v>1.333333333</v>
      </c>
      <c r="P160" s="11">
        <v>1.0</v>
      </c>
      <c r="Q160" s="15">
        <v>0.75</v>
      </c>
      <c r="R160" s="9">
        <v>10.0</v>
      </c>
      <c r="S160" s="16">
        <f t="shared" si="6"/>
        <v>3.723333333</v>
      </c>
      <c r="T160" s="17">
        <f t="shared" si="7"/>
        <v>0.3723333333</v>
      </c>
      <c r="U160" s="14">
        <f t="shared" si="8"/>
        <v>-6.276666667</v>
      </c>
      <c r="V160" s="9" t="str">
        <f t="shared" si="9"/>
        <v>Low Performance</v>
      </c>
      <c r="W160" s="9"/>
    </row>
    <row r="161" ht="15.75" customHeight="1">
      <c r="A161" s="13">
        <v>46249.0</v>
      </c>
      <c r="B161" s="49" t="s">
        <v>57</v>
      </c>
      <c r="C161" s="9" t="s">
        <v>29</v>
      </c>
      <c r="D161" s="9" t="s">
        <v>27</v>
      </c>
      <c r="E161" s="10">
        <v>0.0</v>
      </c>
      <c r="F161" s="9">
        <f t="shared" si="1"/>
        <v>0</v>
      </c>
      <c r="G161" s="11">
        <v>0.0</v>
      </c>
      <c r="H161" s="9">
        <f t="shared" si="2"/>
        <v>0</v>
      </c>
      <c r="I161" s="11">
        <v>1.0</v>
      </c>
      <c r="J161" s="9">
        <f t="shared" si="3"/>
        <v>1</v>
      </c>
      <c r="K161" s="11">
        <v>62.0</v>
      </c>
      <c r="L161" s="11">
        <v>40.0</v>
      </c>
      <c r="M161" s="14">
        <f t="shared" si="4"/>
        <v>0.8</v>
      </c>
      <c r="N161" s="11">
        <v>2.0</v>
      </c>
      <c r="O161" s="14">
        <f t="shared" si="5"/>
        <v>1.333333333</v>
      </c>
      <c r="P161" s="11">
        <v>1.0</v>
      </c>
      <c r="Q161" s="15">
        <v>0.75</v>
      </c>
      <c r="R161" s="9">
        <v>10.0</v>
      </c>
      <c r="S161" s="16">
        <f t="shared" si="6"/>
        <v>4.883333333</v>
      </c>
      <c r="T161" s="17">
        <f t="shared" si="7"/>
        <v>0.4883333333</v>
      </c>
      <c r="U161" s="14">
        <f t="shared" si="8"/>
        <v>-5.116666667</v>
      </c>
      <c r="V161" s="9" t="str">
        <f t="shared" si="9"/>
        <v>Low Performance</v>
      </c>
      <c r="W161" s="9"/>
    </row>
    <row r="162" ht="15.75" customHeight="1">
      <c r="A162" s="13">
        <v>46249.0</v>
      </c>
      <c r="B162" s="49" t="s">
        <v>58</v>
      </c>
      <c r="C162" s="9" t="s">
        <v>40</v>
      </c>
      <c r="D162" s="9" t="s">
        <v>27</v>
      </c>
      <c r="E162" s="10">
        <v>0.0</v>
      </c>
      <c r="F162" s="9">
        <f t="shared" si="1"/>
        <v>0</v>
      </c>
      <c r="G162" s="11">
        <v>0.0</v>
      </c>
      <c r="H162" s="9">
        <f t="shared" si="2"/>
        <v>0</v>
      </c>
      <c r="I162" s="11">
        <v>0.0</v>
      </c>
      <c r="J162" s="9">
        <f t="shared" si="3"/>
        <v>0</v>
      </c>
      <c r="K162" s="11">
        <v>57.0</v>
      </c>
      <c r="L162" s="11">
        <v>47.0</v>
      </c>
      <c r="M162" s="14">
        <f t="shared" si="4"/>
        <v>0.94</v>
      </c>
      <c r="N162" s="11">
        <v>2.0</v>
      </c>
      <c r="O162" s="14">
        <f t="shared" si="5"/>
        <v>1.333333333</v>
      </c>
      <c r="P162" s="11">
        <v>1.0</v>
      </c>
      <c r="Q162" s="15">
        <v>1.0</v>
      </c>
      <c r="R162" s="9">
        <v>10.0</v>
      </c>
      <c r="S162" s="16">
        <f t="shared" si="6"/>
        <v>4.273333333</v>
      </c>
      <c r="T162" s="17">
        <f t="shared" si="7"/>
        <v>0.4273333333</v>
      </c>
      <c r="U162" s="14">
        <f t="shared" si="8"/>
        <v>-5.726666667</v>
      </c>
      <c r="V162" s="9" t="str">
        <f t="shared" si="9"/>
        <v>Low Performance</v>
      </c>
      <c r="W162" s="9"/>
    </row>
    <row r="163" ht="15.75" customHeight="1">
      <c r="A163" s="13">
        <v>46249.0</v>
      </c>
      <c r="B163" s="50" t="s">
        <v>59</v>
      </c>
      <c r="C163" s="9" t="s">
        <v>40</v>
      </c>
      <c r="D163" s="9" t="s">
        <v>27</v>
      </c>
      <c r="E163" s="10">
        <v>0.0</v>
      </c>
      <c r="F163" s="9">
        <f t="shared" si="1"/>
        <v>0</v>
      </c>
      <c r="G163" s="11">
        <v>1.0</v>
      </c>
      <c r="H163" s="9">
        <f t="shared" si="2"/>
        <v>1</v>
      </c>
      <c r="I163" s="11">
        <v>0.0</v>
      </c>
      <c r="J163" s="9">
        <f t="shared" si="3"/>
        <v>0</v>
      </c>
      <c r="K163" s="11">
        <v>58.0</v>
      </c>
      <c r="L163" s="11">
        <v>29.0</v>
      </c>
      <c r="M163" s="14">
        <f t="shared" si="4"/>
        <v>0.58</v>
      </c>
      <c r="N163" s="11">
        <v>2.0</v>
      </c>
      <c r="O163" s="14">
        <f t="shared" si="5"/>
        <v>1.333333333</v>
      </c>
      <c r="P163" s="11">
        <v>1.0</v>
      </c>
      <c r="Q163" s="15">
        <v>1.0</v>
      </c>
      <c r="R163" s="9">
        <v>10.0</v>
      </c>
      <c r="S163" s="16">
        <f t="shared" si="6"/>
        <v>4.913333333</v>
      </c>
      <c r="T163" s="17">
        <f t="shared" si="7"/>
        <v>0.4913333333</v>
      </c>
      <c r="U163" s="14">
        <f t="shared" si="8"/>
        <v>-5.086666667</v>
      </c>
      <c r="V163" s="9" t="str">
        <f t="shared" si="9"/>
        <v>Low Performance</v>
      </c>
      <c r="W163" s="9"/>
    </row>
    <row r="164" ht="15.75" customHeight="1">
      <c r="A164" s="13">
        <v>46249.0</v>
      </c>
      <c r="B164" s="49" t="s">
        <v>41</v>
      </c>
      <c r="C164" s="9" t="s">
        <v>40</v>
      </c>
      <c r="D164" s="9" t="s">
        <v>27</v>
      </c>
      <c r="E164" s="10">
        <v>0.0</v>
      </c>
      <c r="F164" s="9">
        <f t="shared" si="1"/>
        <v>0</v>
      </c>
      <c r="G164" s="11">
        <v>0.0</v>
      </c>
      <c r="H164" s="9">
        <f t="shared" si="2"/>
        <v>0</v>
      </c>
      <c r="I164" s="11">
        <v>0.0</v>
      </c>
      <c r="J164" s="9">
        <f t="shared" si="3"/>
        <v>0</v>
      </c>
      <c r="K164" s="11">
        <v>64.0</v>
      </c>
      <c r="L164" s="11">
        <v>26.0</v>
      </c>
      <c r="M164" s="14">
        <f t="shared" si="4"/>
        <v>0.52</v>
      </c>
      <c r="N164" s="11">
        <v>1.0</v>
      </c>
      <c r="O164" s="14">
        <f t="shared" si="5"/>
        <v>0.6666666667</v>
      </c>
      <c r="P164" s="11">
        <v>1.0</v>
      </c>
      <c r="Q164" s="15">
        <v>1.0</v>
      </c>
      <c r="R164" s="9">
        <v>10.0</v>
      </c>
      <c r="S164" s="16">
        <f t="shared" si="6"/>
        <v>3.186666667</v>
      </c>
      <c r="T164" s="17">
        <f t="shared" si="7"/>
        <v>0.3186666667</v>
      </c>
      <c r="U164" s="14">
        <f t="shared" si="8"/>
        <v>-6.813333333</v>
      </c>
      <c r="V164" s="9" t="str">
        <f t="shared" si="9"/>
        <v>Low Performance</v>
      </c>
      <c r="W164" s="9"/>
    </row>
    <row r="165" ht="15.75" customHeight="1">
      <c r="A165" s="13">
        <v>46249.0</v>
      </c>
      <c r="B165" s="49" t="s">
        <v>42</v>
      </c>
      <c r="C165" s="9" t="s">
        <v>40</v>
      </c>
      <c r="D165" s="9" t="s">
        <v>27</v>
      </c>
      <c r="E165" s="10">
        <v>0.0</v>
      </c>
      <c r="F165" s="9">
        <f t="shared" si="1"/>
        <v>0</v>
      </c>
      <c r="G165" s="11">
        <v>0.0</v>
      </c>
      <c r="H165" s="9">
        <f t="shared" si="2"/>
        <v>0</v>
      </c>
      <c r="I165" s="11">
        <v>0.0</v>
      </c>
      <c r="J165" s="9">
        <f t="shared" si="3"/>
        <v>0</v>
      </c>
      <c r="K165" s="11">
        <v>62.0</v>
      </c>
      <c r="L165" s="11">
        <v>50.0</v>
      </c>
      <c r="M165" s="14">
        <f t="shared" si="4"/>
        <v>1</v>
      </c>
      <c r="N165" s="11">
        <v>2.0</v>
      </c>
      <c r="O165" s="14">
        <f t="shared" si="5"/>
        <v>1.333333333</v>
      </c>
      <c r="P165" s="11">
        <v>1.0</v>
      </c>
      <c r="Q165" s="15">
        <v>1.0</v>
      </c>
      <c r="R165" s="9">
        <v>10.0</v>
      </c>
      <c r="S165" s="16">
        <f t="shared" si="6"/>
        <v>4.333333333</v>
      </c>
      <c r="T165" s="17">
        <f t="shared" si="7"/>
        <v>0.4333333333</v>
      </c>
      <c r="U165" s="14">
        <f t="shared" si="8"/>
        <v>-5.666666667</v>
      </c>
      <c r="V165" s="9" t="str">
        <f t="shared" si="9"/>
        <v>Low Performance</v>
      </c>
      <c r="W165" s="9"/>
    </row>
    <row r="166" ht="15.75" customHeight="1">
      <c r="A166" s="13">
        <v>46249.0</v>
      </c>
      <c r="B166" s="49" t="s">
        <v>60</v>
      </c>
      <c r="C166" s="9" t="s">
        <v>40</v>
      </c>
      <c r="D166" s="9" t="s">
        <v>27</v>
      </c>
      <c r="E166" s="10">
        <v>0.0</v>
      </c>
      <c r="F166" s="9">
        <f t="shared" si="1"/>
        <v>0</v>
      </c>
      <c r="G166" s="11">
        <v>0.0</v>
      </c>
      <c r="H166" s="9">
        <f t="shared" si="2"/>
        <v>0</v>
      </c>
      <c r="I166" s="11">
        <v>1.0</v>
      </c>
      <c r="J166" s="9">
        <f t="shared" si="3"/>
        <v>1</v>
      </c>
      <c r="K166" s="11">
        <v>63.0</v>
      </c>
      <c r="L166" s="11">
        <v>45.0</v>
      </c>
      <c r="M166" s="14">
        <f t="shared" si="4"/>
        <v>0.9</v>
      </c>
      <c r="N166" s="11">
        <v>2.0</v>
      </c>
      <c r="O166" s="14">
        <f t="shared" si="5"/>
        <v>1.333333333</v>
      </c>
      <c r="P166" s="11">
        <v>1.0</v>
      </c>
      <c r="Q166" s="15">
        <v>1.0</v>
      </c>
      <c r="R166" s="9">
        <v>10.0</v>
      </c>
      <c r="S166" s="16">
        <f t="shared" si="6"/>
        <v>5.233333333</v>
      </c>
      <c r="T166" s="17">
        <f t="shared" si="7"/>
        <v>0.5233333333</v>
      </c>
      <c r="U166" s="14">
        <f t="shared" si="8"/>
        <v>-4.766666667</v>
      </c>
      <c r="V166" s="9" t="str">
        <f t="shared" si="9"/>
        <v>Average</v>
      </c>
      <c r="W166" s="9"/>
    </row>
    <row r="167" ht="15.75" customHeight="1">
      <c r="A167" s="13">
        <v>46249.0</v>
      </c>
      <c r="B167" s="49" t="s">
        <v>47</v>
      </c>
      <c r="C167" s="9" t="s">
        <v>48</v>
      </c>
      <c r="D167" s="9" t="s">
        <v>27</v>
      </c>
      <c r="E167" s="10">
        <v>0.0</v>
      </c>
      <c r="F167" s="9">
        <f t="shared" si="1"/>
        <v>0</v>
      </c>
      <c r="G167" s="11">
        <v>0.0</v>
      </c>
      <c r="H167" s="9">
        <f t="shared" si="2"/>
        <v>0</v>
      </c>
      <c r="I167" s="11">
        <v>1.0</v>
      </c>
      <c r="J167" s="9">
        <f t="shared" si="3"/>
        <v>1</v>
      </c>
      <c r="K167" s="11">
        <v>39.0</v>
      </c>
      <c r="L167" s="11">
        <v>26.0</v>
      </c>
      <c r="M167" s="14">
        <f t="shared" si="4"/>
        <v>0.52</v>
      </c>
      <c r="N167" s="11">
        <v>1.0</v>
      </c>
      <c r="O167" s="14">
        <f t="shared" si="5"/>
        <v>0.6666666667</v>
      </c>
      <c r="P167" s="11">
        <v>1.0</v>
      </c>
      <c r="Q167" s="15">
        <v>0.75</v>
      </c>
      <c r="R167" s="9">
        <v>10.0</v>
      </c>
      <c r="S167" s="16">
        <f t="shared" si="6"/>
        <v>3.936666667</v>
      </c>
      <c r="T167" s="17">
        <f t="shared" si="7"/>
        <v>0.3936666667</v>
      </c>
      <c r="U167" s="14">
        <f t="shared" si="8"/>
        <v>-6.063333333</v>
      </c>
      <c r="V167" s="9" t="str">
        <f t="shared" si="9"/>
        <v>Low Performance</v>
      </c>
      <c r="W167" s="9"/>
    </row>
    <row r="168" ht="15.75" customHeight="1">
      <c r="A168" s="13">
        <v>46249.0</v>
      </c>
      <c r="B168" s="49" t="s">
        <v>61</v>
      </c>
      <c r="C168" s="9" t="s">
        <v>48</v>
      </c>
      <c r="D168" s="9" t="s">
        <v>27</v>
      </c>
      <c r="E168" s="10">
        <v>0.0</v>
      </c>
      <c r="F168" s="9">
        <f t="shared" si="1"/>
        <v>0</v>
      </c>
      <c r="G168" s="11">
        <v>0.0</v>
      </c>
      <c r="H168" s="9">
        <f t="shared" si="2"/>
        <v>0</v>
      </c>
      <c r="I168" s="11">
        <v>1.0</v>
      </c>
      <c r="J168" s="9">
        <f t="shared" si="3"/>
        <v>1</v>
      </c>
      <c r="K168" s="11">
        <v>62.0</v>
      </c>
      <c r="L168" s="11">
        <v>35.0</v>
      </c>
      <c r="M168" s="14">
        <f t="shared" si="4"/>
        <v>0.7</v>
      </c>
      <c r="N168" s="11">
        <v>2.0</v>
      </c>
      <c r="O168" s="14">
        <f t="shared" si="5"/>
        <v>1.333333333</v>
      </c>
      <c r="P168" s="11">
        <v>1.0</v>
      </c>
      <c r="Q168" s="15">
        <v>1.0</v>
      </c>
      <c r="R168" s="9">
        <v>10.0</v>
      </c>
      <c r="S168" s="16">
        <f t="shared" si="6"/>
        <v>5.033333333</v>
      </c>
      <c r="T168" s="17">
        <f t="shared" si="7"/>
        <v>0.5033333333</v>
      </c>
      <c r="U168" s="14">
        <f t="shared" si="8"/>
        <v>-4.966666667</v>
      </c>
      <c r="V168" s="9" t="str">
        <f t="shared" si="9"/>
        <v>Average</v>
      </c>
      <c r="W168" s="9"/>
    </row>
    <row r="169" ht="15.75" customHeight="1">
      <c r="A169" s="13">
        <v>46249.0</v>
      </c>
      <c r="B169" s="49" t="s">
        <v>62</v>
      </c>
      <c r="C169" s="9" t="s">
        <v>48</v>
      </c>
      <c r="D169" s="9" t="s">
        <v>27</v>
      </c>
      <c r="E169" s="10">
        <v>0.0</v>
      </c>
      <c r="F169" s="9">
        <f t="shared" si="1"/>
        <v>0</v>
      </c>
      <c r="G169" s="11">
        <v>0.0</v>
      </c>
      <c r="H169" s="9">
        <f t="shared" si="2"/>
        <v>0</v>
      </c>
      <c r="I169" s="11">
        <v>0.0</v>
      </c>
      <c r="J169" s="9">
        <f t="shared" si="3"/>
        <v>0</v>
      </c>
      <c r="K169" s="11">
        <v>0.0</v>
      </c>
      <c r="L169" s="11">
        <v>0.0</v>
      </c>
      <c r="M169" s="14">
        <f t="shared" si="4"/>
        <v>0</v>
      </c>
      <c r="N169" s="11">
        <v>0.0</v>
      </c>
      <c r="O169" s="14">
        <f t="shared" si="5"/>
        <v>0</v>
      </c>
      <c r="P169" s="11">
        <v>0.0</v>
      </c>
      <c r="Q169" s="15">
        <v>0.0</v>
      </c>
      <c r="R169" s="9">
        <v>10.0</v>
      </c>
      <c r="S169" s="16">
        <f t="shared" si="6"/>
        <v>0</v>
      </c>
      <c r="T169" s="17">
        <f t="shared" si="7"/>
        <v>0</v>
      </c>
      <c r="U169" s="14">
        <f t="shared" si="8"/>
        <v>-10</v>
      </c>
      <c r="V169" s="9" t="str">
        <f t="shared" si="9"/>
        <v>Low Performance</v>
      </c>
      <c r="W169" s="32" t="s">
        <v>51</v>
      </c>
    </row>
    <row r="170" ht="15.75" customHeight="1">
      <c r="A170" s="13">
        <v>46249.0</v>
      </c>
      <c r="B170" s="49" t="s">
        <v>63</v>
      </c>
      <c r="C170" s="9" t="s">
        <v>48</v>
      </c>
      <c r="D170" s="9" t="s">
        <v>27</v>
      </c>
      <c r="E170" s="10">
        <v>0.0</v>
      </c>
      <c r="F170" s="9">
        <f t="shared" si="1"/>
        <v>0</v>
      </c>
      <c r="G170" s="11">
        <v>0.0</v>
      </c>
      <c r="H170" s="9">
        <f t="shared" si="2"/>
        <v>0</v>
      </c>
      <c r="I170" s="11">
        <v>1.0</v>
      </c>
      <c r="J170" s="9">
        <f t="shared" si="3"/>
        <v>1</v>
      </c>
      <c r="K170" s="11">
        <v>60.0</v>
      </c>
      <c r="L170" s="11">
        <v>48.0</v>
      </c>
      <c r="M170" s="14">
        <f t="shared" si="4"/>
        <v>0.96</v>
      </c>
      <c r="N170" s="11">
        <v>2.0</v>
      </c>
      <c r="O170" s="14">
        <f t="shared" si="5"/>
        <v>1.333333333</v>
      </c>
      <c r="P170" s="11">
        <v>1.0</v>
      </c>
      <c r="Q170" s="15">
        <v>1.0</v>
      </c>
      <c r="R170" s="9">
        <v>10.0</v>
      </c>
      <c r="S170" s="16">
        <f t="shared" si="6"/>
        <v>5.293333333</v>
      </c>
      <c r="T170" s="17">
        <f t="shared" si="7"/>
        <v>0.5293333333</v>
      </c>
      <c r="U170" s="14">
        <f t="shared" si="8"/>
        <v>-4.706666667</v>
      </c>
      <c r="V170" s="9" t="str">
        <f t="shared" si="9"/>
        <v>Average</v>
      </c>
      <c r="W170" s="9"/>
    </row>
    <row r="171" ht="15.75" customHeight="1">
      <c r="A171" s="13">
        <v>46250.0</v>
      </c>
      <c r="B171" s="49" t="s">
        <v>28</v>
      </c>
      <c r="C171" s="9" t="s">
        <v>29</v>
      </c>
      <c r="D171" s="9" t="s">
        <v>27</v>
      </c>
      <c r="E171" s="10">
        <v>0.0</v>
      </c>
      <c r="F171" s="9">
        <f t="shared" si="1"/>
        <v>0</v>
      </c>
      <c r="G171" s="11">
        <v>0.0</v>
      </c>
      <c r="H171" s="9">
        <f t="shared" si="2"/>
        <v>0</v>
      </c>
      <c r="I171" s="11">
        <v>0.0</v>
      </c>
      <c r="J171" s="9">
        <f t="shared" si="3"/>
        <v>0</v>
      </c>
      <c r="K171" s="11">
        <v>125.0</v>
      </c>
      <c r="L171" s="11">
        <v>50.0</v>
      </c>
      <c r="M171" s="14">
        <f t="shared" si="4"/>
        <v>1</v>
      </c>
      <c r="N171" s="11">
        <v>3.0</v>
      </c>
      <c r="O171" s="14">
        <f t="shared" si="5"/>
        <v>2</v>
      </c>
      <c r="P171" s="11">
        <v>1.0</v>
      </c>
      <c r="Q171" s="15">
        <v>1.0</v>
      </c>
      <c r="R171" s="9">
        <v>10.0</v>
      </c>
      <c r="S171" s="16">
        <f t="shared" si="6"/>
        <v>5</v>
      </c>
      <c r="T171" s="17">
        <f t="shared" si="7"/>
        <v>0.5</v>
      </c>
      <c r="U171" s="14">
        <f t="shared" si="8"/>
        <v>-5</v>
      </c>
      <c r="V171" s="9" t="str">
        <f t="shared" si="9"/>
        <v>Average</v>
      </c>
      <c r="W171" s="9"/>
    </row>
    <row r="172" ht="15.75" customHeight="1">
      <c r="A172" s="13">
        <v>46250.0</v>
      </c>
      <c r="B172" s="49" t="s">
        <v>36</v>
      </c>
      <c r="C172" s="9" t="s">
        <v>29</v>
      </c>
      <c r="D172" s="9" t="s">
        <v>27</v>
      </c>
      <c r="E172" s="10">
        <v>0.0</v>
      </c>
      <c r="F172" s="9">
        <f t="shared" si="1"/>
        <v>0</v>
      </c>
      <c r="G172" s="11">
        <v>0.0</v>
      </c>
      <c r="H172" s="9">
        <f t="shared" si="2"/>
        <v>0</v>
      </c>
      <c r="I172" s="11">
        <v>1.0</v>
      </c>
      <c r="J172" s="9">
        <f t="shared" si="3"/>
        <v>1</v>
      </c>
      <c r="K172" s="11">
        <v>61.0</v>
      </c>
      <c r="L172" s="11">
        <v>50.0</v>
      </c>
      <c r="M172" s="14">
        <f t="shared" si="4"/>
        <v>1</v>
      </c>
      <c r="N172" s="11">
        <v>2.0</v>
      </c>
      <c r="O172" s="14">
        <f t="shared" si="5"/>
        <v>1.333333333</v>
      </c>
      <c r="P172" s="11">
        <v>1.0</v>
      </c>
      <c r="Q172" s="15">
        <v>1.0</v>
      </c>
      <c r="R172" s="9">
        <v>10.0</v>
      </c>
      <c r="S172" s="16">
        <f t="shared" si="6"/>
        <v>5.333333333</v>
      </c>
      <c r="T172" s="17">
        <f t="shared" si="7"/>
        <v>0.5333333333</v>
      </c>
      <c r="U172" s="14">
        <f t="shared" si="8"/>
        <v>-4.666666667</v>
      </c>
      <c r="V172" s="9" t="str">
        <f t="shared" si="9"/>
        <v>Average</v>
      </c>
      <c r="W172" s="9"/>
    </row>
    <row r="173" ht="15.75" customHeight="1">
      <c r="A173" s="13">
        <v>46250.0</v>
      </c>
      <c r="B173" s="49" t="s">
        <v>56</v>
      </c>
      <c r="C173" s="9" t="s">
        <v>29</v>
      </c>
      <c r="D173" s="9" t="s">
        <v>27</v>
      </c>
      <c r="E173" s="10">
        <v>0.0</v>
      </c>
      <c r="F173" s="9">
        <f t="shared" si="1"/>
        <v>0</v>
      </c>
      <c r="G173" s="11">
        <v>0.0</v>
      </c>
      <c r="H173" s="9">
        <f t="shared" si="2"/>
        <v>0</v>
      </c>
      <c r="I173" s="11">
        <v>1.0</v>
      </c>
      <c r="J173" s="9">
        <f t="shared" si="3"/>
        <v>1</v>
      </c>
      <c r="K173" s="11">
        <v>68.0</v>
      </c>
      <c r="L173" s="11">
        <v>38.0</v>
      </c>
      <c r="M173" s="14">
        <f t="shared" si="4"/>
        <v>0.76</v>
      </c>
      <c r="N173" s="11">
        <v>2.0</v>
      </c>
      <c r="O173" s="14">
        <f t="shared" si="5"/>
        <v>1.333333333</v>
      </c>
      <c r="P173" s="11">
        <v>1.0</v>
      </c>
      <c r="Q173" s="15">
        <v>1.0</v>
      </c>
      <c r="R173" s="9">
        <v>10.0</v>
      </c>
      <c r="S173" s="16">
        <f t="shared" si="6"/>
        <v>5.093333333</v>
      </c>
      <c r="T173" s="17">
        <f t="shared" si="7"/>
        <v>0.5093333333</v>
      </c>
      <c r="U173" s="14">
        <f t="shared" si="8"/>
        <v>-4.906666667</v>
      </c>
      <c r="V173" s="9" t="str">
        <f t="shared" si="9"/>
        <v>Average</v>
      </c>
      <c r="W173" s="9"/>
    </row>
    <row r="174" ht="15.75" customHeight="1">
      <c r="A174" s="13">
        <v>46250.0</v>
      </c>
      <c r="B174" s="49" t="s">
        <v>37</v>
      </c>
      <c r="C174" s="9" t="s">
        <v>29</v>
      </c>
      <c r="D174" s="9" t="s">
        <v>27</v>
      </c>
      <c r="E174" s="10">
        <v>0.0</v>
      </c>
      <c r="F174" s="9">
        <f t="shared" si="1"/>
        <v>0</v>
      </c>
      <c r="G174" s="11">
        <v>0.0</v>
      </c>
      <c r="H174" s="9">
        <f t="shared" si="2"/>
        <v>0</v>
      </c>
      <c r="I174" s="11">
        <v>1.0</v>
      </c>
      <c r="J174" s="9">
        <f t="shared" si="3"/>
        <v>1</v>
      </c>
      <c r="K174" s="11">
        <v>68.0</v>
      </c>
      <c r="L174" s="11">
        <v>50.0</v>
      </c>
      <c r="M174" s="14">
        <f t="shared" si="4"/>
        <v>1</v>
      </c>
      <c r="N174" s="11">
        <v>3.0</v>
      </c>
      <c r="O174" s="14">
        <f t="shared" si="5"/>
        <v>2</v>
      </c>
      <c r="P174" s="11">
        <v>1.0</v>
      </c>
      <c r="Q174" s="15">
        <v>0.75</v>
      </c>
      <c r="R174" s="9">
        <v>10.0</v>
      </c>
      <c r="S174" s="16">
        <f t="shared" si="6"/>
        <v>5.75</v>
      </c>
      <c r="T174" s="17">
        <f t="shared" si="7"/>
        <v>0.575</v>
      </c>
      <c r="U174" s="14">
        <f t="shared" si="8"/>
        <v>-4.25</v>
      </c>
      <c r="V174" s="9" t="str">
        <f t="shared" si="9"/>
        <v>Average</v>
      </c>
      <c r="W174" s="9"/>
    </row>
    <row r="175" ht="15.75" customHeight="1">
      <c r="A175" s="13">
        <v>46250.0</v>
      </c>
      <c r="B175" s="49" t="s">
        <v>57</v>
      </c>
      <c r="C175" s="9" t="s">
        <v>29</v>
      </c>
      <c r="D175" s="9" t="s">
        <v>27</v>
      </c>
      <c r="E175" s="10">
        <v>0.0</v>
      </c>
      <c r="F175" s="9">
        <f t="shared" si="1"/>
        <v>0</v>
      </c>
      <c r="G175" s="11">
        <v>0.0</v>
      </c>
      <c r="H175" s="9">
        <f t="shared" si="2"/>
        <v>0</v>
      </c>
      <c r="I175" s="11">
        <v>1.0</v>
      </c>
      <c r="J175" s="9">
        <f t="shared" si="3"/>
        <v>1</v>
      </c>
      <c r="K175" s="11">
        <v>72.0</v>
      </c>
      <c r="L175" s="11">
        <v>42.0</v>
      </c>
      <c r="M175" s="14">
        <f t="shared" si="4"/>
        <v>0.84</v>
      </c>
      <c r="N175" s="11">
        <v>2.0</v>
      </c>
      <c r="O175" s="14">
        <f t="shared" si="5"/>
        <v>1.333333333</v>
      </c>
      <c r="P175" s="11">
        <v>1.0</v>
      </c>
      <c r="Q175" s="15">
        <v>1.0</v>
      </c>
      <c r="R175" s="9">
        <v>10.0</v>
      </c>
      <c r="S175" s="16">
        <f t="shared" si="6"/>
        <v>5.173333333</v>
      </c>
      <c r="T175" s="17">
        <f t="shared" si="7"/>
        <v>0.5173333333</v>
      </c>
      <c r="U175" s="14">
        <f t="shared" si="8"/>
        <v>-4.826666667</v>
      </c>
      <c r="V175" s="9" t="str">
        <f t="shared" si="9"/>
        <v>Average</v>
      </c>
      <c r="W175" s="9"/>
    </row>
    <row r="176" ht="15.75" customHeight="1">
      <c r="A176" s="13">
        <v>46250.0</v>
      </c>
      <c r="B176" s="49" t="s">
        <v>58</v>
      </c>
      <c r="C176" s="9" t="s">
        <v>40</v>
      </c>
      <c r="D176" s="9" t="s">
        <v>27</v>
      </c>
      <c r="E176" s="10">
        <v>0.0</v>
      </c>
      <c r="F176" s="9">
        <f t="shared" si="1"/>
        <v>0</v>
      </c>
      <c r="G176" s="11">
        <v>0.0</v>
      </c>
      <c r="H176" s="9">
        <f t="shared" si="2"/>
        <v>0</v>
      </c>
      <c r="I176" s="11">
        <v>1.0</v>
      </c>
      <c r="J176" s="9">
        <f t="shared" si="3"/>
        <v>1</v>
      </c>
      <c r="K176" s="11">
        <v>48.0</v>
      </c>
      <c r="L176" s="11">
        <v>42.0</v>
      </c>
      <c r="M176" s="14">
        <f t="shared" si="4"/>
        <v>0.84</v>
      </c>
      <c r="N176" s="11">
        <v>2.0</v>
      </c>
      <c r="O176" s="14">
        <f t="shared" si="5"/>
        <v>1.333333333</v>
      </c>
      <c r="P176" s="11">
        <v>1.0</v>
      </c>
      <c r="Q176" s="15">
        <v>1.0</v>
      </c>
      <c r="R176" s="9">
        <v>10.0</v>
      </c>
      <c r="S176" s="16">
        <f t="shared" si="6"/>
        <v>5.173333333</v>
      </c>
      <c r="T176" s="17">
        <f t="shared" si="7"/>
        <v>0.5173333333</v>
      </c>
      <c r="U176" s="14">
        <f t="shared" si="8"/>
        <v>-4.826666667</v>
      </c>
      <c r="V176" s="9" t="str">
        <f t="shared" si="9"/>
        <v>Average</v>
      </c>
      <c r="W176" s="9"/>
    </row>
    <row r="177" ht="15.75" customHeight="1">
      <c r="A177" s="13">
        <v>46250.0</v>
      </c>
      <c r="B177" s="50" t="s">
        <v>59</v>
      </c>
      <c r="C177" s="9" t="s">
        <v>40</v>
      </c>
      <c r="D177" s="9" t="s">
        <v>27</v>
      </c>
      <c r="E177" s="10">
        <v>0.0</v>
      </c>
      <c r="F177" s="9">
        <f t="shared" si="1"/>
        <v>0</v>
      </c>
      <c r="G177" s="11">
        <v>0.0</v>
      </c>
      <c r="H177" s="9">
        <f t="shared" si="2"/>
        <v>0</v>
      </c>
      <c r="I177" s="11">
        <v>1.0</v>
      </c>
      <c r="J177" s="9">
        <f t="shared" si="3"/>
        <v>1</v>
      </c>
      <c r="K177" s="11">
        <v>67.0</v>
      </c>
      <c r="L177" s="11">
        <v>50.0</v>
      </c>
      <c r="M177" s="14">
        <f t="shared" si="4"/>
        <v>1</v>
      </c>
      <c r="N177" s="11">
        <v>2.0</v>
      </c>
      <c r="O177" s="14">
        <f t="shared" si="5"/>
        <v>1.333333333</v>
      </c>
      <c r="P177" s="11">
        <v>1.0</v>
      </c>
      <c r="Q177" s="15">
        <v>1.0</v>
      </c>
      <c r="R177" s="9">
        <v>10.0</v>
      </c>
      <c r="S177" s="16">
        <f t="shared" si="6"/>
        <v>5.333333333</v>
      </c>
      <c r="T177" s="17">
        <f t="shared" si="7"/>
        <v>0.5333333333</v>
      </c>
      <c r="U177" s="14">
        <f t="shared" si="8"/>
        <v>-4.666666667</v>
      </c>
      <c r="V177" s="9" t="str">
        <f t="shared" si="9"/>
        <v>Average</v>
      </c>
      <c r="W177" s="9"/>
    </row>
    <row r="178" ht="15.75" customHeight="1">
      <c r="A178" s="13">
        <v>46250.0</v>
      </c>
      <c r="B178" s="49" t="s">
        <v>41</v>
      </c>
      <c r="C178" s="9" t="s">
        <v>40</v>
      </c>
      <c r="D178" s="9" t="s">
        <v>27</v>
      </c>
      <c r="E178" s="10">
        <v>0.0</v>
      </c>
      <c r="F178" s="9">
        <f t="shared" si="1"/>
        <v>0</v>
      </c>
      <c r="G178" s="11">
        <v>0.0</v>
      </c>
      <c r="H178" s="9">
        <f t="shared" si="2"/>
        <v>0</v>
      </c>
      <c r="I178" s="11">
        <v>1.0</v>
      </c>
      <c r="J178" s="9">
        <f t="shared" si="3"/>
        <v>1</v>
      </c>
      <c r="K178" s="11">
        <v>80.0</v>
      </c>
      <c r="L178" s="11">
        <v>50.0</v>
      </c>
      <c r="M178" s="14">
        <f t="shared" si="4"/>
        <v>1</v>
      </c>
      <c r="N178" s="11">
        <v>1.0</v>
      </c>
      <c r="O178" s="14">
        <f t="shared" si="5"/>
        <v>0.6666666667</v>
      </c>
      <c r="P178" s="11">
        <v>1.0</v>
      </c>
      <c r="Q178" s="15">
        <v>1.0</v>
      </c>
      <c r="R178" s="9">
        <v>10.0</v>
      </c>
      <c r="S178" s="16">
        <f t="shared" si="6"/>
        <v>4.666666667</v>
      </c>
      <c r="T178" s="17">
        <f t="shared" si="7"/>
        <v>0.4666666667</v>
      </c>
      <c r="U178" s="14">
        <f t="shared" si="8"/>
        <v>-5.333333333</v>
      </c>
      <c r="V178" s="9" t="str">
        <f t="shared" si="9"/>
        <v>Low Performance</v>
      </c>
      <c r="W178" s="9"/>
    </row>
    <row r="179" ht="15.75" customHeight="1">
      <c r="A179" s="13">
        <v>46250.0</v>
      </c>
      <c r="B179" s="49" t="s">
        <v>42</v>
      </c>
      <c r="C179" s="9" t="s">
        <v>40</v>
      </c>
      <c r="D179" s="9" t="s">
        <v>27</v>
      </c>
      <c r="E179" s="10">
        <v>0.0</v>
      </c>
      <c r="F179" s="9">
        <f t="shared" si="1"/>
        <v>0</v>
      </c>
      <c r="G179" s="11">
        <v>0.0</v>
      </c>
      <c r="H179" s="9">
        <f t="shared" si="2"/>
        <v>0</v>
      </c>
      <c r="I179" s="11">
        <v>0.0</v>
      </c>
      <c r="J179" s="9">
        <f t="shared" si="3"/>
        <v>0</v>
      </c>
      <c r="K179" s="11">
        <v>61.0</v>
      </c>
      <c r="L179" s="11">
        <v>50.0</v>
      </c>
      <c r="M179" s="14">
        <f t="shared" si="4"/>
        <v>1</v>
      </c>
      <c r="N179" s="11">
        <v>2.0</v>
      </c>
      <c r="O179" s="14">
        <f t="shared" si="5"/>
        <v>1.333333333</v>
      </c>
      <c r="P179" s="11">
        <v>1.0</v>
      </c>
      <c r="Q179" s="15">
        <v>1.0</v>
      </c>
      <c r="R179" s="9">
        <v>10.0</v>
      </c>
      <c r="S179" s="16">
        <f t="shared" si="6"/>
        <v>4.333333333</v>
      </c>
      <c r="T179" s="17">
        <f t="shared" si="7"/>
        <v>0.4333333333</v>
      </c>
      <c r="U179" s="14">
        <f t="shared" si="8"/>
        <v>-5.666666667</v>
      </c>
      <c r="V179" s="9" t="str">
        <f t="shared" si="9"/>
        <v>Low Performance</v>
      </c>
      <c r="W179" s="9"/>
    </row>
    <row r="180" ht="15.75" customHeight="1">
      <c r="A180" s="13">
        <v>46250.0</v>
      </c>
      <c r="B180" s="49" t="s">
        <v>60</v>
      </c>
      <c r="C180" s="9" t="s">
        <v>40</v>
      </c>
      <c r="D180" s="9" t="s">
        <v>27</v>
      </c>
      <c r="E180" s="10">
        <v>0.0</v>
      </c>
      <c r="F180" s="9">
        <f t="shared" si="1"/>
        <v>0</v>
      </c>
      <c r="G180" s="11">
        <v>0.0</v>
      </c>
      <c r="H180" s="9">
        <f t="shared" si="2"/>
        <v>0</v>
      </c>
      <c r="I180" s="11">
        <v>1.0</v>
      </c>
      <c r="J180" s="9">
        <f t="shared" si="3"/>
        <v>1</v>
      </c>
      <c r="K180" s="11">
        <v>65.0</v>
      </c>
      <c r="L180" s="11">
        <v>50.0</v>
      </c>
      <c r="M180" s="14">
        <f t="shared" si="4"/>
        <v>1</v>
      </c>
      <c r="N180" s="11">
        <v>1.0</v>
      </c>
      <c r="O180" s="14">
        <f t="shared" si="5"/>
        <v>0.6666666667</v>
      </c>
      <c r="P180" s="11">
        <v>1.0</v>
      </c>
      <c r="Q180" s="15">
        <v>1.0</v>
      </c>
      <c r="R180" s="9">
        <v>10.0</v>
      </c>
      <c r="S180" s="16">
        <f t="shared" si="6"/>
        <v>4.666666667</v>
      </c>
      <c r="T180" s="17">
        <f t="shared" si="7"/>
        <v>0.4666666667</v>
      </c>
      <c r="U180" s="14">
        <f t="shared" si="8"/>
        <v>-5.333333333</v>
      </c>
      <c r="V180" s="9" t="str">
        <f t="shared" si="9"/>
        <v>Low Performance</v>
      </c>
      <c r="W180" s="9"/>
    </row>
    <row r="181" ht="15.75" customHeight="1">
      <c r="A181" s="13">
        <v>46250.0</v>
      </c>
      <c r="B181" s="49" t="s">
        <v>47</v>
      </c>
      <c r="C181" s="9" t="s">
        <v>48</v>
      </c>
      <c r="D181" s="9" t="s">
        <v>27</v>
      </c>
      <c r="E181" s="10">
        <v>0.0</v>
      </c>
      <c r="F181" s="9">
        <f t="shared" si="1"/>
        <v>0</v>
      </c>
      <c r="G181" s="11">
        <v>0.0</v>
      </c>
      <c r="H181" s="9">
        <f t="shared" si="2"/>
        <v>0</v>
      </c>
      <c r="I181" s="11">
        <v>0.0</v>
      </c>
      <c r="J181" s="9">
        <f t="shared" si="3"/>
        <v>0</v>
      </c>
      <c r="K181" s="11">
        <v>45.0</v>
      </c>
      <c r="L181" s="11">
        <v>26.0</v>
      </c>
      <c r="M181" s="14">
        <f t="shared" si="4"/>
        <v>0.52</v>
      </c>
      <c r="N181" s="11">
        <v>1.0</v>
      </c>
      <c r="O181" s="14">
        <f t="shared" si="5"/>
        <v>0.6666666667</v>
      </c>
      <c r="P181" s="11">
        <v>1.0</v>
      </c>
      <c r="Q181" s="15">
        <v>0.5</v>
      </c>
      <c r="R181" s="9">
        <v>10.0</v>
      </c>
      <c r="S181" s="16">
        <f t="shared" si="6"/>
        <v>2.686666667</v>
      </c>
      <c r="T181" s="17">
        <f t="shared" si="7"/>
        <v>0.2686666667</v>
      </c>
      <c r="U181" s="14">
        <f t="shared" si="8"/>
        <v>-7.313333333</v>
      </c>
      <c r="V181" s="9" t="str">
        <f t="shared" si="9"/>
        <v>Low Performance</v>
      </c>
      <c r="W181" s="9"/>
    </row>
    <row r="182" ht="15.75" customHeight="1">
      <c r="A182" s="13">
        <v>46250.0</v>
      </c>
      <c r="B182" s="49" t="s">
        <v>61</v>
      </c>
      <c r="C182" s="9" t="s">
        <v>48</v>
      </c>
      <c r="D182" s="9" t="s">
        <v>27</v>
      </c>
      <c r="E182" s="10">
        <v>0.0</v>
      </c>
      <c r="F182" s="9">
        <f t="shared" si="1"/>
        <v>0</v>
      </c>
      <c r="G182" s="11">
        <v>0.0</v>
      </c>
      <c r="H182" s="9">
        <f t="shared" si="2"/>
        <v>0</v>
      </c>
      <c r="I182" s="11">
        <v>1.0</v>
      </c>
      <c r="J182" s="9">
        <f t="shared" si="3"/>
        <v>1</v>
      </c>
      <c r="K182" s="11">
        <v>55.0</v>
      </c>
      <c r="L182" s="11">
        <v>37.0</v>
      </c>
      <c r="M182" s="14">
        <f t="shared" si="4"/>
        <v>0.74</v>
      </c>
      <c r="N182" s="11">
        <v>2.0</v>
      </c>
      <c r="O182" s="14">
        <f t="shared" si="5"/>
        <v>1.333333333</v>
      </c>
      <c r="P182" s="11">
        <v>1.0</v>
      </c>
      <c r="Q182" s="15">
        <v>1.0</v>
      </c>
      <c r="R182" s="9">
        <v>10.0</v>
      </c>
      <c r="S182" s="16">
        <f t="shared" si="6"/>
        <v>5.073333333</v>
      </c>
      <c r="T182" s="17">
        <f t="shared" si="7"/>
        <v>0.5073333333</v>
      </c>
      <c r="U182" s="14">
        <f t="shared" si="8"/>
        <v>-4.926666667</v>
      </c>
      <c r="V182" s="9" t="str">
        <f t="shared" si="9"/>
        <v>Average</v>
      </c>
      <c r="W182" s="9"/>
    </row>
    <row r="183" ht="15.75" customHeight="1">
      <c r="A183" s="13">
        <v>46250.0</v>
      </c>
      <c r="B183" s="49" t="s">
        <v>62</v>
      </c>
      <c r="C183" s="9" t="s">
        <v>48</v>
      </c>
      <c r="D183" s="9" t="s">
        <v>27</v>
      </c>
      <c r="E183" s="10">
        <v>0.0</v>
      </c>
      <c r="F183" s="9">
        <f t="shared" si="1"/>
        <v>0</v>
      </c>
      <c r="G183" s="11">
        <v>0.0</v>
      </c>
      <c r="H183" s="9">
        <f t="shared" si="2"/>
        <v>0</v>
      </c>
      <c r="I183" s="11">
        <v>1.0</v>
      </c>
      <c r="J183" s="9">
        <f t="shared" si="3"/>
        <v>1</v>
      </c>
      <c r="K183" s="11">
        <v>50.0</v>
      </c>
      <c r="L183" s="11">
        <v>50.0</v>
      </c>
      <c r="M183" s="14">
        <f t="shared" si="4"/>
        <v>1</v>
      </c>
      <c r="N183" s="11">
        <v>2.0</v>
      </c>
      <c r="O183" s="14">
        <f t="shared" si="5"/>
        <v>1.333333333</v>
      </c>
      <c r="P183" s="11">
        <v>1.0</v>
      </c>
      <c r="Q183" s="15">
        <v>1.0</v>
      </c>
      <c r="R183" s="9">
        <v>10.0</v>
      </c>
      <c r="S183" s="16">
        <f t="shared" si="6"/>
        <v>5.333333333</v>
      </c>
      <c r="T183" s="17">
        <f t="shared" si="7"/>
        <v>0.5333333333</v>
      </c>
      <c r="U183" s="14">
        <f t="shared" si="8"/>
        <v>-4.666666667</v>
      </c>
      <c r="V183" s="9" t="str">
        <f t="shared" si="9"/>
        <v>Average</v>
      </c>
      <c r="W183" s="9"/>
    </row>
    <row r="184" ht="15.75" customHeight="1">
      <c r="A184" s="13">
        <v>46250.0</v>
      </c>
      <c r="B184" s="49" t="s">
        <v>63</v>
      </c>
      <c r="C184" s="9" t="s">
        <v>48</v>
      </c>
      <c r="D184" s="9" t="s">
        <v>27</v>
      </c>
      <c r="E184" s="10">
        <v>0.0</v>
      </c>
      <c r="F184" s="9">
        <f t="shared" si="1"/>
        <v>0</v>
      </c>
      <c r="G184" s="11">
        <v>0.0</v>
      </c>
      <c r="H184" s="9">
        <f t="shared" si="2"/>
        <v>0</v>
      </c>
      <c r="I184" s="11">
        <v>1.0</v>
      </c>
      <c r="J184" s="9">
        <f t="shared" si="3"/>
        <v>1</v>
      </c>
      <c r="K184" s="11">
        <v>51.0</v>
      </c>
      <c r="L184" s="11">
        <v>44.0</v>
      </c>
      <c r="M184" s="14">
        <f t="shared" si="4"/>
        <v>0.88</v>
      </c>
      <c r="N184" s="11">
        <v>2.0</v>
      </c>
      <c r="O184" s="14">
        <f t="shared" si="5"/>
        <v>1.333333333</v>
      </c>
      <c r="P184" s="11">
        <v>1.0</v>
      </c>
      <c r="Q184" s="15">
        <v>1.0</v>
      </c>
      <c r="R184" s="9">
        <v>10.0</v>
      </c>
      <c r="S184" s="16">
        <f t="shared" si="6"/>
        <v>5.213333333</v>
      </c>
      <c r="T184" s="17">
        <f t="shared" si="7"/>
        <v>0.5213333333</v>
      </c>
      <c r="U184" s="14">
        <f t="shared" si="8"/>
        <v>-4.786666667</v>
      </c>
      <c r="V184" s="9" t="str">
        <f t="shared" si="9"/>
        <v>Average</v>
      </c>
      <c r="W184" s="9"/>
    </row>
    <row r="185" ht="15.75" customHeight="1">
      <c r="A185" s="13">
        <v>46251.0</v>
      </c>
      <c r="B185" s="49" t="s">
        <v>28</v>
      </c>
      <c r="C185" s="9" t="s">
        <v>29</v>
      </c>
      <c r="D185" s="9" t="s">
        <v>27</v>
      </c>
      <c r="E185" s="10">
        <v>0.0</v>
      </c>
      <c r="F185" s="9">
        <f t="shared" si="1"/>
        <v>0</v>
      </c>
      <c r="G185" s="11">
        <v>1.0</v>
      </c>
      <c r="H185" s="9">
        <f t="shared" si="2"/>
        <v>1</v>
      </c>
      <c r="I185" s="11">
        <v>0.0</v>
      </c>
      <c r="J185" s="9">
        <f t="shared" si="3"/>
        <v>0</v>
      </c>
      <c r="K185" s="11">
        <v>108.0</v>
      </c>
      <c r="L185" s="11">
        <v>28.0</v>
      </c>
      <c r="M185" s="14">
        <f t="shared" si="4"/>
        <v>0.56</v>
      </c>
      <c r="N185" s="11">
        <v>3.0</v>
      </c>
      <c r="O185" s="14">
        <f t="shared" si="5"/>
        <v>2</v>
      </c>
      <c r="P185" s="11">
        <v>1.0</v>
      </c>
      <c r="Q185" s="15">
        <v>1.0</v>
      </c>
      <c r="R185" s="9">
        <v>10.0</v>
      </c>
      <c r="S185" s="16">
        <f t="shared" si="6"/>
        <v>5.56</v>
      </c>
      <c r="T185" s="17">
        <f t="shared" si="7"/>
        <v>0.556</v>
      </c>
      <c r="U185" s="14">
        <f t="shared" si="8"/>
        <v>-4.44</v>
      </c>
      <c r="V185" s="9" t="str">
        <f t="shared" si="9"/>
        <v>Average</v>
      </c>
      <c r="W185" s="9"/>
    </row>
    <row r="186" ht="15.75" customHeight="1">
      <c r="A186" s="13">
        <v>46251.0</v>
      </c>
      <c r="B186" s="49" t="s">
        <v>36</v>
      </c>
      <c r="C186" s="9" t="s">
        <v>29</v>
      </c>
      <c r="D186" s="9" t="s">
        <v>27</v>
      </c>
      <c r="E186" s="10">
        <v>0.0</v>
      </c>
      <c r="F186" s="9">
        <f t="shared" si="1"/>
        <v>0</v>
      </c>
      <c r="G186" s="11">
        <v>1.0</v>
      </c>
      <c r="H186" s="9">
        <f t="shared" si="2"/>
        <v>1</v>
      </c>
      <c r="I186" s="11">
        <v>1.0</v>
      </c>
      <c r="J186" s="9">
        <f t="shared" si="3"/>
        <v>1</v>
      </c>
      <c r="K186" s="11">
        <v>48.0</v>
      </c>
      <c r="L186" s="11">
        <v>34.0</v>
      </c>
      <c r="M186" s="14">
        <f t="shared" si="4"/>
        <v>0.68</v>
      </c>
      <c r="N186" s="11">
        <v>2.0</v>
      </c>
      <c r="O186" s="14">
        <f t="shared" si="5"/>
        <v>1.333333333</v>
      </c>
      <c r="P186" s="11">
        <v>1.0</v>
      </c>
      <c r="Q186" s="15">
        <v>0.75</v>
      </c>
      <c r="R186" s="9">
        <v>10.0</v>
      </c>
      <c r="S186" s="16">
        <f t="shared" si="6"/>
        <v>5.763333333</v>
      </c>
      <c r="T186" s="17">
        <f t="shared" si="7"/>
        <v>0.5763333333</v>
      </c>
      <c r="U186" s="14">
        <f t="shared" si="8"/>
        <v>-4.236666667</v>
      </c>
      <c r="V186" s="9" t="str">
        <f t="shared" si="9"/>
        <v>Average</v>
      </c>
      <c r="W186" s="9"/>
    </row>
    <row r="187" ht="15.75" customHeight="1">
      <c r="A187" s="13">
        <v>46251.0</v>
      </c>
      <c r="B187" s="49" t="s">
        <v>56</v>
      </c>
      <c r="C187" s="9" t="s">
        <v>29</v>
      </c>
      <c r="D187" s="9" t="s">
        <v>27</v>
      </c>
      <c r="E187" s="10">
        <v>0.0</v>
      </c>
      <c r="F187" s="9">
        <f t="shared" si="1"/>
        <v>0</v>
      </c>
      <c r="G187" s="11">
        <v>1.0</v>
      </c>
      <c r="H187" s="9">
        <f t="shared" si="2"/>
        <v>1</v>
      </c>
      <c r="I187" s="11">
        <v>1.0</v>
      </c>
      <c r="J187" s="9">
        <f t="shared" si="3"/>
        <v>1</v>
      </c>
      <c r="K187" s="11">
        <v>64.0</v>
      </c>
      <c r="L187" s="11">
        <v>37.0</v>
      </c>
      <c r="M187" s="14">
        <f t="shared" si="4"/>
        <v>0.74</v>
      </c>
      <c r="N187" s="11">
        <v>1.0</v>
      </c>
      <c r="O187" s="14">
        <f t="shared" si="5"/>
        <v>0.6666666667</v>
      </c>
      <c r="P187" s="11">
        <v>1.0</v>
      </c>
      <c r="Q187" s="15">
        <v>1.0</v>
      </c>
      <c r="R187" s="9">
        <v>10.0</v>
      </c>
      <c r="S187" s="16">
        <f t="shared" si="6"/>
        <v>5.406666667</v>
      </c>
      <c r="T187" s="17">
        <f t="shared" si="7"/>
        <v>0.5406666667</v>
      </c>
      <c r="U187" s="14">
        <f t="shared" si="8"/>
        <v>-4.593333333</v>
      </c>
      <c r="V187" s="9" t="str">
        <f t="shared" si="9"/>
        <v>Average</v>
      </c>
      <c r="W187" s="9"/>
    </row>
    <row r="188" ht="15.75" customHeight="1">
      <c r="A188" s="13">
        <v>46251.0</v>
      </c>
      <c r="B188" s="49" t="s">
        <v>37</v>
      </c>
      <c r="C188" s="9" t="s">
        <v>29</v>
      </c>
      <c r="D188" s="9" t="s">
        <v>27</v>
      </c>
      <c r="E188" s="10">
        <v>180000.0</v>
      </c>
      <c r="F188" s="9">
        <f t="shared" si="1"/>
        <v>3</v>
      </c>
      <c r="G188" s="11">
        <v>1.0</v>
      </c>
      <c r="H188" s="9">
        <f t="shared" si="2"/>
        <v>1</v>
      </c>
      <c r="I188" s="11">
        <v>1.0</v>
      </c>
      <c r="J188" s="9">
        <f t="shared" si="3"/>
        <v>1</v>
      </c>
      <c r="K188" s="11">
        <v>93.0</v>
      </c>
      <c r="L188" s="11">
        <v>37.0</v>
      </c>
      <c r="M188" s="14">
        <f t="shared" si="4"/>
        <v>0.74</v>
      </c>
      <c r="N188" s="11">
        <v>3.0</v>
      </c>
      <c r="O188" s="14">
        <f t="shared" si="5"/>
        <v>2</v>
      </c>
      <c r="P188" s="11">
        <v>1.0</v>
      </c>
      <c r="Q188" s="15">
        <v>0.75</v>
      </c>
      <c r="R188" s="9">
        <v>10.0</v>
      </c>
      <c r="S188" s="16">
        <f t="shared" si="6"/>
        <v>9.49</v>
      </c>
      <c r="T188" s="17">
        <f t="shared" si="7"/>
        <v>0.949</v>
      </c>
      <c r="U188" s="14">
        <f t="shared" si="8"/>
        <v>-0.51</v>
      </c>
      <c r="V188" s="9" t="str">
        <f t="shared" si="9"/>
        <v>Near Target</v>
      </c>
      <c r="W188" s="9"/>
    </row>
    <row r="189" ht="15.75" customHeight="1">
      <c r="A189" s="13">
        <v>46251.0</v>
      </c>
      <c r="B189" s="49" t="s">
        <v>57</v>
      </c>
      <c r="C189" s="9" t="s">
        <v>29</v>
      </c>
      <c r="D189" s="9" t="s">
        <v>27</v>
      </c>
      <c r="E189" s="10">
        <v>0.0</v>
      </c>
      <c r="F189" s="9">
        <f t="shared" si="1"/>
        <v>0</v>
      </c>
      <c r="G189" s="11">
        <v>1.0</v>
      </c>
      <c r="H189" s="9">
        <f t="shared" si="2"/>
        <v>1</v>
      </c>
      <c r="I189" s="11">
        <v>0.0</v>
      </c>
      <c r="J189" s="9">
        <f t="shared" si="3"/>
        <v>0</v>
      </c>
      <c r="K189" s="11">
        <v>64.0</v>
      </c>
      <c r="L189" s="11">
        <v>17.0</v>
      </c>
      <c r="M189" s="14">
        <f t="shared" si="4"/>
        <v>0.34</v>
      </c>
      <c r="N189" s="11">
        <v>3.0</v>
      </c>
      <c r="O189" s="14">
        <f t="shared" si="5"/>
        <v>2</v>
      </c>
      <c r="P189" s="11">
        <v>1.0</v>
      </c>
      <c r="Q189" s="15">
        <v>0.75</v>
      </c>
      <c r="R189" s="9">
        <v>10.0</v>
      </c>
      <c r="S189" s="16">
        <f t="shared" si="6"/>
        <v>5.09</v>
      </c>
      <c r="T189" s="17">
        <f t="shared" si="7"/>
        <v>0.509</v>
      </c>
      <c r="U189" s="14">
        <f t="shared" si="8"/>
        <v>-4.91</v>
      </c>
      <c r="V189" s="9" t="str">
        <f t="shared" si="9"/>
        <v>Average</v>
      </c>
      <c r="W189" s="9"/>
    </row>
    <row r="190" ht="15.75" customHeight="1">
      <c r="A190" s="13">
        <v>46251.0</v>
      </c>
      <c r="B190" s="49" t="s">
        <v>58</v>
      </c>
      <c r="C190" s="9" t="s">
        <v>40</v>
      </c>
      <c r="D190" s="9" t="s">
        <v>27</v>
      </c>
      <c r="E190" s="10">
        <v>0.0</v>
      </c>
      <c r="F190" s="9">
        <f t="shared" si="1"/>
        <v>0</v>
      </c>
      <c r="G190" s="11">
        <v>0.0</v>
      </c>
      <c r="H190" s="9">
        <f t="shared" si="2"/>
        <v>0</v>
      </c>
      <c r="I190" s="11">
        <v>0.0</v>
      </c>
      <c r="J190" s="9">
        <f t="shared" si="3"/>
        <v>0</v>
      </c>
      <c r="K190" s="11">
        <v>48.0</v>
      </c>
      <c r="L190" s="11">
        <v>32.0</v>
      </c>
      <c r="M190" s="14">
        <f t="shared" si="4"/>
        <v>0.64</v>
      </c>
      <c r="N190" s="11">
        <v>2.0</v>
      </c>
      <c r="O190" s="14">
        <f t="shared" si="5"/>
        <v>1.333333333</v>
      </c>
      <c r="P190" s="11">
        <v>1.0</v>
      </c>
      <c r="Q190" s="15">
        <v>1.0</v>
      </c>
      <c r="R190" s="9">
        <v>10.0</v>
      </c>
      <c r="S190" s="16">
        <f t="shared" si="6"/>
        <v>3.973333333</v>
      </c>
      <c r="T190" s="17">
        <f t="shared" si="7"/>
        <v>0.3973333333</v>
      </c>
      <c r="U190" s="14">
        <f t="shared" si="8"/>
        <v>-6.026666667</v>
      </c>
      <c r="V190" s="9" t="str">
        <f t="shared" si="9"/>
        <v>Low Performance</v>
      </c>
      <c r="W190" s="9"/>
    </row>
    <row r="191" ht="15.75" customHeight="1">
      <c r="A191" s="13">
        <v>46251.0</v>
      </c>
      <c r="B191" s="50" t="s">
        <v>59</v>
      </c>
      <c r="C191" s="9" t="s">
        <v>40</v>
      </c>
      <c r="D191" s="9" t="s">
        <v>27</v>
      </c>
      <c r="E191" s="10">
        <v>0.0</v>
      </c>
      <c r="F191" s="9">
        <f t="shared" si="1"/>
        <v>0</v>
      </c>
      <c r="G191" s="11">
        <v>0.0</v>
      </c>
      <c r="H191" s="9">
        <f t="shared" si="2"/>
        <v>0</v>
      </c>
      <c r="I191" s="11">
        <v>0.0</v>
      </c>
      <c r="J191" s="9">
        <f t="shared" si="3"/>
        <v>0</v>
      </c>
      <c r="K191" s="11">
        <v>36.0</v>
      </c>
      <c r="L191" s="11">
        <v>10.0</v>
      </c>
      <c r="M191" s="14">
        <f t="shared" si="4"/>
        <v>0.2</v>
      </c>
      <c r="N191" s="11">
        <v>1.0</v>
      </c>
      <c r="O191" s="14">
        <f t="shared" si="5"/>
        <v>0.6666666667</v>
      </c>
      <c r="P191" s="11">
        <v>1.0</v>
      </c>
      <c r="Q191" s="15">
        <v>1.0</v>
      </c>
      <c r="R191" s="9">
        <v>10.0</v>
      </c>
      <c r="S191" s="16">
        <f t="shared" si="6"/>
        <v>2.866666667</v>
      </c>
      <c r="T191" s="17">
        <f t="shared" si="7"/>
        <v>0.2866666667</v>
      </c>
      <c r="U191" s="14">
        <f t="shared" si="8"/>
        <v>-7.133333333</v>
      </c>
      <c r="V191" s="9" t="str">
        <f t="shared" si="9"/>
        <v>Low Performance</v>
      </c>
      <c r="W191" s="9"/>
    </row>
    <row r="192" ht="15.75" customHeight="1">
      <c r="A192" s="13">
        <v>46251.0</v>
      </c>
      <c r="B192" s="49" t="s">
        <v>41</v>
      </c>
      <c r="C192" s="9" t="s">
        <v>40</v>
      </c>
      <c r="D192" s="9" t="s">
        <v>27</v>
      </c>
      <c r="E192" s="10">
        <v>0.0</v>
      </c>
      <c r="F192" s="9">
        <f t="shared" si="1"/>
        <v>0</v>
      </c>
      <c r="G192" s="11">
        <v>0.0</v>
      </c>
      <c r="H192" s="9">
        <f t="shared" si="2"/>
        <v>0</v>
      </c>
      <c r="I192" s="11">
        <v>0.0</v>
      </c>
      <c r="J192" s="9">
        <f t="shared" si="3"/>
        <v>0</v>
      </c>
      <c r="K192" s="11">
        <v>0.0</v>
      </c>
      <c r="L192" s="11">
        <v>0.0</v>
      </c>
      <c r="M192" s="14">
        <f t="shared" si="4"/>
        <v>0</v>
      </c>
      <c r="N192" s="11">
        <v>0.0</v>
      </c>
      <c r="O192" s="14">
        <f t="shared" si="5"/>
        <v>0</v>
      </c>
      <c r="P192" s="11">
        <v>0.0</v>
      </c>
      <c r="Q192" s="15">
        <v>0.0</v>
      </c>
      <c r="R192" s="9">
        <v>10.0</v>
      </c>
      <c r="S192" s="16">
        <f t="shared" si="6"/>
        <v>0</v>
      </c>
      <c r="T192" s="17">
        <f t="shared" si="7"/>
        <v>0</v>
      </c>
      <c r="U192" s="14">
        <f t="shared" si="8"/>
        <v>-10</v>
      </c>
      <c r="V192" s="9" t="str">
        <f t="shared" si="9"/>
        <v>Low Performance</v>
      </c>
      <c r="W192" s="32" t="s">
        <v>51</v>
      </c>
    </row>
    <row r="193" ht="15.75" customHeight="1">
      <c r="A193" s="13">
        <v>46251.0</v>
      </c>
      <c r="B193" s="49" t="s">
        <v>42</v>
      </c>
      <c r="C193" s="9" t="s">
        <v>40</v>
      </c>
      <c r="D193" s="9" t="s">
        <v>27</v>
      </c>
      <c r="E193" s="10">
        <v>0.0</v>
      </c>
      <c r="F193" s="9">
        <f t="shared" si="1"/>
        <v>0</v>
      </c>
      <c r="G193" s="11">
        <v>0.0</v>
      </c>
      <c r="H193" s="9">
        <f t="shared" si="2"/>
        <v>0</v>
      </c>
      <c r="I193" s="11">
        <v>1.0</v>
      </c>
      <c r="J193" s="9">
        <f t="shared" si="3"/>
        <v>1</v>
      </c>
      <c r="K193" s="11">
        <v>60.0</v>
      </c>
      <c r="L193" s="11">
        <v>20.0</v>
      </c>
      <c r="M193" s="14">
        <f t="shared" si="4"/>
        <v>0.4</v>
      </c>
      <c r="N193" s="11">
        <v>2.0</v>
      </c>
      <c r="O193" s="14">
        <f t="shared" si="5"/>
        <v>1.333333333</v>
      </c>
      <c r="P193" s="11">
        <v>1.0</v>
      </c>
      <c r="Q193" s="15">
        <v>1.0</v>
      </c>
      <c r="R193" s="9">
        <v>10.0</v>
      </c>
      <c r="S193" s="16">
        <f t="shared" si="6"/>
        <v>4.733333333</v>
      </c>
      <c r="T193" s="17">
        <f t="shared" si="7"/>
        <v>0.4733333333</v>
      </c>
      <c r="U193" s="14">
        <f t="shared" si="8"/>
        <v>-5.266666667</v>
      </c>
      <c r="V193" s="9" t="str">
        <f t="shared" si="9"/>
        <v>Low Performance</v>
      </c>
      <c r="W193" s="9"/>
    </row>
    <row r="194" ht="15.75" customHeight="1">
      <c r="A194" s="13">
        <v>46251.0</v>
      </c>
      <c r="B194" s="49" t="s">
        <v>60</v>
      </c>
      <c r="C194" s="9" t="s">
        <v>40</v>
      </c>
      <c r="D194" s="9" t="s">
        <v>27</v>
      </c>
      <c r="E194" s="10">
        <v>0.0</v>
      </c>
      <c r="F194" s="9">
        <f t="shared" si="1"/>
        <v>0</v>
      </c>
      <c r="G194" s="11">
        <v>1.0</v>
      </c>
      <c r="H194" s="9">
        <f t="shared" si="2"/>
        <v>1</v>
      </c>
      <c r="I194" s="11">
        <v>0.0</v>
      </c>
      <c r="J194" s="9">
        <f t="shared" si="3"/>
        <v>0</v>
      </c>
      <c r="K194" s="11">
        <v>45.0</v>
      </c>
      <c r="L194" s="11">
        <v>35.0</v>
      </c>
      <c r="M194" s="14">
        <f t="shared" si="4"/>
        <v>0.7</v>
      </c>
      <c r="N194" s="11">
        <v>3.0</v>
      </c>
      <c r="O194" s="14">
        <f t="shared" si="5"/>
        <v>2</v>
      </c>
      <c r="P194" s="11">
        <v>1.0</v>
      </c>
      <c r="Q194" s="15">
        <v>0.75</v>
      </c>
      <c r="R194" s="9">
        <v>10.0</v>
      </c>
      <c r="S194" s="16">
        <f t="shared" si="6"/>
        <v>5.45</v>
      </c>
      <c r="T194" s="17">
        <f t="shared" si="7"/>
        <v>0.545</v>
      </c>
      <c r="U194" s="14">
        <f t="shared" si="8"/>
        <v>-4.55</v>
      </c>
      <c r="V194" s="9" t="str">
        <f t="shared" si="9"/>
        <v>Average</v>
      </c>
      <c r="W194" s="9"/>
    </row>
    <row r="195" ht="15.75" customHeight="1">
      <c r="A195" s="13">
        <v>46251.0</v>
      </c>
      <c r="B195" s="49" t="s">
        <v>47</v>
      </c>
      <c r="C195" s="9" t="s">
        <v>48</v>
      </c>
      <c r="D195" s="9" t="s">
        <v>27</v>
      </c>
      <c r="E195" s="10">
        <v>0.0</v>
      </c>
      <c r="F195" s="9">
        <f t="shared" si="1"/>
        <v>0</v>
      </c>
      <c r="G195" s="11">
        <v>0.0</v>
      </c>
      <c r="H195" s="9">
        <f t="shared" si="2"/>
        <v>0</v>
      </c>
      <c r="I195" s="11">
        <v>0.0</v>
      </c>
      <c r="J195" s="9">
        <f t="shared" si="3"/>
        <v>0</v>
      </c>
      <c r="K195" s="11">
        <v>44.0</v>
      </c>
      <c r="L195" s="11">
        <v>40.0</v>
      </c>
      <c r="M195" s="14">
        <f t="shared" si="4"/>
        <v>0.8</v>
      </c>
      <c r="N195" s="11">
        <v>1.0</v>
      </c>
      <c r="O195" s="14">
        <f t="shared" si="5"/>
        <v>0.6666666667</v>
      </c>
      <c r="P195" s="11">
        <v>1.0</v>
      </c>
      <c r="Q195" s="15">
        <v>0.75</v>
      </c>
      <c r="R195" s="9">
        <v>10.0</v>
      </c>
      <c r="S195" s="16">
        <f t="shared" si="6"/>
        <v>3.216666667</v>
      </c>
      <c r="T195" s="17">
        <f t="shared" si="7"/>
        <v>0.3216666667</v>
      </c>
      <c r="U195" s="14">
        <f t="shared" si="8"/>
        <v>-6.783333333</v>
      </c>
      <c r="V195" s="9" t="str">
        <f t="shared" si="9"/>
        <v>Low Performance</v>
      </c>
      <c r="W195" s="9"/>
    </row>
    <row r="196" ht="15.75" customHeight="1">
      <c r="A196" s="13">
        <v>46251.0</v>
      </c>
      <c r="B196" s="49" t="s">
        <v>61</v>
      </c>
      <c r="C196" s="9" t="s">
        <v>48</v>
      </c>
      <c r="D196" s="9" t="s">
        <v>27</v>
      </c>
      <c r="E196" s="10">
        <v>0.0</v>
      </c>
      <c r="F196" s="9">
        <f t="shared" si="1"/>
        <v>0</v>
      </c>
      <c r="G196" s="11">
        <v>1.0</v>
      </c>
      <c r="H196" s="9">
        <f t="shared" si="2"/>
        <v>1</v>
      </c>
      <c r="I196" s="11">
        <v>0.0</v>
      </c>
      <c r="J196" s="9">
        <f t="shared" si="3"/>
        <v>0</v>
      </c>
      <c r="K196" s="11">
        <v>40.0</v>
      </c>
      <c r="L196" s="11">
        <v>32.0</v>
      </c>
      <c r="M196" s="14">
        <f t="shared" si="4"/>
        <v>0.64</v>
      </c>
      <c r="N196" s="11">
        <v>2.0</v>
      </c>
      <c r="O196" s="14">
        <f t="shared" si="5"/>
        <v>1.333333333</v>
      </c>
      <c r="P196" s="11">
        <v>1.0</v>
      </c>
      <c r="Q196" s="15">
        <v>1.0</v>
      </c>
      <c r="R196" s="9">
        <v>10.0</v>
      </c>
      <c r="S196" s="16">
        <f t="shared" si="6"/>
        <v>4.973333333</v>
      </c>
      <c r="T196" s="17">
        <f t="shared" si="7"/>
        <v>0.4973333333</v>
      </c>
      <c r="U196" s="14">
        <f t="shared" si="8"/>
        <v>-5.026666667</v>
      </c>
      <c r="V196" s="9" t="str">
        <f t="shared" si="9"/>
        <v>Low Performance</v>
      </c>
      <c r="W196" s="9"/>
    </row>
    <row r="197" ht="15.75" customHeight="1">
      <c r="A197" s="13">
        <v>46251.0</v>
      </c>
      <c r="B197" s="49" t="s">
        <v>62</v>
      </c>
      <c r="C197" s="9" t="s">
        <v>48</v>
      </c>
      <c r="D197" s="9" t="s">
        <v>27</v>
      </c>
      <c r="E197" s="10">
        <v>0.0</v>
      </c>
      <c r="F197" s="9">
        <f t="shared" si="1"/>
        <v>0</v>
      </c>
      <c r="G197" s="11">
        <v>1.0</v>
      </c>
      <c r="H197" s="9">
        <f t="shared" si="2"/>
        <v>1</v>
      </c>
      <c r="I197" s="11">
        <v>0.0</v>
      </c>
      <c r="J197" s="9">
        <f t="shared" si="3"/>
        <v>0</v>
      </c>
      <c r="K197" s="11">
        <v>35.0</v>
      </c>
      <c r="L197" s="11">
        <v>30.0</v>
      </c>
      <c r="M197" s="14">
        <f t="shared" si="4"/>
        <v>0.6</v>
      </c>
      <c r="N197" s="11">
        <v>1.0</v>
      </c>
      <c r="O197" s="14">
        <f t="shared" si="5"/>
        <v>0.6666666667</v>
      </c>
      <c r="P197" s="11">
        <v>1.0</v>
      </c>
      <c r="Q197" s="15">
        <v>1.0</v>
      </c>
      <c r="R197" s="9">
        <v>10.0</v>
      </c>
      <c r="S197" s="16">
        <f t="shared" si="6"/>
        <v>4.266666667</v>
      </c>
      <c r="T197" s="17">
        <f t="shared" si="7"/>
        <v>0.4266666667</v>
      </c>
      <c r="U197" s="14">
        <f t="shared" si="8"/>
        <v>-5.733333333</v>
      </c>
      <c r="V197" s="9" t="str">
        <f t="shared" si="9"/>
        <v>Low Performance</v>
      </c>
      <c r="W197" s="9"/>
    </row>
    <row r="198" ht="15.75" customHeight="1">
      <c r="A198" s="13">
        <v>46251.0</v>
      </c>
      <c r="B198" s="49" t="s">
        <v>63</v>
      </c>
      <c r="C198" s="9" t="s">
        <v>48</v>
      </c>
      <c r="D198" s="9" t="s">
        <v>27</v>
      </c>
      <c r="E198" s="10">
        <v>0.0</v>
      </c>
      <c r="F198" s="9">
        <f t="shared" si="1"/>
        <v>0</v>
      </c>
      <c r="G198" s="11">
        <v>1.0</v>
      </c>
      <c r="H198" s="9">
        <f t="shared" si="2"/>
        <v>1</v>
      </c>
      <c r="I198" s="11">
        <v>0.0</v>
      </c>
      <c r="J198" s="9">
        <f t="shared" si="3"/>
        <v>0</v>
      </c>
      <c r="K198" s="11">
        <v>47.0</v>
      </c>
      <c r="L198" s="11">
        <v>50.0</v>
      </c>
      <c r="M198" s="14">
        <f t="shared" si="4"/>
        <v>1</v>
      </c>
      <c r="N198" s="11">
        <v>2.0</v>
      </c>
      <c r="O198" s="14">
        <f t="shared" si="5"/>
        <v>1.333333333</v>
      </c>
      <c r="P198" s="11">
        <v>1.0</v>
      </c>
      <c r="Q198" s="15">
        <v>0.75</v>
      </c>
      <c r="R198" s="9">
        <v>10.0</v>
      </c>
      <c r="S198" s="16">
        <f t="shared" si="6"/>
        <v>5.083333333</v>
      </c>
      <c r="T198" s="17">
        <f t="shared" si="7"/>
        <v>0.5083333333</v>
      </c>
      <c r="U198" s="14">
        <f t="shared" si="8"/>
        <v>-4.916666667</v>
      </c>
      <c r="V198" s="9" t="str">
        <f t="shared" si="9"/>
        <v>Average</v>
      </c>
      <c r="W198" s="9"/>
    </row>
    <row r="199" ht="15.75" customHeight="1">
      <c r="A199" s="13">
        <v>46252.0</v>
      </c>
      <c r="B199" s="49" t="s">
        <v>28</v>
      </c>
      <c r="C199" s="9" t="s">
        <v>29</v>
      </c>
      <c r="D199" s="9" t="s">
        <v>27</v>
      </c>
      <c r="E199" s="10">
        <v>0.0</v>
      </c>
      <c r="F199" s="9">
        <f t="shared" si="1"/>
        <v>0</v>
      </c>
      <c r="G199" s="11">
        <v>0.0</v>
      </c>
      <c r="H199" s="9">
        <f t="shared" si="2"/>
        <v>0</v>
      </c>
      <c r="I199" s="11">
        <v>0.0</v>
      </c>
      <c r="J199" s="9">
        <f t="shared" si="3"/>
        <v>0</v>
      </c>
      <c r="K199" s="11">
        <v>90.0</v>
      </c>
      <c r="L199" s="11">
        <v>50.0</v>
      </c>
      <c r="M199" s="14">
        <f t="shared" si="4"/>
        <v>1</v>
      </c>
      <c r="N199" s="11">
        <v>3.0</v>
      </c>
      <c r="O199" s="14">
        <f t="shared" si="5"/>
        <v>2</v>
      </c>
      <c r="P199" s="11">
        <v>1.0</v>
      </c>
      <c r="Q199" s="15">
        <v>1.0</v>
      </c>
      <c r="R199" s="9">
        <v>10.0</v>
      </c>
      <c r="S199" s="16">
        <f t="shared" si="6"/>
        <v>5</v>
      </c>
      <c r="T199" s="17">
        <f t="shared" si="7"/>
        <v>0.5</v>
      </c>
      <c r="U199" s="14">
        <f t="shared" si="8"/>
        <v>-5</v>
      </c>
      <c r="V199" s="9" t="str">
        <f t="shared" si="9"/>
        <v>Average</v>
      </c>
      <c r="W199" s="9"/>
    </row>
    <row r="200" ht="15.75" customHeight="1">
      <c r="A200" s="13">
        <v>46252.0</v>
      </c>
      <c r="B200" s="49" t="s">
        <v>36</v>
      </c>
      <c r="C200" s="9" t="s">
        <v>29</v>
      </c>
      <c r="D200" s="9" t="s">
        <v>27</v>
      </c>
      <c r="E200" s="10">
        <v>0.0</v>
      </c>
      <c r="F200" s="9">
        <f t="shared" si="1"/>
        <v>0</v>
      </c>
      <c r="G200" s="11">
        <v>0.0</v>
      </c>
      <c r="H200" s="9">
        <f t="shared" si="2"/>
        <v>0</v>
      </c>
      <c r="I200" s="11">
        <v>1.0</v>
      </c>
      <c r="J200" s="9">
        <f t="shared" si="3"/>
        <v>1</v>
      </c>
      <c r="K200" s="11">
        <v>37.0</v>
      </c>
      <c r="L200" s="11">
        <v>17.0</v>
      </c>
      <c r="M200" s="14">
        <f t="shared" si="4"/>
        <v>0.34</v>
      </c>
      <c r="N200" s="11">
        <v>2.0</v>
      </c>
      <c r="O200" s="14">
        <f t="shared" si="5"/>
        <v>1.333333333</v>
      </c>
      <c r="P200" s="11">
        <v>1.0</v>
      </c>
      <c r="Q200" s="15">
        <v>0.75</v>
      </c>
      <c r="R200" s="9">
        <v>10.0</v>
      </c>
      <c r="S200" s="16">
        <f t="shared" si="6"/>
        <v>4.423333333</v>
      </c>
      <c r="T200" s="17">
        <f t="shared" si="7"/>
        <v>0.4423333333</v>
      </c>
      <c r="U200" s="14">
        <f t="shared" si="8"/>
        <v>-5.576666667</v>
      </c>
      <c r="V200" s="9" t="str">
        <f t="shared" si="9"/>
        <v>Low Performance</v>
      </c>
      <c r="W200" s="9"/>
    </row>
    <row r="201" ht="15.75" customHeight="1">
      <c r="A201" s="13">
        <v>46252.0</v>
      </c>
      <c r="B201" s="49" t="s">
        <v>56</v>
      </c>
      <c r="C201" s="9" t="s">
        <v>29</v>
      </c>
      <c r="D201" s="9" t="s">
        <v>27</v>
      </c>
      <c r="E201" s="10">
        <v>0.0</v>
      </c>
      <c r="F201" s="9">
        <f t="shared" si="1"/>
        <v>0</v>
      </c>
      <c r="G201" s="11">
        <v>0.0</v>
      </c>
      <c r="H201" s="9">
        <f t="shared" si="2"/>
        <v>0</v>
      </c>
      <c r="I201" s="11">
        <v>1.0</v>
      </c>
      <c r="J201" s="9">
        <f t="shared" si="3"/>
        <v>1</v>
      </c>
      <c r="K201" s="11">
        <v>68.0</v>
      </c>
      <c r="L201" s="11">
        <v>38.0</v>
      </c>
      <c r="M201" s="14">
        <f t="shared" si="4"/>
        <v>0.76</v>
      </c>
      <c r="N201" s="11">
        <v>2.0</v>
      </c>
      <c r="O201" s="14">
        <f t="shared" si="5"/>
        <v>1.333333333</v>
      </c>
      <c r="P201" s="11">
        <v>1.0</v>
      </c>
      <c r="Q201" s="15">
        <v>1.0</v>
      </c>
      <c r="R201" s="9">
        <v>10.0</v>
      </c>
      <c r="S201" s="16">
        <f t="shared" si="6"/>
        <v>5.093333333</v>
      </c>
      <c r="T201" s="17">
        <f t="shared" si="7"/>
        <v>0.5093333333</v>
      </c>
      <c r="U201" s="14">
        <f t="shared" si="8"/>
        <v>-4.906666667</v>
      </c>
      <c r="V201" s="9" t="str">
        <f t="shared" si="9"/>
        <v>Average</v>
      </c>
      <c r="W201" s="9"/>
    </row>
    <row r="202" ht="15.75" customHeight="1">
      <c r="A202" s="13">
        <v>46252.0</v>
      </c>
      <c r="B202" s="49" t="s">
        <v>37</v>
      </c>
      <c r="C202" s="9" t="s">
        <v>29</v>
      </c>
      <c r="D202" s="9" t="s">
        <v>27</v>
      </c>
      <c r="E202" s="10">
        <v>0.0</v>
      </c>
      <c r="F202" s="9">
        <f t="shared" si="1"/>
        <v>0</v>
      </c>
      <c r="G202" s="11">
        <v>0.0</v>
      </c>
      <c r="H202" s="9">
        <f t="shared" si="2"/>
        <v>0</v>
      </c>
      <c r="I202" s="11">
        <v>1.0</v>
      </c>
      <c r="J202" s="9">
        <f t="shared" si="3"/>
        <v>1</v>
      </c>
      <c r="K202" s="11">
        <v>23.0</v>
      </c>
      <c r="L202" s="11">
        <v>42.0</v>
      </c>
      <c r="M202" s="14">
        <f t="shared" si="4"/>
        <v>0.84</v>
      </c>
      <c r="N202" s="11">
        <v>3.0</v>
      </c>
      <c r="O202" s="14">
        <f t="shared" si="5"/>
        <v>2</v>
      </c>
      <c r="P202" s="11">
        <v>1.0</v>
      </c>
      <c r="Q202" s="15">
        <v>0.75</v>
      </c>
      <c r="R202" s="9">
        <v>10.0</v>
      </c>
      <c r="S202" s="16">
        <f t="shared" si="6"/>
        <v>5.59</v>
      </c>
      <c r="T202" s="17">
        <f t="shared" si="7"/>
        <v>0.559</v>
      </c>
      <c r="U202" s="14">
        <f t="shared" si="8"/>
        <v>-4.41</v>
      </c>
      <c r="V202" s="9" t="str">
        <f t="shared" si="9"/>
        <v>Average</v>
      </c>
      <c r="W202" s="9"/>
    </row>
    <row r="203" ht="15.75" customHeight="1">
      <c r="A203" s="13">
        <v>46252.0</v>
      </c>
      <c r="B203" s="49" t="s">
        <v>57</v>
      </c>
      <c r="C203" s="9" t="s">
        <v>29</v>
      </c>
      <c r="D203" s="9" t="s">
        <v>27</v>
      </c>
      <c r="E203" s="10">
        <v>0.0</v>
      </c>
      <c r="F203" s="9">
        <f t="shared" si="1"/>
        <v>0</v>
      </c>
      <c r="G203" s="11">
        <v>0.0</v>
      </c>
      <c r="H203" s="9">
        <f t="shared" si="2"/>
        <v>0</v>
      </c>
      <c r="I203" s="11">
        <v>1.0</v>
      </c>
      <c r="J203" s="9">
        <f t="shared" si="3"/>
        <v>1</v>
      </c>
      <c r="K203" s="11">
        <v>63.0</v>
      </c>
      <c r="L203" s="11">
        <v>26.0</v>
      </c>
      <c r="M203" s="14">
        <f t="shared" si="4"/>
        <v>0.52</v>
      </c>
      <c r="N203" s="11">
        <v>2.0</v>
      </c>
      <c r="O203" s="14">
        <f t="shared" si="5"/>
        <v>1.333333333</v>
      </c>
      <c r="P203" s="11">
        <v>1.0</v>
      </c>
      <c r="Q203" s="15">
        <v>1.0</v>
      </c>
      <c r="R203" s="9">
        <v>10.0</v>
      </c>
      <c r="S203" s="16">
        <f t="shared" si="6"/>
        <v>4.853333333</v>
      </c>
      <c r="T203" s="17">
        <f t="shared" si="7"/>
        <v>0.4853333333</v>
      </c>
      <c r="U203" s="14">
        <f t="shared" si="8"/>
        <v>-5.146666667</v>
      </c>
      <c r="V203" s="9" t="str">
        <f t="shared" si="9"/>
        <v>Low Performance</v>
      </c>
      <c r="W203" s="9"/>
    </row>
    <row r="204" ht="15.75" customHeight="1">
      <c r="A204" s="13">
        <v>46252.0</v>
      </c>
      <c r="B204" s="49" t="s">
        <v>58</v>
      </c>
      <c r="C204" s="9" t="s">
        <v>40</v>
      </c>
      <c r="D204" s="9" t="s">
        <v>27</v>
      </c>
      <c r="E204" s="10">
        <v>0.0</v>
      </c>
      <c r="F204" s="9">
        <f t="shared" si="1"/>
        <v>0</v>
      </c>
      <c r="G204" s="11">
        <v>0.0</v>
      </c>
      <c r="H204" s="9">
        <f t="shared" si="2"/>
        <v>0</v>
      </c>
      <c r="I204" s="11">
        <v>0.0</v>
      </c>
      <c r="J204" s="9">
        <f t="shared" si="3"/>
        <v>0</v>
      </c>
      <c r="K204" s="11">
        <v>35.0</v>
      </c>
      <c r="L204" s="11">
        <v>25.0</v>
      </c>
      <c r="M204" s="14">
        <f t="shared" si="4"/>
        <v>0.5</v>
      </c>
      <c r="N204" s="11">
        <v>2.0</v>
      </c>
      <c r="O204" s="14">
        <f t="shared" si="5"/>
        <v>1.333333333</v>
      </c>
      <c r="P204" s="11">
        <v>1.0</v>
      </c>
      <c r="Q204" s="15">
        <v>0.75</v>
      </c>
      <c r="R204" s="9">
        <v>10.0</v>
      </c>
      <c r="S204" s="16">
        <f t="shared" si="6"/>
        <v>3.583333333</v>
      </c>
      <c r="T204" s="17">
        <f t="shared" si="7"/>
        <v>0.3583333333</v>
      </c>
      <c r="U204" s="14">
        <f t="shared" si="8"/>
        <v>-6.416666667</v>
      </c>
      <c r="V204" s="9" t="str">
        <f t="shared" si="9"/>
        <v>Low Performance</v>
      </c>
      <c r="W204" s="9"/>
    </row>
    <row r="205" ht="15.75" customHeight="1">
      <c r="A205" s="13">
        <v>46252.0</v>
      </c>
      <c r="B205" s="50" t="s">
        <v>59</v>
      </c>
      <c r="C205" s="9" t="s">
        <v>40</v>
      </c>
      <c r="D205" s="9" t="s">
        <v>27</v>
      </c>
      <c r="E205" s="10">
        <v>0.0</v>
      </c>
      <c r="F205" s="9">
        <f t="shared" si="1"/>
        <v>0</v>
      </c>
      <c r="G205" s="11">
        <v>0.0</v>
      </c>
      <c r="H205" s="9">
        <f t="shared" si="2"/>
        <v>0</v>
      </c>
      <c r="I205" s="11">
        <v>0.0</v>
      </c>
      <c r="J205" s="9">
        <f t="shared" si="3"/>
        <v>0</v>
      </c>
      <c r="K205" s="11">
        <v>62.0</v>
      </c>
      <c r="L205" s="11">
        <v>50.0</v>
      </c>
      <c r="M205" s="14">
        <f t="shared" si="4"/>
        <v>1</v>
      </c>
      <c r="N205" s="11">
        <v>2.0</v>
      </c>
      <c r="O205" s="14">
        <f t="shared" si="5"/>
        <v>1.333333333</v>
      </c>
      <c r="P205" s="11">
        <v>1.0</v>
      </c>
      <c r="Q205" s="15">
        <v>1.0</v>
      </c>
      <c r="R205" s="9">
        <v>10.0</v>
      </c>
      <c r="S205" s="16">
        <f t="shared" si="6"/>
        <v>4.333333333</v>
      </c>
      <c r="T205" s="17">
        <f t="shared" si="7"/>
        <v>0.4333333333</v>
      </c>
      <c r="U205" s="14">
        <f t="shared" si="8"/>
        <v>-5.666666667</v>
      </c>
      <c r="V205" s="9" t="str">
        <f t="shared" si="9"/>
        <v>Low Performance</v>
      </c>
      <c r="W205" s="9"/>
    </row>
    <row r="206" ht="15.75" customHeight="1">
      <c r="A206" s="13">
        <v>46252.0</v>
      </c>
      <c r="B206" s="49" t="s">
        <v>41</v>
      </c>
      <c r="C206" s="9" t="s">
        <v>40</v>
      </c>
      <c r="D206" s="9" t="s">
        <v>27</v>
      </c>
      <c r="E206" s="10">
        <v>0.0</v>
      </c>
      <c r="F206" s="9">
        <f t="shared" si="1"/>
        <v>0</v>
      </c>
      <c r="G206" s="11">
        <v>1.0</v>
      </c>
      <c r="H206" s="9">
        <f t="shared" si="2"/>
        <v>1</v>
      </c>
      <c r="I206" s="11">
        <v>0.0</v>
      </c>
      <c r="J206" s="9">
        <f t="shared" si="3"/>
        <v>0</v>
      </c>
      <c r="K206" s="11">
        <v>27.0</v>
      </c>
      <c r="L206" s="11">
        <v>6.0</v>
      </c>
      <c r="M206" s="14">
        <f t="shared" si="4"/>
        <v>0.12</v>
      </c>
      <c r="N206" s="11">
        <v>2.0</v>
      </c>
      <c r="O206" s="14">
        <f t="shared" si="5"/>
        <v>1.333333333</v>
      </c>
      <c r="P206" s="11">
        <v>1.0</v>
      </c>
      <c r="Q206" s="15">
        <v>1.0</v>
      </c>
      <c r="R206" s="9">
        <v>10.0</v>
      </c>
      <c r="S206" s="16">
        <f t="shared" si="6"/>
        <v>4.453333333</v>
      </c>
      <c r="T206" s="17">
        <f t="shared" si="7"/>
        <v>0.4453333333</v>
      </c>
      <c r="U206" s="14">
        <f t="shared" si="8"/>
        <v>-5.546666667</v>
      </c>
      <c r="V206" s="9" t="str">
        <f t="shared" si="9"/>
        <v>Low Performance</v>
      </c>
      <c r="W206" s="9"/>
    </row>
    <row r="207" ht="15.75" customHeight="1">
      <c r="A207" s="13">
        <v>46252.0</v>
      </c>
      <c r="B207" s="49" t="s">
        <v>42</v>
      </c>
      <c r="C207" s="9" t="s">
        <v>40</v>
      </c>
      <c r="D207" s="9" t="s">
        <v>27</v>
      </c>
      <c r="E207" s="10">
        <v>30000.0</v>
      </c>
      <c r="F207" s="9">
        <f t="shared" si="1"/>
        <v>3</v>
      </c>
      <c r="G207" s="11">
        <v>0.0</v>
      </c>
      <c r="H207" s="9">
        <f t="shared" si="2"/>
        <v>0</v>
      </c>
      <c r="I207" s="11">
        <v>0.0</v>
      </c>
      <c r="J207" s="9">
        <f t="shared" si="3"/>
        <v>0</v>
      </c>
      <c r="K207" s="11">
        <v>40.0</v>
      </c>
      <c r="L207" s="11">
        <v>18.0</v>
      </c>
      <c r="M207" s="14">
        <f t="shared" si="4"/>
        <v>0.36</v>
      </c>
      <c r="N207" s="11">
        <v>2.0</v>
      </c>
      <c r="O207" s="14">
        <f t="shared" si="5"/>
        <v>1.333333333</v>
      </c>
      <c r="P207" s="11">
        <v>1.0</v>
      </c>
      <c r="Q207" s="15">
        <v>1.0</v>
      </c>
      <c r="R207" s="9">
        <v>10.0</v>
      </c>
      <c r="S207" s="16">
        <f t="shared" si="6"/>
        <v>6.693333333</v>
      </c>
      <c r="T207" s="17">
        <f t="shared" si="7"/>
        <v>0.6693333333</v>
      </c>
      <c r="U207" s="14">
        <f t="shared" si="8"/>
        <v>-3.306666667</v>
      </c>
      <c r="V207" s="9" t="str">
        <f t="shared" si="9"/>
        <v>Average</v>
      </c>
      <c r="W207" s="9"/>
    </row>
    <row r="208" ht="15.75" customHeight="1">
      <c r="A208" s="13">
        <v>46252.0</v>
      </c>
      <c r="B208" s="49" t="s">
        <v>60</v>
      </c>
      <c r="C208" s="9" t="s">
        <v>40</v>
      </c>
      <c r="D208" s="9" t="s">
        <v>27</v>
      </c>
      <c r="E208" s="10">
        <v>0.0</v>
      </c>
      <c r="F208" s="9">
        <f t="shared" si="1"/>
        <v>0</v>
      </c>
      <c r="G208" s="11">
        <v>0.0</v>
      </c>
      <c r="H208" s="9">
        <f t="shared" si="2"/>
        <v>0</v>
      </c>
      <c r="I208" s="11">
        <v>1.0</v>
      </c>
      <c r="J208" s="9">
        <f t="shared" si="3"/>
        <v>1</v>
      </c>
      <c r="K208" s="11">
        <v>40.0</v>
      </c>
      <c r="L208" s="11">
        <v>30.0</v>
      </c>
      <c r="M208" s="14">
        <f t="shared" si="4"/>
        <v>0.6</v>
      </c>
      <c r="N208" s="11">
        <v>2.0</v>
      </c>
      <c r="O208" s="14">
        <f t="shared" si="5"/>
        <v>1.333333333</v>
      </c>
      <c r="P208" s="11">
        <v>1.0</v>
      </c>
      <c r="Q208" s="15">
        <v>0.75</v>
      </c>
      <c r="R208" s="9">
        <v>10.0</v>
      </c>
      <c r="S208" s="16">
        <f t="shared" si="6"/>
        <v>4.683333333</v>
      </c>
      <c r="T208" s="17">
        <f t="shared" si="7"/>
        <v>0.4683333333</v>
      </c>
      <c r="U208" s="14">
        <f t="shared" si="8"/>
        <v>-5.316666667</v>
      </c>
      <c r="V208" s="9" t="str">
        <f t="shared" si="9"/>
        <v>Low Performance</v>
      </c>
      <c r="W208" s="9"/>
    </row>
    <row r="209" ht="15.75" customHeight="1">
      <c r="A209" s="13">
        <v>46252.0</v>
      </c>
      <c r="B209" s="49" t="s">
        <v>47</v>
      </c>
      <c r="C209" s="9" t="s">
        <v>48</v>
      </c>
      <c r="D209" s="9" t="s">
        <v>27</v>
      </c>
      <c r="E209" s="10">
        <v>0.0</v>
      </c>
      <c r="F209" s="9">
        <f t="shared" si="1"/>
        <v>0</v>
      </c>
      <c r="G209" s="11">
        <v>1.0</v>
      </c>
      <c r="H209" s="9">
        <f t="shared" si="2"/>
        <v>1</v>
      </c>
      <c r="I209" s="11">
        <v>0.0</v>
      </c>
      <c r="J209" s="9">
        <f t="shared" si="3"/>
        <v>0</v>
      </c>
      <c r="K209" s="11">
        <v>28.0</v>
      </c>
      <c r="L209" s="11">
        <v>18.0</v>
      </c>
      <c r="M209" s="14">
        <f t="shared" si="4"/>
        <v>0.36</v>
      </c>
      <c r="N209" s="11">
        <v>1.0</v>
      </c>
      <c r="O209" s="14">
        <f t="shared" si="5"/>
        <v>0.6666666667</v>
      </c>
      <c r="P209" s="11">
        <v>1.0</v>
      </c>
      <c r="Q209" s="15">
        <v>0.5</v>
      </c>
      <c r="R209" s="9">
        <v>10.0</v>
      </c>
      <c r="S209" s="16">
        <f t="shared" si="6"/>
        <v>3.526666667</v>
      </c>
      <c r="T209" s="17">
        <f t="shared" si="7"/>
        <v>0.3526666667</v>
      </c>
      <c r="U209" s="14">
        <f t="shared" si="8"/>
        <v>-6.473333333</v>
      </c>
      <c r="V209" s="9" t="str">
        <f t="shared" si="9"/>
        <v>Low Performance</v>
      </c>
      <c r="W209" s="9"/>
    </row>
    <row r="210" ht="15.75" customHeight="1">
      <c r="A210" s="13">
        <v>46252.0</v>
      </c>
      <c r="B210" s="49" t="s">
        <v>61</v>
      </c>
      <c r="C210" s="9" t="s">
        <v>48</v>
      </c>
      <c r="D210" s="9" t="s">
        <v>27</v>
      </c>
      <c r="E210" s="10">
        <v>0.0</v>
      </c>
      <c r="F210" s="9">
        <f t="shared" si="1"/>
        <v>0</v>
      </c>
      <c r="G210" s="11">
        <v>0.0</v>
      </c>
      <c r="H210" s="9">
        <f t="shared" si="2"/>
        <v>0</v>
      </c>
      <c r="I210" s="11">
        <v>0.0</v>
      </c>
      <c r="J210" s="9">
        <f t="shared" si="3"/>
        <v>0</v>
      </c>
      <c r="K210" s="11">
        <v>0.0</v>
      </c>
      <c r="L210" s="11">
        <v>0.0</v>
      </c>
      <c r="M210" s="14">
        <f t="shared" si="4"/>
        <v>0</v>
      </c>
      <c r="N210" s="11">
        <v>0.0</v>
      </c>
      <c r="O210" s="14">
        <f t="shared" si="5"/>
        <v>0</v>
      </c>
      <c r="P210" s="11">
        <v>0.0</v>
      </c>
      <c r="Q210" s="15">
        <v>0.0</v>
      </c>
      <c r="R210" s="9">
        <v>10.0</v>
      </c>
      <c r="S210" s="16">
        <f t="shared" si="6"/>
        <v>0</v>
      </c>
      <c r="T210" s="17">
        <f t="shared" si="7"/>
        <v>0</v>
      </c>
      <c r="U210" s="14">
        <f t="shared" si="8"/>
        <v>-10</v>
      </c>
      <c r="V210" s="9" t="str">
        <f t="shared" si="9"/>
        <v>Low Performance</v>
      </c>
      <c r="W210" s="32" t="s">
        <v>51</v>
      </c>
    </row>
    <row r="211" ht="15.75" customHeight="1">
      <c r="A211" s="13">
        <v>46252.0</v>
      </c>
      <c r="B211" s="49" t="s">
        <v>62</v>
      </c>
      <c r="C211" s="9" t="s">
        <v>48</v>
      </c>
      <c r="D211" s="9" t="s">
        <v>27</v>
      </c>
      <c r="E211" s="10">
        <v>0.0</v>
      </c>
      <c r="F211" s="9">
        <f t="shared" si="1"/>
        <v>0</v>
      </c>
      <c r="G211" s="11">
        <v>0.0</v>
      </c>
      <c r="H211" s="9">
        <f t="shared" si="2"/>
        <v>0</v>
      </c>
      <c r="I211" s="11">
        <v>1.0</v>
      </c>
      <c r="J211" s="9">
        <f t="shared" si="3"/>
        <v>1</v>
      </c>
      <c r="K211" s="11">
        <v>40.0</v>
      </c>
      <c r="L211" s="11">
        <v>0.0</v>
      </c>
      <c r="M211" s="14">
        <f t="shared" si="4"/>
        <v>0</v>
      </c>
      <c r="N211" s="11">
        <v>1.0</v>
      </c>
      <c r="O211" s="14">
        <f t="shared" si="5"/>
        <v>0.6666666667</v>
      </c>
      <c r="P211" s="11">
        <v>1.0</v>
      </c>
      <c r="Q211" s="15">
        <v>0.75</v>
      </c>
      <c r="R211" s="9">
        <v>10.0</v>
      </c>
      <c r="S211" s="16">
        <f t="shared" si="6"/>
        <v>3.416666667</v>
      </c>
      <c r="T211" s="17">
        <f t="shared" si="7"/>
        <v>0.3416666667</v>
      </c>
      <c r="U211" s="14">
        <f t="shared" si="8"/>
        <v>-6.583333333</v>
      </c>
      <c r="V211" s="9" t="str">
        <f t="shared" si="9"/>
        <v>Low Performance</v>
      </c>
      <c r="W211" s="9"/>
    </row>
    <row r="212" ht="15.75" customHeight="1">
      <c r="A212" s="13">
        <v>46252.0</v>
      </c>
      <c r="B212" s="49" t="s">
        <v>63</v>
      </c>
      <c r="C212" s="9" t="s">
        <v>48</v>
      </c>
      <c r="D212" s="9" t="s">
        <v>27</v>
      </c>
      <c r="E212" s="10">
        <v>0.0</v>
      </c>
      <c r="F212" s="9">
        <f t="shared" si="1"/>
        <v>0</v>
      </c>
      <c r="G212" s="11">
        <v>1.0</v>
      </c>
      <c r="H212" s="9">
        <f t="shared" si="2"/>
        <v>1</v>
      </c>
      <c r="I212" s="11">
        <v>1.0</v>
      </c>
      <c r="J212" s="9">
        <f t="shared" si="3"/>
        <v>1</v>
      </c>
      <c r="K212" s="11">
        <v>58.0</v>
      </c>
      <c r="L212" s="11">
        <v>17.0</v>
      </c>
      <c r="M212" s="14">
        <f t="shared" si="4"/>
        <v>0.34</v>
      </c>
      <c r="N212" s="11">
        <v>2.0</v>
      </c>
      <c r="O212" s="14">
        <f t="shared" si="5"/>
        <v>1.333333333</v>
      </c>
      <c r="P212" s="11">
        <v>1.0</v>
      </c>
      <c r="Q212" s="15">
        <v>0.75</v>
      </c>
      <c r="R212" s="9">
        <v>10.0</v>
      </c>
      <c r="S212" s="16">
        <f t="shared" si="6"/>
        <v>5.423333333</v>
      </c>
      <c r="T212" s="17">
        <f t="shared" si="7"/>
        <v>0.5423333333</v>
      </c>
      <c r="U212" s="14">
        <f t="shared" si="8"/>
        <v>-4.576666667</v>
      </c>
      <c r="V212" s="9" t="str">
        <f t="shared" si="9"/>
        <v>Average</v>
      </c>
      <c r="W212" s="9"/>
    </row>
    <row r="213" ht="15.75" customHeight="1">
      <c r="A213" s="13">
        <v>46253.0</v>
      </c>
      <c r="B213" s="49" t="s">
        <v>28</v>
      </c>
      <c r="C213" s="9" t="s">
        <v>29</v>
      </c>
      <c r="D213" s="9" t="s">
        <v>27</v>
      </c>
      <c r="E213" s="10">
        <v>0.0</v>
      </c>
      <c r="F213" s="9">
        <f t="shared" si="1"/>
        <v>0</v>
      </c>
      <c r="G213" s="11">
        <v>0.0</v>
      </c>
      <c r="H213" s="9">
        <f t="shared" si="2"/>
        <v>0</v>
      </c>
      <c r="I213" s="11">
        <v>0.0</v>
      </c>
      <c r="J213" s="9">
        <f t="shared" si="3"/>
        <v>0</v>
      </c>
      <c r="K213" s="11">
        <v>104.0</v>
      </c>
      <c r="L213" s="11">
        <v>50.0</v>
      </c>
      <c r="M213" s="14">
        <f t="shared" si="4"/>
        <v>1</v>
      </c>
      <c r="N213" s="11">
        <v>2.0</v>
      </c>
      <c r="O213" s="14">
        <f t="shared" si="5"/>
        <v>1.333333333</v>
      </c>
      <c r="P213" s="11">
        <v>1.0</v>
      </c>
      <c r="Q213" s="15">
        <v>1.0</v>
      </c>
      <c r="R213" s="9">
        <v>10.0</v>
      </c>
      <c r="S213" s="16">
        <f t="shared" si="6"/>
        <v>4.333333333</v>
      </c>
      <c r="T213" s="17">
        <f t="shared" si="7"/>
        <v>0.4333333333</v>
      </c>
      <c r="U213" s="14">
        <f t="shared" si="8"/>
        <v>-5.666666667</v>
      </c>
      <c r="V213" s="9" t="str">
        <f t="shared" si="9"/>
        <v>Low Performance</v>
      </c>
      <c r="W213" s="9"/>
    </row>
    <row r="214" ht="15.75" customHeight="1">
      <c r="A214" s="13">
        <v>46253.0</v>
      </c>
      <c r="B214" s="49" t="s">
        <v>36</v>
      </c>
      <c r="C214" s="9" t="s">
        <v>29</v>
      </c>
      <c r="D214" s="9" t="s">
        <v>27</v>
      </c>
      <c r="E214" s="10">
        <v>85000.0</v>
      </c>
      <c r="F214" s="9">
        <f t="shared" si="1"/>
        <v>3</v>
      </c>
      <c r="G214" s="11">
        <v>0.0</v>
      </c>
      <c r="H214" s="9">
        <f t="shared" si="2"/>
        <v>0</v>
      </c>
      <c r="I214" s="11">
        <v>1.0</v>
      </c>
      <c r="J214" s="9">
        <f t="shared" si="3"/>
        <v>1</v>
      </c>
      <c r="K214" s="11">
        <v>54.0</v>
      </c>
      <c r="L214" s="11">
        <v>34.0</v>
      </c>
      <c r="M214" s="14">
        <f t="shared" si="4"/>
        <v>0.68</v>
      </c>
      <c r="N214" s="11">
        <v>2.0</v>
      </c>
      <c r="O214" s="14">
        <f t="shared" si="5"/>
        <v>1.333333333</v>
      </c>
      <c r="P214" s="11">
        <v>1.0</v>
      </c>
      <c r="Q214" s="15">
        <v>1.0</v>
      </c>
      <c r="R214" s="9">
        <v>10.0</v>
      </c>
      <c r="S214" s="16">
        <f t="shared" si="6"/>
        <v>8.013333333</v>
      </c>
      <c r="T214" s="17">
        <f t="shared" si="7"/>
        <v>0.8013333333</v>
      </c>
      <c r="U214" s="14">
        <f t="shared" si="8"/>
        <v>-1.986666667</v>
      </c>
      <c r="V214" s="9" t="str">
        <f t="shared" si="9"/>
        <v>Near Target</v>
      </c>
      <c r="W214" s="9"/>
    </row>
    <row r="215" ht="15.75" customHeight="1">
      <c r="A215" s="13">
        <v>46253.0</v>
      </c>
      <c r="B215" s="49" t="s">
        <v>56</v>
      </c>
      <c r="C215" s="9" t="s">
        <v>29</v>
      </c>
      <c r="D215" s="9" t="s">
        <v>27</v>
      </c>
      <c r="E215" s="10">
        <v>0.0</v>
      </c>
      <c r="F215" s="9">
        <f t="shared" si="1"/>
        <v>0</v>
      </c>
      <c r="G215" s="11">
        <v>0.0</v>
      </c>
      <c r="H215" s="9">
        <f t="shared" si="2"/>
        <v>0</v>
      </c>
      <c r="I215" s="11">
        <v>1.0</v>
      </c>
      <c r="J215" s="9">
        <f t="shared" si="3"/>
        <v>1</v>
      </c>
      <c r="K215" s="11">
        <v>74.0</v>
      </c>
      <c r="L215" s="11">
        <v>38.0</v>
      </c>
      <c r="M215" s="14">
        <f t="shared" si="4"/>
        <v>0.76</v>
      </c>
      <c r="N215" s="11">
        <v>2.0</v>
      </c>
      <c r="O215" s="14">
        <f t="shared" si="5"/>
        <v>1.333333333</v>
      </c>
      <c r="P215" s="11">
        <v>1.0</v>
      </c>
      <c r="Q215" s="15">
        <v>1.0</v>
      </c>
      <c r="R215" s="9">
        <v>10.0</v>
      </c>
      <c r="S215" s="16">
        <f t="shared" si="6"/>
        <v>5.093333333</v>
      </c>
      <c r="T215" s="17">
        <f t="shared" si="7"/>
        <v>0.5093333333</v>
      </c>
      <c r="U215" s="14">
        <f t="shared" si="8"/>
        <v>-4.906666667</v>
      </c>
      <c r="V215" s="9" t="str">
        <f t="shared" si="9"/>
        <v>Average</v>
      </c>
      <c r="W215" s="9"/>
    </row>
    <row r="216" ht="15.75" customHeight="1">
      <c r="A216" s="13">
        <v>46253.0</v>
      </c>
      <c r="B216" s="49" t="s">
        <v>37</v>
      </c>
      <c r="C216" s="9" t="s">
        <v>29</v>
      </c>
      <c r="D216" s="9" t="s">
        <v>27</v>
      </c>
      <c r="E216" s="10">
        <v>0.0</v>
      </c>
      <c r="F216" s="9">
        <f t="shared" si="1"/>
        <v>0</v>
      </c>
      <c r="G216" s="11">
        <v>0.0</v>
      </c>
      <c r="H216" s="9">
        <f t="shared" si="2"/>
        <v>0</v>
      </c>
      <c r="I216" s="11">
        <v>1.0</v>
      </c>
      <c r="J216" s="9">
        <f t="shared" si="3"/>
        <v>1</v>
      </c>
      <c r="K216" s="11">
        <v>56.0</v>
      </c>
      <c r="L216" s="11">
        <v>42.0</v>
      </c>
      <c r="M216" s="14">
        <f t="shared" si="4"/>
        <v>0.84</v>
      </c>
      <c r="N216" s="11">
        <v>3.0</v>
      </c>
      <c r="O216" s="14">
        <f t="shared" si="5"/>
        <v>2</v>
      </c>
      <c r="P216" s="11">
        <v>1.0</v>
      </c>
      <c r="Q216" s="15">
        <v>1.0</v>
      </c>
      <c r="R216" s="9">
        <v>10.0</v>
      </c>
      <c r="S216" s="16">
        <f t="shared" si="6"/>
        <v>5.84</v>
      </c>
      <c r="T216" s="17">
        <f t="shared" si="7"/>
        <v>0.584</v>
      </c>
      <c r="U216" s="14">
        <f t="shared" si="8"/>
        <v>-4.16</v>
      </c>
      <c r="V216" s="9" t="str">
        <f t="shared" si="9"/>
        <v>Average</v>
      </c>
      <c r="W216" s="9"/>
    </row>
    <row r="217" ht="15.75" customHeight="1">
      <c r="A217" s="13">
        <v>46253.0</v>
      </c>
      <c r="B217" s="49" t="s">
        <v>57</v>
      </c>
      <c r="C217" s="9" t="s">
        <v>29</v>
      </c>
      <c r="D217" s="9" t="s">
        <v>27</v>
      </c>
      <c r="E217" s="10">
        <v>0.0</v>
      </c>
      <c r="F217" s="9">
        <f t="shared" si="1"/>
        <v>0</v>
      </c>
      <c r="G217" s="11">
        <v>1.0</v>
      </c>
      <c r="H217" s="9">
        <f t="shared" si="2"/>
        <v>1</v>
      </c>
      <c r="I217" s="11">
        <v>1.0</v>
      </c>
      <c r="J217" s="9">
        <f t="shared" si="3"/>
        <v>1</v>
      </c>
      <c r="K217" s="11">
        <v>72.0</v>
      </c>
      <c r="L217" s="11">
        <v>50.0</v>
      </c>
      <c r="M217" s="14">
        <f t="shared" si="4"/>
        <v>1</v>
      </c>
      <c r="N217" s="11">
        <v>2.0</v>
      </c>
      <c r="O217" s="14">
        <f t="shared" si="5"/>
        <v>1.333333333</v>
      </c>
      <c r="P217" s="11">
        <v>1.0</v>
      </c>
      <c r="Q217" s="15">
        <v>1.0</v>
      </c>
      <c r="R217" s="9">
        <v>10.0</v>
      </c>
      <c r="S217" s="16">
        <f t="shared" si="6"/>
        <v>6.333333333</v>
      </c>
      <c r="T217" s="17">
        <f t="shared" si="7"/>
        <v>0.6333333333</v>
      </c>
      <c r="U217" s="14">
        <f t="shared" si="8"/>
        <v>-3.666666667</v>
      </c>
      <c r="V217" s="9" t="str">
        <f t="shared" si="9"/>
        <v>Average</v>
      </c>
      <c r="W217" s="9"/>
    </row>
    <row r="218" ht="15.75" customHeight="1">
      <c r="A218" s="13">
        <v>46253.0</v>
      </c>
      <c r="B218" s="49" t="s">
        <v>58</v>
      </c>
      <c r="C218" s="9" t="s">
        <v>40</v>
      </c>
      <c r="D218" s="9" t="s">
        <v>27</v>
      </c>
      <c r="E218" s="10">
        <v>0.0</v>
      </c>
      <c r="F218" s="9">
        <f t="shared" si="1"/>
        <v>0</v>
      </c>
      <c r="G218" s="11">
        <v>0.0</v>
      </c>
      <c r="H218" s="9">
        <f t="shared" si="2"/>
        <v>0</v>
      </c>
      <c r="I218" s="11">
        <v>1.0</v>
      </c>
      <c r="J218" s="9">
        <f t="shared" si="3"/>
        <v>1</v>
      </c>
      <c r="K218" s="11">
        <v>53.0</v>
      </c>
      <c r="L218" s="11">
        <v>34.0</v>
      </c>
      <c r="M218" s="14">
        <f t="shared" si="4"/>
        <v>0.68</v>
      </c>
      <c r="N218" s="11">
        <v>1.0</v>
      </c>
      <c r="O218" s="14">
        <f t="shared" si="5"/>
        <v>0.6666666667</v>
      </c>
      <c r="P218" s="11">
        <v>1.0</v>
      </c>
      <c r="Q218" s="15">
        <v>1.0</v>
      </c>
      <c r="R218" s="9">
        <v>10.0</v>
      </c>
      <c r="S218" s="16">
        <f t="shared" si="6"/>
        <v>4.346666667</v>
      </c>
      <c r="T218" s="17">
        <f t="shared" si="7"/>
        <v>0.4346666667</v>
      </c>
      <c r="U218" s="14">
        <f t="shared" si="8"/>
        <v>-5.653333333</v>
      </c>
      <c r="V218" s="9" t="str">
        <f t="shared" si="9"/>
        <v>Low Performance</v>
      </c>
      <c r="W218" s="9"/>
    </row>
    <row r="219" ht="15.75" customHeight="1">
      <c r="A219" s="13">
        <v>46253.0</v>
      </c>
      <c r="B219" s="50" t="s">
        <v>59</v>
      </c>
      <c r="C219" s="9" t="s">
        <v>40</v>
      </c>
      <c r="D219" s="9" t="s">
        <v>27</v>
      </c>
      <c r="E219" s="10">
        <v>0.0</v>
      </c>
      <c r="F219" s="9">
        <f t="shared" si="1"/>
        <v>0</v>
      </c>
      <c r="G219" s="11">
        <v>0.0</v>
      </c>
      <c r="H219" s="9">
        <f t="shared" si="2"/>
        <v>0</v>
      </c>
      <c r="I219" s="11">
        <v>0.0</v>
      </c>
      <c r="J219" s="9">
        <f t="shared" si="3"/>
        <v>0</v>
      </c>
      <c r="K219" s="11">
        <v>18.0</v>
      </c>
      <c r="L219" s="11">
        <v>15.0</v>
      </c>
      <c r="M219" s="14">
        <f t="shared" si="4"/>
        <v>0.3</v>
      </c>
      <c r="N219" s="11">
        <v>1.0</v>
      </c>
      <c r="O219" s="14">
        <f t="shared" si="5"/>
        <v>0.6666666667</v>
      </c>
      <c r="P219" s="11">
        <v>1.0</v>
      </c>
      <c r="Q219" s="15">
        <v>1.0</v>
      </c>
      <c r="R219" s="9">
        <v>10.0</v>
      </c>
      <c r="S219" s="16">
        <f t="shared" si="6"/>
        <v>2.966666667</v>
      </c>
      <c r="T219" s="17">
        <f t="shared" si="7"/>
        <v>0.2966666667</v>
      </c>
      <c r="U219" s="14">
        <f t="shared" si="8"/>
        <v>-7.033333333</v>
      </c>
      <c r="V219" s="9" t="str">
        <f t="shared" si="9"/>
        <v>Low Performance</v>
      </c>
      <c r="W219" s="9"/>
    </row>
    <row r="220" ht="15.75" customHeight="1">
      <c r="A220" s="13">
        <v>46253.0</v>
      </c>
      <c r="B220" s="49" t="s">
        <v>41</v>
      </c>
      <c r="C220" s="9" t="s">
        <v>40</v>
      </c>
      <c r="D220" s="9" t="s">
        <v>27</v>
      </c>
      <c r="E220" s="10">
        <v>0.0</v>
      </c>
      <c r="F220" s="9">
        <f t="shared" si="1"/>
        <v>0</v>
      </c>
      <c r="G220" s="11">
        <v>1.0</v>
      </c>
      <c r="H220" s="9">
        <f t="shared" si="2"/>
        <v>1</v>
      </c>
      <c r="I220" s="11">
        <v>0.0</v>
      </c>
      <c r="J220" s="9">
        <f t="shared" si="3"/>
        <v>0</v>
      </c>
      <c r="K220" s="11">
        <v>50.0</v>
      </c>
      <c r="L220" s="11">
        <v>14.0</v>
      </c>
      <c r="M220" s="14">
        <f t="shared" si="4"/>
        <v>0.28</v>
      </c>
      <c r="N220" s="11">
        <v>1.0</v>
      </c>
      <c r="O220" s="14">
        <f t="shared" si="5"/>
        <v>0.6666666667</v>
      </c>
      <c r="P220" s="11">
        <v>1.0</v>
      </c>
      <c r="Q220" s="15">
        <v>1.0</v>
      </c>
      <c r="R220" s="9">
        <v>10.0</v>
      </c>
      <c r="S220" s="16">
        <f t="shared" si="6"/>
        <v>3.946666667</v>
      </c>
      <c r="T220" s="17">
        <f t="shared" si="7"/>
        <v>0.3946666667</v>
      </c>
      <c r="U220" s="14">
        <f t="shared" si="8"/>
        <v>-6.053333333</v>
      </c>
      <c r="V220" s="9" t="str">
        <f t="shared" si="9"/>
        <v>Low Performance</v>
      </c>
      <c r="W220" s="9"/>
    </row>
    <row r="221" ht="15.75" customHeight="1">
      <c r="A221" s="13">
        <v>46253.0</v>
      </c>
      <c r="B221" s="49" t="s">
        <v>42</v>
      </c>
      <c r="C221" s="9" t="s">
        <v>40</v>
      </c>
      <c r="D221" s="9" t="s">
        <v>27</v>
      </c>
      <c r="E221" s="10">
        <v>0.0</v>
      </c>
      <c r="F221" s="9">
        <f t="shared" si="1"/>
        <v>0</v>
      </c>
      <c r="G221" s="11">
        <v>0.0</v>
      </c>
      <c r="H221" s="9">
        <f t="shared" si="2"/>
        <v>0</v>
      </c>
      <c r="I221" s="11">
        <v>0.0</v>
      </c>
      <c r="J221" s="9">
        <f t="shared" si="3"/>
        <v>0</v>
      </c>
      <c r="K221" s="11">
        <v>52.0</v>
      </c>
      <c r="L221" s="11">
        <v>27.0</v>
      </c>
      <c r="M221" s="14">
        <f t="shared" si="4"/>
        <v>0.54</v>
      </c>
      <c r="N221" s="11">
        <v>2.0</v>
      </c>
      <c r="O221" s="14">
        <f t="shared" si="5"/>
        <v>1.333333333</v>
      </c>
      <c r="P221" s="11">
        <v>1.0</v>
      </c>
      <c r="Q221" s="15">
        <v>1.0</v>
      </c>
      <c r="R221" s="9">
        <v>10.0</v>
      </c>
      <c r="S221" s="16">
        <f t="shared" si="6"/>
        <v>3.873333333</v>
      </c>
      <c r="T221" s="17">
        <f t="shared" si="7"/>
        <v>0.3873333333</v>
      </c>
      <c r="U221" s="14">
        <f t="shared" si="8"/>
        <v>-6.126666667</v>
      </c>
      <c r="V221" s="9" t="str">
        <f t="shared" si="9"/>
        <v>Low Performance</v>
      </c>
      <c r="W221" s="9"/>
    </row>
    <row r="222" ht="15.75" customHeight="1">
      <c r="A222" s="13">
        <v>46253.0</v>
      </c>
      <c r="B222" s="49" t="s">
        <v>60</v>
      </c>
      <c r="C222" s="9" t="s">
        <v>40</v>
      </c>
      <c r="D222" s="9" t="s">
        <v>27</v>
      </c>
      <c r="E222" s="10">
        <v>0.0</v>
      </c>
      <c r="F222" s="9">
        <f t="shared" si="1"/>
        <v>0</v>
      </c>
      <c r="G222" s="11">
        <v>0.0</v>
      </c>
      <c r="H222" s="9">
        <f t="shared" si="2"/>
        <v>0</v>
      </c>
      <c r="I222" s="11">
        <v>1.0</v>
      </c>
      <c r="J222" s="9">
        <f t="shared" si="3"/>
        <v>1</v>
      </c>
      <c r="K222" s="11">
        <v>50.0</v>
      </c>
      <c r="L222" s="11">
        <v>38.0</v>
      </c>
      <c r="M222" s="14">
        <f t="shared" si="4"/>
        <v>0.76</v>
      </c>
      <c r="N222" s="11">
        <v>2.0</v>
      </c>
      <c r="O222" s="14">
        <f t="shared" si="5"/>
        <v>1.333333333</v>
      </c>
      <c r="P222" s="11">
        <v>1.0</v>
      </c>
      <c r="Q222" s="15">
        <v>1.0</v>
      </c>
      <c r="R222" s="9">
        <v>10.0</v>
      </c>
      <c r="S222" s="16">
        <f t="shared" si="6"/>
        <v>5.093333333</v>
      </c>
      <c r="T222" s="17">
        <f t="shared" si="7"/>
        <v>0.5093333333</v>
      </c>
      <c r="U222" s="14">
        <f t="shared" si="8"/>
        <v>-4.906666667</v>
      </c>
      <c r="V222" s="9" t="str">
        <f t="shared" si="9"/>
        <v>Average</v>
      </c>
      <c r="W222" s="9"/>
    </row>
    <row r="223" ht="15.75" customHeight="1">
      <c r="A223" s="13">
        <v>46253.0</v>
      </c>
      <c r="B223" s="49" t="s">
        <v>47</v>
      </c>
      <c r="C223" s="9" t="s">
        <v>48</v>
      </c>
      <c r="D223" s="9" t="s">
        <v>27</v>
      </c>
      <c r="E223" s="10">
        <v>0.0</v>
      </c>
      <c r="F223" s="9">
        <f t="shared" si="1"/>
        <v>0</v>
      </c>
      <c r="G223" s="11">
        <v>0.0</v>
      </c>
      <c r="H223" s="9">
        <f t="shared" si="2"/>
        <v>0</v>
      </c>
      <c r="I223" s="11">
        <v>1.0</v>
      </c>
      <c r="J223" s="9">
        <f t="shared" si="3"/>
        <v>1</v>
      </c>
      <c r="K223" s="11">
        <v>37.0</v>
      </c>
      <c r="L223" s="11">
        <v>21.0</v>
      </c>
      <c r="M223" s="14">
        <f t="shared" si="4"/>
        <v>0.42</v>
      </c>
      <c r="N223" s="11">
        <v>2.0</v>
      </c>
      <c r="O223" s="14">
        <f t="shared" si="5"/>
        <v>1.333333333</v>
      </c>
      <c r="P223" s="11">
        <v>1.0</v>
      </c>
      <c r="Q223" s="15">
        <v>0.75</v>
      </c>
      <c r="R223" s="9">
        <v>10.0</v>
      </c>
      <c r="S223" s="16">
        <f t="shared" si="6"/>
        <v>4.503333333</v>
      </c>
      <c r="T223" s="17">
        <f t="shared" si="7"/>
        <v>0.4503333333</v>
      </c>
      <c r="U223" s="14">
        <f t="shared" si="8"/>
        <v>-5.496666667</v>
      </c>
      <c r="V223" s="9" t="str">
        <f t="shared" si="9"/>
        <v>Low Performance</v>
      </c>
      <c r="W223" s="9"/>
    </row>
    <row r="224" ht="15.75" customHeight="1">
      <c r="A224" s="13">
        <v>46253.0</v>
      </c>
      <c r="B224" s="49" t="s">
        <v>61</v>
      </c>
      <c r="C224" s="9" t="s">
        <v>48</v>
      </c>
      <c r="D224" s="9" t="s">
        <v>27</v>
      </c>
      <c r="E224" s="10">
        <v>0.0</v>
      </c>
      <c r="F224" s="9">
        <f t="shared" si="1"/>
        <v>0</v>
      </c>
      <c r="G224" s="11">
        <v>0.0</v>
      </c>
      <c r="H224" s="9">
        <f t="shared" si="2"/>
        <v>0</v>
      </c>
      <c r="I224" s="11">
        <v>0.0</v>
      </c>
      <c r="J224" s="9">
        <f t="shared" si="3"/>
        <v>0</v>
      </c>
      <c r="K224" s="11">
        <v>0.0</v>
      </c>
      <c r="L224" s="11">
        <v>0.0</v>
      </c>
      <c r="M224" s="14">
        <f t="shared" si="4"/>
        <v>0</v>
      </c>
      <c r="N224" s="11">
        <v>0.0</v>
      </c>
      <c r="O224" s="14">
        <f t="shared" si="5"/>
        <v>0</v>
      </c>
      <c r="P224" s="11">
        <v>0.0</v>
      </c>
      <c r="Q224" s="15">
        <v>0.0</v>
      </c>
      <c r="R224" s="9">
        <v>10.0</v>
      </c>
      <c r="S224" s="16">
        <f t="shared" si="6"/>
        <v>0</v>
      </c>
      <c r="T224" s="17">
        <f t="shared" si="7"/>
        <v>0</v>
      </c>
      <c r="U224" s="14">
        <f t="shared" si="8"/>
        <v>-10</v>
      </c>
      <c r="V224" s="9" t="str">
        <f t="shared" si="9"/>
        <v>Low Performance</v>
      </c>
      <c r="W224" s="32" t="s">
        <v>51</v>
      </c>
    </row>
    <row r="225" ht="15.75" customHeight="1">
      <c r="A225" s="13">
        <v>46253.0</v>
      </c>
      <c r="B225" s="49" t="s">
        <v>62</v>
      </c>
      <c r="C225" s="9" t="s">
        <v>48</v>
      </c>
      <c r="D225" s="9" t="s">
        <v>27</v>
      </c>
      <c r="E225" s="10">
        <v>0.0</v>
      </c>
      <c r="F225" s="9">
        <f t="shared" si="1"/>
        <v>0</v>
      </c>
      <c r="G225" s="11">
        <v>0.0</v>
      </c>
      <c r="H225" s="9">
        <f t="shared" si="2"/>
        <v>0</v>
      </c>
      <c r="I225" s="11">
        <v>0.0</v>
      </c>
      <c r="J225" s="9">
        <f t="shared" si="3"/>
        <v>0</v>
      </c>
      <c r="K225" s="11">
        <v>40.0</v>
      </c>
      <c r="L225" s="11">
        <v>16.0</v>
      </c>
      <c r="M225" s="14">
        <f t="shared" si="4"/>
        <v>0.32</v>
      </c>
      <c r="N225" s="11">
        <v>1.0</v>
      </c>
      <c r="O225" s="14">
        <f t="shared" si="5"/>
        <v>0.6666666667</v>
      </c>
      <c r="P225" s="11">
        <v>1.0</v>
      </c>
      <c r="Q225" s="15">
        <v>1.0</v>
      </c>
      <c r="R225" s="9">
        <v>10.0</v>
      </c>
      <c r="S225" s="16">
        <f t="shared" si="6"/>
        <v>2.986666667</v>
      </c>
      <c r="T225" s="17">
        <f t="shared" si="7"/>
        <v>0.2986666667</v>
      </c>
      <c r="U225" s="14">
        <f t="shared" si="8"/>
        <v>-7.013333333</v>
      </c>
      <c r="V225" s="9" t="str">
        <f t="shared" si="9"/>
        <v>Low Performance</v>
      </c>
      <c r="W225" s="9"/>
    </row>
    <row r="226" ht="15.75" customHeight="1">
      <c r="A226" s="13">
        <v>46253.0</v>
      </c>
      <c r="B226" s="49" t="s">
        <v>63</v>
      </c>
      <c r="C226" s="9" t="s">
        <v>48</v>
      </c>
      <c r="D226" s="9" t="s">
        <v>27</v>
      </c>
      <c r="E226" s="10">
        <v>0.0</v>
      </c>
      <c r="F226" s="9">
        <f t="shared" si="1"/>
        <v>0</v>
      </c>
      <c r="G226" s="11">
        <v>0.0</v>
      </c>
      <c r="H226" s="9">
        <f t="shared" si="2"/>
        <v>0</v>
      </c>
      <c r="I226" s="11">
        <v>1.0</v>
      </c>
      <c r="J226" s="9">
        <f t="shared" si="3"/>
        <v>1</v>
      </c>
      <c r="K226" s="11">
        <v>60.0</v>
      </c>
      <c r="L226" s="11">
        <v>29.0</v>
      </c>
      <c r="M226" s="14">
        <f t="shared" si="4"/>
        <v>0.58</v>
      </c>
      <c r="N226" s="11">
        <v>2.0</v>
      </c>
      <c r="O226" s="14">
        <f t="shared" si="5"/>
        <v>1.333333333</v>
      </c>
      <c r="P226" s="11">
        <v>1.0</v>
      </c>
      <c r="Q226" s="15">
        <v>1.0</v>
      </c>
      <c r="R226" s="9">
        <v>10.0</v>
      </c>
      <c r="S226" s="16">
        <f t="shared" si="6"/>
        <v>4.913333333</v>
      </c>
      <c r="T226" s="17">
        <f t="shared" si="7"/>
        <v>0.4913333333</v>
      </c>
      <c r="U226" s="14">
        <f t="shared" si="8"/>
        <v>-5.086666667</v>
      </c>
      <c r="V226" s="9" t="str">
        <f t="shared" si="9"/>
        <v>Low Performance</v>
      </c>
      <c r="W226" s="9"/>
    </row>
    <row r="227" ht="15.75" customHeight="1">
      <c r="A227" s="13">
        <v>46254.0</v>
      </c>
      <c r="B227" s="49" t="s">
        <v>28</v>
      </c>
      <c r="C227" s="9" t="s">
        <v>29</v>
      </c>
      <c r="D227" s="9" t="s">
        <v>27</v>
      </c>
      <c r="E227" s="10">
        <v>0.0</v>
      </c>
      <c r="F227" s="9">
        <f t="shared" si="1"/>
        <v>0</v>
      </c>
      <c r="G227" s="11">
        <v>1.0</v>
      </c>
      <c r="H227" s="9">
        <f t="shared" si="2"/>
        <v>1</v>
      </c>
      <c r="I227" s="11">
        <v>0.0</v>
      </c>
      <c r="J227" s="9">
        <f t="shared" si="3"/>
        <v>0</v>
      </c>
      <c r="K227" s="11">
        <v>103.0</v>
      </c>
      <c r="L227" s="11">
        <v>50.0</v>
      </c>
      <c r="M227" s="14">
        <f t="shared" si="4"/>
        <v>1</v>
      </c>
      <c r="N227" s="11">
        <v>2.0</v>
      </c>
      <c r="O227" s="14">
        <f t="shared" si="5"/>
        <v>1.333333333</v>
      </c>
      <c r="P227" s="11">
        <v>1.0</v>
      </c>
      <c r="Q227" s="15">
        <v>1.0</v>
      </c>
      <c r="R227" s="9">
        <v>10.0</v>
      </c>
      <c r="S227" s="16">
        <f t="shared" si="6"/>
        <v>5.333333333</v>
      </c>
      <c r="T227" s="17">
        <f t="shared" si="7"/>
        <v>0.5333333333</v>
      </c>
      <c r="U227" s="14">
        <f t="shared" si="8"/>
        <v>-4.666666667</v>
      </c>
      <c r="V227" s="9" t="str">
        <f t="shared" si="9"/>
        <v>Average</v>
      </c>
      <c r="W227" s="9"/>
    </row>
    <row r="228" ht="15.75" customHeight="1">
      <c r="A228" s="13">
        <v>46254.0</v>
      </c>
      <c r="B228" s="49" t="s">
        <v>36</v>
      </c>
      <c r="C228" s="9" t="s">
        <v>29</v>
      </c>
      <c r="D228" s="9" t="s">
        <v>27</v>
      </c>
      <c r="E228" s="10">
        <v>0.0</v>
      </c>
      <c r="F228" s="9">
        <f t="shared" si="1"/>
        <v>0</v>
      </c>
      <c r="G228" s="11">
        <v>1.0</v>
      </c>
      <c r="H228" s="9">
        <f t="shared" si="2"/>
        <v>1</v>
      </c>
      <c r="I228" s="11">
        <v>1.0</v>
      </c>
      <c r="J228" s="9">
        <f t="shared" si="3"/>
        <v>1</v>
      </c>
      <c r="K228" s="11">
        <v>58.0</v>
      </c>
      <c r="L228" s="11">
        <v>34.0</v>
      </c>
      <c r="M228" s="14">
        <f t="shared" si="4"/>
        <v>0.68</v>
      </c>
      <c r="N228" s="11">
        <v>2.0</v>
      </c>
      <c r="O228" s="14">
        <f t="shared" si="5"/>
        <v>1.333333333</v>
      </c>
      <c r="P228" s="11">
        <v>1.0</v>
      </c>
      <c r="Q228" s="15">
        <v>1.0</v>
      </c>
      <c r="R228" s="9">
        <v>10.0</v>
      </c>
      <c r="S228" s="16">
        <f t="shared" si="6"/>
        <v>6.013333333</v>
      </c>
      <c r="T228" s="17">
        <f t="shared" si="7"/>
        <v>0.6013333333</v>
      </c>
      <c r="U228" s="14">
        <f t="shared" si="8"/>
        <v>-3.986666667</v>
      </c>
      <c r="V228" s="9" t="str">
        <f t="shared" si="9"/>
        <v>Average</v>
      </c>
      <c r="W228" s="9"/>
    </row>
    <row r="229" ht="15.75" customHeight="1">
      <c r="A229" s="13">
        <v>46254.0</v>
      </c>
      <c r="B229" s="49" t="s">
        <v>56</v>
      </c>
      <c r="C229" s="9" t="s">
        <v>29</v>
      </c>
      <c r="D229" s="9" t="s">
        <v>27</v>
      </c>
      <c r="E229" s="10">
        <v>0.0</v>
      </c>
      <c r="F229" s="9">
        <f t="shared" si="1"/>
        <v>0</v>
      </c>
      <c r="G229" s="11">
        <v>0.0</v>
      </c>
      <c r="H229" s="9">
        <f t="shared" si="2"/>
        <v>0</v>
      </c>
      <c r="I229" s="11">
        <v>0.0</v>
      </c>
      <c r="J229" s="9">
        <f t="shared" si="3"/>
        <v>0</v>
      </c>
      <c r="K229" s="11">
        <v>62.0</v>
      </c>
      <c r="L229" s="11">
        <v>31.0</v>
      </c>
      <c r="M229" s="14">
        <f t="shared" si="4"/>
        <v>0.62</v>
      </c>
      <c r="N229" s="11">
        <v>1.0</v>
      </c>
      <c r="O229" s="14">
        <f t="shared" si="5"/>
        <v>0.6666666667</v>
      </c>
      <c r="P229" s="11">
        <v>1.0</v>
      </c>
      <c r="Q229" s="15">
        <v>1.0</v>
      </c>
      <c r="R229" s="9">
        <v>10.0</v>
      </c>
      <c r="S229" s="16">
        <f t="shared" si="6"/>
        <v>3.286666667</v>
      </c>
      <c r="T229" s="17">
        <f t="shared" si="7"/>
        <v>0.3286666667</v>
      </c>
      <c r="U229" s="14">
        <f t="shared" si="8"/>
        <v>-6.713333333</v>
      </c>
      <c r="V229" s="9" t="str">
        <f t="shared" si="9"/>
        <v>Low Performance</v>
      </c>
      <c r="W229" s="9"/>
    </row>
    <row r="230" ht="15.75" customHeight="1">
      <c r="A230" s="13">
        <v>46254.0</v>
      </c>
      <c r="B230" s="49" t="s">
        <v>37</v>
      </c>
      <c r="C230" s="9" t="s">
        <v>29</v>
      </c>
      <c r="D230" s="9" t="s">
        <v>27</v>
      </c>
      <c r="E230" s="10">
        <v>0.0</v>
      </c>
      <c r="F230" s="9">
        <f t="shared" si="1"/>
        <v>0</v>
      </c>
      <c r="G230" s="11">
        <v>1.0</v>
      </c>
      <c r="H230" s="9">
        <f t="shared" si="2"/>
        <v>1</v>
      </c>
      <c r="I230" s="11">
        <v>1.0</v>
      </c>
      <c r="J230" s="9">
        <f t="shared" si="3"/>
        <v>1</v>
      </c>
      <c r="K230" s="11">
        <v>54.0</v>
      </c>
      <c r="L230" s="11">
        <v>23.0</v>
      </c>
      <c r="M230" s="14">
        <f t="shared" si="4"/>
        <v>0.46</v>
      </c>
      <c r="N230" s="11">
        <v>2.0</v>
      </c>
      <c r="O230" s="14">
        <f t="shared" si="5"/>
        <v>1.333333333</v>
      </c>
      <c r="P230" s="11">
        <v>1.0</v>
      </c>
      <c r="Q230" s="15">
        <v>1.0</v>
      </c>
      <c r="R230" s="9">
        <v>10.0</v>
      </c>
      <c r="S230" s="16">
        <f t="shared" si="6"/>
        <v>5.793333333</v>
      </c>
      <c r="T230" s="17">
        <f t="shared" si="7"/>
        <v>0.5793333333</v>
      </c>
      <c r="U230" s="14">
        <f t="shared" si="8"/>
        <v>-4.206666667</v>
      </c>
      <c r="V230" s="9" t="str">
        <f t="shared" si="9"/>
        <v>Average</v>
      </c>
      <c r="W230" s="9"/>
    </row>
    <row r="231" ht="15.75" customHeight="1">
      <c r="A231" s="13">
        <v>46254.0</v>
      </c>
      <c r="B231" s="49" t="s">
        <v>57</v>
      </c>
      <c r="C231" s="9" t="s">
        <v>29</v>
      </c>
      <c r="D231" s="9" t="s">
        <v>27</v>
      </c>
      <c r="E231" s="10">
        <v>0.0</v>
      </c>
      <c r="F231" s="9">
        <f t="shared" si="1"/>
        <v>0</v>
      </c>
      <c r="G231" s="11">
        <v>1.0</v>
      </c>
      <c r="H231" s="9">
        <f t="shared" si="2"/>
        <v>1</v>
      </c>
      <c r="I231" s="11">
        <v>1.0</v>
      </c>
      <c r="J231" s="9">
        <f t="shared" si="3"/>
        <v>1</v>
      </c>
      <c r="K231" s="11">
        <v>69.0</v>
      </c>
      <c r="L231" s="11">
        <v>28.0</v>
      </c>
      <c r="M231" s="14">
        <f t="shared" si="4"/>
        <v>0.56</v>
      </c>
      <c r="N231" s="11">
        <v>2.0</v>
      </c>
      <c r="O231" s="14">
        <f t="shared" si="5"/>
        <v>1.333333333</v>
      </c>
      <c r="P231" s="11">
        <v>1.0</v>
      </c>
      <c r="Q231" s="15">
        <v>1.0</v>
      </c>
      <c r="R231" s="9">
        <v>10.0</v>
      </c>
      <c r="S231" s="16">
        <f t="shared" si="6"/>
        <v>5.893333333</v>
      </c>
      <c r="T231" s="17">
        <f t="shared" si="7"/>
        <v>0.5893333333</v>
      </c>
      <c r="U231" s="14">
        <f t="shared" si="8"/>
        <v>-4.106666667</v>
      </c>
      <c r="V231" s="9" t="str">
        <f t="shared" si="9"/>
        <v>Average</v>
      </c>
      <c r="W231" s="9"/>
    </row>
    <row r="232" ht="15.75" customHeight="1">
      <c r="A232" s="13">
        <v>46254.0</v>
      </c>
      <c r="B232" s="49" t="s">
        <v>58</v>
      </c>
      <c r="C232" s="9" t="s">
        <v>40</v>
      </c>
      <c r="D232" s="9" t="s">
        <v>27</v>
      </c>
      <c r="E232" s="10">
        <v>0.0</v>
      </c>
      <c r="F232" s="9">
        <f t="shared" si="1"/>
        <v>0</v>
      </c>
      <c r="G232" s="11">
        <v>1.0</v>
      </c>
      <c r="H232" s="9">
        <f t="shared" si="2"/>
        <v>1</v>
      </c>
      <c r="I232" s="11">
        <v>0.0</v>
      </c>
      <c r="J232" s="9">
        <f t="shared" si="3"/>
        <v>0</v>
      </c>
      <c r="K232" s="11">
        <v>33.0</v>
      </c>
      <c r="L232" s="11">
        <v>17.0</v>
      </c>
      <c r="M232" s="14">
        <f t="shared" si="4"/>
        <v>0.34</v>
      </c>
      <c r="N232" s="11">
        <v>2.0</v>
      </c>
      <c r="O232" s="14">
        <f t="shared" si="5"/>
        <v>1.333333333</v>
      </c>
      <c r="P232" s="11">
        <v>1.0</v>
      </c>
      <c r="Q232" s="15">
        <v>1.0</v>
      </c>
      <c r="R232" s="9">
        <v>10.0</v>
      </c>
      <c r="S232" s="16">
        <f t="shared" si="6"/>
        <v>4.673333333</v>
      </c>
      <c r="T232" s="17">
        <f t="shared" si="7"/>
        <v>0.4673333333</v>
      </c>
      <c r="U232" s="14">
        <f t="shared" si="8"/>
        <v>-5.326666667</v>
      </c>
      <c r="V232" s="9" t="str">
        <f t="shared" si="9"/>
        <v>Low Performance</v>
      </c>
      <c r="W232" s="9"/>
    </row>
    <row r="233" ht="15.75" customHeight="1">
      <c r="A233" s="13">
        <v>46254.0</v>
      </c>
      <c r="B233" s="50" t="s">
        <v>59</v>
      </c>
      <c r="C233" s="9" t="s">
        <v>40</v>
      </c>
      <c r="D233" s="9" t="s">
        <v>27</v>
      </c>
      <c r="E233" s="10">
        <v>90000.0</v>
      </c>
      <c r="F233" s="9">
        <f t="shared" si="1"/>
        <v>3</v>
      </c>
      <c r="G233" s="11">
        <v>1.0</v>
      </c>
      <c r="H233" s="9">
        <f t="shared" si="2"/>
        <v>1</v>
      </c>
      <c r="I233" s="11">
        <v>0.0</v>
      </c>
      <c r="J233" s="9">
        <f t="shared" si="3"/>
        <v>0</v>
      </c>
      <c r="K233" s="11">
        <v>45.0</v>
      </c>
      <c r="L233" s="11">
        <v>32.0</v>
      </c>
      <c r="M233" s="14">
        <f t="shared" si="4"/>
        <v>0.64</v>
      </c>
      <c r="N233" s="11">
        <v>1.0</v>
      </c>
      <c r="O233" s="14">
        <f t="shared" si="5"/>
        <v>0.6666666667</v>
      </c>
      <c r="P233" s="11">
        <v>1.0</v>
      </c>
      <c r="Q233" s="15">
        <v>1.0</v>
      </c>
      <c r="R233" s="9">
        <v>10.0</v>
      </c>
      <c r="S233" s="16">
        <f t="shared" si="6"/>
        <v>7.306666667</v>
      </c>
      <c r="T233" s="17">
        <f t="shared" si="7"/>
        <v>0.7306666667</v>
      </c>
      <c r="U233" s="14">
        <f t="shared" si="8"/>
        <v>-2.693333333</v>
      </c>
      <c r="V233" s="9" t="str">
        <f t="shared" si="9"/>
        <v>Near Target</v>
      </c>
      <c r="W233" s="9"/>
    </row>
    <row r="234" ht="15.75" customHeight="1">
      <c r="A234" s="13">
        <v>46254.0</v>
      </c>
      <c r="B234" s="49" t="s">
        <v>41</v>
      </c>
      <c r="C234" s="9" t="s">
        <v>40</v>
      </c>
      <c r="D234" s="9" t="s">
        <v>27</v>
      </c>
      <c r="E234" s="10">
        <v>0.0</v>
      </c>
      <c r="F234" s="9">
        <f t="shared" si="1"/>
        <v>0</v>
      </c>
      <c r="G234" s="11">
        <v>0.0</v>
      </c>
      <c r="H234" s="9">
        <f t="shared" si="2"/>
        <v>0</v>
      </c>
      <c r="I234" s="11">
        <v>0.0</v>
      </c>
      <c r="J234" s="9">
        <f t="shared" si="3"/>
        <v>0</v>
      </c>
      <c r="K234" s="11">
        <v>60.0</v>
      </c>
      <c r="L234" s="11">
        <v>17.0</v>
      </c>
      <c r="M234" s="14">
        <f t="shared" si="4"/>
        <v>0.34</v>
      </c>
      <c r="N234" s="11">
        <v>1.0</v>
      </c>
      <c r="O234" s="14">
        <f t="shared" si="5"/>
        <v>0.6666666667</v>
      </c>
      <c r="P234" s="11">
        <v>1.0</v>
      </c>
      <c r="Q234" s="15">
        <v>1.0</v>
      </c>
      <c r="R234" s="9">
        <v>10.0</v>
      </c>
      <c r="S234" s="16">
        <f t="shared" si="6"/>
        <v>3.006666667</v>
      </c>
      <c r="T234" s="17">
        <f t="shared" si="7"/>
        <v>0.3006666667</v>
      </c>
      <c r="U234" s="14">
        <f t="shared" si="8"/>
        <v>-6.993333333</v>
      </c>
      <c r="V234" s="9" t="str">
        <f t="shared" si="9"/>
        <v>Low Performance</v>
      </c>
      <c r="W234" s="9"/>
    </row>
    <row r="235" ht="15.75" customHeight="1">
      <c r="A235" s="13">
        <v>46254.0</v>
      </c>
      <c r="B235" s="49" t="s">
        <v>42</v>
      </c>
      <c r="C235" s="9" t="s">
        <v>40</v>
      </c>
      <c r="D235" s="9" t="s">
        <v>27</v>
      </c>
      <c r="E235" s="10">
        <v>0.0</v>
      </c>
      <c r="F235" s="9">
        <f t="shared" si="1"/>
        <v>0</v>
      </c>
      <c r="G235" s="11">
        <v>0.0</v>
      </c>
      <c r="H235" s="9">
        <f t="shared" si="2"/>
        <v>0</v>
      </c>
      <c r="I235" s="11">
        <v>0.0</v>
      </c>
      <c r="J235" s="9">
        <f t="shared" si="3"/>
        <v>0</v>
      </c>
      <c r="K235" s="11">
        <v>0.0</v>
      </c>
      <c r="L235" s="11">
        <v>0.0</v>
      </c>
      <c r="M235" s="14">
        <f t="shared" si="4"/>
        <v>0</v>
      </c>
      <c r="N235" s="11">
        <v>0.0</v>
      </c>
      <c r="O235" s="14">
        <f t="shared" si="5"/>
        <v>0</v>
      </c>
      <c r="P235" s="11">
        <v>0.0</v>
      </c>
      <c r="Q235" s="15">
        <v>0.0</v>
      </c>
      <c r="R235" s="9">
        <v>10.0</v>
      </c>
      <c r="S235" s="16">
        <f t="shared" si="6"/>
        <v>0</v>
      </c>
      <c r="T235" s="17">
        <f t="shared" si="7"/>
        <v>0</v>
      </c>
      <c r="U235" s="14">
        <f t="shared" si="8"/>
        <v>-10</v>
      </c>
      <c r="V235" s="9" t="str">
        <f t="shared" si="9"/>
        <v>Low Performance</v>
      </c>
      <c r="W235" s="32" t="s">
        <v>51</v>
      </c>
    </row>
    <row r="236" ht="15.75" customHeight="1">
      <c r="A236" s="13">
        <v>46254.0</v>
      </c>
      <c r="B236" s="49" t="s">
        <v>60</v>
      </c>
      <c r="C236" s="9" t="s">
        <v>40</v>
      </c>
      <c r="D236" s="9" t="s">
        <v>27</v>
      </c>
      <c r="E236" s="10">
        <v>0.0</v>
      </c>
      <c r="F236" s="9">
        <f t="shared" si="1"/>
        <v>0</v>
      </c>
      <c r="G236" s="11">
        <v>1.0</v>
      </c>
      <c r="H236" s="9">
        <f t="shared" si="2"/>
        <v>1</v>
      </c>
      <c r="I236" s="11">
        <v>0.0</v>
      </c>
      <c r="J236" s="9">
        <f t="shared" si="3"/>
        <v>0</v>
      </c>
      <c r="K236" s="11">
        <v>50.0</v>
      </c>
      <c r="L236" s="11">
        <v>35.0</v>
      </c>
      <c r="M236" s="14">
        <f t="shared" si="4"/>
        <v>0.7</v>
      </c>
      <c r="N236" s="11">
        <v>1.0</v>
      </c>
      <c r="O236" s="14">
        <f t="shared" si="5"/>
        <v>0.6666666667</v>
      </c>
      <c r="P236" s="11">
        <v>1.0</v>
      </c>
      <c r="Q236" s="15">
        <v>1.0</v>
      </c>
      <c r="R236" s="9">
        <v>10.0</v>
      </c>
      <c r="S236" s="16">
        <f t="shared" si="6"/>
        <v>4.366666667</v>
      </c>
      <c r="T236" s="17">
        <f t="shared" si="7"/>
        <v>0.4366666667</v>
      </c>
      <c r="U236" s="14">
        <f t="shared" si="8"/>
        <v>-5.633333333</v>
      </c>
      <c r="V236" s="9" t="str">
        <f t="shared" si="9"/>
        <v>Low Performance</v>
      </c>
      <c r="W236" s="9"/>
    </row>
    <row r="237" ht="15.75" customHeight="1">
      <c r="A237" s="13">
        <v>46254.0</v>
      </c>
      <c r="B237" s="49" t="s">
        <v>47</v>
      </c>
      <c r="C237" s="9" t="s">
        <v>48</v>
      </c>
      <c r="D237" s="9" t="s">
        <v>27</v>
      </c>
      <c r="E237" s="10">
        <v>0.0</v>
      </c>
      <c r="F237" s="9">
        <f t="shared" si="1"/>
        <v>0</v>
      </c>
      <c r="G237" s="11">
        <v>0.0</v>
      </c>
      <c r="H237" s="9">
        <f t="shared" si="2"/>
        <v>0</v>
      </c>
      <c r="I237" s="11">
        <v>0.0</v>
      </c>
      <c r="J237" s="9">
        <f t="shared" si="3"/>
        <v>0</v>
      </c>
      <c r="K237" s="11">
        <v>37.0</v>
      </c>
      <c r="L237" s="11">
        <v>24.0</v>
      </c>
      <c r="M237" s="14">
        <f t="shared" si="4"/>
        <v>0.48</v>
      </c>
      <c r="N237" s="11">
        <v>1.0</v>
      </c>
      <c r="O237" s="14">
        <f t="shared" si="5"/>
        <v>0.6666666667</v>
      </c>
      <c r="P237" s="11">
        <v>1.0</v>
      </c>
      <c r="Q237" s="15">
        <v>0.75</v>
      </c>
      <c r="R237" s="9">
        <v>10.0</v>
      </c>
      <c r="S237" s="16">
        <f t="shared" si="6"/>
        <v>2.896666667</v>
      </c>
      <c r="T237" s="17">
        <f t="shared" si="7"/>
        <v>0.2896666667</v>
      </c>
      <c r="U237" s="14">
        <f t="shared" si="8"/>
        <v>-7.103333333</v>
      </c>
      <c r="V237" s="9" t="str">
        <f t="shared" si="9"/>
        <v>Low Performance</v>
      </c>
      <c r="W237" s="9"/>
    </row>
    <row r="238" ht="15.75" customHeight="1">
      <c r="A238" s="13">
        <v>46254.0</v>
      </c>
      <c r="B238" s="49" t="s">
        <v>61</v>
      </c>
      <c r="C238" s="9" t="s">
        <v>48</v>
      </c>
      <c r="D238" s="9" t="s">
        <v>27</v>
      </c>
      <c r="E238" s="10">
        <v>0.0</v>
      </c>
      <c r="F238" s="9">
        <f t="shared" si="1"/>
        <v>0</v>
      </c>
      <c r="G238" s="11">
        <v>0.0</v>
      </c>
      <c r="H238" s="9">
        <f t="shared" si="2"/>
        <v>0</v>
      </c>
      <c r="I238" s="11">
        <v>0.0</v>
      </c>
      <c r="J238" s="9">
        <f t="shared" si="3"/>
        <v>0</v>
      </c>
      <c r="K238" s="11">
        <v>0.0</v>
      </c>
      <c r="L238" s="11">
        <v>0.0</v>
      </c>
      <c r="M238" s="14">
        <f t="shared" si="4"/>
        <v>0</v>
      </c>
      <c r="N238" s="11">
        <v>0.0</v>
      </c>
      <c r="O238" s="14">
        <f t="shared" si="5"/>
        <v>0</v>
      </c>
      <c r="P238" s="11">
        <v>0.0</v>
      </c>
      <c r="Q238" s="15">
        <v>0.0</v>
      </c>
      <c r="R238" s="9">
        <v>10.0</v>
      </c>
      <c r="S238" s="16">
        <f t="shared" si="6"/>
        <v>0</v>
      </c>
      <c r="T238" s="17">
        <f t="shared" si="7"/>
        <v>0</v>
      </c>
      <c r="U238" s="14">
        <f t="shared" si="8"/>
        <v>-10</v>
      </c>
      <c r="V238" s="9" t="str">
        <f t="shared" si="9"/>
        <v>Low Performance</v>
      </c>
      <c r="W238" s="32" t="s">
        <v>51</v>
      </c>
    </row>
    <row r="239" ht="15.75" customHeight="1">
      <c r="A239" s="13">
        <v>46254.0</v>
      </c>
      <c r="B239" s="49" t="s">
        <v>62</v>
      </c>
      <c r="C239" s="9" t="s">
        <v>48</v>
      </c>
      <c r="D239" s="9" t="s">
        <v>27</v>
      </c>
      <c r="E239" s="10">
        <v>0.0</v>
      </c>
      <c r="F239" s="9">
        <f t="shared" si="1"/>
        <v>0</v>
      </c>
      <c r="G239" s="11">
        <v>1.0</v>
      </c>
      <c r="H239" s="9">
        <f t="shared" si="2"/>
        <v>1</v>
      </c>
      <c r="I239" s="11">
        <v>1.0</v>
      </c>
      <c r="J239" s="9">
        <f t="shared" si="3"/>
        <v>1</v>
      </c>
      <c r="K239" s="11">
        <v>40.0</v>
      </c>
      <c r="L239" s="11">
        <v>25.0</v>
      </c>
      <c r="M239" s="14">
        <f t="shared" si="4"/>
        <v>0.5</v>
      </c>
      <c r="N239" s="11">
        <v>1.0</v>
      </c>
      <c r="O239" s="14">
        <f t="shared" si="5"/>
        <v>0.6666666667</v>
      </c>
      <c r="P239" s="11">
        <v>1.0</v>
      </c>
      <c r="Q239" s="15">
        <v>1.0</v>
      </c>
      <c r="R239" s="9">
        <v>10.0</v>
      </c>
      <c r="S239" s="16">
        <f t="shared" si="6"/>
        <v>5.166666667</v>
      </c>
      <c r="T239" s="17">
        <f t="shared" si="7"/>
        <v>0.5166666667</v>
      </c>
      <c r="U239" s="14">
        <f t="shared" si="8"/>
        <v>-4.833333333</v>
      </c>
      <c r="V239" s="9" t="str">
        <f t="shared" si="9"/>
        <v>Average</v>
      </c>
      <c r="W239" s="9"/>
    </row>
    <row r="240" ht="15.75" customHeight="1">
      <c r="A240" s="13">
        <v>46254.0</v>
      </c>
      <c r="B240" s="49" t="s">
        <v>63</v>
      </c>
      <c r="C240" s="9" t="s">
        <v>48</v>
      </c>
      <c r="D240" s="9" t="s">
        <v>27</v>
      </c>
      <c r="E240" s="10">
        <v>10000.0</v>
      </c>
      <c r="F240" s="9">
        <f t="shared" si="1"/>
        <v>3</v>
      </c>
      <c r="G240" s="11">
        <v>0.0</v>
      </c>
      <c r="H240" s="9">
        <f t="shared" si="2"/>
        <v>0</v>
      </c>
      <c r="I240" s="11">
        <v>1.0</v>
      </c>
      <c r="J240" s="9">
        <f t="shared" si="3"/>
        <v>1</v>
      </c>
      <c r="K240" s="11">
        <v>46.0</v>
      </c>
      <c r="L240" s="11">
        <v>41.0</v>
      </c>
      <c r="M240" s="14">
        <f t="shared" si="4"/>
        <v>0.82</v>
      </c>
      <c r="N240" s="11">
        <v>1.0</v>
      </c>
      <c r="O240" s="14">
        <f t="shared" si="5"/>
        <v>0.6666666667</v>
      </c>
      <c r="P240" s="11">
        <v>1.0</v>
      </c>
      <c r="Q240" s="15">
        <v>1.0</v>
      </c>
      <c r="R240" s="9">
        <v>10.0</v>
      </c>
      <c r="S240" s="16">
        <f t="shared" si="6"/>
        <v>7.486666667</v>
      </c>
      <c r="T240" s="17">
        <f t="shared" si="7"/>
        <v>0.7486666667</v>
      </c>
      <c r="U240" s="14">
        <f t="shared" si="8"/>
        <v>-2.513333333</v>
      </c>
      <c r="V240" s="9" t="str">
        <f t="shared" si="9"/>
        <v>Near Target</v>
      </c>
      <c r="W240" s="9"/>
    </row>
    <row r="241" ht="15.75" customHeight="1">
      <c r="A241" s="13">
        <v>46256.0</v>
      </c>
      <c r="B241" s="49" t="s">
        <v>28</v>
      </c>
      <c r="C241" s="9" t="s">
        <v>29</v>
      </c>
      <c r="D241" s="9" t="s">
        <v>27</v>
      </c>
      <c r="E241" s="10">
        <v>0.0</v>
      </c>
      <c r="F241" s="9">
        <f t="shared" si="1"/>
        <v>0</v>
      </c>
      <c r="G241" s="11">
        <v>0.0</v>
      </c>
      <c r="H241" s="9">
        <f t="shared" si="2"/>
        <v>0</v>
      </c>
      <c r="I241" s="11">
        <v>0.0</v>
      </c>
      <c r="J241" s="9">
        <f t="shared" si="3"/>
        <v>0</v>
      </c>
      <c r="K241" s="11">
        <v>122.0</v>
      </c>
      <c r="L241" s="11">
        <v>50.0</v>
      </c>
      <c r="M241" s="14">
        <f t="shared" si="4"/>
        <v>1</v>
      </c>
      <c r="N241" s="11">
        <v>2.0</v>
      </c>
      <c r="O241" s="14">
        <f t="shared" si="5"/>
        <v>1.333333333</v>
      </c>
      <c r="P241" s="11">
        <v>1.0</v>
      </c>
      <c r="Q241" s="15">
        <v>1.0</v>
      </c>
      <c r="R241" s="9">
        <v>10.0</v>
      </c>
      <c r="S241" s="16">
        <f t="shared" si="6"/>
        <v>4.333333333</v>
      </c>
      <c r="T241" s="17">
        <f t="shared" si="7"/>
        <v>0.4333333333</v>
      </c>
      <c r="U241" s="14">
        <f t="shared" si="8"/>
        <v>-5.666666667</v>
      </c>
      <c r="V241" s="9" t="str">
        <f t="shared" si="9"/>
        <v>Low Performance</v>
      </c>
      <c r="W241" s="9"/>
    </row>
    <row r="242" ht="15.75" customHeight="1">
      <c r="A242" s="13">
        <v>46256.0</v>
      </c>
      <c r="B242" s="49" t="s">
        <v>36</v>
      </c>
      <c r="C242" s="9" t="s">
        <v>29</v>
      </c>
      <c r="D242" s="9" t="s">
        <v>27</v>
      </c>
      <c r="E242" s="10">
        <v>0.0</v>
      </c>
      <c r="F242" s="9">
        <f t="shared" si="1"/>
        <v>0</v>
      </c>
      <c r="G242" s="11">
        <v>1.0</v>
      </c>
      <c r="H242" s="9">
        <f t="shared" si="2"/>
        <v>1</v>
      </c>
      <c r="I242" s="11">
        <v>1.0</v>
      </c>
      <c r="J242" s="9">
        <f t="shared" si="3"/>
        <v>1</v>
      </c>
      <c r="K242" s="11">
        <v>57.0</v>
      </c>
      <c r="L242" s="11">
        <v>37.0</v>
      </c>
      <c r="M242" s="14">
        <f t="shared" si="4"/>
        <v>0.74</v>
      </c>
      <c r="N242" s="11">
        <v>2.0</v>
      </c>
      <c r="O242" s="14">
        <f t="shared" si="5"/>
        <v>1.333333333</v>
      </c>
      <c r="P242" s="11">
        <v>1.0</v>
      </c>
      <c r="Q242" s="15">
        <v>1.0</v>
      </c>
      <c r="R242" s="9">
        <v>10.0</v>
      </c>
      <c r="S242" s="16">
        <f t="shared" si="6"/>
        <v>6.073333333</v>
      </c>
      <c r="T242" s="17">
        <f t="shared" si="7"/>
        <v>0.6073333333</v>
      </c>
      <c r="U242" s="14">
        <f t="shared" si="8"/>
        <v>-3.926666667</v>
      </c>
      <c r="V242" s="9" t="str">
        <f t="shared" si="9"/>
        <v>Average</v>
      </c>
      <c r="W242" s="9"/>
    </row>
    <row r="243" ht="15.75" customHeight="1">
      <c r="A243" s="13">
        <v>46256.0</v>
      </c>
      <c r="B243" s="49" t="s">
        <v>56</v>
      </c>
      <c r="C243" s="9" t="s">
        <v>29</v>
      </c>
      <c r="D243" s="9" t="s">
        <v>27</v>
      </c>
      <c r="E243" s="10">
        <v>0.0</v>
      </c>
      <c r="F243" s="9">
        <f t="shared" si="1"/>
        <v>0</v>
      </c>
      <c r="G243" s="11">
        <v>0.0</v>
      </c>
      <c r="H243" s="9">
        <f t="shared" si="2"/>
        <v>0</v>
      </c>
      <c r="I243" s="11">
        <v>0.0</v>
      </c>
      <c r="J243" s="9">
        <f t="shared" si="3"/>
        <v>0</v>
      </c>
      <c r="K243" s="11">
        <v>0.0</v>
      </c>
      <c r="L243" s="11">
        <v>0.0</v>
      </c>
      <c r="M243" s="14">
        <f t="shared" si="4"/>
        <v>0</v>
      </c>
      <c r="N243" s="11">
        <v>0.0</v>
      </c>
      <c r="O243" s="14">
        <f t="shared" si="5"/>
        <v>0</v>
      </c>
      <c r="P243" s="11">
        <v>0.0</v>
      </c>
      <c r="Q243" s="15">
        <v>0.0</v>
      </c>
      <c r="R243" s="9">
        <v>10.0</v>
      </c>
      <c r="S243" s="16">
        <f t="shared" si="6"/>
        <v>0</v>
      </c>
      <c r="T243" s="17">
        <f t="shared" si="7"/>
        <v>0</v>
      </c>
      <c r="U243" s="14">
        <f t="shared" si="8"/>
        <v>-10</v>
      </c>
      <c r="V243" s="9" t="str">
        <f t="shared" si="9"/>
        <v>Low Performance</v>
      </c>
      <c r="W243" s="32" t="s">
        <v>51</v>
      </c>
    </row>
    <row r="244" ht="15.75" customHeight="1">
      <c r="A244" s="13">
        <v>46256.0</v>
      </c>
      <c r="B244" s="49" t="s">
        <v>37</v>
      </c>
      <c r="C244" s="9" t="s">
        <v>29</v>
      </c>
      <c r="D244" s="9" t="s">
        <v>27</v>
      </c>
      <c r="E244" s="10">
        <v>0.0</v>
      </c>
      <c r="F244" s="9">
        <f t="shared" si="1"/>
        <v>0</v>
      </c>
      <c r="G244" s="11">
        <v>0.0</v>
      </c>
      <c r="H244" s="9">
        <f t="shared" si="2"/>
        <v>0</v>
      </c>
      <c r="I244" s="11">
        <v>1.0</v>
      </c>
      <c r="J244" s="9">
        <f t="shared" si="3"/>
        <v>1</v>
      </c>
      <c r="K244" s="11">
        <v>50.0</v>
      </c>
      <c r="L244" s="11">
        <v>32.0</v>
      </c>
      <c r="M244" s="14">
        <f t="shared" si="4"/>
        <v>0.64</v>
      </c>
      <c r="N244" s="11">
        <v>2.0</v>
      </c>
      <c r="O244" s="14">
        <f t="shared" si="5"/>
        <v>1.333333333</v>
      </c>
      <c r="P244" s="11">
        <v>1.0</v>
      </c>
      <c r="Q244" s="15">
        <v>1.0</v>
      </c>
      <c r="R244" s="9">
        <v>10.0</v>
      </c>
      <c r="S244" s="16">
        <f t="shared" si="6"/>
        <v>4.973333333</v>
      </c>
      <c r="T244" s="17">
        <f t="shared" si="7"/>
        <v>0.4973333333</v>
      </c>
      <c r="U244" s="14">
        <f t="shared" si="8"/>
        <v>-5.026666667</v>
      </c>
      <c r="V244" s="9" t="str">
        <f t="shared" si="9"/>
        <v>Low Performance</v>
      </c>
      <c r="W244" s="9"/>
    </row>
    <row r="245" ht="15.75" customHeight="1">
      <c r="A245" s="13">
        <v>46256.0</v>
      </c>
      <c r="B245" s="49" t="s">
        <v>57</v>
      </c>
      <c r="C245" s="9" t="s">
        <v>29</v>
      </c>
      <c r="D245" s="9" t="s">
        <v>27</v>
      </c>
      <c r="E245" s="10">
        <v>0.0</v>
      </c>
      <c r="F245" s="9">
        <f t="shared" si="1"/>
        <v>0</v>
      </c>
      <c r="G245" s="11">
        <v>0.0</v>
      </c>
      <c r="H245" s="9">
        <f t="shared" si="2"/>
        <v>0</v>
      </c>
      <c r="I245" s="11">
        <v>1.0</v>
      </c>
      <c r="J245" s="9">
        <f t="shared" si="3"/>
        <v>1</v>
      </c>
      <c r="K245" s="11">
        <v>68.0</v>
      </c>
      <c r="L245" s="11">
        <v>50.0</v>
      </c>
      <c r="M245" s="14">
        <f t="shared" si="4"/>
        <v>1</v>
      </c>
      <c r="N245" s="11">
        <v>2.0</v>
      </c>
      <c r="O245" s="14">
        <f t="shared" si="5"/>
        <v>1.333333333</v>
      </c>
      <c r="P245" s="11">
        <v>1.0</v>
      </c>
      <c r="Q245" s="15">
        <v>1.0</v>
      </c>
      <c r="R245" s="9">
        <v>10.0</v>
      </c>
      <c r="S245" s="16">
        <f t="shared" si="6"/>
        <v>5.333333333</v>
      </c>
      <c r="T245" s="17">
        <f t="shared" si="7"/>
        <v>0.5333333333</v>
      </c>
      <c r="U245" s="14">
        <f t="shared" si="8"/>
        <v>-4.666666667</v>
      </c>
      <c r="V245" s="9" t="str">
        <f t="shared" si="9"/>
        <v>Average</v>
      </c>
      <c r="W245" s="9"/>
    </row>
    <row r="246" ht="15.75" customHeight="1">
      <c r="A246" s="13">
        <v>46256.0</v>
      </c>
      <c r="B246" s="49" t="s">
        <v>58</v>
      </c>
      <c r="C246" s="9" t="s">
        <v>40</v>
      </c>
      <c r="D246" s="9" t="s">
        <v>27</v>
      </c>
      <c r="E246" s="10">
        <v>0.0</v>
      </c>
      <c r="F246" s="9">
        <f t="shared" si="1"/>
        <v>0</v>
      </c>
      <c r="G246" s="11">
        <v>0.0</v>
      </c>
      <c r="H246" s="9">
        <f t="shared" si="2"/>
        <v>0</v>
      </c>
      <c r="I246" s="11">
        <v>1.0</v>
      </c>
      <c r="J246" s="9">
        <f t="shared" si="3"/>
        <v>1</v>
      </c>
      <c r="K246" s="11">
        <v>40.0</v>
      </c>
      <c r="L246" s="11">
        <v>32.0</v>
      </c>
      <c r="M246" s="14">
        <f t="shared" si="4"/>
        <v>0.64</v>
      </c>
      <c r="N246" s="11">
        <v>2.0</v>
      </c>
      <c r="O246" s="14">
        <f t="shared" si="5"/>
        <v>1.333333333</v>
      </c>
      <c r="P246" s="11">
        <v>1.0</v>
      </c>
      <c r="Q246" s="15">
        <v>1.0</v>
      </c>
      <c r="R246" s="9">
        <v>10.0</v>
      </c>
      <c r="S246" s="16">
        <f t="shared" si="6"/>
        <v>4.973333333</v>
      </c>
      <c r="T246" s="17">
        <f t="shared" si="7"/>
        <v>0.4973333333</v>
      </c>
      <c r="U246" s="14">
        <f t="shared" si="8"/>
        <v>-5.026666667</v>
      </c>
      <c r="V246" s="9" t="str">
        <f t="shared" si="9"/>
        <v>Low Performance</v>
      </c>
      <c r="W246" s="9"/>
    </row>
    <row r="247" ht="15.75" customHeight="1">
      <c r="A247" s="13">
        <v>46256.0</v>
      </c>
      <c r="B247" s="50" t="s">
        <v>59</v>
      </c>
      <c r="C247" s="9" t="s">
        <v>40</v>
      </c>
      <c r="D247" s="9" t="s">
        <v>27</v>
      </c>
      <c r="E247" s="10">
        <v>0.0</v>
      </c>
      <c r="F247" s="9">
        <f t="shared" si="1"/>
        <v>0</v>
      </c>
      <c r="G247" s="11">
        <v>0.0</v>
      </c>
      <c r="H247" s="9">
        <f t="shared" si="2"/>
        <v>0</v>
      </c>
      <c r="I247" s="11">
        <v>0.0</v>
      </c>
      <c r="J247" s="9">
        <f t="shared" si="3"/>
        <v>0</v>
      </c>
      <c r="K247" s="11">
        <v>51.0</v>
      </c>
      <c r="L247" s="11">
        <v>21.0</v>
      </c>
      <c r="M247" s="14">
        <f t="shared" si="4"/>
        <v>0.42</v>
      </c>
      <c r="N247" s="11">
        <v>1.0</v>
      </c>
      <c r="O247" s="14">
        <f t="shared" si="5"/>
        <v>0.6666666667</v>
      </c>
      <c r="P247" s="11">
        <v>1.0</v>
      </c>
      <c r="Q247" s="15">
        <v>1.0</v>
      </c>
      <c r="R247" s="9">
        <v>10.0</v>
      </c>
      <c r="S247" s="16">
        <f t="shared" si="6"/>
        <v>3.086666667</v>
      </c>
      <c r="T247" s="17">
        <f t="shared" si="7"/>
        <v>0.3086666667</v>
      </c>
      <c r="U247" s="14">
        <f t="shared" si="8"/>
        <v>-6.913333333</v>
      </c>
      <c r="V247" s="9" t="str">
        <f t="shared" si="9"/>
        <v>Low Performance</v>
      </c>
      <c r="W247" s="9"/>
    </row>
    <row r="248" ht="15.75" customHeight="1">
      <c r="A248" s="13">
        <v>46256.0</v>
      </c>
      <c r="B248" s="49" t="s">
        <v>41</v>
      </c>
      <c r="C248" s="9" t="s">
        <v>40</v>
      </c>
      <c r="D248" s="9" t="s">
        <v>27</v>
      </c>
      <c r="E248" s="10">
        <v>0.0</v>
      </c>
      <c r="F248" s="9">
        <f t="shared" si="1"/>
        <v>0</v>
      </c>
      <c r="G248" s="11">
        <v>0.0</v>
      </c>
      <c r="H248" s="9">
        <f t="shared" si="2"/>
        <v>0</v>
      </c>
      <c r="I248" s="11">
        <v>0.0</v>
      </c>
      <c r="J248" s="9">
        <f t="shared" si="3"/>
        <v>0</v>
      </c>
      <c r="K248" s="11">
        <v>77.0</v>
      </c>
      <c r="L248" s="11">
        <v>27.0</v>
      </c>
      <c r="M248" s="14">
        <f t="shared" si="4"/>
        <v>0.54</v>
      </c>
      <c r="N248" s="11">
        <v>1.0</v>
      </c>
      <c r="O248" s="14">
        <f t="shared" si="5"/>
        <v>0.6666666667</v>
      </c>
      <c r="P248" s="11">
        <v>1.0</v>
      </c>
      <c r="Q248" s="15">
        <v>1.0</v>
      </c>
      <c r="R248" s="9">
        <v>10.0</v>
      </c>
      <c r="S248" s="16">
        <f t="shared" si="6"/>
        <v>3.206666667</v>
      </c>
      <c r="T248" s="17">
        <f t="shared" si="7"/>
        <v>0.3206666667</v>
      </c>
      <c r="U248" s="14">
        <f t="shared" si="8"/>
        <v>-6.793333333</v>
      </c>
      <c r="V248" s="9" t="str">
        <f t="shared" si="9"/>
        <v>Low Performance</v>
      </c>
      <c r="W248" s="9"/>
    </row>
    <row r="249" ht="15.75" customHeight="1">
      <c r="A249" s="13">
        <v>46256.0</v>
      </c>
      <c r="B249" s="49" t="s">
        <v>42</v>
      </c>
      <c r="C249" s="9" t="s">
        <v>40</v>
      </c>
      <c r="D249" s="9" t="s">
        <v>27</v>
      </c>
      <c r="E249" s="10">
        <v>0.0</v>
      </c>
      <c r="F249" s="9">
        <f t="shared" si="1"/>
        <v>0</v>
      </c>
      <c r="G249" s="11">
        <v>0.0</v>
      </c>
      <c r="H249" s="9">
        <f t="shared" si="2"/>
        <v>0</v>
      </c>
      <c r="I249" s="11">
        <v>0.0</v>
      </c>
      <c r="J249" s="9">
        <f t="shared" si="3"/>
        <v>0</v>
      </c>
      <c r="K249" s="11">
        <v>62.0</v>
      </c>
      <c r="L249" s="11">
        <v>30.0</v>
      </c>
      <c r="M249" s="14">
        <f t="shared" si="4"/>
        <v>0.6</v>
      </c>
      <c r="N249" s="11">
        <v>2.0</v>
      </c>
      <c r="O249" s="14">
        <f t="shared" si="5"/>
        <v>1.333333333</v>
      </c>
      <c r="P249" s="11">
        <v>1.0</v>
      </c>
      <c r="Q249" s="15">
        <v>1.0</v>
      </c>
      <c r="R249" s="9">
        <v>10.0</v>
      </c>
      <c r="S249" s="16">
        <f t="shared" si="6"/>
        <v>3.933333333</v>
      </c>
      <c r="T249" s="17">
        <f t="shared" si="7"/>
        <v>0.3933333333</v>
      </c>
      <c r="U249" s="14">
        <f t="shared" si="8"/>
        <v>-6.066666667</v>
      </c>
      <c r="V249" s="9" t="str">
        <f t="shared" si="9"/>
        <v>Low Performance</v>
      </c>
      <c r="W249" s="9"/>
    </row>
    <row r="250" ht="15.75" customHeight="1">
      <c r="A250" s="13">
        <v>46256.0</v>
      </c>
      <c r="B250" s="49" t="s">
        <v>60</v>
      </c>
      <c r="C250" s="9" t="s">
        <v>40</v>
      </c>
      <c r="D250" s="9" t="s">
        <v>27</v>
      </c>
      <c r="E250" s="10">
        <v>0.0</v>
      </c>
      <c r="F250" s="9">
        <f t="shared" si="1"/>
        <v>0</v>
      </c>
      <c r="G250" s="11">
        <v>0.0</v>
      </c>
      <c r="H250" s="9">
        <f t="shared" si="2"/>
        <v>0</v>
      </c>
      <c r="I250" s="11">
        <v>0.0</v>
      </c>
      <c r="J250" s="9">
        <f t="shared" si="3"/>
        <v>0</v>
      </c>
      <c r="K250" s="11">
        <v>45.0</v>
      </c>
      <c r="L250" s="11">
        <v>37.0</v>
      </c>
      <c r="M250" s="14">
        <f t="shared" si="4"/>
        <v>0.74</v>
      </c>
      <c r="N250" s="11">
        <v>1.0</v>
      </c>
      <c r="O250" s="14">
        <f t="shared" si="5"/>
        <v>0.6666666667</v>
      </c>
      <c r="P250" s="11">
        <v>1.0</v>
      </c>
      <c r="Q250" s="15">
        <v>0.75</v>
      </c>
      <c r="R250" s="9">
        <v>10.0</v>
      </c>
      <c r="S250" s="16">
        <f t="shared" si="6"/>
        <v>3.156666667</v>
      </c>
      <c r="T250" s="17">
        <f t="shared" si="7"/>
        <v>0.3156666667</v>
      </c>
      <c r="U250" s="14">
        <f t="shared" si="8"/>
        <v>-6.843333333</v>
      </c>
      <c r="V250" s="9" t="str">
        <f t="shared" si="9"/>
        <v>Low Performance</v>
      </c>
      <c r="W250" s="9"/>
    </row>
    <row r="251" ht="15.75" customHeight="1">
      <c r="A251" s="13">
        <v>46256.0</v>
      </c>
      <c r="B251" s="49" t="s">
        <v>47</v>
      </c>
      <c r="C251" s="9" t="s">
        <v>48</v>
      </c>
      <c r="D251" s="9" t="s">
        <v>27</v>
      </c>
      <c r="E251" s="10">
        <v>0.0</v>
      </c>
      <c r="F251" s="9">
        <f t="shared" si="1"/>
        <v>0</v>
      </c>
      <c r="G251" s="11">
        <v>0.0</v>
      </c>
      <c r="H251" s="9">
        <f t="shared" si="2"/>
        <v>0</v>
      </c>
      <c r="I251" s="11">
        <v>1.0</v>
      </c>
      <c r="J251" s="9">
        <f t="shared" si="3"/>
        <v>1</v>
      </c>
      <c r="K251" s="11">
        <v>33.0</v>
      </c>
      <c r="L251" s="11">
        <v>14.0</v>
      </c>
      <c r="M251" s="14">
        <f t="shared" si="4"/>
        <v>0.28</v>
      </c>
      <c r="N251" s="11">
        <v>1.0</v>
      </c>
      <c r="O251" s="14">
        <f t="shared" si="5"/>
        <v>0.6666666667</v>
      </c>
      <c r="P251" s="11">
        <v>1.0</v>
      </c>
      <c r="Q251" s="15">
        <v>0.75</v>
      </c>
      <c r="R251" s="9">
        <v>10.0</v>
      </c>
      <c r="S251" s="16">
        <f t="shared" si="6"/>
        <v>3.696666667</v>
      </c>
      <c r="T251" s="17">
        <f t="shared" si="7"/>
        <v>0.3696666667</v>
      </c>
      <c r="U251" s="14">
        <f t="shared" si="8"/>
        <v>-6.303333333</v>
      </c>
      <c r="V251" s="9" t="str">
        <f t="shared" si="9"/>
        <v>Low Performance</v>
      </c>
      <c r="W251" s="9"/>
    </row>
    <row r="252" ht="15.75" customHeight="1">
      <c r="A252" s="13">
        <v>46256.0</v>
      </c>
      <c r="B252" s="49" t="s">
        <v>61</v>
      </c>
      <c r="C252" s="9" t="s">
        <v>48</v>
      </c>
      <c r="D252" s="9" t="s">
        <v>27</v>
      </c>
      <c r="E252" s="10">
        <v>0.0</v>
      </c>
      <c r="F252" s="9">
        <f t="shared" si="1"/>
        <v>0</v>
      </c>
      <c r="G252" s="11">
        <v>0.0</v>
      </c>
      <c r="H252" s="9">
        <f t="shared" si="2"/>
        <v>0</v>
      </c>
      <c r="I252" s="11">
        <v>0.0</v>
      </c>
      <c r="J252" s="9">
        <f t="shared" si="3"/>
        <v>0</v>
      </c>
      <c r="K252" s="11">
        <v>0.0</v>
      </c>
      <c r="L252" s="11">
        <v>0.0</v>
      </c>
      <c r="M252" s="14">
        <f t="shared" si="4"/>
        <v>0</v>
      </c>
      <c r="N252" s="11">
        <v>0.0</v>
      </c>
      <c r="O252" s="14">
        <f t="shared" si="5"/>
        <v>0</v>
      </c>
      <c r="P252" s="11">
        <v>0.0</v>
      </c>
      <c r="Q252" s="15">
        <v>0.0</v>
      </c>
      <c r="R252" s="9">
        <v>10.0</v>
      </c>
      <c r="S252" s="16">
        <f t="shared" si="6"/>
        <v>0</v>
      </c>
      <c r="T252" s="17">
        <f t="shared" si="7"/>
        <v>0</v>
      </c>
      <c r="U252" s="14">
        <f t="shared" si="8"/>
        <v>-10</v>
      </c>
      <c r="V252" s="9" t="str">
        <f t="shared" si="9"/>
        <v>Low Performance</v>
      </c>
      <c r="W252" s="32" t="s">
        <v>51</v>
      </c>
    </row>
    <row r="253" ht="15.75" customHeight="1">
      <c r="A253" s="13">
        <v>46256.0</v>
      </c>
      <c r="B253" s="49" t="s">
        <v>62</v>
      </c>
      <c r="C253" s="9" t="s">
        <v>48</v>
      </c>
      <c r="D253" s="9" t="s">
        <v>27</v>
      </c>
      <c r="E253" s="10">
        <v>0.0</v>
      </c>
      <c r="F253" s="9">
        <f t="shared" si="1"/>
        <v>0</v>
      </c>
      <c r="G253" s="11">
        <v>0.0</v>
      </c>
      <c r="H253" s="9">
        <f t="shared" si="2"/>
        <v>0</v>
      </c>
      <c r="I253" s="11">
        <v>1.0</v>
      </c>
      <c r="J253" s="9">
        <f t="shared" si="3"/>
        <v>1</v>
      </c>
      <c r="K253" s="11">
        <v>30.0</v>
      </c>
      <c r="L253" s="11">
        <v>25.0</v>
      </c>
      <c r="M253" s="14">
        <f t="shared" si="4"/>
        <v>0.5</v>
      </c>
      <c r="N253" s="11">
        <v>1.0</v>
      </c>
      <c r="O253" s="14">
        <f t="shared" si="5"/>
        <v>0.6666666667</v>
      </c>
      <c r="P253" s="11">
        <v>1.0</v>
      </c>
      <c r="Q253" s="15">
        <v>0.75</v>
      </c>
      <c r="R253" s="9">
        <v>10.0</v>
      </c>
      <c r="S253" s="16">
        <f t="shared" si="6"/>
        <v>3.916666667</v>
      </c>
      <c r="T253" s="17">
        <f t="shared" si="7"/>
        <v>0.3916666667</v>
      </c>
      <c r="U253" s="14">
        <f t="shared" si="8"/>
        <v>-6.083333333</v>
      </c>
      <c r="V253" s="9" t="str">
        <f t="shared" si="9"/>
        <v>Low Performance</v>
      </c>
      <c r="W253" s="9"/>
    </row>
    <row r="254" ht="15.75" customHeight="1">
      <c r="A254" s="13">
        <v>46256.0</v>
      </c>
      <c r="B254" s="49" t="s">
        <v>63</v>
      </c>
      <c r="C254" s="9" t="s">
        <v>48</v>
      </c>
      <c r="D254" s="9" t="s">
        <v>27</v>
      </c>
      <c r="E254" s="10">
        <v>0.0</v>
      </c>
      <c r="F254" s="9">
        <f t="shared" si="1"/>
        <v>0</v>
      </c>
      <c r="G254" s="11">
        <v>0.0</v>
      </c>
      <c r="H254" s="9">
        <f t="shared" si="2"/>
        <v>0</v>
      </c>
      <c r="I254" s="11">
        <v>0.0</v>
      </c>
      <c r="J254" s="9">
        <f t="shared" si="3"/>
        <v>0</v>
      </c>
      <c r="K254" s="11">
        <v>15.0</v>
      </c>
      <c r="L254" s="11">
        <v>44.0</v>
      </c>
      <c r="M254" s="14">
        <f t="shared" si="4"/>
        <v>0.88</v>
      </c>
      <c r="N254" s="11">
        <v>2.0</v>
      </c>
      <c r="O254" s="14">
        <f t="shared" si="5"/>
        <v>1.333333333</v>
      </c>
      <c r="P254" s="11">
        <v>1.0</v>
      </c>
      <c r="Q254" s="15">
        <v>1.0</v>
      </c>
      <c r="R254" s="9">
        <v>10.0</v>
      </c>
      <c r="S254" s="16">
        <f t="shared" si="6"/>
        <v>4.213333333</v>
      </c>
      <c r="T254" s="17">
        <f t="shared" si="7"/>
        <v>0.4213333333</v>
      </c>
      <c r="U254" s="14">
        <f t="shared" si="8"/>
        <v>-5.786666667</v>
      </c>
      <c r="V254" s="9" t="str">
        <f t="shared" si="9"/>
        <v>Low Performance</v>
      </c>
      <c r="W254" s="9"/>
    </row>
    <row r="255" ht="15.75" customHeight="1">
      <c r="A255" s="13">
        <v>46257.0</v>
      </c>
      <c r="B255" s="49" t="s">
        <v>28</v>
      </c>
      <c r="C255" s="9" t="s">
        <v>29</v>
      </c>
      <c r="D255" s="9" t="s">
        <v>27</v>
      </c>
      <c r="E255" s="10">
        <v>0.0</v>
      </c>
      <c r="F255" s="9">
        <f t="shared" si="1"/>
        <v>0</v>
      </c>
      <c r="G255" s="11">
        <v>0.0</v>
      </c>
      <c r="H255" s="9">
        <f t="shared" si="2"/>
        <v>0</v>
      </c>
      <c r="I255" s="11">
        <v>0.0</v>
      </c>
      <c r="J255" s="9">
        <f t="shared" si="3"/>
        <v>0</v>
      </c>
      <c r="K255" s="11">
        <v>109.0</v>
      </c>
      <c r="L255" s="11">
        <v>50.0</v>
      </c>
      <c r="M255" s="14">
        <f t="shared" si="4"/>
        <v>1</v>
      </c>
      <c r="N255" s="11">
        <v>2.0</v>
      </c>
      <c r="O255" s="14">
        <f t="shared" si="5"/>
        <v>1.333333333</v>
      </c>
      <c r="P255" s="11">
        <v>1.0</v>
      </c>
      <c r="Q255" s="15">
        <v>1.0</v>
      </c>
      <c r="R255" s="9">
        <v>10.0</v>
      </c>
      <c r="S255" s="16">
        <f t="shared" si="6"/>
        <v>4.333333333</v>
      </c>
      <c r="T255" s="17">
        <f t="shared" si="7"/>
        <v>0.4333333333</v>
      </c>
      <c r="U255" s="14">
        <f t="shared" si="8"/>
        <v>-5.666666667</v>
      </c>
      <c r="V255" s="9" t="str">
        <f t="shared" si="9"/>
        <v>Low Performance</v>
      </c>
      <c r="W255" s="9"/>
    </row>
    <row r="256" ht="15.75" customHeight="1">
      <c r="A256" s="13">
        <v>46257.0</v>
      </c>
      <c r="B256" s="49" t="s">
        <v>36</v>
      </c>
      <c r="C256" s="9" t="s">
        <v>29</v>
      </c>
      <c r="D256" s="9" t="s">
        <v>27</v>
      </c>
      <c r="E256" s="10">
        <v>0.0</v>
      </c>
      <c r="F256" s="9">
        <f t="shared" si="1"/>
        <v>0</v>
      </c>
      <c r="G256" s="11">
        <v>0.0</v>
      </c>
      <c r="H256" s="9">
        <f t="shared" si="2"/>
        <v>0</v>
      </c>
      <c r="I256" s="11">
        <v>1.0</v>
      </c>
      <c r="J256" s="9">
        <f t="shared" si="3"/>
        <v>1</v>
      </c>
      <c r="K256" s="11">
        <v>56.0</v>
      </c>
      <c r="L256" s="11">
        <v>42.0</v>
      </c>
      <c r="M256" s="14">
        <f t="shared" si="4"/>
        <v>0.84</v>
      </c>
      <c r="N256" s="11">
        <v>2.0</v>
      </c>
      <c r="O256" s="14">
        <f t="shared" si="5"/>
        <v>1.333333333</v>
      </c>
      <c r="P256" s="11">
        <v>1.0</v>
      </c>
      <c r="Q256" s="15">
        <v>1.0</v>
      </c>
      <c r="R256" s="9">
        <v>10.0</v>
      </c>
      <c r="S256" s="16">
        <f t="shared" si="6"/>
        <v>5.173333333</v>
      </c>
      <c r="T256" s="17">
        <f t="shared" si="7"/>
        <v>0.5173333333</v>
      </c>
      <c r="U256" s="14">
        <f t="shared" si="8"/>
        <v>-4.826666667</v>
      </c>
      <c r="V256" s="9" t="str">
        <f t="shared" si="9"/>
        <v>Average</v>
      </c>
      <c r="W256" s="9"/>
    </row>
    <row r="257" ht="15.75" customHeight="1">
      <c r="A257" s="13">
        <v>46257.0</v>
      </c>
      <c r="B257" s="49" t="s">
        <v>56</v>
      </c>
      <c r="C257" s="9" t="s">
        <v>29</v>
      </c>
      <c r="D257" s="9" t="s">
        <v>27</v>
      </c>
      <c r="E257" s="10">
        <v>0.0</v>
      </c>
      <c r="F257" s="9">
        <f t="shared" si="1"/>
        <v>0</v>
      </c>
      <c r="G257" s="11">
        <v>0.0</v>
      </c>
      <c r="H257" s="9">
        <f t="shared" si="2"/>
        <v>0</v>
      </c>
      <c r="I257" s="11">
        <v>0.0</v>
      </c>
      <c r="J257" s="9">
        <f t="shared" si="3"/>
        <v>0</v>
      </c>
      <c r="K257" s="11">
        <v>0.0</v>
      </c>
      <c r="L257" s="11">
        <v>0.0</v>
      </c>
      <c r="M257" s="14">
        <f t="shared" si="4"/>
        <v>0</v>
      </c>
      <c r="N257" s="11">
        <v>0.0</v>
      </c>
      <c r="O257" s="14">
        <f t="shared" si="5"/>
        <v>0</v>
      </c>
      <c r="P257" s="11">
        <v>0.0</v>
      </c>
      <c r="Q257" s="15">
        <v>0.0</v>
      </c>
      <c r="R257" s="9">
        <v>10.0</v>
      </c>
      <c r="S257" s="16">
        <f t="shared" si="6"/>
        <v>0</v>
      </c>
      <c r="T257" s="17">
        <f t="shared" si="7"/>
        <v>0</v>
      </c>
      <c r="U257" s="14">
        <f t="shared" si="8"/>
        <v>-10</v>
      </c>
      <c r="V257" s="9" t="str">
        <f t="shared" si="9"/>
        <v>Low Performance</v>
      </c>
      <c r="W257" s="32" t="s">
        <v>51</v>
      </c>
    </row>
    <row r="258" ht="15.75" customHeight="1">
      <c r="A258" s="13">
        <v>46257.0</v>
      </c>
      <c r="B258" s="49" t="s">
        <v>37</v>
      </c>
      <c r="C258" s="9" t="s">
        <v>29</v>
      </c>
      <c r="D258" s="9" t="s">
        <v>27</v>
      </c>
      <c r="E258" s="10">
        <v>250000.0</v>
      </c>
      <c r="F258" s="9">
        <f t="shared" si="1"/>
        <v>3</v>
      </c>
      <c r="G258" s="11">
        <v>0.0</v>
      </c>
      <c r="H258" s="9">
        <f t="shared" si="2"/>
        <v>0</v>
      </c>
      <c r="I258" s="11">
        <v>1.0</v>
      </c>
      <c r="J258" s="9">
        <f t="shared" si="3"/>
        <v>1</v>
      </c>
      <c r="K258" s="11">
        <v>62.0</v>
      </c>
      <c r="L258" s="11">
        <v>43.0</v>
      </c>
      <c r="M258" s="14">
        <f t="shared" si="4"/>
        <v>0.86</v>
      </c>
      <c r="N258" s="11">
        <v>2.0</v>
      </c>
      <c r="O258" s="14">
        <f t="shared" si="5"/>
        <v>1.333333333</v>
      </c>
      <c r="P258" s="11">
        <v>1.0</v>
      </c>
      <c r="Q258" s="15">
        <v>1.0</v>
      </c>
      <c r="R258" s="9">
        <v>10.0</v>
      </c>
      <c r="S258" s="16">
        <f t="shared" si="6"/>
        <v>8.193333333</v>
      </c>
      <c r="T258" s="17">
        <f t="shared" si="7"/>
        <v>0.8193333333</v>
      </c>
      <c r="U258" s="14">
        <f t="shared" si="8"/>
        <v>-1.806666667</v>
      </c>
      <c r="V258" s="9" t="str">
        <f t="shared" si="9"/>
        <v>Near Target</v>
      </c>
      <c r="W258" s="9"/>
    </row>
    <row r="259" ht="15.75" customHeight="1">
      <c r="A259" s="13">
        <v>46257.0</v>
      </c>
      <c r="B259" s="49" t="s">
        <v>57</v>
      </c>
      <c r="C259" s="9" t="s">
        <v>29</v>
      </c>
      <c r="D259" s="9" t="s">
        <v>27</v>
      </c>
      <c r="E259" s="10">
        <v>0.0</v>
      </c>
      <c r="F259" s="9">
        <f t="shared" si="1"/>
        <v>0</v>
      </c>
      <c r="G259" s="11">
        <v>0.0</v>
      </c>
      <c r="H259" s="9">
        <f t="shared" si="2"/>
        <v>0</v>
      </c>
      <c r="I259" s="11">
        <v>1.0</v>
      </c>
      <c r="J259" s="9">
        <f t="shared" si="3"/>
        <v>1</v>
      </c>
      <c r="K259" s="11">
        <v>78.0</v>
      </c>
      <c r="L259" s="11">
        <v>43.0</v>
      </c>
      <c r="M259" s="14">
        <f t="shared" si="4"/>
        <v>0.86</v>
      </c>
      <c r="N259" s="11">
        <v>2.0</v>
      </c>
      <c r="O259" s="14">
        <f t="shared" si="5"/>
        <v>1.333333333</v>
      </c>
      <c r="P259" s="11">
        <v>1.0</v>
      </c>
      <c r="Q259" s="15">
        <v>1.0</v>
      </c>
      <c r="R259" s="9">
        <v>10.0</v>
      </c>
      <c r="S259" s="16">
        <f t="shared" si="6"/>
        <v>5.193333333</v>
      </c>
      <c r="T259" s="17">
        <f t="shared" si="7"/>
        <v>0.5193333333</v>
      </c>
      <c r="U259" s="14">
        <f t="shared" si="8"/>
        <v>-4.806666667</v>
      </c>
      <c r="V259" s="9" t="str">
        <f t="shared" si="9"/>
        <v>Average</v>
      </c>
      <c r="W259" s="9"/>
    </row>
    <row r="260" ht="15.75" customHeight="1">
      <c r="A260" s="13">
        <v>46257.0</v>
      </c>
      <c r="B260" s="49" t="s">
        <v>58</v>
      </c>
      <c r="C260" s="9" t="s">
        <v>40</v>
      </c>
      <c r="D260" s="9" t="s">
        <v>27</v>
      </c>
      <c r="E260" s="10">
        <v>0.0</v>
      </c>
      <c r="F260" s="9">
        <f t="shared" si="1"/>
        <v>0</v>
      </c>
      <c r="G260" s="11">
        <v>0.0</v>
      </c>
      <c r="H260" s="9">
        <f t="shared" si="2"/>
        <v>0</v>
      </c>
      <c r="I260" s="11">
        <v>1.0</v>
      </c>
      <c r="J260" s="9">
        <f t="shared" si="3"/>
        <v>1</v>
      </c>
      <c r="K260" s="11">
        <v>44.0</v>
      </c>
      <c r="L260" s="11">
        <v>32.0</v>
      </c>
      <c r="M260" s="14">
        <f t="shared" si="4"/>
        <v>0.64</v>
      </c>
      <c r="N260" s="11">
        <v>2.0</v>
      </c>
      <c r="O260" s="14">
        <f t="shared" si="5"/>
        <v>1.333333333</v>
      </c>
      <c r="P260" s="11">
        <v>1.0</v>
      </c>
      <c r="Q260" s="15">
        <v>1.0</v>
      </c>
      <c r="R260" s="9">
        <v>10.0</v>
      </c>
      <c r="S260" s="16">
        <f t="shared" si="6"/>
        <v>4.973333333</v>
      </c>
      <c r="T260" s="17">
        <f t="shared" si="7"/>
        <v>0.4973333333</v>
      </c>
      <c r="U260" s="14">
        <f t="shared" si="8"/>
        <v>-5.026666667</v>
      </c>
      <c r="V260" s="9" t="str">
        <f t="shared" si="9"/>
        <v>Low Performance</v>
      </c>
      <c r="W260" s="9"/>
    </row>
    <row r="261" ht="15.75" customHeight="1">
      <c r="A261" s="13">
        <v>46257.0</v>
      </c>
      <c r="B261" s="50" t="s">
        <v>59</v>
      </c>
      <c r="C261" s="9" t="s">
        <v>40</v>
      </c>
      <c r="D261" s="9" t="s">
        <v>27</v>
      </c>
      <c r="E261" s="10">
        <v>0.0</v>
      </c>
      <c r="F261" s="9">
        <f t="shared" si="1"/>
        <v>0</v>
      </c>
      <c r="G261" s="11">
        <v>0.0</v>
      </c>
      <c r="H261" s="9">
        <f t="shared" si="2"/>
        <v>0</v>
      </c>
      <c r="I261" s="11">
        <v>0.0</v>
      </c>
      <c r="J261" s="9">
        <f t="shared" si="3"/>
        <v>0</v>
      </c>
      <c r="K261" s="11">
        <v>0.0</v>
      </c>
      <c r="L261" s="11">
        <v>0.0</v>
      </c>
      <c r="M261" s="14">
        <f t="shared" si="4"/>
        <v>0</v>
      </c>
      <c r="N261" s="11">
        <v>0.0</v>
      </c>
      <c r="O261" s="14">
        <f t="shared" si="5"/>
        <v>0</v>
      </c>
      <c r="P261" s="11">
        <v>0.0</v>
      </c>
      <c r="Q261" s="15">
        <v>0.0</v>
      </c>
      <c r="R261" s="9">
        <v>10.0</v>
      </c>
      <c r="S261" s="16">
        <f t="shared" si="6"/>
        <v>0</v>
      </c>
      <c r="T261" s="17">
        <f t="shared" si="7"/>
        <v>0</v>
      </c>
      <c r="U261" s="14">
        <f t="shared" si="8"/>
        <v>-10</v>
      </c>
      <c r="V261" s="9" t="str">
        <f t="shared" si="9"/>
        <v>Low Performance</v>
      </c>
      <c r="W261" s="32" t="s">
        <v>51</v>
      </c>
    </row>
    <row r="262" ht="15.75" customHeight="1">
      <c r="A262" s="13">
        <v>46257.0</v>
      </c>
      <c r="B262" s="49" t="s">
        <v>41</v>
      </c>
      <c r="C262" s="9" t="s">
        <v>40</v>
      </c>
      <c r="D262" s="9" t="s">
        <v>27</v>
      </c>
      <c r="E262" s="10">
        <v>0.0</v>
      </c>
      <c r="F262" s="9">
        <f t="shared" si="1"/>
        <v>0</v>
      </c>
      <c r="G262" s="11">
        <v>0.0</v>
      </c>
      <c r="H262" s="9">
        <f t="shared" si="2"/>
        <v>0</v>
      </c>
      <c r="I262" s="11">
        <v>0.0</v>
      </c>
      <c r="J262" s="9">
        <f t="shared" si="3"/>
        <v>0</v>
      </c>
      <c r="K262" s="11">
        <v>78.0</v>
      </c>
      <c r="L262" s="11">
        <v>27.0</v>
      </c>
      <c r="M262" s="14">
        <f t="shared" si="4"/>
        <v>0.54</v>
      </c>
      <c r="N262" s="11">
        <v>2.0</v>
      </c>
      <c r="O262" s="14">
        <f t="shared" si="5"/>
        <v>1.333333333</v>
      </c>
      <c r="P262" s="11">
        <v>1.0</v>
      </c>
      <c r="Q262" s="15">
        <v>1.0</v>
      </c>
      <c r="R262" s="9">
        <v>10.0</v>
      </c>
      <c r="S262" s="16">
        <f t="shared" si="6"/>
        <v>3.873333333</v>
      </c>
      <c r="T262" s="17">
        <f t="shared" si="7"/>
        <v>0.3873333333</v>
      </c>
      <c r="U262" s="14">
        <f t="shared" si="8"/>
        <v>-6.126666667</v>
      </c>
      <c r="V262" s="9" t="str">
        <f t="shared" si="9"/>
        <v>Low Performance</v>
      </c>
      <c r="W262" s="9"/>
    </row>
    <row r="263" ht="15.75" customHeight="1">
      <c r="A263" s="13">
        <v>46257.0</v>
      </c>
      <c r="B263" s="49" t="s">
        <v>42</v>
      </c>
      <c r="C263" s="9" t="s">
        <v>40</v>
      </c>
      <c r="D263" s="9" t="s">
        <v>27</v>
      </c>
      <c r="E263" s="10">
        <v>0.0</v>
      </c>
      <c r="F263" s="9">
        <f t="shared" si="1"/>
        <v>0</v>
      </c>
      <c r="G263" s="11">
        <v>0.0</v>
      </c>
      <c r="H263" s="9">
        <f t="shared" si="2"/>
        <v>0</v>
      </c>
      <c r="I263" s="11">
        <v>1.0</v>
      </c>
      <c r="J263" s="9">
        <f t="shared" si="3"/>
        <v>1</v>
      </c>
      <c r="K263" s="11">
        <v>45.0</v>
      </c>
      <c r="L263" s="11">
        <v>27.0</v>
      </c>
      <c r="M263" s="14">
        <f t="shared" si="4"/>
        <v>0.54</v>
      </c>
      <c r="N263" s="11">
        <v>2.0</v>
      </c>
      <c r="O263" s="14">
        <f t="shared" si="5"/>
        <v>1.333333333</v>
      </c>
      <c r="P263" s="11">
        <v>1.0</v>
      </c>
      <c r="Q263" s="15">
        <v>1.0</v>
      </c>
      <c r="R263" s="9">
        <v>10.0</v>
      </c>
      <c r="S263" s="16">
        <f t="shared" si="6"/>
        <v>4.873333333</v>
      </c>
      <c r="T263" s="17">
        <f t="shared" si="7"/>
        <v>0.4873333333</v>
      </c>
      <c r="U263" s="14">
        <f t="shared" si="8"/>
        <v>-5.126666667</v>
      </c>
      <c r="V263" s="9" t="str">
        <f t="shared" si="9"/>
        <v>Low Performance</v>
      </c>
      <c r="W263" s="9"/>
    </row>
    <row r="264" ht="15.75" customHeight="1">
      <c r="A264" s="13">
        <v>46257.0</v>
      </c>
      <c r="B264" s="49" t="s">
        <v>60</v>
      </c>
      <c r="C264" s="9" t="s">
        <v>40</v>
      </c>
      <c r="D264" s="9" t="s">
        <v>27</v>
      </c>
      <c r="E264" s="10">
        <v>0.0</v>
      </c>
      <c r="F264" s="9">
        <f t="shared" si="1"/>
        <v>0</v>
      </c>
      <c r="G264" s="11">
        <v>0.0</v>
      </c>
      <c r="H264" s="9">
        <f t="shared" si="2"/>
        <v>0</v>
      </c>
      <c r="I264" s="11">
        <v>0.0</v>
      </c>
      <c r="J264" s="9">
        <f t="shared" si="3"/>
        <v>0</v>
      </c>
      <c r="K264" s="11">
        <v>50.0</v>
      </c>
      <c r="L264" s="11">
        <v>35.0</v>
      </c>
      <c r="M264" s="14">
        <f t="shared" si="4"/>
        <v>0.7</v>
      </c>
      <c r="N264" s="11">
        <v>2.0</v>
      </c>
      <c r="O264" s="14">
        <f t="shared" si="5"/>
        <v>1.333333333</v>
      </c>
      <c r="P264" s="11">
        <v>1.0</v>
      </c>
      <c r="Q264" s="15">
        <v>1.0</v>
      </c>
      <c r="R264" s="9">
        <v>10.0</v>
      </c>
      <c r="S264" s="16">
        <f t="shared" si="6"/>
        <v>4.033333333</v>
      </c>
      <c r="T264" s="17">
        <f t="shared" si="7"/>
        <v>0.4033333333</v>
      </c>
      <c r="U264" s="14">
        <f t="shared" si="8"/>
        <v>-5.966666667</v>
      </c>
      <c r="V264" s="9" t="str">
        <f t="shared" si="9"/>
        <v>Low Performance</v>
      </c>
      <c r="W264" s="9"/>
    </row>
    <row r="265" ht="15.75" customHeight="1">
      <c r="A265" s="13">
        <v>46257.0</v>
      </c>
      <c r="B265" s="49" t="s">
        <v>47</v>
      </c>
      <c r="C265" s="9" t="s">
        <v>48</v>
      </c>
      <c r="D265" s="9" t="s">
        <v>27</v>
      </c>
      <c r="E265" s="10">
        <v>0.0</v>
      </c>
      <c r="F265" s="9">
        <f t="shared" si="1"/>
        <v>0</v>
      </c>
      <c r="G265" s="11">
        <v>0.0</v>
      </c>
      <c r="H265" s="9">
        <f t="shared" si="2"/>
        <v>0</v>
      </c>
      <c r="I265" s="11">
        <v>0.0</v>
      </c>
      <c r="J265" s="9">
        <f t="shared" si="3"/>
        <v>0</v>
      </c>
      <c r="K265" s="11">
        <v>0.0</v>
      </c>
      <c r="L265" s="11">
        <v>0.0</v>
      </c>
      <c r="M265" s="14">
        <f t="shared" si="4"/>
        <v>0</v>
      </c>
      <c r="N265" s="11">
        <v>0.0</v>
      </c>
      <c r="O265" s="14">
        <f t="shared" si="5"/>
        <v>0</v>
      </c>
      <c r="P265" s="11">
        <v>0.0</v>
      </c>
      <c r="Q265" s="15">
        <v>0.0</v>
      </c>
      <c r="R265" s="9">
        <v>10.0</v>
      </c>
      <c r="S265" s="16">
        <f t="shared" si="6"/>
        <v>0</v>
      </c>
      <c r="T265" s="17">
        <f t="shared" si="7"/>
        <v>0</v>
      </c>
      <c r="U265" s="14">
        <f t="shared" si="8"/>
        <v>-10</v>
      </c>
      <c r="V265" s="9" t="str">
        <f t="shared" si="9"/>
        <v>Low Performance</v>
      </c>
      <c r="W265" s="32" t="s">
        <v>51</v>
      </c>
    </row>
    <row r="266" ht="15.75" customHeight="1">
      <c r="A266" s="13">
        <v>46257.0</v>
      </c>
      <c r="B266" s="49" t="s">
        <v>61</v>
      </c>
      <c r="C266" s="9" t="s">
        <v>48</v>
      </c>
      <c r="D266" s="9" t="s">
        <v>27</v>
      </c>
      <c r="E266" s="10">
        <v>0.0</v>
      </c>
      <c r="F266" s="9">
        <f t="shared" si="1"/>
        <v>0</v>
      </c>
      <c r="G266" s="11">
        <v>0.0</v>
      </c>
      <c r="H266" s="9">
        <f t="shared" si="2"/>
        <v>0</v>
      </c>
      <c r="I266" s="11">
        <v>1.0</v>
      </c>
      <c r="J266" s="9">
        <f t="shared" si="3"/>
        <v>1</v>
      </c>
      <c r="K266" s="11">
        <v>60.0</v>
      </c>
      <c r="L266" s="11">
        <v>30.0</v>
      </c>
      <c r="M266" s="14">
        <f t="shared" si="4"/>
        <v>0.6</v>
      </c>
      <c r="N266" s="11">
        <v>2.0</v>
      </c>
      <c r="O266" s="14">
        <f t="shared" si="5"/>
        <v>1.333333333</v>
      </c>
      <c r="P266" s="11">
        <v>1.0</v>
      </c>
      <c r="Q266" s="15">
        <v>1.0</v>
      </c>
      <c r="R266" s="9">
        <v>10.0</v>
      </c>
      <c r="S266" s="16">
        <f t="shared" si="6"/>
        <v>4.933333333</v>
      </c>
      <c r="T266" s="17">
        <f t="shared" si="7"/>
        <v>0.4933333333</v>
      </c>
      <c r="U266" s="14">
        <f t="shared" si="8"/>
        <v>-5.066666667</v>
      </c>
      <c r="V266" s="9" t="str">
        <f t="shared" si="9"/>
        <v>Low Performance</v>
      </c>
      <c r="W266" s="9"/>
    </row>
    <row r="267" ht="15.75" customHeight="1">
      <c r="A267" s="13">
        <v>46257.0</v>
      </c>
      <c r="B267" s="49" t="s">
        <v>62</v>
      </c>
      <c r="C267" s="9" t="s">
        <v>48</v>
      </c>
      <c r="D267" s="9" t="s">
        <v>27</v>
      </c>
      <c r="E267" s="10">
        <v>0.0</v>
      </c>
      <c r="F267" s="9">
        <f t="shared" si="1"/>
        <v>0</v>
      </c>
      <c r="G267" s="11">
        <v>0.0</v>
      </c>
      <c r="H267" s="9">
        <f t="shared" si="2"/>
        <v>0</v>
      </c>
      <c r="I267" s="11">
        <v>1.0</v>
      </c>
      <c r="J267" s="9">
        <f t="shared" si="3"/>
        <v>1</v>
      </c>
      <c r="K267" s="11">
        <v>55.0</v>
      </c>
      <c r="L267" s="11">
        <v>45.0</v>
      </c>
      <c r="M267" s="14">
        <f t="shared" si="4"/>
        <v>0.9</v>
      </c>
      <c r="N267" s="11">
        <v>1.0</v>
      </c>
      <c r="O267" s="14">
        <f t="shared" si="5"/>
        <v>0.6666666667</v>
      </c>
      <c r="P267" s="11">
        <v>1.0</v>
      </c>
      <c r="Q267" s="15">
        <v>1.0</v>
      </c>
      <c r="R267" s="9">
        <v>10.0</v>
      </c>
      <c r="S267" s="16">
        <f t="shared" si="6"/>
        <v>4.566666667</v>
      </c>
      <c r="T267" s="17">
        <f t="shared" si="7"/>
        <v>0.4566666667</v>
      </c>
      <c r="U267" s="14">
        <f t="shared" si="8"/>
        <v>-5.433333333</v>
      </c>
      <c r="V267" s="9" t="str">
        <f t="shared" si="9"/>
        <v>Low Performance</v>
      </c>
      <c r="W267" s="9"/>
    </row>
    <row r="268" ht="15.75" customHeight="1">
      <c r="A268" s="13">
        <v>46257.0</v>
      </c>
      <c r="B268" s="49" t="s">
        <v>63</v>
      </c>
      <c r="C268" s="9" t="s">
        <v>48</v>
      </c>
      <c r="D268" s="9" t="s">
        <v>27</v>
      </c>
      <c r="E268" s="10">
        <v>0.0</v>
      </c>
      <c r="F268" s="9">
        <f t="shared" si="1"/>
        <v>0</v>
      </c>
      <c r="G268" s="11">
        <v>0.0</v>
      </c>
      <c r="H268" s="9">
        <f t="shared" si="2"/>
        <v>0</v>
      </c>
      <c r="I268" s="11">
        <v>0.0</v>
      </c>
      <c r="J268" s="9">
        <f t="shared" si="3"/>
        <v>0</v>
      </c>
      <c r="K268" s="11">
        <v>54.0</v>
      </c>
      <c r="L268" s="11">
        <v>41.0</v>
      </c>
      <c r="M268" s="14">
        <f t="shared" si="4"/>
        <v>0.82</v>
      </c>
      <c r="N268" s="11">
        <v>2.0</v>
      </c>
      <c r="O268" s="14">
        <f t="shared" si="5"/>
        <v>1.333333333</v>
      </c>
      <c r="P268" s="11">
        <v>1.0</v>
      </c>
      <c r="Q268" s="15">
        <v>1.0</v>
      </c>
      <c r="R268" s="9">
        <v>10.0</v>
      </c>
      <c r="S268" s="16">
        <f t="shared" si="6"/>
        <v>4.153333333</v>
      </c>
      <c r="T268" s="17">
        <f t="shared" si="7"/>
        <v>0.4153333333</v>
      </c>
      <c r="U268" s="14">
        <f t="shared" si="8"/>
        <v>-5.846666667</v>
      </c>
      <c r="V268" s="9" t="str">
        <f t="shared" si="9"/>
        <v>Low Performance</v>
      </c>
      <c r="W268" s="9"/>
    </row>
    <row r="269" ht="15.75" customHeight="1">
      <c r="A269" s="13">
        <v>46258.0</v>
      </c>
      <c r="B269" s="49" t="s">
        <v>28</v>
      </c>
      <c r="C269" s="9" t="s">
        <v>29</v>
      </c>
      <c r="D269" s="9" t="s">
        <v>27</v>
      </c>
      <c r="E269" s="10">
        <v>0.0</v>
      </c>
      <c r="F269" s="9">
        <f t="shared" si="1"/>
        <v>0</v>
      </c>
      <c r="G269" s="11">
        <v>0.0</v>
      </c>
      <c r="H269" s="9">
        <f t="shared" si="2"/>
        <v>0</v>
      </c>
      <c r="I269" s="11">
        <v>0.0</v>
      </c>
      <c r="J269" s="9">
        <f t="shared" si="3"/>
        <v>0</v>
      </c>
      <c r="K269" s="11">
        <v>120.0</v>
      </c>
      <c r="L269" s="11">
        <v>50.0</v>
      </c>
      <c r="M269" s="14">
        <f t="shared" si="4"/>
        <v>1</v>
      </c>
      <c r="N269" s="11">
        <v>2.0</v>
      </c>
      <c r="O269" s="14">
        <f t="shared" si="5"/>
        <v>1.333333333</v>
      </c>
      <c r="P269" s="11">
        <v>1.0</v>
      </c>
      <c r="Q269" s="15">
        <v>1.0</v>
      </c>
      <c r="R269" s="9">
        <v>10.0</v>
      </c>
      <c r="S269" s="16">
        <f t="shared" si="6"/>
        <v>4.333333333</v>
      </c>
      <c r="T269" s="17">
        <f t="shared" si="7"/>
        <v>0.4333333333</v>
      </c>
      <c r="U269" s="14">
        <f t="shared" si="8"/>
        <v>-5.666666667</v>
      </c>
      <c r="V269" s="9" t="str">
        <f t="shared" si="9"/>
        <v>Low Performance</v>
      </c>
      <c r="W269" s="9"/>
    </row>
    <row r="270" ht="15.75" customHeight="1">
      <c r="A270" s="13">
        <v>46258.0</v>
      </c>
      <c r="B270" s="49" t="s">
        <v>36</v>
      </c>
      <c r="C270" s="9" t="s">
        <v>29</v>
      </c>
      <c r="D270" s="9" t="s">
        <v>27</v>
      </c>
      <c r="E270" s="10">
        <v>350000.0</v>
      </c>
      <c r="F270" s="9">
        <f t="shared" si="1"/>
        <v>3</v>
      </c>
      <c r="G270" s="11">
        <v>1.0</v>
      </c>
      <c r="H270" s="9">
        <f t="shared" si="2"/>
        <v>1</v>
      </c>
      <c r="I270" s="11">
        <v>0.0</v>
      </c>
      <c r="J270" s="9">
        <f t="shared" si="3"/>
        <v>0</v>
      </c>
      <c r="K270" s="11">
        <v>63.0</v>
      </c>
      <c r="L270" s="11">
        <v>43.0</v>
      </c>
      <c r="M270" s="14">
        <f t="shared" si="4"/>
        <v>0.86</v>
      </c>
      <c r="N270" s="11">
        <v>2.0</v>
      </c>
      <c r="O270" s="14">
        <f t="shared" si="5"/>
        <v>1.333333333</v>
      </c>
      <c r="P270" s="11">
        <v>1.0</v>
      </c>
      <c r="Q270" s="15">
        <v>0.75</v>
      </c>
      <c r="R270" s="9">
        <v>10.0</v>
      </c>
      <c r="S270" s="16">
        <f t="shared" si="6"/>
        <v>7.943333333</v>
      </c>
      <c r="T270" s="17">
        <f t="shared" si="7"/>
        <v>0.7943333333</v>
      </c>
      <c r="U270" s="14">
        <f t="shared" si="8"/>
        <v>-2.056666667</v>
      </c>
      <c r="V270" s="9" t="str">
        <f t="shared" si="9"/>
        <v>Near Target</v>
      </c>
      <c r="W270" s="9"/>
    </row>
    <row r="271" ht="15.75" customHeight="1">
      <c r="A271" s="13">
        <v>46258.0</v>
      </c>
      <c r="B271" s="49" t="s">
        <v>56</v>
      </c>
      <c r="C271" s="9" t="s">
        <v>29</v>
      </c>
      <c r="D271" s="9" t="s">
        <v>27</v>
      </c>
      <c r="E271" s="10">
        <v>0.0</v>
      </c>
      <c r="F271" s="9">
        <f t="shared" si="1"/>
        <v>0</v>
      </c>
      <c r="G271" s="11">
        <v>0.0</v>
      </c>
      <c r="H271" s="9">
        <f t="shared" si="2"/>
        <v>0</v>
      </c>
      <c r="I271" s="11">
        <v>1.0</v>
      </c>
      <c r="J271" s="9">
        <f t="shared" si="3"/>
        <v>1</v>
      </c>
      <c r="K271" s="11">
        <v>57.0</v>
      </c>
      <c r="L271" s="11">
        <v>41.0</v>
      </c>
      <c r="M271" s="14">
        <f t="shared" si="4"/>
        <v>0.82</v>
      </c>
      <c r="N271" s="11">
        <v>2.0</v>
      </c>
      <c r="O271" s="14">
        <f t="shared" si="5"/>
        <v>1.333333333</v>
      </c>
      <c r="P271" s="11">
        <v>1.0</v>
      </c>
      <c r="Q271" s="15">
        <v>1.0</v>
      </c>
      <c r="R271" s="9">
        <v>10.0</v>
      </c>
      <c r="S271" s="16">
        <f t="shared" si="6"/>
        <v>5.153333333</v>
      </c>
      <c r="T271" s="17">
        <f t="shared" si="7"/>
        <v>0.5153333333</v>
      </c>
      <c r="U271" s="14">
        <f t="shared" si="8"/>
        <v>-4.846666667</v>
      </c>
      <c r="V271" s="9" t="str">
        <f t="shared" si="9"/>
        <v>Average</v>
      </c>
      <c r="W271" s="9"/>
    </row>
    <row r="272" ht="15.75" customHeight="1">
      <c r="A272" s="13">
        <v>46258.0</v>
      </c>
      <c r="B272" s="49" t="s">
        <v>37</v>
      </c>
      <c r="C272" s="9" t="s">
        <v>29</v>
      </c>
      <c r="D272" s="9" t="s">
        <v>27</v>
      </c>
      <c r="E272" s="10">
        <v>0.0</v>
      </c>
      <c r="F272" s="9">
        <f t="shared" si="1"/>
        <v>0</v>
      </c>
      <c r="G272" s="11">
        <v>0.0</v>
      </c>
      <c r="H272" s="9">
        <f t="shared" si="2"/>
        <v>0</v>
      </c>
      <c r="I272" s="11">
        <v>0.0</v>
      </c>
      <c r="J272" s="9">
        <f t="shared" si="3"/>
        <v>0</v>
      </c>
      <c r="K272" s="11">
        <v>69.0</v>
      </c>
      <c r="L272" s="11">
        <v>45.0</v>
      </c>
      <c r="M272" s="14">
        <f t="shared" si="4"/>
        <v>0.9</v>
      </c>
      <c r="N272" s="11">
        <v>3.0</v>
      </c>
      <c r="O272" s="14">
        <f t="shared" si="5"/>
        <v>2</v>
      </c>
      <c r="P272" s="11">
        <v>1.0</v>
      </c>
      <c r="Q272" s="15">
        <v>1.0</v>
      </c>
      <c r="R272" s="9">
        <v>10.0</v>
      </c>
      <c r="S272" s="16">
        <f t="shared" si="6"/>
        <v>4.9</v>
      </c>
      <c r="T272" s="17">
        <f t="shared" si="7"/>
        <v>0.49</v>
      </c>
      <c r="U272" s="14">
        <f t="shared" si="8"/>
        <v>-5.1</v>
      </c>
      <c r="V272" s="9" t="str">
        <f t="shared" si="9"/>
        <v>Low Performance</v>
      </c>
      <c r="W272" s="9"/>
    </row>
    <row r="273" ht="15.75" customHeight="1">
      <c r="A273" s="13">
        <v>46258.0</v>
      </c>
      <c r="B273" s="49" t="s">
        <v>57</v>
      </c>
      <c r="C273" s="9" t="s">
        <v>29</v>
      </c>
      <c r="D273" s="9" t="s">
        <v>27</v>
      </c>
      <c r="E273" s="10">
        <v>0.0</v>
      </c>
      <c r="F273" s="9">
        <f t="shared" si="1"/>
        <v>0</v>
      </c>
      <c r="G273" s="11">
        <v>1.0</v>
      </c>
      <c r="H273" s="9">
        <f t="shared" si="2"/>
        <v>1</v>
      </c>
      <c r="I273" s="11">
        <v>1.0</v>
      </c>
      <c r="J273" s="9">
        <f t="shared" si="3"/>
        <v>1</v>
      </c>
      <c r="K273" s="11">
        <v>58.0</v>
      </c>
      <c r="L273" s="11">
        <v>30.0</v>
      </c>
      <c r="M273" s="14">
        <f t="shared" si="4"/>
        <v>0.6</v>
      </c>
      <c r="N273" s="11">
        <v>2.0</v>
      </c>
      <c r="O273" s="14">
        <f t="shared" si="5"/>
        <v>1.333333333</v>
      </c>
      <c r="P273" s="11">
        <v>1.0</v>
      </c>
      <c r="Q273" s="15">
        <v>1.0</v>
      </c>
      <c r="R273" s="9">
        <v>10.0</v>
      </c>
      <c r="S273" s="16">
        <f t="shared" si="6"/>
        <v>5.933333333</v>
      </c>
      <c r="T273" s="17">
        <f t="shared" si="7"/>
        <v>0.5933333333</v>
      </c>
      <c r="U273" s="14">
        <f t="shared" si="8"/>
        <v>-4.066666667</v>
      </c>
      <c r="V273" s="9" t="str">
        <f t="shared" si="9"/>
        <v>Average</v>
      </c>
      <c r="W273" s="9"/>
    </row>
    <row r="274" ht="15.75" customHeight="1">
      <c r="A274" s="13">
        <v>46258.0</v>
      </c>
      <c r="B274" s="49" t="s">
        <v>58</v>
      </c>
      <c r="C274" s="9" t="s">
        <v>40</v>
      </c>
      <c r="D274" s="9" t="s">
        <v>27</v>
      </c>
      <c r="E274" s="10">
        <v>0.0</v>
      </c>
      <c r="F274" s="9">
        <f t="shared" si="1"/>
        <v>0</v>
      </c>
      <c r="G274" s="11">
        <v>0.0</v>
      </c>
      <c r="H274" s="9">
        <f t="shared" si="2"/>
        <v>0</v>
      </c>
      <c r="I274" s="11">
        <v>0.0</v>
      </c>
      <c r="J274" s="9">
        <f t="shared" si="3"/>
        <v>0</v>
      </c>
      <c r="K274" s="11">
        <v>52.0</v>
      </c>
      <c r="L274" s="11">
        <v>45.0</v>
      </c>
      <c r="M274" s="14">
        <f t="shared" si="4"/>
        <v>0.9</v>
      </c>
      <c r="N274" s="11">
        <v>2.0</v>
      </c>
      <c r="O274" s="14">
        <f t="shared" si="5"/>
        <v>1.333333333</v>
      </c>
      <c r="P274" s="11">
        <v>1.0</v>
      </c>
      <c r="Q274" s="15">
        <v>1.0</v>
      </c>
      <c r="R274" s="9">
        <v>10.0</v>
      </c>
      <c r="S274" s="16">
        <f t="shared" si="6"/>
        <v>4.233333333</v>
      </c>
      <c r="T274" s="17">
        <f t="shared" si="7"/>
        <v>0.4233333333</v>
      </c>
      <c r="U274" s="14">
        <f t="shared" si="8"/>
        <v>-5.766666667</v>
      </c>
      <c r="V274" s="9" t="str">
        <f t="shared" si="9"/>
        <v>Low Performance</v>
      </c>
      <c r="W274" s="9"/>
    </row>
    <row r="275" ht="15.75" customHeight="1">
      <c r="A275" s="13">
        <v>46258.0</v>
      </c>
      <c r="B275" s="50" t="s">
        <v>59</v>
      </c>
      <c r="C275" s="9" t="s">
        <v>40</v>
      </c>
      <c r="D275" s="9" t="s">
        <v>27</v>
      </c>
      <c r="E275" s="10">
        <v>0.0</v>
      </c>
      <c r="F275" s="9">
        <f t="shared" si="1"/>
        <v>0</v>
      </c>
      <c r="G275" s="11">
        <v>0.0</v>
      </c>
      <c r="H275" s="9">
        <f t="shared" si="2"/>
        <v>0</v>
      </c>
      <c r="I275" s="11">
        <v>0.0</v>
      </c>
      <c r="J275" s="9">
        <f t="shared" si="3"/>
        <v>0</v>
      </c>
      <c r="K275" s="11">
        <v>25.0</v>
      </c>
      <c r="L275" s="11">
        <v>16.0</v>
      </c>
      <c r="M275" s="14">
        <f t="shared" si="4"/>
        <v>0.32</v>
      </c>
      <c r="N275" s="11">
        <v>1.0</v>
      </c>
      <c r="O275" s="14">
        <f t="shared" si="5"/>
        <v>0.6666666667</v>
      </c>
      <c r="P275" s="11">
        <v>1.0</v>
      </c>
      <c r="Q275" s="15">
        <v>1.0</v>
      </c>
      <c r="R275" s="9">
        <v>10.0</v>
      </c>
      <c r="S275" s="16">
        <f t="shared" si="6"/>
        <v>2.986666667</v>
      </c>
      <c r="T275" s="17">
        <f t="shared" si="7"/>
        <v>0.2986666667</v>
      </c>
      <c r="U275" s="14">
        <f t="shared" si="8"/>
        <v>-7.013333333</v>
      </c>
      <c r="V275" s="9" t="str">
        <f t="shared" si="9"/>
        <v>Low Performance</v>
      </c>
      <c r="W275" s="9"/>
    </row>
    <row r="276" ht="15.75" customHeight="1">
      <c r="A276" s="13">
        <v>46258.0</v>
      </c>
      <c r="B276" s="49" t="s">
        <v>41</v>
      </c>
      <c r="C276" s="9" t="s">
        <v>40</v>
      </c>
      <c r="D276" s="9" t="s">
        <v>27</v>
      </c>
      <c r="E276" s="10">
        <v>0.0</v>
      </c>
      <c r="F276" s="9">
        <f t="shared" si="1"/>
        <v>0</v>
      </c>
      <c r="G276" s="11">
        <v>0.0</v>
      </c>
      <c r="H276" s="9">
        <f t="shared" si="2"/>
        <v>0</v>
      </c>
      <c r="I276" s="11">
        <v>0.0</v>
      </c>
      <c r="J276" s="9">
        <f t="shared" si="3"/>
        <v>0</v>
      </c>
      <c r="K276" s="11">
        <v>59.0</v>
      </c>
      <c r="L276" s="11">
        <v>29.0</v>
      </c>
      <c r="M276" s="14">
        <f t="shared" si="4"/>
        <v>0.58</v>
      </c>
      <c r="N276" s="11">
        <v>3.0</v>
      </c>
      <c r="O276" s="14">
        <f t="shared" si="5"/>
        <v>2</v>
      </c>
      <c r="P276" s="11">
        <v>1.0</v>
      </c>
      <c r="Q276" s="15">
        <v>1.0</v>
      </c>
      <c r="R276" s="9">
        <v>10.0</v>
      </c>
      <c r="S276" s="16">
        <f t="shared" si="6"/>
        <v>4.58</v>
      </c>
      <c r="T276" s="17">
        <f t="shared" si="7"/>
        <v>0.458</v>
      </c>
      <c r="U276" s="14">
        <f t="shared" si="8"/>
        <v>-5.42</v>
      </c>
      <c r="V276" s="9" t="str">
        <f t="shared" si="9"/>
        <v>Low Performance</v>
      </c>
      <c r="W276" s="9"/>
    </row>
    <row r="277" ht="15.75" customHeight="1">
      <c r="A277" s="13">
        <v>46258.0</v>
      </c>
      <c r="B277" s="49" t="s">
        <v>42</v>
      </c>
      <c r="C277" s="9" t="s">
        <v>40</v>
      </c>
      <c r="D277" s="9" t="s">
        <v>27</v>
      </c>
      <c r="E277" s="10">
        <v>0.0</v>
      </c>
      <c r="F277" s="9">
        <f t="shared" si="1"/>
        <v>0</v>
      </c>
      <c r="G277" s="11">
        <v>1.0</v>
      </c>
      <c r="H277" s="9">
        <f t="shared" si="2"/>
        <v>1</v>
      </c>
      <c r="I277" s="11">
        <v>1.0</v>
      </c>
      <c r="J277" s="9">
        <f t="shared" si="3"/>
        <v>1</v>
      </c>
      <c r="K277" s="11">
        <v>52.0</v>
      </c>
      <c r="L277" s="11">
        <v>27.0</v>
      </c>
      <c r="M277" s="14">
        <f t="shared" si="4"/>
        <v>0.54</v>
      </c>
      <c r="N277" s="11">
        <v>2.0</v>
      </c>
      <c r="O277" s="14">
        <f t="shared" si="5"/>
        <v>1.333333333</v>
      </c>
      <c r="P277" s="11">
        <v>1.0</v>
      </c>
      <c r="Q277" s="15">
        <v>1.0</v>
      </c>
      <c r="R277" s="9">
        <v>10.0</v>
      </c>
      <c r="S277" s="16">
        <f t="shared" si="6"/>
        <v>5.873333333</v>
      </c>
      <c r="T277" s="17">
        <f t="shared" si="7"/>
        <v>0.5873333333</v>
      </c>
      <c r="U277" s="14">
        <f t="shared" si="8"/>
        <v>-4.126666667</v>
      </c>
      <c r="V277" s="9" t="str">
        <f t="shared" si="9"/>
        <v>Average</v>
      </c>
      <c r="W277" s="9"/>
    </row>
    <row r="278" ht="15.75" customHeight="1">
      <c r="A278" s="13">
        <v>46258.0</v>
      </c>
      <c r="B278" s="49" t="s">
        <v>60</v>
      </c>
      <c r="C278" s="9" t="s">
        <v>40</v>
      </c>
      <c r="D278" s="9" t="s">
        <v>27</v>
      </c>
      <c r="E278" s="10">
        <v>0.0</v>
      </c>
      <c r="F278" s="9">
        <f t="shared" si="1"/>
        <v>0</v>
      </c>
      <c r="G278" s="11">
        <v>0.0</v>
      </c>
      <c r="H278" s="9">
        <f t="shared" si="2"/>
        <v>0</v>
      </c>
      <c r="I278" s="11">
        <v>0.0</v>
      </c>
      <c r="J278" s="9">
        <f t="shared" si="3"/>
        <v>0</v>
      </c>
      <c r="K278" s="11">
        <v>47.0</v>
      </c>
      <c r="L278" s="11">
        <v>41.0</v>
      </c>
      <c r="M278" s="14">
        <f t="shared" si="4"/>
        <v>0.82</v>
      </c>
      <c r="N278" s="11">
        <v>1.0</v>
      </c>
      <c r="O278" s="14">
        <f t="shared" si="5"/>
        <v>0.6666666667</v>
      </c>
      <c r="P278" s="11">
        <v>1.0</v>
      </c>
      <c r="Q278" s="15">
        <v>1.0</v>
      </c>
      <c r="R278" s="9">
        <v>10.0</v>
      </c>
      <c r="S278" s="16">
        <f t="shared" si="6"/>
        <v>3.486666667</v>
      </c>
      <c r="T278" s="17">
        <f t="shared" si="7"/>
        <v>0.3486666667</v>
      </c>
      <c r="U278" s="14">
        <f t="shared" si="8"/>
        <v>-6.513333333</v>
      </c>
      <c r="V278" s="9" t="str">
        <f t="shared" si="9"/>
        <v>Low Performance</v>
      </c>
      <c r="W278" s="9"/>
    </row>
    <row r="279" ht="15.75" customHeight="1">
      <c r="A279" s="13">
        <v>46258.0</v>
      </c>
      <c r="B279" s="49" t="s">
        <v>47</v>
      </c>
      <c r="C279" s="9" t="s">
        <v>48</v>
      </c>
      <c r="D279" s="9" t="s">
        <v>27</v>
      </c>
      <c r="E279" s="10">
        <v>0.0</v>
      </c>
      <c r="F279" s="9">
        <f t="shared" si="1"/>
        <v>0</v>
      </c>
      <c r="G279" s="11">
        <v>0.0</v>
      </c>
      <c r="H279" s="9">
        <f t="shared" si="2"/>
        <v>0</v>
      </c>
      <c r="I279" s="11">
        <v>0.0</v>
      </c>
      <c r="J279" s="9">
        <f t="shared" si="3"/>
        <v>0</v>
      </c>
      <c r="K279" s="11">
        <v>59.0</v>
      </c>
      <c r="L279" s="11">
        <v>25.0</v>
      </c>
      <c r="M279" s="14">
        <f t="shared" si="4"/>
        <v>0.5</v>
      </c>
      <c r="N279" s="11">
        <v>1.0</v>
      </c>
      <c r="O279" s="14">
        <f t="shared" si="5"/>
        <v>0.6666666667</v>
      </c>
      <c r="P279" s="11">
        <v>1.0</v>
      </c>
      <c r="Q279" s="15">
        <v>0.5</v>
      </c>
      <c r="R279" s="9">
        <v>10.0</v>
      </c>
      <c r="S279" s="16">
        <f t="shared" si="6"/>
        <v>2.666666667</v>
      </c>
      <c r="T279" s="17">
        <f t="shared" si="7"/>
        <v>0.2666666667</v>
      </c>
      <c r="U279" s="14">
        <f t="shared" si="8"/>
        <v>-7.333333333</v>
      </c>
      <c r="V279" s="9" t="str">
        <f t="shared" si="9"/>
        <v>Low Performance</v>
      </c>
      <c r="W279" s="9"/>
    </row>
    <row r="280" ht="15.75" customHeight="1">
      <c r="A280" s="13">
        <v>46258.0</v>
      </c>
      <c r="B280" s="49" t="s">
        <v>61</v>
      </c>
      <c r="C280" s="9" t="s">
        <v>48</v>
      </c>
      <c r="D280" s="9" t="s">
        <v>27</v>
      </c>
      <c r="E280" s="10">
        <v>0.0</v>
      </c>
      <c r="F280" s="9">
        <f t="shared" si="1"/>
        <v>0</v>
      </c>
      <c r="G280" s="11">
        <v>0.0</v>
      </c>
      <c r="H280" s="9">
        <f t="shared" si="2"/>
        <v>0</v>
      </c>
      <c r="I280" s="11">
        <v>0.0</v>
      </c>
      <c r="J280" s="9">
        <f t="shared" si="3"/>
        <v>0</v>
      </c>
      <c r="K280" s="11">
        <v>60.0</v>
      </c>
      <c r="L280" s="11">
        <v>45.0</v>
      </c>
      <c r="M280" s="14">
        <f t="shared" si="4"/>
        <v>0.9</v>
      </c>
      <c r="N280" s="11">
        <v>1.0</v>
      </c>
      <c r="O280" s="14">
        <f t="shared" si="5"/>
        <v>0.6666666667</v>
      </c>
      <c r="P280" s="11">
        <v>1.0</v>
      </c>
      <c r="Q280" s="15">
        <v>1.0</v>
      </c>
      <c r="R280" s="9">
        <v>10.0</v>
      </c>
      <c r="S280" s="16">
        <f t="shared" si="6"/>
        <v>3.566666667</v>
      </c>
      <c r="T280" s="17">
        <f t="shared" si="7"/>
        <v>0.3566666667</v>
      </c>
      <c r="U280" s="14">
        <f t="shared" si="8"/>
        <v>-6.433333333</v>
      </c>
      <c r="V280" s="9" t="str">
        <f t="shared" si="9"/>
        <v>Low Performance</v>
      </c>
      <c r="W280" s="9"/>
    </row>
    <row r="281" ht="15.75" customHeight="1">
      <c r="A281" s="13">
        <v>46258.0</v>
      </c>
      <c r="B281" s="49" t="s">
        <v>62</v>
      </c>
      <c r="C281" s="9" t="s">
        <v>48</v>
      </c>
      <c r="D281" s="9" t="s">
        <v>27</v>
      </c>
      <c r="E281" s="10">
        <v>10000.0</v>
      </c>
      <c r="F281" s="9">
        <f t="shared" si="1"/>
        <v>3</v>
      </c>
      <c r="G281" s="11">
        <v>1.0</v>
      </c>
      <c r="H281" s="9">
        <f t="shared" si="2"/>
        <v>1</v>
      </c>
      <c r="I281" s="11">
        <v>1.0</v>
      </c>
      <c r="J281" s="9">
        <f t="shared" si="3"/>
        <v>1</v>
      </c>
      <c r="K281" s="11">
        <v>53.0</v>
      </c>
      <c r="L281" s="11">
        <v>35.0</v>
      </c>
      <c r="M281" s="14">
        <f t="shared" si="4"/>
        <v>0.7</v>
      </c>
      <c r="N281" s="11">
        <v>2.0</v>
      </c>
      <c r="O281" s="14">
        <f t="shared" si="5"/>
        <v>1.333333333</v>
      </c>
      <c r="P281" s="11">
        <v>1.0</v>
      </c>
      <c r="Q281" s="15">
        <v>1.0</v>
      </c>
      <c r="R281" s="9">
        <v>10.0</v>
      </c>
      <c r="S281" s="16">
        <f t="shared" si="6"/>
        <v>9.033333333</v>
      </c>
      <c r="T281" s="17">
        <f t="shared" si="7"/>
        <v>0.9033333333</v>
      </c>
      <c r="U281" s="14">
        <f t="shared" si="8"/>
        <v>-0.9666666667</v>
      </c>
      <c r="V281" s="9" t="str">
        <f t="shared" si="9"/>
        <v>Near Target</v>
      </c>
      <c r="W281" s="9"/>
    </row>
    <row r="282" ht="15.75" customHeight="1">
      <c r="A282" s="13">
        <v>46258.0</v>
      </c>
      <c r="B282" s="49" t="s">
        <v>63</v>
      </c>
      <c r="C282" s="9" t="s">
        <v>48</v>
      </c>
      <c r="D282" s="9" t="s">
        <v>27</v>
      </c>
      <c r="E282" s="10">
        <v>170000.0</v>
      </c>
      <c r="F282" s="9">
        <f t="shared" si="1"/>
        <v>3</v>
      </c>
      <c r="G282" s="11">
        <v>1.0</v>
      </c>
      <c r="H282" s="9">
        <f t="shared" si="2"/>
        <v>1</v>
      </c>
      <c r="I282" s="11">
        <v>1.0</v>
      </c>
      <c r="J282" s="9">
        <f t="shared" si="3"/>
        <v>1</v>
      </c>
      <c r="K282" s="11">
        <v>49.0</v>
      </c>
      <c r="L282" s="11">
        <v>40.0</v>
      </c>
      <c r="M282" s="14">
        <f t="shared" si="4"/>
        <v>0.8</v>
      </c>
      <c r="N282" s="11">
        <v>2.0</v>
      </c>
      <c r="O282" s="14">
        <f t="shared" si="5"/>
        <v>1.333333333</v>
      </c>
      <c r="P282" s="11">
        <v>1.0</v>
      </c>
      <c r="Q282" s="15">
        <v>1.0</v>
      </c>
      <c r="R282" s="9">
        <v>10.0</v>
      </c>
      <c r="S282" s="16">
        <f t="shared" si="6"/>
        <v>9.133333333</v>
      </c>
      <c r="T282" s="17">
        <f t="shared" si="7"/>
        <v>0.9133333333</v>
      </c>
      <c r="U282" s="14">
        <f t="shared" si="8"/>
        <v>-0.8666666667</v>
      </c>
      <c r="V282" s="9" t="str">
        <f t="shared" si="9"/>
        <v>Near Target</v>
      </c>
      <c r="W282" s="9"/>
    </row>
    <row r="283" ht="15.75" customHeight="1">
      <c r="A283" s="13">
        <v>46259.0</v>
      </c>
      <c r="B283" s="49" t="s">
        <v>28</v>
      </c>
      <c r="C283" s="9" t="s">
        <v>29</v>
      </c>
      <c r="D283" s="9" t="s">
        <v>27</v>
      </c>
      <c r="E283" s="10">
        <v>0.0</v>
      </c>
      <c r="F283" s="9">
        <f t="shared" si="1"/>
        <v>0</v>
      </c>
      <c r="G283" s="11">
        <v>0.0</v>
      </c>
      <c r="H283" s="9">
        <f t="shared" si="2"/>
        <v>0</v>
      </c>
      <c r="I283" s="11">
        <v>0.0</v>
      </c>
      <c r="J283" s="9">
        <f t="shared" si="3"/>
        <v>0</v>
      </c>
      <c r="K283" s="11">
        <v>111.0</v>
      </c>
      <c r="L283" s="11">
        <v>50.0</v>
      </c>
      <c r="M283" s="14">
        <f t="shared" si="4"/>
        <v>1</v>
      </c>
      <c r="N283" s="11">
        <v>2.0</v>
      </c>
      <c r="O283" s="14">
        <f t="shared" si="5"/>
        <v>1.333333333</v>
      </c>
      <c r="P283" s="11">
        <v>1.0</v>
      </c>
      <c r="Q283" s="15">
        <v>1.0</v>
      </c>
      <c r="R283" s="9">
        <v>10.0</v>
      </c>
      <c r="S283" s="16">
        <f t="shared" si="6"/>
        <v>4.333333333</v>
      </c>
      <c r="T283" s="17">
        <f t="shared" si="7"/>
        <v>0.4333333333</v>
      </c>
      <c r="U283" s="14">
        <f t="shared" si="8"/>
        <v>-5.666666667</v>
      </c>
      <c r="V283" s="9" t="str">
        <f t="shared" si="9"/>
        <v>Low Performance</v>
      </c>
      <c r="W283" s="9"/>
    </row>
    <row r="284" ht="15.75" customHeight="1">
      <c r="A284" s="13">
        <v>46259.0</v>
      </c>
      <c r="B284" s="49" t="s">
        <v>36</v>
      </c>
      <c r="C284" s="9" t="s">
        <v>29</v>
      </c>
      <c r="D284" s="9" t="s">
        <v>27</v>
      </c>
      <c r="E284" s="10">
        <v>0.0</v>
      </c>
      <c r="F284" s="9">
        <f t="shared" si="1"/>
        <v>0</v>
      </c>
      <c r="G284" s="11">
        <v>1.0</v>
      </c>
      <c r="H284" s="9">
        <f t="shared" si="2"/>
        <v>1</v>
      </c>
      <c r="I284" s="11">
        <v>1.0</v>
      </c>
      <c r="J284" s="9">
        <f t="shared" si="3"/>
        <v>1</v>
      </c>
      <c r="K284" s="11">
        <v>55.0</v>
      </c>
      <c r="L284" s="11">
        <v>39.0</v>
      </c>
      <c r="M284" s="14">
        <f t="shared" si="4"/>
        <v>0.78</v>
      </c>
      <c r="N284" s="11">
        <v>3.0</v>
      </c>
      <c r="O284" s="14">
        <f t="shared" si="5"/>
        <v>2</v>
      </c>
      <c r="P284" s="11">
        <v>1.0</v>
      </c>
      <c r="Q284" s="15">
        <v>1.0</v>
      </c>
      <c r="R284" s="9">
        <v>10.0</v>
      </c>
      <c r="S284" s="16">
        <f t="shared" si="6"/>
        <v>6.78</v>
      </c>
      <c r="T284" s="17">
        <f t="shared" si="7"/>
        <v>0.678</v>
      </c>
      <c r="U284" s="14">
        <f t="shared" si="8"/>
        <v>-3.22</v>
      </c>
      <c r="V284" s="9" t="str">
        <f t="shared" si="9"/>
        <v>Average</v>
      </c>
      <c r="W284" s="9"/>
    </row>
    <row r="285" ht="15.75" customHeight="1">
      <c r="A285" s="13">
        <v>46259.0</v>
      </c>
      <c r="B285" s="49" t="s">
        <v>56</v>
      </c>
      <c r="C285" s="9" t="s">
        <v>29</v>
      </c>
      <c r="D285" s="9" t="s">
        <v>27</v>
      </c>
      <c r="E285" s="10">
        <v>0.0</v>
      </c>
      <c r="F285" s="9">
        <f t="shared" si="1"/>
        <v>0</v>
      </c>
      <c r="G285" s="11">
        <v>0.0</v>
      </c>
      <c r="H285" s="9">
        <f t="shared" si="2"/>
        <v>0</v>
      </c>
      <c r="I285" s="11">
        <v>0.0</v>
      </c>
      <c r="J285" s="9">
        <f t="shared" si="3"/>
        <v>0</v>
      </c>
      <c r="K285" s="11">
        <v>71.0</v>
      </c>
      <c r="L285" s="11">
        <v>33.0</v>
      </c>
      <c r="M285" s="14">
        <f t="shared" si="4"/>
        <v>0.66</v>
      </c>
      <c r="N285" s="11">
        <v>2.0</v>
      </c>
      <c r="O285" s="14">
        <f t="shared" si="5"/>
        <v>1.333333333</v>
      </c>
      <c r="P285" s="11">
        <v>1.0</v>
      </c>
      <c r="Q285" s="15">
        <v>1.0</v>
      </c>
      <c r="R285" s="9">
        <v>10.0</v>
      </c>
      <c r="S285" s="16">
        <f t="shared" si="6"/>
        <v>3.993333333</v>
      </c>
      <c r="T285" s="17">
        <f t="shared" si="7"/>
        <v>0.3993333333</v>
      </c>
      <c r="U285" s="14">
        <f t="shared" si="8"/>
        <v>-6.006666667</v>
      </c>
      <c r="V285" s="9" t="str">
        <f t="shared" si="9"/>
        <v>Low Performance</v>
      </c>
      <c r="W285" s="9"/>
    </row>
    <row r="286" ht="15.75" customHeight="1">
      <c r="A286" s="13">
        <v>46259.0</v>
      </c>
      <c r="B286" s="49" t="s">
        <v>37</v>
      </c>
      <c r="C286" s="9" t="s">
        <v>29</v>
      </c>
      <c r="D286" s="9" t="s">
        <v>27</v>
      </c>
      <c r="E286" s="10">
        <v>0.0</v>
      </c>
      <c r="F286" s="9">
        <f t="shared" si="1"/>
        <v>0</v>
      </c>
      <c r="G286" s="11">
        <v>0.0</v>
      </c>
      <c r="H286" s="9">
        <f t="shared" si="2"/>
        <v>0</v>
      </c>
      <c r="I286" s="11">
        <v>1.0</v>
      </c>
      <c r="J286" s="9">
        <f t="shared" si="3"/>
        <v>1</v>
      </c>
      <c r="K286" s="11">
        <v>72.0</v>
      </c>
      <c r="L286" s="11">
        <v>50.0</v>
      </c>
      <c r="M286" s="14">
        <f t="shared" si="4"/>
        <v>1</v>
      </c>
      <c r="N286" s="11">
        <v>3.0</v>
      </c>
      <c r="O286" s="14">
        <f t="shared" si="5"/>
        <v>2</v>
      </c>
      <c r="P286" s="11">
        <v>1.0</v>
      </c>
      <c r="Q286" s="15">
        <v>0.75</v>
      </c>
      <c r="R286" s="9">
        <v>10.0</v>
      </c>
      <c r="S286" s="16">
        <f t="shared" si="6"/>
        <v>5.75</v>
      </c>
      <c r="T286" s="17">
        <f t="shared" si="7"/>
        <v>0.575</v>
      </c>
      <c r="U286" s="14">
        <f t="shared" si="8"/>
        <v>-4.25</v>
      </c>
      <c r="V286" s="9" t="str">
        <f t="shared" si="9"/>
        <v>Average</v>
      </c>
      <c r="W286" s="9"/>
    </row>
    <row r="287" ht="15.75" customHeight="1">
      <c r="A287" s="13">
        <v>46259.0</v>
      </c>
      <c r="B287" s="49" t="s">
        <v>57</v>
      </c>
      <c r="C287" s="9" t="s">
        <v>29</v>
      </c>
      <c r="D287" s="9" t="s">
        <v>27</v>
      </c>
      <c r="E287" s="10">
        <v>0.0</v>
      </c>
      <c r="F287" s="9">
        <f t="shared" si="1"/>
        <v>0</v>
      </c>
      <c r="G287" s="11">
        <v>0.0</v>
      </c>
      <c r="H287" s="9">
        <f t="shared" si="2"/>
        <v>0</v>
      </c>
      <c r="I287" s="11">
        <v>1.0</v>
      </c>
      <c r="J287" s="9">
        <f t="shared" si="3"/>
        <v>1</v>
      </c>
      <c r="K287" s="11">
        <v>55.0</v>
      </c>
      <c r="L287" s="11">
        <v>30.0</v>
      </c>
      <c r="M287" s="14">
        <f t="shared" si="4"/>
        <v>0.6</v>
      </c>
      <c r="N287" s="11">
        <v>2.0</v>
      </c>
      <c r="O287" s="14">
        <f t="shared" si="5"/>
        <v>1.333333333</v>
      </c>
      <c r="P287" s="11">
        <v>1.0</v>
      </c>
      <c r="Q287" s="15">
        <v>0.75</v>
      </c>
      <c r="R287" s="9">
        <v>10.0</v>
      </c>
      <c r="S287" s="16">
        <f t="shared" si="6"/>
        <v>4.683333333</v>
      </c>
      <c r="T287" s="17">
        <f t="shared" si="7"/>
        <v>0.4683333333</v>
      </c>
      <c r="U287" s="14">
        <f t="shared" si="8"/>
        <v>-5.316666667</v>
      </c>
      <c r="V287" s="9" t="str">
        <f t="shared" si="9"/>
        <v>Low Performance</v>
      </c>
      <c r="W287" s="9"/>
    </row>
    <row r="288" ht="15.75" customHeight="1">
      <c r="A288" s="13">
        <v>46259.0</v>
      </c>
      <c r="B288" s="49" t="s">
        <v>58</v>
      </c>
      <c r="C288" s="9" t="s">
        <v>40</v>
      </c>
      <c r="D288" s="9" t="s">
        <v>27</v>
      </c>
      <c r="E288" s="10">
        <v>0.0</v>
      </c>
      <c r="F288" s="9">
        <f t="shared" si="1"/>
        <v>0</v>
      </c>
      <c r="G288" s="11">
        <v>0.0</v>
      </c>
      <c r="H288" s="9">
        <f t="shared" si="2"/>
        <v>0</v>
      </c>
      <c r="I288" s="11">
        <v>1.0</v>
      </c>
      <c r="J288" s="9">
        <f t="shared" si="3"/>
        <v>1</v>
      </c>
      <c r="K288" s="11">
        <v>55.0</v>
      </c>
      <c r="L288" s="11">
        <v>34.0</v>
      </c>
      <c r="M288" s="14">
        <f t="shared" si="4"/>
        <v>0.68</v>
      </c>
      <c r="N288" s="11">
        <v>2.0</v>
      </c>
      <c r="O288" s="14">
        <f t="shared" si="5"/>
        <v>1.333333333</v>
      </c>
      <c r="P288" s="11">
        <v>1.0</v>
      </c>
      <c r="Q288" s="15">
        <v>0.75</v>
      </c>
      <c r="R288" s="9">
        <v>10.0</v>
      </c>
      <c r="S288" s="16">
        <f t="shared" si="6"/>
        <v>4.763333333</v>
      </c>
      <c r="T288" s="17">
        <f t="shared" si="7"/>
        <v>0.4763333333</v>
      </c>
      <c r="U288" s="14">
        <f t="shared" si="8"/>
        <v>-5.236666667</v>
      </c>
      <c r="V288" s="9" t="str">
        <f t="shared" si="9"/>
        <v>Low Performance</v>
      </c>
      <c r="W288" s="9"/>
    </row>
    <row r="289" ht="15.75" customHeight="1">
      <c r="A289" s="13">
        <v>46259.0</v>
      </c>
      <c r="B289" s="50" t="s">
        <v>59</v>
      </c>
      <c r="C289" s="9" t="s">
        <v>40</v>
      </c>
      <c r="D289" s="9" t="s">
        <v>27</v>
      </c>
      <c r="E289" s="10">
        <v>0.0</v>
      </c>
      <c r="F289" s="9">
        <f t="shared" si="1"/>
        <v>0</v>
      </c>
      <c r="G289" s="11">
        <v>0.0</v>
      </c>
      <c r="H289" s="9">
        <f t="shared" si="2"/>
        <v>0</v>
      </c>
      <c r="I289" s="11">
        <v>1.0</v>
      </c>
      <c r="J289" s="9">
        <f t="shared" si="3"/>
        <v>1</v>
      </c>
      <c r="K289" s="11">
        <v>38.0</v>
      </c>
      <c r="L289" s="11">
        <v>25.0</v>
      </c>
      <c r="M289" s="14">
        <f t="shared" si="4"/>
        <v>0.5</v>
      </c>
      <c r="N289" s="11">
        <v>1.0</v>
      </c>
      <c r="O289" s="14">
        <f t="shared" si="5"/>
        <v>0.6666666667</v>
      </c>
      <c r="P289" s="11">
        <v>1.0</v>
      </c>
      <c r="Q289" s="15">
        <v>1.0</v>
      </c>
      <c r="R289" s="9">
        <v>10.0</v>
      </c>
      <c r="S289" s="16">
        <f t="shared" si="6"/>
        <v>4.166666667</v>
      </c>
      <c r="T289" s="17">
        <f t="shared" si="7"/>
        <v>0.4166666667</v>
      </c>
      <c r="U289" s="14">
        <f t="shared" si="8"/>
        <v>-5.833333333</v>
      </c>
      <c r="V289" s="9" t="str">
        <f t="shared" si="9"/>
        <v>Low Performance</v>
      </c>
      <c r="W289" s="9"/>
    </row>
    <row r="290" ht="15.75" customHeight="1">
      <c r="A290" s="13">
        <v>46259.0</v>
      </c>
      <c r="B290" s="49" t="s">
        <v>41</v>
      </c>
      <c r="C290" s="9" t="s">
        <v>40</v>
      </c>
      <c r="D290" s="9" t="s">
        <v>27</v>
      </c>
      <c r="E290" s="10">
        <v>0.0</v>
      </c>
      <c r="F290" s="9">
        <f t="shared" si="1"/>
        <v>0</v>
      </c>
      <c r="G290" s="11">
        <v>0.0</v>
      </c>
      <c r="H290" s="9">
        <f t="shared" si="2"/>
        <v>0</v>
      </c>
      <c r="I290" s="11">
        <v>0.0</v>
      </c>
      <c r="J290" s="9">
        <f t="shared" si="3"/>
        <v>0</v>
      </c>
      <c r="K290" s="11">
        <v>68.0</v>
      </c>
      <c r="L290" s="11">
        <v>27.0</v>
      </c>
      <c r="M290" s="14">
        <f t="shared" si="4"/>
        <v>0.54</v>
      </c>
      <c r="N290" s="11">
        <v>1.0</v>
      </c>
      <c r="O290" s="14">
        <f t="shared" si="5"/>
        <v>0.6666666667</v>
      </c>
      <c r="P290" s="11">
        <v>1.0</v>
      </c>
      <c r="Q290" s="15">
        <v>1.0</v>
      </c>
      <c r="R290" s="9">
        <v>10.0</v>
      </c>
      <c r="S290" s="16">
        <f t="shared" si="6"/>
        <v>3.206666667</v>
      </c>
      <c r="T290" s="17">
        <f t="shared" si="7"/>
        <v>0.3206666667</v>
      </c>
      <c r="U290" s="14">
        <f t="shared" si="8"/>
        <v>-6.793333333</v>
      </c>
      <c r="V290" s="9" t="str">
        <f t="shared" si="9"/>
        <v>Low Performance</v>
      </c>
      <c r="W290" s="9"/>
    </row>
    <row r="291" ht="15.75" customHeight="1">
      <c r="A291" s="13">
        <v>46259.0</v>
      </c>
      <c r="B291" s="49" t="s">
        <v>42</v>
      </c>
      <c r="C291" s="9" t="s">
        <v>40</v>
      </c>
      <c r="D291" s="9" t="s">
        <v>27</v>
      </c>
      <c r="E291" s="10">
        <v>0.0</v>
      </c>
      <c r="F291" s="9">
        <f t="shared" si="1"/>
        <v>0</v>
      </c>
      <c r="G291" s="11">
        <v>0.0</v>
      </c>
      <c r="H291" s="9">
        <f t="shared" si="2"/>
        <v>0</v>
      </c>
      <c r="I291" s="11">
        <v>0.0</v>
      </c>
      <c r="J291" s="9">
        <f t="shared" si="3"/>
        <v>0</v>
      </c>
      <c r="K291" s="11">
        <v>40.0</v>
      </c>
      <c r="L291" s="11">
        <v>21.0</v>
      </c>
      <c r="M291" s="14">
        <f t="shared" si="4"/>
        <v>0.42</v>
      </c>
      <c r="N291" s="11">
        <v>2.0</v>
      </c>
      <c r="O291" s="14">
        <f t="shared" si="5"/>
        <v>1.333333333</v>
      </c>
      <c r="P291" s="11">
        <v>1.0</v>
      </c>
      <c r="Q291" s="15">
        <v>1.0</v>
      </c>
      <c r="R291" s="9">
        <v>10.0</v>
      </c>
      <c r="S291" s="16">
        <f t="shared" si="6"/>
        <v>3.753333333</v>
      </c>
      <c r="T291" s="17">
        <f t="shared" si="7"/>
        <v>0.3753333333</v>
      </c>
      <c r="U291" s="14">
        <f t="shared" si="8"/>
        <v>-6.246666667</v>
      </c>
      <c r="V291" s="9" t="str">
        <f t="shared" si="9"/>
        <v>Low Performance</v>
      </c>
      <c r="W291" s="9"/>
    </row>
    <row r="292" ht="15.75" customHeight="1">
      <c r="A292" s="13">
        <v>46259.0</v>
      </c>
      <c r="B292" s="49" t="s">
        <v>60</v>
      </c>
      <c r="C292" s="9" t="s">
        <v>40</v>
      </c>
      <c r="D292" s="9" t="s">
        <v>27</v>
      </c>
      <c r="E292" s="10">
        <v>0.0</v>
      </c>
      <c r="F292" s="9">
        <f t="shared" si="1"/>
        <v>0</v>
      </c>
      <c r="G292" s="11">
        <v>0.0</v>
      </c>
      <c r="H292" s="9">
        <f t="shared" si="2"/>
        <v>0</v>
      </c>
      <c r="I292" s="11">
        <v>1.0</v>
      </c>
      <c r="J292" s="9">
        <f t="shared" si="3"/>
        <v>1</v>
      </c>
      <c r="K292" s="11">
        <v>50.0</v>
      </c>
      <c r="L292" s="11">
        <v>30.0</v>
      </c>
      <c r="M292" s="14">
        <f t="shared" si="4"/>
        <v>0.6</v>
      </c>
      <c r="N292" s="11">
        <v>2.0</v>
      </c>
      <c r="O292" s="14">
        <f t="shared" si="5"/>
        <v>1.333333333</v>
      </c>
      <c r="P292" s="11">
        <v>1.0</v>
      </c>
      <c r="Q292" s="15">
        <v>0.75</v>
      </c>
      <c r="R292" s="9">
        <v>10.0</v>
      </c>
      <c r="S292" s="16">
        <f t="shared" si="6"/>
        <v>4.683333333</v>
      </c>
      <c r="T292" s="17">
        <f t="shared" si="7"/>
        <v>0.4683333333</v>
      </c>
      <c r="U292" s="14">
        <f t="shared" si="8"/>
        <v>-5.316666667</v>
      </c>
      <c r="V292" s="9" t="str">
        <f t="shared" si="9"/>
        <v>Low Performance</v>
      </c>
      <c r="W292" s="9"/>
    </row>
    <row r="293" ht="15.75" customHeight="1">
      <c r="A293" s="13">
        <v>46259.0</v>
      </c>
      <c r="B293" s="49" t="s">
        <v>47</v>
      </c>
      <c r="C293" s="9" t="s">
        <v>48</v>
      </c>
      <c r="D293" s="9" t="s">
        <v>27</v>
      </c>
      <c r="E293" s="10">
        <v>0.0</v>
      </c>
      <c r="F293" s="9">
        <f t="shared" si="1"/>
        <v>0</v>
      </c>
      <c r="G293" s="11">
        <v>0.0</v>
      </c>
      <c r="H293" s="9">
        <f t="shared" si="2"/>
        <v>0</v>
      </c>
      <c r="I293" s="11">
        <v>1.0</v>
      </c>
      <c r="J293" s="9">
        <f t="shared" si="3"/>
        <v>1</v>
      </c>
      <c r="K293" s="11">
        <v>35.0</v>
      </c>
      <c r="L293" s="11">
        <v>21.0</v>
      </c>
      <c r="M293" s="14">
        <f t="shared" si="4"/>
        <v>0.42</v>
      </c>
      <c r="N293" s="11">
        <v>1.0</v>
      </c>
      <c r="O293" s="14">
        <f t="shared" si="5"/>
        <v>0.6666666667</v>
      </c>
      <c r="P293" s="11">
        <v>1.0</v>
      </c>
      <c r="Q293" s="15">
        <v>0.75</v>
      </c>
      <c r="R293" s="9">
        <v>10.0</v>
      </c>
      <c r="S293" s="16">
        <f t="shared" si="6"/>
        <v>3.836666667</v>
      </c>
      <c r="T293" s="17">
        <f t="shared" si="7"/>
        <v>0.3836666667</v>
      </c>
      <c r="U293" s="14">
        <f t="shared" si="8"/>
        <v>-6.163333333</v>
      </c>
      <c r="V293" s="9" t="str">
        <f t="shared" si="9"/>
        <v>Low Performance</v>
      </c>
      <c r="W293" s="9"/>
    </row>
    <row r="294" ht="15.75" customHeight="1">
      <c r="A294" s="13">
        <v>46259.0</v>
      </c>
      <c r="B294" s="49" t="s">
        <v>61</v>
      </c>
      <c r="C294" s="9" t="s">
        <v>48</v>
      </c>
      <c r="D294" s="9" t="s">
        <v>27</v>
      </c>
      <c r="E294" s="10">
        <v>0.0</v>
      </c>
      <c r="F294" s="9">
        <f t="shared" si="1"/>
        <v>0</v>
      </c>
      <c r="G294" s="11">
        <v>1.0</v>
      </c>
      <c r="H294" s="9">
        <f t="shared" si="2"/>
        <v>1</v>
      </c>
      <c r="I294" s="11">
        <v>0.0</v>
      </c>
      <c r="J294" s="9">
        <f t="shared" si="3"/>
        <v>0</v>
      </c>
      <c r="K294" s="11">
        <v>60.0</v>
      </c>
      <c r="L294" s="11">
        <v>35.0</v>
      </c>
      <c r="M294" s="14">
        <f t="shared" si="4"/>
        <v>0.7</v>
      </c>
      <c r="N294" s="11">
        <v>2.0</v>
      </c>
      <c r="O294" s="14">
        <f t="shared" si="5"/>
        <v>1.333333333</v>
      </c>
      <c r="P294" s="11">
        <v>1.0</v>
      </c>
      <c r="Q294" s="15">
        <v>0.75</v>
      </c>
      <c r="R294" s="9">
        <v>10.0</v>
      </c>
      <c r="S294" s="16">
        <f t="shared" si="6"/>
        <v>4.783333333</v>
      </c>
      <c r="T294" s="17">
        <f t="shared" si="7"/>
        <v>0.4783333333</v>
      </c>
      <c r="U294" s="14">
        <f t="shared" si="8"/>
        <v>-5.216666667</v>
      </c>
      <c r="V294" s="9" t="str">
        <f t="shared" si="9"/>
        <v>Low Performance</v>
      </c>
      <c r="W294" s="9"/>
    </row>
    <row r="295" ht="15.75" customHeight="1">
      <c r="A295" s="13">
        <v>46259.0</v>
      </c>
      <c r="B295" s="49" t="s">
        <v>62</v>
      </c>
      <c r="C295" s="9" t="s">
        <v>48</v>
      </c>
      <c r="D295" s="9" t="s">
        <v>27</v>
      </c>
      <c r="E295" s="10">
        <v>0.0</v>
      </c>
      <c r="F295" s="9">
        <f t="shared" si="1"/>
        <v>0</v>
      </c>
      <c r="G295" s="11">
        <v>0.0</v>
      </c>
      <c r="H295" s="9">
        <f t="shared" si="2"/>
        <v>0</v>
      </c>
      <c r="I295" s="11">
        <v>1.0</v>
      </c>
      <c r="J295" s="9">
        <f t="shared" si="3"/>
        <v>1</v>
      </c>
      <c r="K295" s="11">
        <v>48.0</v>
      </c>
      <c r="L295" s="11">
        <v>45.0</v>
      </c>
      <c r="M295" s="14">
        <f t="shared" si="4"/>
        <v>0.9</v>
      </c>
      <c r="N295" s="11">
        <v>1.0</v>
      </c>
      <c r="O295" s="14">
        <f t="shared" si="5"/>
        <v>0.6666666667</v>
      </c>
      <c r="P295" s="11">
        <v>1.0</v>
      </c>
      <c r="Q295" s="15">
        <v>0.75</v>
      </c>
      <c r="R295" s="9">
        <v>10.0</v>
      </c>
      <c r="S295" s="16">
        <f t="shared" si="6"/>
        <v>4.316666667</v>
      </c>
      <c r="T295" s="17">
        <f t="shared" si="7"/>
        <v>0.4316666667</v>
      </c>
      <c r="U295" s="14">
        <f t="shared" si="8"/>
        <v>-5.683333333</v>
      </c>
      <c r="V295" s="9" t="str">
        <f t="shared" si="9"/>
        <v>Low Performance</v>
      </c>
      <c r="W295" s="9"/>
    </row>
    <row r="296" ht="15.75" customHeight="1">
      <c r="A296" s="13">
        <v>46259.0</v>
      </c>
      <c r="B296" s="49" t="s">
        <v>63</v>
      </c>
      <c r="C296" s="9" t="s">
        <v>48</v>
      </c>
      <c r="D296" s="9" t="s">
        <v>27</v>
      </c>
      <c r="E296" s="10">
        <v>0.0</v>
      </c>
      <c r="F296" s="9">
        <f t="shared" si="1"/>
        <v>0</v>
      </c>
      <c r="G296" s="11">
        <v>0.0</v>
      </c>
      <c r="H296" s="9">
        <f t="shared" si="2"/>
        <v>0</v>
      </c>
      <c r="I296" s="11">
        <v>1.0</v>
      </c>
      <c r="J296" s="9">
        <f t="shared" si="3"/>
        <v>1</v>
      </c>
      <c r="K296" s="11">
        <v>50.0</v>
      </c>
      <c r="L296" s="11">
        <v>38.0</v>
      </c>
      <c r="M296" s="14">
        <f t="shared" si="4"/>
        <v>0.76</v>
      </c>
      <c r="N296" s="11">
        <v>2.0</v>
      </c>
      <c r="O296" s="14">
        <f t="shared" si="5"/>
        <v>1.333333333</v>
      </c>
      <c r="P296" s="11">
        <v>1.0</v>
      </c>
      <c r="Q296" s="15">
        <v>0.75</v>
      </c>
      <c r="R296" s="9">
        <v>10.0</v>
      </c>
      <c r="S296" s="16">
        <f t="shared" si="6"/>
        <v>4.843333333</v>
      </c>
      <c r="T296" s="17">
        <f t="shared" si="7"/>
        <v>0.4843333333</v>
      </c>
      <c r="U296" s="14">
        <f t="shared" si="8"/>
        <v>-5.156666667</v>
      </c>
      <c r="V296" s="9" t="str">
        <f t="shared" si="9"/>
        <v>Low Performance</v>
      </c>
      <c r="W296" s="9"/>
    </row>
    <row r="297" ht="15.75" customHeight="1">
      <c r="A297" s="13">
        <v>46261.0</v>
      </c>
      <c r="B297" s="49" t="s">
        <v>28</v>
      </c>
      <c r="C297" s="9" t="s">
        <v>29</v>
      </c>
      <c r="D297" s="9" t="s">
        <v>27</v>
      </c>
      <c r="E297" s="10">
        <v>0.0</v>
      </c>
      <c r="F297" s="9">
        <f t="shared" si="1"/>
        <v>0</v>
      </c>
      <c r="G297" s="11">
        <v>0.0</v>
      </c>
      <c r="H297" s="9">
        <f t="shared" si="2"/>
        <v>0</v>
      </c>
      <c r="I297" s="11">
        <v>0.0</v>
      </c>
      <c r="J297" s="9">
        <f t="shared" si="3"/>
        <v>0</v>
      </c>
      <c r="K297" s="11">
        <v>0.0</v>
      </c>
      <c r="L297" s="11">
        <v>0.0</v>
      </c>
      <c r="M297" s="14">
        <f t="shared" si="4"/>
        <v>0</v>
      </c>
      <c r="N297" s="11">
        <v>0.0</v>
      </c>
      <c r="O297" s="14">
        <f t="shared" si="5"/>
        <v>0</v>
      </c>
      <c r="P297" s="11">
        <v>0.0</v>
      </c>
      <c r="Q297" s="15">
        <v>0.0</v>
      </c>
      <c r="R297" s="9">
        <v>10.0</v>
      </c>
      <c r="S297" s="16">
        <f t="shared" si="6"/>
        <v>0</v>
      </c>
      <c r="T297" s="17">
        <f t="shared" si="7"/>
        <v>0</v>
      </c>
      <c r="U297" s="14">
        <f t="shared" si="8"/>
        <v>-10</v>
      </c>
      <c r="V297" s="9" t="str">
        <f t="shared" si="9"/>
        <v>Low Performance</v>
      </c>
      <c r="W297" s="32" t="s">
        <v>51</v>
      </c>
    </row>
    <row r="298" ht="15.75" customHeight="1">
      <c r="A298" s="13">
        <v>46261.0</v>
      </c>
      <c r="B298" s="49" t="s">
        <v>36</v>
      </c>
      <c r="C298" s="9" t="s">
        <v>29</v>
      </c>
      <c r="D298" s="9" t="s">
        <v>27</v>
      </c>
      <c r="E298" s="10">
        <v>0.0</v>
      </c>
      <c r="F298" s="9">
        <f t="shared" si="1"/>
        <v>0</v>
      </c>
      <c r="G298" s="11">
        <v>0.0</v>
      </c>
      <c r="H298" s="9">
        <f t="shared" si="2"/>
        <v>0</v>
      </c>
      <c r="I298" s="11">
        <v>1.0</v>
      </c>
      <c r="J298" s="9">
        <f t="shared" si="3"/>
        <v>1</v>
      </c>
      <c r="K298" s="11">
        <v>63.0</v>
      </c>
      <c r="L298" s="11">
        <v>38.0</v>
      </c>
      <c r="M298" s="14">
        <f t="shared" si="4"/>
        <v>0.76</v>
      </c>
      <c r="N298" s="11">
        <v>2.0</v>
      </c>
      <c r="O298" s="14">
        <f t="shared" si="5"/>
        <v>1.333333333</v>
      </c>
      <c r="P298" s="11">
        <v>1.0</v>
      </c>
      <c r="Q298" s="15">
        <v>0.75</v>
      </c>
      <c r="R298" s="9">
        <v>10.0</v>
      </c>
      <c r="S298" s="16">
        <f t="shared" si="6"/>
        <v>4.843333333</v>
      </c>
      <c r="T298" s="17">
        <f t="shared" si="7"/>
        <v>0.4843333333</v>
      </c>
      <c r="U298" s="14">
        <f t="shared" si="8"/>
        <v>-5.156666667</v>
      </c>
      <c r="V298" s="9" t="str">
        <f t="shared" si="9"/>
        <v>Low Performance</v>
      </c>
      <c r="W298" s="9"/>
    </row>
    <row r="299" ht="15.75" customHeight="1">
      <c r="A299" s="13">
        <v>46261.0</v>
      </c>
      <c r="B299" s="49" t="s">
        <v>56</v>
      </c>
      <c r="C299" s="9" t="s">
        <v>29</v>
      </c>
      <c r="D299" s="9" t="s">
        <v>27</v>
      </c>
      <c r="E299" s="10">
        <v>0.0</v>
      </c>
      <c r="F299" s="9">
        <f t="shared" si="1"/>
        <v>0</v>
      </c>
      <c r="G299" s="11">
        <v>1.0</v>
      </c>
      <c r="H299" s="9">
        <f t="shared" si="2"/>
        <v>1</v>
      </c>
      <c r="I299" s="11">
        <v>0.0</v>
      </c>
      <c r="J299" s="9">
        <f t="shared" si="3"/>
        <v>0</v>
      </c>
      <c r="K299" s="11">
        <v>12.0</v>
      </c>
      <c r="L299" s="11">
        <v>0.0</v>
      </c>
      <c r="M299" s="14">
        <f t="shared" si="4"/>
        <v>0</v>
      </c>
      <c r="N299" s="11">
        <v>0.0</v>
      </c>
      <c r="O299" s="14">
        <f t="shared" si="5"/>
        <v>0</v>
      </c>
      <c r="P299" s="11">
        <v>1.0</v>
      </c>
      <c r="Q299" s="15">
        <v>1.0</v>
      </c>
      <c r="R299" s="9">
        <v>10.0</v>
      </c>
      <c r="S299" s="16">
        <f t="shared" si="6"/>
        <v>3</v>
      </c>
      <c r="T299" s="17">
        <f t="shared" si="7"/>
        <v>0.3</v>
      </c>
      <c r="U299" s="14">
        <f t="shared" si="8"/>
        <v>-7</v>
      </c>
      <c r="V299" s="9" t="str">
        <f t="shared" si="9"/>
        <v>Low Performance</v>
      </c>
      <c r="W299" s="9"/>
    </row>
    <row r="300" ht="15.75" customHeight="1">
      <c r="A300" s="13">
        <v>46261.0</v>
      </c>
      <c r="B300" s="49" t="s">
        <v>37</v>
      </c>
      <c r="C300" s="9" t="s">
        <v>29</v>
      </c>
      <c r="D300" s="9" t="s">
        <v>27</v>
      </c>
      <c r="E300" s="10">
        <v>0.0</v>
      </c>
      <c r="F300" s="9">
        <f t="shared" si="1"/>
        <v>0</v>
      </c>
      <c r="G300" s="11">
        <v>1.0</v>
      </c>
      <c r="H300" s="9">
        <f t="shared" si="2"/>
        <v>1</v>
      </c>
      <c r="I300" s="11">
        <v>0.0</v>
      </c>
      <c r="J300" s="9">
        <f t="shared" si="3"/>
        <v>0</v>
      </c>
      <c r="K300" s="11">
        <v>52.0</v>
      </c>
      <c r="L300" s="11">
        <v>47.0</v>
      </c>
      <c r="M300" s="14">
        <f t="shared" si="4"/>
        <v>0.94</v>
      </c>
      <c r="N300" s="11">
        <v>2.0</v>
      </c>
      <c r="O300" s="14">
        <f t="shared" si="5"/>
        <v>1.333333333</v>
      </c>
      <c r="P300" s="11">
        <v>1.0</v>
      </c>
      <c r="Q300" s="15">
        <v>0.75</v>
      </c>
      <c r="R300" s="9">
        <v>10.0</v>
      </c>
      <c r="S300" s="16">
        <f t="shared" si="6"/>
        <v>5.023333333</v>
      </c>
      <c r="T300" s="17">
        <f t="shared" si="7"/>
        <v>0.5023333333</v>
      </c>
      <c r="U300" s="14">
        <f t="shared" si="8"/>
        <v>-4.976666667</v>
      </c>
      <c r="V300" s="9" t="str">
        <f t="shared" si="9"/>
        <v>Average</v>
      </c>
      <c r="W300" s="9"/>
    </row>
    <row r="301" ht="15.75" customHeight="1">
      <c r="A301" s="13">
        <v>46261.0</v>
      </c>
      <c r="B301" s="49" t="s">
        <v>57</v>
      </c>
      <c r="C301" s="9" t="s">
        <v>29</v>
      </c>
      <c r="D301" s="9" t="s">
        <v>27</v>
      </c>
      <c r="E301" s="10">
        <v>0.0</v>
      </c>
      <c r="F301" s="9">
        <f t="shared" si="1"/>
        <v>0</v>
      </c>
      <c r="G301" s="11">
        <v>0.0</v>
      </c>
      <c r="H301" s="9">
        <f t="shared" si="2"/>
        <v>0</v>
      </c>
      <c r="I301" s="11">
        <v>0.0</v>
      </c>
      <c r="J301" s="9">
        <f t="shared" si="3"/>
        <v>0</v>
      </c>
      <c r="K301" s="11">
        <v>80.0</v>
      </c>
      <c r="L301" s="11">
        <v>50.0</v>
      </c>
      <c r="M301" s="14">
        <f t="shared" si="4"/>
        <v>1</v>
      </c>
      <c r="N301" s="11">
        <v>2.0</v>
      </c>
      <c r="O301" s="14">
        <f t="shared" si="5"/>
        <v>1.333333333</v>
      </c>
      <c r="P301" s="11">
        <v>1.0</v>
      </c>
      <c r="Q301" s="15">
        <v>0.75</v>
      </c>
      <c r="R301" s="9">
        <v>10.0</v>
      </c>
      <c r="S301" s="16">
        <f t="shared" si="6"/>
        <v>4.083333333</v>
      </c>
      <c r="T301" s="17">
        <f t="shared" si="7"/>
        <v>0.4083333333</v>
      </c>
      <c r="U301" s="14">
        <f t="shared" si="8"/>
        <v>-5.916666667</v>
      </c>
      <c r="V301" s="9" t="str">
        <f t="shared" si="9"/>
        <v>Low Performance</v>
      </c>
      <c r="W301" s="9"/>
    </row>
    <row r="302" ht="15.75" customHeight="1">
      <c r="A302" s="13">
        <v>46261.0</v>
      </c>
      <c r="B302" s="49" t="s">
        <v>58</v>
      </c>
      <c r="C302" s="9" t="s">
        <v>40</v>
      </c>
      <c r="D302" s="9" t="s">
        <v>27</v>
      </c>
      <c r="E302" s="10">
        <v>0.0</v>
      </c>
      <c r="F302" s="9">
        <f t="shared" si="1"/>
        <v>0</v>
      </c>
      <c r="G302" s="11">
        <v>0.0</v>
      </c>
      <c r="H302" s="9">
        <f t="shared" si="2"/>
        <v>0</v>
      </c>
      <c r="I302" s="11">
        <v>0.0</v>
      </c>
      <c r="J302" s="9">
        <f t="shared" si="3"/>
        <v>0</v>
      </c>
      <c r="K302" s="11">
        <v>50.0</v>
      </c>
      <c r="L302" s="11">
        <v>33.0</v>
      </c>
      <c r="M302" s="14">
        <f t="shared" si="4"/>
        <v>0.66</v>
      </c>
      <c r="N302" s="11">
        <v>1.0</v>
      </c>
      <c r="O302" s="14">
        <f t="shared" si="5"/>
        <v>0.6666666667</v>
      </c>
      <c r="P302" s="11">
        <v>1.0</v>
      </c>
      <c r="Q302" s="15">
        <v>0.75</v>
      </c>
      <c r="R302" s="9">
        <v>10.0</v>
      </c>
      <c r="S302" s="16">
        <f t="shared" si="6"/>
        <v>3.076666667</v>
      </c>
      <c r="T302" s="17">
        <f t="shared" si="7"/>
        <v>0.3076666667</v>
      </c>
      <c r="U302" s="14">
        <f t="shared" si="8"/>
        <v>-6.923333333</v>
      </c>
      <c r="V302" s="9" t="str">
        <f t="shared" si="9"/>
        <v>Low Performance</v>
      </c>
      <c r="W302" s="9"/>
    </row>
    <row r="303" ht="15.75" customHeight="1">
      <c r="A303" s="13">
        <v>46261.0</v>
      </c>
      <c r="B303" s="50" t="s">
        <v>59</v>
      </c>
      <c r="C303" s="9" t="s">
        <v>40</v>
      </c>
      <c r="D303" s="9" t="s">
        <v>27</v>
      </c>
      <c r="E303" s="10">
        <v>0.0</v>
      </c>
      <c r="F303" s="9">
        <f t="shared" si="1"/>
        <v>0</v>
      </c>
      <c r="G303" s="11">
        <v>0.0</v>
      </c>
      <c r="H303" s="9">
        <f t="shared" si="2"/>
        <v>0</v>
      </c>
      <c r="I303" s="11">
        <v>0.0</v>
      </c>
      <c r="J303" s="9">
        <f t="shared" si="3"/>
        <v>0</v>
      </c>
      <c r="K303" s="11">
        <v>44.0</v>
      </c>
      <c r="L303" s="11">
        <v>32.0</v>
      </c>
      <c r="M303" s="14">
        <f t="shared" si="4"/>
        <v>0.64</v>
      </c>
      <c r="N303" s="11">
        <v>1.0</v>
      </c>
      <c r="O303" s="14">
        <f t="shared" si="5"/>
        <v>0.6666666667</v>
      </c>
      <c r="P303" s="11">
        <v>1.0</v>
      </c>
      <c r="Q303" s="15">
        <v>1.0</v>
      </c>
      <c r="R303" s="9">
        <v>10.0</v>
      </c>
      <c r="S303" s="16">
        <f t="shared" si="6"/>
        <v>3.306666667</v>
      </c>
      <c r="T303" s="17">
        <f t="shared" si="7"/>
        <v>0.3306666667</v>
      </c>
      <c r="U303" s="14">
        <f t="shared" si="8"/>
        <v>-6.693333333</v>
      </c>
      <c r="V303" s="9" t="str">
        <f t="shared" si="9"/>
        <v>Low Performance</v>
      </c>
      <c r="W303" s="9"/>
    </row>
    <row r="304" ht="15.75" customHeight="1">
      <c r="A304" s="13">
        <v>46261.0</v>
      </c>
      <c r="B304" s="49" t="s">
        <v>41</v>
      </c>
      <c r="C304" s="9" t="s">
        <v>40</v>
      </c>
      <c r="D304" s="9" t="s">
        <v>27</v>
      </c>
      <c r="E304" s="10">
        <v>0.0</v>
      </c>
      <c r="F304" s="9">
        <f t="shared" si="1"/>
        <v>0</v>
      </c>
      <c r="G304" s="11">
        <v>0.0</v>
      </c>
      <c r="H304" s="9">
        <f t="shared" si="2"/>
        <v>0</v>
      </c>
      <c r="I304" s="11">
        <v>0.0</v>
      </c>
      <c r="J304" s="9">
        <f t="shared" si="3"/>
        <v>0</v>
      </c>
      <c r="K304" s="11">
        <v>64.0</v>
      </c>
      <c r="L304" s="11">
        <v>21.0</v>
      </c>
      <c r="M304" s="14">
        <f t="shared" si="4"/>
        <v>0.42</v>
      </c>
      <c r="N304" s="11">
        <v>2.0</v>
      </c>
      <c r="O304" s="14">
        <f t="shared" si="5"/>
        <v>1.333333333</v>
      </c>
      <c r="P304" s="11">
        <v>1.0</v>
      </c>
      <c r="Q304" s="15">
        <v>1.0</v>
      </c>
      <c r="R304" s="9">
        <v>10.0</v>
      </c>
      <c r="S304" s="16">
        <f t="shared" si="6"/>
        <v>3.753333333</v>
      </c>
      <c r="T304" s="17">
        <f t="shared" si="7"/>
        <v>0.3753333333</v>
      </c>
      <c r="U304" s="14">
        <f t="shared" si="8"/>
        <v>-6.246666667</v>
      </c>
      <c r="V304" s="9" t="str">
        <f t="shared" si="9"/>
        <v>Low Performance</v>
      </c>
      <c r="W304" s="9"/>
    </row>
    <row r="305" ht="15.75" customHeight="1">
      <c r="A305" s="13">
        <v>46261.0</v>
      </c>
      <c r="B305" s="49" t="s">
        <v>42</v>
      </c>
      <c r="C305" s="9" t="s">
        <v>40</v>
      </c>
      <c r="D305" s="9" t="s">
        <v>27</v>
      </c>
      <c r="E305" s="10">
        <v>20000.0</v>
      </c>
      <c r="F305" s="9">
        <f t="shared" si="1"/>
        <v>3</v>
      </c>
      <c r="G305" s="11">
        <v>0.0</v>
      </c>
      <c r="H305" s="18">
        <v>0.0</v>
      </c>
      <c r="I305" s="11">
        <v>0.0</v>
      </c>
      <c r="J305" s="9">
        <f t="shared" si="3"/>
        <v>0</v>
      </c>
      <c r="K305" s="11">
        <v>50.0</v>
      </c>
      <c r="L305" s="11">
        <v>30.0</v>
      </c>
      <c r="M305" s="14">
        <f t="shared" si="4"/>
        <v>0.6</v>
      </c>
      <c r="N305" s="11">
        <v>2.0</v>
      </c>
      <c r="O305" s="14">
        <f t="shared" si="5"/>
        <v>1.333333333</v>
      </c>
      <c r="P305" s="11">
        <v>1.0</v>
      </c>
      <c r="Q305" s="15">
        <v>1.0</v>
      </c>
      <c r="R305" s="9">
        <v>10.0</v>
      </c>
      <c r="S305" s="16">
        <f t="shared" si="6"/>
        <v>6.933333333</v>
      </c>
      <c r="T305" s="17">
        <f t="shared" si="7"/>
        <v>0.6933333333</v>
      </c>
      <c r="U305" s="14">
        <f t="shared" si="8"/>
        <v>-3.066666667</v>
      </c>
      <c r="V305" s="9" t="str">
        <f t="shared" si="9"/>
        <v>Average</v>
      </c>
      <c r="W305" s="9"/>
    </row>
    <row r="306" ht="15.75" customHeight="1">
      <c r="A306" s="13">
        <v>46261.0</v>
      </c>
      <c r="B306" s="49" t="s">
        <v>60</v>
      </c>
      <c r="C306" s="9" t="s">
        <v>40</v>
      </c>
      <c r="D306" s="9" t="s">
        <v>27</v>
      </c>
      <c r="E306" s="10">
        <v>0.0</v>
      </c>
      <c r="F306" s="9">
        <f t="shared" si="1"/>
        <v>0</v>
      </c>
      <c r="G306" s="11">
        <v>1.0</v>
      </c>
      <c r="H306" s="9">
        <f t="shared" ref="H306:H352" si="10">IF(G306&gt;0,1,0)</f>
        <v>1</v>
      </c>
      <c r="I306" s="11">
        <v>0.0</v>
      </c>
      <c r="J306" s="9">
        <f t="shared" si="3"/>
        <v>0</v>
      </c>
      <c r="K306" s="11">
        <v>52.0</v>
      </c>
      <c r="L306" s="11">
        <v>40.0</v>
      </c>
      <c r="M306" s="14">
        <f t="shared" si="4"/>
        <v>0.8</v>
      </c>
      <c r="N306" s="11">
        <v>2.0</v>
      </c>
      <c r="O306" s="14">
        <f t="shared" si="5"/>
        <v>1.333333333</v>
      </c>
      <c r="P306" s="11">
        <v>1.0</v>
      </c>
      <c r="Q306" s="15">
        <v>0.75</v>
      </c>
      <c r="R306" s="9">
        <v>10.0</v>
      </c>
      <c r="S306" s="16">
        <f t="shared" si="6"/>
        <v>4.883333333</v>
      </c>
      <c r="T306" s="17">
        <f t="shared" si="7"/>
        <v>0.4883333333</v>
      </c>
      <c r="U306" s="14">
        <f t="shared" si="8"/>
        <v>-5.116666667</v>
      </c>
      <c r="V306" s="9" t="str">
        <f t="shared" si="9"/>
        <v>Low Performance</v>
      </c>
      <c r="W306" s="9"/>
    </row>
    <row r="307" ht="15.75" customHeight="1">
      <c r="A307" s="13">
        <v>46261.0</v>
      </c>
      <c r="B307" s="49" t="s">
        <v>47</v>
      </c>
      <c r="C307" s="9" t="s">
        <v>48</v>
      </c>
      <c r="D307" s="9" t="s">
        <v>27</v>
      </c>
      <c r="E307" s="10">
        <v>0.0</v>
      </c>
      <c r="F307" s="9">
        <f t="shared" si="1"/>
        <v>0</v>
      </c>
      <c r="G307" s="11">
        <v>0.0</v>
      </c>
      <c r="H307" s="9">
        <f t="shared" si="10"/>
        <v>0</v>
      </c>
      <c r="I307" s="11">
        <v>0.0</v>
      </c>
      <c r="J307" s="9">
        <f t="shared" si="3"/>
        <v>0</v>
      </c>
      <c r="K307" s="11">
        <v>69.0</v>
      </c>
      <c r="L307" s="11">
        <v>39.0</v>
      </c>
      <c r="M307" s="14">
        <f t="shared" si="4"/>
        <v>0.78</v>
      </c>
      <c r="N307" s="11">
        <v>1.0</v>
      </c>
      <c r="O307" s="14">
        <f t="shared" si="5"/>
        <v>0.6666666667</v>
      </c>
      <c r="P307" s="11">
        <v>1.0</v>
      </c>
      <c r="Q307" s="15">
        <v>0.5</v>
      </c>
      <c r="R307" s="9">
        <v>10.0</v>
      </c>
      <c r="S307" s="16">
        <f t="shared" si="6"/>
        <v>2.946666667</v>
      </c>
      <c r="T307" s="17">
        <f t="shared" si="7"/>
        <v>0.2946666667</v>
      </c>
      <c r="U307" s="14">
        <f t="shared" si="8"/>
        <v>-7.053333333</v>
      </c>
      <c r="V307" s="9" t="str">
        <f t="shared" si="9"/>
        <v>Low Performance</v>
      </c>
      <c r="W307" s="9"/>
    </row>
    <row r="308" ht="15.75" customHeight="1">
      <c r="A308" s="13">
        <v>46261.0</v>
      </c>
      <c r="B308" s="49" t="s">
        <v>61</v>
      </c>
      <c r="C308" s="9" t="s">
        <v>48</v>
      </c>
      <c r="D308" s="9" t="s">
        <v>27</v>
      </c>
      <c r="E308" s="10">
        <v>0.0</v>
      </c>
      <c r="F308" s="9">
        <f t="shared" si="1"/>
        <v>0</v>
      </c>
      <c r="G308" s="11">
        <v>0.0</v>
      </c>
      <c r="H308" s="9">
        <f t="shared" si="10"/>
        <v>0</v>
      </c>
      <c r="I308" s="11">
        <v>1.0</v>
      </c>
      <c r="J308" s="9">
        <f t="shared" si="3"/>
        <v>1</v>
      </c>
      <c r="K308" s="11">
        <v>60.0</v>
      </c>
      <c r="L308" s="11">
        <v>37.0</v>
      </c>
      <c r="M308" s="14">
        <f t="shared" si="4"/>
        <v>0.74</v>
      </c>
      <c r="N308" s="11">
        <v>2.0</v>
      </c>
      <c r="O308" s="14">
        <f t="shared" si="5"/>
        <v>1.333333333</v>
      </c>
      <c r="P308" s="11">
        <v>1.0</v>
      </c>
      <c r="Q308" s="15">
        <v>0.75</v>
      </c>
      <c r="R308" s="9">
        <v>10.0</v>
      </c>
      <c r="S308" s="16">
        <f t="shared" si="6"/>
        <v>4.823333333</v>
      </c>
      <c r="T308" s="17">
        <f t="shared" si="7"/>
        <v>0.4823333333</v>
      </c>
      <c r="U308" s="14">
        <f t="shared" si="8"/>
        <v>-5.176666667</v>
      </c>
      <c r="V308" s="9" t="str">
        <f t="shared" si="9"/>
        <v>Low Performance</v>
      </c>
      <c r="W308" s="9"/>
    </row>
    <row r="309" ht="15.75" customHeight="1">
      <c r="A309" s="13">
        <v>46261.0</v>
      </c>
      <c r="B309" s="49" t="s">
        <v>62</v>
      </c>
      <c r="C309" s="9" t="s">
        <v>48</v>
      </c>
      <c r="D309" s="9" t="s">
        <v>27</v>
      </c>
      <c r="E309" s="10">
        <v>0.0</v>
      </c>
      <c r="F309" s="9">
        <f t="shared" si="1"/>
        <v>0</v>
      </c>
      <c r="G309" s="11">
        <v>0.0</v>
      </c>
      <c r="H309" s="9">
        <f t="shared" si="10"/>
        <v>0</v>
      </c>
      <c r="I309" s="11">
        <v>1.0</v>
      </c>
      <c r="J309" s="9">
        <f t="shared" si="3"/>
        <v>1</v>
      </c>
      <c r="K309" s="11">
        <v>45.0</v>
      </c>
      <c r="L309" s="11">
        <v>48.0</v>
      </c>
      <c r="M309" s="14">
        <f t="shared" si="4"/>
        <v>0.96</v>
      </c>
      <c r="N309" s="11">
        <v>1.0</v>
      </c>
      <c r="O309" s="14">
        <f t="shared" si="5"/>
        <v>0.6666666667</v>
      </c>
      <c r="P309" s="11">
        <v>1.0</v>
      </c>
      <c r="Q309" s="15">
        <v>0.75</v>
      </c>
      <c r="R309" s="9">
        <v>10.0</v>
      </c>
      <c r="S309" s="16">
        <f t="shared" si="6"/>
        <v>4.376666667</v>
      </c>
      <c r="T309" s="17">
        <f t="shared" si="7"/>
        <v>0.4376666667</v>
      </c>
      <c r="U309" s="14">
        <f t="shared" si="8"/>
        <v>-5.623333333</v>
      </c>
      <c r="V309" s="9" t="str">
        <f t="shared" si="9"/>
        <v>Low Performance</v>
      </c>
      <c r="W309" s="9"/>
    </row>
    <row r="310" ht="15.75" customHeight="1">
      <c r="A310" s="13">
        <v>46261.0</v>
      </c>
      <c r="B310" s="49" t="s">
        <v>63</v>
      </c>
      <c r="C310" s="9" t="s">
        <v>48</v>
      </c>
      <c r="D310" s="9" t="s">
        <v>27</v>
      </c>
      <c r="E310" s="10">
        <v>0.0</v>
      </c>
      <c r="F310" s="9">
        <f t="shared" si="1"/>
        <v>0</v>
      </c>
      <c r="G310" s="11">
        <v>0.0</v>
      </c>
      <c r="H310" s="9">
        <f t="shared" si="10"/>
        <v>0</v>
      </c>
      <c r="I310" s="11">
        <v>1.0</v>
      </c>
      <c r="J310" s="9">
        <f t="shared" si="3"/>
        <v>1</v>
      </c>
      <c r="K310" s="11">
        <v>50.0</v>
      </c>
      <c r="L310" s="11">
        <v>47.0</v>
      </c>
      <c r="M310" s="14">
        <f t="shared" si="4"/>
        <v>0.94</v>
      </c>
      <c r="N310" s="11">
        <v>2.0</v>
      </c>
      <c r="O310" s="14">
        <f t="shared" si="5"/>
        <v>1.333333333</v>
      </c>
      <c r="P310" s="11">
        <v>1.0</v>
      </c>
      <c r="Q310" s="15">
        <v>0.75</v>
      </c>
      <c r="R310" s="9">
        <v>10.0</v>
      </c>
      <c r="S310" s="16">
        <f t="shared" si="6"/>
        <v>5.023333333</v>
      </c>
      <c r="T310" s="17">
        <f t="shared" si="7"/>
        <v>0.5023333333</v>
      </c>
      <c r="U310" s="14">
        <f t="shared" si="8"/>
        <v>-4.976666667</v>
      </c>
      <c r="V310" s="9" t="str">
        <f t="shared" si="9"/>
        <v>Average</v>
      </c>
      <c r="W310" s="9"/>
    </row>
    <row r="311" ht="15.75" customHeight="1">
      <c r="A311" s="13">
        <v>46263.0</v>
      </c>
      <c r="B311" s="49" t="s">
        <v>28</v>
      </c>
      <c r="C311" s="9" t="s">
        <v>29</v>
      </c>
      <c r="D311" s="9" t="s">
        <v>27</v>
      </c>
      <c r="E311" s="10">
        <v>0.0</v>
      </c>
      <c r="F311" s="9">
        <f t="shared" si="1"/>
        <v>0</v>
      </c>
      <c r="G311" s="11">
        <v>0.0</v>
      </c>
      <c r="H311" s="9">
        <f t="shared" si="10"/>
        <v>0</v>
      </c>
      <c r="I311" s="11">
        <v>0.0</v>
      </c>
      <c r="J311" s="9">
        <f t="shared" si="3"/>
        <v>0</v>
      </c>
      <c r="K311" s="11">
        <v>103.0</v>
      </c>
      <c r="L311" s="11">
        <v>50.0</v>
      </c>
      <c r="M311" s="14">
        <f t="shared" si="4"/>
        <v>1</v>
      </c>
      <c r="N311" s="11">
        <v>2.0</v>
      </c>
      <c r="O311" s="14">
        <f t="shared" si="5"/>
        <v>1.333333333</v>
      </c>
      <c r="P311" s="11">
        <v>1.0</v>
      </c>
      <c r="Q311" s="15">
        <v>1.0</v>
      </c>
      <c r="R311" s="9">
        <v>10.0</v>
      </c>
      <c r="S311" s="16">
        <f t="shared" si="6"/>
        <v>4.333333333</v>
      </c>
      <c r="T311" s="17">
        <f t="shared" si="7"/>
        <v>0.4333333333</v>
      </c>
      <c r="U311" s="14">
        <f t="shared" si="8"/>
        <v>-5.666666667</v>
      </c>
      <c r="V311" s="9" t="str">
        <f t="shared" si="9"/>
        <v>Low Performance</v>
      </c>
      <c r="W311" s="9"/>
    </row>
    <row r="312" ht="15.75" customHeight="1">
      <c r="A312" s="13">
        <v>46263.0</v>
      </c>
      <c r="B312" s="49" t="s">
        <v>36</v>
      </c>
      <c r="C312" s="9" t="s">
        <v>29</v>
      </c>
      <c r="D312" s="9" t="s">
        <v>27</v>
      </c>
      <c r="E312" s="10">
        <v>0.0</v>
      </c>
      <c r="F312" s="9">
        <f t="shared" si="1"/>
        <v>0</v>
      </c>
      <c r="G312" s="11">
        <v>0.0</v>
      </c>
      <c r="H312" s="9">
        <f t="shared" si="10"/>
        <v>0</v>
      </c>
      <c r="I312" s="11">
        <v>1.0</v>
      </c>
      <c r="J312" s="9">
        <f t="shared" si="3"/>
        <v>1</v>
      </c>
      <c r="K312" s="11">
        <v>63.0</v>
      </c>
      <c r="L312" s="11">
        <v>49.0</v>
      </c>
      <c r="M312" s="14">
        <f t="shared" si="4"/>
        <v>0.98</v>
      </c>
      <c r="N312" s="11">
        <v>2.0</v>
      </c>
      <c r="O312" s="14">
        <f t="shared" si="5"/>
        <v>1.333333333</v>
      </c>
      <c r="P312" s="11">
        <v>1.0</v>
      </c>
      <c r="Q312" s="15">
        <v>0.75</v>
      </c>
      <c r="R312" s="9">
        <v>10.0</v>
      </c>
      <c r="S312" s="16">
        <f t="shared" si="6"/>
        <v>5.063333333</v>
      </c>
      <c r="T312" s="17">
        <f t="shared" si="7"/>
        <v>0.5063333333</v>
      </c>
      <c r="U312" s="14">
        <f t="shared" si="8"/>
        <v>-4.936666667</v>
      </c>
      <c r="V312" s="9" t="str">
        <f t="shared" si="9"/>
        <v>Average</v>
      </c>
      <c r="W312" s="9"/>
    </row>
    <row r="313" ht="15.75" customHeight="1">
      <c r="A313" s="13">
        <v>46263.0</v>
      </c>
      <c r="B313" s="49" t="s">
        <v>56</v>
      </c>
      <c r="C313" s="9" t="s">
        <v>29</v>
      </c>
      <c r="D313" s="9" t="s">
        <v>27</v>
      </c>
      <c r="E313" s="10">
        <v>0.0</v>
      </c>
      <c r="F313" s="9">
        <f t="shared" si="1"/>
        <v>0</v>
      </c>
      <c r="G313" s="11">
        <v>0.0</v>
      </c>
      <c r="H313" s="9">
        <f t="shared" si="10"/>
        <v>0</v>
      </c>
      <c r="I313" s="11">
        <v>0.0</v>
      </c>
      <c r="J313" s="9">
        <f t="shared" si="3"/>
        <v>0</v>
      </c>
      <c r="K313" s="11">
        <v>72.0</v>
      </c>
      <c r="L313" s="11">
        <v>43.0</v>
      </c>
      <c r="M313" s="14">
        <f t="shared" si="4"/>
        <v>0.86</v>
      </c>
      <c r="N313" s="11">
        <v>2.0</v>
      </c>
      <c r="O313" s="14">
        <f t="shared" si="5"/>
        <v>1.333333333</v>
      </c>
      <c r="P313" s="11">
        <v>1.0</v>
      </c>
      <c r="Q313" s="15">
        <v>1.0</v>
      </c>
      <c r="R313" s="9">
        <v>10.0</v>
      </c>
      <c r="S313" s="16">
        <f t="shared" si="6"/>
        <v>4.193333333</v>
      </c>
      <c r="T313" s="17">
        <f t="shared" si="7"/>
        <v>0.4193333333</v>
      </c>
      <c r="U313" s="14">
        <f t="shared" si="8"/>
        <v>-5.806666667</v>
      </c>
      <c r="V313" s="9" t="str">
        <f t="shared" si="9"/>
        <v>Low Performance</v>
      </c>
      <c r="W313" s="9"/>
    </row>
    <row r="314" ht="15.75" customHeight="1">
      <c r="A314" s="13">
        <v>46263.0</v>
      </c>
      <c r="B314" s="49" t="s">
        <v>37</v>
      </c>
      <c r="C314" s="9" t="s">
        <v>29</v>
      </c>
      <c r="D314" s="9" t="s">
        <v>27</v>
      </c>
      <c r="E314" s="10">
        <v>0.0</v>
      </c>
      <c r="F314" s="9">
        <f t="shared" si="1"/>
        <v>0</v>
      </c>
      <c r="G314" s="11">
        <v>1.0</v>
      </c>
      <c r="H314" s="9">
        <f t="shared" si="10"/>
        <v>1</v>
      </c>
      <c r="I314" s="11">
        <v>1.0</v>
      </c>
      <c r="J314" s="9">
        <f t="shared" si="3"/>
        <v>1</v>
      </c>
      <c r="K314" s="11">
        <v>62.0</v>
      </c>
      <c r="L314" s="11">
        <v>37.0</v>
      </c>
      <c r="M314" s="14">
        <f t="shared" si="4"/>
        <v>0.74</v>
      </c>
      <c r="N314" s="11">
        <v>2.0</v>
      </c>
      <c r="O314" s="14">
        <f t="shared" si="5"/>
        <v>1.333333333</v>
      </c>
      <c r="P314" s="11">
        <v>1.0</v>
      </c>
      <c r="Q314" s="15">
        <v>0.75</v>
      </c>
      <c r="R314" s="9">
        <v>10.0</v>
      </c>
      <c r="S314" s="16">
        <f t="shared" si="6"/>
        <v>5.823333333</v>
      </c>
      <c r="T314" s="17">
        <f t="shared" si="7"/>
        <v>0.5823333333</v>
      </c>
      <c r="U314" s="14">
        <f t="shared" si="8"/>
        <v>-4.176666667</v>
      </c>
      <c r="V314" s="9" t="str">
        <f t="shared" si="9"/>
        <v>Average</v>
      </c>
      <c r="W314" s="9"/>
    </row>
    <row r="315" ht="15.75" customHeight="1">
      <c r="A315" s="13">
        <v>46263.0</v>
      </c>
      <c r="B315" s="49" t="s">
        <v>57</v>
      </c>
      <c r="C315" s="9" t="s">
        <v>29</v>
      </c>
      <c r="D315" s="9" t="s">
        <v>27</v>
      </c>
      <c r="E315" s="10">
        <v>0.0</v>
      </c>
      <c r="F315" s="9">
        <f t="shared" si="1"/>
        <v>0</v>
      </c>
      <c r="G315" s="11">
        <v>0.0</v>
      </c>
      <c r="H315" s="9">
        <f t="shared" si="10"/>
        <v>0</v>
      </c>
      <c r="I315" s="11">
        <v>1.0</v>
      </c>
      <c r="J315" s="9">
        <f t="shared" si="3"/>
        <v>1</v>
      </c>
      <c r="K315" s="11">
        <v>80.0</v>
      </c>
      <c r="L315" s="11">
        <v>50.0</v>
      </c>
      <c r="M315" s="14">
        <f t="shared" si="4"/>
        <v>1</v>
      </c>
      <c r="N315" s="11">
        <v>3.0</v>
      </c>
      <c r="O315" s="14">
        <f t="shared" si="5"/>
        <v>2</v>
      </c>
      <c r="P315" s="11">
        <v>1.0</v>
      </c>
      <c r="Q315" s="15">
        <v>0.75</v>
      </c>
      <c r="R315" s="9">
        <v>10.0</v>
      </c>
      <c r="S315" s="16">
        <f t="shared" si="6"/>
        <v>5.75</v>
      </c>
      <c r="T315" s="17">
        <f t="shared" si="7"/>
        <v>0.575</v>
      </c>
      <c r="U315" s="14">
        <f t="shared" si="8"/>
        <v>-4.25</v>
      </c>
      <c r="V315" s="9" t="str">
        <f t="shared" si="9"/>
        <v>Average</v>
      </c>
      <c r="W315" s="9"/>
    </row>
    <row r="316" ht="15.75" customHeight="1">
      <c r="A316" s="13">
        <v>46263.0</v>
      </c>
      <c r="B316" s="49" t="s">
        <v>58</v>
      </c>
      <c r="C316" s="9" t="s">
        <v>40</v>
      </c>
      <c r="D316" s="9" t="s">
        <v>27</v>
      </c>
      <c r="E316" s="10">
        <v>0.0</v>
      </c>
      <c r="F316" s="9">
        <f t="shared" si="1"/>
        <v>0</v>
      </c>
      <c r="G316" s="11">
        <v>0.0</v>
      </c>
      <c r="H316" s="9">
        <f t="shared" si="10"/>
        <v>0</v>
      </c>
      <c r="I316" s="11">
        <v>1.0</v>
      </c>
      <c r="J316" s="9">
        <f t="shared" si="3"/>
        <v>1</v>
      </c>
      <c r="K316" s="11">
        <v>40.0</v>
      </c>
      <c r="L316" s="11">
        <v>27.0</v>
      </c>
      <c r="M316" s="14">
        <f t="shared" si="4"/>
        <v>0.54</v>
      </c>
      <c r="N316" s="11">
        <v>1.0</v>
      </c>
      <c r="O316" s="14">
        <f t="shared" si="5"/>
        <v>0.6666666667</v>
      </c>
      <c r="P316" s="11">
        <v>1.0</v>
      </c>
      <c r="Q316" s="15">
        <v>0.75</v>
      </c>
      <c r="R316" s="9">
        <v>10.0</v>
      </c>
      <c r="S316" s="16">
        <f t="shared" si="6"/>
        <v>3.956666667</v>
      </c>
      <c r="T316" s="17">
        <f t="shared" si="7"/>
        <v>0.3956666667</v>
      </c>
      <c r="U316" s="14">
        <f t="shared" si="8"/>
        <v>-6.043333333</v>
      </c>
      <c r="V316" s="9" t="str">
        <f t="shared" si="9"/>
        <v>Low Performance</v>
      </c>
      <c r="W316" s="9"/>
    </row>
    <row r="317" ht="15.75" customHeight="1">
      <c r="A317" s="13">
        <v>46263.0</v>
      </c>
      <c r="B317" s="50" t="s">
        <v>59</v>
      </c>
      <c r="C317" s="9" t="s">
        <v>40</v>
      </c>
      <c r="D317" s="9" t="s">
        <v>27</v>
      </c>
      <c r="E317" s="10">
        <v>0.0</v>
      </c>
      <c r="F317" s="9">
        <f t="shared" si="1"/>
        <v>0</v>
      </c>
      <c r="G317" s="11">
        <v>0.0</v>
      </c>
      <c r="H317" s="9">
        <f t="shared" si="10"/>
        <v>0</v>
      </c>
      <c r="I317" s="11">
        <v>1.0</v>
      </c>
      <c r="J317" s="9">
        <f t="shared" si="3"/>
        <v>1</v>
      </c>
      <c r="K317" s="11">
        <v>60.0</v>
      </c>
      <c r="L317" s="11">
        <v>32.0</v>
      </c>
      <c r="M317" s="14">
        <f t="shared" si="4"/>
        <v>0.64</v>
      </c>
      <c r="N317" s="11">
        <v>2.0</v>
      </c>
      <c r="O317" s="14">
        <f t="shared" si="5"/>
        <v>1.333333333</v>
      </c>
      <c r="P317" s="11">
        <v>1.0</v>
      </c>
      <c r="Q317" s="15">
        <v>1.0</v>
      </c>
      <c r="R317" s="9">
        <v>10.0</v>
      </c>
      <c r="S317" s="16">
        <f t="shared" si="6"/>
        <v>4.973333333</v>
      </c>
      <c r="T317" s="17">
        <f t="shared" si="7"/>
        <v>0.4973333333</v>
      </c>
      <c r="U317" s="14">
        <f t="shared" si="8"/>
        <v>-5.026666667</v>
      </c>
      <c r="V317" s="9" t="str">
        <f t="shared" si="9"/>
        <v>Low Performance</v>
      </c>
      <c r="W317" s="9"/>
    </row>
    <row r="318" ht="15.75" customHeight="1">
      <c r="A318" s="13">
        <v>46263.0</v>
      </c>
      <c r="B318" s="49" t="s">
        <v>41</v>
      </c>
      <c r="C318" s="9" t="s">
        <v>40</v>
      </c>
      <c r="D318" s="9" t="s">
        <v>27</v>
      </c>
      <c r="E318" s="10">
        <v>0.0</v>
      </c>
      <c r="F318" s="9">
        <f t="shared" si="1"/>
        <v>0</v>
      </c>
      <c r="G318" s="11">
        <v>0.0</v>
      </c>
      <c r="H318" s="9">
        <f t="shared" si="10"/>
        <v>0</v>
      </c>
      <c r="I318" s="11">
        <v>0.0</v>
      </c>
      <c r="J318" s="9">
        <f t="shared" si="3"/>
        <v>0</v>
      </c>
      <c r="K318" s="11">
        <v>78.0</v>
      </c>
      <c r="L318" s="11">
        <v>29.0</v>
      </c>
      <c r="M318" s="14">
        <f t="shared" si="4"/>
        <v>0.58</v>
      </c>
      <c r="N318" s="11">
        <v>2.0</v>
      </c>
      <c r="O318" s="14">
        <f t="shared" si="5"/>
        <v>1.333333333</v>
      </c>
      <c r="P318" s="11">
        <v>1.0</v>
      </c>
      <c r="Q318" s="15">
        <v>1.0</v>
      </c>
      <c r="R318" s="9">
        <v>10.0</v>
      </c>
      <c r="S318" s="16">
        <f t="shared" si="6"/>
        <v>3.913333333</v>
      </c>
      <c r="T318" s="17">
        <f t="shared" si="7"/>
        <v>0.3913333333</v>
      </c>
      <c r="U318" s="14">
        <f t="shared" si="8"/>
        <v>-6.086666667</v>
      </c>
      <c r="V318" s="9" t="str">
        <f t="shared" si="9"/>
        <v>Low Performance</v>
      </c>
      <c r="W318" s="9"/>
    </row>
    <row r="319" ht="15.75" customHeight="1">
      <c r="A319" s="13">
        <v>46263.0</v>
      </c>
      <c r="B319" s="49" t="s">
        <v>42</v>
      </c>
      <c r="C319" s="9" t="s">
        <v>40</v>
      </c>
      <c r="D319" s="9" t="s">
        <v>27</v>
      </c>
      <c r="E319" s="10">
        <v>0.0</v>
      </c>
      <c r="F319" s="9">
        <f t="shared" si="1"/>
        <v>0</v>
      </c>
      <c r="G319" s="11">
        <v>0.0</v>
      </c>
      <c r="H319" s="9">
        <f t="shared" si="10"/>
        <v>0</v>
      </c>
      <c r="I319" s="11">
        <v>0.0</v>
      </c>
      <c r="J319" s="9">
        <f t="shared" si="3"/>
        <v>0</v>
      </c>
      <c r="K319" s="11">
        <v>45.0</v>
      </c>
      <c r="L319" s="11">
        <v>32.0</v>
      </c>
      <c r="M319" s="14">
        <f t="shared" si="4"/>
        <v>0.64</v>
      </c>
      <c r="N319" s="11">
        <v>2.0</v>
      </c>
      <c r="O319" s="14">
        <f t="shared" si="5"/>
        <v>1.333333333</v>
      </c>
      <c r="P319" s="11">
        <v>1.0</v>
      </c>
      <c r="Q319" s="15">
        <v>1.0</v>
      </c>
      <c r="R319" s="9">
        <v>10.0</v>
      </c>
      <c r="S319" s="16">
        <f t="shared" si="6"/>
        <v>3.973333333</v>
      </c>
      <c r="T319" s="17">
        <f t="shared" si="7"/>
        <v>0.3973333333</v>
      </c>
      <c r="U319" s="14">
        <f t="shared" si="8"/>
        <v>-6.026666667</v>
      </c>
      <c r="V319" s="9" t="str">
        <f t="shared" si="9"/>
        <v>Low Performance</v>
      </c>
      <c r="W319" s="9"/>
    </row>
    <row r="320" ht="15.75" customHeight="1">
      <c r="A320" s="13">
        <v>46263.0</v>
      </c>
      <c r="B320" s="49" t="s">
        <v>60</v>
      </c>
      <c r="C320" s="9" t="s">
        <v>40</v>
      </c>
      <c r="D320" s="9" t="s">
        <v>27</v>
      </c>
      <c r="E320" s="10">
        <v>0.0</v>
      </c>
      <c r="F320" s="9">
        <f t="shared" si="1"/>
        <v>0</v>
      </c>
      <c r="G320" s="11">
        <v>0.0</v>
      </c>
      <c r="H320" s="9">
        <f t="shared" si="10"/>
        <v>0</v>
      </c>
      <c r="I320" s="11">
        <v>0.0</v>
      </c>
      <c r="J320" s="9">
        <f t="shared" si="3"/>
        <v>0</v>
      </c>
      <c r="K320" s="11">
        <v>55.0</v>
      </c>
      <c r="L320" s="11">
        <v>45.0</v>
      </c>
      <c r="M320" s="14">
        <f t="shared" si="4"/>
        <v>0.9</v>
      </c>
      <c r="N320" s="11">
        <v>2.0</v>
      </c>
      <c r="O320" s="14">
        <f t="shared" si="5"/>
        <v>1.333333333</v>
      </c>
      <c r="P320" s="11">
        <v>1.0</v>
      </c>
      <c r="Q320" s="15">
        <v>0.75</v>
      </c>
      <c r="R320" s="9">
        <v>10.0</v>
      </c>
      <c r="S320" s="16">
        <f t="shared" si="6"/>
        <v>3.983333333</v>
      </c>
      <c r="T320" s="17">
        <f t="shared" si="7"/>
        <v>0.3983333333</v>
      </c>
      <c r="U320" s="14">
        <f t="shared" si="8"/>
        <v>-6.016666667</v>
      </c>
      <c r="V320" s="9" t="str">
        <f t="shared" si="9"/>
        <v>Low Performance</v>
      </c>
      <c r="W320" s="9"/>
    </row>
    <row r="321" ht="15.75" customHeight="1">
      <c r="A321" s="13">
        <v>46263.0</v>
      </c>
      <c r="B321" s="49" t="s">
        <v>47</v>
      </c>
      <c r="C321" s="9" t="s">
        <v>48</v>
      </c>
      <c r="D321" s="9" t="s">
        <v>27</v>
      </c>
      <c r="E321" s="10">
        <v>0.0</v>
      </c>
      <c r="F321" s="9">
        <f t="shared" si="1"/>
        <v>0</v>
      </c>
      <c r="G321" s="11">
        <v>0.0</v>
      </c>
      <c r="H321" s="9">
        <f t="shared" si="10"/>
        <v>0</v>
      </c>
      <c r="I321" s="11">
        <v>0.0</v>
      </c>
      <c r="J321" s="9">
        <f t="shared" si="3"/>
        <v>0</v>
      </c>
      <c r="K321" s="11">
        <v>60.0</v>
      </c>
      <c r="L321" s="11">
        <v>38.0</v>
      </c>
      <c r="M321" s="14">
        <f t="shared" si="4"/>
        <v>0.76</v>
      </c>
      <c r="N321" s="11">
        <v>1.0</v>
      </c>
      <c r="O321" s="14">
        <f t="shared" si="5"/>
        <v>0.6666666667</v>
      </c>
      <c r="P321" s="11">
        <v>1.0</v>
      </c>
      <c r="Q321" s="15">
        <v>0.75</v>
      </c>
      <c r="R321" s="9">
        <v>10.0</v>
      </c>
      <c r="S321" s="16">
        <f t="shared" si="6"/>
        <v>3.176666667</v>
      </c>
      <c r="T321" s="17">
        <f t="shared" si="7"/>
        <v>0.3176666667</v>
      </c>
      <c r="U321" s="14">
        <f t="shared" si="8"/>
        <v>-6.823333333</v>
      </c>
      <c r="V321" s="9" t="str">
        <f t="shared" si="9"/>
        <v>Low Performance</v>
      </c>
      <c r="W321" s="9"/>
    </row>
    <row r="322" ht="15.75" customHeight="1">
      <c r="A322" s="13">
        <v>46263.0</v>
      </c>
      <c r="B322" s="49" t="s">
        <v>61</v>
      </c>
      <c r="C322" s="9" t="s">
        <v>48</v>
      </c>
      <c r="D322" s="9" t="s">
        <v>27</v>
      </c>
      <c r="E322" s="10">
        <v>0.0</v>
      </c>
      <c r="F322" s="9">
        <f t="shared" si="1"/>
        <v>0</v>
      </c>
      <c r="G322" s="11">
        <v>0.0</v>
      </c>
      <c r="H322" s="9">
        <f t="shared" si="10"/>
        <v>0</v>
      </c>
      <c r="I322" s="11">
        <v>1.0</v>
      </c>
      <c r="J322" s="9">
        <f t="shared" si="3"/>
        <v>1</v>
      </c>
      <c r="K322" s="11">
        <v>60.0</v>
      </c>
      <c r="L322" s="11">
        <v>32.0</v>
      </c>
      <c r="M322" s="14">
        <f t="shared" si="4"/>
        <v>0.64</v>
      </c>
      <c r="N322" s="11">
        <v>2.0</v>
      </c>
      <c r="O322" s="14">
        <f t="shared" si="5"/>
        <v>1.333333333</v>
      </c>
      <c r="P322" s="11">
        <v>1.0</v>
      </c>
      <c r="Q322" s="15">
        <v>0.75</v>
      </c>
      <c r="R322" s="9">
        <v>10.0</v>
      </c>
      <c r="S322" s="16">
        <f t="shared" si="6"/>
        <v>4.723333333</v>
      </c>
      <c r="T322" s="17">
        <f t="shared" si="7"/>
        <v>0.4723333333</v>
      </c>
      <c r="U322" s="14">
        <f t="shared" si="8"/>
        <v>-5.276666667</v>
      </c>
      <c r="V322" s="9" t="str">
        <f t="shared" si="9"/>
        <v>Low Performance</v>
      </c>
      <c r="W322" s="9"/>
    </row>
    <row r="323" ht="15.75" customHeight="1">
      <c r="A323" s="13">
        <v>46263.0</v>
      </c>
      <c r="B323" s="49" t="s">
        <v>62</v>
      </c>
      <c r="C323" s="9" t="s">
        <v>48</v>
      </c>
      <c r="D323" s="9" t="s">
        <v>27</v>
      </c>
      <c r="E323" s="10">
        <v>0.0</v>
      </c>
      <c r="F323" s="9">
        <f t="shared" si="1"/>
        <v>0</v>
      </c>
      <c r="G323" s="11">
        <v>0.0</v>
      </c>
      <c r="H323" s="9">
        <f t="shared" si="10"/>
        <v>0</v>
      </c>
      <c r="I323" s="11">
        <v>1.0</v>
      </c>
      <c r="J323" s="9">
        <f t="shared" si="3"/>
        <v>1</v>
      </c>
      <c r="K323" s="11">
        <v>48.0</v>
      </c>
      <c r="L323" s="11">
        <v>45.0</v>
      </c>
      <c r="M323" s="14">
        <f t="shared" si="4"/>
        <v>0.9</v>
      </c>
      <c r="N323" s="11">
        <v>1.0</v>
      </c>
      <c r="O323" s="14">
        <f t="shared" si="5"/>
        <v>0.6666666667</v>
      </c>
      <c r="P323" s="11">
        <v>1.0</v>
      </c>
      <c r="Q323" s="15">
        <v>0.75</v>
      </c>
      <c r="R323" s="9">
        <v>10.0</v>
      </c>
      <c r="S323" s="16">
        <f t="shared" si="6"/>
        <v>4.316666667</v>
      </c>
      <c r="T323" s="17">
        <f t="shared" si="7"/>
        <v>0.4316666667</v>
      </c>
      <c r="U323" s="14">
        <f t="shared" si="8"/>
        <v>-5.683333333</v>
      </c>
      <c r="V323" s="9" t="str">
        <f t="shared" si="9"/>
        <v>Low Performance</v>
      </c>
      <c r="W323" s="9"/>
    </row>
    <row r="324" ht="15.75" customHeight="1">
      <c r="A324" s="13">
        <v>46263.0</v>
      </c>
      <c r="B324" s="49" t="s">
        <v>63</v>
      </c>
      <c r="C324" s="9" t="s">
        <v>48</v>
      </c>
      <c r="D324" s="9" t="s">
        <v>27</v>
      </c>
      <c r="E324" s="10">
        <v>0.0</v>
      </c>
      <c r="F324" s="9">
        <f t="shared" si="1"/>
        <v>0</v>
      </c>
      <c r="G324" s="11">
        <v>0.0</v>
      </c>
      <c r="H324" s="9">
        <f t="shared" si="10"/>
        <v>0</v>
      </c>
      <c r="I324" s="11">
        <v>1.0</v>
      </c>
      <c r="J324" s="9">
        <f t="shared" si="3"/>
        <v>1</v>
      </c>
      <c r="K324" s="11">
        <v>0.0</v>
      </c>
      <c r="L324" s="11">
        <v>0.0</v>
      </c>
      <c r="M324" s="14">
        <f t="shared" si="4"/>
        <v>0</v>
      </c>
      <c r="N324" s="11">
        <v>0.0</v>
      </c>
      <c r="O324" s="14">
        <f t="shared" si="5"/>
        <v>0</v>
      </c>
      <c r="P324" s="11">
        <v>1.0</v>
      </c>
      <c r="Q324" s="15">
        <v>0.75</v>
      </c>
      <c r="R324" s="9">
        <v>10.0</v>
      </c>
      <c r="S324" s="16">
        <f t="shared" si="6"/>
        <v>2.75</v>
      </c>
      <c r="T324" s="17">
        <f t="shared" si="7"/>
        <v>0.275</v>
      </c>
      <c r="U324" s="14">
        <f t="shared" si="8"/>
        <v>-7.25</v>
      </c>
      <c r="V324" s="9" t="str">
        <f t="shared" si="9"/>
        <v>Low Performance</v>
      </c>
      <c r="W324" s="9"/>
    </row>
    <row r="325" ht="15.75" customHeight="1">
      <c r="A325" s="13">
        <v>46264.0</v>
      </c>
      <c r="B325" s="49" t="s">
        <v>28</v>
      </c>
      <c r="C325" s="9" t="s">
        <v>29</v>
      </c>
      <c r="D325" s="9" t="s">
        <v>27</v>
      </c>
      <c r="E325" s="33">
        <v>0.0</v>
      </c>
      <c r="F325" s="9">
        <f t="shared" si="1"/>
        <v>0</v>
      </c>
      <c r="G325" s="34">
        <v>0.0</v>
      </c>
      <c r="H325" s="9">
        <f t="shared" si="10"/>
        <v>0</v>
      </c>
      <c r="I325" s="34">
        <v>0.0</v>
      </c>
      <c r="J325" s="9">
        <f t="shared" si="3"/>
        <v>0</v>
      </c>
      <c r="K325" s="34">
        <v>118.0</v>
      </c>
      <c r="L325" s="34">
        <v>50.0</v>
      </c>
      <c r="M325" s="14">
        <f t="shared" si="4"/>
        <v>1</v>
      </c>
      <c r="N325" s="34">
        <v>1.0</v>
      </c>
      <c r="O325" s="14">
        <f t="shared" si="5"/>
        <v>0.6666666667</v>
      </c>
      <c r="P325" s="34">
        <v>1.0</v>
      </c>
      <c r="Q325" s="34">
        <v>1.0</v>
      </c>
      <c r="R325" s="9">
        <v>10.0</v>
      </c>
      <c r="S325" s="16">
        <f t="shared" si="6"/>
        <v>3.666666667</v>
      </c>
      <c r="T325" s="17">
        <f t="shared" si="7"/>
        <v>0.3666666667</v>
      </c>
      <c r="U325" s="14">
        <f t="shared" si="8"/>
        <v>-6.333333333</v>
      </c>
      <c r="V325" s="9" t="str">
        <f t="shared" si="9"/>
        <v>Low Performance</v>
      </c>
      <c r="W325" s="9"/>
    </row>
    <row r="326" ht="15.75" customHeight="1">
      <c r="A326" s="13">
        <v>46264.0</v>
      </c>
      <c r="B326" s="49" t="s">
        <v>36</v>
      </c>
      <c r="C326" s="9" t="s">
        <v>29</v>
      </c>
      <c r="D326" s="9" t="s">
        <v>27</v>
      </c>
      <c r="E326" s="33">
        <v>0.0</v>
      </c>
      <c r="F326" s="9">
        <f t="shared" si="1"/>
        <v>0</v>
      </c>
      <c r="G326" s="34">
        <v>1.0</v>
      </c>
      <c r="H326" s="9">
        <f t="shared" si="10"/>
        <v>1</v>
      </c>
      <c r="I326" s="34">
        <v>1.0</v>
      </c>
      <c r="J326" s="9">
        <f t="shared" si="3"/>
        <v>1</v>
      </c>
      <c r="K326" s="34">
        <v>63.0</v>
      </c>
      <c r="L326" s="34">
        <v>49.0</v>
      </c>
      <c r="M326" s="14">
        <f t="shared" si="4"/>
        <v>0.98</v>
      </c>
      <c r="N326" s="34">
        <v>2.0</v>
      </c>
      <c r="O326" s="14">
        <f t="shared" si="5"/>
        <v>1.333333333</v>
      </c>
      <c r="P326" s="34">
        <v>1.0</v>
      </c>
      <c r="Q326" s="34">
        <v>0.75</v>
      </c>
      <c r="R326" s="9">
        <v>10.0</v>
      </c>
      <c r="S326" s="16">
        <f t="shared" si="6"/>
        <v>6.063333333</v>
      </c>
      <c r="T326" s="17">
        <f t="shared" si="7"/>
        <v>0.6063333333</v>
      </c>
      <c r="U326" s="14">
        <f t="shared" si="8"/>
        <v>-3.936666667</v>
      </c>
      <c r="V326" s="9" t="str">
        <f t="shared" si="9"/>
        <v>Average</v>
      </c>
      <c r="W326" s="9"/>
    </row>
    <row r="327" ht="15.75" customHeight="1">
      <c r="A327" s="13">
        <v>46264.0</v>
      </c>
      <c r="B327" s="49" t="s">
        <v>56</v>
      </c>
      <c r="C327" s="9" t="s">
        <v>29</v>
      </c>
      <c r="D327" s="9" t="s">
        <v>27</v>
      </c>
      <c r="E327" s="33">
        <v>0.0</v>
      </c>
      <c r="F327" s="9">
        <f t="shared" si="1"/>
        <v>0</v>
      </c>
      <c r="G327" s="34">
        <v>0.0</v>
      </c>
      <c r="H327" s="9">
        <f t="shared" si="10"/>
        <v>0</v>
      </c>
      <c r="I327" s="34">
        <v>1.0</v>
      </c>
      <c r="J327" s="9">
        <f t="shared" si="3"/>
        <v>1</v>
      </c>
      <c r="K327" s="34">
        <v>79.0</v>
      </c>
      <c r="L327" s="34">
        <v>47.0</v>
      </c>
      <c r="M327" s="14">
        <f t="shared" si="4"/>
        <v>0.94</v>
      </c>
      <c r="N327" s="34">
        <v>3.0</v>
      </c>
      <c r="O327" s="14">
        <f t="shared" si="5"/>
        <v>2</v>
      </c>
      <c r="P327" s="34">
        <v>1.0</v>
      </c>
      <c r="Q327" s="34">
        <v>1.0</v>
      </c>
      <c r="R327" s="9">
        <v>10.0</v>
      </c>
      <c r="S327" s="16">
        <f t="shared" si="6"/>
        <v>5.94</v>
      </c>
      <c r="T327" s="17">
        <f t="shared" si="7"/>
        <v>0.594</v>
      </c>
      <c r="U327" s="14">
        <f t="shared" si="8"/>
        <v>-4.06</v>
      </c>
      <c r="V327" s="9" t="str">
        <f t="shared" si="9"/>
        <v>Average</v>
      </c>
      <c r="W327" s="9"/>
    </row>
    <row r="328" ht="15.75" customHeight="1">
      <c r="A328" s="13">
        <v>46264.0</v>
      </c>
      <c r="B328" s="49" t="s">
        <v>37</v>
      </c>
      <c r="C328" s="9" t="s">
        <v>29</v>
      </c>
      <c r="D328" s="9" t="s">
        <v>27</v>
      </c>
      <c r="E328" s="33">
        <v>0.0</v>
      </c>
      <c r="F328" s="9">
        <f t="shared" si="1"/>
        <v>0</v>
      </c>
      <c r="G328" s="34">
        <v>0.0</v>
      </c>
      <c r="H328" s="9">
        <f t="shared" si="10"/>
        <v>0</v>
      </c>
      <c r="I328" s="34">
        <v>1.0</v>
      </c>
      <c r="J328" s="9">
        <f t="shared" si="3"/>
        <v>1</v>
      </c>
      <c r="K328" s="34">
        <v>84.0</v>
      </c>
      <c r="L328" s="34">
        <v>50.0</v>
      </c>
      <c r="M328" s="14">
        <f t="shared" si="4"/>
        <v>1</v>
      </c>
      <c r="N328" s="34">
        <v>3.0</v>
      </c>
      <c r="O328" s="14">
        <f t="shared" si="5"/>
        <v>2</v>
      </c>
      <c r="P328" s="34">
        <v>1.0</v>
      </c>
      <c r="Q328" s="34">
        <v>0.75</v>
      </c>
      <c r="R328" s="9">
        <v>10.0</v>
      </c>
      <c r="S328" s="16">
        <f t="shared" si="6"/>
        <v>5.75</v>
      </c>
      <c r="T328" s="17">
        <f t="shared" si="7"/>
        <v>0.575</v>
      </c>
      <c r="U328" s="14">
        <f t="shared" si="8"/>
        <v>-4.25</v>
      </c>
      <c r="V328" s="9" t="str">
        <f t="shared" si="9"/>
        <v>Average</v>
      </c>
      <c r="W328" s="9"/>
    </row>
    <row r="329" ht="15.75" customHeight="1">
      <c r="A329" s="13">
        <v>46264.0</v>
      </c>
      <c r="B329" s="49" t="s">
        <v>57</v>
      </c>
      <c r="C329" s="9" t="s">
        <v>29</v>
      </c>
      <c r="D329" s="9" t="s">
        <v>27</v>
      </c>
      <c r="E329" s="33">
        <v>0.0</v>
      </c>
      <c r="F329" s="9">
        <f t="shared" si="1"/>
        <v>0</v>
      </c>
      <c r="G329" s="34">
        <v>0.0</v>
      </c>
      <c r="H329" s="9">
        <f t="shared" si="10"/>
        <v>0</v>
      </c>
      <c r="I329" s="34">
        <v>1.0</v>
      </c>
      <c r="J329" s="9">
        <f t="shared" si="3"/>
        <v>1</v>
      </c>
      <c r="K329" s="34">
        <v>63.0</v>
      </c>
      <c r="L329" s="34">
        <v>50.0</v>
      </c>
      <c r="M329" s="14">
        <f t="shared" si="4"/>
        <v>1</v>
      </c>
      <c r="N329" s="34">
        <v>2.0</v>
      </c>
      <c r="O329" s="14">
        <f t="shared" si="5"/>
        <v>1.333333333</v>
      </c>
      <c r="P329" s="34">
        <v>1.0</v>
      </c>
      <c r="Q329" s="34">
        <v>0.75</v>
      </c>
      <c r="R329" s="9">
        <v>10.0</v>
      </c>
      <c r="S329" s="16">
        <f t="shared" si="6"/>
        <v>5.083333333</v>
      </c>
      <c r="T329" s="17">
        <f t="shared" si="7"/>
        <v>0.5083333333</v>
      </c>
      <c r="U329" s="14">
        <f t="shared" si="8"/>
        <v>-4.916666667</v>
      </c>
      <c r="V329" s="9" t="str">
        <f t="shared" si="9"/>
        <v>Average</v>
      </c>
      <c r="W329" s="9"/>
    </row>
    <row r="330" ht="15.75" customHeight="1">
      <c r="A330" s="13">
        <v>46264.0</v>
      </c>
      <c r="B330" s="49" t="s">
        <v>58</v>
      </c>
      <c r="C330" s="9" t="s">
        <v>40</v>
      </c>
      <c r="D330" s="9" t="s">
        <v>27</v>
      </c>
      <c r="E330" s="33">
        <v>0.0</v>
      </c>
      <c r="F330" s="9">
        <f t="shared" si="1"/>
        <v>0</v>
      </c>
      <c r="G330" s="34">
        <v>0.0</v>
      </c>
      <c r="H330" s="9">
        <f t="shared" si="10"/>
        <v>0</v>
      </c>
      <c r="I330" s="34">
        <v>0.0</v>
      </c>
      <c r="J330" s="9">
        <f t="shared" si="3"/>
        <v>0</v>
      </c>
      <c r="K330" s="34">
        <v>46.0</v>
      </c>
      <c r="L330" s="34">
        <v>34.0</v>
      </c>
      <c r="M330" s="14">
        <f t="shared" si="4"/>
        <v>0.68</v>
      </c>
      <c r="N330" s="34">
        <v>1.0</v>
      </c>
      <c r="O330" s="14">
        <f t="shared" si="5"/>
        <v>0.6666666667</v>
      </c>
      <c r="P330" s="34">
        <v>1.0</v>
      </c>
      <c r="Q330" s="34">
        <v>1.0</v>
      </c>
      <c r="R330" s="9">
        <v>10.0</v>
      </c>
      <c r="S330" s="16">
        <f t="shared" si="6"/>
        <v>3.346666667</v>
      </c>
      <c r="T330" s="17">
        <f t="shared" si="7"/>
        <v>0.3346666667</v>
      </c>
      <c r="U330" s="14">
        <f t="shared" si="8"/>
        <v>-6.653333333</v>
      </c>
      <c r="V330" s="9" t="str">
        <f t="shared" si="9"/>
        <v>Low Performance</v>
      </c>
      <c r="W330" s="9"/>
    </row>
    <row r="331" ht="15.75" customHeight="1">
      <c r="A331" s="13">
        <v>46264.0</v>
      </c>
      <c r="B331" s="50" t="s">
        <v>59</v>
      </c>
      <c r="C331" s="9" t="s">
        <v>40</v>
      </c>
      <c r="D331" s="9" t="s">
        <v>27</v>
      </c>
      <c r="E331" s="33">
        <v>0.0</v>
      </c>
      <c r="F331" s="9">
        <f t="shared" si="1"/>
        <v>0</v>
      </c>
      <c r="G331" s="34">
        <v>0.0</v>
      </c>
      <c r="H331" s="9">
        <f t="shared" si="10"/>
        <v>0</v>
      </c>
      <c r="I331" s="34">
        <v>0.0</v>
      </c>
      <c r="J331" s="9">
        <f t="shared" si="3"/>
        <v>0</v>
      </c>
      <c r="K331" s="34">
        <v>66.0</v>
      </c>
      <c r="L331" s="34">
        <v>42.0</v>
      </c>
      <c r="M331" s="14">
        <f t="shared" si="4"/>
        <v>0.84</v>
      </c>
      <c r="N331" s="34">
        <v>2.0</v>
      </c>
      <c r="O331" s="14">
        <f t="shared" si="5"/>
        <v>1.333333333</v>
      </c>
      <c r="P331" s="34">
        <v>1.0</v>
      </c>
      <c r="Q331" s="34">
        <v>1.0</v>
      </c>
      <c r="R331" s="9">
        <v>10.0</v>
      </c>
      <c r="S331" s="16">
        <f t="shared" si="6"/>
        <v>4.173333333</v>
      </c>
      <c r="T331" s="17">
        <f t="shared" si="7"/>
        <v>0.4173333333</v>
      </c>
      <c r="U331" s="14">
        <f t="shared" si="8"/>
        <v>-5.826666667</v>
      </c>
      <c r="V331" s="9" t="str">
        <f t="shared" si="9"/>
        <v>Low Performance</v>
      </c>
      <c r="W331" s="9"/>
    </row>
    <row r="332" ht="15.75" customHeight="1">
      <c r="A332" s="13">
        <v>46264.0</v>
      </c>
      <c r="B332" s="49" t="s">
        <v>41</v>
      </c>
      <c r="C332" s="9" t="s">
        <v>40</v>
      </c>
      <c r="D332" s="9" t="s">
        <v>27</v>
      </c>
      <c r="E332" s="33">
        <v>0.0</v>
      </c>
      <c r="F332" s="9">
        <f t="shared" si="1"/>
        <v>0</v>
      </c>
      <c r="G332" s="34">
        <v>0.0</v>
      </c>
      <c r="H332" s="9">
        <f t="shared" si="10"/>
        <v>0</v>
      </c>
      <c r="I332" s="34">
        <v>0.0</v>
      </c>
      <c r="J332" s="9">
        <f t="shared" si="3"/>
        <v>0</v>
      </c>
      <c r="K332" s="34">
        <v>0.0</v>
      </c>
      <c r="L332" s="34">
        <v>0.0</v>
      </c>
      <c r="M332" s="14">
        <f t="shared" si="4"/>
        <v>0</v>
      </c>
      <c r="N332" s="34">
        <v>0.0</v>
      </c>
      <c r="O332" s="14">
        <f t="shared" si="5"/>
        <v>0</v>
      </c>
      <c r="P332" s="34">
        <v>0.0</v>
      </c>
      <c r="Q332" s="34">
        <v>0.0</v>
      </c>
      <c r="R332" s="9">
        <v>10.0</v>
      </c>
      <c r="S332" s="16">
        <f t="shared" si="6"/>
        <v>0</v>
      </c>
      <c r="T332" s="17">
        <f t="shared" si="7"/>
        <v>0</v>
      </c>
      <c r="U332" s="14">
        <f t="shared" si="8"/>
        <v>-10</v>
      </c>
      <c r="V332" s="9" t="str">
        <f t="shared" si="9"/>
        <v>Low Performance</v>
      </c>
      <c r="W332" s="31" t="s">
        <v>51</v>
      </c>
    </row>
    <row r="333" ht="15.75" customHeight="1">
      <c r="A333" s="13">
        <v>46264.0</v>
      </c>
      <c r="B333" s="49" t="s">
        <v>42</v>
      </c>
      <c r="C333" s="9" t="s">
        <v>40</v>
      </c>
      <c r="D333" s="9" t="s">
        <v>27</v>
      </c>
      <c r="E333" s="33">
        <v>0.0</v>
      </c>
      <c r="F333" s="9">
        <f t="shared" si="1"/>
        <v>0</v>
      </c>
      <c r="G333" s="34">
        <v>0.0</v>
      </c>
      <c r="H333" s="9">
        <f t="shared" si="10"/>
        <v>0</v>
      </c>
      <c r="I333" s="34">
        <v>1.0</v>
      </c>
      <c r="J333" s="9">
        <f t="shared" si="3"/>
        <v>1</v>
      </c>
      <c r="K333" s="34">
        <v>40.0</v>
      </c>
      <c r="L333" s="34">
        <v>31.0</v>
      </c>
      <c r="M333" s="14">
        <f t="shared" si="4"/>
        <v>0.62</v>
      </c>
      <c r="N333" s="34">
        <v>2.0</v>
      </c>
      <c r="O333" s="14">
        <f t="shared" si="5"/>
        <v>1.333333333</v>
      </c>
      <c r="P333" s="34">
        <v>1.0</v>
      </c>
      <c r="Q333" s="34">
        <v>1.0</v>
      </c>
      <c r="R333" s="9">
        <v>10.0</v>
      </c>
      <c r="S333" s="16">
        <f t="shared" si="6"/>
        <v>4.953333333</v>
      </c>
      <c r="T333" s="17">
        <f t="shared" si="7"/>
        <v>0.4953333333</v>
      </c>
      <c r="U333" s="14">
        <f t="shared" si="8"/>
        <v>-5.046666667</v>
      </c>
      <c r="V333" s="9" t="str">
        <f t="shared" si="9"/>
        <v>Low Performance</v>
      </c>
      <c r="W333" s="9"/>
    </row>
    <row r="334" ht="15.75" customHeight="1">
      <c r="A334" s="13">
        <v>46264.0</v>
      </c>
      <c r="B334" s="49" t="s">
        <v>60</v>
      </c>
      <c r="C334" s="9" t="s">
        <v>40</v>
      </c>
      <c r="D334" s="9" t="s">
        <v>27</v>
      </c>
      <c r="E334" s="33">
        <v>0.0</v>
      </c>
      <c r="F334" s="9">
        <f t="shared" si="1"/>
        <v>0</v>
      </c>
      <c r="G334" s="34">
        <v>1.0</v>
      </c>
      <c r="H334" s="9">
        <f t="shared" si="10"/>
        <v>1</v>
      </c>
      <c r="I334" s="34">
        <v>0.0</v>
      </c>
      <c r="J334" s="9">
        <f t="shared" si="3"/>
        <v>0</v>
      </c>
      <c r="K334" s="34">
        <v>50.0</v>
      </c>
      <c r="L334" s="34">
        <v>45.0</v>
      </c>
      <c r="M334" s="14">
        <f t="shared" si="4"/>
        <v>0.9</v>
      </c>
      <c r="N334" s="34">
        <v>2.0</v>
      </c>
      <c r="O334" s="14">
        <f t="shared" si="5"/>
        <v>1.333333333</v>
      </c>
      <c r="P334" s="34">
        <v>1.0</v>
      </c>
      <c r="Q334" s="34">
        <v>0.75</v>
      </c>
      <c r="R334" s="9">
        <v>10.0</v>
      </c>
      <c r="S334" s="16">
        <f t="shared" si="6"/>
        <v>4.983333333</v>
      </c>
      <c r="T334" s="17">
        <f t="shared" si="7"/>
        <v>0.4983333333</v>
      </c>
      <c r="U334" s="14">
        <f t="shared" si="8"/>
        <v>-5.016666667</v>
      </c>
      <c r="V334" s="9" t="str">
        <f t="shared" si="9"/>
        <v>Low Performance</v>
      </c>
      <c r="W334" s="9"/>
    </row>
    <row r="335" ht="15.75" customHeight="1">
      <c r="A335" s="13">
        <v>46264.0</v>
      </c>
      <c r="B335" s="49" t="s">
        <v>47</v>
      </c>
      <c r="C335" s="9" t="s">
        <v>48</v>
      </c>
      <c r="D335" s="9" t="s">
        <v>27</v>
      </c>
      <c r="E335" s="33">
        <v>0.0</v>
      </c>
      <c r="F335" s="9">
        <f t="shared" si="1"/>
        <v>0</v>
      </c>
      <c r="G335" s="34">
        <v>0.0</v>
      </c>
      <c r="H335" s="9">
        <f t="shared" si="10"/>
        <v>0</v>
      </c>
      <c r="I335" s="34">
        <v>1.0</v>
      </c>
      <c r="J335" s="9">
        <f t="shared" si="3"/>
        <v>1</v>
      </c>
      <c r="K335" s="34">
        <v>76.0</v>
      </c>
      <c r="L335" s="34">
        <v>40.0</v>
      </c>
      <c r="M335" s="14">
        <f t="shared" si="4"/>
        <v>0.8</v>
      </c>
      <c r="N335" s="34">
        <v>1.0</v>
      </c>
      <c r="O335" s="14">
        <f t="shared" si="5"/>
        <v>0.6666666667</v>
      </c>
      <c r="P335" s="34">
        <v>1.0</v>
      </c>
      <c r="Q335" s="34">
        <v>0.75</v>
      </c>
      <c r="R335" s="9">
        <v>10.0</v>
      </c>
      <c r="S335" s="16">
        <f t="shared" si="6"/>
        <v>4.216666667</v>
      </c>
      <c r="T335" s="17">
        <f t="shared" si="7"/>
        <v>0.4216666667</v>
      </c>
      <c r="U335" s="14">
        <f t="shared" si="8"/>
        <v>-5.783333333</v>
      </c>
      <c r="V335" s="9" t="str">
        <f t="shared" si="9"/>
        <v>Low Performance</v>
      </c>
      <c r="W335" s="9"/>
    </row>
    <row r="336" ht="15.75" customHeight="1">
      <c r="A336" s="13">
        <v>46264.0</v>
      </c>
      <c r="B336" s="49" t="s">
        <v>61</v>
      </c>
      <c r="C336" s="9" t="s">
        <v>48</v>
      </c>
      <c r="D336" s="9" t="s">
        <v>27</v>
      </c>
      <c r="E336" s="33">
        <v>0.0</v>
      </c>
      <c r="F336" s="9">
        <f t="shared" si="1"/>
        <v>0</v>
      </c>
      <c r="G336" s="34">
        <v>0.0</v>
      </c>
      <c r="H336" s="9">
        <f t="shared" si="10"/>
        <v>0</v>
      </c>
      <c r="I336" s="34">
        <v>1.0</v>
      </c>
      <c r="J336" s="9">
        <f t="shared" si="3"/>
        <v>1</v>
      </c>
      <c r="K336" s="34">
        <v>60.0</v>
      </c>
      <c r="L336" s="34">
        <v>37.0</v>
      </c>
      <c r="M336" s="14">
        <f t="shared" si="4"/>
        <v>0.74</v>
      </c>
      <c r="N336" s="34">
        <v>1.0</v>
      </c>
      <c r="O336" s="14">
        <f t="shared" si="5"/>
        <v>0.6666666667</v>
      </c>
      <c r="P336" s="34">
        <v>1.0</v>
      </c>
      <c r="Q336" s="34">
        <v>0.75</v>
      </c>
      <c r="R336" s="9">
        <v>10.0</v>
      </c>
      <c r="S336" s="16">
        <f t="shared" si="6"/>
        <v>4.156666667</v>
      </c>
      <c r="T336" s="17">
        <f t="shared" si="7"/>
        <v>0.4156666667</v>
      </c>
      <c r="U336" s="14">
        <f t="shared" si="8"/>
        <v>-5.843333333</v>
      </c>
      <c r="V336" s="9" t="str">
        <f t="shared" si="9"/>
        <v>Low Performance</v>
      </c>
      <c r="W336" s="9"/>
    </row>
    <row r="337" ht="15.75" customHeight="1">
      <c r="A337" s="13">
        <v>46264.0</v>
      </c>
      <c r="B337" s="49" t="s">
        <v>62</v>
      </c>
      <c r="C337" s="9" t="s">
        <v>48</v>
      </c>
      <c r="D337" s="9" t="s">
        <v>27</v>
      </c>
      <c r="E337" s="33">
        <v>0.0</v>
      </c>
      <c r="F337" s="9">
        <f t="shared" si="1"/>
        <v>0</v>
      </c>
      <c r="G337" s="34">
        <v>0.0</v>
      </c>
      <c r="H337" s="9">
        <f t="shared" si="10"/>
        <v>0</v>
      </c>
      <c r="I337" s="34">
        <v>0.0</v>
      </c>
      <c r="J337" s="9">
        <f t="shared" si="3"/>
        <v>0</v>
      </c>
      <c r="K337" s="34">
        <v>0.0</v>
      </c>
      <c r="L337" s="34">
        <v>0.0</v>
      </c>
      <c r="M337" s="14">
        <f t="shared" si="4"/>
        <v>0</v>
      </c>
      <c r="N337" s="34">
        <v>0.0</v>
      </c>
      <c r="O337" s="14">
        <f t="shared" si="5"/>
        <v>0</v>
      </c>
      <c r="P337" s="34">
        <v>0.0</v>
      </c>
      <c r="Q337" s="34">
        <v>0.0</v>
      </c>
      <c r="R337" s="9">
        <v>10.0</v>
      </c>
      <c r="S337" s="16">
        <f t="shared" si="6"/>
        <v>0</v>
      </c>
      <c r="T337" s="17">
        <f t="shared" si="7"/>
        <v>0</v>
      </c>
      <c r="U337" s="14">
        <f t="shared" si="8"/>
        <v>-10</v>
      </c>
      <c r="V337" s="9" t="str">
        <f t="shared" si="9"/>
        <v>Low Performance</v>
      </c>
      <c r="W337" s="31" t="s">
        <v>51</v>
      </c>
    </row>
    <row r="338" ht="15.75" customHeight="1">
      <c r="A338" s="13">
        <v>46264.0</v>
      </c>
      <c r="B338" s="49" t="s">
        <v>63</v>
      </c>
      <c r="C338" s="9" t="s">
        <v>48</v>
      </c>
      <c r="D338" s="9" t="s">
        <v>27</v>
      </c>
      <c r="E338" s="33">
        <v>0.0</v>
      </c>
      <c r="F338" s="9">
        <f t="shared" si="1"/>
        <v>0</v>
      </c>
      <c r="G338" s="34">
        <v>0.0</v>
      </c>
      <c r="H338" s="9">
        <f t="shared" si="10"/>
        <v>0</v>
      </c>
      <c r="I338" s="34">
        <v>0.0</v>
      </c>
      <c r="J338" s="9">
        <f t="shared" si="3"/>
        <v>0</v>
      </c>
      <c r="K338" s="34">
        <v>0.0</v>
      </c>
      <c r="L338" s="34">
        <v>0.0</v>
      </c>
      <c r="M338" s="14">
        <f t="shared" si="4"/>
        <v>0</v>
      </c>
      <c r="N338" s="34">
        <v>0.0</v>
      </c>
      <c r="O338" s="14">
        <f t="shared" si="5"/>
        <v>0</v>
      </c>
      <c r="P338" s="34">
        <v>0.0</v>
      </c>
      <c r="Q338" s="34">
        <v>0.0</v>
      </c>
      <c r="R338" s="9">
        <v>10.0</v>
      </c>
      <c r="S338" s="16">
        <f t="shared" si="6"/>
        <v>0</v>
      </c>
      <c r="T338" s="17">
        <f t="shared" si="7"/>
        <v>0</v>
      </c>
      <c r="U338" s="14">
        <f t="shared" si="8"/>
        <v>-10</v>
      </c>
      <c r="V338" s="9" t="str">
        <f t="shared" si="9"/>
        <v>Low Performance</v>
      </c>
      <c r="W338" s="80" t="s">
        <v>101</v>
      </c>
    </row>
    <row r="339" ht="15.75" customHeight="1">
      <c r="A339" s="13">
        <v>46265.0</v>
      </c>
      <c r="B339" s="49" t="s">
        <v>28</v>
      </c>
      <c r="C339" s="9" t="s">
        <v>29</v>
      </c>
      <c r="D339" s="9" t="s">
        <v>27</v>
      </c>
      <c r="E339" s="10">
        <v>0.0</v>
      </c>
      <c r="F339" s="9">
        <f t="shared" si="1"/>
        <v>0</v>
      </c>
      <c r="G339" s="11">
        <v>1.0</v>
      </c>
      <c r="H339" s="9">
        <f t="shared" si="10"/>
        <v>1</v>
      </c>
      <c r="I339" s="11">
        <v>0.0</v>
      </c>
      <c r="J339" s="9">
        <f t="shared" si="3"/>
        <v>0</v>
      </c>
      <c r="K339" s="11">
        <v>114.0</v>
      </c>
      <c r="L339" s="11">
        <v>50.0</v>
      </c>
      <c r="M339" s="14">
        <f t="shared" si="4"/>
        <v>1</v>
      </c>
      <c r="N339" s="11">
        <v>2.0</v>
      </c>
      <c r="O339" s="14">
        <f t="shared" si="5"/>
        <v>1.333333333</v>
      </c>
      <c r="P339" s="11">
        <v>1.0</v>
      </c>
      <c r="Q339" s="15">
        <v>1.0</v>
      </c>
      <c r="R339" s="9">
        <v>10.0</v>
      </c>
      <c r="S339" s="16">
        <f t="shared" si="6"/>
        <v>5.333333333</v>
      </c>
      <c r="T339" s="17">
        <f t="shared" si="7"/>
        <v>0.5333333333</v>
      </c>
      <c r="U339" s="14">
        <f t="shared" si="8"/>
        <v>-4.666666667</v>
      </c>
      <c r="V339" s="9" t="str">
        <f t="shared" si="9"/>
        <v>Average</v>
      </c>
      <c r="W339" s="9"/>
    </row>
    <row r="340" ht="15.75" customHeight="1">
      <c r="A340" s="13">
        <v>46265.0</v>
      </c>
      <c r="B340" s="49" t="s">
        <v>36</v>
      </c>
      <c r="C340" s="9" t="s">
        <v>29</v>
      </c>
      <c r="D340" s="9" t="s">
        <v>27</v>
      </c>
      <c r="E340" s="10">
        <v>0.0</v>
      </c>
      <c r="F340" s="9">
        <f t="shared" si="1"/>
        <v>0</v>
      </c>
      <c r="G340" s="11">
        <v>0.0</v>
      </c>
      <c r="H340" s="9">
        <f t="shared" si="10"/>
        <v>0</v>
      </c>
      <c r="I340" s="11">
        <v>1.0</v>
      </c>
      <c r="J340" s="9">
        <f t="shared" si="3"/>
        <v>1</v>
      </c>
      <c r="K340" s="11">
        <v>0.0</v>
      </c>
      <c r="L340" s="11">
        <v>49.0</v>
      </c>
      <c r="M340" s="14">
        <f t="shared" si="4"/>
        <v>0.98</v>
      </c>
      <c r="N340" s="11">
        <v>2.0</v>
      </c>
      <c r="O340" s="14">
        <f t="shared" si="5"/>
        <v>1.333333333</v>
      </c>
      <c r="P340" s="11">
        <v>1.0</v>
      </c>
      <c r="Q340" s="15">
        <v>0.75</v>
      </c>
      <c r="R340" s="9">
        <v>10.0</v>
      </c>
      <c r="S340" s="16">
        <f t="shared" si="6"/>
        <v>5.063333333</v>
      </c>
      <c r="T340" s="17">
        <f t="shared" si="7"/>
        <v>0.5063333333</v>
      </c>
      <c r="U340" s="14">
        <f t="shared" si="8"/>
        <v>-4.936666667</v>
      </c>
      <c r="V340" s="9" t="str">
        <f t="shared" si="9"/>
        <v>Average</v>
      </c>
      <c r="W340" s="9"/>
    </row>
    <row r="341" ht="15.75" customHeight="1">
      <c r="A341" s="13">
        <v>46265.0</v>
      </c>
      <c r="B341" s="49" t="s">
        <v>56</v>
      </c>
      <c r="C341" s="9" t="s">
        <v>29</v>
      </c>
      <c r="D341" s="9" t="s">
        <v>27</v>
      </c>
      <c r="E341" s="10">
        <v>0.0</v>
      </c>
      <c r="F341" s="9">
        <f t="shared" si="1"/>
        <v>0</v>
      </c>
      <c r="G341" s="11">
        <v>0.0</v>
      </c>
      <c r="H341" s="9">
        <f t="shared" si="10"/>
        <v>0</v>
      </c>
      <c r="I341" s="11">
        <v>1.0</v>
      </c>
      <c r="J341" s="9">
        <f t="shared" si="3"/>
        <v>1</v>
      </c>
      <c r="K341" s="11">
        <v>79.0</v>
      </c>
      <c r="L341" s="11">
        <v>44.0</v>
      </c>
      <c r="M341" s="14">
        <f t="shared" si="4"/>
        <v>0.88</v>
      </c>
      <c r="N341" s="11">
        <v>2.0</v>
      </c>
      <c r="O341" s="14">
        <f t="shared" si="5"/>
        <v>1.333333333</v>
      </c>
      <c r="P341" s="11">
        <v>1.0</v>
      </c>
      <c r="Q341" s="15">
        <v>1.0</v>
      </c>
      <c r="R341" s="9">
        <v>10.0</v>
      </c>
      <c r="S341" s="16">
        <f t="shared" si="6"/>
        <v>5.213333333</v>
      </c>
      <c r="T341" s="17">
        <f t="shared" si="7"/>
        <v>0.5213333333</v>
      </c>
      <c r="U341" s="14">
        <f t="shared" si="8"/>
        <v>-4.786666667</v>
      </c>
      <c r="V341" s="9" t="str">
        <f t="shared" si="9"/>
        <v>Average</v>
      </c>
      <c r="W341" s="9"/>
    </row>
    <row r="342" ht="15.75" customHeight="1">
      <c r="A342" s="13">
        <v>46265.0</v>
      </c>
      <c r="B342" s="49" t="s">
        <v>37</v>
      </c>
      <c r="C342" s="9" t="s">
        <v>29</v>
      </c>
      <c r="D342" s="9" t="s">
        <v>27</v>
      </c>
      <c r="E342" s="10">
        <v>0.0</v>
      </c>
      <c r="F342" s="9">
        <f t="shared" si="1"/>
        <v>0</v>
      </c>
      <c r="G342" s="11">
        <v>1.0</v>
      </c>
      <c r="H342" s="9">
        <f t="shared" si="10"/>
        <v>1</v>
      </c>
      <c r="I342" s="11">
        <v>0.0</v>
      </c>
      <c r="J342" s="9">
        <f t="shared" si="3"/>
        <v>0</v>
      </c>
      <c r="K342" s="11">
        <v>75.0</v>
      </c>
      <c r="L342" s="11">
        <v>50.0</v>
      </c>
      <c r="M342" s="14">
        <f t="shared" si="4"/>
        <v>1</v>
      </c>
      <c r="N342" s="11">
        <v>3.0</v>
      </c>
      <c r="O342" s="14">
        <f t="shared" si="5"/>
        <v>2</v>
      </c>
      <c r="P342" s="11">
        <v>1.0</v>
      </c>
      <c r="Q342" s="15">
        <v>1.0</v>
      </c>
      <c r="R342" s="9">
        <v>10.0</v>
      </c>
      <c r="S342" s="16">
        <f t="shared" si="6"/>
        <v>6</v>
      </c>
      <c r="T342" s="17">
        <f t="shared" si="7"/>
        <v>0.6</v>
      </c>
      <c r="U342" s="14">
        <f t="shared" si="8"/>
        <v>-4</v>
      </c>
      <c r="V342" s="9" t="str">
        <f t="shared" si="9"/>
        <v>Average</v>
      </c>
      <c r="W342" s="9"/>
    </row>
    <row r="343" ht="15.75" customHeight="1">
      <c r="A343" s="13">
        <v>46265.0</v>
      </c>
      <c r="B343" s="49" t="s">
        <v>57</v>
      </c>
      <c r="C343" s="9" t="s">
        <v>29</v>
      </c>
      <c r="D343" s="9" t="s">
        <v>27</v>
      </c>
      <c r="E343" s="10">
        <v>0.0</v>
      </c>
      <c r="F343" s="9">
        <f t="shared" si="1"/>
        <v>0</v>
      </c>
      <c r="G343" s="11">
        <v>0.0</v>
      </c>
      <c r="H343" s="9">
        <f t="shared" si="10"/>
        <v>0</v>
      </c>
      <c r="I343" s="11">
        <v>0.0</v>
      </c>
      <c r="J343" s="9">
        <f t="shared" si="3"/>
        <v>0</v>
      </c>
      <c r="K343" s="11">
        <v>78.0</v>
      </c>
      <c r="L343" s="11">
        <v>50.0</v>
      </c>
      <c r="M343" s="14">
        <f t="shared" si="4"/>
        <v>1</v>
      </c>
      <c r="N343" s="11">
        <v>3.0</v>
      </c>
      <c r="O343" s="14">
        <f t="shared" si="5"/>
        <v>2</v>
      </c>
      <c r="P343" s="11">
        <v>1.0</v>
      </c>
      <c r="Q343" s="15">
        <v>1.0</v>
      </c>
      <c r="R343" s="9">
        <v>10.0</v>
      </c>
      <c r="S343" s="16">
        <f t="shared" si="6"/>
        <v>5</v>
      </c>
      <c r="T343" s="17">
        <f t="shared" si="7"/>
        <v>0.5</v>
      </c>
      <c r="U343" s="14">
        <f t="shared" si="8"/>
        <v>-5</v>
      </c>
      <c r="V343" s="9" t="str">
        <f t="shared" si="9"/>
        <v>Average</v>
      </c>
      <c r="W343" s="9"/>
    </row>
    <row r="344" ht="15.75" customHeight="1">
      <c r="A344" s="13">
        <v>46265.0</v>
      </c>
      <c r="B344" s="49" t="s">
        <v>58</v>
      </c>
      <c r="C344" s="9" t="s">
        <v>40</v>
      </c>
      <c r="D344" s="9" t="s">
        <v>27</v>
      </c>
      <c r="E344" s="33">
        <v>0.0</v>
      </c>
      <c r="F344" s="9">
        <f t="shared" si="1"/>
        <v>0</v>
      </c>
      <c r="G344" s="34">
        <v>0.0</v>
      </c>
      <c r="H344" s="9">
        <f t="shared" si="10"/>
        <v>0</v>
      </c>
      <c r="I344" s="34">
        <v>0.0</v>
      </c>
      <c r="J344" s="9">
        <f t="shared" si="3"/>
        <v>0</v>
      </c>
      <c r="K344" s="34">
        <v>0.0</v>
      </c>
      <c r="L344" s="34">
        <v>0.0</v>
      </c>
      <c r="M344" s="14">
        <f t="shared" si="4"/>
        <v>0</v>
      </c>
      <c r="N344" s="34">
        <v>0.0</v>
      </c>
      <c r="O344" s="14">
        <f t="shared" si="5"/>
        <v>0</v>
      </c>
      <c r="P344" s="34">
        <v>0.0</v>
      </c>
      <c r="Q344" s="34">
        <v>0.0</v>
      </c>
      <c r="R344" s="9">
        <v>10.0</v>
      </c>
      <c r="S344" s="16">
        <f t="shared" si="6"/>
        <v>0</v>
      </c>
      <c r="T344" s="17">
        <f t="shared" si="7"/>
        <v>0</v>
      </c>
      <c r="U344" s="14">
        <f t="shared" si="8"/>
        <v>-10</v>
      </c>
      <c r="V344" s="9" t="str">
        <f t="shared" si="9"/>
        <v>Low Performance</v>
      </c>
      <c r="W344" s="31" t="s">
        <v>51</v>
      </c>
    </row>
    <row r="345" ht="15.75" customHeight="1">
      <c r="A345" s="13">
        <v>46265.0</v>
      </c>
      <c r="B345" s="50" t="s">
        <v>59</v>
      </c>
      <c r="C345" s="9" t="s">
        <v>40</v>
      </c>
      <c r="D345" s="9" t="s">
        <v>27</v>
      </c>
      <c r="E345" s="10">
        <v>0.0</v>
      </c>
      <c r="F345" s="9">
        <f t="shared" si="1"/>
        <v>0</v>
      </c>
      <c r="G345" s="11">
        <v>0.0</v>
      </c>
      <c r="H345" s="9">
        <f t="shared" si="10"/>
        <v>0</v>
      </c>
      <c r="I345" s="11">
        <v>0.0</v>
      </c>
      <c r="J345" s="9">
        <f t="shared" si="3"/>
        <v>0</v>
      </c>
      <c r="K345" s="11">
        <v>75.0</v>
      </c>
      <c r="L345" s="11">
        <v>50.0</v>
      </c>
      <c r="M345" s="14">
        <f t="shared" si="4"/>
        <v>1</v>
      </c>
      <c r="N345" s="11">
        <v>1.0</v>
      </c>
      <c r="O345" s="14">
        <f t="shared" si="5"/>
        <v>0.6666666667</v>
      </c>
      <c r="P345" s="11">
        <v>1.0</v>
      </c>
      <c r="Q345" s="15">
        <v>1.0</v>
      </c>
      <c r="R345" s="9">
        <v>10.0</v>
      </c>
      <c r="S345" s="16">
        <f t="shared" si="6"/>
        <v>3.666666667</v>
      </c>
      <c r="T345" s="17">
        <f t="shared" si="7"/>
        <v>0.3666666667</v>
      </c>
      <c r="U345" s="14">
        <f t="shared" si="8"/>
        <v>-6.333333333</v>
      </c>
      <c r="V345" s="9" t="str">
        <f t="shared" si="9"/>
        <v>Low Performance</v>
      </c>
      <c r="W345" s="9"/>
    </row>
    <row r="346" ht="15.75" customHeight="1">
      <c r="A346" s="13">
        <v>46265.0</v>
      </c>
      <c r="B346" s="49" t="s">
        <v>41</v>
      </c>
      <c r="C346" s="9" t="s">
        <v>40</v>
      </c>
      <c r="D346" s="9" t="s">
        <v>27</v>
      </c>
      <c r="E346" s="33">
        <v>0.0</v>
      </c>
      <c r="F346" s="9">
        <f t="shared" si="1"/>
        <v>0</v>
      </c>
      <c r="G346" s="34">
        <v>0.0</v>
      </c>
      <c r="H346" s="9">
        <f t="shared" si="10"/>
        <v>0</v>
      </c>
      <c r="I346" s="34">
        <v>0.0</v>
      </c>
      <c r="J346" s="9">
        <f t="shared" si="3"/>
        <v>0</v>
      </c>
      <c r="K346" s="34">
        <v>0.0</v>
      </c>
      <c r="L346" s="34">
        <v>0.0</v>
      </c>
      <c r="M346" s="14">
        <f t="shared" si="4"/>
        <v>0</v>
      </c>
      <c r="N346" s="34">
        <v>0.0</v>
      </c>
      <c r="O346" s="14">
        <f t="shared" si="5"/>
        <v>0</v>
      </c>
      <c r="P346" s="34">
        <v>0.0</v>
      </c>
      <c r="Q346" s="34">
        <v>0.0</v>
      </c>
      <c r="R346" s="9">
        <v>10.0</v>
      </c>
      <c r="S346" s="16">
        <f t="shared" si="6"/>
        <v>0</v>
      </c>
      <c r="T346" s="17">
        <f t="shared" si="7"/>
        <v>0</v>
      </c>
      <c r="U346" s="14">
        <f t="shared" si="8"/>
        <v>-10</v>
      </c>
      <c r="V346" s="9" t="str">
        <f t="shared" si="9"/>
        <v>Low Performance</v>
      </c>
      <c r="W346" s="31" t="s">
        <v>51</v>
      </c>
    </row>
    <row r="347" ht="15.75" customHeight="1">
      <c r="A347" s="13">
        <v>46265.0</v>
      </c>
      <c r="B347" s="49" t="s">
        <v>42</v>
      </c>
      <c r="C347" s="9" t="s">
        <v>40</v>
      </c>
      <c r="D347" s="9" t="s">
        <v>27</v>
      </c>
      <c r="E347" s="10">
        <v>0.0</v>
      </c>
      <c r="F347" s="9">
        <f t="shared" si="1"/>
        <v>0</v>
      </c>
      <c r="G347" s="11">
        <v>0.0</v>
      </c>
      <c r="H347" s="9">
        <f t="shared" si="10"/>
        <v>0</v>
      </c>
      <c r="I347" s="11">
        <v>0.0</v>
      </c>
      <c r="J347" s="9">
        <f t="shared" si="3"/>
        <v>0</v>
      </c>
      <c r="K347" s="11">
        <v>50.0</v>
      </c>
      <c r="L347" s="11">
        <v>35.0</v>
      </c>
      <c r="M347" s="14">
        <f t="shared" si="4"/>
        <v>0.7</v>
      </c>
      <c r="N347" s="11">
        <v>2.0</v>
      </c>
      <c r="O347" s="14">
        <f t="shared" si="5"/>
        <v>1.333333333</v>
      </c>
      <c r="P347" s="11">
        <v>1.0</v>
      </c>
      <c r="Q347" s="15">
        <v>1.0</v>
      </c>
      <c r="R347" s="9">
        <v>10.0</v>
      </c>
      <c r="S347" s="16">
        <f t="shared" si="6"/>
        <v>4.033333333</v>
      </c>
      <c r="T347" s="17">
        <f t="shared" si="7"/>
        <v>0.4033333333</v>
      </c>
      <c r="U347" s="14">
        <f t="shared" si="8"/>
        <v>-5.966666667</v>
      </c>
      <c r="V347" s="9" t="str">
        <f t="shared" si="9"/>
        <v>Low Performance</v>
      </c>
      <c r="W347" s="9"/>
    </row>
    <row r="348" ht="15.75" customHeight="1">
      <c r="A348" s="13">
        <v>46265.0</v>
      </c>
      <c r="B348" s="49" t="s">
        <v>60</v>
      </c>
      <c r="C348" s="9" t="s">
        <v>40</v>
      </c>
      <c r="D348" s="9" t="s">
        <v>27</v>
      </c>
      <c r="E348" s="10">
        <v>70000.0</v>
      </c>
      <c r="F348" s="9">
        <f t="shared" si="1"/>
        <v>3</v>
      </c>
      <c r="G348" s="11">
        <v>0.0</v>
      </c>
      <c r="H348" s="9">
        <f t="shared" si="10"/>
        <v>0</v>
      </c>
      <c r="I348" s="11">
        <v>1.0</v>
      </c>
      <c r="J348" s="9">
        <f t="shared" si="3"/>
        <v>1</v>
      </c>
      <c r="K348" s="11">
        <v>55.0</v>
      </c>
      <c r="L348" s="11">
        <v>50.0</v>
      </c>
      <c r="M348" s="14">
        <f t="shared" si="4"/>
        <v>1</v>
      </c>
      <c r="N348" s="11">
        <v>2.0</v>
      </c>
      <c r="O348" s="14">
        <f t="shared" si="5"/>
        <v>1.333333333</v>
      </c>
      <c r="P348" s="11">
        <v>1.0</v>
      </c>
      <c r="Q348" s="15">
        <v>0.75</v>
      </c>
      <c r="R348" s="9">
        <v>10.0</v>
      </c>
      <c r="S348" s="16">
        <f t="shared" si="6"/>
        <v>8.083333333</v>
      </c>
      <c r="T348" s="17">
        <f t="shared" si="7"/>
        <v>0.8083333333</v>
      </c>
      <c r="U348" s="14">
        <f t="shared" si="8"/>
        <v>-1.916666667</v>
      </c>
      <c r="V348" s="9" t="str">
        <f t="shared" si="9"/>
        <v>Near Target</v>
      </c>
      <c r="W348" s="9"/>
    </row>
    <row r="349" ht="15.75" customHeight="1">
      <c r="A349" s="13">
        <v>46265.0</v>
      </c>
      <c r="B349" s="49" t="s">
        <v>47</v>
      </c>
      <c r="C349" s="9" t="s">
        <v>48</v>
      </c>
      <c r="D349" s="9" t="s">
        <v>27</v>
      </c>
      <c r="E349" s="10">
        <v>0.0</v>
      </c>
      <c r="F349" s="9">
        <f t="shared" si="1"/>
        <v>0</v>
      </c>
      <c r="G349" s="11">
        <v>0.0</v>
      </c>
      <c r="H349" s="9">
        <f t="shared" si="10"/>
        <v>0</v>
      </c>
      <c r="I349" s="11">
        <v>1.0</v>
      </c>
      <c r="J349" s="9">
        <f t="shared" si="3"/>
        <v>1</v>
      </c>
      <c r="K349" s="11">
        <v>73.0</v>
      </c>
      <c r="L349" s="11">
        <v>44.0</v>
      </c>
      <c r="M349" s="14">
        <f t="shared" si="4"/>
        <v>0.88</v>
      </c>
      <c r="N349" s="11">
        <v>1.0</v>
      </c>
      <c r="O349" s="14">
        <f t="shared" si="5"/>
        <v>0.6666666667</v>
      </c>
      <c r="P349" s="11">
        <v>1.0</v>
      </c>
      <c r="Q349" s="15">
        <v>0.5</v>
      </c>
      <c r="R349" s="9">
        <v>10.0</v>
      </c>
      <c r="S349" s="16">
        <f t="shared" si="6"/>
        <v>4.046666667</v>
      </c>
      <c r="T349" s="17">
        <f t="shared" si="7"/>
        <v>0.4046666667</v>
      </c>
      <c r="U349" s="14">
        <f t="shared" si="8"/>
        <v>-5.953333333</v>
      </c>
      <c r="V349" s="9" t="str">
        <f t="shared" si="9"/>
        <v>Low Performance</v>
      </c>
      <c r="W349" s="9"/>
    </row>
    <row r="350" ht="15.75" customHeight="1">
      <c r="A350" s="13">
        <v>46265.0</v>
      </c>
      <c r="B350" s="49" t="s">
        <v>61</v>
      </c>
      <c r="C350" s="9" t="s">
        <v>48</v>
      </c>
      <c r="D350" s="9" t="s">
        <v>27</v>
      </c>
      <c r="E350" s="10">
        <v>25000.0</v>
      </c>
      <c r="F350" s="9">
        <f t="shared" si="1"/>
        <v>3</v>
      </c>
      <c r="G350" s="11">
        <v>1.0</v>
      </c>
      <c r="H350" s="9">
        <f t="shared" si="10"/>
        <v>1</v>
      </c>
      <c r="I350" s="11">
        <v>1.0</v>
      </c>
      <c r="J350" s="9">
        <f t="shared" si="3"/>
        <v>1</v>
      </c>
      <c r="K350" s="11">
        <v>60.0</v>
      </c>
      <c r="L350" s="11">
        <v>37.0</v>
      </c>
      <c r="M350" s="14">
        <f t="shared" si="4"/>
        <v>0.74</v>
      </c>
      <c r="N350" s="11">
        <v>2.0</v>
      </c>
      <c r="O350" s="14">
        <f t="shared" si="5"/>
        <v>1.333333333</v>
      </c>
      <c r="P350" s="11">
        <v>1.0</v>
      </c>
      <c r="Q350" s="15">
        <v>0.75</v>
      </c>
      <c r="R350" s="9">
        <v>10.0</v>
      </c>
      <c r="S350" s="16">
        <f t="shared" si="6"/>
        <v>8.823333333</v>
      </c>
      <c r="T350" s="17">
        <f t="shared" si="7"/>
        <v>0.8823333333</v>
      </c>
      <c r="U350" s="14">
        <f t="shared" si="8"/>
        <v>-1.176666667</v>
      </c>
      <c r="V350" s="9" t="str">
        <f t="shared" si="9"/>
        <v>Near Target</v>
      </c>
      <c r="W350" s="9"/>
    </row>
    <row r="351" ht="15.75" customHeight="1">
      <c r="A351" s="13">
        <v>46265.0</v>
      </c>
      <c r="B351" s="49" t="s">
        <v>62</v>
      </c>
      <c r="C351" s="9" t="s">
        <v>48</v>
      </c>
      <c r="D351" s="9" t="s">
        <v>27</v>
      </c>
      <c r="E351" s="33">
        <v>0.0</v>
      </c>
      <c r="F351" s="9">
        <f t="shared" si="1"/>
        <v>0</v>
      </c>
      <c r="G351" s="34">
        <v>0.0</v>
      </c>
      <c r="H351" s="9">
        <f t="shared" si="10"/>
        <v>0</v>
      </c>
      <c r="I351" s="34">
        <v>0.0</v>
      </c>
      <c r="J351" s="9">
        <f t="shared" si="3"/>
        <v>0</v>
      </c>
      <c r="K351" s="34">
        <v>0.0</v>
      </c>
      <c r="L351" s="34">
        <v>0.0</v>
      </c>
      <c r="M351" s="14">
        <f t="shared" si="4"/>
        <v>0</v>
      </c>
      <c r="N351" s="34">
        <v>0.0</v>
      </c>
      <c r="O351" s="14">
        <f t="shared" si="5"/>
        <v>0</v>
      </c>
      <c r="P351" s="34">
        <v>0.0</v>
      </c>
      <c r="Q351" s="34">
        <v>0.0</v>
      </c>
      <c r="R351" s="9">
        <v>10.0</v>
      </c>
      <c r="S351" s="16">
        <f t="shared" si="6"/>
        <v>0</v>
      </c>
      <c r="T351" s="17">
        <f t="shared" si="7"/>
        <v>0</v>
      </c>
      <c r="U351" s="14">
        <f t="shared" si="8"/>
        <v>-10</v>
      </c>
      <c r="V351" s="9" t="str">
        <f t="shared" si="9"/>
        <v>Low Performance</v>
      </c>
      <c r="W351" s="31" t="s">
        <v>51</v>
      </c>
    </row>
    <row r="352" ht="15.75" customHeight="1">
      <c r="A352" s="13">
        <v>46265.0</v>
      </c>
      <c r="B352" s="49" t="s">
        <v>63</v>
      </c>
      <c r="C352" s="9" t="s">
        <v>48</v>
      </c>
      <c r="D352" s="9" t="s">
        <v>27</v>
      </c>
      <c r="E352" s="33">
        <v>0.0</v>
      </c>
      <c r="F352" s="9">
        <f t="shared" si="1"/>
        <v>0</v>
      </c>
      <c r="G352" s="34">
        <v>0.0</v>
      </c>
      <c r="H352" s="9">
        <f t="shared" si="10"/>
        <v>0</v>
      </c>
      <c r="I352" s="34">
        <v>0.0</v>
      </c>
      <c r="J352" s="9">
        <f t="shared" si="3"/>
        <v>0</v>
      </c>
      <c r="K352" s="34">
        <v>0.0</v>
      </c>
      <c r="L352" s="34">
        <v>0.0</v>
      </c>
      <c r="M352" s="14">
        <f t="shared" si="4"/>
        <v>0</v>
      </c>
      <c r="N352" s="34">
        <v>0.0</v>
      </c>
      <c r="O352" s="14">
        <f t="shared" si="5"/>
        <v>0</v>
      </c>
      <c r="P352" s="34">
        <v>0.0</v>
      </c>
      <c r="Q352" s="34">
        <v>0.0</v>
      </c>
      <c r="R352" s="9">
        <v>10.0</v>
      </c>
      <c r="S352" s="16">
        <f t="shared" si="6"/>
        <v>0</v>
      </c>
      <c r="T352" s="17">
        <f t="shared" si="7"/>
        <v>0</v>
      </c>
      <c r="U352" s="14">
        <f t="shared" si="8"/>
        <v>-10</v>
      </c>
      <c r="V352" s="9" t="str">
        <f t="shared" si="9"/>
        <v>Low Performance</v>
      </c>
      <c r="W352" s="32" t="s">
        <v>101</v>
      </c>
    </row>
    <row r="353" ht="15.75" customHeight="1">
      <c r="A353" s="81"/>
      <c r="B353" s="82"/>
      <c r="C353" s="83"/>
      <c r="D353" s="83"/>
      <c r="E353" s="84">
        <f>SUBTOTAL(109,E3:E352)</f>
        <v>2776000</v>
      </c>
      <c r="F353" s="84"/>
      <c r="G353" s="84">
        <f>SUBTOTAL(109,G3:G352)</f>
        <v>89</v>
      </c>
      <c r="H353" s="84"/>
      <c r="I353" s="84">
        <f>SUBTOTAL(109,I3:I352)</f>
        <v>187</v>
      </c>
      <c r="J353" s="84"/>
      <c r="K353" s="84">
        <f t="shared" ref="K353:L353" si="11">SUBTOTAL(109,K3:K352)</f>
        <v>19308</v>
      </c>
      <c r="L353" s="84">
        <f t="shared" si="11"/>
        <v>12200</v>
      </c>
      <c r="M353" s="85"/>
      <c r="N353" s="84">
        <f>SUBTOTAL(109,N3:N352)</f>
        <v>564</v>
      </c>
      <c r="O353" s="86"/>
      <c r="P353" s="87"/>
      <c r="Q353" s="88"/>
      <c r="R353" s="84" t="str">
        <f>SUBTOTAL(101,'Daily KPI Entry'!$R$3:$R$14)</f>
        <v>#VALUE!</v>
      </c>
      <c r="S353" s="86">
        <f>AVERAGE(S3:S352)</f>
        <v>4.457742857</v>
      </c>
      <c r="T353" s="89">
        <f t="shared" si="7"/>
        <v>0.4457742857</v>
      </c>
      <c r="U353" s="85">
        <f t="shared" si="8"/>
        <v>-5.542257143</v>
      </c>
      <c r="V353" s="83" t="str">
        <f t="shared" si="9"/>
        <v>Low Performance</v>
      </c>
      <c r="W353" s="83"/>
    </row>
    <row r="354" ht="15.75" customHeight="1">
      <c r="E354" s="42"/>
    </row>
    <row r="355" ht="15.75" customHeight="1">
      <c r="E355" s="42"/>
    </row>
    <row r="356" ht="15.75" customHeight="1">
      <c r="E356" s="42"/>
    </row>
    <row r="357" ht="15.75" customHeight="1">
      <c r="E357" s="42"/>
    </row>
    <row r="358" ht="15.75" customHeight="1">
      <c r="E358" s="42"/>
    </row>
    <row r="359" ht="15.75" customHeight="1">
      <c r="E359" s="42"/>
    </row>
    <row r="360" ht="15.75" customHeight="1">
      <c r="E360" s="42"/>
    </row>
    <row r="361" ht="15.75" customHeight="1">
      <c r="E361" s="42"/>
    </row>
    <row r="362" ht="15.75" customHeight="1">
      <c r="E362" s="42"/>
    </row>
    <row r="363" ht="15.75" customHeight="1">
      <c r="E363" s="42"/>
    </row>
    <row r="364" ht="15.75" customHeight="1">
      <c r="E364" s="42"/>
    </row>
    <row r="365" ht="15.75" customHeight="1">
      <c r="E365" s="42"/>
    </row>
    <row r="366" ht="15.75" customHeight="1">
      <c r="E366" s="42"/>
    </row>
    <row r="367" ht="15.75" customHeight="1">
      <c r="E367" s="42"/>
    </row>
    <row r="368" ht="15.75" customHeight="1">
      <c r="E368" s="42"/>
    </row>
    <row r="369" ht="15.75" customHeight="1">
      <c r="E369" s="42"/>
    </row>
    <row r="370" ht="15.75" customHeight="1">
      <c r="E370" s="42"/>
    </row>
    <row r="371" ht="15.75" customHeight="1">
      <c r="E371" s="42"/>
    </row>
    <row r="372" ht="15.75" customHeight="1">
      <c r="E372" s="42"/>
    </row>
    <row r="373" ht="15.75" customHeight="1">
      <c r="E373" s="42"/>
    </row>
    <row r="374" ht="15.75" customHeight="1">
      <c r="E374" s="42"/>
    </row>
    <row r="375" ht="15.75" customHeight="1">
      <c r="E375" s="42"/>
    </row>
    <row r="376" ht="15.75" customHeight="1">
      <c r="E376" s="42"/>
    </row>
    <row r="377" ht="15.75" customHeight="1">
      <c r="E377" s="42"/>
    </row>
    <row r="378" ht="15.75" customHeight="1">
      <c r="E378" s="42"/>
    </row>
    <row r="379" ht="15.75" customHeight="1">
      <c r="E379" s="42"/>
    </row>
    <row r="380" ht="15.75" customHeight="1">
      <c r="E380" s="42"/>
    </row>
    <row r="381" ht="15.75" customHeight="1">
      <c r="E381" s="42"/>
    </row>
    <row r="382" ht="15.75" customHeight="1">
      <c r="E382" s="42"/>
    </row>
    <row r="383" ht="15.75" customHeight="1">
      <c r="E383" s="42"/>
    </row>
    <row r="384" ht="15.75" customHeight="1">
      <c r="E384" s="42"/>
    </row>
    <row r="385" ht="15.75" customHeight="1">
      <c r="E385" s="42"/>
    </row>
    <row r="386" ht="15.75" customHeight="1">
      <c r="E386" s="42"/>
    </row>
    <row r="387" ht="15.75" customHeight="1">
      <c r="E387" s="42"/>
    </row>
    <row r="388" ht="15.75" customHeight="1">
      <c r="E388" s="42"/>
    </row>
    <row r="389" ht="15.75" customHeight="1">
      <c r="E389" s="42"/>
    </row>
    <row r="390" ht="15.75" customHeight="1">
      <c r="E390" s="42"/>
    </row>
    <row r="391" ht="15.75" customHeight="1">
      <c r="E391" s="42"/>
    </row>
    <row r="392" ht="15.75" customHeight="1">
      <c r="E392" s="42"/>
    </row>
    <row r="393" ht="15.75" customHeight="1">
      <c r="E393" s="42"/>
    </row>
    <row r="394" ht="15.75" customHeight="1">
      <c r="E394" s="42"/>
    </row>
    <row r="395" ht="15.75" customHeight="1">
      <c r="E395" s="42"/>
    </row>
    <row r="396" ht="15.75" customHeight="1">
      <c r="E396" s="42"/>
    </row>
    <row r="397" ht="15.75" customHeight="1">
      <c r="E397" s="42"/>
    </row>
    <row r="398" ht="15.75" customHeight="1">
      <c r="E398" s="42"/>
    </row>
    <row r="399" ht="15.75" customHeight="1">
      <c r="E399" s="42"/>
    </row>
    <row r="400" ht="15.75" customHeight="1">
      <c r="E400" s="42"/>
    </row>
    <row r="401" ht="15.75" customHeight="1">
      <c r="E401" s="42"/>
    </row>
    <row r="402" ht="15.75" customHeight="1">
      <c r="E402" s="42"/>
    </row>
    <row r="403" ht="15.75" customHeight="1">
      <c r="E403" s="42"/>
    </row>
    <row r="404" ht="15.75" customHeight="1">
      <c r="E404" s="42"/>
    </row>
    <row r="405" ht="15.75" customHeight="1">
      <c r="E405" s="42"/>
    </row>
    <row r="406" ht="15.75" customHeight="1">
      <c r="E406" s="42"/>
    </row>
    <row r="407" ht="15.75" customHeight="1">
      <c r="E407" s="42"/>
    </row>
    <row r="408" ht="15.75" customHeight="1">
      <c r="E408" s="42"/>
    </row>
    <row r="409" ht="15.75" customHeight="1">
      <c r="E409" s="42"/>
    </row>
    <row r="410" ht="15.75" customHeight="1">
      <c r="E410" s="42"/>
    </row>
    <row r="411" ht="15.75" customHeight="1">
      <c r="E411" s="42"/>
    </row>
    <row r="412" ht="15.75" customHeight="1">
      <c r="E412" s="42"/>
    </row>
    <row r="413" ht="15.75" customHeight="1">
      <c r="E413" s="42"/>
    </row>
    <row r="414" ht="15.75" customHeight="1">
      <c r="E414" s="42"/>
    </row>
    <row r="415" ht="15.75" customHeight="1">
      <c r="E415" s="42"/>
    </row>
    <row r="416" ht="15.75" customHeight="1">
      <c r="E416" s="42"/>
    </row>
    <row r="417" ht="15.75" customHeight="1">
      <c r="E417" s="42"/>
    </row>
    <row r="418" ht="15.75" customHeight="1">
      <c r="E418" s="42"/>
    </row>
    <row r="419" ht="15.75" customHeight="1">
      <c r="E419" s="42"/>
    </row>
    <row r="420" ht="15.75" customHeight="1">
      <c r="E420" s="42"/>
    </row>
    <row r="421" ht="15.75" customHeight="1">
      <c r="E421" s="42"/>
    </row>
    <row r="422" ht="15.75" customHeight="1">
      <c r="E422" s="42"/>
    </row>
    <row r="423" ht="15.75" customHeight="1">
      <c r="E423" s="42"/>
    </row>
    <row r="424" ht="15.75" customHeight="1">
      <c r="E424" s="42"/>
    </row>
    <row r="425" ht="15.75" customHeight="1">
      <c r="E425" s="42"/>
    </row>
    <row r="426" ht="15.75" customHeight="1">
      <c r="E426" s="42"/>
    </row>
    <row r="427" ht="15.75" customHeight="1">
      <c r="E427" s="42"/>
    </row>
    <row r="428" ht="15.75" customHeight="1">
      <c r="E428" s="42"/>
    </row>
    <row r="429" ht="15.75" customHeight="1">
      <c r="E429" s="42"/>
    </row>
    <row r="430" ht="15.75" customHeight="1">
      <c r="E430" s="42"/>
    </row>
    <row r="431" ht="15.75" customHeight="1">
      <c r="E431" s="42"/>
    </row>
    <row r="432" ht="15.75" customHeight="1">
      <c r="E432" s="42"/>
    </row>
    <row r="433" ht="15.75" customHeight="1">
      <c r="E433" s="42"/>
    </row>
    <row r="434" ht="15.75" customHeight="1">
      <c r="E434" s="42"/>
    </row>
    <row r="435" ht="15.75" customHeight="1">
      <c r="E435" s="42"/>
    </row>
    <row r="436" ht="15.75" customHeight="1">
      <c r="E436" s="42"/>
    </row>
    <row r="437" ht="15.75" customHeight="1">
      <c r="E437" s="42"/>
    </row>
    <row r="438" ht="15.75" customHeight="1">
      <c r="E438" s="42"/>
    </row>
    <row r="439" ht="15.75" customHeight="1">
      <c r="E439" s="42"/>
    </row>
    <row r="440" ht="15.75" customHeight="1">
      <c r="E440" s="42"/>
    </row>
    <row r="441" ht="15.75" customHeight="1">
      <c r="E441" s="42"/>
    </row>
    <row r="442" ht="15.75" customHeight="1">
      <c r="E442" s="42"/>
    </row>
    <row r="443" ht="15.75" customHeight="1">
      <c r="E443" s="42"/>
    </row>
    <row r="444" ht="15.75" customHeight="1">
      <c r="E444" s="42"/>
    </row>
    <row r="445" ht="15.75" customHeight="1">
      <c r="E445" s="42"/>
    </row>
    <row r="446" ht="15.75" customHeight="1">
      <c r="E446" s="42"/>
    </row>
    <row r="447" ht="15.75" customHeight="1">
      <c r="E447" s="42"/>
    </row>
    <row r="448" ht="15.75" customHeight="1">
      <c r="E448" s="42"/>
    </row>
    <row r="449" ht="15.75" customHeight="1">
      <c r="E449" s="42"/>
    </row>
    <row r="450" ht="15.75" customHeight="1">
      <c r="E450" s="42"/>
    </row>
    <row r="451" ht="15.75" customHeight="1">
      <c r="E451" s="42"/>
    </row>
    <row r="452" ht="15.75" customHeight="1">
      <c r="E452" s="42"/>
    </row>
    <row r="453" ht="15.75" customHeight="1">
      <c r="E453" s="42"/>
    </row>
    <row r="454" ht="15.75" customHeight="1">
      <c r="E454" s="42"/>
    </row>
    <row r="455" ht="15.75" customHeight="1">
      <c r="E455" s="42"/>
    </row>
    <row r="456" ht="15.75" customHeight="1">
      <c r="E456" s="42"/>
    </row>
    <row r="457" ht="15.75" customHeight="1">
      <c r="E457" s="42"/>
    </row>
    <row r="458" ht="15.75" customHeight="1">
      <c r="E458" s="42"/>
    </row>
    <row r="459" ht="15.75" customHeight="1">
      <c r="E459" s="42"/>
    </row>
    <row r="460" ht="15.75" customHeight="1">
      <c r="E460" s="42"/>
    </row>
    <row r="461" ht="15.75" customHeight="1">
      <c r="E461" s="42"/>
    </row>
    <row r="462" ht="15.75" customHeight="1">
      <c r="E462" s="42"/>
    </row>
    <row r="463" ht="15.75" customHeight="1">
      <c r="E463" s="42"/>
    </row>
    <row r="464" ht="15.75" customHeight="1">
      <c r="E464" s="42"/>
    </row>
    <row r="465" ht="15.75" customHeight="1">
      <c r="E465" s="42"/>
    </row>
    <row r="466" ht="15.75" customHeight="1">
      <c r="E466" s="42"/>
    </row>
    <row r="467" ht="15.75" customHeight="1">
      <c r="E467" s="42"/>
    </row>
    <row r="468" ht="15.75" customHeight="1">
      <c r="E468" s="42"/>
    </row>
    <row r="469" ht="15.75" customHeight="1">
      <c r="E469" s="42"/>
    </row>
    <row r="470" ht="15.75" customHeight="1">
      <c r="E470" s="42"/>
    </row>
    <row r="471" ht="15.75" customHeight="1">
      <c r="E471" s="42"/>
    </row>
    <row r="472" ht="15.75" customHeight="1">
      <c r="E472" s="42"/>
    </row>
    <row r="473" ht="15.75" customHeight="1">
      <c r="E473" s="42"/>
    </row>
    <row r="474" ht="15.75" customHeight="1">
      <c r="E474" s="42"/>
    </row>
    <row r="475" ht="15.75" customHeight="1">
      <c r="E475" s="42"/>
    </row>
    <row r="476" ht="15.75" customHeight="1">
      <c r="E476" s="42"/>
    </row>
    <row r="477" ht="15.75" customHeight="1">
      <c r="E477" s="42"/>
    </row>
    <row r="478" ht="15.75" customHeight="1">
      <c r="E478" s="42"/>
    </row>
    <row r="479" ht="15.75" customHeight="1">
      <c r="E479" s="42"/>
    </row>
    <row r="480" ht="15.75" customHeight="1">
      <c r="E480" s="42"/>
    </row>
    <row r="481" ht="15.75" customHeight="1">
      <c r="E481" s="42"/>
    </row>
    <row r="482" ht="15.75" customHeight="1">
      <c r="E482" s="42"/>
    </row>
    <row r="483" ht="15.75" customHeight="1">
      <c r="E483" s="42"/>
    </row>
    <row r="484" ht="15.75" customHeight="1">
      <c r="E484" s="42"/>
    </row>
    <row r="485" ht="15.75" customHeight="1">
      <c r="E485" s="42"/>
    </row>
    <row r="486" ht="15.75" customHeight="1">
      <c r="E486" s="42"/>
    </row>
    <row r="487" ht="15.75" customHeight="1">
      <c r="E487" s="42"/>
    </row>
    <row r="488" ht="15.75" customHeight="1">
      <c r="E488" s="42"/>
    </row>
    <row r="489" ht="15.75" customHeight="1">
      <c r="E489" s="42"/>
    </row>
    <row r="490" ht="15.75" customHeight="1">
      <c r="E490" s="42"/>
    </row>
    <row r="491" ht="15.75" customHeight="1">
      <c r="E491" s="42"/>
    </row>
    <row r="492" ht="15.75" customHeight="1">
      <c r="E492" s="42"/>
    </row>
    <row r="493" ht="15.75" customHeight="1">
      <c r="E493" s="42"/>
    </row>
    <row r="494" ht="15.75" customHeight="1">
      <c r="E494" s="42"/>
    </row>
    <row r="495" ht="15.75" customHeight="1">
      <c r="E495" s="42"/>
    </row>
    <row r="496" ht="15.75" customHeight="1">
      <c r="E496" s="42"/>
    </row>
    <row r="497" ht="15.75" customHeight="1">
      <c r="E497" s="42"/>
    </row>
    <row r="498" ht="15.75" customHeight="1">
      <c r="E498" s="42"/>
    </row>
    <row r="499" ht="15.75" customHeight="1">
      <c r="E499" s="42"/>
    </row>
    <row r="500" ht="15.75" customHeight="1">
      <c r="E500" s="42"/>
    </row>
    <row r="501" ht="15.75" customHeight="1">
      <c r="E501" s="42"/>
    </row>
    <row r="502" ht="15.75" customHeight="1">
      <c r="E502" s="42"/>
    </row>
    <row r="503" ht="15.75" customHeight="1">
      <c r="E503" s="42"/>
    </row>
    <row r="504" ht="15.75" customHeight="1">
      <c r="E504" s="42"/>
    </row>
    <row r="505" ht="15.75" customHeight="1">
      <c r="E505" s="42"/>
    </row>
    <row r="506" ht="15.75" customHeight="1">
      <c r="E506" s="42"/>
    </row>
    <row r="507" ht="15.75" customHeight="1">
      <c r="E507" s="42"/>
    </row>
    <row r="508" ht="15.75" customHeight="1">
      <c r="E508" s="42"/>
    </row>
    <row r="509" ht="15.75" customHeight="1">
      <c r="E509" s="42"/>
    </row>
    <row r="510" ht="15.75" customHeight="1">
      <c r="E510" s="42"/>
    </row>
    <row r="511" ht="15.75" customHeight="1">
      <c r="E511" s="42"/>
    </row>
    <row r="512" ht="15.75" customHeight="1">
      <c r="E512" s="42"/>
    </row>
    <row r="513" ht="15.75" customHeight="1">
      <c r="E513" s="42"/>
    </row>
    <row r="514" ht="15.75" customHeight="1">
      <c r="E514" s="42"/>
    </row>
    <row r="515" ht="15.75" customHeight="1">
      <c r="E515" s="42"/>
    </row>
    <row r="516" ht="15.75" customHeight="1">
      <c r="E516" s="42"/>
    </row>
    <row r="517" ht="15.75" customHeight="1">
      <c r="E517" s="42"/>
    </row>
    <row r="518" ht="15.75" customHeight="1">
      <c r="E518" s="42"/>
    </row>
    <row r="519" ht="15.75" customHeight="1">
      <c r="E519" s="42"/>
    </row>
    <row r="520" ht="15.75" customHeight="1">
      <c r="E520" s="42"/>
    </row>
    <row r="521" ht="15.75" customHeight="1">
      <c r="E521" s="42"/>
    </row>
    <row r="522" ht="15.75" customHeight="1">
      <c r="E522" s="42"/>
    </row>
    <row r="523" ht="15.75" customHeight="1">
      <c r="E523" s="42"/>
    </row>
    <row r="524" ht="15.75" customHeight="1">
      <c r="E524" s="42"/>
    </row>
    <row r="525" ht="15.75" customHeight="1">
      <c r="E525" s="42"/>
    </row>
    <row r="526" ht="15.75" customHeight="1">
      <c r="E526" s="42"/>
    </row>
    <row r="527" ht="15.75" customHeight="1">
      <c r="E527" s="42"/>
    </row>
    <row r="528" ht="15.75" customHeight="1">
      <c r="E528" s="42"/>
    </row>
    <row r="529" ht="15.75" customHeight="1">
      <c r="E529" s="42"/>
    </row>
    <row r="530" ht="15.75" customHeight="1">
      <c r="E530" s="42"/>
    </row>
    <row r="531" ht="15.75" customHeight="1">
      <c r="E531" s="42"/>
    </row>
    <row r="532" ht="15.75" customHeight="1">
      <c r="E532" s="42"/>
    </row>
    <row r="533" ht="15.75" customHeight="1">
      <c r="E533" s="42"/>
    </row>
    <row r="534" ht="15.75" customHeight="1">
      <c r="E534" s="42"/>
    </row>
    <row r="535" ht="15.75" customHeight="1">
      <c r="E535" s="42"/>
    </row>
    <row r="536" ht="15.75" customHeight="1">
      <c r="E536" s="42"/>
    </row>
    <row r="537" ht="15.75" customHeight="1">
      <c r="E537" s="42"/>
    </row>
    <row r="538" ht="15.75" customHeight="1">
      <c r="E538" s="42"/>
    </row>
    <row r="539" ht="15.75" customHeight="1">
      <c r="E539" s="42"/>
    </row>
    <row r="540" ht="15.75" customHeight="1">
      <c r="E540" s="42"/>
    </row>
    <row r="541" ht="15.75" customHeight="1">
      <c r="E541" s="42"/>
    </row>
    <row r="542" ht="15.75" customHeight="1">
      <c r="E542" s="42"/>
    </row>
    <row r="543" ht="15.75" customHeight="1">
      <c r="E543" s="42"/>
    </row>
    <row r="544" ht="15.75" customHeight="1">
      <c r="E544" s="42"/>
    </row>
    <row r="545" ht="15.75" customHeight="1">
      <c r="E545" s="42"/>
    </row>
    <row r="546" ht="15.75" customHeight="1">
      <c r="E546" s="42"/>
    </row>
    <row r="547" ht="15.75" customHeight="1">
      <c r="E547" s="42"/>
    </row>
    <row r="548" ht="15.75" customHeight="1">
      <c r="E548" s="42"/>
    </row>
    <row r="549" ht="15.75" customHeight="1">
      <c r="E549" s="42"/>
    </row>
    <row r="550" ht="15.75" customHeight="1">
      <c r="E550" s="42"/>
    </row>
    <row r="551" ht="15.75" customHeight="1">
      <c r="E551" s="42"/>
    </row>
    <row r="552" ht="15.75" customHeight="1">
      <c r="E552" s="42"/>
    </row>
    <row r="553" ht="15.75" customHeight="1">
      <c r="E553" s="42"/>
    </row>
    <row r="554" ht="15.75" customHeight="1">
      <c r="E554" s="42"/>
    </row>
    <row r="555" ht="15.75" customHeight="1">
      <c r="E555" s="42"/>
    </row>
    <row r="556" ht="15.75" customHeight="1">
      <c r="E556" s="42"/>
    </row>
    <row r="557" ht="15.75" customHeight="1">
      <c r="E557" s="42"/>
    </row>
    <row r="558" ht="15.75" customHeight="1">
      <c r="E558" s="42"/>
    </row>
    <row r="559" ht="15.75" customHeight="1">
      <c r="E559" s="42"/>
    </row>
    <row r="560" ht="15.75" customHeight="1">
      <c r="E560" s="42"/>
    </row>
    <row r="561" ht="15.75" customHeight="1">
      <c r="E561" s="42"/>
    </row>
    <row r="562" ht="15.75" customHeight="1">
      <c r="E562" s="42"/>
    </row>
    <row r="563" ht="15.75" customHeight="1">
      <c r="E563" s="42"/>
    </row>
    <row r="564" ht="15.75" customHeight="1">
      <c r="E564" s="42"/>
    </row>
    <row r="565" ht="15.75" customHeight="1">
      <c r="E565" s="42"/>
    </row>
    <row r="566" ht="15.75" customHeight="1">
      <c r="E566" s="42"/>
    </row>
    <row r="567" ht="15.75" customHeight="1">
      <c r="E567" s="42"/>
    </row>
    <row r="568" ht="15.75" customHeight="1">
      <c r="E568" s="42"/>
    </row>
    <row r="569" ht="15.75" customHeight="1">
      <c r="E569" s="42"/>
    </row>
    <row r="570" ht="15.75" customHeight="1">
      <c r="E570" s="42"/>
    </row>
    <row r="571" ht="15.75" customHeight="1">
      <c r="E571" s="42"/>
    </row>
    <row r="572" ht="15.75" customHeight="1">
      <c r="E572" s="42"/>
    </row>
    <row r="573" ht="15.75" customHeight="1">
      <c r="E573" s="42"/>
    </row>
    <row r="574" ht="15.75" customHeight="1">
      <c r="E574" s="42"/>
    </row>
    <row r="575" ht="15.75" customHeight="1">
      <c r="E575" s="42"/>
    </row>
    <row r="576" ht="15.75" customHeight="1">
      <c r="E576" s="42"/>
    </row>
    <row r="577" ht="15.75" customHeight="1">
      <c r="E577" s="42"/>
    </row>
    <row r="578" ht="15.75" customHeight="1">
      <c r="E578" s="42"/>
    </row>
    <row r="579" ht="15.75" customHeight="1">
      <c r="E579" s="42"/>
    </row>
    <row r="580" ht="15.75" customHeight="1">
      <c r="E580" s="42"/>
    </row>
    <row r="581" ht="15.75" customHeight="1">
      <c r="E581" s="42"/>
    </row>
    <row r="582" ht="15.75" customHeight="1">
      <c r="E582" s="42"/>
    </row>
    <row r="583" ht="15.75" customHeight="1">
      <c r="E583" s="42"/>
    </row>
    <row r="584" ht="15.75" customHeight="1">
      <c r="E584" s="42"/>
    </row>
    <row r="585" ht="15.75" customHeight="1">
      <c r="E585" s="42"/>
    </row>
    <row r="586" ht="15.75" customHeight="1">
      <c r="E586" s="42"/>
    </row>
    <row r="587" ht="15.75" customHeight="1">
      <c r="E587" s="42"/>
    </row>
    <row r="588" ht="15.75" customHeight="1">
      <c r="E588" s="42"/>
    </row>
    <row r="589" ht="15.75" customHeight="1">
      <c r="E589" s="42"/>
    </row>
    <row r="590" ht="15.75" customHeight="1">
      <c r="E590" s="42"/>
    </row>
    <row r="591" ht="15.75" customHeight="1">
      <c r="E591" s="42"/>
    </row>
    <row r="592" ht="15.75" customHeight="1">
      <c r="E592" s="42"/>
    </row>
    <row r="593" ht="15.75" customHeight="1">
      <c r="E593" s="42"/>
    </row>
    <row r="594" ht="15.75" customHeight="1">
      <c r="E594" s="42"/>
    </row>
    <row r="595" ht="15.75" customHeight="1">
      <c r="E595" s="42"/>
    </row>
    <row r="596" ht="15.75" customHeight="1">
      <c r="E596" s="42"/>
    </row>
    <row r="597" ht="15.75" customHeight="1">
      <c r="E597" s="42"/>
    </row>
    <row r="598" ht="15.75" customHeight="1">
      <c r="E598" s="42"/>
    </row>
    <row r="599" ht="15.75" customHeight="1">
      <c r="E599" s="42"/>
    </row>
    <row r="600" ht="15.75" customHeight="1">
      <c r="E600" s="42"/>
    </row>
    <row r="601" ht="15.75" customHeight="1">
      <c r="E601" s="42"/>
    </row>
    <row r="602" ht="15.75" customHeight="1">
      <c r="E602" s="42"/>
    </row>
    <row r="603" ht="15.75" customHeight="1">
      <c r="E603" s="42"/>
    </row>
    <row r="604" ht="15.75" customHeight="1">
      <c r="E604" s="42"/>
    </row>
    <row r="605" ht="15.75" customHeight="1">
      <c r="E605" s="42"/>
    </row>
    <row r="606" ht="15.75" customHeight="1">
      <c r="E606" s="42"/>
    </row>
    <row r="607" ht="15.75" customHeight="1">
      <c r="E607" s="42"/>
    </row>
    <row r="608" ht="15.75" customHeight="1">
      <c r="E608" s="42"/>
    </row>
    <row r="609" ht="15.75" customHeight="1">
      <c r="E609" s="42"/>
    </row>
    <row r="610" ht="15.75" customHeight="1">
      <c r="E610" s="42"/>
    </row>
    <row r="611" ht="15.75" customHeight="1">
      <c r="E611" s="42"/>
    </row>
    <row r="612" ht="15.75" customHeight="1">
      <c r="E612" s="42"/>
    </row>
    <row r="613" ht="15.75" customHeight="1">
      <c r="E613" s="42"/>
    </row>
    <row r="614" ht="15.75" customHeight="1">
      <c r="E614" s="42"/>
    </row>
    <row r="615" ht="15.75" customHeight="1">
      <c r="E615" s="42"/>
    </row>
    <row r="616" ht="15.75" customHeight="1">
      <c r="E616" s="42"/>
    </row>
    <row r="617" ht="15.75" customHeight="1">
      <c r="E617" s="42"/>
    </row>
    <row r="618" ht="15.75" customHeight="1">
      <c r="E618" s="42"/>
    </row>
    <row r="619" ht="15.75" customHeight="1">
      <c r="E619" s="42"/>
    </row>
    <row r="620" ht="15.75" customHeight="1">
      <c r="E620" s="42"/>
    </row>
    <row r="621" ht="15.75" customHeight="1">
      <c r="E621" s="42"/>
    </row>
    <row r="622" ht="15.75" customHeight="1">
      <c r="E622" s="42"/>
    </row>
    <row r="623" ht="15.75" customHeight="1">
      <c r="E623" s="42"/>
    </row>
    <row r="624" ht="15.75" customHeight="1">
      <c r="E624" s="42"/>
    </row>
    <row r="625" ht="15.75" customHeight="1">
      <c r="E625" s="42"/>
    </row>
    <row r="626" ht="15.75" customHeight="1">
      <c r="E626" s="42"/>
    </row>
    <row r="627" ht="15.75" customHeight="1">
      <c r="E627" s="42"/>
    </row>
    <row r="628" ht="15.75" customHeight="1">
      <c r="E628" s="42"/>
    </row>
    <row r="629" ht="15.75" customHeight="1">
      <c r="E629" s="42"/>
    </row>
    <row r="630" ht="15.75" customHeight="1">
      <c r="E630" s="42"/>
    </row>
    <row r="631" ht="15.75" customHeight="1">
      <c r="E631" s="42"/>
    </row>
    <row r="632" ht="15.75" customHeight="1">
      <c r="E632" s="42"/>
    </row>
    <row r="633" ht="15.75" customHeight="1">
      <c r="E633" s="42"/>
    </row>
    <row r="634" ht="15.75" customHeight="1">
      <c r="E634" s="42"/>
    </row>
    <row r="635" ht="15.75" customHeight="1">
      <c r="E635" s="42"/>
    </row>
    <row r="636" ht="15.75" customHeight="1">
      <c r="E636" s="42"/>
    </row>
    <row r="637" ht="15.75" customHeight="1">
      <c r="E637" s="42"/>
    </row>
    <row r="638" ht="15.75" customHeight="1">
      <c r="E638" s="42"/>
    </row>
    <row r="639" ht="15.75" customHeight="1">
      <c r="E639" s="42"/>
    </row>
    <row r="640" ht="15.75" customHeight="1">
      <c r="E640" s="42"/>
    </row>
    <row r="641" ht="15.75" customHeight="1">
      <c r="E641" s="42"/>
    </row>
    <row r="642" ht="15.75" customHeight="1">
      <c r="E642" s="42"/>
    </row>
    <row r="643" ht="15.75" customHeight="1">
      <c r="E643" s="42"/>
    </row>
    <row r="644" ht="15.75" customHeight="1">
      <c r="E644" s="42"/>
    </row>
    <row r="645" ht="15.75" customHeight="1">
      <c r="E645" s="42"/>
    </row>
    <row r="646" ht="15.75" customHeight="1">
      <c r="E646" s="42"/>
    </row>
    <row r="647" ht="15.75" customHeight="1">
      <c r="E647" s="42"/>
    </row>
    <row r="648" ht="15.75" customHeight="1">
      <c r="E648" s="42"/>
    </row>
    <row r="649" ht="15.75" customHeight="1">
      <c r="E649" s="42"/>
    </row>
    <row r="650" ht="15.75" customHeight="1">
      <c r="E650" s="42"/>
    </row>
    <row r="651" ht="15.75" customHeight="1">
      <c r="E651" s="42"/>
    </row>
    <row r="652" ht="15.75" customHeight="1">
      <c r="E652" s="42"/>
    </row>
    <row r="653" ht="15.75" customHeight="1">
      <c r="E653" s="42"/>
    </row>
    <row r="654" ht="15.75" customHeight="1">
      <c r="E654" s="42"/>
    </row>
    <row r="655" ht="15.75" customHeight="1">
      <c r="E655" s="42"/>
    </row>
    <row r="656" ht="15.75" customHeight="1">
      <c r="E656" s="42"/>
    </row>
    <row r="657" ht="15.75" customHeight="1">
      <c r="E657" s="42"/>
    </row>
    <row r="658" ht="15.75" customHeight="1">
      <c r="E658" s="42"/>
    </row>
    <row r="659" ht="15.75" customHeight="1">
      <c r="E659" s="42"/>
    </row>
    <row r="660" ht="15.75" customHeight="1">
      <c r="E660" s="42"/>
    </row>
    <row r="661" ht="15.75" customHeight="1">
      <c r="E661" s="42"/>
    </row>
    <row r="662" ht="15.75" customHeight="1">
      <c r="E662" s="42"/>
    </row>
    <row r="663" ht="15.75" customHeight="1">
      <c r="E663" s="42"/>
    </row>
    <row r="664" ht="15.75" customHeight="1">
      <c r="E664" s="42"/>
    </row>
    <row r="665" ht="15.75" customHeight="1">
      <c r="E665" s="42"/>
    </row>
    <row r="666" ht="15.75" customHeight="1">
      <c r="E666" s="42"/>
    </row>
    <row r="667" ht="15.75" customHeight="1">
      <c r="E667" s="42"/>
    </row>
    <row r="668" ht="15.75" customHeight="1">
      <c r="E668" s="42"/>
    </row>
    <row r="669" ht="15.75" customHeight="1">
      <c r="E669" s="42"/>
    </row>
    <row r="670" ht="15.75" customHeight="1">
      <c r="E670" s="42"/>
    </row>
    <row r="671" ht="15.75" customHeight="1">
      <c r="E671" s="42"/>
    </row>
    <row r="672" ht="15.75" customHeight="1">
      <c r="E672" s="42"/>
    </row>
    <row r="673" ht="15.75" customHeight="1">
      <c r="E673" s="42"/>
    </row>
    <row r="674" ht="15.75" customHeight="1">
      <c r="E674" s="42"/>
    </row>
    <row r="675" ht="15.75" customHeight="1">
      <c r="E675" s="42"/>
    </row>
    <row r="676" ht="15.75" customHeight="1">
      <c r="E676" s="42"/>
    </row>
    <row r="677" ht="15.75" customHeight="1">
      <c r="E677" s="42"/>
    </row>
    <row r="678" ht="15.75" customHeight="1">
      <c r="E678" s="42"/>
    </row>
    <row r="679" ht="15.75" customHeight="1">
      <c r="E679" s="42"/>
    </row>
    <row r="680" ht="15.75" customHeight="1">
      <c r="E680" s="42"/>
    </row>
    <row r="681" ht="15.75" customHeight="1">
      <c r="E681" s="42"/>
    </row>
    <row r="682" ht="15.75" customHeight="1">
      <c r="E682" s="42"/>
    </row>
    <row r="683" ht="15.75" customHeight="1">
      <c r="E683" s="42"/>
    </row>
    <row r="684" ht="15.75" customHeight="1">
      <c r="E684" s="42"/>
    </row>
    <row r="685" ht="15.75" customHeight="1">
      <c r="E685" s="42"/>
    </row>
    <row r="686" ht="15.75" customHeight="1">
      <c r="E686" s="42"/>
    </row>
    <row r="687" ht="15.75" customHeight="1">
      <c r="E687" s="42"/>
    </row>
    <row r="688" ht="15.75" customHeight="1">
      <c r="E688" s="42"/>
    </row>
    <row r="689" ht="15.75" customHeight="1">
      <c r="E689" s="42"/>
    </row>
    <row r="690" ht="15.75" customHeight="1">
      <c r="E690" s="42"/>
    </row>
    <row r="691" ht="15.75" customHeight="1">
      <c r="E691" s="42"/>
    </row>
    <row r="692" ht="15.75" customHeight="1">
      <c r="E692" s="42"/>
    </row>
    <row r="693" ht="15.75" customHeight="1">
      <c r="E693" s="42"/>
    </row>
    <row r="694" ht="15.75" customHeight="1">
      <c r="E694" s="42"/>
    </row>
    <row r="695" ht="15.75" customHeight="1">
      <c r="E695" s="42"/>
    </row>
    <row r="696" ht="15.75" customHeight="1">
      <c r="E696" s="42"/>
    </row>
    <row r="697" ht="15.75" customHeight="1">
      <c r="E697" s="42"/>
    </row>
    <row r="698" ht="15.75" customHeight="1">
      <c r="E698" s="42"/>
    </row>
    <row r="699" ht="15.75" customHeight="1">
      <c r="E699" s="42"/>
    </row>
    <row r="700" ht="15.75" customHeight="1">
      <c r="E700" s="42"/>
    </row>
    <row r="701" ht="15.75" customHeight="1">
      <c r="E701" s="42"/>
    </row>
    <row r="702" ht="15.75" customHeight="1">
      <c r="E702" s="42"/>
    </row>
    <row r="703" ht="15.75" customHeight="1">
      <c r="E703" s="42"/>
    </row>
    <row r="704" ht="15.75" customHeight="1">
      <c r="E704" s="42"/>
    </row>
    <row r="705" ht="15.75" customHeight="1">
      <c r="E705" s="42"/>
    </row>
    <row r="706" ht="15.75" customHeight="1">
      <c r="E706" s="42"/>
    </row>
    <row r="707" ht="15.75" customHeight="1">
      <c r="E707" s="42"/>
    </row>
    <row r="708" ht="15.75" customHeight="1">
      <c r="E708" s="42"/>
    </row>
    <row r="709" ht="15.75" customHeight="1">
      <c r="E709" s="42"/>
    </row>
    <row r="710" ht="15.75" customHeight="1">
      <c r="E710" s="42"/>
    </row>
    <row r="711" ht="15.75" customHeight="1">
      <c r="E711" s="42"/>
    </row>
    <row r="712" ht="15.75" customHeight="1">
      <c r="E712" s="42"/>
    </row>
    <row r="713" ht="15.75" customHeight="1">
      <c r="E713" s="42"/>
    </row>
    <row r="714" ht="15.75" customHeight="1">
      <c r="E714" s="42"/>
    </row>
    <row r="715" ht="15.75" customHeight="1">
      <c r="E715" s="42"/>
    </row>
    <row r="716" ht="15.75" customHeight="1">
      <c r="E716" s="42"/>
    </row>
    <row r="717" ht="15.75" customHeight="1">
      <c r="E717" s="42"/>
    </row>
    <row r="718" ht="15.75" customHeight="1">
      <c r="E718" s="42"/>
    </row>
    <row r="719" ht="15.75" customHeight="1">
      <c r="E719" s="42"/>
    </row>
    <row r="720" ht="15.75" customHeight="1">
      <c r="E720" s="42"/>
    </row>
    <row r="721" ht="15.75" customHeight="1">
      <c r="E721" s="42"/>
    </row>
    <row r="722" ht="15.75" customHeight="1">
      <c r="E722" s="42"/>
    </row>
    <row r="723" ht="15.75" customHeight="1">
      <c r="E723" s="42"/>
    </row>
    <row r="724" ht="15.75" customHeight="1">
      <c r="E724" s="42"/>
    </row>
    <row r="725" ht="15.75" customHeight="1">
      <c r="E725" s="42"/>
    </row>
    <row r="726" ht="15.75" customHeight="1">
      <c r="E726" s="42"/>
    </row>
    <row r="727" ht="15.75" customHeight="1">
      <c r="E727" s="42"/>
    </row>
    <row r="728" ht="15.75" customHeight="1">
      <c r="E728" s="42"/>
    </row>
    <row r="729" ht="15.75" customHeight="1">
      <c r="E729" s="42"/>
    </row>
    <row r="730" ht="15.75" customHeight="1">
      <c r="E730" s="42"/>
    </row>
    <row r="731" ht="15.75" customHeight="1">
      <c r="E731" s="42"/>
    </row>
    <row r="732" ht="15.75" customHeight="1">
      <c r="E732" s="42"/>
    </row>
    <row r="733" ht="15.75" customHeight="1">
      <c r="E733" s="42"/>
    </row>
    <row r="734" ht="15.75" customHeight="1">
      <c r="E734" s="42"/>
    </row>
    <row r="735" ht="15.75" customHeight="1">
      <c r="E735" s="42"/>
    </row>
    <row r="736" ht="15.75" customHeight="1">
      <c r="E736" s="42"/>
    </row>
    <row r="737" ht="15.75" customHeight="1">
      <c r="E737" s="42"/>
    </row>
    <row r="738" ht="15.75" customHeight="1">
      <c r="E738" s="42"/>
    </row>
    <row r="739" ht="15.75" customHeight="1">
      <c r="E739" s="42"/>
    </row>
    <row r="740" ht="15.75" customHeight="1">
      <c r="E740" s="42"/>
    </row>
    <row r="741" ht="15.75" customHeight="1">
      <c r="E741" s="42"/>
    </row>
    <row r="742" ht="15.75" customHeight="1">
      <c r="E742" s="42"/>
    </row>
    <row r="743" ht="15.75" customHeight="1">
      <c r="E743" s="42"/>
    </row>
    <row r="744" ht="15.75" customHeight="1">
      <c r="E744" s="42"/>
    </row>
    <row r="745" ht="15.75" customHeight="1">
      <c r="E745" s="42"/>
    </row>
    <row r="746" ht="15.75" customHeight="1">
      <c r="E746" s="42"/>
    </row>
    <row r="747" ht="15.75" customHeight="1">
      <c r="E747" s="42"/>
    </row>
    <row r="748" ht="15.75" customHeight="1">
      <c r="E748" s="42"/>
    </row>
    <row r="749" ht="15.75" customHeight="1">
      <c r="E749" s="42"/>
    </row>
    <row r="750" ht="15.75" customHeight="1">
      <c r="E750" s="42"/>
    </row>
    <row r="751" ht="15.75" customHeight="1">
      <c r="E751" s="42"/>
    </row>
    <row r="752" ht="15.75" customHeight="1">
      <c r="E752" s="42"/>
    </row>
    <row r="753" ht="15.75" customHeight="1">
      <c r="E753" s="42"/>
    </row>
    <row r="754" ht="15.75" customHeight="1">
      <c r="E754" s="42"/>
    </row>
    <row r="755" ht="15.75" customHeight="1">
      <c r="E755" s="42"/>
    </row>
    <row r="756" ht="15.75" customHeight="1">
      <c r="E756" s="42"/>
    </row>
    <row r="757" ht="15.75" customHeight="1">
      <c r="E757" s="42"/>
    </row>
    <row r="758" ht="15.75" customHeight="1">
      <c r="E758" s="42"/>
    </row>
    <row r="759" ht="15.75" customHeight="1">
      <c r="E759" s="42"/>
    </row>
    <row r="760" ht="15.75" customHeight="1">
      <c r="E760" s="42"/>
    </row>
    <row r="761" ht="15.75" customHeight="1">
      <c r="E761" s="42"/>
    </row>
    <row r="762" ht="15.75" customHeight="1">
      <c r="E762" s="42"/>
    </row>
    <row r="763" ht="15.75" customHeight="1">
      <c r="E763" s="42"/>
    </row>
    <row r="764" ht="15.75" customHeight="1">
      <c r="E764" s="42"/>
    </row>
    <row r="765" ht="15.75" customHeight="1">
      <c r="E765" s="42"/>
    </row>
    <row r="766" ht="15.75" customHeight="1">
      <c r="E766" s="42"/>
    </row>
    <row r="767" ht="15.75" customHeight="1">
      <c r="E767" s="42"/>
    </row>
    <row r="768" ht="15.75" customHeight="1">
      <c r="E768" s="42"/>
    </row>
    <row r="769" ht="15.75" customHeight="1">
      <c r="E769" s="42"/>
    </row>
    <row r="770" ht="15.75" customHeight="1">
      <c r="E770" s="42"/>
    </row>
    <row r="771" ht="15.75" customHeight="1">
      <c r="E771" s="42"/>
    </row>
    <row r="772" ht="15.75" customHeight="1">
      <c r="E772" s="42"/>
    </row>
    <row r="773" ht="15.75" customHeight="1">
      <c r="E773" s="42"/>
    </row>
    <row r="774" ht="15.75" customHeight="1">
      <c r="E774" s="42"/>
    </row>
    <row r="775" ht="15.75" customHeight="1">
      <c r="E775" s="42"/>
    </row>
    <row r="776" ht="15.75" customHeight="1">
      <c r="E776" s="42"/>
    </row>
    <row r="777" ht="15.75" customHeight="1">
      <c r="E777" s="42"/>
    </row>
    <row r="778" ht="15.75" customHeight="1">
      <c r="E778" s="42"/>
    </row>
    <row r="779" ht="15.75" customHeight="1">
      <c r="E779" s="42"/>
    </row>
    <row r="780" ht="15.75" customHeight="1">
      <c r="E780" s="42"/>
    </row>
    <row r="781" ht="15.75" customHeight="1">
      <c r="E781" s="42"/>
    </row>
    <row r="782" ht="15.75" customHeight="1">
      <c r="E782" s="42"/>
    </row>
    <row r="783" ht="15.75" customHeight="1">
      <c r="E783" s="42"/>
    </row>
    <row r="784" ht="15.75" customHeight="1">
      <c r="E784" s="42"/>
    </row>
    <row r="785" ht="15.75" customHeight="1">
      <c r="E785" s="42"/>
    </row>
    <row r="786" ht="15.75" customHeight="1">
      <c r="E786" s="42"/>
    </row>
    <row r="787" ht="15.75" customHeight="1">
      <c r="E787" s="42"/>
    </row>
    <row r="788" ht="15.75" customHeight="1">
      <c r="E788" s="42"/>
    </row>
    <row r="789" ht="15.75" customHeight="1">
      <c r="E789" s="42"/>
    </row>
    <row r="790" ht="15.75" customHeight="1">
      <c r="E790" s="42"/>
    </row>
    <row r="791" ht="15.75" customHeight="1">
      <c r="E791" s="42"/>
    </row>
    <row r="792" ht="15.75" customHeight="1">
      <c r="E792" s="42"/>
    </row>
    <row r="793" ht="15.75" customHeight="1">
      <c r="E793" s="42"/>
    </row>
    <row r="794" ht="15.75" customHeight="1">
      <c r="E794" s="42"/>
    </row>
    <row r="795" ht="15.75" customHeight="1">
      <c r="E795" s="42"/>
    </row>
    <row r="796" ht="15.75" customHeight="1">
      <c r="E796" s="42"/>
    </row>
    <row r="797" ht="15.75" customHeight="1">
      <c r="E797" s="42"/>
    </row>
    <row r="798" ht="15.75" customHeight="1">
      <c r="E798" s="42"/>
    </row>
    <row r="799" ht="15.75" customHeight="1">
      <c r="E799" s="42"/>
    </row>
    <row r="800" ht="15.75" customHeight="1">
      <c r="E800" s="42"/>
    </row>
    <row r="801" ht="15.75" customHeight="1">
      <c r="E801" s="42"/>
    </row>
    <row r="802" ht="15.75" customHeight="1">
      <c r="E802" s="42"/>
    </row>
    <row r="803" ht="15.75" customHeight="1">
      <c r="E803" s="42"/>
    </row>
    <row r="804" ht="15.75" customHeight="1">
      <c r="E804" s="42"/>
    </row>
    <row r="805" ht="15.75" customHeight="1">
      <c r="E805" s="42"/>
    </row>
    <row r="806" ht="15.75" customHeight="1">
      <c r="E806" s="42"/>
    </row>
    <row r="807" ht="15.75" customHeight="1">
      <c r="E807" s="42"/>
    </row>
    <row r="808" ht="15.75" customHeight="1">
      <c r="E808" s="42"/>
    </row>
    <row r="809" ht="15.75" customHeight="1">
      <c r="E809" s="42"/>
    </row>
    <row r="810" ht="15.75" customHeight="1">
      <c r="E810" s="42"/>
    </row>
    <row r="811" ht="15.75" customHeight="1">
      <c r="E811" s="42"/>
    </row>
    <row r="812" ht="15.75" customHeight="1">
      <c r="E812" s="42"/>
    </row>
    <row r="813" ht="15.75" customHeight="1">
      <c r="E813" s="42"/>
    </row>
    <row r="814" ht="15.75" customHeight="1">
      <c r="E814" s="42"/>
    </row>
    <row r="815" ht="15.75" customHeight="1">
      <c r="E815" s="42"/>
    </row>
    <row r="816" ht="15.75" customHeight="1">
      <c r="E816" s="42"/>
    </row>
    <row r="817" ht="15.75" customHeight="1">
      <c r="E817" s="42"/>
    </row>
    <row r="818" ht="15.75" customHeight="1">
      <c r="E818" s="42"/>
    </row>
    <row r="819" ht="15.75" customHeight="1">
      <c r="E819" s="42"/>
    </row>
    <row r="820" ht="15.75" customHeight="1">
      <c r="E820" s="42"/>
    </row>
    <row r="821" ht="15.75" customHeight="1">
      <c r="E821" s="42"/>
    </row>
    <row r="822" ht="15.75" customHeight="1">
      <c r="E822" s="42"/>
    </row>
    <row r="823" ht="15.75" customHeight="1">
      <c r="E823" s="42"/>
    </row>
    <row r="824" ht="15.75" customHeight="1">
      <c r="E824" s="42"/>
    </row>
    <row r="825" ht="15.75" customHeight="1">
      <c r="E825" s="42"/>
    </row>
    <row r="826" ht="15.75" customHeight="1">
      <c r="E826" s="42"/>
    </row>
    <row r="827" ht="15.75" customHeight="1">
      <c r="E827" s="42"/>
    </row>
    <row r="828" ht="15.75" customHeight="1">
      <c r="E828" s="42"/>
    </row>
    <row r="829" ht="15.75" customHeight="1">
      <c r="E829" s="42"/>
    </row>
    <row r="830" ht="15.75" customHeight="1">
      <c r="E830" s="42"/>
    </row>
    <row r="831" ht="15.75" customHeight="1">
      <c r="E831" s="42"/>
    </row>
    <row r="832" ht="15.75" customHeight="1">
      <c r="E832" s="42"/>
    </row>
    <row r="833" ht="15.75" customHeight="1">
      <c r="E833" s="42"/>
    </row>
    <row r="834" ht="15.75" customHeight="1">
      <c r="E834" s="42"/>
    </row>
    <row r="835" ht="15.75" customHeight="1">
      <c r="E835" s="42"/>
    </row>
    <row r="836" ht="15.75" customHeight="1">
      <c r="E836" s="42"/>
    </row>
    <row r="837" ht="15.75" customHeight="1">
      <c r="E837" s="42"/>
    </row>
    <row r="838" ht="15.75" customHeight="1">
      <c r="E838" s="42"/>
    </row>
    <row r="839" ht="15.75" customHeight="1">
      <c r="E839" s="42"/>
    </row>
    <row r="840" ht="15.75" customHeight="1">
      <c r="E840" s="42"/>
    </row>
    <row r="841" ht="15.75" customHeight="1">
      <c r="E841" s="42"/>
    </row>
    <row r="842" ht="15.75" customHeight="1">
      <c r="E842" s="42"/>
    </row>
    <row r="843" ht="15.75" customHeight="1">
      <c r="E843" s="42"/>
    </row>
    <row r="844" ht="15.75" customHeight="1">
      <c r="E844" s="42"/>
    </row>
    <row r="845" ht="15.75" customHeight="1">
      <c r="E845" s="42"/>
    </row>
    <row r="846" ht="15.75" customHeight="1">
      <c r="E846" s="42"/>
    </row>
    <row r="847" ht="15.75" customHeight="1">
      <c r="E847" s="42"/>
    </row>
    <row r="848" ht="15.75" customHeight="1">
      <c r="E848" s="42"/>
    </row>
    <row r="849" ht="15.75" customHeight="1">
      <c r="E849" s="42"/>
    </row>
    <row r="850" ht="15.75" customHeight="1">
      <c r="E850" s="42"/>
    </row>
    <row r="851" ht="15.75" customHeight="1">
      <c r="E851" s="42"/>
    </row>
    <row r="852" ht="15.75" customHeight="1">
      <c r="E852" s="42"/>
    </row>
    <row r="853" ht="15.75" customHeight="1">
      <c r="E853" s="42"/>
    </row>
    <row r="854" ht="15.75" customHeight="1">
      <c r="E854" s="42"/>
    </row>
    <row r="855" ht="15.75" customHeight="1">
      <c r="E855" s="42"/>
    </row>
    <row r="856" ht="15.75" customHeight="1">
      <c r="E856" s="42"/>
    </row>
    <row r="857" ht="15.75" customHeight="1">
      <c r="E857" s="42"/>
    </row>
    <row r="858" ht="15.75" customHeight="1">
      <c r="E858" s="42"/>
    </row>
    <row r="859" ht="15.75" customHeight="1">
      <c r="E859" s="42"/>
    </row>
    <row r="860" ht="15.75" customHeight="1">
      <c r="E860" s="42"/>
    </row>
    <row r="861" ht="15.75" customHeight="1">
      <c r="E861" s="42"/>
    </row>
    <row r="862" ht="15.75" customHeight="1">
      <c r="E862" s="42"/>
    </row>
    <row r="863" ht="15.75" customHeight="1">
      <c r="E863" s="42"/>
    </row>
    <row r="864" ht="15.75" customHeight="1">
      <c r="E864" s="42"/>
    </row>
    <row r="865" ht="15.75" customHeight="1">
      <c r="E865" s="42"/>
    </row>
    <row r="866" ht="15.75" customHeight="1">
      <c r="E866" s="42"/>
    </row>
    <row r="867" ht="15.75" customHeight="1">
      <c r="E867" s="42"/>
    </row>
    <row r="868" ht="15.75" customHeight="1">
      <c r="E868" s="42"/>
    </row>
    <row r="869" ht="15.75" customHeight="1">
      <c r="E869" s="42"/>
    </row>
    <row r="870" ht="15.75" customHeight="1">
      <c r="E870" s="42"/>
    </row>
    <row r="871" ht="15.75" customHeight="1">
      <c r="E871" s="42"/>
    </row>
    <row r="872" ht="15.75" customHeight="1">
      <c r="E872" s="42"/>
    </row>
    <row r="873" ht="15.75" customHeight="1">
      <c r="E873" s="42"/>
    </row>
    <row r="874" ht="15.75" customHeight="1">
      <c r="E874" s="42"/>
    </row>
    <row r="875" ht="15.75" customHeight="1">
      <c r="E875" s="42"/>
    </row>
    <row r="876" ht="15.75" customHeight="1">
      <c r="E876" s="42"/>
    </row>
    <row r="877" ht="15.75" customHeight="1">
      <c r="E877" s="42"/>
    </row>
    <row r="878" ht="15.75" customHeight="1">
      <c r="E878" s="42"/>
    </row>
    <row r="879" ht="15.75" customHeight="1">
      <c r="E879" s="42"/>
    </row>
    <row r="880" ht="15.75" customHeight="1">
      <c r="E880" s="42"/>
    </row>
    <row r="881" ht="15.75" customHeight="1">
      <c r="E881" s="42"/>
    </row>
    <row r="882" ht="15.75" customHeight="1">
      <c r="E882" s="42"/>
    </row>
    <row r="883" ht="15.75" customHeight="1">
      <c r="E883" s="42"/>
    </row>
    <row r="884" ht="15.75" customHeight="1">
      <c r="E884" s="42"/>
    </row>
    <row r="885" ht="15.75" customHeight="1">
      <c r="E885" s="42"/>
    </row>
    <row r="886" ht="15.75" customHeight="1">
      <c r="E886" s="42"/>
    </row>
    <row r="887" ht="15.75" customHeight="1">
      <c r="E887" s="42"/>
    </row>
    <row r="888" ht="15.75" customHeight="1">
      <c r="E888" s="42"/>
    </row>
    <row r="889" ht="15.75" customHeight="1">
      <c r="E889" s="42"/>
    </row>
    <row r="890" ht="15.75" customHeight="1">
      <c r="E890" s="42"/>
    </row>
    <row r="891" ht="15.75" customHeight="1">
      <c r="E891" s="42"/>
    </row>
    <row r="892" ht="15.75" customHeight="1">
      <c r="E892" s="42"/>
    </row>
    <row r="893" ht="15.75" customHeight="1">
      <c r="E893" s="42"/>
    </row>
    <row r="894" ht="15.75" customHeight="1">
      <c r="E894" s="42"/>
    </row>
    <row r="895" ht="15.75" customHeight="1">
      <c r="E895" s="42"/>
    </row>
    <row r="896" ht="15.75" customHeight="1">
      <c r="E896" s="42"/>
    </row>
    <row r="897" ht="15.75" customHeight="1">
      <c r="E897" s="42"/>
    </row>
    <row r="898" ht="15.75" customHeight="1">
      <c r="E898" s="42"/>
    </row>
    <row r="899" ht="15.75" customHeight="1">
      <c r="E899" s="42"/>
    </row>
    <row r="900" ht="15.75" customHeight="1">
      <c r="E900" s="42"/>
    </row>
    <row r="901" ht="15.75" customHeight="1">
      <c r="E901" s="42"/>
    </row>
    <row r="902" ht="15.75" customHeight="1">
      <c r="E902" s="42"/>
    </row>
    <row r="903" ht="15.75" customHeight="1">
      <c r="E903" s="42"/>
    </row>
    <row r="904" ht="15.75" customHeight="1">
      <c r="E904" s="42"/>
    </row>
    <row r="905" ht="15.75" customHeight="1">
      <c r="E905" s="42"/>
    </row>
    <row r="906" ht="15.75" customHeight="1">
      <c r="E906" s="42"/>
    </row>
    <row r="907" ht="15.75" customHeight="1">
      <c r="E907" s="42"/>
    </row>
    <row r="908" ht="15.75" customHeight="1">
      <c r="E908" s="42"/>
    </row>
    <row r="909" ht="15.75" customHeight="1">
      <c r="E909" s="42"/>
    </row>
    <row r="910" ht="15.75" customHeight="1">
      <c r="E910" s="42"/>
    </row>
    <row r="911" ht="15.75" customHeight="1">
      <c r="E911" s="42"/>
    </row>
    <row r="912" ht="15.75" customHeight="1">
      <c r="E912" s="42"/>
    </row>
    <row r="913" ht="15.75" customHeight="1">
      <c r="E913" s="42"/>
    </row>
    <row r="914" ht="15.75" customHeight="1">
      <c r="E914" s="42"/>
    </row>
    <row r="915" ht="15.75" customHeight="1">
      <c r="E915" s="42"/>
    </row>
    <row r="916" ht="15.75" customHeight="1">
      <c r="E916" s="42"/>
    </row>
    <row r="917" ht="15.75" customHeight="1">
      <c r="E917" s="42"/>
    </row>
    <row r="918" ht="15.75" customHeight="1">
      <c r="E918" s="42"/>
    </row>
    <row r="919" ht="15.75" customHeight="1">
      <c r="E919" s="42"/>
    </row>
    <row r="920" ht="15.75" customHeight="1">
      <c r="E920" s="42"/>
    </row>
    <row r="921" ht="15.75" customHeight="1">
      <c r="E921" s="42"/>
    </row>
    <row r="922" ht="15.75" customHeight="1">
      <c r="E922" s="42"/>
    </row>
    <row r="923" ht="15.75" customHeight="1">
      <c r="E923" s="42"/>
    </row>
    <row r="924" ht="15.75" customHeight="1">
      <c r="E924" s="42"/>
    </row>
    <row r="925" ht="15.75" customHeight="1">
      <c r="E925" s="42"/>
    </row>
    <row r="926" ht="15.75" customHeight="1">
      <c r="E926" s="42"/>
    </row>
    <row r="927" ht="15.75" customHeight="1">
      <c r="E927" s="42"/>
    </row>
    <row r="928" ht="15.75" customHeight="1">
      <c r="E928" s="42"/>
    </row>
    <row r="929" ht="15.75" customHeight="1">
      <c r="E929" s="42"/>
    </row>
    <row r="930" ht="15.75" customHeight="1">
      <c r="E930" s="42"/>
    </row>
    <row r="931" ht="15.75" customHeight="1">
      <c r="E931" s="42"/>
    </row>
    <row r="932" ht="15.75" customHeight="1">
      <c r="E932" s="42"/>
    </row>
    <row r="933" ht="15.75" customHeight="1">
      <c r="E933" s="42"/>
    </row>
    <row r="934" ht="15.75" customHeight="1">
      <c r="E934" s="42"/>
    </row>
    <row r="935" ht="15.75" customHeight="1">
      <c r="E935" s="42"/>
    </row>
    <row r="936" ht="15.75" customHeight="1">
      <c r="E936" s="42"/>
    </row>
    <row r="937" ht="15.75" customHeight="1">
      <c r="E937" s="42"/>
    </row>
    <row r="938" ht="15.75" customHeight="1">
      <c r="E938" s="42"/>
    </row>
    <row r="939" ht="15.75" customHeight="1">
      <c r="E939" s="42"/>
    </row>
    <row r="940" ht="15.75" customHeight="1">
      <c r="E940" s="42"/>
    </row>
    <row r="941" ht="15.75" customHeight="1">
      <c r="E941" s="42"/>
    </row>
    <row r="942" ht="15.75" customHeight="1">
      <c r="E942" s="42"/>
    </row>
    <row r="943" ht="15.75" customHeight="1">
      <c r="E943" s="42"/>
    </row>
    <row r="944" ht="15.75" customHeight="1">
      <c r="E944" s="42"/>
    </row>
    <row r="945" ht="15.75" customHeight="1">
      <c r="E945" s="42"/>
    </row>
    <row r="946" ht="15.75" customHeight="1">
      <c r="E946" s="42"/>
    </row>
    <row r="947" ht="15.75" customHeight="1">
      <c r="E947" s="42"/>
    </row>
    <row r="948" ht="15.75" customHeight="1">
      <c r="E948" s="42"/>
    </row>
    <row r="949" ht="15.75" customHeight="1">
      <c r="E949" s="42"/>
    </row>
    <row r="950" ht="15.75" customHeight="1">
      <c r="E950" s="42"/>
    </row>
    <row r="951" ht="15.75" customHeight="1">
      <c r="E951" s="42"/>
    </row>
    <row r="952" ht="15.75" customHeight="1">
      <c r="E952" s="42"/>
    </row>
    <row r="953" ht="15.75" customHeight="1">
      <c r="E953" s="42"/>
    </row>
    <row r="954" ht="15.75" customHeight="1">
      <c r="E954" s="42"/>
    </row>
    <row r="955" ht="15.75" customHeight="1">
      <c r="E955" s="42"/>
    </row>
    <row r="956" ht="15.75" customHeight="1">
      <c r="E956" s="42"/>
    </row>
    <row r="957" ht="15.75" customHeight="1">
      <c r="E957" s="42"/>
    </row>
    <row r="958" ht="15.75" customHeight="1">
      <c r="E958" s="42"/>
    </row>
    <row r="959" ht="15.75" customHeight="1">
      <c r="E959" s="42"/>
    </row>
    <row r="960" ht="15.75" customHeight="1">
      <c r="E960" s="42"/>
    </row>
    <row r="961" ht="15.75" customHeight="1">
      <c r="E961" s="42"/>
    </row>
    <row r="962" ht="15.75" customHeight="1">
      <c r="E962" s="42"/>
    </row>
    <row r="963" ht="15.75" customHeight="1">
      <c r="E963" s="42"/>
    </row>
    <row r="964" ht="15.75" customHeight="1">
      <c r="E964" s="42"/>
    </row>
    <row r="965" ht="15.75" customHeight="1">
      <c r="E965" s="42"/>
    </row>
    <row r="966" ht="15.75" customHeight="1">
      <c r="E966" s="42"/>
    </row>
    <row r="967" ht="15.75" customHeight="1">
      <c r="E967" s="42"/>
    </row>
    <row r="968" ht="15.75" customHeight="1">
      <c r="E968" s="42"/>
    </row>
    <row r="969" ht="15.75" customHeight="1">
      <c r="E969" s="42"/>
    </row>
    <row r="970" ht="15.75" customHeight="1">
      <c r="E970" s="42"/>
    </row>
    <row r="971" ht="15.75" customHeight="1">
      <c r="E971" s="42"/>
    </row>
    <row r="972" ht="15.75" customHeight="1">
      <c r="E972" s="42"/>
    </row>
    <row r="973" ht="15.75" customHeight="1">
      <c r="E973" s="42"/>
    </row>
    <row r="974" ht="15.75" customHeight="1">
      <c r="E974" s="42"/>
    </row>
    <row r="975" ht="15.75" customHeight="1">
      <c r="E975" s="42"/>
    </row>
    <row r="976" ht="15.75" customHeight="1">
      <c r="E976" s="42"/>
    </row>
    <row r="977" ht="15.75" customHeight="1">
      <c r="E977" s="42"/>
    </row>
    <row r="978" ht="15.75" customHeight="1">
      <c r="E978" s="42"/>
    </row>
    <row r="979" ht="15.75" customHeight="1">
      <c r="E979" s="42"/>
    </row>
    <row r="980" ht="15.75" customHeight="1">
      <c r="E980" s="42"/>
    </row>
    <row r="981" ht="15.75" customHeight="1">
      <c r="E981" s="42"/>
    </row>
    <row r="982" ht="15.75" customHeight="1">
      <c r="E982" s="42"/>
    </row>
  </sheetData>
  <customSheetViews>
    <customSheetView guid="{9F9E23BA-F345-4523-AD55-520764DB2F53}" filter="1" showAutoFilter="1">
      <autoFilter ref="$A$2:$W$353"/>
    </customSheetView>
  </customSheetViews>
  <mergeCells count="1">
    <mergeCell ref="A1:W1"/>
  </mergeCells>
  <conditionalFormatting sqref="T3:T352">
    <cfRule type="cellIs" dxfId="6" priority="1" operator="greaterThanOrEqual">
      <formula>1</formula>
    </cfRule>
  </conditionalFormatting>
  <conditionalFormatting sqref="T3:T352">
    <cfRule type="cellIs" dxfId="7" priority="2" operator="between">
      <formula>0.8</formula>
      <formula>0.999999</formula>
    </cfRule>
  </conditionalFormatting>
  <conditionalFormatting sqref="T3:T352">
    <cfRule type="cellIs" dxfId="8" priority="3" operator="lessThan">
      <formula>0.8</formula>
    </cfRule>
  </conditionalFormatting>
  <printOptions/>
  <pageMargins bottom="0.25" footer="0.0" header="0.0" left="0.25" right="0.25" top="0.25"/>
  <pageSetup fitToHeight="0" paperSize="9"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0.71"/>
    <col customWidth="1" min="2" max="2" width="13.57"/>
    <col customWidth="1" min="3" max="3" width="10.29"/>
    <col customWidth="1" min="4" max="4" width="10.0"/>
    <col customWidth="1" min="5" max="5" width="8.71"/>
    <col customWidth="1" min="6" max="6" width="11.14"/>
    <col customWidth="1" min="7" max="7" width="12.29"/>
    <col customWidth="1" min="8" max="8" width="11.86"/>
    <col customWidth="1" min="9" max="9" width="11.29"/>
    <col customWidth="1" min="10" max="10" width="9.14"/>
    <col customWidth="1" min="11" max="11" width="15.57"/>
    <col customWidth="1" min="12" max="12" width="16.0"/>
    <col customWidth="1" min="13" max="13" width="13.43"/>
    <col customWidth="1" min="14" max="14" width="19.43"/>
    <col customWidth="1" min="15" max="15" width="14.57"/>
    <col customWidth="1" min="16" max="16" width="14.86"/>
    <col customWidth="1" min="17" max="17" width="14.0"/>
    <col customWidth="1" min="18" max="18" width="13.86"/>
    <col customWidth="1" min="19" max="19" width="12.57"/>
    <col customWidth="1" min="20" max="20" width="7.71"/>
    <col customWidth="1" min="21" max="21" width="17.86"/>
    <col customWidth="1" min="22" max="25" width="8.71"/>
  </cols>
  <sheetData>
    <row r="1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</row>
    <row r="2">
      <c r="A2" s="5" t="s">
        <v>2</v>
      </c>
      <c r="B2" s="5" t="s">
        <v>4</v>
      </c>
      <c r="C2" s="5" t="s">
        <v>98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22</v>
      </c>
      <c r="U2" s="5" t="s">
        <v>23</v>
      </c>
      <c r="V2" s="5" t="s">
        <v>24</v>
      </c>
    </row>
    <row r="3">
      <c r="A3" s="6">
        <v>46275.0</v>
      </c>
      <c r="B3" s="9" t="s">
        <v>29</v>
      </c>
      <c r="C3" s="72">
        <v>4.0</v>
      </c>
      <c r="D3" s="73">
        <v>2620000.0</v>
      </c>
      <c r="E3" s="18">
        <v>0.42</v>
      </c>
      <c r="F3" s="11">
        <v>10.0</v>
      </c>
      <c r="G3" s="18">
        <v>0.22</v>
      </c>
      <c r="H3" s="11">
        <v>33.0</v>
      </c>
      <c r="I3" s="18">
        <v>0.69</v>
      </c>
      <c r="J3" s="11">
        <v>2660.0</v>
      </c>
      <c r="K3" s="11">
        <v>1592.0</v>
      </c>
      <c r="L3" s="74">
        <v>0.88</v>
      </c>
      <c r="M3" s="11">
        <v>84.0</v>
      </c>
      <c r="N3" s="74">
        <v>1.56</v>
      </c>
      <c r="O3" s="11">
        <v>0.92</v>
      </c>
      <c r="P3" s="15">
        <v>0.85</v>
      </c>
      <c r="Q3" s="18">
        <v>10.0</v>
      </c>
      <c r="R3" s="75">
        <f t="shared" ref="R3:R5" si="1">SUM(E3,G3,I3,L3,N3,O3,P3)</f>
        <v>5.54</v>
      </c>
      <c r="S3" s="17">
        <f t="shared" ref="S3:S5" si="2">IFERROR(R3/10,0)</f>
        <v>0.554</v>
      </c>
      <c r="T3" s="14">
        <f t="shared" ref="T3:T5" si="3">R3-10</f>
        <v>-4.46</v>
      </c>
      <c r="U3" s="9" t="str">
        <f t="shared" ref="U3:U6" si="4">IF(S3&gt;=1,"Achieved",IF(S3&gt;=0.7,"Near Target",IF(S3&gt;=0.5,"Average","Low Performance")))</f>
        <v>Average</v>
      </c>
      <c r="V3" s="9"/>
    </row>
    <row r="4">
      <c r="A4" s="6">
        <v>46275.0</v>
      </c>
      <c r="B4" s="18" t="s">
        <v>40</v>
      </c>
      <c r="C4" s="72">
        <v>4.0</v>
      </c>
      <c r="D4" s="73">
        <f>50000+18000</f>
        <v>68000</v>
      </c>
      <c r="E4" s="18">
        <v>0.17</v>
      </c>
      <c r="F4" s="11">
        <v>3.0</v>
      </c>
      <c r="G4" s="18">
        <v>0.08</v>
      </c>
      <c r="H4" s="11">
        <v>16.0</v>
      </c>
      <c r="I4" s="18">
        <v>0.42</v>
      </c>
      <c r="J4" s="11">
        <v>2262.0</v>
      </c>
      <c r="K4" s="11">
        <v>1660.0</v>
      </c>
      <c r="L4" s="74">
        <v>0.92</v>
      </c>
      <c r="M4" s="11">
        <v>72.0</v>
      </c>
      <c r="N4" s="74">
        <v>1.33</v>
      </c>
      <c r="O4" s="11">
        <v>0.97</v>
      </c>
      <c r="P4" s="15">
        <v>0.94</v>
      </c>
      <c r="Q4" s="18">
        <v>10.0</v>
      </c>
      <c r="R4" s="75">
        <f t="shared" si="1"/>
        <v>4.83</v>
      </c>
      <c r="S4" s="17">
        <f t="shared" si="2"/>
        <v>0.483</v>
      </c>
      <c r="T4" s="14">
        <f t="shared" si="3"/>
        <v>-5.17</v>
      </c>
      <c r="U4" s="9" t="str">
        <f t="shared" si="4"/>
        <v>Low Performance</v>
      </c>
      <c r="V4" s="9"/>
    </row>
    <row r="5">
      <c r="A5" s="6">
        <v>46275.0</v>
      </c>
      <c r="B5" s="18" t="s">
        <v>48</v>
      </c>
      <c r="C5" s="72">
        <v>4.0</v>
      </c>
      <c r="D5" s="73">
        <v>150000.0</v>
      </c>
      <c r="E5" s="18">
        <v>0.17</v>
      </c>
      <c r="F5" s="11">
        <v>8.0</v>
      </c>
      <c r="G5" s="18">
        <v>0.22</v>
      </c>
      <c r="H5" s="11">
        <v>21.0</v>
      </c>
      <c r="I5" s="18">
        <v>0.5</v>
      </c>
      <c r="J5" s="11">
        <v>1685.0</v>
      </c>
      <c r="K5" s="11">
        <v>1380.0</v>
      </c>
      <c r="L5" s="74">
        <v>0.77</v>
      </c>
      <c r="M5" s="11">
        <v>65.0</v>
      </c>
      <c r="N5" s="74">
        <v>1.2</v>
      </c>
      <c r="O5" s="11">
        <v>0.89</v>
      </c>
      <c r="P5" s="15">
        <v>0.77</v>
      </c>
      <c r="Q5" s="18">
        <v>10.0</v>
      </c>
      <c r="R5" s="75">
        <f t="shared" si="1"/>
        <v>4.52</v>
      </c>
      <c r="S5" s="17">
        <f t="shared" si="2"/>
        <v>0.452</v>
      </c>
      <c r="T5" s="14">
        <f t="shared" si="3"/>
        <v>-5.48</v>
      </c>
      <c r="U5" s="9" t="str">
        <f t="shared" si="4"/>
        <v>Low Performance</v>
      </c>
      <c r="V5" s="9"/>
    </row>
    <row r="6" ht="15.75" customHeight="1">
      <c r="A6" s="76" t="s">
        <v>99</v>
      </c>
      <c r="B6" s="76" t="s">
        <v>100</v>
      </c>
      <c r="C6" s="77">
        <f t="shared" ref="C6:P6" si="5">SUBTOTAL(109,C3:C5)</f>
        <v>12</v>
      </c>
      <c r="D6" s="77">
        <f t="shared" si="5"/>
        <v>2838000</v>
      </c>
      <c r="E6" s="77">
        <f t="shared" si="5"/>
        <v>0.76</v>
      </c>
      <c r="F6" s="77">
        <f t="shared" si="5"/>
        <v>21</v>
      </c>
      <c r="G6" s="77">
        <f t="shared" si="5"/>
        <v>0.52</v>
      </c>
      <c r="H6" s="77">
        <f t="shared" si="5"/>
        <v>70</v>
      </c>
      <c r="I6" s="77">
        <f t="shared" si="5"/>
        <v>1.61</v>
      </c>
      <c r="J6" s="77">
        <f t="shared" si="5"/>
        <v>6607</v>
      </c>
      <c r="K6" s="77">
        <f t="shared" si="5"/>
        <v>4632</v>
      </c>
      <c r="L6" s="77">
        <f t="shared" si="5"/>
        <v>2.57</v>
      </c>
      <c r="M6" s="77">
        <f t="shared" si="5"/>
        <v>221</v>
      </c>
      <c r="N6" s="77">
        <f t="shared" si="5"/>
        <v>4.09</v>
      </c>
      <c r="O6" s="77">
        <f t="shared" si="5"/>
        <v>2.78</v>
      </c>
      <c r="P6" s="77">
        <f t="shared" si="5"/>
        <v>2.56</v>
      </c>
      <c r="Q6" s="78">
        <f t="shared" ref="Q6:R6" si="6">AVERAGE(Q3:Q5)</f>
        <v>10</v>
      </c>
      <c r="R6" s="65">
        <f t="shared" si="6"/>
        <v>4.963333333</v>
      </c>
      <c r="S6" s="79">
        <f>IFERROR(R6/10,0)</f>
        <v>0.4963333333</v>
      </c>
      <c r="T6" s="65">
        <f>R6-10</f>
        <v>-5.036666667</v>
      </c>
      <c r="U6" s="78" t="str">
        <f t="shared" si="4"/>
        <v>Low Performance</v>
      </c>
      <c r="V6" s="78"/>
    </row>
    <row r="7" ht="15.75" customHeight="1">
      <c r="D7" s="42"/>
    </row>
    <row r="8" ht="15.75" customHeight="1">
      <c r="D8" s="42"/>
    </row>
    <row r="9" ht="15.75" customHeight="1">
      <c r="D9" s="42"/>
    </row>
    <row r="10" ht="15.75" customHeight="1">
      <c r="D10" s="42"/>
    </row>
    <row r="11" ht="15.75" customHeight="1">
      <c r="D11" s="42"/>
    </row>
    <row r="12" ht="15.75" customHeight="1">
      <c r="D12" s="42"/>
    </row>
    <row r="13" ht="15.75" customHeight="1">
      <c r="D13" s="42"/>
    </row>
    <row r="14" ht="15.75" customHeight="1">
      <c r="D14" s="42"/>
    </row>
    <row r="15" ht="15.75" customHeight="1">
      <c r="D15" s="42"/>
    </row>
    <row r="16" ht="15.75" customHeight="1">
      <c r="D16" s="42"/>
    </row>
    <row r="17" ht="15.75" customHeight="1">
      <c r="D17" s="42"/>
    </row>
    <row r="18" ht="15.75" customHeight="1">
      <c r="D18" s="42"/>
    </row>
    <row r="19" ht="15.75" customHeight="1">
      <c r="D19" s="42"/>
    </row>
    <row r="20" ht="15.75" customHeight="1">
      <c r="D20" s="42"/>
    </row>
    <row r="21" ht="15.75" customHeight="1">
      <c r="D21" s="42"/>
    </row>
    <row r="22" ht="15.75" customHeight="1">
      <c r="D22" s="42"/>
    </row>
    <row r="23" ht="15.75" customHeight="1">
      <c r="D23" s="42"/>
    </row>
    <row r="24" ht="15.75" customHeight="1">
      <c r="D24" s="42"/>
    </row>
    <row r="25" ht="15.75" customHeight="1">
      <c r="D25" s="42"/>
    </row>
    <row r="26" ht="15.75" customHeight="1">
      <c r="D26" s="42"/>
    </row>
    <row r="27" ht="15.75" customHeight="1">
      <c r="D27" s="42"/>
    </row>
    <row r="28" ht="15.75" customHeight="1">
      <c r="D28" s="42"/>
    </row>
    <row r="29" ht="15.75" customHeight="1">
      <c r="D29" s="42"/>
    </row>
    <row r="30" ht="15.75" customHeight="1">
      <c r="D30" s="42"/>
    </row>
    <row r="31" ht="15.75" customHeight="1">
      <c r="D31" s="42"/>
    </row>
    <row r="32" ht="15.75" customHeight="1">
      <c r="D32" s="42"/>
    </row>
    <row r="33" ht="15.75" customHeight="1">
      <c r="D33" s="42"/>
    </row>
    <row r="34" ht="15.75" customHeight="1">
      <c r="D34" s="42"/>
    </row>
    <row r="35" ht="15.75" customHeight="1">
      <c r="D35" s="42"/>
    </row>
    <row r="36" ht="15.75" customHeight="1">
      <c r="D36" s="42"/>
    </row>
    <row r="37" ht="15.75" customHeight="1">
      <c r="D37" s="42"/>
    </row>
    <row r="38" ht="15.75" customHeight="1">
      <c r="D38" s="42"/>
    </row>
    <row r="39" ht="15.75" customHeight="1">
      <c r="D39" s="42"/>
    </row>
    <row r="40" ht="15.75" customHeight="1">
      <c r="D40" s="42"/>
    </row>
    <row r="41" ht="15.75" customHeight="1">
      <c r="D41" s="42"/>
    </row>
    <row r="42" ht="15.75" customHeight="1">
      <c r="D42" s="42"/>
    </row>
    <row r="43" ht="15.75" customHeight="1">
      <c r="D43" s="42"/>
    </row>
    <row r="44" ht="15.75" customHeight="1">
      <c r="D44" s="42"/>
    </row>
    <row r="45" ht="15.75" customHeight="1">
      <c r="D45" s="42"/>
    </row>
    <row r="46" ht="15.75" customHeight="1">
      <c r="D46" s="42"/>
    </row>
    <row r="47" ht="15.75" customHeight="1">
      <c r="D47" s="42"/>
    </row>
    <row r="48" ht="15.75" customHeight="1">
      <c r="D48" s="42"/>
    </row>
    <row r="49" ht="15.75" customHeight="1">
      <c r="D49" s="42"/>
    </row>
    <row r="50" ht="15.75" customHeight="1">
      <c r="D50" s="42"/>
    </row>
    <row r="51" ht="15.75" customHeight="1">
      <c r="D51" s="42"/>
    </row>
    <row r="52" ht="15.75" customHeight="1">
      <c r="D52" s="42"/>
    </row>
    <row r="53" ht="15.75" customHeight="1">
      <c r="D53" s="42"/>
    </row>
    <row r="54" ht="15.75" customHeight="1">
      <c r="D54" s="42"/>
    </row>
    <row r="55" ht="15.75" customHeight="1">
      <c r="D55" s="42"/>
    </row>
    <row r="56" ht="15.75" customHeight="1">
      <c r="D56" s="42"/>
    </row>
    <row r="57" ht="15.75" customHeight="1">
      <c r="D57" s="42"/>
    </row>
    <row r="58" ht="15.75" customHeight="1">
      <c r="D58" s="42"/>
    </row>
    <row r="59" ht="15.75" customHeight="1">
      <c r="D59" s="42"/>
    </row>
    <row r="60" ht="15.75" customHeight="1">
      <c r="D60" s="42"/>
    </row>
    <row r="61" ht="15.75" customHeight="1">
      <c r="D61" s="42"/>
    </row>
    <row r="62" ht="15.75" customHeight="1">
      <c r="D62" s="42"/>
    </row>
    <row r="63" ht="15.75" customHeight="1">
      <c r="D63" s="42"/>
    </row>
    <row r="64" ht="15.75" customHeight="1">
      <c r="D64" s="42"/>
    </row>
    <row r="65" ht="15.75" customHeight="1">
      <c r="D65" s="42"/>
    </row>
    <row r="66" ht="15.75" customHeight="1">
      <c r="D66" s="42"/>
    </row>
    <row r="67" ht="15.75" customHeight="1">
      <c r="D67" s="42"/>
    </row>
    <row r="68" ht="15.75" customHeight="1">
      <c r="D68" s="42"/>
    </row>
    <row r="69" ht="15.75" customHeight="1">
      <c r="D69" s="42"/>
    </row>
    <row r="70" ht="15.75" customHeight="1">
      <c r="D70" s="42"/>
    </row>
    <row r="71" ht="15.75" customHeight="1">
      <c r="D71" s="42"/>
    </row>
    <row r="72" ht="15.75" customHeight="1">
      <c r="D72" s="42"/>
    </row>
    <row r="73" ht="15.75" customHeight="1">
      <c r="D73" s="42"/>
    </row>
    <row r="74" ht="15.75" customHeight="1">
      <c r="D74" s="42"/>
    </row>
    <row r="75" ht="15.75" customHeight="1">
      <c r="D75" s="42"/>
    </row>
    <row r="76" ht="15.75" customHeight="1">
      <c r="D76" s="42"/>
    </row>
    <row r="77" ht="15.75" customHeight="1">
      <c r="D77" s="42"/>
    </row>
    <row r="78" ht="15.75" customHeight="1">
      <c r="D78" s="42"/>
    </row>
    <row r="79" ht="15.75" customHeight="1">
      <c r="D79" s="42"/>
    </row>
    <row r="80" ht="15.75" customHeight="1">
      <c r="D80" s="42"/>
    </row>
    <row r="81" ht="15.75" customHeight="1">
      <c r="D81" s="42"/>
    </row>
    <row r="82" ht="15.75" customHeight="1">
      <c r="D82" s="42"/>
    </row>
    <row r="83" ht="15.75" customHeight="1">
      <c r="D83" s="42"/>
    </row>
    <row r="84" ht="15.75" customHeight="1">
      <c r="D84" s="42"/>
    </row>
    <row r="85" ht="15.75" customHeight="1">
      <c r="D85" s="42"/>
    </row>
    <row r="86" ht="15.75" customHeight="1">
      <c r="D86" s="42"/>
    </row>
    <row r="87" ht="15.75" customHeight="1">
      <c r="D87" s="42"/>
    </row>
    <row r="88" ht="15.75" customHeight="1">
      <c r="D88" s="42"/>
    </row>
    <row r="89" ht="15.75" customHeight="1">
      <c r="D89" s="42"/>
    </row>
    <row r="90" ht="15.75" customHeight="1">
      <c r="D90" s="42"/>
    </row>
    <row r="91" ht="15.75" customHeight="1">
      <c r="D91" s="42"/>
    </row>
    <row r="92" ht="15.75" customHeight="1">
      <c r="D92" s="42"/>
    </row>
    <row r="93" ht="15.75" customHeight="1">
      <c r="D93" s="42"/>
    </row>
    <row r="94" ht="15.75" customHeight="1">
      <c r="D94" s="42"/>
    </row>
    <row r="95" ht="15.75" customHeight="1">
      <c r="D95" s="42"/>
    </row>
    <row r="96" ht="15.75" customHeight="1">
      <c r="D96" s="42"/>
    </row>
    <row r="97" ht="15.75" customHeight="1">
      <c r="D97" s="42"/>
    </row>
    <row r="98" ht="15.75" customHeight="1">
      <c r="D98" s="42"/>
    </row>
    <row r="99" ht="15.75" customHeight="1">
      <c r="D99" s="42"/>
    </row>
    <row r="100" ht="15.75" customHeight="1">
      <c r="D100" s="42"/>
    </row>
    <row r="101" ht="15.75" customHeight="1">
      <c r="D101" s="42"/>
    </row>
    <row r="102" ht="15.75" customHeight="1">
      <c r="D102" s="42"/>
    </row>
    <row r="103" ht="15.75" customHeight="1">
      <c r="D103" s="42"/>
    </row>
    <row r="104" ht="15.75" customHeight="1">
      <c r="D104" s="42"/>
    </row>
    <row r="105" ht="15.75" customHeight="1">
      <c r="D105" s="42"/>
    </row>
    <row r="106" ht="15.75" customHeight="1">
      <c r="D106" s="42"/>
    </row>
    <row r="107" ht="15.75" customHeight="1">
      <c r="D107" s="42"/>
    </row>
    <row r="108" ht="15.75" customHeight="1">
      <c r="D108" s="42"/>
    </row>
    <row r="109" ht="15.75" customHeight="1">
      <c r="D109" s="42"/>
    </row>
    <row r="110" ht="15.75" customHeight="1">
      <c r="D110" s="42"/>
    </row>
    <row r="111" ht="15.75" customHeight="1">
      <c r="D111" s="42"/>
    </row>
    <row r="112" ht="15.75" customHeight="1">
      <c r="D112" s="42"/>
    </row>
    <row r="113" ht="15.75" customHeight="1">
      <c r="D113" s="42"/>
    </row>
    <row r="114" ht="15.75" customHeight="1">
      <c r="D114" s="42"/>
    </row>
    <row r="115" ht="15.75" customHeight="1">
      <c r="D115" s="42"/>
    </row>
    <row r="116" ht="15.75" customHeight="1">
      <c r="D116" s="42"/>
    </row>
    <row r="117" ht="15.75" customHeight="1">
      <c r="D117" s="42"/>
    </row>
    <row r="118" ht="15.75" customHeight="1">
      <c r="D118" s="42"/>
    </row>
    <row r="119" ht="15.75" customHeight="1">
      <c r="D119" s="42"/>
    </row>
    <row r="120" ht="15.75" customHeight="1">
      <c r="D120" s="42"/>
    </row>
    <row r="121" ht="15.75" customHeight="1">
      <c r="D121" s="42"/>
    </row>
    <row r="122" ht="15.75" customHeight="1">
      <c r="D122" s="42"/>
    </row>
    <row r="123" ht="15.75" customHeight="1">
      <c r="D123" s="42"/>
    </row>
    <row r="124" ht="15.75" customHeight="1">
      <c r="D124" s="42"/>
    </row>
    <row r="125" ht="15.75" customHeight="1">
      <c r="D125" s="42"/>
    </row>
    <row r="126" ht="15.75" customHeight="1">
      <c r="D126" s="42"/>
    </row>
    <row r="127" ht="15.75" customHeight="1">
      <c r="D127" s="42"/>
    </row>
    <row r="128" ht="15.75" customHeight="1">
      <c r="D128" s="42"/>
    </row>
    <row r="129" ht="15.75" customHeight="1">
      <c r="D129" s="42"/>
    </row>
    <row r="130" ht="15.75" customHeight="1">
      <c r="D130" s="42"/>
    </row>
    <row r="131" ht="15.75" customHeight="1">
      <c r="D131" s="42"/>
    </row>
    <row r="132" ht="15.75" customHeight="1">
      <c r="D132" s="42"/>
    </row>
    <row r="133" ht="15.75" customHeight="1">
      <c r="D133" s="42"/>
    </row>
    <row r="134" ht="15.75" customHeight="1">
      <c r="D134" s="42"/>
    </row>
    <row r="135" ht="15.75" customHeight="1">
      <c r="D135" s="42"/>
    </row>
    <row r="136" ht="15.75" customHeight="1">
      <c r="D136" s="42"/>
    </row>
    <row r="137" ht="15.75" customHeight="1">
      <c r="D137" s="42"/>
    </row>
    <row r="138" ht="15.75" customHeight="1">
      <c r="D138" s="42"/>
    </row>
    <row r="139" ht="15.75" customHeight="1">
      <c r="D139" s="42"/>
    </row>
    <row r="140" ht="15.75" customHeight="1">
      <c r="D140" s="42"/>
    </row>
    <row r="141" ht="15.75" customHeight="1">
      <c r="D141" s="42"/>
    </row>
    <row r="142" ht="15.75" customHeight="1">
      <c r="D142" s="42"/>
    </row>
    <row r="143" ht="15.75" customHeight="1">
      <c r="D143" s="42"/>
    </row>
    <row r="144" ht="15.75" customHeight="1">
      <c r="D144" s="42"/>
    </row>
    <row r="145" ht="15.75" customHeight="1">
      <c r="D145" s="42"/>
    </row>
    <row r="146" ht="15.75" customHeight="1">
      <c r="D146" s="42"/>
    </row>
    <row r="147" ht="15.75" customHeight="1">
      <c r="D147" s="42"/>
    </row>
    <row r="148" ht="15.75" customHeight="1">
      <c r="D148" s="42"/>
    </row>
    <row r="149" ht="15.75" customHeight="1">
      <c r="D149" s="42"/>
    </row>
    <row r="150" ht="15.75" customHeight="1">
      <c r="D150" s="42"/>
    </row>
    <row r="151" ht="15.75" customHeight="1">
      <c r="D151" s="42"/>
    </row>
    <row r="152" ht="15.75" customHeight="1">
      <c r="D152" s="42"/>
    </row>
    <row r="153" ht="15.75" customHeight="1">
      <c r="D153" s="42"/>
    </row>
    <row r="154" ht="15.75" customHeight="1">
      <c r="D154" s="42"/>
    </row>
    <row r="155" ht="15.75" customHeight="1">
      <c r="D155" s="42"/>
    </row>
    <row r="156" ht="15.75" customHeight="1">
      <c r="D156" s="42"/>
    </row>
    <row r="157" ht="15.75" customHeight="1">
      <c r="D157" s="42"/>
    </row>
    <row r="158" ht="15.75" customHeight="1">
      <c r="D158" s="42"/>
    </row>
    <row r="159" ht="15.75" customHeight="1">
      <c r="D159" s="42"/>
    </row>
    <row r="160" ht="15.75" customHeight="1">
      <c r="D160" s="42"/>
    </row>
    <row r="161" ht="15.75" customHeight="1">
      <c r="D161" s="42"/>
    </row>
    <row r="162" ht="15.75" customHeight="1">
      <c r="D162" s="42"/>
    </row>
    <row r="163" ht="15.75" customHeight="1">
      <c r="D163" s="42"/>
    </row>
    <row r="164" ht="15.75" customHeight="1">
      <c r="D164" s="42"/>
    </row>
    <row r="165" ht="15.75" customHeight="1">
      <c r="D165" s="42"/>
    </row>
    <row r="166" ht="15.75" customHeight="1">
      <c r="D166" s="42"/>
    </row>
    <row r="167" ht="15.75" customHeight="1">
      <c r="D167" s="42"/>
    </row>
    <row r="168" ht="15.75" customHeight="1">
      <c r="D168" s="42"/>
    </row>
    <row r="169" ht="15.75" customHeight="1">
      <c r="D169" s="42"/>
    </row>
    <row r="170" ht="15.75" customHeight="1">
      <c r="D170" s="42"/>
    </row>
    <row r="171" ht="15.75" customHeight="1">
      <c r="D171" s="42"/>
    </row>
    <row r="172" ht="15.75" customHeight="1">
      <c r="D172" s="42"/>
    </row>
    <row r="173" ht="15.75" customHeight="1">
      <c r="D173" s="42"/>
    </row>
    <row r="174" ht="15.75" customHeight="1">
      <c r="D174" s="42"/>
    </row>
    <row r="175" ht="15.75" customHeight="1">
      <c r="D175" s="42"/>
    </row>
    <row r="176" ht="15.75" customHeight="1">
      <c r="D176" s="42"/>
    </row>
    <row r="177" ht="15.75" customHeight="1">
      <c r="D177" s="42"/>
    </row>
    <row r="178" ht="15.75" customHeight="1">
      <c r="D178" s="42"/>
    </row>
    <row r="179" ht="15.75" customHeight="1">
      <c r="D179" s="42"/>
    </row>
    <row r="180" ht="15.75" customHeight="1">
      <c r="D180" s="42"/>
    </row>
    <row r="181" ht="15.75" customHeight="1">
      <c r="D181" s="42"/>
    </row>
    <row r="182" ht="15.75" customHeight="1">
      <c r="D182" s="42"/>
    </row>
    <row r="183" ht="15.75" customHeight="1">
      <c r="D183" s="42"/>
    </row>
    <row r="184" ht="15.75" customHeight="1">
      <c r="D184" s="42"/>
    </row>
    <row r="185" ht="15.75" customHeight="1">
      <c r="D185" s="42"/>
    </row>
    <row r="186" ht="15.75" customHeight="1">
      <c r="D186" s="42"/>
    </row>
    <row r="187" ht="15.75" customHeight="1">
      <c r="D187" s="42"/>
    </row>
    <row r="188" ht="15.75" customHeight="1">
      <c r="D188" s="42"/>
    </row>
    <row r="189" ht="15.75" customHeight="1">
      <c r="D189" s="42"/>
    </row>
    <row r="190" ht="15.75" customHeight="1">
      <c r="D190" s="42"/>
    </row>
    <row r="191" ht="15.75" customHeight="1">
      <c r="D191" s="42"/>
    </row>
    <row r="192" ht="15.75" customHeight="1">
      <c r="D192" s="42"/>
    </row>
    <row r="193" ht="15.75" customHeight="1">
      <c r="D193" s="42"/>
    </row>
    <row r="194" ht="15.75" customHeight="1">
      <c r="D194" s="42"/>
    </row>
    <row r="195" ht="15.75" customHeight="1">
      <c r="D195" s="42"/>
    </row>
    <row r="196" ht="15.75" customHeight="1">
      <c r="D196" s="42"/>
    </row>
    <row r="197" ht="15.75" customHeight="1">
      <c r="D197" s="42"/>
    </row>
    <row r="198" ht="15.75" customHeight="1">
      <c r="D198" s="42"/>
    </row>
    <row r="199" ht="15.75" customHeight="1">
      <c r="D199" s="42"/>
    </row>
    <row r="200" ht="15.75" customHeight="1">
      <c r="D200" s="42"/>
    </row>
    <row r="201" ht="15.75" customHeight="1">
      <c r="D201" s="42"/>
    </row>
    <row r="202" ht="15.75" customHeight="1">
      <c r="D202" s="42"/>
    </row>
    <row r="203" ht="15.75" customHeight="1">
      <c r="D203" s="42"/>
    </row>
    <row r="204" ht="15.75" customHeight="1">
      <c r="D204" s="42"/>
    </row>
    <row r="205" ht="15.75" customHeight="1">
      <c r="D205" s="42"/>
    </row>
    <row r="206" ht="15.75" customHeight="1">
      <c r="D206" s="42"/>
    </row>
    <row r="207" ht="15.75" customHeight="1">
      <c r="D207" s="42"/>
    </row>
    <row r="208" ht="15.75" customHeight="1">
      <c r="D208" s="42"/>
    </row>
    <row r="209" ht="15.75" customHeight="1">
      <c r="D209" s="42"/>
    </row>
    <row r="210" ht="15.75" customHeight="1">
      <c r="D210" s="42"/>
    </row>
    <row r="211" ht="15.75" customHeight="1">
      <c r="D211" s="42"/>
    </row>
    <row r="212" ht="15.75" customHeight="1">
      <c r="D212" s="42"/>
    </row>
    <row r="213" ht="15.75" customHeight="1">
      <c r="D213" s="42"/>
    </row>
    <row r="214" ht="15.75" customHeight="1">
      <c r="D214" s="42"/>
    </row>
    <row r="215" ht="15.75" customHeight="1">
      <c r="D215" s="42"/>
    </row>
    <row r="216" ht="15.75" customHeight="1">
      <c r="D216" s="42"/>
    </row>
    <row r="217" ht="15.75" customHeight="1">
      <c r="D217" s="42"/>
    </row>
    <row r="218" ht="15.75" customHeight="1">
      <c r="D218" s="42"/>
    </row>
    <row r="219" ht="15.75" customHeight="1">
      <c r="D219" s="42"/>
    </row>
    <row r="220" ht="15.75" customHeight="1">
      <c r="D220" s="42"/>
    </row>
    <row r="221" ht="15.75" customHeight="1">
      <c r="D221" s="42"/>
    </row>
    <row r="222" ht="15.75" customHeight="1">
      <c r="D222" s="42"/>
    </row>
    <row r="223" ht="15.75" customHeight="1">
      <c r="D223" s="42"/>
    </row>
    <row r="224" ht="15.75" customHeight="1">
      <c r="D224" s="42"/>
    </row>
    <row r="225" ht="15.75" customHeight="1">
      <c r="D225" s="42"/>
    </row>
    <row r="226" ht="15.75" customHeight="1">
      <c r="D226" s="42"/>
    </row>
    <row r="227" ht="15.75" customHeight="1">
      <c r="D227" s="42"/>
    </row>
    <row r="228" ht="15.75" customHeight="1">
      <c r="D228" s="42"/>
    </row>
    <row r="229" ht="15.75" customHeight="1">
      <c r="D229" s="42"/>
    </row>
    <row r="230" ht="15.75" customHeight="1">
      <c r="D230" s="42"/>
    </row>
    <row r="231" ht="15.75" customHeight="1">
      <c r="D231" s="42"/>
    </row>
    <row r="232" ht="15.75" customHeight="1">
      <c r="D232" s="42"/>
    </row>
    <row r="233" ht="15.75" customHeight="1">
      <c r="D233" s="42"/>
    </row>
    <row r="234" ht="15.75" customHeight="1">
      <c r="D234" s="42"/>
    </row>
    <row r="235" ht="15.75" customHeight="1">
      <c r="D235" s="42"/>
    </row>
    <row r="236" ht="15.75" customHeight="1">
      <c r="D236" s="42"/>
    </row>
    <row r="237" ht="15.75" customHeight="1">
      <c r="D237" s="42"/>
    </row>
    <row r="238" ht="15.75" customHeight="1">
      <c r="D238" s="42"/>
    </row>
    <row r="239" ht="15.75" customHeight="1">
      <c r="D239" s="42"/>
    </row>
    <row r="240" ht="15.75" customHeight="1">
      <c r="D240" s="42"/>
    </row>
    <row r="241" ht="15.75" customHeight="1">
      <c r="D241" s="42"/>
    </row>
    <row r="242" ht="15.75" customHeight="1">
      <c r="D242" s="42"/>
    </row>
    <row r="243" ht="15.75" customHeight="1">
      <c r="D243" s="42"/>
    </row>
    <row r="244" ht="15.75" customHeight="1">
      <c r="D244" s="42"/>
    </row>
    <row r="245" ht="15.75" customHeight="1">
      <c r="D245" s="42"/>
    </row>
    <row r="246" ht="15.75" customHeight="1">
      <c r="D246" s="42"/>
    </row>
    <row r="247" ht="15.75" customHeight="1">
      <c r="D247" s="42"/>
    </row>
    <row r="248" ht="15.75" customHeight="1">
      <c r="D248" s="42"/>
    </row>
    <row r="249" ht="15.75" customHeight="1">
      <c r="D249" s="42"/>
    </row>
    <row r="250" ht="15.75" customHeight="1">
      <c r="D250" s="42"/>
    </row>
    <row r="251" ht="15.75" customHeight="1">
      <c r="D251" s="42"/>
    </row>
    <row r="252" ht="15.75" customHeight="1">
      <c r="D252" s="42"/>
    </row>
    <row r="253" ht="15.75" customHeight="1">
      <c r="D253" s="42"/>
    </row>
    <row r="254" ht="15.75" customHeight="1">
      <c r="D254" s="42"/>
    </row>
    <row r="255" ht="15.75" customHeight="1">
      <c r="D255" s="42"/>
    </row>
    <row r="256" ht="15.75" customHeight="1">
      <c r="D256" s="42"/>
    </row>
    <row r="257" ht="15.75" customHeight="1">
      <c r="D257" s="42"/>
    </row>
    <row r="258" ht="15.75" customHeight="1">
      <c r="D258" s="42"/>
    </row>
    <row r="259" ht="15.75" customHeight="1">
      <c r="D259" s="42"/>
    </row>
    <row r="260" ht="15.75" customHeight="1">
      <c r="D260" s="42"/>
    </row>
    <row r="261" ht="15.75" customHeight="1">
      <c r="D261" s="42"/>
    </row>
    <row r="262" ht="15.75" customHeight="1">
      <c r="D262" s="42"/>
    </row>
    <row r="263" ht="15.75" customHeight="1">
      <c r="D263" s="42"/>
    </row>
    <row r="264" ht="15.75" customHeight="1">
      <c r="D264" s="42"/>
    </row>
    <row r="265" ht="15.75" customHeight="1">
      <c r="D265" s="42"/>
    </row>
    <row r="266" ht="15.75" customHeight="1">
      <c r="D266" s="42"/>
    </row>
    <row r="267" ht="15.75" customHeight="1">
      <c r="D267" s="42"/>
    </row>
    <row r="268" ht="15.75" customHeight="1">
      <c r="D268" s="42"/>
    </row>
    <row r="269" ht="15.75" customHeight="1">
      <c r="D269" s="42"/>
    </row>
    <row r="270" ht="15.75" customHeight="1">
      <c r="D270" s="42"/>
    </row>
    <row r="271" ht="15.75" customHeight="1">
      <c r="D271" s="42"/>
    </row>
    <row r="272" ht="15.75" customHeight="1">
      <c r="D272" s="42"/>
    </row>
    <row r="273" ht="15.75" customHeight="1">
      <c r="D273" s="42"/>
    </row>
    <row r="274" ht="15.75" customHeight="1">
      <c r="D274" s="42"/>
    </row>
    <row r="275" ht="15.75" customHeight="1">
      <c r="D275" s="42"/>
    </row>
    <row r="276" ht="15.75" customHeight="1">
      <c r="D276" s="42"/>
    </row>
    <row r="277" ht="15.75" customHeight="1">
      <c r="D277" s="42"/>
    </row>
    <row r="278" ht="15.75" customHeight="1">
      <c r="D278" s="42"/>
    </row>
    <row r="279" ht="15.75" customHeight="1">
      <c r="D279" s="42"/>
    </row>
    <row r="280" ht="15.75" customHeight="1">
      <c r="D280" s="42"/>
    </row>
    <row r="281" ht="15.75" customHeight="1">
      <c r="D281" s="42"/>
    </row>
    <row r="282" ht="15.75" customHeight="1">
      <c r="D282" s="42"/>
    </row>
    <row r="283" ht="15.75" customHeight="1">
      <c r="D283" s="42"/>
    </row>
    <row r="284" ht="15.75" customHeight="1">
      <c r="D284" s="42"/>
    </row>
    <row r="285" ht="15.75" customHeight="1">
      <c r="D285" s="42"/>
    </row>
    <row r="286" ht="15.75" customHeight="1">
      <c r="D286" s="42"/>
    </row>
    <row r="287" ht="15.75" customHeight="1">
      <c r="D287" s="42"/>
    </row>
    <row r="288" ht="15.75" customHeight="1">
      <c r="D288" s="42"/>
    </row>
    <row r="289" ht="15.75" customHeight="1">
      <c r="D289" s="42"/>
    </row>
    <row r="290" ht="15.75" customHeight="1">
      <c r="D290" s="42"/>
    </row>
    <row r="291" ht="15.75" customHeight="1">
      <c r="D291" s="42"/>
    </row>
    <row r="292" ht="15.75" customHeight="1">
      <c r="D292" s="42"/>
    </row>
    <row r="293" ht="15.75" customHeight="1">
      <c r="D293" s="42"/>
    </row>
    <row r="294" ht="15.75" customHeight="1">
      <c r="D294" s="42"/>
    </row>
    <row r="295" ht="15.75" customHeight="1">
      <c r="D295" s="42"/>
    </row>
    <row r="296" ht="15.75" customHeight="1">
      <c r="D296" s="42"/>
    </row>
    <row r="297" ht="15.75" customHeight="1">
      <c r="D297" s="42"/>
    </row>
    <row r="298" ht="15.75" customHeight="1">
      <c r="D298" s="42"/>
    </row>
    <row r="299" ht="15.75" customHeight="1">
      <c r="D299" s="42"/>
    </row>
    <row r="300" ht="15.75" customHeight="1">
      <c r="D300" s="42"/>
    </row>
    <row r="301" ht="15.75" customHeight="1">
      <c r="D301" s="42"/>
    </row>
    <row r="302" ht="15.75" customHeight="1">
      <c r="D302" s="42"/>
    </row>
    <row r="303" ht="15.75" customHeight="1">
      <c r="D303" s="42"/>
    </row>
    <row r="304" ht="15.75" customHeight="1">
      <c r="D304" s="42"/>
    </row>
    <row r="305" ht="15.75" customHeight="1">
      <c r="D305" s="42"/>
    </row>
    <row r="306" ht="15.75" customHeight="1">
      <c r="D306" s="42"/>
    </row>
    <row r="307" ht="15.75" customHeight="1">
      <c r="D307" s="42"/>
    </row>
    <row r="308" ht="15.75" customHeight="1">
      <c r="D308" s="42"/>
    </row>
    <row r="309" ht="15.75" customHeight="1">
      <c r="D309" s="42"/>
    </row>
    <row r="310" ht="15.75" customHeight="1">
      <c r="D310" s="42"/>
    </row>
    <row r="311" ht="15.75" customHeight="1">
      <c r="D311" s="42"/>
    </row>
    <row r="312" ht="15.75" customHeight="1">
      <c r="D312" s="42"/>
    </row>
    <row r="313" ht="15.75" customHeight="1">
      <c r="D313" s="42"/>
    </row>
    <row r="314" ht="15.75" customHeight="1">
      <c r="D314" s="42"/>
    </row>
    <row r="315" ht="15.75" customHeight="1">
      <c r="D315" s="42"/>
    </row>
    <row r="316" ht="15.75" customHeight="1">
      <c r="D316" s="42"/>
    </row>
    <row r="317" ht="15.75" customHeight="1">
      <c r="D317" s="42"/>
    </row>
    <row r="318" ht="15.75" customHeight="1">
      <c r="D318" s="42"/>
    </row>
    <row r="319" ht="15.75" customHeight="1">
      <c r="D319" s="42"/>
    </row>
    <row r="320" ht="15.75" customHeight="1">
      <c r="D320" s="42"/>
    </row>
    <row r="321" ht="15.75" customHeight="1">
      <c r="D321" s="42"/>
    </row>
    <row r="322" ht="15.75" customHeight="1">
      <c r="D322" s="42"/>
    </row>
    <row r="323" ht="15.75" customHeight="1">
      <c r="D323" s="42"/>
    </row>
    <row r="324" ht="15.75" customHeight="1">
      <c r="D324" s="42"/>
    </row>
    <row r="325" ht="15.75" customHeight="1">
      <c r="D325" s="42"/>
    </row>
    <row r="326" ht="15.75" customHeight="1">
      <c r="D326" s="42"/>
    </row>
    <row r="327" ht="15.75" customHeight="1">
      <c r="D327" s="42"/>
    </row>
    <row r="328" ht="15.75" customHeight="1">
      <c r="D328" s="42"/>
    </row>
    <row r="329" ht="15.75" customHeight="1">
      <c r="D329" s="42"/>
    </row>
    <row r="330" ht="15.75" customHeight="1">
      <c r="D330" s="42"/>
    </row>
    <row r="331" ht="15.75" customHeight="1">
      <c r="D331" s="42"/>
    </row>
    <row r="332" ht="15.75" customHeight="1">
      <c r="D332" s="42"/>
    </row>
    <row r="333" ht="15.75" customHeight="1">
      <c r="D333" s="42"/>
    </row>
    <row r="334" ht="15.75" customHeight="1">
      <c r="D334" s="42"/>
    </row>
    <row r="335" ht="15.75" customHeight="1">
      <c r="D335" s="42"/>
    </row>
    <row r="336" ht="15.75" customHeight="1">
      <c r="D336" s="42"/>
    </row>
    <row r="337" ht="15.75" customHeight="1">
      <c r="D337" s="42"/>
    </row>
    <row r="338" ht="15.75" customHeight="1">
      <c r="D338" s="42"/>
    </row>
    <row r="339" ht="15.75" customHeight="1">
      <c r="D339" s="42"/>
    </row>
    <row r="340" ht="15.75" customHeight="1">
      <c r="D340" s="42"/>
    </row>
    <row r="341" ht="15.75" customHeight="1">
      <c r="D341" s="42"/>
    </row>
    <row r="342" ht="15.75" customHeight="1">
      <c r="D342" s="42"/>
    </row>
    <row r="343" ht="15.75" customHeight="1">
      <c r="D343" s="42"/>
    </row>
    <row r="344" ht="15.75" customHeight="1">
      <c r="D344" s="42"/>
    </row>
    <row r="345" ht="15.75" customHeight="1">
      <c r="D345" s="42"/>
    </row>
    <row r="346" ht="15.75" customHeight="1">
      <c r="D346" s="42"/>
    </row>
    <row r="347" ht="15.75" customHeight="1">
      <c r="D347" s="42"/>
    </row>
    <row r="348" ht="15.75" customHeight="1">
      <c r="D348" s="42"/>
    </row>
    <row r="349" ht="15.75" customHeight="1">
      <c r="D349" s="42"/>
    </row>
    <row r="350" ht="15.75" customHeight="1">
      <c r="D350" s="42"/>
    </row>
    <row r="351" ht="15.75" customHeight="1">
      <c r="D351" s="42"/>
    </row>
    <row r="352" ht="15.75" customHeight="1">
      <c r="D352" s="42"/>
    </row>
    <row r="353" ht="15.75" customHeight="1">
      <c r="D353" s="42"/>
    </row>
    <row r="354" ht="15.75" customHeight="1">
      <c r="D354" s="42"/>
    </row>
    <row r="355" ht="15.75" customHeight="1">
      <c r="D355" s="42"/>
    </row>
    <row r="356" ht="15.75" customHeight="1">
      <c r="D356" s="42"/>
    </row>
    <row r="357" ht="15.75" customHeight="1">
      <c r="D357" s="42"/>
    </row>
    <row r="358" ht="15.75" customHeight="1">
      <c r="D358" s="42"/>
    </row>
    <row r="359" ht="15.75" customHeight="1">
      <c r="D359" s="42"/>
    </row>
    <row r="360" ht="15.75" customHeight="1">
      <c r="D360" s="42"/>
    </row>
    <row r="361" ht="15.75" customHeight="1">
      <c r="D361" s="42"/>
    </row>
    <row r="362" ht="15.75" customHeight="1">
      <c r="D362" s="42"/>
    </row>
    <row r="363" ht="15.75" customHeight="1">
      <c r="D363" s="42"/>
    </row>
    <row r="364" ht="15.75" customHeight="1">
      <c r="D364" s="42"/>
    </row>
    <row r="365" ht="15.75" customHeight="1">
      <c r="D365" s="42"/>
    </row>
    <row r="366" ht="15.75" customHeight="1">
      <c r="D366" s="42"/>
    </row>
    <row r="367" ht="15.75" customHeight="1">
      <c r="D367" s="42"/>
    </row>
    <row r="368" ht="15.75" customHeight="1">
      <c r="D368" s="42"/>
    </row>
    <row r="369" ht="15.75" customHeight="1">
      <c r="D369" s="42"/>
    </row>
    <row r="370" ht="15.75" customHeight="1">
      <c r="D370" s="42"/>
    </row>
    <row r="371" ht="15.75" customHeight="1">
      <c r="D371" s="42"/>
    </row>
    <row r="372" ht="15.75" customHeight="1">
      <c r="D372" s="42"/>
    </row>
    <row r="373" ht="15.75" customHeight="1">
      <c r="D373" s="42"/>
    </row>
    <row r="374" ht="15.75" customHeight="1">
      <c r="D374" s="42"/>
    </row>
    <row r="375" ht="15.75" customHeight="1">
      <c r="D375" s="42"/>
    </row>
    <row r="376" ht="15.75" customHeight="1">
      <c r="D376" s="42"/>
    </row>
    <row r="377" ht="15.75" customHeight="1">
      <c r="D377" s="42"/>
    </row>
    <row r="378" ht="15.75" customHeight="1">
      <c r="D378" s="42"/>
    </row>
    <row r="379" ht="15.75" customHeight="1">
      <c r="D379" s="42"/>
    </row>
    <row r="380" ht="15.75" customHeight="1">
      <c r="D380" s="42"/>
    </row>
    <row r="381" ht="15.75" customHeight="1">
      <c r="D381" s="42"/>
    </row>
    <row r="382" ht="15.75" customHeight="1">
      <c r="D382" s="42"/>
    </row>
    <row r="383" ht="15.75" customHeight="1">
      <c r="D383" s="42"/>
    </row>
    <row r="384" ht="15.75" customHeight="1">
      <c r="D384" s="42"/>
    </row>
    <row r="385" ht="15.75" customHeight="1">
      <c r="D385" s="42"/>
    </row>
    <row r="386" ht="15.75" customHeight="1">
      <c r="D386" s="42"/>
    </row>
    <row r="387" ht="15.75" customHeight="1">
      <c r="D387" s="42"/>
    </row>
    <row r="388" ht="15.75" customHeight="1">
      <c r="D388" s="42"/>
    </row>
    <row r="389" ht="15.75" customHeight="1">
      <c r="D389" s="42"/>
    </row>
    <row r="390" ht="15.75" customHeight="1">
      <c r="D390" s="42"/>
    </row>
    <row r="391" ht="15.75" customHeight="1">
      <c r="D391" s="42"/>
    </row>
    <row r="392" ht="15.75" customHeight="1">
      <c r="D392" s="42"/>
    </row>
    <row r="393" ht="15.75" customHeight="1">
      <c r="D393" s="42"/>
    </row>
    <row r="394" ht="15.75" customHeight="1">
      <c r="D394" s="42"/>
    </row>
    <row r="395" ht="15.75" customHeight="1">
      <c r="D395" s="42"/>
    </row>
    <row r="396" ht="15.75" customHeight="1">
      <c r="D396" s="42"/>
    </row>
    <row r="397" ht="15.75" customHeight="1">
      <c r="D397" s="42"/>
    </row>
    <row r="398" ht="15.75" customHeight="1">
      <c r="D398" s="42"/>
    </row>
    <row r="399" ht="15.75" customHeight="1">
      <c r="D399" s="42"/>
    </row>
    <row r="400" ht="15.75" customHeight="1">
      <c r="D400" s="42"/>
    </row>
    <row r="401" ht="15.75" customHeight="1">
      <c r="D401" s="42"/>
    </row>
    <row r="402" ht="15.75" customHeight="1">
      <c r="D402" s="42"/>
    </row>
    <row r="403" ht="15.75" customHeight="1">
      <c r="D403" s="42"/>
    </row>
    <row r="404" ht="15.75" customHeight="1">
      <c r="D404" s="42"/>
    </row>
    <row r="405" ht="15.75" customHeight="1">
      <c r="D405" s="42"/>
    </row>
    <row r="406" ht="15.75" customHeight="1">
      <c r="D406" s="42"/>
    </row>
    <row r="407" ht="15.75" customHeight="1">
      <c r="D407" s="42"/>
    </row>
    <row r="408" ht="15.75" customHeight="1">
      <c r="D408" s="42"/>
    </row>
    <row r="409" ht="15.75" customHeight="1">
      <c r="D409" s="42"/>
    </row>
    <row r="410" ht="15.75" customHeight="1">
      <c r="D410" s="42"/>
    </row>
    <row r="411" ht="15.75" customHeight="1">
      <c r="D411" s="42"/>
    </row>
    <row r="412" ht="15.75" customHeight="1">
      <c r="D412" s="42"/>
    </row>
    <row r="413" ht="15.75" customHeight="1">
      <c r="D413" s="42"/>
    </row>
    <row r="414" ht="15.75" customHeight="1">
      <c r="D414" s="42"/>
    </row>
    <row r="415" ht="15.75" customHeight="1">
      <c r="D415" s="42"/>
    </row>
    <row r="416" ht="15.75" customHeight="1">
      <c r="D416" s="42"/>
    </row>
    <row r="417" ht="15.75" customHeight="1">
      <c r="D417" s="42"/>
    </row>
    <row r="418" ht="15.75" customHeight="1">
      <c r="D418" s="42"/>
    </row>
    <row r="419" ht="15.75" customHeight="1">
      <c r="D419" s="42"/>
    </row>
    <row r="420" ht="15.75" customHeight="1">
      <c r="D420" s="42"/>
    </row>
    <row r="421" ht="15.75" customHeight="1">
      <c r="D421" s="42"/>
    </row>
    <row r="422" ht="15.75" customHeight="1">
      <c r="D422" s="42"/>
    </row>
    <row r="423" ht="15.75" customHeight="1">
      <c r="D423" s="42"/>
    </row>
    <row r="424" ht="15.75" customHeight="1">
      <c r="D424" s="42"/>
    </row>
    <row r="425" ht="15.75" customHeight="1">
      <c r="D425" s="42"/>
    </row>
    <row r="426" ht="15.75" customHeight="1">
      <c r="D426" s="42"/>
    </row>
    <row r="427" ht="15.75" customHeight="1">
      <c r="D427" s="42"/>
    </row>
    <row r="428" ht="15.75" customHeight="1">
      <c r="D428" s="42"/>
    </row>
    <row r="429" ht="15.75" customHeight="1">
      <c r="D429" s="42"/>
    </row>
    <row r="430" ht="15.75" customHeight="1">
      <c r="D430" s="42"/>
    </row>
    <row r="431" ht="15.75" customHeight="1">
      <c r="D431" s="42"/>
    </row>
    <row r="432" ht="15.75" customHeight="1">
      <c r="D432" s="42"/>
    </row>
    <row r="433" ht="15.75" customHeight="1">
      <c r="D433" s="42"/>
    </row>
    <row r="434" ht="15.75" customHeight="1">
      <c r="D434" s="42"/>
    </row>
    <row r="435" ht="15.75" customHeight="1">
      <c r="D435" s="42"/>
    </row>
    <row r="436" ht="15.75" customHeight="1">
      <c r="D436" s="42"/>
    </row>
    <row r="437" ht="15.75" customHeight="1">
      <c r="D437" s="42"/>
    </row>
    <row r="438" ht="15.75" customHeight="1">
      <c r="D438" s="42"/>
    </row>
    <row r="439" ht="15.75" customHeight="1">
      <c r="D439" s="42"/>
    </row>
    <row r="440" ht="15.75" customHeight="1">
      <c r="D440" s="42"/>
    </row>
    <row r="441" ht="15.75" customHeight="1">
      <c r="D441" s="42"/>
    </row>
    <row r="442" ht="15.75" customHeight="1">
      <c r="D442" s="42"/>
    </row>
    <row r="443" ht="15.75" customHeight="1">
      <c r="D443" s="42"/>
    </row>
    <row r="444" ht="15.75" customHeight="1">
      <c r="D444" s="42"/>
    </row>
    <row r="445" ht="15.75" customHeight="1">
      <c r="D445" s="42"/>
    </row>
    <row r="446" ht="15.75" customHeight="1">
      <c r="D446" s="42"/>
    </row>
    <row r="447" ht="15.75" customHeight="1">
      <c r="D447" s="42"/>
    </row>
    <row r="448" ht="15.75" customHeight="1">
      <c r="D448" s="42"/>
    </row>
    <row r="449" ht="15.75" customHeight="1">
      <c r="D449" s="42"/>
    </row>
    <row r="450" ht="15.75" customHeight="1">
      <c r="D450" s="42"/>
    </row>
    <row r="451" ht="15.75" customHeight="1">
      <c r="D451" s="42"/>
    </row>
    <row r="452" ht="15.75" customHeight="1">
      <c r="D452" s="42"/>
    </row>
    <row r="453" ht="15.75" customHeight="1">
      <c r="D453" s="42"/>
    </row>
    <row r="454" ht="15.75" customHeight="1">
      <c r="D454" s="42"/>
    </row>
    <row r="455" ht="15.75" customHeight="1">
      <c r="D455" s="42"/>
    </row>
    <row r="456" ht="15.75" customHeight="1">
      <c r="D456" s="42"/>
    </row>
    <row r="457" ht="15.75" customHeight="1">
      <c r="D457" s="42"/>
    </row>
    <row r="458" ht="15.75" customHeight="1">
      <c r="D458" s="42"/>
    </row>
    <row r="459" ht="15.75" customHeight="1">
      <c r="D459" s="42"/>
    </row>
    <row r="460" ht="15.75" customHeight="1">
      <c r="D460" s="42"/>
    </row>
    <row r="461" ht="15.75" customHeight="1">
      <c r="D461" s="42"/>
    </row>
    <row r="462" ht="15.75" customHeight="1">
      <c r="D462" s="42"/>
    </row>
    <row r="463" ht="15.75" customHeight="1">
      <c r="D463" s="42"/>
    </row>
    <row r="464" ht="15.75" customHeight="1">
      <c r="D464" s="42"/>
    </row>
    <row r="465" ht="15.75" customHeight="1">
      <c r="D465" s="42"/>
    </row>
    <row r="466" ht="15.75" customHeight="1">
      <c r="D466" s="42"/>
    </row>
    <row r="467" ht="15.75" customHeight="1">
      <c r="D467" s="42"/>
    </row>
    <row r="468" ht="15.75" customHeight="1">
      <c r="D468" s="42"/>
    </row>
    <row r="469" ht="15.75" customHeight="1">
      <c r="D469" s="42"/>
    </row>
    <row r="470" ht="15.75" customHeight="1">
      <c r="D470" s="42"/>
    </row>
    <row r="471" ht="15.75" customHeight="1">
      <c r="D471" s="42"/>
    </row>
    <row r="472" ht="15.75" customHeight="1">
      <c r="D472" s="42"/>
    </row>
    <row r="473" ht="15.75" customHeight="1">
      <c r="D473" s="42"/>
    </row>
    <row r="474" ht="15.75" customHeight="1">
      <c r="D474" s="42"/>
    </row>
    <row r="475" ht="15.75" customHeight="1">
      <c r="D475" s="42"/>
    </row>
    <row r="476" ht="15.75" customHeight="1">
      <c r="D476" s="42"/>
    </row>
    <row r="477" ht="15.75" customHeight="1">
      <c r="D477" s="42"/>
    </row>
    <row r="478" ht="15.75" customHeight="1">
      <c r="D478" s="42"/>
    </row>
    <row r="479" ht="15.75" customHeight="1">
      <c r="D479" s="42"/>
    </row>
    <row r="480" ht="15.75" customHeight="1">
      <c r="D480" s="42"/>
    </row>
    <row r="481" ht="15.75" customHeight="1">
      <c r="D481" s="42"/>
    </row>
    <row r="482" ht="15.75" customHeight="1">
      <c r="D482" s="42"/>
    </row>
    <row r="483" ht="15.75" customHeight="1">
      <c r="D483" s="42"/>
    </row>
    <row r="484" ht="15.75" customHeight="1">
      <c r="D484" s="42"/>
    </row>
    <row r="485" ht="15.75" customHeight="1">
      <c r="D485" s="42"/>
    </row>
    <row r="486" ht="15.75" customHeight="1">
      <c r="D486" s="42"/>
    </row>
    <row r="487" ht="15.75" customHeight="1">
      <c r="D487" s="42"/>
    </row>
    <row r="488" ht="15.75" customHeight="1">
      <c r="D488" s="42"/>
    </row>
    <row r="489" ht="15.75" customHeight="1">
      <c r="D489" s="42"/>
    </row>
    <row r="490" ht="15.75" customHeight="1">
      <c r="D490" s="42"/>
    </row>
    <row r="491" ht="15.75" customHeight="1">
      <c r="D491" s="42"/>
    </row>
    <row r="492" ht="15.75" customHeight="1">
      <c r="D492" s="42"/>
    </row>
    <row r="493" ht="15.75" customHeight="1">
      <c r="D493" s="42"/>
    </row>
    <row r="494" ht="15.75" customHeight="1">
      <c r="D494" s="42"/>
    </row>
    <row r="495" ht="15.75" customHeight="1">
      <c r="D495" s="42"/>
    </row>
    <row r="496" ht="15.75" customHeight="1">
      <c r="D496" s="42"/>
    </row>
    <row r="497" ht="15.75" customHeight="1">
      <c r="D497" s="42"/>
    </row>
    <row r="498" ht="15.75" customHeight="1">
      <c r="D498" s="42"/>
    </row>
    <row r="499" ht="15.75" customHeight="1">
      <c r="D499" s="42"/>
    </row>
    <row r="500" ht="15.75" customHeight="1">
      <c r="D500" s="42"/>
    </row>
    <row r="501" ht="15.75" customHeight="1">
      <c r="D501" s="42"/>
    </row>
    <row r="502" ht="15.75" customHeight="1">
      <c r="D502" s="42"/>
    </row>
    <row r="503" ht="15.75" customHeight="1">
      <c r="D503" s="42"/>
    </row>
    <row r="504" ht="15.75" customHeight="1">
      <c r="D504" s="42"/>
    </row>
    <row r="505" ht="15.75" customHeight="1">
      <c r="D505" s="42"/>
    </row>
    <row r="506" ht="15.75" customHeight="1">
      <c r="D506" s="42"/>
    </row>
    <row r="507" ht="15.75" customHeight="1">
      <c r="D507" s="42"/>
    </row>
    <row r="508" ht="15.75" customHeight="1">
      <c r="D508" s="42"/>
    </row>
    <row r="509" ht="15.75" customHeight="1">
      <c r="D509" s="42"/>
    </row>
    <row r="510" ht="15.75" customHeight="1">
      <c r="D510" s="42"/>
    </row>
    <row r="511" ht="15.75" customHeight="1">
      <c r="D511" s="42"/>
    </row>
    <row r="512" ht="15.75" customHeight="1">
      <c r="D512" s="42"/>
    </row>
    <row r="513" ht="15.75" customHeight="1">
      <c r="D513" s="42"/>
    </row>
    <row r="514" ht="15.75" customHeight="1">
      <c r="D514" s="42"/>
    </row>
    <row r="515" ht="15.75" customHeight="1">
      <c r="D515" s="42"/>
    </row>
    <row r="516" ht="15.75" customHeight="1">
      <c r="D516" s="42"/>
    </row>
    <row r="517" ht="15.75" customHeight="1">
      <c r="D517" s="42"/>
    </row>
    <row r="518" ht="15.75" customHeight="1">
      <c r="D518" s="42"/>
    </row>
    <row r="519" ht="15.75" customHeight="1">
      <c r="D519" s="42"/>
    </row>
    <row r="520" ht="15.75" customHeight="1">
      <c r="D520" s="42"/>
    </row>
    <row r="521" ht="15.75" customHeight="1">
      <c r="D521" s="42"/>
    </row>
    <row r="522" ht="15.75" customHeight="1">
      <c r="D522" s="42"/>
    </row>
    <row r="523" ht="15.75" customHeight="1">
      <c r="D523" s="42"/>
    </row>
    <row r="524" ht="15.75" customHeight="1">
      <c r="D524" s="42"/>
    </row>
    <row r="525" ht="15.75" customHeight="1">
      <c r="D525" s="42"/>
    </row>
    <row r="526" ht="15.75" customHeight="1">
      <c r="D526" s="42"/>
    </row>
    <row r="527" ht="15.75" customHeight="1">
      <c r="D527" s="42"/>
    </row>
    <row r="528" ht="15.75" customHeight="1">
      <c r="D528" s="42"/>
    </row>
    <row r="529" ht="15.75" customHeight="1">
      <c r="D529" s="42"/>
    </row>
    <row r="530" ht="15.75" customHeight="1">
      <c r="D530" s="42"/>
    </row>
    <row r="531" ht="15.75" customHeight="1">
      <c r="D531" s="42"/>
    </row>
    <row r="532" ht="15.75" customHeight="1">
      <c r="D532" s="42"/>
    </row>
    <row r="533" ht="15.75" customHeight="1">
      <c r="D533" s="42"/>
    </row>
    <row r="534" ht="15.75" customHeight="1">
      <c r="D534" s="42"/>
    </row>
    <row r="535" ht="15.75" customHeight="1">
      <c r="D535" s="42"/>
    </row>
    <row r="536" ht="15.75" customHeight="1">
      <c r="D536" s="42"/>
    </row>
    <row r="537" ht="15.75" customHeight="1">
      <c r="D537" s="42"/>
    </row>
    <row r="538" ht="15.75" customHeight="1">
      <c r="D538" s="42"/>
    </row>
    <row r="539" ht="15.75" customHeight="1">
      <c r="D539" s="42"/>
    </row>
    <row r="540" ht="15.75" customHeight="1">
      <c r="D540" s="42"/>
    </row>
    <row r="541" ht="15.75" customHeight="1">
      <c r="D541" s="42"/>
    </row>
    <row r="542" ht="15.75" customHeight="1">
      <c r="D542" s="42"/>
    </row>
    <row r="543" ht="15.75" customHeight="1">
      <c r="D543" s="42"/>
    </row>
    <row r="544" ht="15.75" customHeight="1">
      <c r="D544" s="42"/>
    </row>
    <row r="545" ht="15.75" customHeight="1">
      <c r="D545" s="42"/>
    </row>
    <row r="546" ht="15.75" customHeight="1">
      <c r="D546" s="42"/>
    </row>
    <row r="547" ht="15.75" customHeight="1">
      <c r="D547" s="42"/>
    </row>
    <row r="548" ht="15.75" customHeight="1">
      <c r="D548" s="42"/>
    </row>
    <row r="549" ht="15.75" customHeight="1">
      <c r="D549" s="42"/>
    </row>
    <row r="550" ht="15.75" customHeight="1">
      <c r="D550" s="42"/>
    </row>
    <row r="551" ht="15.75" customHeight="1">
      <c r="D551" s="42"/>
    </row>
    <row r="552" ht="15.75" customHeight="1">
      <c r="D552" s="42"/>
    </row>
    <row r="553" ht="15.75" customHeight="1">
      <c r="D553" s="42"/>
    </row>
    <row r="554" ht="15.75" customHeight="1">
      <c r="D554" s="42"/>
    </row>
    <row r="555" ht="15.75" customHeight="1">
      <c r="D555" s="42"/>
    </row>
    <row r="556" ht="15.75" customHeight="1">
      <c r="D556" s="42"/>
    </row>
    <row r="557" ht="15.75" customHeight="1">
      <c r="D557" s="42"/>
    </row>
    <row r="558" ht="15.75" customHeight="1">
      <c r="D558" s="42"/>
    </row>
    <row r="559" ht="15.75" customHeight="1">
      <c r="D559" s="42"/>
    </row>
    <row r="560" ht="15.75" customHeight="1">
      <c r="D560" s="42"/>
    </row>
    <row r="561" ht="15.75" customHeight="1">
      <c r="D561" s="42"/>
    </row>
    <row r="562" ht="15.75" customHeight="1">
      <c r="D562" s="42"/>
    </row>
    <row r="563" ht="15.75" customHeight="1">
      <c r="D563" s="42"/>
    </row>
    <row r="564" ht="15.75" customHeight="1">
      <c r="D564" s="42"/>
    </row>
    <row r="565" ht="15.75" customHeight="1">
      <c r="D565" s="42"/>
    </row>
    <row r="566" ht="15.75" customHeight="1">
      <c r="D566" s="42"/>
    </row>
    <row r="567" ht="15.75" customHeight="1">
      <c r="D567" s="42"/>
    </row>
    <row r="568" ht="15.75" customHeight="1">
      <c r="D568" s="42"/>
    </row>
    <row r="569" ht="15.75" customHeight="1">
      <c r="D569" s="42"/>
    </row>
    <row r="570" ht="15.75" customHeight="1">
      <c r="D570" s="42"/>
    </row>
    <row r="571" ht="15.75" customHeight="1">
      <c r="D571" s="42"/>
    </row>
    <row r="572" ht="15.75" customHeight="1">
      <c r="D572" s="42"/>
    </row>
    <row r="573" ht="15.75" customHeight="1">
      <c r="D573" s="42"/>
    </row>
    <row r="574" ht="15.75" customHeight="1">
      <c r="D574" s="42"/>
    </row>
    <row r="575" ht="15.75" customHeight="1">
      <c r="D575" s="42"/>
    </row>
    <row r="576" ht="15.75" customHeight="1">
      <c r="D576" s="42"/>
    </row>
    <row r="577" ht="15.75" customHeight="1">
      <c r="D577" s="42"/>
    </row>
    <row r="578" ht="15.75" customHeight="1">
      <c r="D578" s="42"/>
    </row>
    <row r="579" ht="15.75" customHeight="1">
      <c r="D579" s="42"/>
    </row>
    <row r="580" ht="15.75" customHeight="1">
      <c r="D580" s="42"/>
    </row>
    <row r="581" ht="15.75" customHeight="1">
      <c r="D581" s="42"/>
    </row>
    <row r="582" ht="15.75" customHeight="1">
      <c r="D582" s="42"/>
    </row>
    <row r="583" ht="15.75" customHeight="1">
      <c r="D583" s="42"/>
    </row>
    <row r="584" ht="15.75" customHeight="1">
      <c r="D584" s="42"/>
    </row>
    <row r="585" ht="15.75" customHeight="1">
      <c r="D585" s="42"/>
    </row>
    <row r="586" ht="15.75" customHeight="1">
      <c r="D586" s="42"/>
    </row>
    <row r="587" ht="15.75" customHeight="1">
      <c r="D587" s="42"/>
    </row>
    <row r="588" ht="15.75" customHeight="1">
      <c r="D588" s="42"/>
    </row>
    <row r="589" ht="15.75" customHeight="1">
      <c r="D589" s="42"/>
    </row>
    <row r="590" ht="15.75" customHeight="1">
      <c r="D590" s="42"/>
    </row>
    <row r="591" ht="15.75" customHeight="1">
      <c r="D591" s="42"/>
    </row>
    <row r="592" ht="15.75" customHeight="1">
      <c r="D592" s="42"/>
    </row>
    <row r="593" ht="15.75" customHeight="1">
      <c r="D593" s="42"/>
    </row>
    <row r="594" ht="15.75" customHeight="1">
      <c r="D594" s="42"/>
    </row>
    <row r="595" ht="15.75" customHeight="1">
      <c r="D595" s="42"/>
    </row>
    <row r="596" ht="15.75" customHeight="1">
      <c r="D596" s="42"/>
    </row>
    <row r="597" ht="15.75" customHeight="1">
      <c r="D597" s="42"/>
    </row>
    <row r="598" ht="15.75" customHeight="1">
      <c r="D598" s="42"/>
    </row>
    <row r="599" ht="15.75" customHeight="1">
      <c r="D599" s="42"/>
    </row>
    <row r="600" ht="15.75" customHeight="1">
      <c r="D600" s="42"/>
    </row>
    <row r="601" ht="15.75" customHeight="1">
      <c r="D601" s="42"/>
    </row>
    <row r="602" ht="15.75" customHeight="1">
      <c r="D602" s="42"/>
    </row>
    <row r="603" ht="15.75" customHeight="1">
      <c r="D603" s="42"/>
    </row>
    <row r="604" ht="15.75" customHeight="1">
      <c r="D604" s="42"/>
    </row>
    <row r="605" ht="15.75" customHeight="1">
      <c r="D605" s="42"/>
    </row>
    <row r="606" ht="15.75" customHeight="1">
      <c r="D606" s="42"/>
    </row>
    <row r="607" ht="15.75" customHeight="1">
      <c r="D607" s="42"/>
    </row>
    <row r="608" ht="15.75" customHeight="1">
      <c r="D608" s="42"/>
    </row>
    <row r="609" ht="15.75" customHeight="1">
      <c r="D609" s="42"/>
    </row>
    <row r="610" ht="15.75" customHeight="1">
      <c r="D610" s="42"/>
    </row>
    <row r="611" ht="15.75" customHeight="1">
      <c r="D611" s="42"/>
    </row>
    <row r="612" ht="15.75" customHeight="1">
      <c r="D612" s="42"/>
    </row>
    <row r="613" ht="15.75" customHeight="1">
      <c r="D613" s="42"/>
    </row>
    <row r="614" ht="15.75" customHeight="1">
      <c r="D614" s="42"/>
    </row>
    <row r="615" ht="15.75" customHeight="1">
      <c r="D615" s="42"/>
    </row>
    <row r="616" ht="15.75" customHeight="1">
      <c r="D616" s="42"/>
    </row>
    <row r="617" ht="15.75" customHeight="1">
      <c r="D617" s="42"/>
    </row>
    <row r="618" ht="15.75" customHeight="1">
      <c r="D618" s="42"/>
    </row>
    <row r="619" ht="15.75" customHeight="1">
      <c r="D619" s="42"/>
    </row>
    <row r="620" ht="15.75" customHeight="1">
      <c r="D620" s="42"/>
    </row>
    <row r="621" ht="15.75" customHeight="1">
      <c r="D621" s="42"/>
    </row>
    <row r="622" ht="15.75" customHeight="1">
      <c r="D622" s="42"/>
    </row>
    <row r="623" ht="15.75" customHeight="1">
      <c r="D623" s="42"/>
    </row>
    <row r="624" ht="15.75" customHeight="1">
      <c r="D624" s="42"/>
    </row>
    <row r="625" ht="15.75" customHeight="1">
      <c r="D625" s="42"/>
    </row>
    <row r="626" ht="15.75" customHeight="1">
      <c r="D626" s="42"/>
    </row>
    <row r="627" ht="15.75" customHeight="1">
      <c r="D627" s="42"/>
    </row>
    <row r="628" ht="15.75" customHeight="1">
      <c r="D628" s="42"/>
    </row>
    <row r="629" ht="15.75" customHeight="1">
      <c r="D629" s="42"/>
    </row>
    <row r="630" ht="15.75" customHeight="1">
      <c r="D630" s="42"/>
    </row>
    <row r="631" ht="15.75" customHeight="1">
      <c r="D631" s="42"/>
    </row>
    <row r="632" ht="15.75" customHeight="1">
      <c r="D632" s="42"/>
    </row>
    <row r="633" ht="15.75" customHeight="1">
      <c r="D633" s="42"/>
    </row>
    <row r="634" ht="15.75" customHeight="1">
      <c r="D634" s="42"/>
    </row>
    <row r="635" ht="15.75" customHeight="1">
      <c r="D635" s="42"/>
    </row>
    <row r="636" ht="15.75" customHeight="1">
      <c r="D636" s="42"/>
    </row>
  </sheetData>
  <customSheetViews>
    <customSheetView guid="{E8F1DD2B-7BC7-410E-BB6F-1687C0FEC8CE}" filter="1" showAutoFilter="1">
      <autoFilter ref="$A$2:$V$6"/>
    </customSheetView>
  </customSheetViews>
  <mergeCells count="1">
    <mergeCell ref="A1:V1"/>
  </mergeCells>
  <conditionalFormatting sqref="S3:S6">
    <cfRule type="cellIs" dxfId="6" priority="1" operator="greaterThanOrEqual">
      <formula>1</formula>
    </cfRule>
  </conditionalFormatting>
  <conditionalFormatting sqref="S3:S6">
    <cfRule type="cellIs" dxfId="7" priority="2" operator="between">
      <formula>0.8</formula>
      <formula>0.999999</formula>
    </cfRule>
  </conditionalFormatting>
  <conditionalFormatting sqref="S3:S6">
    <cfRule type="cellIs" dxfId="8" priority="3" operator="lessThan">
      <formula>0.8</formula>
    </cfRule>
  </conditionalFormatting>
  <printOptions/>
  <pageMargins bottom="0.25" footer="0.0" header="0.0" left="0.25" right="0.25" top="0.25"/>
  <pageSetup fitToHeight="0" paperSize="9"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32.0"/>
    <col customWidth="1" min="4" max="4" width="22.0"/>
    <col customWidth="1" min="5" max="5" width="40.0"/>
    <col customWidth="1" min="6" max="26" width="8.71"/>
  </cols>
  <sheetData>
    <row r="1">
      <c r="A1" s="68" t="s">
        <v>67</v>
      </c>
      <c r="B1" s="68" t="s">
        <v>68</v>
      </c>
      <c r="C1" s="68" t="s">
        <v>69</v>
      </c>
      <c r="D1" s="68" t="s">
        <v>70</v>
      </c>
      <c r="E1" s="68" t="s">
        <v>24</v>
      </c>
    </row>
    <row r="2">
      <c r="A2" s="69" t="s">
        <v>71</v>
      </c>
      <c r="B2" s="69" t="s">
        <v>72</v>
      </c>
      <c r="C2" s="69" t="s">
        <v>73</v>
      </c>
      <c r="D2" s="69" t="s">
        <v>74</v>
      </c>
      <c r="E2" s="69"/>
    </row>
    <row r="3">
      <c r="A3" s="69" t="s">
        <v>75</v>
      </c>
      <c r="B3" s="69">
        <v>1.0</v>
      </c>
      <c r="C3" s="69" t="s">
        <v>76</v>
      </c>
      <c r="D3" s="69" t="s">
        <v>74</v>
      </c>
      <c r="E3" s="69"/>
    </row>
    <row r="4">
      <c r="A4" s="69" t="s">
        <v>77</v>
      </c>
      <c r="B4" s="69">
        <v>1.0</v>
      </c>
      <c r="C4" s="69" t="s">
        <v>76</v>
      </c>
      <c r="D4" s="69" t="s">
        <v>74</v>
      </c>
      <c r="E4" s="69"/>
    </row>
    <row r="5">
      <c r="A5" s="69" t="s">
        <v>78</v>
      </c>
      <c r="B5" s="69">
        <v>60.0</v>
      </c>
      <c r="C5" s="69" t="s">
        <v>79</v>
      </c>
      <c r="D5" s="69" t="s">
        <v>80</v>
      </c>
      <c r="E5" s="69" t="s">
        <v>81</v>
      </c>
    </row>
    <row r="6">
      <c r="A6" s="69" t="s">
        <v>82</v>
      </c>
      <c r="B6" s="69">
        <v>50.0</v>
      </c>
      <c r="C6" s="69" t="s">
        <v>83</v>
      </c>
      <c r="D6" s="69" t="s">
        <v>74</v>
      </c>
      <c r="E6" s="69" t="s">
        <v>84</v>
      </c>
    </row>
    <row r="7">
      <c r="A7" s="69" t="s">
        <v>85</v>
      </c>
      <c r="B7" s="69">
        <v>3.0</v>
      </c>
      <c r="C7" s="69" t="s">
        <v>86</v>
      </c>
      <c r="D7" s="69" t="s">
        <v>74</v>
      </c>
      <c r="E7" s="69" t="s">
        <v>87</v>
      </c>
    </row>
    <row r="8">
      <c r="A8" s="69" t="s">
        <v>88</v>
      </c>
      <c r="B8" s="69">
        <v>1.0</v>
      </c>
      <c r="C8" s="69" t="s">
        <v>89</v>
      </c>
      <c r="D8" s="69" t="s">
        <v>74</v>
      </c>
      <c r="E8" s="69"/>
    </row>
    <row r="9">
      <c r="A9" s="69" t="s">
        <v>90</v>
      </c>
      <c r="B9" s="69">
        <v>1.0</v>
      </c>
      <c r="C9" s="69" t="s">
        <v>91</v>
      </c>
      <c r="D9" s="69" t="s">
        <v>74</v>
      </c>
      <c r="E9" s="69"/>
    </row>
    <row r="10">
      <c r="A10" s="69" t="s">
        <v>92</v>
      </c>
      <c r="B10" s="69">
        <v>10.0</v>
      </c>
      <c r="C10" s="69" t="s">
        <v>93</v>
      </c>
      <c r="D10" s="69" t="s">
        <v>74</v>
      </c>
      <c r="E10" s="69" t="s">
        <v>94</v>
      </c>
    </row>
    <row r="12">
      <c r="A12" s="70" t="s">
        <v>95</v>
      </c>
      <c r="B12" s="7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2:E12"/>
  </mergeCells>
  <printOptions/>
  <pageMargins bottom="1.0" footer="0.0" header="0.0" left="0.75" right="0.75" top="1.0"/>
  <pageSetup orientation="landscape"/>
  <drawing r:id="rId1"/>
</worksheet>
</file>